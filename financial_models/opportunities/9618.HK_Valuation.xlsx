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FDAD5803-A1F2-AC45-9138-CE8962A0E39A}" xr6:coauthVersionLast="47" xr6:coauthVersionMax="47" xr10:uidLastSave="{00000000-0000-0000-0000-000000000000}"/>
  <bookViews>
    <workbookView xWindow="0" yWindow="0" windowWidth="17120" windowHeight="1076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30" i="4" l="1"/>
  <c r="E30" i="4"/>
  <c r="G6" i="4"/>
  <c r="F6" i="4"/>
  <c r="C9" i="6"/>
  <c r="E83" i="2"/>
  <c r="E84" i="2"/>
  <c r="C36" i="3"/>
  <c r="C27" i="3"/>
  <c r="G17" i="3"/>
  <c r="G19" i="3"/>
  <c r="C19" i="3"/>
  <c r="C23" i="3"/>
  <c r="C4" i="3"/>
  <c r="C9" i="3"/>
  <c r="C6" i="4"/>
  <c r="D6" i="4"/>
  <c r="E6" i="4"/>
  <c r="C25" i="4"/>
  <c r="D25" i="4"/>
  <c r="E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<sst xmlns="http://schemas.openxmlformats.org/spreadsheetml/2006/main" count="768" uniqueCount="559">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</sst>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182" fontId="7" fillId="0" borderId="1" xfId="0" quotePrefix="1" applyNumberFormat="1" applyFont="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5" sqref="C15"/>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538</v>
      </c>
      <c r="F3" s="429">
        <v>46045</v>
      </c>
    </row>
    <row r="4" spans="1:9" ht="14" x14ac:dyDescent="0.2">
      <c r="B4" s="421" t="s">
        <v>533</v>
      </c>
      <c r="C4" s="420" t="s">
        <v>556</v>
      </c>
      <c r="E4" s="430" t="s">
        <v>537</v>
      </c>
      <c r="F4" s="431" t="s">
        <v>324</v>
      </c>
    </row>
    <row r="5" spans="1:9" x14ac:dyDescent="0.15">
      <c r="B5" s="1" t="s">
        <v>349</v>
      </c>
      <c r="C5" s="46" t="s">
        <v>557</v>
      </c>
      <c r="E5" s="433" t="s">
        <v>539</v>
      </c>
      <c r="F5" s="432" t="s">
        <v>497</v>
      </c>
    </row>
    <row r="6" spans="1:9" x14ac:dyDescent="0.15">
      <c r="B6" s="2" t="s">
        <v>53</v>
      </c>
      <c r="C6" s="45" t="s">
        <v>549</v>
      </c>
      <c r="D6" s="45"/>
      <c r="E6" s="45"/>
    </row>
    <row r="7" spans="1:9" x14ac:dyDescent="0.15">
      <c r="B7" s="1" t="s">
        <v>351</v>
      </c>
      <c r="C7" s="45" t="s">
        <v>308</v>
      </c>
      <c r="D7" s="45"/>
      <c r="E7" s="45"/>
    </row>
    <row r="8" spans="1:9" x14ac:dyDescent="0.15">
      <c r="B8" s="4" t="s">
        <v>350</v>
      </c>
      <c r="C8" s="47">
        <v>103.8</v>
      </c>
      <c r="E8" s="32"/>
    </row>
    <row r="9" spans="1:9" x14ac:dyDescent="0.15">
      <c r="B9" s="4" t="s">
        <v>346</v>
      </c>
      <c r="C9" s="48">
        <f>2865069999*(1-0.063)+322483772</f>
        <v>3007054361.0630002</v>
      </c>
    </row>
    <row r="10" spans="1:9" x14ac:dyDescent="0.15">
      <c r="B10" s="4" t="s">
        <v>352</v>
      </c>
      <c r="C10" s="33">
        <f>Thesis!C8*Common_Shares/1000000</f>
        <v>312132.24267833942</v>
      </c>
      <c r="D10" s="1" t="s">
        <v>528</v>
      </c>
      <c r="E10" s="303">
        <f>Scenarios!F34</f>
        <v>0.25085546041516749</v>
      </c>
    </row>
    <row r="11" spans="1:9" x14ac:dyDescent="0.15">
      <c r="D11" s="5"/>
      <c r="E11" s="5"/>
    </row>
    <row r="12" spans="1:9" ht="24.5" customHeight="1" x14ac:dyDescent="0.15">
      <c r="B12" s="463" t="s">
        <v>355</v>
      </c>
      <c r="C12" s="463"/>
      <c r="D12" s="463"/>
      <c r="E12" s="463"/>
      <c r="F12" s="463"/>
    </row>
    <row r="14" spans="1:9" x14ac:dyDescent="0.15">
      <c r="B14" s="42" t="str">
        <f>Scenarios!B39&amp;" Valuation Conclusion"</f>
        <v>2-stage DCF Valuation Conclusion</v>
      </c>
      <c r="C14" s="43"/>
    </row>
    <row r="15" spans="1:9" x14ac:dyDescent="0.15">
      <c r="B15" s="1" t="s">
        <v>319</v>
      </c>
      <c r="C15" s="417" t="s">
        <v>546</v>
      </c>
      <c r="D15" s="4" t="s">
        <v>353</v>
      </c>
      <c r="E15" s="253" t="str">
        <f>IF(E17=C7,C7,E17&amp;"/"&amp;C7)</f>
        <v>CNY/HKD</v>
      </c>
    </row>
    <row r="16" spans="1:9" x14ac:dyDescent="0.15">
      <c r="B16" s="1" t="s">
        <v>320</v>
      </c>
      <c r="C16" s="417" t="s">
        <v>546</v>
      </c>
      <c r="D16" s="4" t="s">
        <v>354</v>
      </c>
      <c r="E16" s="416">
        <v>1.1315830089569092</v>
      </c>
    </row>
    <row r="17" spans="1:6" x14ac:dyDescent="0.15">
      <c r="B17" s="1" t="s">
        <v>532</v>
      </c>
      <c r="C17" s="456">
        <v>0.02</v>
      </c>
      <c r="D17" s="4" t="s">
        <v>274</v>
      </c>
      <c r="E17" s="224" t="s">
        <v>558</v>
      </c>
    </row>
    <row r="18" spans="1:6" x14ac:dyDescent="0.15">
      <c r="B18" s="1" t="str">
        <f>"Expected Equity Value ("&amp;C7&amp;") :"</f>
        <v>Expected Equity Value (HKD) :</v>
      </c>
      <c r="C18" s="252">
        <f>C125</f>
        <v>189.75850798139936</v>
      </c>
      <c r="D18" s="2" t="s">
        <v>347</v>
      </c>
      <c r="E18" s="418">
        <v>6</v>
      </c>
    </row>
    <row r="19" spans="1:6" x14ac:dyDescent="0.15">
      <c r="B19" s="2" t="s">
        <v>275</v>
      </c>
      <c r="C19" s="31" t="str">
        <f>IF(Terminal_Growth&lt;2%, "Lower than Inflation rate", IF(Terminal_Growth&lt;5%, "Low growth", IF(Terminal_Growth&lt;8%, "Medium growth", "High growth")))</f>
        <v>Low growth</v>
      </c>
      <c r="D19" s="1" t="s">
        <v>348</v>
      </c>
      <c r="E19" s="419">
        <f>EOMONTH(EDATE(BS!C1,E18+2),0)</f>
        <v>46173</v>
      </c>
    </row>
    <row r="20" spans="1:6" x14ac:dyDescent="0.15">
      <c r="D20" s="5"/>
      <c r="E20" s="5"/>
    </row>
    <row r="21" spans="1:6" x14ac:dyDescent="0.15">
      <c r="B21" s="42" t="s">
        <v>404</v>
      </c>
      <c r="C21" s="254" t="str">
        <f>C138&amp;" ("&amp;Market_currency&amp;")"</f>
        <v xml:space="preserve"> (HKD)</v>
      </c>
      <c r="D21" s="31" t="s">
        <v>316</v>
      </c>
      <c r="E21" s="442">
        <v>3</v>
      </c>
    </row>
    <row r="22" spans="1:6" x14ac:dyDescent="0.15">
      <c r="B22" s="1" t="s">
        <v>312</v>
      </c>
      <c r="C22" s="255">
        <f>E140</f>
        <v>93.869096074266068</v>
      </c>
      <c r="D22" s="38" t="s">
        <v>406</v>
      </c>
      <c r="E22" s="79">
        <v>0.29465259038036606</v>
      </c>
    </row>
    <row r="23" spans="1:6" x14ac:dyDescent="0.15">
      <c r="B23" s="1" t="s">
        <v>313</v>
      </c>
      <c r="C23" s="256">
        <f>E141</f>
        <v>116.99285629904411</v>
      </c>
      <c r="D23" s="38" t="s">
        <v>407</v>
      </c>
      <c r="E23" s="443">
        <v>0.20075184365903009</v>
      </c>
    </row>
    <row r="24" spans="1:6" x14ac:dyDescent="0.15">
      <c r="B24" s="1" t="s">
        <v>315</v>
      </c>
      <c r="C24" s="256">
        <f>E144</f>
        <v>144.47961973069502</v>
      </c>
      <c r="D24" s="38" t="s">
        <v>408</v>
      </c>
      <c r="E24" s="443">
        <v>0.1174</v>
      </c>
    </row>
    <row r="25" spans="1:6" x14ac:dyDescent="0.15">
      <c r="B25" s="1" t="s">
        <v>314</v>
      </c>
      <c r="C25" s="256">
        <f>E145</f>
        <v>162.9882141875724</v>
      </c>
      <c r="D25" s="38" t="s">
        <v>409</v>
      </c>
      <c r="E25" s="444">
        <v>7.2499999999999995E-2</v>
      </c>
    </row>
    <row r="26" spans="1:6" x14ac:dyDescent="0.15">
      <c r="D26" s="5"/>
      <c r="E26" s="5"/>
    </row>
    <row r="27" spans="1:6" ht="16" x14ac:dyDescent="0.25">
      <c r="A27" s="200" t="s">
        <v>280</v>
      </c>
      <c r="B27" s="34"/>
      <c r="C27" s="34"/>
      <c r="D27" s="34"/>
      <c r="E27" s="34"/>
      <c r="F27" s="34"/>
    </row>
    <row r="29" spans="1:6" x14ac:dyDescent="0.15">
      <c r="B29" s="463" t="s">
        <v>356</v>
      </c>
      <c r="C29" s="463"/>
      <c r="D29" s="463"/>
      <c r="E29" s="463"/>
      <c r="F29" s="463"/>
    </row>
    <row r="30" spans="1:6" ht="24.5" customHeight="1" x14ac:dyDescent="0.15">
      <c r="B30" s="467" t="s">
        <v>266</v>
      </c>
      <c r="C30" s="467"/>
      <c r="D30" s="467"/>
      <c r="E30" s="467"/>
      <c r="F30" s="467"/>
    </row>
    <row r="32" spans="1:6" x14ac:dyDescent="0.15">
      <c r="B32" s="192" t="s">
        <v>195</v>
      </c>
      <c r="C32" s="105">
        <f>scaling_factor</f>
        <v>1000000</v>
      </c>
    </row>
    <row r="33" spans="2:6" ht="24.5" customHeight="1" x14ac:dyDescent="0.15">
      <c r="B33" s="464" t="s">
        <v>196</v>
      </c>
      <c r="C33" s="464"/>
      <c r="D33" s="464"/>
      <c r="E33" s="464"/>
      <c r="F33" s="464"/>
    </row>
    <row r="34" spans="2:6" x14ac:dyDescent="0.15">
      <c r="B34" s="44" t="s">
        <v>197</v>
      </c>
      <c r="C34" s="285">
        <f>Normalized_FCF!C8</f>
        <v>38849.138260430074</v>
      </c>
      <c r="D34" s="1" t="str">
        <f>Reporting_currency</f>
        <v>CNY</v>
      </c>
    </row>
    <row r="35" spans="2:6" x14ac:dyDescent="0.15">
      <c r="B35" s="44"/>
      <c r="C35" s="73"/>
    </row>
    <row r="36" spans="2:6" ht="24.5" customHeight="1" x14ac:dyDescent="0.15">
      <c r="B36" s="464" t="s">
        <v>198</v>
      </c>
      <c r="C36" s="464"/>
      <c r="D36" s="464"/>
      <c r="E36" s="464"/>
      <c r="F36" s="464"/>
    </row>
    <row r="37" spans="2:6" x14ac:dyDescent="0.15">
      <c r="B37" s="44" t="s">
        <v>199</v>
      </c>
      <c r="C37" s="285">
        <f>Normalized_FCF!C15</f>
        <v>8904</v>
      </c>
      <c r="D37" s="1" t="str">
        <f>Reporting_currency</f>
        <v>CNY</v>
      </c>
    </row>
    <row r="38" spans="2:6" x14ac:dyDescent="0.15">
      <c r="B38" s="49" t="s">
        <v>200</v>
      </c>
      <c r="C38" s="285">
        <f>Normalized_FCF!C16</f>
        <v>-8904</v>
      </c>
      <c r="D38" s="1" t="str">
        <f>Reporting_currency</f>
        <v>CNY</v>
      </c>
    </row>
    <row r="40" spans="2:6" x14ac:dyDescent="0.15">
      <c r="B40" s="464" t="s">
        <v>201</v>
      </c>
      <c r="C40" s="464"/>
      <c r="D40" s="464"/>
      <c r="E40" s="464"/>
      <c r="F40" s="464"/>
    </row>
    <row r="41" spans="2:6" x14ac:dyDescent="0.15">
      <c r="B41" s="44" t="s">
        <v>202</v>
      </c>
      <c r="C41" s="285">
        <f>Normalized_FCF!C9</f>
        <v>0</v>
      </c>
      <c r="D41" s="1" t="str">
        <f>Reporting_currency</f>
        <v>CNY</v>
      </c>
    </row>
    <row r="43" spans="2:6" x14ac:dyDescent="0.15">
      <c r="B43" s="464" t="s">
        <v>205</v>
      </c>
      <c r="C43" s="464"/>
      <c r="D43" s="464"/>
      <c r="E43" s="464"/>
      <c r="F43" s="464"/>
    </row>
    <row r="44" spans="2:6" x14ac:dyDescent="0.15">
      <c r="B44" s="44" t="s">
        <v>267</v>
      </c>
      <c r="C44" s="286">
        <f>Normalized_FCF!C46</f>
        <v>565.84868687385779</v>
      </c>
      <c r="D44" s="1" t="str">
        <f>Reporting_currency</f>
        <v>CNY</v>
      </c>
      <c r="E44" s="244"/>
      <c r="F44" s="244"/>
    </row>
    <row r="45" spans="2:6" x14ac:dyDescent="0.15">
      <c r="B45" s="44" t="s">
        <v>268</v>
      </c>
      <c r="C45" s="286">
        <f>Normalized_FCF!C45</f>
        <v>-4483.5600000000004</v>
      </c>
      <c r="D45" s="1" t="str">
        <f>Reporting_currency</f>
        <v>CNY</v>
      </c>
      <c r="E45" s="244"/>
      <c r="F45" s="244"/>
    </row>
    <row r="46" spans="2:6" x14ac:dyDescent="0.15">
      <c r="B46" s="44" t="s">
        <v>203</v>
      </c>
      <c r="C46" s="285">
        <f>Normalized_FCF!C10</f>
        <v>-3917.7113131261426</v>
      </c>
      <c r="D46" s="1" t="str">
        <f>Reporting_currency</f>
        <v>CNY</v>
      </c>
    </row>
    <row r="48" spans="2:6" x14ac:dyDescent="0.15">
      <c r="B48" s="1" t="s">
        <v>211</v>
      </c>
    </row>
    <row r="49" spans="2:6" x14ac:dyDescent="0.15">
      <c r="B49" s="44" t="s">
        <v>223</v>
      </c>
      <c r="C49" s="285">
        <f>Normalized_FCF!C13</f>
        <v>-3301</v>
      </c>
      <c r="D49" s="1" t="str">
        <f>Reporting_currency</f>
        <v>CNY</v>
      </c>
    </row>
    <row r="51" spans="2:6" x14ac:dyDescent="0.15">
      <c r="B51" s="464" t="s">
        <v>206</v>
      </c>
      <c r="C51" s="464"/>
      <c r="D51" s="464"/>
      <c r="E51" s="464"/>
      <c r="F51" s="464"/>
    </row>
    <row r="52" spans="2:6" x14ac:dyDescent="0.15">
      <c r="B52" s="44" t="s">
        <v>204</v>
      </c>
      <c r="C52" s="285">
        <f>Normalized_FCF!C12</f>
        <v>-8732.8567368259828</v>
      </c>
      <c r="D52" s="1" t="str">
        <f>Reporting_currency</f>
        <v>CNY</v>
      </c>
    </row>
    <row r="54" spans="2:6" x14ac:dyDescent="0.15">
      <c r="B54" s="464" t="s">
        <v>265</v>
      </c>
      <c r="C54" s="465"/>
      <c r="D54" s="465"/>
      <c r="E54" s="465"/>
      <c r="F54" s="465"/>
    </row>
    <row r="55" spans="2:6" x14ac:dyDescent="0.15">
      <c r="B55" s="44" t="s">
        <v>207</v>
      </c>
      <c r="C55" s="285">
        <f>Normalized_FCF!C17</f>
        <v>0</v>
      </c>
      <c r="D55" s="1" t="str">
        <f>Reporting_currency</f>
        <v>CNY</v>
      </c>
    </row>
    <row r="57" spans="2:6" ht="24.5" customHeight="1" x14ac:dyDescent="0.15">
      <c r="B57" s="463" t="s">
        <v>270</v>
      </c>
      <c r="C57" s="463"/>
      <c r="D57" s="463"/>
      <c r="E57" s="463"/>
      <c r="F57" s="463"/>
    </row>
    <row r="58" spans="2:6" ht="24.5" customHeight="1" x14ac:dyDescent="0.15">
      <c r="B58" s="463" t="s">
        <v>282</v>
      </c>
      <c r="C58" s="463"/>
      <c r="D58" s="463"/>
      <c r="E58" s="463"/>
      <c r="F58" s="463"/>
    </row>
    <row r="60" spans="2:6" x14ac:dyDescent="0.15">
      <c r="B60" s="44" t="s">
        <v>227</v>
      </c>
      <c r="C60" s="285">
        <f>Normalized_FCF!G19</f>
        <v>28822</v>
      </c>
      <c r="D60" s="1" t="str">
        <f>Reporting_currency</f>
        <v>CNY</v>
      </c>
    </row>
    <row r="61" spans="2:6" x14ac:dyDescent="0.15">
      <c r="B61" s="44" t="s">
        <v>213</v>
      </c>
      <c r="C61" s="285">
        <f>Normalized_FCF!C19</f>
        <v>22897.570210477948</v>
      </c>
      <c r="D61" s="1" t="str">
        <f>Reporting_currency</f>
        <v>CNY</v>
      </c>
    </row>
    <row r="62" spans="2:6" x14ac:dyDescent="0.15">
      <c r="B62" s="204" t="s">
        <v>302</v>
      </c>
      <c r="C62" s="89">
        <f>Normalized_FCF!C124</f>
        <v>8.3011294104839359E-2</v>
      </c>
      <c r="F62" s="257"/>
    </row>
    <row r="63" spans="2:6" x14ac:dyDescent="0.15">
      <c r="B63" s="204" t="s">
        <v>332</v>
      </c>
      <c r="C63" s="89">
        <f>Normalized_FCF!C92</f>
        <v>3.3815028901734101E-2</v>
      </c>
      <c r="E63" s="44" t="s">
        <v>322</v>
      </c>
      <c r="F63" s="258">
        <f>Normalized_FCF!C90</f>
        <v>0.51217277206029399</v>
      </c>
    </row>
    <row r="65" spans="1:6" x14ac:dyDescent="0.15">
      <c r="B65" s="192" t="s">
        <v>325</v>
      </c>
      <c r="C65" s="264" t="s">
        <v>327</v>
      </c>
      <c r="D65" s="264" t="s">
        <v>328</v>
      </c>
    </row>
    <row r="66" spans="1:6" x14ac:dyDescent="0.15">
      <c r="B66" s="44" t="s">
        <v>326</v>
      </c>
      <c r="C66" s="89">
        <f>Normalized_FCF!E119</f>
        <v>0.15</v>
      </c>
      <c r="D66" s="89">
        <f>Normalized_FCF!G119</f>
        <v>0.12811576111950596</v>
      </c>
    </row>
    <row r="67" spans="1:6" x14ac:dyDescent="0.15">
      <c r="B67" s="229" t="str">
        <f>Normalized_FCF!B116</f>
        <v>Pre-tax Profit/Sales</v>
      </c>
      <c r="C67" s="263">
        <f>Normalized_FCF!E116</f>
        <v>3.9404773307997187E-2</v>
      </c>
      <c r="D67" s="263">
        <f>Normalized_FCF!G116</f>
        <v>3.3655816827304348E-2</v>
      </c>
    </row>
    <row r="68" spans="1:6" x14ac:dyDescent="0.15">
      <c r="B68" s="229" t="str">
        <f>Normalized_FCF!B117</f>
        <v>Sales/Total Assets</v>
      </c>
      <c r="C68" s="265">
        <f>Normalized_FCF!E117</f>
        <v>1.6240671367246462</v>
      </c>
      <c r="D68" s="265">
        <f>Normalized_FCF!G117</f>
        <v>1.6240671367246462</v>
      </c>
    </row>
    <row r="69" spans="1:6" x14ac:dyDescent="0.15">
      <c r="B69" s="229" t="str">
        <f>Normalized_FCF!B118</f>
        <v>Total Assets/Equity</v>
      </c>
      <c r="C69" s="265">
        <f>Normalized_FCF!E118</f>
        <v>2.3438965902371725</v>
      </c>
      <c r="D69" s="265">
        <f>Normalized_FCF!G118</f>
        <v>2.3438965902371725</v>
      </c>
    </row>
    <row r="71" spans="1:6" ht="16" x14ac:dyDescent="0.25">
      <c r="A71" s="200" t="s">
        <v>477</v>
      </c>
      <c r="B71" s="34"/>
      <c r="C71" s="34"/>
      <c r="D71" s="34"/>
      <c r="E71" s="34"/>
      <c r="F71" s="34"/>
    </row>
    <row r="72" spans="1:6" x14ac:dyDescent="0.15">
      <c r="A72" s="191"/>
    </row>
    <row r="73" spans="1:6" x14ac:dyDescent="0.15">
      <c r="A73" s="191"/>
      <c r="B73" s="463" t="s">
        <v>478</v>
      </c>
      <c r="C73" s="463"/>
      <c r="D73" s="463"/>
      <c r="E73" s="463"/>
      <c r="F73" s="463"/>
    </row>
    <row r="74" spans="1:6" x14ac:dyDescent="0.15">
      <c r="A74" s="191"/>
      <c r="B74" s="1" t="s">
        <v>465</v>
      </c>
    </row>
    <row r="75" spans="1:6" x14ac:dyDescent="0.15">
      <c r="A75" s="191"/>
    </row>
    <row r="76" spans="1:6" x14ac:dyDescent="0.15">
      <c r="A76" s="191"/>
      <c r="B76" s="192" t="s">
        <v>195</v>
      </c>
    </row>
    <row r="77" spans="1:6" x14ac:dyDescent="0.15">
      <c r="A77" s="191"/>
      <c r="B77" s="463" t="s">
        <v>271</v>
      </c>
      <c r="C77" s="463"/>
      <c r="D77" s="463"/>
      <c r="E77" s="463"/>
      <c r="F77" s="463"/>
    </row>
    <row r="78" spans="1:6" x14ac:dyDescent="0.15">
      <c r="A78" s="191"/>
      <c r="B78" s="1" t="s">
        <v>215</v>
      </c>
      <c r="C78" s="285">
        <f>DCF!F4</f>
        <v>-112089</v>
      </c>
      <c r="D78" s="1" t="str">
        <f>Reporting_currency</f>
        <v>CNY</v>
      </c>
    </row>
    <row r="79" spans="1:6" x14ac:dyDescent="0.15">
      <c r="A79" s="191"/>
      <c r="B79" s="44" t="s">
        <v>234</v>
      </c>
      <c r="C79" s="201">
        <f>C78*scaling_factor*Exchange_Rate/Common_Shares</f>
        <v>-42.180151291356594</v>
      </c>
      <c r="D79" s="1" t="str">
        <f>Market_currency</f>
        <v>HKD</v>
      </c>
    </row>
    <row r="80" spans="1:6" x14ac:dyDescent="0.15">
      <c r="A80" s="191"/>
      <c r="B80" s="229" t="s">
        <v>309</v>
      </c>
      <c r="C80" s="337">
        <f>IF(BS!G31/BS!G27&gt;300%,"nm",BS!G31/BS!G27)</f>
        <v>0.36820511135930623</v>
      </c>
    </row>
    <row r="81" spans="1:6" x14ac:dyDescent="0.15">
      <c r="A81" s="191"/>
      <c r="B81" s="229" t="s">
        <v>311</v>
      </c>
      <c r="C81" s="338">
        <f>IF(BS!C50&gt;30,"nm",BS!C50)</f>
        <v>2.8852377432054559</v>
      </c>
    </row>
    <row r="82" spans="1:6" x14ac:dyDescent="0.15">
      <c r="A82" s="191"/>
    </row>
    <row r="83" spans="1:6" x14ac:dyDescent="0.15">
      <c r="A83" s="191"/>
      <c r="B83" s="1" t="s">
        <v>466</v>
      </c>
    </row>
    <row r="84" spans="1:6" x14ac:dyDescent="0.15">
      <c r="A84" s="191"/>
      <c r="B84" s="1" t="s">
        <v>224</v>
      </c>
      <c r="C84" s="285">
        <f>DCF!F5</f>
        <v>31026.885521023709</v>
      </c>
      <c r="D84" s="1" t="str">
        <f>Reporting_currency</f>
        <v>CNY</v>
      </c>
    </row>
    <row r="85" spans="1:6" x14ac:dyDescent="0.15">
      <c r="A85" s="191"/>
      <c r="B85" s="229" t="s">
        <v>222</v>
      </c>
      <c r="C85" s="291">
        <f>BS!C66</f>
        <v>125335</v>
      </c>
      <c r="D85" s="339" t="str">
        <f>Reporting_currency</f>
        <v>CNY</v>
      </c>
    </row>
    <row r="86" spans="1:6" x14ac:dyDescent="0.15">
      <c r="A86" s="191"/>
      <c r="B86" s="44" t="s">
        <v>235</v>
      </c>
      <c r="C86" s="201">
        <f>C84*scaling_factor*Exchange_Rate/Common_Shares</f>
        <v>11.675710599402095</v>
      </c>
      <c r="D86" s="1" t="str">
        <f>Market_currency</f>
        <v>HKD</v>
      </c>
    </row>
    <row r="87" spans="1:6" x14ac:dyDescent="0.15">
      <c r="A87" s="191"/>
    </row>
    <row r="88" spans="1:6" x14ac:dyDescent="0.15">
      <c r="A88" s="191"/>
      <c r="B88" s="1" t="s">
        <v>216</v>
      </c>
    </row>
    <row r="89" spans="1:6" x14ac:dyDescent="0.15">
      <c r="A89" s="191"/>
      <c r="B89" s="1" t="s">
        <v>217</v>
      </c>
      <c r="C89" s="285">
        <f>DCF!F6</f>
        <v>98531.7</v>
      </c>
      <c r="D89" s="1" t="str">
        <f>Reporting_currency</f>
        <v>CNY</v>
      </c>
    </row>
    <row r="90" spans="1:6" x14ac:dyDescent="0.15">
      <c r="A90" s="191"/>
      <c r="B90" s="44" t="s">
        <v>236</v>
      </c>
      <c r="C90" s="201">
        <f>C89*scaling_factor*Exchange_Rate/Common_Shares</f>
        <v>37.078411021550387</v>
      </c>
      <c r="D90" s="1" t="str">
        <f>Market_currency</f>
        <v>HKD</v>
      </c>
    </row>
    <row r="91" spans="1:6" x14ac:dyDescent="0.15">
      <c r="A91" s="191"/>
    </row>
    <row r="92" spans="1:6" x14ac:dyDescent="0.15">
      <c r="A92" s="191"/>
      <c r="B92" s="44" t="s">
        <v>469</v>
      </c>
      <c r="C92" s="216">
        <f>DCF!F8</f>
        <v>6.5739703295958796</v>
      </c>
      <c r="D92" s="44" t="str">
        <f>Market_currency</f>
        <v>HKD</v>
      </c>
    </row>
    <row r="94" spans="1:6" ht="16" x14ac:dyDescent="0.25">
      <c r="A94" s="200" t="s">
        <v>470</v>
      </c>
      <c r="B94" s="34"/>
      <c r="C94" s="34"/>
      <c r="D94" s="34"/>
      <c r="E94" s="34"/>
      <c r="F94" s="34"/>
    </row>
    <row r="95" spans="1:6" x14ac:dyDescent="0.15">
      <c r="A95" s="191"/>
    </row>
    <row r="96" spans="1:6" ht="11.75" customHeight="1" x14ac:dyDescent="0.15">
      <c r="B96" s="463" t="s">
        <v>485</v>
      </c>
      <c r="C96" s="463"/>
      <c r="D96" s="463"/>
      <c r="E96" s="463"/>
      <c r="F96" s="463"/>
    </row>
    <row r="97" spans="2:6" x14ac:dyDescent="0.15">
      <c r="B97" s="467" t="s">
        <v>484</v>
      </c>
      <c r="C97" s="467"/>
      <c r="D97" s="467"/>
      <c r="E97" s="467"/>
      <c r="F97" s="467"/>
    </row>
    <row r="98" spans="2:6" x14ac:dyDescent="0.15">
      <c r="B98" s="467" t="s">
        <v>483</v>
      </c>
      <c r="C98" s="467"/>
      <c r="D98" s="467"/>
      <c r="E98" s="467"/>
      <c r="F98" s="467"/>
    </row>
    <row r="100" spans="2:6" x14ac:dyDescent="0.15">
      <c r="B100" s="192" t="s">
        <v>195</v>
      </c>
    </row>
    <row r="101" spans="2:6" x14ac:dyDescent="0.15">
      <c r="B101" s="49" t="s">
        <v>467</v>
      </c>
      <c r="C101" s="211">
        <f>E25+C103</f>
        <v>7.2499999999999995E-2</v>
      </c>
    </row>
    <row r="102" spans="2:6" x14ac:dyDescent="0.15">
      <c r="B102" s="229" t="s">
        <v>318</v>
      </c>
      <c r="C102" s="263">
        <f>E25</f>
        <v>7.2499999999999995E-2</v>
      </c>
    </row>
    <row r="103" spans="2:6" x14ac:dyDescent="0.15">
      <c r="B103" s="229" t="s">
        <v>317</v>
      </c>
      <c r="C103" s="263">
        <f>IF(C15="Y",1%,0)+IF(C16="Y",1%,0)</f>
        <v>0</v>
      </c>
    </row>
    <row r="104" spans="2:6" x14ac:dyDescent="0.15">
      <c r="B104" s="44" t="s">
        <v>214</v>
      </c>
      <c r="C104" s="211">
        <f>Terminal_Growth</f>
        <v>0.02</v>
      </c>
    </row>
    <row r="106" spans="2:6" x14ac:dyDescent="0.15">
      <c r="B106" s="250" t="s">
        <v>281</v>
      </c>
      <c r="C106" s="116"/>
    </row>
    <row r="107" spans="2:6" x14ac:dyDescent="0.15">
      <c r="B107" s="463" t="s">
        <v>283</v>
      </c>
      <c r="C107" s="463"/>
      <c r="D107" s="463"/>
      <c r="E107" s="463"/>
      <c r="F107" s="463"/>
    </row>
    <row r="108" spans="2:6" x14ac:dyDescent="0.15">
      <c r="B108" s="463" t="s">
        <v>284</v>
      </c>
      <c r="C108" s="463"/>
      <c r="D108" s="463"/>
      <c r="E108" s="463"/>
      <c r="F108" s="463"/>
    </row>
    <row r="110" spans="2:6" x14ac:dyDescent="0.15">
      <c r="B110" s="192" t="s">
        <v>487</v>
      </c>
    </row>
    <row r="111" spans="2:6" x14ac:dyDescent="0.15">
      <c r="B111" s="49" t="s">
        <v>468</v>
      </c>
      <c r="C111" s="216">
        <f>BS!D47</f>
        <v>-65.299983728895668</v>
      </c>
      <c r="D111" s="1" t="str">
        <f>Market_currency</f>
        <v>HKD</v>
      </c>
    </row>
    <row r="112" spans="2:6" x14ac:dyDescent="0.15">
      <c r="B112" s="44" t="s">
        <v>323</v>
      </c>
      <c r="C112" s="216">
        <f>DCF!C11</f>
        <v>173.98166127519536</v>
      </c>
      <c r="D112" s="1" t="str">
        <f>Market_currency</f>
        <v>HKD</v>
      </c>
    </row>
    <row r="114" spans="2:6" ht="24.5" customHeight="1" x14ac:dyDescent="0.15">
      <c r="B114" s="463" t="s">
        <v>491</v>
      </c>
      <c r="C114" s="463"/>
      <c r="D114" s="463"/>
      <c r="E114" s="463"/>
      <c r="F114" s="463"/>
    </row>
    <row r="116" spans="2:6" x14ac:dyDescent="0.15">
      <c r="B116" s="192" t="s">
        <v>488</v>
      </c>
    </row>
    <row r="117" spans="2:6" ht="14" x14ac:dyDescent="0.2">
      <c r="B117" s="342" t="s">
        <v>101</v>
      </c>
      <c r="C117" s="342" t="s">
        <v>110</v>
      </c>
      <c r="D117" s="342" t="s">
        <v>219</v>
      </c>
      <c r="E117" s="342" t="s">
        <v>124</v>
      </c>
      <c r="F117" s="342" t="s">
        <v>545</v>
      </c>
    </row>
    <row r="118" spans="2:6" x14ac:dyDescent="0.15">
      <c r="B118" s="205" t="str">
        <f>DCF!B90&amp;" ("&amp;DCF!D90&amp;"yrs)"</f>
        <v>Snowball Scenario (10yrs)</v>
      </c>
      <c r="C118" s="206">
        <f>DCF!C90</f>
        <v>0.05</v>
      </c>
      <c r="D118" s="207" t="str">
        <f>ROUND(DCF!E90,2)&amp;" "&amp;Market_currency</f>
        <v>231.45 HKD</v>
      </c>
      <c r="E118" s="208">
        <f>DCF!F90</f>
        <v>0.15</v>
      </c>
      <c r="F118" s="208">
        <f>RATE(Holding_Period,Scenarios!C$58,-DCF!E90,C$18)</f>
        <v>-4.7838899145048276E-2</v>
      </c>
    </row>
    <row r="119" spans="2:6" x14ac:dyDescent="0.15">
      <c r="B119" s="205" t="str">
        <f>DCF!B91&amp;" ("&amp;DCF!D91&amp;"yrs)"</f>
        <v>Optimistic (10yrs)</v>
      </c>
      <c r="C119" s="198">
        <f>DCF!C91</f>
        <v>0.03</v>
      </c>
      <c r="D119" s="207" t="str">
        <f>ROUND(DCF!E91,2)&amp;" "&amp;Market_currency</f>
        <v>198.83 HKD</v>
      </c>
      <c r="E119" s="199">
        <f>DCF!F91</f>
        <v>0.15999999999999995</v>
      </c>
      <c r="F119" s="208">
        <f>RATE(Holding_Period,Scenarios!C$58,-DCF!E91,C$18)</f>
        <v>2.4914009688719284E-3</v>
      </c>
    </row>
    <row r="120" spans="2:6" x14ac:dyDescent="0.15">
      <c r="B120" s="205" t="str">
        <f>DCF!B92&amp;" ("&amp;DCF!D92&amp;"yrs)"</f>
        <v>Base (10yrs)</v>
      </c>
      <c r="C120" s="198">
        <f>DCF!C92</f>
        <v>0.02</v>
      </c>
      <c r="D120" s="207" t="str">
        <f>ROUND(DCF!E92,2)&amp;" "&amp;Market_currency</f>
        <v>184.34 HKD</v>
      </c>
      <c r="E120" s="199">
        <f>DCF!F92</f>
        <v>0.44</v>
      </c>
      <c r="F120" s="208">
        <f>RATE(Holding_Period,Scenarios!C$58,-DCF!E92,C$18)</f>
        <v>2.8566496019313072E-2</v>
      </c>
    </row>
    <row r="121" spans="2:6" x14ac:dyDescent="0.15">
      <c r="B121" s="205" t="str">
        <f>DCF!B93&amp;" ("&amp;DCF!D93&amp;"yrs)"</f>
        <v>Pessimistic (10yrs)</v>
      </c>
      <c r="C121" s="198">
        <f>DCF!C93</f>
        <v>0.01</v>
      </c>
      <c r="D121" s="207" t="str">
        <f>ROUND(DCF!E93,2)&amp;" "&amp;Market_currency</f>
        <v>170.95 HKD</v>
      </c>
      <c r="E121" s="199">
        <f>DCF!F93</f>
        <v>0.19999999999999998</v>
      </c>
      <c r="F121" s="208">
        <f>RATE(Holding_Period,Scenarios!C$58,-DCF!E93,C$18)</f>
        <v>5.5243319661748662E-2</v>
      </c>
    </row>
    <row r="122" spans="2:6" x14ac:dyDescent="0.15">
      <c r="B122" s="205" t="str">
        <f>DCF!B94&amp;" ("&amp;DCF!D94&amp;"yrs)"</f>
        <v>Devil's advocate (10yrs)</v>
      </c>
      <c r="C122" s="198">
        <f>DCF!C94</f>
        <v>0</v>
      </c>
      <c r="D122" s="207" t="str">
        <f>ROUND(DCF!E94,2)&amp;" "&amp;Market_currency</f>
        <v>158.59 HKD</v>
      </c>
      <c r="E122" s="199">
        <f>DCF!F94</f>
        <v>0.05</v>
      </c>
      <c r="F122" s="208">
        <f>RATE(Holding_Period,Scenarios!C$58,-DCF!E94,C$18)</f>
        <v>8.2515145044167307E-2</v>
      </c>
    </row>
    <row r="124" spans="2:6" x14ac:dyDescent="0.15">
      <c r="B124" s="464" t="s">
        <v>357</v>
      </c>
      <c r="C124" s="464"/>
      <c r="D124" s="464"/>
      <c r="E124" s="464"/>
      <c r="F124" s="464"/>
    </row>
    <row r="125" spans="2:6" x14ac:dyDescent="0.15">
      <c r="B125" s="193" t="s">
        <v>218</v>
      </c>
      <c r="C125" s="197">
        <f>Scenarios!C36</f>
        <v>189.75850798139936</v>
      </c>
      <c r="D125" s="194" t="str">
        <f>Market_currency</f>
        <v>HKD</v>
      </c>
    </row>
    <row r="127" spans="2:6" ht="24.5" customHeight="1" x14ac:dyDescent="0.15">
      <c r="B127" s="466" t="s">
        <v>358</v>
      </c>
      <c r="C127" s="466"/>
      <c r="D127" s="466"/>
      <c r="E127" s="466"/>
      <c r="F127" s="466"/>
    </row>
    <row r="129" spans="1:6" ht="16" x14ac:dyDescent="0.25">
      <c r="A129" s="200" t="s">
        <v>474</v>
      </c>
      <c r="B129" s="34"/>
      <c r="C129" s="34"/>
      <c r="D129" s="34"/>
      <c r="E129" s="34"/>
      <c r="F129" s="34"/>
    </row>
    <row r="131" spans="1:6" x14ac:dyDescent="0.15">
      <c r="B131" s="468" t="s">
        <v>285</v>
      </c>
      <c r="C131" s="468"/>
      <c r="D131" s="468"/>
      <c r="E131" s="468"/>
      <c r="F131" s="468"/>
    </row>
    <row r="132" spans="1:6" x14ac:dyDescent="0.15">
      <c r="B132" s="463" t="s">
        <v>359</v>
      </c>
      <c r="C132" s="463"/>
      <c r="D132" s="463"/>
      <c r="E132" s="463"/>
      <c r="F132" s="463"/>
    </row>
    <row r="134" spans="1:6" x14ac:dyDescent="0.15">
      <c r="B134" s="192" t="s">
        <v>195</v>
      </c>
    </row>
    <row r="135" spans="1:6" x14ac:dyDescent="0.15">
      <c r="B135" s="1" t="s">
        <v>221</v>
      </c>
      <c r="C135" s="202">
        <f>E21</f>
        <v>3</v>
      </c>
    </row>
    <row r="136" spans="1:6" x14ac:dyDescent="0.15">
      <c r="B136" s="194" t="s">
        <v>220</v>
      </c>
      <c r="C136" s="195">
        <f>Scenarios!C58</f>
        <v>3.51</v>
      </c>
      <c r="D136" s="194" t="str">
        <f>Market_currency</f>
        <v>HKD</v>
      </c>
    </row>
    <row r="138" spans="1:6" x14ac:dyDescent="0.15">
      <c r="B138" s="192" t="s">
        <v>494</v>
      </c>
      <c r="C138" s="214"/>
      <c r="D138" s="215"/>
    </row>
    <row r="139" spans="1:6" ht="14" x14ac:dyDescent="0.2">
      <c r="B139" s="340" t="s">
        <v>462</v>
      </c>
      <c r="C139" s="340" t="str">
        <f>"PV("&amp;Holding_Period&amp;" yrs of Dividends)"</f>
        <v>PV(3 yrs of Dividends)</v>
      </c>
      <c r="D139" s="340" t="s">
        <v>471</v>
      </c>
      <c r="E139" s="341" t="str">
        <f>"Buy below ("&amp;Market_currency&amp;")"</f>
        <v>Buy below (HKD)</v>
      </c>
      <c r="F139" s="341" t="s">
        <v>472</v>
      </c>
    </row>
    <row r="140" spans="1:6" x14ac:dyDescent="0.15">
      <c r="B140" s="336" t="s">
        <v>312</v>
      </c>
      <c r="C140" s="333">
        <f>Scenarios!C62</f>
        <v>6.4227790321465186</v>
      </c>
      <c r="D140" s="333">
        <f>Scenarios!D62</f>
        <v>87.446317042119546</v>
      </c>
      <c r="E140" s="334">
        <f>Scenarios!E62</f>
        <v>93.869096074266068</v>
      </c>
      <c r="F140" s="335">
        <f>E22</f>
        <v>0.29465259038036606</v>
      </c>
    </row>
    <row r="141" spans="1:6" x14ac:dyDescent="0.15">
      <c r="B141" s="336" t="s">
        <v>313</v>
      </c>
      <c r="C141" s="333">
        <f>Scenarios!C63</f>
        <v>7.3850538549144646</v>
      </c>
      <c r="D141" s="333">
        <f>Scenarios!D63</f>
        <v>109.60780244412965</v>
      </c>
      <c r="E141" s="334">
        <f>Scenarios!E63</f>
        <v>116.99285629904411</v>
      </c>
      <c r="F141" s="335">
        <f>Scenarios!F63</f>
        <v>0.20075184365903009</v>
      </c>
    </row>
    <row r="142" spans="1:6" x14ac:dyDescent="0.15">
      <c r="B142" s="194"/>
      <c r="C142" s="194"/>
      <c r="D142" s="194"/>
      <c r="E142" s="194"/>
      <c r="F142" s="194"/>
    </row>
    <row r="143" spans="1:6" ht="14" x14ac:dyDescent="0.2">
      <c r="B143" s="340" t="s">
        <v>463</v>
      </c>
      <c r="C143" s="340" t="str">
        <f>"PV("&amp;Holding_Period&amp;" yrs of Dividends)"</f>
        <v>PV(3 yrs of Dividends)</v>
      </c>
      <c r="D143" s="340" t="s">
        <v>471</v>
      </c>
      <c r="E143" s="341" t="str">
        <f>"Sell above ("&amp;Market_currency&amp;")"</f>
        <v>Sell above (HKD)</v>
      </c>
      <c r="F143" s="341" t="s">
        <v>472</v>
      </c>
    </row>
    <row r="144" spans="1:6" x14ac:dyDescent="0.15">
      <c r="B144" s="336" t="s">
        <v>315</v>
      </c>
      <c r="C144" s="333">
        <f>Scenarios!C66</f>
        <v>8.4682369720446573</v>
      </c>
      <c r="D144" s="333">
        <f>Scenarios!D66</f>
        <v>136.01138275865037</v>
      </c>
      <c r="E144" s="334">
        <f>Scenarios!E66</f>
        <v>144.47961973069502</v>
      </c>
      <c r="F144" s="335">
        <f>E24</f>
        <v>0.1174</v>
      </c>
    </row>
    <row r="145" spans="1:6" x14ac:dyDescent="0.15">
      <c r="B145" s="336" t="s">
        <v>314</v>
      </c>
      <c r="C145" s="333">
        <f>Scenarios!C67</f>
        <v>9.1694370473772864</v>
      </c>
      <c r="D145" s="333">
        <f>Scenarios!D67</f>
        <v>153.81877714019512</v>
      </c>
      <c r="E145" s="334">
        <f>Scenarios!E67</f>
        <v>162.9882141875724</v>
      </c>
      <c r="F145" s="335">
        <f>Scenarios!F67</f>
        <v>7.2499999999999995E-2</v>
      </c>
    </row>
    <row r="147" spans="1:6" ht="16" x14ac:dyDescent="0.25">
      <c r="A147" s="200" t="s">
        <v>475</v>
      </c>
      <c r="B147" s="34"/>
      <c r="C147" s="34"/>
      <c r="D147" s="34"/>
      <c r="E147" s="34"/>
      <c r="F147" s="34"/>
    </row>
    <row r="149" spans="1:6" x14ac:dyDescent="0.15">
      <c r="B149" s="462" t="s">
        <v>360</v>
      </c>
      <c r="C149" s="463"/>
      <c r="D149" s="463"/>
      <c r="E149" s="463"/>
      <c r="F149" s="463"/>
    </row>
    <row r="151" spans="1:6" x14ac:dyDescent="0.15">
      <c r="B151" s="192" t="s">
        <v>289</v>
      </c>
    </row>
    <row r="152" spans="1:6" x14ac:dyDescent="0.15">
      <c r="B152" s="465" t="s">
        <v>293</v>
      </c>
      <c r="C152" s="465"/>
      <c r="D152" s="465"/>
      <c r="E152" s="465"/>
      <c r="F152" s="465"/>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4" t="s">
        <v>438</v>
      </c>
      <c r="C158" s="464"/>
      <c r="D158" s="464"/>
      <c r="E158" s="464"/>
      <c r="F158" s="464"/>
    </row>
    <row r="160" spans="1:6" x14ac:dyDescent="0.15">
      <c r="B160" s="1" t="s">
        <v>297</v>
      </c>
    </row>
    <row r="161" spans="2:6" ht="24.5" customHeight="1" x14ac:dyDescent="0.15">
      <c r="B161" s="461" t="s">
        <v>294</v>
      </c>
      <c r="C161" s="461"/>
      <c r="D161" s="461"/>
      <c r="E161" s="461"/>
      <c r="F161" s="461"/>
    </row>
    <row r="162" spans="2:6" ht="24.5" customHeight="1" x14ac:dyDescent="0.15">
      <c r="B162" s="461" t="s">
        <v>295</v>
      </c>
      <c r="C162" s="461"/>
      <c r="D162" s="461"/>
      <c r="E162" s="461"/>
      <c r="F162" s="461"/>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39" sqref="C3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1000000</v>
      </c>
    </row>
    <row r="4" spans="2:13" x14ac:dyDescent="0.15">
      <c r="B4" s="31" t="s">
        <v>0</v>
      </c>
      <c r="C4" s="287">
        <v>1158819</v>
      </c>
      <c r="D4" s="287">
        <v>1084662</v>
      </c>
      <c r="E4" s="287">
        <v>1046236</v>
      </c>
      <c r="F4" s="287">
        <v>951592</v>
      </c>
      <c r="G4" s="287">
        <v>745802</v>
      </c>
      <c r="H4" s="287"/>
      <c r="I4" s="287"/>
      <c r="J4" s="287"/>
      <c r="K4" s="287"/>
      <c r="L4" s="287"/>
      <c r="M4" s="287"/>
    </row>
    <row r="5" spans="2:13" x14ac:dyDescent="0.15">
      <c r="B5" s="38" t="s">
        <v>40</v>
      </c>
      <c r="C5" s="287">
        <v>974951</v>
      </c>
      <c r="D5" s="287">
        <v>924958</v>
      </c>
      <c r="E5" s="287">
        <v>899163</v>
      </c>
      <c r="F5" s="287">
        <v>822526</v>
      </c>
      <c r="G5" s="287">
        <v>636694</v>
      </c>
      <c r="H5" s="287"/>
      <c r="I5" s="287"/>
      <c r="J5" s="287"/>
      <c r="K5" s="287"/>
      <c r="L5" s="287"/>
      <c r="M5" s="287"/>
    </row>
    <row r="6" spans="2:13" x14ac:dyDescent="0.15">
      <c r="B6" s="38" t="s">
        <v>51</v>
      </c>
      <c r="C6" s="287">
        <f>70426+8888+C7</f>
        <v>127267</v>
      </c>
      <c r="D6" s="287">
        <f>64558+9710+D7</f>
        <v>114401</v>
      </c>
      <c r="E6" s="287">
        <f>63011+11053+E7</f>
        <v>111836</v>
      </c>
      <c r="F6" s="287">
        <f>59055+11562+F7</f>
        <v>109360</v>
      </c>
      <c r="G6" s="287">
        <f>48700+6409+G7</f>
        <v>82265</v>
      </c>
      <c r="H6" s="287"/>
      <c r="I6" s="287"/>
      <c r="J6" s="287"/>
      <c r="K6" s="287"/>
      <c r="L6" s="287"/>
      <c r="M6" s="287"/>
    </row>
    <row r="7" spans="2:13" x14ac:dyDescent="0.15">
      <c r="B7" s="66" t="s">
        <v>58</v>
      </c>
      <c r="C7" s="288">
        <v>47953</v>
      </c>
      <c r="D7" s="288">
        <v>40133</v>
      </c>
      <c r="E7" s="288">
        <v>37772</v>
      </c>
      <c r="F7" s="288">
        <v>38743</v>
      </c>
      <c r="G7" s="288">
        <v>27156</v>
      </c>
      <c r="H7" s="288"/>
      <c r="I7" s="288"/>
      <c r="J7" s="288"/>
      <c r="K7" s="288"/>
      <c r="L7" s="288"/>
      <c r="M7" s="288"/>
    </row>
    <row r="8" spans="2:13" x14ac:dyDescent="0.15">
      <c r="B8" s="38" t="s">
        <v>46</v>
      </c>
      <c r="C8" s="287">
        <v>17031</v>
      </c>
      <c r="D8" s="287">
        <v>16393</v>
      </c>
      <c r="E8" s="287">
        <v>16893</v>
      </c>
      <c r="F8" s="287">
        <v>11562</v>
      </c>
      <c r="G8" s="287">
        <v>16149</v>
      </c>
      <c r="H8" s="287"/>
      <c r="I8" s="287"/>
      <c r="J8" s="287"/>
      <c r="K8" s="287"/>
      <c r="L8" s="287"/>
      <c r="M8" s="287"/>
    </row>
    <row r="9" spans="2:13" x14ac:dyDescent="0.15">
      <c r="B9" s="38" t="s">
        <v>134</v>
      </c>
      <c r="C9" s="287">
        <v>2327</v>
      </c>
      <c r="D9" s="287">
        <v>1010</v>
      </c>
      <c r="E9" s="287">
        <v>-2195</v>
      </c>
      <c r="F9" s="287">
        <v>-4918</v>
      </c>
      <c r="G9" s="287">
        <v>4291</v>
      </c>
      <c r="H9" s="287"/>
      <c r="I9" s="287"/>
      <c r="J9" s="287"/>
      <c r="K9" s="287"/>
      <c r="L9" s="287"/>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2896</v>
      </c>
      <c r="D12" s="287">
        <v>2881</v>
      </c>
      <c r="E12" s="287">
        <v>2106</v>
      </c>
      <c r="F12" s="287">
        <v>1213</v>
      </c>
      <c r="G12" s="287">
        <v>1125</v>
      </c>
      <c r="H12" s="287"/>
      <c r="I12" s="287"/>
      <c r="J12" s="287"/>
      <c r="K12" s="287"/>
      <c r="L12" s="287"/>
      <c r="M12" s="287"/>
    </row>
    <row r="13" spans="2:13" x14ac:dyDescent="0.15">
      <c r="B13" s="38" t="s">
        <v>64</v>
      </c>
      <c r="C13" s="287"/>
      <c r="D13" s="287"/>
      <c r="E13" s="287"/>
      <c r="F13" s="287"/>
      <c r="G13" s="287"/>
      <c r="H13" s="287"/>
      <c r="I13" s="287"/>
      <c r="J13" s="287"/>
      <c r="K13" s="287"/>
      <c r="L13" s="287"/>
      <c r="M13" s="287"/>
    </row>
    <row r="14" spans="2:13" x14ac:dyDescent="0.15">
      <c r="B14" s="38" t="s">
        <v>47</v>
      </c>
      <c r="C14" s="287">
        <v>6878</v>
      </c>
      <c r="D14" s="287">
        <v>8393</v>
      </c>
      <c r="E14" s="287">
        <v>4176</v>
      </c>
      <c r="F14" s="287">
        <v>1887</v>
      </c>
      <c r="G14" s="287">
        <v>1482</v>
      </c>
      <c r="H14" s="287"/>
      <c r="I14" s="287"/>
      <c r="J14" s="287"/>
      <c r="K14" s="287"/>
      <c r="L14" s="287"/>
      <c r="M14" s="287"/>
    </row>
    <row r="15" spans="2:13" x14ac:dyDescent="0.15">
      <c r="B15" s="41" t="s">
        <v>39</v>
      </c>
      <c r="C15" s="289">
        <v>44660</v>
      </c>
      <c r="D15" s="289">
        <v>23257</v>
      </c>
      <c r="E15" s="289">
        <v>9691</v>
      </c>
      <c r="F15" s="289">
        <v>-4467</v>
      </c>
      <c r="G15" s="289">
        <v>49337</v>
      </c>
      <c r="H15" s="289"/>
      <c r="I15" s="289"/>
      <c r="J15" s="289"/>
      <c r="K15" s="289"/>
      <c r="L15" s="289"/>
      <c r="M15" s="289"/>
    </row>
    <row r="16" spans="2:13" x14ac:dyDescent="0.15">
      <c r="B16" s="27" t="s">
        <v>41</v>
      </c>
      <c r="C16" s="287">
        <v>3301</v>
      </c>
      <c r="D16" s="287">
        <v>-910</v>
      </c>
      <c r="E16" s="287">
        <v>-697</v>
      </c>
      <c r="F16" s="287">
        <v>-923</v>
      </c>
      <c r="G16" s="287">
        <v>-75</v>
      </c>
      <c r="H16" s="287"/>
      <c r="I16" s="287"/>
      <c r="J16" s="287"/>
      <c r="K16" s="287"/>
      <c r="L16" s="287"/>
      <c r="M16" s="287"/>
    </row>
    <row r="18" spans="2:13" x14ac:dyDescent="0.15">
      <c r="B18" s="16" t="s">
        <v>48</v>
      </c>
      <c r="C18" s="9"/>
    </row>
    <row r="19" spans="2:13" ht="13" x14ac:dyDescent="0.15">
      <c r="B19" s="26" t="s">
        <v>44</v>
      </c>
      <c r="C19" s="287">
        <v>8904</v>
      </c>
      <c r="D19" s="287">
        <v>8292</v>
      </c>
      <c r="E19" s="287">
        <v>7236</v>
      </c>
      <c r="F19" s="287"/>
      <c r="G19" s="287"/>
      <c r="H19" s="287"/>
      <c r="I19" s="287"/>
      <c r="J19" s="287"/>
      <c r="K19" s="287"/>
      <c r="L19" s="287"/>
      <c r="M19" s="287"/>
    </row>
    <row r="20" spans="2:13" ht="13" x14ac:dyDescent="0.15">
      <c r="B20" s="26" t="s">
        <v>50</v>
      </c>
      <c r="C20" s="287"/>
      <c r="D20" s="287"/>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58095</v>
      </c>
      <c r="D22" s="287">
        <v>59521</v>
      </c>
      <c r="E22" s="287">
        <v>57819</v>
      </c>
      <c r="F22" s="287">
        <v>42301</v>
      </c>
      <c r="G22" s="287"/>
      <c r="H22" s="287"/>
      <c r="I22" s="287"/>
      <c r="J22" s="287"/>
      <c r="K22" s="287"/>
      <c r="L22" s="287"/>
      <c r="M22" s="287"/>
    </row>
    <row r="23" spans="2:13" ht="13" x14ac:dyDescent="0.15">
      <c r="B23" s="26" t="s">
        <v>288</v>
      </c>
      <c r="C23" s="287">
        <v>-871</v>
      </c>
      <c r="D23" s="287">
        <v>-59543</v>
      </c>
      <c r="E23" s="287">
        <v>-54026</v>
      </c>
      <c r="F23" s="287">
        <v>-74248</v>
      </c>
      <c r="G23" s="287"/>
      <c r="H23" s="287"/>
      <c r="I23" s="287"/>
      <c r="J23" s="287"/>
      <c r="K23" s="287"/>
      <c r="L23" s="287"/>
      <c r="M23" s="287"/>
    </row>
    <row r="24" spans="2:13" ht="13" x14ac:dyDescent="0.15">
      <c r="B24" s="26" t="s">
        <v>287</v>
      </c>
      <c r="C24" s="287">
        <v>-21004</v>
      </c>
      <c r="D24" s="287">
        <v>-5808</v>
      </c>
      <c r="E24" s="287">
        <v>1180</v>
      </c>
      <c r="F24" s="287">
        <v>19503</v>
      </c>
      <c r="G24" s="287"/>
      <c r="H24" s="287"/>
      <c r="I24" s="287"/>
      <c r="J24" s="287"/>
      <c r="K24" s="287"/>
      <c r="L24" s="287"/>
      <c r="M24" s="287"/>
    </row>
    <row r="25" spans="2:13" x14ac:dyDescent="0.15">
      <c r="B25" s="23" t="str">
        <f>"Dividend per share ("&amp;Market_currency&amp;")"</f>
        <v>Dividend per share (HKD)</v>
      </c>
      <c r="C25" s="37">
        <f>0.5*7.8</f>
        <v>3.9</v>
      </c>
      <c r="D25" s="37">
        <f>0.38*7.8</f>
        <v>2.964</v>
      </c>
      <c r="E25" s="37">
        <f>0.31*7.8</f>
        <v>2.4180000000000001</v>
      </c>
      <c r="F25" s="37">
        <v>0</v>
      </c>
      <c r="G25" s="37"/>
      <c r="H25" s="37"/>
      <c r="I25" s="37"/>
      <c r="J25" s="37"/>
      <c r="K25" s="37"/>
      <c r="L25" s="37"/>
      <c r="M25" s="37"/>
    </row>
    <row r="27" spans="2:13" x14ac:dyDescent="0.15">
      <c r="B27" s="16" t="s">
        <v>26</v>
      </c>
      <c r="C27" s="94" t="s">
        <v>547</v>
      </c>
    </row>
    <row r="28" spans="2:13" ht="13" x14ac:dyDescent="0.15">
      <c r="B28" s="25" t="s">
        <v>22</v>
      </c>
      <c r="C28" s="270">
        <f>BS!C4</f>
        <v>41491</v>
      </c>
      <c r="D28" s="287">
        <f>20302+2114</f>
        <v>22416</v>
      </c>
      <c r="E28" s="287">
        <v>205760</v>
      </c>
      <c r="F28" s="287">
        <v>11900</v>
      </c>
      <c r="G28" s="287"/>
      <c r="H28" s="287"/>
      <c r="I28" s="287"/>
      <c r="J28" s="287"/>
      <c r="K28" s="287"/>
      <c r="L28" s="287"/>
      <c r="M28" s="287"/>
    </row>
    <row r="29" spans="2:13" ht="13" x14ac:dyDescent="0.15">
      <c r="B29" s="25" t="s">
        <v>30</v>
      </c>
      <c r="C29" s="270">
        <f>BS!C6</f>
        <v>100999</v>
      </c>
      <c r="D29" s="287">
        <v>68058</v>
      </c>
      <c r="E29" s="287">
        <v>77949</v>
      </c>
      <c r="F29" s="287">
        <v>75601</v>
      </c>
      <c r="G29" s="287"/>
      <c r="H29" s="287"/>
      <c r="I29" s="287"/>
      <c r="J29" s="287"/>
      <c r="K29" s="287"/>
      <c r="L29" s="287"/>
      <c r="M29" s="287"/>
    </row>
    <row r="30" spans="2:13" ht="13" x14ac:dyDescent="0.15">
      <c r="B30" s="28" t="s">
        <v>38</v>
      </c>
      <c r="C30" s="271">
        <f>BS!C33+BS!C42</f>
        <v>409109</v>
      </c>
      <c r="D30" s="289">
        <v>332578</v>
      </c>
      <c r="E30" s="289">
        <f>266561+54566</f>
        <v>321127</v>
      </c>
      <c r="F30" s="289">
        <f>221636+28087</f>
        <v>249723</v>
      </c>
      <c r="G30" s="289"/>
      <c r="H30" s="289"/>
      <c r="I30" s="289"/>
      <c r="J30" s="289"/>
      <c r="K30" s="289"/>
      <c r="L30" s="289"/>
      <c r="M30" s="289"/>
    </row>
    <row r="31" spans="2:13" ht="13" x14ac:dyDescent="0.15">
      <c r="B31" s="28" t="s">
        <v>28</v>
      </c>
      <c r="C31" s="271">
        <f>BS!G27</f>
        <v>304420</v>
      </c>
      <c r="D31" s="289">
        <v>295766</v>
      </c>
      <c r="E31" s="289">
        <v>274123</v>
      </c>
      <c r="F31" s="289">
        <v>246784</v>
      </c>
      <c r="G31" s="289"/>
      <c r="H31" s="289"/>
      <c r="I31" s="289"/>
      <c r="J31" s="289"/>
      <c r="K31" s="289"/>
      <c r="L31" s="289"/>
      <c r="M31" s="289"/>
    </row>
    <row r="32" spans="2:13" ht="13" x14ac:dyDescent="0.15">
      <c r="B32" s="25" t="s">
        <v>143</v>
      </c>
      <c r="C32" s="270">
        <f>BS!G28</f>
        <v>72487</v>
      </c>
      <c r="D32" s="287">
        <v>63908</v>
      </c>
      <c r="E32" s="460">
        <v>60167</v>
      </c>
      <c r="F32" s="287">
        <v>36661</v>
      </c>
      <c r="G32" s="287"/>
      <c r="H32" s="287"/>
      <c r="I32" s="287"/>
      <c r="J32" s="287"/>
      <c r="K32" s="287"/>
      <c r="L32" s="287"/>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1158819</v>
      </c>
      <c r="D36" s="270">
        <f t="shared" si="1"/>
        <v>1084662</v>
      </c>
      <c r="E36" s="270">
        <f t="shared" si="1"/>
        <v>1046236</v>
      </c>
      <c r="F36" s="270">
        <f t="shared" si="1"/>
        <v>951592</v>
      </c>
      <c r="G36" s="270">
        <f t="shared" si="1"/>
        <v>745802</v>
      </c>
      <c r="H36" s="270" t="str">
        <f t="shared" si="1"/>
        <v/>
      </c>
      <c r="I36" s="270" t="str">
        <f t="shared" si="1"/>
        <v/>
      </c>
      <c r="J36" s="270" t="str">
        <f t="shared" si="1"/>
        <v/>
      </c>
      <c r="K36" s="270" t="str">
        <f t="shared" si="1"/>
        <v/>
      </c>
      <c r="L36" s="270" t="str">
        <f t="shared" si="1"/>
        <v/>
      </c>
      <c r="M36" s="270" t="str">
        <f t="shared" si="1"/>
        <v/>
      </c>
    </row>
    <row r="37" spans="2:13" x14ac:dyDescent="0.15">
      <c r="B37" s="38" t="s">
        <v>40</v>
      </c>
      <c r="C37" s="270">
        <f t="shared" ref="C37:M37" si="2">IF(C$4="","",-C5)</f>
        <v>-974951</v>
      </c>
      <c r="D37" s="270">
        <f t="shared" si="2"/>
        <v>-924958</v>
      </c>
      <c r="E37" s="270">
        <f t="shared" si="2"/>
        <v>-899163</v>
      </c>
      <c r="F37" s="270">
        <f t="shared" si="2"/>
        <v>-822526</v>
      </c>
      <c r="G37" s="270">
        <f t="shared" si="2"/>
        <v>-636694</v>
      </c>
      <c r="H37" s="270" t="str">
        <f t="shared" si="2"/>
        <v/>
      </c>
      <c r="I37" s="270" t="str">
        <f t="shared" si="2"/>
        <v/>
      </c>
      <c r="J37" s="270" t="str">
        <f t="shared" si="2"/>
        <v/>
      </c>
      <c r="K37" s="270" t="str">
        <f t="shared" si="2"/>
        <v/>
      </c>
      <c r="L37" s="270" t="str">
        <f t="shared" si="2"/>
        <v/>
      </c>
      <c r="M37" s="270" t="str">
        <f t="shared" si="2"/>
        <v/>
      </c>
    </row>
    <row r="38" spans="2:13" ht="13" x14ac:dyDescent="0.15">
      <c r="B38" s="30" t="s">
        <v>55</v>
      </c>
      <c r="C38" s="267">
        <f>IF(C36="","",C36+C37)</f>
        <v>183868</v>
      </c>
      <c r="D38" s="267">
        <f t="shared" ref="D38" si="3">IF(D36="","",D36+D37)</f>
        <v>159704</v>
      </c>
      <c r="E38" s="267">
        <f t="shared" ref="E38" si="4">IF(E36="","",E36+E37)</f>
        <v>147073</v>
      </c>
      <c r="F38" s="267">
        <f t="shared" ref="F38" si="5">IF(F36="","",F36+F37)</f>
        <v>129066</v>
      </c>
      <c r="G38" s="267">
        <f t="shared" ref="G38" si="6">IF(G36="","",G36+G37)</f>
        <v>109108</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x14ac:dyDescent="0.15">
      <c r="B39" s="38" t="s">
        <v>51</v>
      </c>
      <c r="C39" s="270">
        <f t="shared" ref="C39:M39" si="13">IF(C$4="","",-C6)</f>
        <v>-127267</v>
      </c>
      <c r="D39" s="270">
        <f t="shared" si="13"/>
        <v>-114401</v>
      </c>
      <c r="E39" s="270">
        <f t="shared" si="13"/>
        <v>-111836</v>
      </c>
      <c r="F39" s="270">
        <f t="shared" si="13"/>
        <v>-109360</v>
      </c>
      <c r="G39" s="270">
        <f t="shared" si="13"/>
        <v>-82265</v>
      </c>
      <c r="H39" s="270" t="str">
        <f t="shared" si="13"/>
        <v/>
      </c>
      <c r="I39" s="270" t="str">
        <f t="shared" si="13"/>
        <v/>
      </c>
      <c r="J39" s="270" t="str">
        <f t="shared" si="13"/>
        <v/>
      </c>
      <c r="K39" s="270" t="str">
        <f t="shared" si="13"/>
        <v/>
      </c>
      <c r="L39" s="270" t="str">
        <f t="shared" si="13"/>
        <v/>
      </c>
      <c r="M39" s="270" t="str">
        <f t="shared" si="13"/>
        <v/>
      </c>
    </row>
    <row r="40" spans="2:13" x14ac:dyDescent="0.15">
      <c r="B40" s="66" t="s">
        <v>58</v>
      </c>
      <c r="C40" s="282">
        <f t="shared" ref="C40:M40" si="14">IF(C$4="","",-C7)</f>
        <v>-47953</v>
      </c>
      <c r="D40" s="282">
        <f t="shared" si="14"/>
        <v>-40133</v>
      </c>
      <c r="E40" s="282">
        <f t="shared" si="14"/>
        <v>-37772</v>
      </c>
      <c r="F40" s="282">
        <f t="shared" si="14"/>
        <v>-38743</v>
      </c>
      <c r="G40" s="282">
        <f t="shared" si="14"/>
        <v>-27156</v>
      </c>
      <c r="H40" s="282" t="str">
        <f t="shared" si="14"/>
        <v/>
      </c>
      <c r="I40" s="282" t="str">
        <f t="shared" si="14"/>
        <v/>
      </c>
      <c r="J40" s="282" t="str">
        <f t="shared" si="14"/>
        <v/>
      </c>
      <c r="K40" s="282" t="str">
        <f t="shared" si="14"/>
        <v/>
      </c>
      <c r="L40" s="282" t="str">
        <f t="shared" si="14"/>
        <v/>
      </c>
      <c r="M40" s="282" t="str">
        <f t="shared" si="14"/>
        <v/>
      </c>
    </row>
    <row r="41" spans="2:13" x14ac:dyDescent="0.15">
      <c r="B41" s="66" t="s">
        <v>61</v>
      </c>
      <c r="C41" s="282">
        <f>IF(C$4="","",C39-C40)</f>
        <v>-79314</v>
      </c>
      <c r="D41" s="282">
        <f t="shared" ref="D41:M41" si="15">IF(D$4="","",D39-D40)</f>
        <v>-74268</v>
      </c>
      <c r="E41" s="282">
        <f t="shared" si="15"/>
        <v>-74064</v>
      </c>
      <c r="F41" s="282">
        <f t="shared" si="15"/>
        <v>-70617</v>
      </c>
      <c r="G41" s="282">
        <f t="shared" si="15"/>
        <v>-55109</v>
      </c>
      <c r="H41" s="282" t="str">
        <f t="shared" si="15"/>
        <v/>
      </c>
      <c r="I41" s="282" t="str">
        <f t="shared" si="15"/>
        <v/>
      </c>
      <c r="J41" s="282" t="str">
        <f t="shared" si="15"/>
        <v/>
      </c>
      <c r="K41" s="282" t="str">
        <f t="shared" si="15"/>
        <v/>
      </c>
      <c r="L41" s="282" t="str">
        <f t="shared" si="15"/>
        <v/>
      </c>
      <c r="M41" s="282" t="str">
        <f t="shared" si="15"/>
        <v/>
      </c>
    </row>
    <row r="42" spans="2:13" x14ac:dyDescent="0.15">
      <c r="B42" s="38" t="s">
        <v>46</v>
      </c>
      <c r="C42" s="270">
        <f t="shared" ref="C42:M42" si="16">IF(C$4="","",-C8)</f>
        <v>-17031</v>
      </c>
      <c r="D42" s="270">
        <f t="shared" si="16"/>
        <v>-16393</v>
      </c>
      <c r="E42" s="270">
        <f t="shared" si="16"/>
        <v>-16893</v>
      </c>
      <c r="F42" s="270">
        <f t="shared" si="16"/>
        <v>-11562</v>
      </c>
      <c r="G42" s="270">
        <f t="shared" si="16"/>
        <v>-16149</v>
      </c>
      <c r="H42" s="270" t="str">
        <f t="shared" si="16"/>
        <v/>
      </c>
      <c r="I42" s="270" t="str">
        <f t="shared" si="16"/>
        <v/>
      </c>
      <c r="J42" s="270" t="str">
        <f t="shared" si="16"/>
        <v/>
      </c>
      <c r="K42" s="270" t="str">
        <f t="shared" si="16"/>
        <v/>
      </c>
      <c r="L42" s="270" t="str">
        <f t="shared" si="16"/>
        <v/>
      </c>
      <c r="M42" s="270" t="str">
        <f t="shared" si="16"/>
        <v/>
      </c>
    </row>
    <row r="43" spans="2:13" x14ac:dyDescent="0.15">
      <c r="B43" s="41" t="s">
        <v>127</v>
      </c>
      <c r="C43" s="271">
        <f>IF(C$4="","",C38+C39+C42)</f>
        <v>39570</v>
      </c>
      <c r="D43" s="271">
        <f t="shared" ref="D43:M43" si="17">IF(D$4="","",D38+D39+D42)</f>
        <v>28910</v>
      </c>
      <c r="E43" s="271">
        <f t="shared" si="17"/>
        <v>18344</v>
      </c>
      <c r="F43" s="271">
        <f t="shared" si="17"/>
        <v>8144</v>
      </c>
      <c r="G43" s="271">
        <f t="shared" si="17"/>
        <v>10694</v>
      </c>
      <c r="H43" s="271" t="str">
        <f t="shared" si="17"/>
        <v/>
      </c>
      <c r="I43" s="271" t="str">
        <f t="shared" si="17"/>
        <v/>
      </c>
      <c r="J43" s="271" t="str">
        <f t="shared" si="17"/>
        <v/>
      </c>
      <c r="K43" s="271" t="str">
        <f t="shared" si="17"/>
        <v/>
      </c>
      <c r="L43" s="271" t="str">
        <f t="shared" si="17"/>
        <v/>
      </c>
      <c r="M43" s="271" t="str">
        <f t="shared" si="17"/>
        <v/>
      </c>
    </row>
    <row r="44" spans="2:13" x14ac:dyDescent="0.15">
      <c r="B44" s="41" t="s">
        <v>139</v>
      </c>
      <c r="C44" s="290">
        <f t="shared" ref="C44:M44" si="18">IF(C$4="","",C47-C46-C45-C43)</f>
        <v>14864</v>
      </c>
      <c r="D44" s="290">
        <f t="shared" si="18"/>
        <v>5621</v>
      </c>
      <c r="E44" s="290">
        <f t="shared" si="18"/>
        <v>-2371</v>
      </c>
      <c r="F44" s="290">
        <f t="shared" si="18"/>
        <v>-9511</v>
      </c>
      <c r="G44" s="290">
        <f t="shared" si="18"/>
        <v>41250</v>
      </c>
      <c r="H44" s="290" t="str">
        <f t="shared" si="18"/>
        <v/>
      </c>
      <c r="I44" s="290" t="str">
        <f t="shared" si="18"/>
        <v/>
      </c>
      <c r="J44" s="290" t="str">
        <f t="shared" si="18"/>
        <v/>
      </c>
      <c r="K44" s="290" t="str">
        <f t="shared" si="18"/>
        <v/>
      </c>
      <c r="L44" s="290" t="str">
        <f t="shared" si="18"/>
        <v/>
      </c>
      <c r="M44" s="290" t="str">
        <f t="shared" si="18"/>
        <v/>
      </c>
    </row>
    <row r="45" spans="2:13" x14ac:dyDescent="0.15">
      <c r="B45" s="38" t="s">
        <v>65</v>
      </c>
      <c r="C45" s="285">
        <f t="shared" ref="C45:M45" si="19">IF(C$4="","",C51+C52)</f>
        <v>-2896</v>
      </c>
      <c r="D45" s="285">
        <f t="shared" si="19"/>
        <v>-2881</v>
      </c>
      <c r="E45" s="285">
        <f t="shared" si="19"/>
        <v>-2106</v>
      </c>
      <c r="F45" s="285">
        <f t="shared" si="19"/>
        <v>-1213</v>
      </c>
      <c r="G45" s="285">
        <f t="shared" si="19"/>
        <v>-1125</v>
      </c>
      <c r="H45" s="285" t="str">
        <f t="shared" si="19"/>
        <v/>
      </c>
      <c r="I45" s="285" t="str">
        <f t="shared" si="19"/>
        <v/>
      </c>
      <c r="J45" s="285" t="str">
        <f t="shared" si="19"/>
        <v/>
      </c>
      <c r="K45" s="285" t="str">
        <f t="shared" si="19"/>
        <v/>
      </c>
      <c r="L45" s="285" t="str">
        <f t="shared" si="19"/>
        <v/>
      </c>
      <c r="M45" s="285" t="str">
        <f t="shared" si="19"/>
        <v/>
      </c>
    </row>
    <row r="46" spans="2:13" x14ac:dyDescent="0.15">
      <c r="B46" s="38" t="s">
        <v>47</v>
      </c>
      <c r="C46" s="270">
        <f>IF(C$4="","",-C14)</f>
        <v>-6878</v>
      </c>
      <c r="D46" s="270">
        <f t="shared" ref="D46:M46" si="20">IF(D$4="","",-D14)</f>
        <v>-8393</v>
      </c>
      <c r="E46" s="270">
        <f t="shared" si="20"/>
        <v>-4176</v>
      </c>
      <c r="F46" s="270">
        <f t="shared" si="20"/>
        <v>-1887</v>
      </c>
      <c r="G46" s="270">
        <f t="shared" si="20"/>
        <v>-1482</v>
      </c>
      <c r="H46" s="270" t="str">
        <f t="shared" si="20"/>
        <v/>
      </c>
      <c r="I46" s="270" t="str">
        <f t="shared" si="20"/>
        <v/>
      </c>
      <c r="J46" s="270" t="str">
        <f t="shared" si="20"/>
        <v/>
      </c>
      <c r="K46" s="270" t="str">
        <f t="shared" si="20"/>
        <v/>
      </c>
      <c r="L46" s="270" t="str">
        <f t="shared" si="20"/>
        <v/>
      </c>
      <c r="M46" s="270" t="str">
        <f t="shared" si="20"/>
        <v/>
      </c>
    </row>
    <row r="47" spans="2:13" x14ac:dyDescent="0.15">
      <c r="B47" s="41" t="s">
        <v>39</v>
      </c>
      <c r="C47" s="271">
        <f t="shared" ref="C47:M47" si="21">IF(C$4="","",C15)</f>
        <v>44660</v>
      </c>
      <c r="D47" s="271">
        <f t="shared" si="21"/>
        <v>23257</v>
      </c>
      <c r="E47" s="271">
        <f t="shared" si="21"/>
        <v>9691</v>
      </c>
      <c r="F47" s="271">
        <f t="shared" si="21"/>
        <v>-4467</v>
      </c>
      <c r="G47" s="271">
        <f t="shared" si="21"/>
        <v>49337</v>
      </c>
      <c r="H47" s="271" t="str">
        <f t="shared" si="21"/>
        <v/>
      </c>
      <c r="I47" s="271" t="str">
        <f t="shared" si="21"/>
        <v/>
      </c>
      <c r="J47" s="271" t="str">
        <f t="shared" si="21"/>
        <v/>
      </c>
      <c r="K47" s="271" t="str">
        <f t="shared" si="21"/>
        <v/>
      </c>
      <c r="L47" s="271" t="str">
        <f t="shared" si="21"/>
        <v/>
      </c>
      <c r="M47" s="271" t="str">
        <f t="shared" si="21"/>
        <v/>
      </c>
    </row>
    <row r="48" spans="2:13" x14ac:dyDescent="0.15">
      <c r="B48" s="27" t="s">
        <v>41</v>
      </c>
      <c r="C48" s="270">
        <f t="shared" ref="C48:M48" si="22">IF(C$4="","",MIN(-C16,0))</f>
        <v>-3301</v>
      </c>
      <c r="D48" s="270">
        <f t="shared" si="22"/>
        <v>0</v>
      </c>
      <c r="E48" s="270">
        <f t="shared" si="22"/>
        <v>0</v>
      </c>
      <c r="F48" s="270">
        <f t="shared" si="22"/>
        <v>0</v>
      </c>
      <c r="G48" s="270">
        <f t="shared" si="22"/>
        <v>0</v>
      </c>
      <c r="H48" s="270" t="str">
        <f t="shared" si="22"/>
        <v/>
      </c>
      <c r="I48" s="270" t="str">
        <f t="shared" si="22"/>
        <v/>
      </c>
      <c r="J48" s="270" t="str">
        <f t="shared" si="22"/>
        <v/>
      </c>
      <c r="K48" s="270" t="str">
        <f t="shared" si="22"/>
        <v/>
      </c>
      <c r="L48" s="270" t="str">
        <f t="shared" si="22"/>
        <v/>
      </c>
      <c r="M48" s="270" t="str">
        <f t="shared" si="22"/>
        <v/>
      </c>
    </row>
    <row r="50" spans="2:13" x14ac:dyDescent="0.15">
      <c r="B50" s="16" t="s">
        <v>65</v>
      </c>
    </row>
    <row r="51" spans="2:13" x14ac:dyDescent="0.15">
      <c r="B51" s="38" t="s">
        <v>37</v>
      </c>
      <c r="C51" s="270">
        <f t="shared" ref="C51:M51" si="23">IF(C$4="","",-C12)</f>
        <v>-2896</v>
      </c>
      <c r="D51" s="270">
        <f t="shared" si="23"/>
        <v>-2881</v>
      </c>
      <c r="E51" s="270">
        <f t="shared" si="23"/>
        <v>-2106</v>
      </c>
      <c r="F51" s="270">
        <f t="shared" si="23"/>
        <v>-1213</v>
      </c>
      <c r="G51" s="270">
        <f t="shared" si="23"/>
        <v>-1125</v>
      </c>
      <c r="H51" s="270" t="str">
        <f t="shared" si="23"/>
        <v/>
      </c>
      <c r="I51" s="270" t="str">
        <f t="shared" si="23"/>
        <v/>
      </c>
      <c r="J51" s="270" t="str">
        <f t="shared" si="23"/>
        <v/>
      </c>
      <c r="K51" s="270" t="str">
        <f t="shared" si="23"/>
        <v/>
      </c>
      <c r="L51" s="270" t="str">
        <f t="shared" si="23"/>
        <v/>
      </c>
      <c r="M51" s="270" t="str">
        <f t="shared" si="23"/>
        <v/>
      </c>
    </row>
    <row r="52" spans="2:13" x14ac:dyDescent="0.15">
      <c r="B52" s="38" t="s">
        <v>64</v>
      </c>
      <c r="C52" s="270">
        <f>IF(C$4="","",C13)</f>
        <v>0</v>
      </c>
      <c r="D52" s="270">
        <f t="shared" ref="D52:M52" si="24">IF(D$4="","",D13)</f>
        <v>0</v>
      </c>
      <c r="E52" s="270">
        <f t="shared" si="24"/>
        <v>0</v>
      </c>
      <c r="F52" s="270">
        <f t="shared" si="24"/>
        <v>0</v>
      </c>
      <c r="G52" s="270">
        <f t="shared" si="24"/>
        <v>0</v>
      </c>
      <c r="H52" s="270" t="str">
        <f t="shared" si="24"/>
        <v/>
      </c>
      <c r="I52" s="270" t="str">
        <f t="shared" si="24"/>
        <v/>
      </c>
      <c r="J52" s="270" t="str">
        <f t="shared" si="24"/>
        <v/>
      </c>
      <c r="K52" s="270" t="str">
        <f t="shared" si="24"/>
        <v/>
      </c>
      <c r="L52" s="270" t="str">
        <f t="shared" si="24"/>
        <v/>
      </c>
      <c r="M52" s="270" t="str">
        <f t="shared" si="24"/>
        <v/>
      </c>
    </row>
    <row r="54" spans="2:13" x14ac:dyDescent="0.15">
      <c r="B54" s="156" t="s">
        <v>139</v>
      </c>
    </row>
    <row r="55" spans="2:13" x14ac:dyDescent="0.15">
      <c r="B55" s="38" t="s">
        <v>134</v>
      </c>
      <c r="C55" s="285">
        <f t="shared" ref="C55:M55" si="25">IF(C$4="","",C9)</f>
        <v>2327</v>
      </c>
      <c r="D55" s="285">
        <f t="shared" si="25"/>
        <v>1010</v>
      </c>
      <c r="E55" s="285">
        <f t="shared" si="25"/>
        <v>-2195</v>
      </c>
      <c r="F55" s="285">
        <f t="shared" si="25"/>
        <v>-4918</v>
      </c>
      <c r="G55" s="285">
        <f t="shared" si="25"/>
        <v>4291</v>
      </c>
      <c r="H55" s="285" t="str">
        <f t="shared" si="25"/>
        <v/>
      </c>
      <c r="I55" s="285" t="str">
        <f t="shared" si="25"/>
        <v/>
      </c>
      <c r="J55" s="285" t="str">
        <f t="shared" si="25"/>
        <v/>
      </c>
      <c r="K55" s="285" t="str">
        <f t="shared" si="25"/>
        <v/>
      </c>
      <c r="L55" s="285" t="str">
        <f t="shared" si="25"/>
        <v/>
      </c>
      <c r="M55" s="285" t="str">
        <f t="shared" si="25"/>
        <v/>
      </c>
    </row>
    <row r="56" spans="2:13" x14ac:dyDescent="0.15">
      <c r="B56" s="38" t="s">
        <v>138</v>
      </c>
      <c r="C56" s="285">
        <f t="shared" ref="C56:M56" si="26">IF(C$4="","",C10)</f>
        <v>0</v>
      </c>
      <c r="D56" s="285">
        <f t="shared" si="26"/>
        <v>0</v>
      </c>
      <c r="E56" s="285">
        <f t="shared" si="26"/>
        <v>0</v>
      </c>
      <c r="F56" s="285">
        <f t="shared" si="26"/>
        <v>0</v>
      </c>
      <c r="G56" s="285">
        <f t="shared" si="26"/>
        <v>0</v>
      </c>
      <c r="H56" s="285" t="str">
        <f t="shared" si="26"/>
        <v/>
      </c>
      <c r="I56" s="285" t="str">
        <f t="shared" si="26"/>
        <v/>
      </c>
      <c r="J56" s="285" t="str">
        <f t="shared" si="26"/>
        <v/>
      </c>
      <c r="K56" s="285" t="str">
        <f t="shared" si="26"/>
        <v/>
      </c>
      <c r="L56" s="285" t="str">
        <f t="shared" si="26"/>
        <v/>
      </c>
      <c r="M56" s="285" t="str">
        <f t="shared" si="26"/>
        <v/>
      </c>
    </row>
    <row r="57" spans="2:13" x14ac:dyDescent="0.15">
      <c r="B57" s="38" t="s">
        <v>133</v>
      </c>
      <c r="C57" s="285">
        <f t="shared" ref="C57:M57" si="27">IF(C$4="","",C11)</f>
        <v>0</v>
      </c>
      <c r="D57" s="285">
        <f t="shared" si="27"/>
        <v>0</v>
      </c>
      <c r="E57" s="285">
        <f t="shared" si="27"/>
        <v>0</v>
      </c>
      <c r="F57" s="285">
        <f t="shared" si="27"/>
        <v>0</v>
      </c>
      <c r="G57" s="285">
        <f t="shared" si="27"/>
        <v>0</v>
      </c>
      <c r="H57" s="285" t="str">
        <f t="shared" si="27"/>
        <v/>
      </c>
      <c r="I57" s="285" t="str">
        <f t="shared" si="27"/>
        <v/>
      </c>
      <c r="J57" s="285" t="str">
        <f t="shared" si="27"/>
        <v/>
      </c>
      <c r="K57" s="285" t="str">
        <f t="shared" si="27"/>
        <v/>
      </c>
      <c r="L57" s="285" t="str">
        <f t="shared" si="27"/>
        <v/>
      </c>
      <c r="M57" s="285" t="str">
        <f t="shared" si="27"/>
        <v/>
      </c>
    </row>
    <row r="58" spans="2:13" x14ac:dyDescent="0.15">
      <c r="B58" s="38" t="s">
        <v>135</v>
      </c>
      <c r="C58" s="285">
        <f>IF(C$4="","",C44-C55-C56-C57)</f>
        <v>12537</v>
      </c>
      <c r="D58" s="285">
        <f t="shared" ref="D58:M58" si="28">IF(D$4="","",D44-D55-D56-D57)</f>
        <v>4611</v>
      </c>
      <c r="E58" s="285">
        <f t="shared" si="28"/>
        <v>-176</v>
      </c>
      <c r="F58" s="285">
        <f t="shared" si="28"/>
        <v>-4593</v>
      </c>
      <c r="G58" s="285">
        <f t="shared" si="28"/>
        <v>36959</v>
      </c>
      <c r="H58" s="285" t="str">
        <f t="shared" si="28"/>
        <v/>
      </c>
      <c r="I58" s="285" t="str">
        <f t="shared" si="28"/>
        <v/>
      </c>
      <c r="J58" s="285" t="str">
        <f t="shared" si="28"/>
        <v/>
      </c>
      <c r="K58" s="285" t="str">
        <f t="shared" si="28"/>
        <v/>
      </c>
      <c r="L58" s="285" t="str">
        <f t="shared" si="28"/>
        <v/>
      </c>
      <c r="M58" s="285" t="str">
        <f t="shared" si="28"/>
        <v/>
      </c>
    </row>
    <row r="60" spans="2:13" x14ac:dyDescent="0.15">
      <c r="B60" s="16" t="s">
        <v>48</v>
      </c>
      <c r="C60" s="9"/>
    </row>
    <row r="61" spans="2:13" ht="13" x14ac:dyDescent="0.15">
      <c r="B61" s="26" t="s">
        <v>44</v>
      </c>
      <c r="C61" s="270">
        <f>IF(C$4="","",-C19)</f>
        <v>-8904</v>
      </c>
      <c r="D61" s="270">
        <f t="shared" ref="D61:M61" si="29">IF(D$4="","",-D19)</f>
        <v>-8292</v>
      </c>
      <c r="E61" s="270">
        <f t="shared" si="29"/>
        <v>-7236</v>
      </c>
      <c r="F61" s="270">
        <f t="shared" si="29"/>
        <v>0</v>
      </c>
      <c r="G61" s="270">
        <f t="shared" si="29"/>
        <v>0</v>
      </c>
      <c r="H61" s="270" t="str">
        <f t="shared" si="29"/>
        <v/>
      </c>
      <c r="I61" s="270" t="str">
        <f t="shared" si="29"/>
        <v/>
      </c>
      <c r="J61" s="270" t="str">
        <f t="shared" si="29"/>
        <v/>
      </c>
      <c r="K61" s="270" t="str">
        <f t="shared" si="29"/>
        <v/>
      </c>
      <c r="L61" s="270" t="str">
        <f t="shared" si="29"/>
        <v/>
      </c>
      <c r="M61" s="270" t="str">
        <f t="shared" si="29"/>
        <v/>
      </c>
    </row>
    <row r="62" spans="2:13" ht="13" x14ac:dyDescent="0.15">
      <c r="B62" s="26" t="s">
        <v>50</v>
      </c>
      <c r="C62" s="270">
        <f>IF(C$4="","",IF(C20=0,C61,-C20))</f>
        <v>-8904</v>
      </c>
      <c r="D62" s="270">
        <f t="shared" ref="D62:M62" si="30">IF(D$4="","",IF(D20=0,D61,-D20))</f>
        <v>-8292</v>
      </c>
      <c r="E62" s="270">
        <f t="shared" si="30"/>
        <v>-7236</v>
      </c>
      <c r="F62" s="270">
        <f t="shared" si="30"/>
        <v>0</v>
      </c>
      <c r="G62" s="270">
        <f t="shared" si="30"/>
        <v>0</v>
      </c>
      <c r="H62" s="270" t="str">
        <f t="shared" si="30"/>
        <v/>
      </c>
      <c r="I62" s="270" t="str">
        <f t="shared" si="30"/>
        <v/>
      </c>
      <c r="J62" s="270" t="str">
        <f t="shared" si="30"/>
        <v/>
      </c>
      <c r="K62" s="270" t="str">
        <f t="shared" si="30"/>
        <v/>
      </c>
      <c r="L62" s="270" t="str">
        <f t="shared" si="30"/>
        <v/>
      </c>
      <c r="M62" s="270" t="str">
        <f t="shared" si="30"/>
        <v/>
      </c>
    </row>
    <row r="63" spans="2:13" ht="13" x14ac:dyDescent="0.15">
      <c r="B63" s="26" t="s">
        <v>49</v>
      </c>
      <c r="C63" s="270">
        <f>IF(C$4="","",-C21)</f>
        <v>0</v>
      </c>
      <c r="D63" s="270">
        <f t="shared" ref="D63:M63" si="31">IF(D$4="","",-D21)</f>
        <v>0</v>
      </c>
      <c r="E63" s="270">
        <f t="shared" si="31"/>
        <v>0</v>
      </c>
      <c r="F63" s="270">
        <f t="shared" si="31"/>
        <v>0</v>
      </c>
      <c r="G63" s="270">
        <f t="shared" si="31"/>
        <v>0</v>
      </c>
      <c r="H63" s="270" t="str">
        <f t="shared" si="31"/>
        <v/>
      </c>
      <c r="I63" s="270" t="str">
        <f t="shared" si="31"/>
        <v/>
      </c>
      <c r="J63" s="270" t="str">
        <f t="shared" si="31"/>
        <v/>
      </c>
      <c r="K63" s="270" t="str">
        <f t="shared" si="31"/>
        <v/>
      </c>
      <c r="L63" s="270" t="str">
        <f t="shared" si="31"/>
        <v/>
      </c>
      <c r="M63" s="270" t="str">
        <f t="shared" si="31"/>
        <v/>
      </c>
    </row>
    <row r="64" spans="2:13" ht="13" x14ac:dyDescent="0.15">
      <c r="B64" s="26" t="s">
        <v>305</v>
      </c>
      <c r="C64" s="270">
        <f>IF(C$4="","",C22+C23+C24)</f>
        <v>36220</v>
      </c>
      <c r="D64" s="270">
        <f t="shared" ref="D64:M64" si="32">IF(D$4="","",D22+D23+D24)</f>
        <v>-5830</v>
      </c>
      <c r="E64" s="270">
        <f t="shared" si="32"/>
        <v>4973</v>
      </c>
      <c r="F64" s="270">
        <f t="shared" si="32"/>
        <v>-12444</v>
      </c>
      <c r="G64" s="270">
        <f t="shared" si="32"/>
        <v>0</v>
      </c>
      <c r="H64" s="270" t="str">
        <f t="shared" si="32"/>
        <v/>
      </c>
      <c r="I64" s="270" t="str">
        <f t="shared" si="32"/>
        <v/>
      </c>
      <c r="J64" s="270" t="str">
        <f t="shared" si="32"/>
        <v/>
      </c>
      <c r="K64" s="270" t="str">
        <f t="shared" si="32"/>
        <v/>
      </c>
      <c r="L64" s="270" t="str">
        <f t="shared" si="32"/>
        <v/>
      </c>
      <c r="M64" s="270" t="str">
        <f t="shared" si="32"/>
        <v/>
      </c>
    </row>
    <row r="65" spans="2:13" x14ac:dyDescent="0.15">
      <c r="B65" s="23" t="s">
        <v>34</v>
      </c>
      <c r="C65" s="70">
        <f>IF(C$4="","",C25)</f>
        <v>3.9</v>
      </c>
      <c r="D65" s="70">
        <f t="shared" ref="D65:M65" si="33">IF(D$4="","",D25)</f>
        <v>2.964</v>
      </c>
      <c r="E65" s="70">
        <f t="shared" si="33"/>
        <v>2.4180000000000001</v>
      </c>
      <c r="F65" s="70">
        <f t="shared" si="33"/>
        <v>0</v>
      </c>
      <c r="G65" s="70">
        <f t="shared" si="33"/>
        <v>0</v>
      </c>
      <c r="H65" s="70" t="str">
        <f t="shared" si="33"/>
        <v/>
      </c>
      <c r="I65" s="70" t="str">
        <f t="shared" si="33"/>
        <v/>
      </c>
      <c r="J65" s="70" t="str">
        <f t="shared" si="33"/>
        <v/>
      </c>
      <c r="K65" s="70" t="str">
        <f t="shared" si="33"/>
        <v/>
      </c>
      <c r="L65" s="70" t="str">
        <f t="shared" si="33"/>
        <v/>
      </c>
      <c r="M65" s="70" t="str">
        <f t="shared" si="33"/>
        <v/>
      </c>
    </row>
    <row r="67" spans="2:13" x14ac:dyDescent="0.15">
      <c r="B67" s="88" t="s">
        <v>81</v>
      </c>
    </row>
    <row r="68" spans="2:13" x14ac:dyDescent="0.15">
      <c r="B68" s="1" t="str">
        <f>B36</f>
        <v>Sales</v>
      </c>
      <c r="C68" s="89">
        <f t="shared" ref="C68:M68" si="34">IF(D$36="","",C36/D36-1)</f>
        <v>6.8368763725473958E-2</v>
      </c>
      <c r="D68" s="89">
        <f t="shared" si="34"/>
        <v>3.6727851077577034E-2</v>
      </c>
      <c r="E68" s="89">
        <f t="shared" si="34"/>
        <v>9.945859149719638E-2</v>
      </c>
      <c r="F68" s="89">
        <f t="shared" si="34"/>
        <v>0.27593114526375628</v>
      </c>
      <c r="G68" s="89" t="str">
        <f t="shared" si="34"/>
        <v/>
      </c>
      <c r="H68" s="89" t="str">
        <f t="shared" si="34"/>
        <v/>
      </c>
      <c r="I68" s="89" t="str">
        <f t="shared" si="34"/>
        <v/>
      </c>
      <c r="J68" s="89" t="str">
        <f t="shared" si="34"/>
        <v/>
      </c>
      <c r="K68" s="89" t="str">
        <f t="shared" si="34"/>
        <v/>
      </c>
      <c r="L68" s="89" t="str">
        <f t="shared" si="34"/>
        <v/>
      </c>
      <c r="M68" s="89" t="str">
        <f t="shared" si="34"/>
        <v/>
      </c>
    </row>
    <row r="69" spans="2:13" ht="13" x14ac:dyDescent="0.15">
      <c r="B69" s="30" t="s">
        <v>55</v>
      </c>
      <c r="C69" s="89">
        <f>IF(D$36="","",C38/D38-1)</f>
        <v>0.1513049140910685</v>
      </c>
      <c r="D69" s="89">
        <f t="shared" ref="D69:M69" si="35">IF(E$36="","",D38/E38-1)</f>
        <v>8.5882520924982941E-2</v>
      </c>
      <c r="E69" s="89">
        <f t="shared" si="35"/>
        <v>0.13951776610416378</v>
      </c>
      <c r="F69" s="89">
        <f t="shared" si="35"/>
        <v>0.18291967591743963</v>
      </c>
      <c r="G69" s="89" t="str">
        <f t="shared" si="35"/>
        <v/>
      </c>
      <c r="H69" s="89" t="str">
        <f t="shared" si="35"/>
        <v/>
      </c>
      <c r="I69" s="89" t="str">
        <f t="shared" si="35"/>
        <v/>
      </c>
      <c r="J69" s="89" t="str">
        <f t="shared" si="35"/>
        <v/>
      </c>
      <c r="K69" s="89" t="str">
        <f t="shared" si="35"/>
        <v/>
      </c>
      <c r="L69" s="89" t="str">
        <f t="shared" si="35"/>
        <v/>
      </c>
      <c r="M69" s="89" t="str">
        <f t="shared" si="35"/>
        <v/>
      </c>
    </row>
    <row r="70" spans="2:13" x14ac:dyDescent="0.15">
      <c r="B70" s="77" t="str">
        <f>B43</f>
        <v>Operating EBIT</v>
      </c>
      <c r="C70" s="98">
        <f>IF(D$36="","",C43/D43-1)</f>
        <v>0.36873054306468345</v>
      </c>
      <c r="D70" s="98">
        <f t="shared" ref="D70:M70" si="36">IF(E$36="","",D43/E43-1)</f>
        <v>0.57599215002180548</v>
      </c>
      <c r="E70" s="98">
        <f t="shared" si="36"/>
        <v>1.2524557956777995</v>
      </c>
      <c r="F70" s="98">
        <f t="shared" si="36"/>
        <v>-0.23845146811296059</v>
      </c>
      <c r="G70" s="98" t="str">
        <f t="shared" si="36"/>
        <v/>
      </c>
      <c r="H70" s="98" t="str">
        <f t="shared" si="36"/>
        <v/>
      </c>
      <c r="I70" s="98" t="str">
        <f t="shared" si="36"/>
        <v/>
      </c>
      <c r="J70" s="98" t="str">
        <f t="shared" si="36"/>
        <v/>
      </c>
      <c r="K70" s="98" t="str">
        <f t="shared" si="36"/>
        <v/>
      </c>
      <c r="L70" s="98" t="str">
        <f t="shared" si="36"/>
        <v/>
      </c>
      <c r="M70" s="98" t="str">
        <f t="shared" si="36"/>
        <v/>
      </c>
    </row>
    <row r="71" spans="2:13" x14ac:dyDescent="0.15">
      <c r="B71" s="41" t="s">
        <v>139</v>
      </c>
      <c r="C71" s="98">
        <f>IF(D$36="","",C44/D44-1)</f>
        <v>1.6443693293008361</v>
      </c>
      <c r="D71" s="98">
        <f t="shared" ref="D71:M71" si="37">IF(E$36="","",D44/E44-1)</f>
        <v>-3.3707296499367354</v>
      </c>
      <c r="E71" s="98">
        <f t="shared" si="37"/>
        <v>-0.75070970455262331</v>
      </c>
      <c r="F71" s="98">
        <f t="shared" si="37"/>
        <v>-1.2305696969696971</v>
      </c>
      <c r="G71" s="98" t="str">
        <f t="shared" si="37"/>
        <v/>
      </c>
      <c r="H71" s="98" t="str">
        <f t="shared" si="37"/>
        <v/>
      </c>
      <c r="I71" s="98" t="str">
        <f t="shared" si="37"/>
        <v/>
      </c>
      <c r="J71" s="98" t="str">
        <f t="shared" si="37"/>
        <v/>
      </c>
      <c r="K71" s="98" t="str">
        <f t="shared" si="37"/>
        <v/>
      </c>
      <c r="L71" s="98" t="str">
        <f t="shared" si="37"/>
        <v/>
      </c>
      <c r="M71" s="98" t="str">
        <f t="shared" si="37"/>
        <v/>
      </c>
    </row>
    <row r="72" spans="2:13" x14ac:dyDescent="0.15">
      <c r="B72" s="77" t="str">
        <f>B47</f>
        <v>Reported Net Income</v>
      </c>
      <c r="C72" s="98">
        <f>IF(D$36="","",C47/D47-1)</f>
        <v>0.92028206561465375</v>
      </c>
      <c r="D72" s="98">
        <f t="shared" ref="D72:M72" si="38">IF(E$36="","",D47/E47-1)</f>
        <v>1.3998555360643898</v>
      </c>
      <c r="E72" s="98">
        <f t="shared" si="38"/>
        <v>-3.1694649653010969</v>
      </c>
      <c r="F72" s="98">
        <f t="shared" si="38"/>
        <v>-1.0905405679307618</v>
      </c>
      <c r="G72" s="98" t="str">
        <f t="shared" si="38"/>
        <v/>
      </c>
      <c r="H72" s="98" t="str">
        <f t="shared" si="38"/>
        <v/>
      </c>
      <c r="I72" s="98" t="str">
        <f t="shared" si="38"/>
        <v/>
      </c>
      <c r="J72" s="98" t="str">
        <f t="shared" si="38"/>
        <v/>
      </c>
      <c r="K72" s="98" t="str">
        <f t="shared" si="38"/>
        <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713529</v>
      </c>
      <c r="D76" s="285">
        <f t="shared" ref="D76:M76" si="39">IF(D$4="","",D79+D80)</f>
        <v>628344</v>
      </c>
      <c r="E76" s="285">
        <f t="shared" si="39"/>
        <v>595250</v>
      </c>
      <c r="F76" s="285">
        <f t="shared" si="39"/>
        <v>496507</v>
      </c>
      <c r="G76" s="285">
        <f t="shared" si="39"/>
        <v>0</v>
      </c>
      <c r="H76" s="285" t="str">
        <f t="shared" si="39"/>
        <v/>
      </c>
      <c r="I76" s="285" t="str">
        <f t="shared" si="39"/>
        <v/>
      </c>
      <c r="J76" s="285" t="str">
        <f t="shared" si="39"/>
        <v/>
      </c>
      <c r="K76" s="285" t="str">
        <f t="shared" si="39"/>
        <v/>
      </c>
      <c r="L76" s="285" t="str">
        <f t="shared" si="39"/>
        <v/>
      </c>
      <c r="M76" s="285" t="str">
        <f t="shared" si="39"/>
        <v/>
      </c>
    </row>
    <row r="77" spans="2:13" ht="13" x14ac:dyDescent="0.15">
      <c r="B77" s="90" t="s">
        <v>82</v>
      </c>
      <c r="C77" s="260">
        <f t="shared" ref="C77:H78" si="40">IF(C$4="","",C28)</f>
        <v>41491</v>
      </c>
      <c r="D77" s="282">
        <f t="shared" si="40"/>
        <v>22416</v>
      </c>
      <c r="E77" s="282">
        <f t="shared" si="40"/>
        <v>205760</v>
      </c>
      <c r="F77" s="282">
        <f t="shared" si="40"/>
        <v>11900</v>
      </c>
      <c r="G77" s="282">
        <f t="shared" si="40"/>
        <v>0</v>
      </c>
      <c r="H77" s="282" t="str">
        <f t="shared" si="40"/>
        <v/>
      </c>
      <c r="I77" s="291"/>
      <c r="J77" s="291"/>
      <c r="K77" s="291"/>
      <c r="L77" s="291"/>
      <c r="M77" s="291"/>
    </row>
    <row r="78" spans="2:13" ht="13" x14ac:dyDescent="0.15">
      <c r="B78" s="90" t="s">
        <v>83</v>
      </c>
      <c r="C78" s="260">
        <f t="shared" si="40"/>
        <v>100999</v>
      </c>
      <c r="D78" s="282">
        <f t="shared" si="40"/>
        <v>68058</v>
      </c>
      <c r="E78" s="282">
        <f t="shared" si="40"/>
        <v>77949</v>
      </c>
      <c r="F78" s="282">
        <f t="shared" si="40"/>
        <v>75601</v>
      </c>
      <c r="G78" s="282">
        <f t="shared" si="40"/>
        <v>0</v>
      </c>
      <c r="H78" s="282" t="str">
        <f t="shared" si="40"/>
        <v/>
      </c>
      <c r="I78" s="291"/>
      <c r="J78" s="291"/>
      <c r="K78" s="291"/>
      <c r="L78" s="291"/>
      <c r="M78" s="291"/>
    </row>
    <row r="79" spans="2:13" ht="13" x14ac:dyDescent="0.15">
      <c r="B79" s="25" t="s">
        <v>38</v>
      </c>
      <c r="C79" s="259">
        <f t="shared" ref="C79:M79" si="41">IF(C$4="","",C30)</f>
        <v>409109</v>
      </c>
      <c r="D79" s="270">
        <f t="shared" si="41"/>
        <v>332578</v>
      </c>
      <c r="E79" s="270">
        <f t="shared" si="41"/>
        <v>321127</v>
      </c>
      <c r="F79" s="270">
        <f t="shared" si="41"/>
        <v>249723</v>
      </c>
      <c r="G79" s="270">
        <f t="shared" si="41"/>
        <v>0</v>
      </c>
      <c r="H79" s="270" t="str">
        <f t="shared" si="41"/>
        <v/>
      </c>
      <c r="I79" s="270" t="str">
        <f t="shared" si="41"/>
        <v/>
      </c>
      <c r="J79" s="270" t="str">
        <f t="shared" si="41"/>
        <v/>
      </c>
      <c r="K79" s="270" t="str">
        <f t="shared" si="41"/>
        <v/>
      </c>
      <c r="L79" s="270" t="str">
        <f t="shared" si="41"/>
        <v/>
      </c>
      <c r="M79" s="270" t="str">
        <f t="shared" si="41"/>
        <v/>
      </c>
    </row>
    <row r="80" spans="2:13" ht="13" x14ac:dyDescent="0.15">
      <c r="B80" s="25" t="s">
        <v>28</v>
      </c>
      <c r="C80" s="259">
        <f t="shared" ref="C80:M80" si="42">IF(C$4="","",C31)</f>
        <v>304420</v>
      </c>
      <c r="D80" s="270">
        <f t="shared" si="42"/>
        <v>295766</v>
      </c>
      <c r="E80" s="270">
        <f t="shared" si="42"/>
        <v>274123</v>
      </c>
      <c r="F80" s="270">
        <f t="shared" si="42"/>
        <v>246784</v>
      </c>
      <c r="G80" s="270">
        <f t="shared" si="42"/>
        <v>0</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1" sqref="G31"/>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45930</v>
      </c>
      <c r="F1" s="83" t="str">
        <f>IF(MONTH(C1)=MONTH(Normalized_FCF!G1),"FY","Quarter")&amp;" Report"</f>
        <v>Quarter Report</v>
      </c>
      <c r="H1" s="104">
        <f>scaling_factor</f>
        <v>1000000</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f>39735+1756</f>
        <v>41491</v>
      </c>
      <c r="D4" s="231">
        <v>0.6</v>
      </c>
      <c r="E4" s="24"/>
      <c r="F4" s="4" t="s">
        <v>74</v>
      </c>
      <c r="G4" s="18">
        <v>113069</v>
      </c>
      <c r="H4" s="231">
        <v>0.9</v>
      </c>
    </row>
    <row r="5" spans="2:8" ht="15" customHeight="1" x14ac:dyDescent="0.15">
      <c r="B5" s="1" t="s">
        <v>31</v>
      </c>
      <c r="C5" s="18">
        <v>0</v>
      </c>
      <c r="D5" s="231">
        <v>0.6</v>
      </c>
      <c r="E5" s="24"/>
      <c r="F5" s="1" t="s">
        <v>27</v>
      </c>
      <c r="G5" s="18">
        <v>12266</v>
      </c>
      <c r="H5" s="231">
        <v>0.7</v>
      </c>
    </row>
    <row r="6" spans="2:8" ht="15" customHeight="1" x14ac:dyDescent="0.15">
      <c r="B6" s="4" t="s">
        <v>8</v>
      </c>
      <c r="C6" s="18">
        <v>100999</v>
      </c>
      <c r="D6" s="231">
        <v>0.5</v>
      </c>
      <c r="E6" s="24"/>
      <c r="F6" s="4" t="s">
        <v>147</v>
      </c>
      <c r="G6" s="18">
        <v>0</v>
      </c>
      <c r="H6" s="231">
        <v>0.6</v>
      </c>
    </row>
    <row r="7" spans="2:8" ht="15" customHeight="1" x14ac:dyDescent="0.15">
      <c r="B7" s="1" t="s">
        <v>66</v>
      </c>
      <c r="C7" s="18">
        <v>0</v>
      </c>
      <c r="D7" s="231">
        <v>0.6</v>
      </c>
      <c r="E7" s="24"/>
      <c r="F7" s="4" t="s">
        <v>148</v>
      </c>
      <c r="G7" s="18">
        <v>85203</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f>8111+17165</f>
        <v>25276</v>
      </c>
      <c r="D9" s="231">
        <v>0.1</v>
      </c>
      <c r="E9" s="24"/>
      <c r="F9" s="4" t="s">
        <v>150</v>
      </c>
      <c r="G9" s="18">
        <v>0</v>
      </c>
      <c r="H9" s="231">
        <v>0.6</v>
      </c>
    </row>
    <row r="10" spans="2:8" ht="15" customHeight="1" x14ac:dyDescent="0.15">
      <c r="B10" s="4" t="s">
        <v>9</v>
      </c>
      <c r="C10" s="18">
        <v>0</v>
      </c>
      <c r="D10" s="231">
        <v>0.9</v>
      </c>
      <c r="F10" s="1" t="s">
        <v>402</v>
      </c>
      <c r="G10" s="18">
        <v>960</v>
      </c>
      <c r="H10" s="231">
        <v>0.4</v>
      </c>
    </row>
    <row r="11" spans="2:8" ht="15" customHeight="1" x14ac:dyDescent="0.15">
      <c r="B11" s="4" t="s">
        <v>10</v>
      </c>
      <c r="C11" s="18">
        <v>0</v>
      </c>
      <c r="D11" s="231">
        <v>0.05</v>
      </c>
      <c r="H11" s="232"/>
    </row>
    <row r="12" spans="2:8" ht="15" customHeight="1" x14ac:dyDescent="0.15">
      <c r="B12" s="77" t="s">
        <v>69</v>
      </c>
      <c r="C12" s="78">
        <f>SUM(C4:C11)</f>
        <v>167766</v>
      </c>
      <c r="D12" s="19">
        <f>C4*D4+C5*D5+C9*D9+C6*D6+C8*D8+C7*D7+C10*D10+C11*D11</f>
        <v>77921.7</v>
      </c>
      <c r="F12" s="77" t="s">
        <v>67</v>
      </c>
      <c r="G12" s="78">
        <f>SUM(G4:G10)</f>
        <v>211498</v>
      </c>
      <c r="H12" s="19">
        <f>G4*H4+G5*H5+G6*H6+G7*H7+G8*H8+G9*H9+G10*H10</f>
        <v>161854.1</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329</v>
      </c>
      <c r="C15" s="18">
        <v>0</v>
      </c>
      <c r="D15" s="231">
        <v>0.4</v>
      </c>
      <c r="F15" s="4" t="s">
        <v>75</v>
      </c>
      <c r="G15" s="18">
        <v>0</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f>70622</f>
        <v>70622</v>
      </c>
      <c r="H17" s="231">
        <v>0.6</v>
      </c>
    </row>
    <row r="18" spans="2:8" ht="15" customHeight="1" x14ac:dyDescent="0.15">
      <c r="B18" s="4" t="s">
        <v>144</v>
      </c>
      <c r="C18" s="18">
        <v>0</v>
      </c>
      <c r="D18" s="231">
        <v>0.6</v>
      </c>
      <c r="F18" s="4" t="s">
        <v>151</v>
      </c>
      <c r="G18" s="18">
        <v>0</v>
      </c>
      <c r="H18" s="231">
        <v>0.1</v>
      </c>
    </row>
    <row r="19" spans="2:8" ht="15" customHeight="1" x14ac:dyDescent="0.15">
      <c r="B19" s="4" t="s">
        <v>24</v>
      </c>
      <c r="C19" s="18">
        <f>88559+8337+36877+29854</f>
        <v>163627</v>
      </c>
      <c r="D19" s="231">
        <v>0.1</v>
      </c>
      <c r="F19" s="4" t="s">
        <v>152</v>
      </c>
      <c r="G19" s="18">
        <f>50367</f>
        <v>50367</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8001</v>
      </c>
      <c r="D21" s="231">
        <v>0.05</v>
      </c>
      <c r="F21" s="1" t="s">
        <v>150</v>
      </c>
      <c r="G21" s="18">
        <v>0</v>
      </c>
      <c r="H21" s="231">
        <v>0.1</v>
      </c>
    </row>
    <row r="22" spans="2:8" ht="15" customHeight="1" x14ac:dyDescent="0.15">
      <c r="B22" s="4" t="s">
        <v>18</v>
      </c>
      <c r="C22" s="18">
        <v>4578</v>
      </c>
      <c r="D22" s="231">
        <v>0.9</v>
      </c>
      <c r="H22" s="232"/>
    </row>
    <row r="23" spans="2:8" ht="15" customHeight="1" x14ac:dyDescent="0.15">
      <c r="B23" s="4" t="s">
        <v>19</v>
      </c>
      <c r="C23" s="18">
        <f>27594+9476</f>
        <v>37070</v>
      </c>
      <c r="D23" s="231">
        <v>0</v>
      </c>
      <c r="H23" s="232"/>
    </row>
    <row r="24" spans="2:8" ht="15" customHeight="1" x14ac:dyDescent="0.15">
      <c r="B24" s="77" t="s">
        <v>70</v>
      </c>
      <c r="C24" s="78">
        <f>SUM(C15:C23)</f>
        <v>213276</v>
      </c>
      <c r="D24" s="19">
        <f>C15*D15+C16*D16+C18*D18+C17*D17+C19*D19+C20*D20+C21*D21+C22*D22+C23*D23</f>
        <v>20882.95</v>
      </c>
      <c r="F24" s="77" t="s">
        <v>68</v>
      </c>
      <c r="G24" s="78">
        <f>SUM(G15:G21)</f>
        <v>120989</v>
      </c>
      <c r="H24" s="19">
        <f>G15*H15+G16*H16+G17*H17+G18*H18+G19*H19+G20*H20+G21*H21</f>
        <v>47409.899999999994</v>
      </c>
    </row>
    <row r="26" spans="2:8" ht="15" customHeight="1" x14ac:dyDescent="0.15">
      <c r="B26" s="16" t="s">
        <v>169</v>
      </c>
      <c r="C26" s="164" t="s">
        <v>113</v>
      </c>
      <c r="F26" s="166" t="s">
        <v>165</v>
      </c>
      <c r="G26" s="167" t="s">
        <v>113</v>
      </c>
      <c r="H26" s="168" t="s">
        <v>33</v>
      </c>
    </row>
    <row r="27" spans="2:8" ht="15" customHeight="1" x14ac:dyDescent="0.15">
      <c r="B27" s="4" t="s">
        <v>3</v>
      </c>
      <c r="C27" s="18">
        <f>17062+3547</f>
        <v>20609</v>
      </c>
      <c r="F27" s="169" t="s">
        <v>28</v>
      </c>
      <c r="G27" s="82">
        <f>G32-G30</f>
        <v>304420</v>
      </c>
      <c r="H27" s="170">
        <f>H32-G30</f>
        <v>-101040.34999999998</v>
      </c>
    </row>
    <row r="28" spans="2:8" ht="15" customHeight="1" x14ac:dyDescent="0.15">
      <c r="B28" s="4" t="s">
        <v>4</v>
      </c>
      <c r="C28" s="18">
        <v>8897</v>
      </c>
      <c r="F28" s="171" t="s">
        <v>209</v>
      </c>
      <c r="G28" s="287">
        <v>72487</v>
      </c>
      <c r="H28" s="170"/>
    </row>
    <row r="29" spans="2:8" ht="15" customHeight="1" x14ac:dyDescent="0.15">
      <c r="B29" s="4" t="s">
        <v>5</v>
      </c>
      <c r="C29" s="18">
        <v>0</v>
      </c>
      <c r="F29" s="172" t="s">
        <v>72</v>
      </c>
      <c r="G29" s="14">
        <f>G27-G28</f>
        <v>231933</v>
      </c>
      <c r="H29" s="170">
        <f>H27-G28</f>
        <v>-173527.34999999998</v>
      </c>
    </row>
    <row r="30" spans="2:8" ht="15" customHeight="1" x14ac:dyDescent="0.15">
      <c r="B30" s="2" t="s">
        <v>6</v>
      </c>
      <c r="C30" s="18">
        <v>0</v>
      </c>
      <c r="F30" s="169" t="s">
        <v>21</v>
      </c>
      <c r="G30" s="82">
        <f>C33+C42</f>
        <v>409109</v>
      </c>
      <c r="H30" s="170"/>
    </row>
    <row r="31" spans="2:8" ht="15" customHeight="1" x14ac:dyDescent="0.15">
      <c r="B31" s="77" t="s">
        <v>172</v>
      </c>
      <c r="C31" s="78">
        <f>SUM(C27:C30)</f>
        <v>29506</v>
      </c>
      <c r="F31" s="172" t="s">
        <v>73</v>
      </c>
      <c r="G31" s="173">
        <f>C31+C40</f>
        <v>112089</v>
      </c>
      <c r="H31" s="170"/>
    </row>
    <row r="32" spans="2:8" ht="15" customHeight="1" x14ac:dyDescent="0.15">
      <c r="B32" s="4" t="s">
        <v>7</v>
      </c>
      <c r="C32" s="20">
        <f>C33-C31</f>
        <v>287043</v>
      </c>
      <c r="F32" s="174" t="s">
        <v>71</v>
      </c>
      <c r="G32" s="175">
        <f>G35+G40</f>
        <v>713529</v>
      </c>
      <c r="H32" s="170">
        <f>H35+H40</f>
        <v>308068.65000000002</v>
      </c>
    </row>
    <row r="33" spans="2:8" ht="15" customHeight="1" x14ac:dyDescent="0.15">
      <c r="B33" s="80" t="s">
        <v>2</v>
      </c>
      <c r="C33" s="81">
        <v>316549</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381042</v>
      </c>
      <c r="H35" s="182">
        <f>D12+D24</f>
        <v>98804.65</v>
      </c>
    </row>
    <row r="36" spans="2:8" ht="15" customHeight="1" x14ac:dyDescent="0.15">
      <c r="B36" s="4" t="s">
        <v>11</v>
      </c>
      <c r="C36" s="18">
        <f>21005+38957</f>
        <v>59962</v>
      </c>
      <c r="F36" s="172" t="s">
        <v>166</v>
      </c>
      <c r="G36" s="173">
        <f>C4+C15</f>
        <v>41491</v>
      </c>
      <c r="H36" s="177"/>
    </row>
    <row r="37" spans="2:8" ht="15" customHeight="1" x14ac:dyDescent="0.15">
      <c r="B37" s="4" t="s">
        <v>12</v>
      </c>
      <c r="C37" s="18">
        <v>22621</v>
      </c>
      <c r="F37" s="172" t="s">
        <v>167</v>
      </c>
      <c r="G37" s="173">
        <f>C6</f>
        <v>100999</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163627</v>
      </c>
      <c r="H39" s="170">
        <f>C7*D7+C17*D17+C19*D19+C20*D20</f>
        <v>16362.7</v>
      </c>
    </row>
    <row r="40" spans="2:8" ht="15" customHeight="1" x14ac:dyDescent="0.15">
      <c r="B40" s="77" t="s">
        <v>173</v>
      </c>
      <c r="C40" s="78">
        <f>SUM(C36:C39)</f>
        <v>82583</v>
      </c>
      <c r="F40" s="181" t="s">
        <v>115</v>
      </c>
      <c r="G40" s="175">
        <f>G12+G24</f>
        <v>332487</v>
      </c>
      <c r="H40" s="182">
        <f>H12+H24</f>
        <v>209264</v>
      </c>
    </row>
    <row r="41" spans="2:8" ht="15" customHeight="1" x14ac:dyDescent="0.15">
      <c r="B41" s="4" t="s">
        <v>15</v>
      </c>
      <c r="C41" s="20">
        <f>C42-C40</f>
        <v>9977</v>
      </c>
      <c r="F41" s="172" t="s">
        <v>160</v>
      </c>
      <c r="G41" s="173">
        <f>C70</f>
        <v>125335</v>
      </c>
      <c r="H41" s="182">
        <f>H40-H42</f>
        <v>110732.3</v>
      </c>
    </row>
    <row r="42" spans="2:8" ht="15" customHeight="1" x14ac:dyDescent="0.15">
      <c r="B42" s="80" t="s">
        <v>20</v>
      </c>
      <c r="C42" s="81">
        <v>92560</v>
      </c>
      <c r="F42" s="183" t="s">
        <v>161</v>
      </c>
      <c r="G42" s="184">
        <f>C82</f>
        <v>206192</v>
      </c>
      <c r="H42" s="185">
        <f>D82</f>
        <v>98531.7</v>
      </c>
    </row>
    <row r="44" spans="2:8" ht="15" customHeight="1" x14ac:dyDescent="0.15">
      <c r="B44" s="76" t="s">
        <v>92</v>
      </c>
      <c r="C44" s="35"/>
      <c r="D44" s="35"/>
      <c r="E44" s="35"/>
      <c r="F44" s="35"/>
      <c r="G44" s="35"/>
      <c r="H44" s="35"/>
    </row>
    <row r="45" spans="2:8" ht="15" customHeight="1" x14ac:dyDescent="0.15">
      <c r="B45" s="16" t="s">
        <v>228</v>
      </c>
      <c r="C45" s="209" t="s">
        <v>113</v>
      </c>
      <c r="D45" s="164" t="s">
        <v>310</v>
      </c>
      <c r="F45" s="226" t="s">
        <v>56</v>
      </c>
    </row>
    <row r="46" spans="2:8" ht="15" customHeight="1" x14ac:dyDescent="0.15">
      <c r="B46" s="1" t="s">
        <v>230</v>
      </c>
      <c r="C46" s="73">
        <f>G29</f>
        <v>231933</v>
      </c>
      <c r="D46" s="73">
        <f>H29</f>
        <v>-173527.34999999998</v>
      </c>
      <c r="F46" s="223"/>
    </row>
    <row r="47" spans="2:8" ht="15" customHeight="1" x14ac:dyDescent="0.15">
      <c r="B47" s="1" t="str">
        <f>"Equity per share ("&amp;Market_currency&amp;")"</f>
        <v>Equity per share (HKD)</v>
      </c>
      <c r="C47" s="134">
        <f>C46*H1/Common_Shares*Exchange_Rate</f>
        <v>87.27858246088563</v>
      </c>
      <c r="D47" s="134">
        <f>D46*H1/Common_Shares*Exchange_Rate</f>
        <v>-65.299983728895668</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2.8852377432054559</v>
      </c>
      <c r="D50" s="92">
        <f>G31/Normalized_FCF!G8</f>
        <v>2.8326762699014405</v>
      </c>
      <c r="F50" s="223"/>
    </row>
    <row r="51" spans="2:8" ht="15" customHeight="1" x14ac:dyDescent="0.15">
      <c r="B51" s="1" t="s">
        <v>146</v>
      </c>
      <c r="C51" s="163"/>
      <c r="D51" s="89">
        <f>G29/G32</f>
        <v>0.32505055856174031</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0.10195500301916868</v>
      </c>
      <c r="D54" s="89">
        <f>Normalized_FCF!G8/G35</f>
        <v>0.10384682003558662</v>
      </c>
      <c r="F54" s="223"/>
    </row>
    <row r="55" spans="2:8" ht="15" customHeight="1" x14ac:dyDescent="0.15">
      <c r="B55" s="1" t="s">
        <v>118</v>
      </c>
      <c r="C55" s="89">
        <f>Normalized_FCF!C9/G40</f>
        <v>0</v>
      </c>
      <c r="D55" s="89">
        <f>Normalized_FCF!G9/G40</f>
        <v>6.9987698767169848E-3</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5.441644716336546E-2</v>
      </c>
      <c r="F58" s="5"/>
    </row>
    <row r="59" spans="2:8" ht="15" customHeight="1" x14ac:dyDescent="0.15">
      <c r="B59" s="1" t="s">
        <v>89</v>
      </c>
      <c r="C59" s="95"/>
      <c r="D59" s="89">
        <f>G39/G32</f>
        <v>0.22932074239449274</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0.31253422324550623</v>
      </c>
      <c r="D62" s="89">
        <f>G28/G29</f>
        <v>0.31253422324550623</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125335</v>
      </c>
      <c r="D66" s="73">
        <f>C66-D75</f>
        <v>31026.885521023709</v>
      </c>
      <c r="F66" s="5" t="s">
        <v>193</v>
      </c>
    </row>
    <row r="67" spans="2:6" ht="15" customHeight="1" x14ac:dyDescent="0.15">
      <c r="B67" s="102" t="s">
        <v>147</v>
      </c>
      <c r="C67" s="19">
        <f>G6+G16</f>
        <v>0</v>
      </c>
      <c r="F67" s="223"/>
    </row>
    <row r="68" spans="2:6" ht="15" customHeight="1" x14ac:dyDescent="0.15">
      <c r="B68" s="102" t="s">
        <v>151</v>
      </c>
      <c r="C68" s="19">
        <f>G18</f>
        <v>0</v>
      </c>
      <c r="F68" s="223"/>
    </row>
    <row r="69" spans="2:6" ht="15" customHeight="1" x14ac:dyDescent="0.15">
      <c r="B69" s="102" t="s">
        <v>149</v>
      </c>
      <c r="C69" s="19">
        <f>G8+G20</f>
        <v>0</v>
      </c>
      <c r="F69" s="223"/>
    </row>
    <row r="70" spans="2:6" ht="15" customHeight="1" x14ac:dyDescent="0.15">
      <c r="B70" s="77" t="s">
        <v>158</v>
      </c>
      <c r="C70" s="78">
        <f>SUM(C66:C69)</f>
        <v>125335</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-94248.042667345479</v>
      </c>
      <c r="D73" s="285">
        <f>(Normalized_FCF!C26+Normalized_FCF!C35-Normalized_FCF!C89)/12</f>
        <v>-94308.114478976291</v>
      </c>
      <c r="F73" s="1" t="s">
        <v>278</v>
      </c>
    </row>
    <row r="74" spans="2:6" ht="15" customHeight="1" x14ac:dyDescent="0.15">
      <c r="B74" s="227" t="s">
        <v>259</v>
      </c>
      <c r="C74" s="228">
        <f>-$C$66/C73</f>
        <v>1.3298419410403879</v>
      </c>
      <c r="D74" s="228">
        <f>-$C$66/D73</f>
        <v>1.3289948663743076</v>
      </c>
      <c r="F74" s="223" t="s">
        <v>257</v>
      </c>
    </row>
    <row r="75" spans="2:6" ht="15" customHeight="1" x14ac:dyDescent="0.15">
      <c r="B75" s="77" t="s">
        <v>258</v>
      </c>
      <c r="C75" s="261"/>
      <c r="D75" s="262">
        <f>MAX(-D73*D76,G5)</f>
        <v>94308.114478976291</v>
      </c>
      <c r="F75" s="223" t="s">
        <v>279</v>
      </c>
    </row>
    <row r="76" spans="2:6" ht="15" customHeight="1" x14ac:dyDescent="0.15">
      <c r="B76" s="229" t="s">
        <v>260</v>
      </c>
      <c r="C76" s="230"/>
      <c r="D76" s="248">
        <f>IF(D74&lt;=3,1,IF(D74&gt;18,6,2))</f>
        <v>1</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155825</v>
      </c>
      <c r="D79" s="73">
        <f>G7*H7+G17*H17</f>
        <v>93495</v>
      </c>
      <c r="F79" s="223"/>
    </row>
    <row r="80" spans="2:6" ht="15" customHeight="1" x14ac:dyDescent="0.15">
      <c r="B80" s="102" t="s">
        <v>152</v>
      </c>
      <c r="C80" s="19">
        <f>G19</f>
        <v>50367</v>
      </c>
      <c r="D80" s="73">
        <f>G19*H19</f>
        <v>5036.7000000000007</v>
      </c>
      <c r="F80" s="223"/>
    </row>
    <row r="81" spans="2:8" ht="15" customHeight="1" x14ac:dyDescent="0.15">
      <c r="B81" s="102" t="s">
        <v>150</v>
      </c>
      <c r="C81" s="19">
        <f>G9+G21</f>
        <v>0</v>
      </c>
      <c r="D81" s="73">
        <f>G9*H9+G21*H21</f>
        <v>0</v>
      </c>
      <c r="F81" s="223"/>
    </row>
    <row r="82" spans="2:8" ht="15" customHeight="1" x14ac:dyDescent="0.15">
      <c r="B82" s="77" t="s">
        <v>159</v>
      </c>
      <c r="C82" s="78">
        <f>SUM(C79:C81)</f>
        <v>206192</v>
      </c>
      <c r="D82" s="78">
        <f>SUM(D79:D81)</f>
        <v>98531.7</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-126838.007890971</v>
      </c>
      <c r="D86" s="201">
        <f>C86*scaling_factor/Common_Shares</f>
        <v>-42.180151291356594</v>
      </c>
      <c r="E86" s="214" t="str">
        <f>Market_currency</f>
        <v>HKD</v>
      </c>
    </row>
    <row r="87" spans="2:8" ht="15" customHeight="1" x14ac:dyDescent="0.15">
      <c r="B87" s="212" t="s">
        <v>240</v>
      </c>
      <c r="C87" s="73">
        <f>DCF!F5*Exchange_Rate</f>
        <v>35109.496476441571</v>
      </c>
      <c r="D87" s="201">
        <f>C87*scaling_factor/Common_Shares</f>
        <v>11.675710599402098</v>
      </c>
      <c r="E87" s="214" t="str">
        <f>Market_currency</f>
        <v>HKD</v>
      </c>
    </row>
    <row r="88" spans="2:8" ht="15" customHeight="1" x14ac:dyDescent="0.15">
      <c r="B88" s="213" t="s">
        <v>159</v>
      </c>
      <c r="C88" s="73">
        <f>DCF!F6*Exchange_Rate</f>
        <v>111496.79756363948</v>
      </c>
      <c r="D88" s="201">
        <f>C88*scaling_factor/Common_Shares</f>
        <v>37.07841102155038</v>
      </c>
      <c r="E88" s="214" t="str">
        <f>Market_currency</f>
        <v>HKD</v>
      </c>
    </row>
    <row r="89" spans="2:8" ht="15" customHeight="1" x14ac:dyDescent="0.15">
      <c r="B89" s="77" t="s">
        <v>244</v>
      </c>
      <c r="C89" s="162">
        <f>SUM(C86:C88)</f>
        <v>19768.286149110048</v>
      </c>
      <c r="D89" s="216">
        <f>SUM(D86:D88)</f>
        <v>6.573970329595884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101" activePane="bottomRight" state="frozen"/>
      <selection activeCell="C17" sqref="C17"/>
      <selection pane="topRight" activeCell="C17" sqref="C17"/>
      <selection pane="bottomLeft" activeCell="C17" sqref="C17"/>
      <selection pane="bottomRight" activeCell="B130" sqref="B130"/>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393</v>
      </c>
      <c r="C3" s="104">
        <f>scaling_factor</f>
        <v>1000000</v>
      </c>
      <c r="D3" s="9"/>
      <c r="E3" s="237"/>
      <c r="F3" s="9"/>
      <c r="G3" s="16" t="s">
        <v>410</v>
      </c>
      <c r="H3" s="104">
        <f>scaling_factor</f>
        <v>1000000</v>
      </c>
    </row>
    <row r="4" spans="1:17" ht="15.75" customHeight="1" x14ac:dyDescent="0.15">
      <c r="A4" s="10"/>
      <c r="B4" s="25" t="s">
        <v>0</v>
      </c>
      <c r="C4" s="458">
        <f>C100*C117</f>
        <v>1158819</v>
      </c>
      <c r="D4" s="54"/>
      <c r="E4" s="235"/>
      <c r="F4" s="54"/>
      <c r="G4" s="270">
        <f>Data!C36</f>
        <v>1158819</v>
      </c>
      <c r="H4" s="270">
        <f>Data!D36</f>
        <v>1084662</v>
      </c>
      <c r="I4" s="270">
        <f>Data!E36</f>
        <v>1046236</v>
      </c>
      <c r="J4" s="270">
        <f>Data!F36</f>
        <v>951592</v>
      </c>
      <c r="K4" s="270">
        <f>Data!G36</f>
        <v>745802</v>
      </c>
      <c r="L4" s="270" t="str">
        <f>Data!H36</f>
        <v/>
      </c>
      <c r="M4" s="270" t="str">
        <f>Data!I36</f>
        <v/>
      </c>
      <c r="N4" s="270" t="str">
        <f>Data!J36</f>
        <v/>
      </c>
      <c r="O4" s="270" t="str">
        <f>Data!K36</f>
        <v/>
      </c>
      <c r="P4" s="270" t="str">
        <f>Data!L36</f>
        <v/>
      </c>
      <c r="Q4" s="270" t="str">
        <f>Data!M36</f>
        <v/>
      </c>
    </row>
    <row r="5" spans="1:17" ht="15.75" customHeight="1" x14ac:dyDescent="0.15">
      <c r="A5" s="10"/>
      <c r="B5" s="2" t="s">
        <v>43</v>
      </c>
      <c r="C5" s="266">
        <f>C26</f>
        <v>-1040655.8617395699</v>
      </c>
      <c r="E5" s="237"/>
      <c r="G5" s="270">
        <f t="shared" ref="G5:Q5" si="1">G26</f>
        <v>-1039935</v>
      </c>
      <c r="H5" s="270">
        <f t="shared" si="1"/>
        <v>-981484</v>
      </c>
      <c r="I5" s="270">
        <f t="shared" si="1"/>
        <v>-953828</v>
      </c>
      <c r="J5" s="270">
        <f t="shared" si="1"/>
        <v>-872831</v>
      </c>
      <c r="K5" s="270">
        <f t="shared" si="1"/>
        <v>-679999</v>
      </c>
      <c r="L5" s="270" t="str">
        <f t="shared" si="1"/>
        <v/>
      </c>
      <c r="M5" s="270" t="str">
        <f t="shared" si="1"/>
        <v/>
      </c>
      <c r="N5" s="270" t="str">
        <f t="shared" si="1"/>
        <v/>
      </c>
      <c r="O5" s="270" t="str">
        <f t="shared" si="1"/>
        <v/>
      </c>
      <c r="P5" s="270" t="str">
        <f t="shared" si="1"/>
        <v/>
      </c>
      <c r="Q5" s="270" t="str">
        <f t="shared" si="1"/>
        <v/>
      </c>
    </row>
    <row r="6" spans="1:17" ht="15.75" customHeight="1" x14ac:dyDescent="0.15">
      <c r="A6" s="10"/>
      <c r="B6" s="30" t="s">
        <v>45</v>
      </c>
      <c r="C6" s="267">
        <f>C4+C5</f>
        <v>118163.13826043007</v>
      </c>
      <c r="E6" s="237"/>
      <c r="G6" s="267">
        <f>IF(G4="","",G4+G5)</f>
        <v>118884</v>
      </c>
      <c r="H6" s="267">
        <f t="shared" ref="H6:Q6" si="2">IF(H4="","",H4+H5)</f>
        <v>103178</v>
      </c>
      <c r="I6" s="267">
        <f t="shared" si="2"/>
        <v>92408</v>
      </c>
      <c r="J6" s="267">
        <f t="shared" si="2"/>
        <v>78761</v>
      </c>
      <c r="K6" s="267">
        <f t="shared" si="2"/>
        <v>65803</v>
      </c>
      <c r="L6" s="267" t="str">
        <f t="shared" si="2"/>
        <v/>
      </c>
      <c r="M6" s="267" t="str">
        <f t="shared" si="2"/>
        <v/>
      </c>
      <c r="N6" s="267" t="str">
        <f t="shared" si="2"/>
        <v/>
      </c>
      <c r="O6" s="267" t="str">
        <f t="shared" si="2"/>
        <v/>
      </c>
      <c r="P6" s="267" t="str">
        <f t="shared" si="2"/>
        <v/>
      </c>
      <c r="Q6" s="267" t="str">
        <f t="shared" si="2"/>
        <v/>
      </c>
    </row>
    <row r="7" spans="1:17" ht="15.75" customHeight="1" x14ac:dyDescent="0.15">
      <c r="A7" s="10"/>
      <c r="B7" s="8" t="s">
        <v>42</v>
      </c>
      <c r="C7" s="266">
        <f>C35</f>
        <v>-79314</v>
      </c>
      <c r="E7" s="237"/>
      <c r="G7" s="266">
        <f t="shared" ref="G7:Q7" si="3">G35</f>
        <v>-79314</v>
      </c>
      <c r="H7" s="266">
        <f t="shared" si="3"/>
        <v>-74268</v>
      </c>
      <c r="I7" s="266">
        <f t="shared" si="3"/>
        <v>-74064</v>
      </c>
      <c r="J7" s="266">
        <f t="shared" si="3"/>
        <v>-70617</v>
      </c>
      <c r="K7" s="266">
        <f t="shared" si="3"/>
        <v>-55109</v>
      </c>
      <c r="L7" s="266" t="str">
        <f t="shared" si="3"/>
        <v/>
      </c>
      <c r="M7" s="266" t="str">
        <f t="shared" si="3"/>
        <v/>
      </c>
      <c r="N7" s="266" t="str">
        <f t="shared" si="3"/>
        <v/>
      </c>
      <c r="O7" s="266" t="str">
        <f t="shared" si="3"/>
        <v/>
      </c>
      <c r="P7" s="266" t="str">
        <f t="shared" si="3"/>
        <v/>
      </c>
      <c r="Q7" s="266" t="str">
        <f t="shared" si="3"/>
        <v/>
      </c>
    </row>
    <row r="8" spans="1:17" ht="15.75" customHeight="1" x14ac:dyDescent="0.15">
      <c r="A8" s="10"/>
      <c r="B8" s="28" t="s">
        <v>127</v>
      </c>
      <c r="C8" s="268">
        <f>C6+C7</f>
        <v>38849.138260430074</v>
      </c>
      <c r="D8" s="56"/>
      <c r="E8" s="241"/>
      <c r="F8" s="56"/>
      <c r="G8" s="267">
        <f>IF(G$4="","",G6+G7)</f>
        <v>39570</v>
      </c>
      <c r="H8" s="267">
        <f t="shared" ref="H8:Q8" si="4">IF(H$4="","",H6+H7)</f>
        <v>28910</v>
      </c>
      <c r="I8" s="267">
        <f t="shared" si="4"/>
        <v>18344</v>
      </c>
      <c r="J8" s="267">
        <f t="shared" si="4"/>
        <v>8144</v>
      </c>
      <c r="K8" s="267">
        <f t="shared" si="4"/>
        <v>10694</v>
      </c>
      <c r="L8" s="267" t="str">
        <f t="shared" si="4"/>
        <v/>
      </c>
      <c r="M8" s="267" t="str">
        <f t="shared" si="4"/>
        <v/>
      </c>
      <c r="N8" s="267" t="str">
        <f t="shared" si="4"/>
        <v/>
      </c>
      <c r="O8" s="267" t="str">
        <f t="shared" si="4"/>
        <v/>
      </c>
      <c r="P8" s="267" t="str">
        <f t="shared" si="4"/>
        <v/>
      </c>
      <c r="Q8" s="267" t="str">
        <f t="shared" si="4"/>
        <v/>
      </c>
    </row>
    <row r="9" spans="1:17" ht="15.75" customHeight="1" x14ac:dyDescent="0.15">
      <c r="A9" s="10"/>
      <c r="B9" s="26" t="s">
        <v>415</v>
      </c>
      <c r="C9" s="300">
        <f>C61</f>
        <v>0</v>
      </c>
      <c r="D9" s="55"/>
      <c r="E9" s="236"/>
      <c r="F9" s="55"/>
      <c r="G9" s="270">
        <f>G59</f>
        <v>2327</v>
      </c>
      <c r="H9" s="270">
        <f t="shared" ref="H9:Q9" si="5">H59</f>
        <v>1010</v>
      </c>
      <c r="I9" s="270">
        <f t="shared" si="5"/>
        <v>-2195</v>
      </c>
      <c r="J9" s="270">
        <f t="shared" si="5"/>
        <v>-4918</v>
      </c>
      <c r="K9" s="270">
        <f t="shared" si="5"/>
        <v>4291</v>
      </c>
      <c r="L9" s="270" t="str">
        <f t="shared" si="5"/>
        <v/>
      </c>
      <c r="M9" s="270" t="str">
        <f t="shared" si="5"/>
        <v/>
      </c>
      <c r="N9" s="270" t="str">
        <f t="shared" si="5"/>
        <v/>
      </c>
      <c r="O9" s="270" t="str">
        <f t="shared" si="5"/>
        <v/>
      </c>
      <c r="P9" s="270" t="str">
        <f t="shared" si="5"/>
        <v/>
      </c>
      <c r="Q9" s="270" t="str">
        <f t="shared" si="5"/>
        <v/>
      </c>
    </row>
    <row r="10" spans="1:17" ht="15.75" customHeight="1" x14ac:dyDescent="0.15">
      <c r="A10" s="10"/>
      <c r="B10" s="2" t="s">
        <v>65</v>
      </c>
      <c r="C10" s="266">
        <f>C48</f>
        <v>-3917.7113131261426</v>
      </c>
      <c r="E10" s="237"/>
      <c r="G10" s="266">
        <f>G48</f>
        <v>-2896</v>
      </c>
      <c r="H10" s="266">
        <f t="shared" ref="H10:Q10" si="6">H48</f>
        <v>-2881</v>
      </c>
      <c r="I10" s="266">
        <f t="shared" si="6"/>
        <v>-2106</v>
      </c>
      <c r="J10" s="266">
        <f t="shared" si="6"/>
        <v>-1213</v>
      </c>
      <c r="K10" s="266">
        <f t="shared" si="6"/>
        <v>-1125</v>
      </c>
      <c r="L10" s="266" t="str">
        <f t="shared" si="6"/>
        <v/>
      </c>
      <c r="M10" s="266" t="str">
        <f t="shared" si="6"/>
        <v/>
      </c>
      <c r="N10" s="266" t="str">
        <f t="shared" si="6"/>
        <v/>
      </c>
      <c r="O10" s="266" t="str">
        <f t="shared" si="6"/>
        <v/>
      </c>
      <c r="P10" s="266" t="str">
        <f t="shared" si="6"/>
        <v/>
      </c>
      <c r="Q10" s="266" t="str">
        <f t="shared" si="6"/>
        <v/>
      </c>
    </row>
    <row r="11" spans="1:17" ht="15.75" customHeight="1" x14ac:dyDescent="0.15">
      <c r="A11" s="10"/>
      <c r="B11" s="67" t="s">
        <v>137</v>
      </c>
      <c r="C11" s="267">
        <f>SUM(C8:C10)</f>
        <v>34931.426947303931</v>
      </c>
      <c r="E11" s="237"/>
      <c r="G11" s="267">
        <f t="shared" ref="G11:Q11" si="7">IF(G$4="","",SUM(G8:G10))</f>
        <v>39001</v>
      </c>
      <c r="H11" s="267">
        <f t="shared" si="7"/>
        <v>27039</v>
      </c>
      <c r="I11" s="267">
        <f t="shared" si="7"/>
        <v>14043</v>
      </c>
      <c r="J11" s="267">
        <f t="shared" si="7"/>
        <v>2013</v>
      </c>
      <c r="K11" s="267">
        <f t="shared" si="7"/>
        <v>13860</v>
      </c>
      <c r="L11" s="267" t="str">
        <f t="shared" si="7"/>
        <v/>
      </c>
      <c r="M11" s="267" t="str">
        <f t="shared" si="7"/>
        <v/>
      </c>
      <c r="N11" s="267" t="str">
        <f t="shared" si="7"/>
        <v/>
      </c>
      <c r="O11" s="267" t="str">
        <f t="shared" si="7"/>
        <v/>
      </c>
      <c r="P11" s="267" t="str">
        <f t="shared" si="7"/>
        <v/>
      </c>
      <c r="Q11" s="267" t="str">
        <f t="shared" si="7"/>
        <v/>
      </c>
    </row>
    <row r="12" spans="1:17" ht="15.75" customHeight="1" x14ac:dyDescent="0.15">
      <c r="A12" s="10"/>
      <c r="B12" s="2" t="s">
        <v>60</v>
      </c>
      <c r="C12" s="266">
        <f>-C11*C41</f>
        <v>-8732.8567368259828</v>
      </c>
      <c r="E12" s="237"/>
      <c r="G12" s="266">
        <f>Data!C46</f>
        <v>-6878</v>
      </c>
      <c r="H12" s="266">
        <f>Data!D46</f>
        <v>-8393</v>
      </c>
      <c r="I12" s="266">
        <f>Data!E46</f>
        <v>-4176</v>
      </c>
      <c r="J12" s="266">
        <f>Data!F46</f>
        <v>-1887</v>
      </c>
      <c r="K12" s="266">
        <f>Data!G46</f>
        <v>-1482</v>
      </c>
      <c r="L12" s="266" t="str">
        <f>Data!H46</f>
        <v/>
      </c>
      <c r="M12" s="266" t="str">
        <f>Data!I46</f>
        <v/>
      </c>
      <c r="N12" s="266" t="str">
        <f>Data!J46</f>
        <v/>
      </c>
      <c r="O12" s="266" t="str">
        <f>Data!K46</f>
        <v/>
      </c>
      <c r="P12" s="266" t="str">
        <f>Data!L46</f>
        <v/>
      </c>
      <c r="Q12" s="266" t="str">
        <f>Data!M46</f>
        <v/>
      </c>
    </row>
    <row r="13" spans="1:17" ht="15.75" customHeight="1" x14ac:dyDescent="0.15">
      <c r="A13" s="10"/>
      <c r="B13" s="38" t="s">
        <v>208</v>
      </c>
      <c r="C13" s="266">
        <f>-C4*C79</f>
        <v>-3301</v>
      </c>
      <c r="D13" s="57"/>
      <c r="E13" s="242"/>
      <c r="F13" s="57"/>
      <c r="G13" s="270">
        <f>Data!C48</f>
        <v>-3301</v>
      </c>
      <c r="H13" s="270">
        <f>Data!D48</f>
        <v>0</v>
      </c>
      <c r="I13" s="270">
        <f>Data!E48</f>
        <v>0</v>
      </c>
      <c r="J13" s="270">
        <f>Data!F48</f>
        <v>0</v>
      </c>
      <c r="K13" s="270">
        <f>Data!G48</f>
        <v>0</v>
      </c>
      <c r="L13" s="270" t="str">
        <f>Data!H48</f>
        <v/>
      </c>
      <c r="M13" s="270" t="str">
        <f>Data!I48</f>
        <v/>
      </c>
      <c r="N13" s="270" t="str">
        <f>Data!J48</f>
        <v/>
      </c>
      <c r="O13" s="270" t="str">
        <f>Data!K48</f>
        <v/>
      </c>
      <c r="P13" s="270" t="str">
        <f>Data!L48</f>
        <v/>
      </c>
      <c r="Q13" s="270" t="str">
        <f>Data!M48</f>
        <v/>
      </c>
    </row>
    <row r="14" spans="1:17" ht="15.75" customHeight="1" x14ac:dyDescent="0.15">
      <c r="A14" s="10"/>
      <c r="B14" s="39" t="s">
        <v>129</v>
      </c>
      <c r="C14" s="269">
        <f>SUM(C11:C13)</f>
        <v>22897.570210477948</v>
      </c>
      <c r="D14" s="58"/>
      <c r="E14" s="243"/>
      <c r="F14" s="58"/>
      <c r="G14" s="267">
        <f t="shared" ref="G14:Q14" si="8">IF(G$4="","",SUM(G11:G13))</f>
        <v>28822</v>
      </c>
      <c r="H14" s="267">
        <f t="shared" si="8"/>
        <v>18646</v>
      </c>
      <c r="I14" s="267">
        <f t="shared" si="8"/>
        <v>9867</v>
      </c>
      <c r="J14" s="267">
        <f t="shared" si="8"/>
        <v>126</v>
      </c>
      <c r="K14" s="267">
        <f t="shared" si="8"/>
        <v>12378</v>
      </c>
      <c r="L14" s="267" t="str">
        <f t="shared" si="8"/>
        <v/>
      </c>
      <c r="M14" s="267" t="str">
        <f t="shared" si="8"/>
        <v/>
      </c>
      <c r="N14" s="267" t="str">
        <f t="shared" si="8"/>
        <v/>
      </c>
      <c r="O14" s="267" t="str">
        <f t="shared" si="8"/>
        <v/>
      </c>
      <c r="P14" s="267" t="str">
        <f t="shared" si="8"/>
        <v/>
      </c>
      <c r="Q14" s="267" t="str">
        <f t="shared" si="8"/>
        <v/>
      </c>
    </row>
    <row r="15" spans="1:17" ht="15.75" customHeight="1" x14ac:dyDescent="0.15">
      <c r="A15" s="10"/>
      <c r="B15" s="2" t="s">
        <v>62</v>
      </c>
      <c r="C15" s="266">
        <f>BS!$G$39*BS!D58</f>
        <v>8904</v>
      </c>
      <c r="E15" s="237"/>
      <c r="G15" s="266">
        <f>IF(Data!C61="","",-Data!C61)</f>
        <v>8904</v>
      </c>
      <c r="H15" s="266">
        <f>IF(Data!D61="","",-Data!D61)</f>
        <v>8292</v>
      </c>
      <c r="I15" s="266">
        <f>IF(Data!E61="","",-Data!E61)</f>
        <v>7236</v>
      </c>
      <c r="J15" s="266">
        <f>IF(Data!F61="","",-Data!F61)</f>
        <v>0</v>
      </c>
      <c r="K15" s="266">
        <f>IF(Data!G61="","",-Data!G61)</f>
        <v>0</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x14ac:dyDescent="0.15">
      <c r="A16" s="10"/>
      <c r="B16" s="2" t="s">
        <v>398</v>
      </c>
      <c r="C16" s="266">
        <f>-C4*C82</f>
        <v>-8904</v>
      </c>
      <c r="E16" s="237"/>
      <c r="G16" s="266">
        <f>Data!C62</f>
        <v>-8904</v>
      </c>
      <c r="H16" s="266">
        <f>Data!D62</f>
        <v>-8292</v>
      </c>
      <c r="I16" s="266">
        <f>Data!E62</f>
        <v>-7236</v>
      </c>
      <c r="J16" s="266">
        <f>Data!F62</f>
        <v>0</v>
      </c>
      <c r="K16" s="266">
        <f>Data!G62</f>
        <v>0</v>
      </c>
      <c r="L16" s="266" t="str">
        <f>Data!H62</f>
        <v/>
      </c>
      <c r="M16" s="266" t="str">
        <f>Data!I62</f>
        <v/>
      </c>
      <c r="N16" s="266" t="str">
        <f>Data!J62</f>
        <v/>
      </c>
      <c r="O16" s="266" t="str">
        <f>Data!K62</f>
        <v/>
      </c>
      <c r="P16" s="266" t="str">
        <f>Data!L62</f>
        <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22897.570210477948</v>
      </c>
      <c r="D19" s="26"/>
      <c r="E19" s="234"/>
      <c r="F19" s="26"/>
      <c r="G19" s="271">
        <f t="shared" ref="G19:Q19" si="9">IF(G$4="","",G14+G17)</f>
        <v>28822</v>
      </c>
      <c r="H19" s="271">
        <f t="shared" si="9"/>
        <v>18646</v>
      </c>
      <c r="I19" s="271">
        <f t="shared" si="9"/>
        <v>9867</v>
      </c>
      <c r="J19" s="271">
        <f t="shared" si="9"/>
        <v>126</v>
      </c>
      <c r="K19" s="271">
        <f t="shared" si="9"/>
        <v>12378</v>
      </c>
      <c r="L19" s="271" t="str">
        <f t="shared" si="9"/>
        <v/>
      </c>
      <c r="M19" s="271" t="str">
        <f t="shared" si="9"/>
        <v/>
      </c>
      <c r="N19" s="271" t="str">
        <f t="shared" si="9"/>
        <v/>
      </c>
      <c r="O19" s="271" t="str">
        <f t="shared" si="9"/>
        <v/>
      </c>
      <c r="P19" s="271" t="str">
        <f t="shared" si="9"/>
        <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-974951</v>
      </c>
      <c r="D23" s="55"/>
      <c r="E23" s="236"/>
      <c r="F23" s="55"/>
      <c r="G23" s="270">
        <f>Data!C37</f>
        <v>-974951</v>
      </c>
      <c r="H23" s="270">
        <f>Data!D37</f>
        <v>-924958</v>
      </c>
      <c r="I23" s="270">
        <f>Data!E37</f>
        <v>-899163</v>
      </c>
      <c r="J23" s="270">
        <f>Data!F37</f>
        <v>-822526</v>
      </c>
      <c r="K23" s="270">
        <f>Data!G37</f>
        <v>-636694</v>
      </c>
      <c r="L23" s="270" t="str">
        <f>Data!H37</f>
        <v/>
      </c>
      <c r="M23" s="270" t="str">
        <f>Data!I37</f>
        <v/>
      </c>
      <c r="N23" s="270" t="str">
        <f>Data!J37</f>
        <v/>
      </c>
      <c r="O23" s="270" t="str">
        <f>Data!K37</f>
        <v/>
      </c>
      <c r="P23" s="270" t="str">
        <f>Data!L37</f>
        <v/>
      </c>
      <c r="Q23" s="270" t="str">
        <f>Data!M37</f>
        <v/>
      </c>
    </row>
    <row r="24" spans="1:17" ht="15.75" customHeight="1" x14ac:dyDescent="0.2">
      <c r="A24" s="10"/>
      <c r="B24" s="65" t="s">
        <v>59</v>
      </c>
      <c r="C24" s="266">
        <f>-C4*C30</f>
        <v>-47953</v>
      </c>
      <c r="D24" s="26"/>
      <c r="E24" s="234"/>
      <c r="F24" s="26"/>
      <c r="G24" s="270">
        <f>Data!C40</f>
        <v>-47953</v>
      </c>
      <c r="H24" s="270">
        <f>Data!D40</f>
        <v>-40133</v>
      </c>
      <c r="I24" s="270">
        <f>Data!E40</f>
        <v>-37772</v>
      </c>
      <c r="J24" s="270">
        <f>Data!F40</f>
        <v>-38743</v>
      </c>
      <c r="K24" s="270">
        <f>Data!G40</f>
        <v>-27156</v>
      </c>
      <c r="L24" s="270" t="str">
        <f>Data!H40</f>
        <v/>
      </c>
      <c r="M24" s="270" t="str">
        <f>Data!I40</f>
        <v/>
      </c>
      <c r="N24" s="270" t="str">
        <f>Data!J40</f>
        <v/>
      </c>
      <c r="O24" s="270" t="str">
        <f>Data!K40</f>
        <v/>
      </c>
      <c r="P24" s="270" t="str">
        <f>Data!L40</f>
        <v/>
      </c>
      <c r="Q24" s="270" t="str">
        <f>Data!M40</f>
        <v/>
      </c>
    </row>
    <row r="25" spans="1:17" ht="15.75" customHeight="1" x14ac:dyDescent="0.15">
      <c r="A25" s="10"/>
      <c r="B25" s="26" t="s">
        <v>46</v>
      </c>
      <c r="C25" s="266">
        <f>-C4*C31</f>
        <v>-17751.861739569973</v>
      </c>
      <c r="D25" s="55"/>
      <c r="E25" s="235"/>
      <c r="F25" s="55"/>
      <c r="G25" s="270">
        <f>Data!C42</f>
        <v>-17031</v>
      </c>
      <c r="H25" s="270">
        <f>Data!D42</f>
        <v>-16393</v>
      </c>
      <c r="I25" s="270">
        <f>Data!E42</f>
        <v>-16893</v>
      </c>
      <c r="J25" s="270">
        <f>Data!F42</f>
        <v>-11562</v>
      </c>
      <c r="K25" s="270">
        <f>Data!G42</f>
        <v>-16149</v>
      </c>
      <c r="L25" s="270" t="str">
        <f>Data!H42</f>
        <v/>
      </c>
      <c r="M25" s="270" t="str">
        <f>Data!I42</f>
        <v/>
      </c>
      <c r="N25" s="270" t="str">
        <f>Data!J42</f>
        <v/>
      </c>
      <c r="O25" s="270" t="str">
        <f>Data!K42</f>
        <v/>
      </c>
      <c r="P25" s="270" t="str">
        <f>Data!L42</f>
        <v/>
      </c>
      <c r="Q25" s="270" t="str">
        <f>Data!M42</f>
        <v/>
      </c>
    </row>
    <row r="26" spans="1:17" ht="15.75" customHeight="1" x14ac:dyDescent="0.15">
      <c r="A26" s="10"/>
      <c r="B26" s="67" t="s">
        <v>43</v>
      </c>
      <c r="C26" s="267">
        <f>SUM(C23:C25)</f>
        <v>-1040655.8617395699</v>
      </c>
      <c r="D26" s="9"/>
      <c r="E26" s="240"/>
      <c r="F26" s="9"/>
      <c r="G26" s="267">
        <f>IF(G$4="","",SUM(G23:G25))</f>
        <v>-1039935</v>
      </c>
      <c r="H26" s="267">
        <f t="shared" ref="H26:Q26" si="10">IF(H$4="","",SUM(H23:H25))</f>
        <v>-981484</v>
      </c>
      <c r="I26" s="267">
        <f t="shared" si="10"/>
        <v>-953828</v>
      </c>
      <c r="J26" s="267">
        <f t="shared" si="10"/>
        <v>-872831</v>
      </c>
      <c r="K26" s="267">
        <f t="shared" si="10"/>
        <v>-679999</v>
      </c>
      <c r="L26" s="267" t="str">
        <f t="shared" si="10"/>
        <v/>
      </c>
      <c r="M26" s="267" t="str">
        <f t="shared" si="10"/>
        <v/>
      </c>
      <c r="N26" s="267" t="str">
        <f t="shared" si="10"/>
        <v/>
      </c>
      <c r="O26" s="267" t="str">
        <f t="shared" si="10"/>
        <v/>
      </c>
      <c r="P26" s="267" t="str">
        <f t="shared" si="10"/>
        <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f>G29</f>
        <v>0.84133156256499075</v>
      </c>
      <c r="D29" s="25"/>
      <c r="E29" s="235"/>
      <c r="F29" s="25"/>
      <c r="G29" s="13">
        <f t="shared" ref="G29:Q29" si="11">IF(G$4="","",ABS(G23/G$4))</f>
        <v>0.84133156256499075</v>
      </c>
      <c r="H29" s="13">
        <f t="shared" si="11"/>
        <v>0.85276150542749718</v>
      </c>
      <c r="I29" s="13">
        <f t="shared" si="11"/>
        <v>0.85942655385591782</v>
      </c>
      <c r="J29" s="13">
        <f t="shared" si="11"/>
        <v>0.86436834273512175</v>
      </c>
      <c r="K29" s="13">
        <f t="shared" si="11"/>
        <v>0.85370379805900221</v>
      </c>
      <c r="L29" s="13" t="str">
        <f t="shared" si="11"/>
        <v/>
      </c>
      <c r="M29" s="13" t="str">
        <f t="shared" si="11"/>
        <v/>
      </c>
      <c r="N29" s="13" t="str">
        <f t="shared" si="11"/>
        <v/>
      </c>
      <c r="O29" s="13" t="str">
        <f t="shared" si="11"/>
        <v/>
      </c>
      <c r="P29" s="13" t="str">
        <f t="shared" si="11"/>
        <v/>
      </c>
      <c r="Q29" s="13" t="str">
        <f t="shared" si="11"/>
        <v/>
      </c>
    </row>
    <row r="30" spans="1:17" ht="15.75" customHeight="1" x14ac:dyDescent="0.2">
      <c r="A30" s="10"/>
      <c r="B30" s="65" t="str">
        <f>B24</f>
        <v>Selling Expenses</v>
      </c>
      <c r="C30" s="60">
        <f>G30</f>
        <v>4.1380923164014399E-2</v>
      </c>
      <c r="D30" s="25"/>
      <c r="E30" s="235"/>
      <c r="F30" s="25"/>
      <c r="G30" s="13">
        <f t="shared" ref="G30:Q30" si="12">IF(G$4="","",ABS(G24/G$4))</f>
        <v>4.1380923164014399E-2</v>
      </c>
      <c r="H30" s="13">
        <f t="shared" si="12"/>
        <v>3.7000466504772914E-2</v>
      </c>
      <c r="I30" s="13">
        <f t="shared" si="12"/>
        <v>3.6102753107329515E-2</v>
      </c>
      <c r="J30" s="13">
        <f t="shared" si="12"/>
        <v>4.0713877376018295E-2</v>
      </c>
      <c r="K30" s="13">
        <f t="shared" si="12"/>
        <v>3.6411809032424157E-2</v>
      </c>
      <c r="L30" s="13" t="str">
        <f t="shared" si="12"/>
        <v/>
      </c>
      <c r="M30" s="13" t="str">
        <f t="shared" si="12"/>
        <v/>
      </c>
      <c r="N30" s="13" t="str">
        <f t="shared" si="12"/>
        <v/>
      </c>
      <c r="O30" s="13" t="str">
        <f t="shared" si="12"/>
        <v/>
      </c>
      <c r="P30" s="13" t="str">
        <f t="shared" si="12"/>
        <v/>
      </c>
      <c r="Q30" s="13" t="str">
        <f t="shared" si="12"/>
        <v/>
      </c>
    </row>
    <row r="31" spans="1:17" ht="15.75" customHeight="1" x14ac:dyDescent="0.15">
      <c r="A31" s="10"/>
      <c r="B31" s="26" t="str">
        <f>B25</f>
        <v>R&amp;D</v>
      </c>
      <c r="C31" s="60">
        <f>AVERAGE(G31:I31)</f>
        <v>1.53189253365452E-2</v>
      </c>
      <c r="D31" s="26"/>
      <c r="E31" s="234"/>
      <c r="F31" s="26"/>
      <c r="G31" s="13">
        <f t="shared" ref="G31:Q31" si="13">IF(G$4="","",ABS(G25/G$4))</f>
        <v>1.4696859475034496E-2</v>
      </c>
      <c r="H31" s="13">
        <f t="shared" si="13"/>
        <v>1.5113463917791902E-2</v>
      </c>
      <c r="I31" s="13">
        <f t="shared" si="13"/>
        <v>1.614645261680921E-2</v>
      </c>
      <c r="J31" s="13">
        <f t="shared" si="13"/>
        <v>1.2150165196849069E-2</v>
      </c>
      <c r="K31" s="13">
        <f t="shared" si="13"/>
        <v>2.1653200179136016E-2</v>
      </c>
      <c r="L31" s="13" t="str">
        <f t="shared" si="13"/>
        <v/>
      </c>
      <c r="M31" s="13" t="str">
        <f t="shared" si="13"/>
        <v/>
      </c>
      <c r="N31" s="13" t="str">
        <f t="shared" si="13"/>
        <v/>
      </c>
      <c r="O31" s="13" t="str">
        <f t="shared" si="13"/>
        <v/>
      </c>
      <c r="P31" s="13" t="str">
        <f t="shared" si="13"/>
        <v/>
      </c>
      <c r="Q31" s="13" t="str">
        <f t="shared" si="13"/>
        <v/>
      </c>
    </row>
    <row r="32" spans="1:17" ht="15.75" customHeight="1" x14ac:dyDescent="0.15">
      <c r="A32" s="10"/>
      <c r="B32" s="67" t="s">
        <v>43</v>
      </c>
      <c r="C32" s="68">
        <f>ABS(C26/$C$4)</f>
        <v>0.89803141106555029</v>
      </c>
      <c r="E32" s="237"/>
      <c r="G32" s="29">
        <f t="shared" ref="G32:Q32" si="14">IF(G$4="","",ABS(G26/G$4))</f>
        <v>0.89740934520403959</v>
      </c>
      <c r="H32" s="29">
        <f t="shared" si="14"/>
        <v>0.90487543585006203</v>
      </c>
      <c r="I32" s="29">
        <f t="shared" si="14"/>
        <v>0.91167575958005653</v>
      </c>
      <c r="J32" s="29">
        <f t="shared" si="14"/>
        <v>0.91723238530798912</v>
      </c>
      <c r="K32" s="29">
        <f t="shared" si="14"/>
        <v>0.91176880727056242</v>
      </c>
      <c r="L32" s="29" t="str">
        <f t="shared" si="14"/>
        <v/>
      </c>
      <c r="M32" s="29" t="str">
        <f t="shared" si="14"/>
        <v/>
      </c>
      <c r="N32" s="29" t="str">
        <f t="shared" si="14"/>
        <v/>
      </c>
      <c r="O32" s="29" t="str">
        <f t="shared" si="14"/>
        <v/>
      </c>
      <c r="P32" s="29" t="str">
        <f t="shared" si="14"/>
        <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396</v>
      </c>
      <c r="C35" s="276">
        <f>G35</f>
        <v>-79314</v>
      </c>
      <c r="D35" s="55"/>
      <c r="E35" s="236"/>
      <c r="F35" s="55"/>
      <c r="G35" s="267">
        <f>IF(G4="","",Data!C41)</f>
        <v>-79314</v>
      </c>
      <c r="H35" s="267">
        <f>IF(H4="","",Data!D41)</f>
        <v>-74268</v>
      </c>
      <c r="I35" s="267">
        <f>IF(I4="","",Data!E41)</f>
        <v>-74064</v>
      </c>
      <c r="J35" s="267">
        <f>IF(J4="","",Data!F41)</f>
        <v>-70617</v>
      </c>
      <c r="K35" s="267">
        <f>IF(K4="","",Data!G41)</f>
        <v>-55109</v>
      </c>
      <c r="L35" s="267" t="str">
        <f>IF(L4="","",Data!H41)</f>
        <v/>
      </c>
      <c r="M35" s="267" t="str">
        <f>IF(M4="","",Data!I41)</f>
        <v/>
      </c>
      <c r="N35" s="267" t="str">
        <f>IF(N4="","",Data!J41)</f>
        <v/>
      </c>
      <c r="O35" s="267" t="str">
        <f>IF(O4="","",Data!K41)</f>
        <v/>
      </c>
      <c r="P35" s="267" t="str">
        <f>IF(P4="","",Data!L41)</f>
        <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396</v>
      </c>
      <c r="C38" s="68">
        <f>ABS(C35/$C$4)</f>
        <v>6.8443820821025542E-2</v>
      </c>
      <c r="E38" s="237"/>
      <c r="G38" s="29">
        <f t="shared" ref="G38:Q38" si="15">IF(G$4="","",ABS(G35/G$4))</f>
        <v>6.8443820821025542E-2</v>
      </c>
      <c r="H38" s="29">
        <f t="shared" si="15"/>
        <v>6.8471099752734035E-2</v>
      </c>
      <c r="I38" s="29">
        <f t="shared" si="15"/>
        <v>7.0790911419603225E-2</v>
      </c>
      <c r="J38" s="29">
        <f t="shared" si="15"/>
        <v>7.4209325004834001E-2</v>
      </c>
      <c r="K38" s="29">
        <f t="shared" si="15"/>
        <v>7.3892266311970198E-2</v>
      </c>
      <c r="L38" s="29" t="str">
        <f t="shared" si="15"/>
        <v/>
      </c>
      <c r="M38" s="29" t="str">
        <f t="shared" si="15"/>
        <v/>
      </c>
      <c r="N38" s="29" t="str">
        <f t="shared" si="15"/>
        <v/>
      </c>
      <c r="O38" s="29" t="str">
        <f t="shared" si="15"/>
        <v/>
      </c>
      <c r="P38" s="29" t="str">
        <f t="shared" si="15"/>
        <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0.25</v>
      </c>
      <c r="D41" s="26"/>
      <c r="E41" s="234" t="s">
        <v>403</v>
      </c>
      <c r="F41" s="26"/>
      <c r="G41" s="6">
        <f t="shared" ref="G41:Q41" si="16">IF(G$4="","",-G12/SUM(G8+G9,G10))</f>
        <v>0.17635445244993719</v>
      </c>
      <c r="H41" s="6">
        <f t="shared" si="16"/>
        <v>0.31040349125337474</v>
      </c>
      <c r="I41" s="6">
        <f t="shared" si="16"/>
        <v>0.29737235633411663</v>
      </c>
      <c r="J41" s="6">
        <f t="shared" si="16"/>
        <v>0.93740685543964231</v>
      </c>
      <c r="K41" s="6">
        <f t="shared" si="16"/>
        <v>0.10692640692640693</v>
      </c>
      <c r="L41" s="6" t="str">
        <f t="shared" si="16"/>
        <v/>
      </c>
      <c r="M41" s="6" t="str">
        <f t="shared" si="16"/>
        <v/>
      </c>
      <c r="N41" s="6" t="str">
        <f t="shared" si="16"/>
        <v/>
      </c>
      <c r="O41" s="6" t="str">
        <f t="shared" si="16"/>
        <v/>
      </c>
      <c r="P41" s="6" t="str">
        <f t="shared" si="16"/>
        <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-4483.5600000000004</v>
      </c>
      <c r="E45" s="237"/>
      <c r="G45" s="266">
        <f>Data!C51</f>
        <v>-2896</v>
      </c>
      <c r="H45" s="266">
        <f>Data!D51</f>
        <v>-2881</v>
      </c>
      <c r="I45" s="266">
        <f>Data!E51</f>
        <v>-2106</v>
      </c>
      <c r="J45" s="266">
        <f>Data!F51</f>
        <v>-1213</v>
      </c>
      <c r="K45" s="266">
        <f>Data!G51</f>
        <v>-1125</v>
      </c>
      <c r="L45" s="266" t="str">
        <f>Data!H51</f>
        <v/>
      </c>
      <c r="M45" s="266" t="str">
        <f>Data!I51</f>
        <v/>
      </c>
      <c r="N45" s="266" t="str">
        <f>Data!J51</f>
        <v/>
      </c>
      <c r="O45" s="266" t="str">
        <f>Data!K51</f>
        <v/>
      </c>
      <c r="P45" s="266" t="str">
        <f>Data!L51</f>
        <v/>
      </c>
      <c r="Q45" s="266" t="str">
        <f>Data!M51</f>
        <v/>
      </c>
    </row>
    <row r="46" spans="1:17" ht="15.75" customHeight="1" x14ac:dyDescent="0.15">
      <c r="A46" s="10"/>
      <c r="B46" s="2" t="s">
        <v>272</v>
      </c>
      <c r="C46" s="266">
        <f>BS!D75*C51</f>
        <v>565.84868687385779</v>
      </c>
      <c r="E46" s="237"/>
      <c r="G46" s="274">
        <f t="shared" ref="G46:Q46" si="17">IFERROR(IF(G$4="","",($C$46/$C$47)*G47),0)</f>
        <v>0</v>
      </c>
      <c r="H46" s="274">
        <f t="shared" si="17"/>
        <v>0</v>
      </c>
      <c r="I46" s="274">
        <f t="shared" si="17"/>
        <v>0</v>
      </c>
      <c r="J46" s="274">
        <f t="shared" si="17"/>
        <v>0</v>
      </c>
      <c r="K46" s="274">
        <f t="shared" si="17"/>
        <v>0</v>
      </c>
      <c r="L46" s="274" t="str">
        <f t="shared" si="17"/>
        <v/>
      </c>
      <c r="M46" s="274" t="str">
        <f t="shared" si="17"/>
        <v/>
      </c>
      <c r="N46" s="274" t="str">
        <f t="shared" si="17"/>
        <v/>
      </c>
      <c r="O46" s="274" t="str">
        <f t="shared" si="17"/>
        <v/>
      </c>
      <c r="P46" s="274" t="str">
        <f t="shared" si="17"/>
        <v/>
      </c>
      <c r="Q46" s="274" t="str">
        <f t="shared" si="17"/>
        <v/>
      </c>
    </row>
    <row r="47" spans="1:17" ht="15.75" customHeight="1" x14ac:dyDescent="0.15">
      <c r="A47" s="10"/>
      <c r="B47" s="245" t="s">
        <v>269</v>
      </c>
      <c r="C47" s="278">
        <f>BS!$C$66*C51</f>
        <v>752.01</v>
      </c>
      <c r="D47" s="246"/>
      <c r="E47" s="247"/>
      <c r="F47" s="246"/>
      <c r="G47" s="278">
        <f>Data!C52</f>
        <v>0</v>
      </c>
      <c r="H47" s="278">
        <f>Data!D52</f>
        <v>0</v>
      </c>
      <c r="I47" s="278">
        <f>Data!E52</f>
        <v>0</v>
      </c>
      <c r="J47" s="278">
        <f>Data!F52</f>
        <v>0</v>
      </c>
      <c r="K47" s="278">
        <f>Data!G52</f>
        <v>0</v>
      </c>
      <c r="L47" s="278" t="str">
        <f>Data!H52</f>
        <v/>
      </c>
      <c r="M47" s="278" t="str">
        <f>Data!I52</f>
        <v/>
      </c>
      <c r="N47" s="278" t="str">
        <f>Data!J52</f>
        <v/>
      </c>
      <c r="O47" s="278" t="str">
        <f>Data!K52</f>
        <v/>
      </c>
      <c r="P47" s="278" t="str">
        <f>Data!L52</f>
        <v/>
      </c>
      <c r="Q47" s="278" t="str">
        <f>Data!M52</f>
        <v/>
      </c>
    </row>
    <row r="48" spans="1:17" ht="15.75" customHeight="1" x14ac:dyDescent="0.15">
      <c r="A48" s="10"/>
      <c r="B48" s="67" t="s">
        <v>65</v>
      </c>
      <c r="C48" s="267">
        <f>C45+C46</f>
        <v>-3917.7113131261426</v>
      </c>
      <c r="E48" s="237"/>
      <c r="G48" s="267">
        <f>IF(G$4="","",(G45+G46))</f>
        <v>-2896</v>
      </c>
      <c r="H48" s="267">
        <f t="shared" ref="H48:Q48" si="18">IF(H$4="","",(H45+H46))</f>
        <v>-2881</v>
      </c>
      <c r="I48" s="267">
        <f t="shared" si="18"/>
        <v>-2106</v>
      </c>
      <c r="J48" s="267">
        <f t="shared" si="18"/>
        <v>-1213</v>
      </c>
      <c r="K48" s="267">
        <f t="shared" si="18"/>
        <v>-1125</v>
      </c>
      <c r="L48" s="267" t="str">
        <f t="shared" si="18"/>
        <v/>
      </c>
      <c r="M48" s="267" t="str">
        <f t="shared" si="18"/>
        <v/>
      </c>
      <c r="N48" s="267" t="str">
        <f t="shared" si="18"/>
        <v/>
      </c>
      <c r="O48" s="267" t="str">
        <f t="shared" si="18"/>
        <v/>
      </c>
      <c r="P48" s="267" t="str">
        <f t="shared" si="18"/>
        <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x14ac:dyDescent="0.15">
      <c r="A52" s="10"/>
      <c r="B52" s="8" t="s">
        <v>84</v>
      </c>
      <c r="C52" s="79">
        <v>0.04</v>
      </c>
      <c r="E52" s="234"/>
      <c r="G52" s="22">
        <f>IFERROR(ABS(Normalized_FCF!G45/BS!$G$31),0)</f>
        <v>2.5836611977981781E-2</v>
      </c>
      <c r="H52" s="151"/>
      <c r="I52" s="151"/>
      <c r="J52" s="151"/>
      <c r="K52" s="151"/>
      <c r="L52" s="151"/>
      <c r="M52" s="151"/>
      <c r="N52" s="151"/>
      <c r="O52" s="151"/>
      <c r="P52" s="151"/>
      <c r="Q52" s="151"/>
    </row>
    <row r="53" spans="1:17" ht="15.75" customHeight="1" x14ac:dyDescent="0.15">
      <c r="A53" s="10"/>
      <c r="B53" s="25" t="s">
        <v>87</v>
      </c>
      <c r="C53" s="40">
        <f>-C8/C45</f>
        <v>8.6647972281914534</v>
      </c>
      <c r="E53" s="237"/>
      <c r="G53" s="40">
        <f t="shared" ref="G53:Q53" si="19">IF(G4="","",-G8/G45)</f>
        <v>13.663674033149171</v>
      </c>
      <c r="H53" s="40">
        <f t="shared" si="19"/>
        <v>10.034710170079833</v>
      </c>
      <c r="I53" s="40">
        <f t="shared" si="19"/>
        <v>8.7103513770180445</v>
      </c>
      <c r="J53" s="40">
        <f t="shared" si="19"/>
        <v>6.7139323990107176</v>
      </c>
      <c r="K53" s="40">
        <f t="shared" si="19"/>
        <v>9.5057777777777783</v>
      </c>
      <c r="L53" s="40" t="str">
        <f t="shared" si="19"/>
        <v/>
      </c>
      <c r="M53" s="40" t="str">
        <f t="shared" si="19"/>
        <v/>
      </c>
      <c r="N53" s="40" t="str">
        <f t="shared" si="19"/>
        <v/>
      </c>
      <c r="O53" s="40" t="str">
        <f t="shared" si="19"/>
        <v/>
      </c>
      <c r="P53" s="40" t="str">
        <f t="shared" si="19"/>
        <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f>Data!E56</f>
        <v>0</v>
      </c>
      <c r="J56" s="266">
        <f>Data!F56</f>
        <v>0</v>
      </c>
      <c r="K56" s="266">
        <f>Data!G56</f>
        <v>0</v>
      </c>
      <c r="L56" s="266" t="str">
        <f>Data!H56</f>
        <v/>
      </c>
      <c r="M56" s="266" t="str">
        <f>Data!I56</f>
        <v/>
      </c>
      <c r="N56" s="266" t="str">
        <f>Data!J56</f>
        <v/>
      </c>
      <c r="O56" s="266" t="str">
        <f>Data!K56</f>
        <v/>
      </c>
      <c r="P56" s="266" t="str">
        <f>Data!L56</f>
        <v/>
      </c>
      <c r="Q56" s="266" t="str">
        <f>Data!M56</f>
        <v/>
      </c>
    </row>
    <row r="57" spans="1:17" ht="15.75" customHeight="1" x14ac:dyDescent="0.15">
      <c r="A57" s="10"/>
      <c r="B57" s="38" t="s">
        <v>134</v>
      </c>
      <c r="C57" s="266">
        <f>BS!$C68*C65</f>
        <v>0</v>
      </c>
      <c r="E57" s="237"/>
      <c r="G57" s="266">
        <f>Data!C55</f>
        <v>2327</v>
      </c>
      <c r="H57" s="266">
        <f>Data!D55</f>
        <v>1010</v>
      </c>
      <c r="I57" s="266">
        <f>Data!E55</f>
        <v>-2195</v>
      </c>
      <c r="J57" s="266">
        <f>Data!F55</f>
        <v>-4918</v>
      </c>
      <c r="K57" s="266">
        <f>Data!G55</f>
        <v>4291</v>
      </c>
      <c r="L57" s="266" t="str">
        <f>Data!H55</f>
        <v/>
      </c>
      <c r="M57" s="266" t="str">
        <f>Data!I55</f>
        <v/>
      </c>
      <c r="N57" s="266" t="str">
        <f>Data!J55</f>
        <v/>
      </c>
      <c r="O57" s="266" t="str">
        <f>Data!K55</f>
        <v/>
      </c>
      <c r="P57" s="266" t="str">
        <f>Data!L55</f>
        <v/>
      </c>
      <c r="Q57" s="266" t="str">
        <f>Data!M55</f>
        <v/>
      </c>
    </row>
    <row r="58" spans="1:17" ht="15.75" customHeight="1" x14ac:dyDescent="0.15">
      <c r="A58" s="10"/>
      <c r="B58" s="38" t="s">
        <v>133</v>
      </c>
      <c r="C58" s="266">
        <f>BS!$C69*C66</f>
        <v>0</v>
      </c>
      <c r="E58" s="237"/>
      <c r="G58" s="266">
        <f>Data!C57</f>
        <v>0</v>
      </c>
      <c r="H58" s="266">
        <f>Data!D57</f>
        <v>0</v>
      </c>
      <c r="I58" s="266">
        <f>Data!E57</f>
        <v>0</v>
      </c>
      <c r="J58" s="266">
        <f>Data!F57</f>
        <v>0</v>
      </c>
      <c r="K58" s="266">
        <f>Data!G57</f>
        <v>0</v>
      </c>
      <c r="L58" s="266" t="str">
        <f>Data!H57</f>
        <v/>
      </c>
      <c r="M58" s="266" t="str">
        <f>Data!I57</f>
        <v/>
      </c>
      <c r="N58" s="266" t="str">
        <f>Data!J57</f>
        <v/>
      </c>
      <c r="O58" s="266" t="str">
        <f>Data!K57</f>
        <v/>
      </c>
      <c r="P58" s="266" t="str">
        <f>Data!L57</f>
        <v/>
      </c>
      <c r="Q58" s="266" t="str">
        <f>Data!M57</f>
        <v/>
      </c>
    </row>
    <row r="59" spans="1:17" ht="15.75" customHeight="1" x14ac:dyDescent="0.15">
      <c r="A59" s="10"/>
      <c r="B59" s="30" t="s">
        <v>163</v>
      </c>
      <c r="C59" s="267">
        <f>SUM(C56:C58)</f>
        <v>0</v>
      </c>
      <c r="E59" s="237"/>
      <c r="G59" s="267">
        <f t="shared" ref="G59:Q59" si="20">IF(G4="","",SUM(G56:G58))</f>
        <v>2327</v>
      </c>
      <c r="H59" s="267">
        <f t="shared" si="20"/>
        <v>1010</v>
      </c>
      <c r="I59" s="267">
        <f t="shared" si="20"/>
        <v>-2195</v>
      </c>
      <c r="J59" s="267">
        <f t="shared" si="20"/>
        <v>-4918</v>
      </c>
      <c r="K59" s="267">
        <f t="shared" si="20"/>
        <v>4291</v>
      </c>
      <c r="L59" s="267" t="str">
        <f t="shared" si="20"/>
        <v/>
      </c>
      <c r="M59" s="267" t="str">
        <f t="shared" si="20"/>
        <v/>
      </c>
      <c r="N59" s="267" t="str">
        <f t="shared" si="20"/>
        <v/>
      </c>
      <c r="O59" s="267" t="str">
        <f t="shared" si="20"/>
        <v/>
      </c>
      <c r="P59" s="267" t="str">
        <f t="shared" si="20"/>
        <v/>
      </c>
      <c r="Q59" s="267" t="str">
        <f t="shared" si="20"/>
        <v/>
      </c>
    </row>
    <row r="60" spans="1:17" ht="15.75" customHeight="1" x14ac:dyDescent="0.15">
      <c r="A60" s="10"/>
      <c r="B60" s="38" t="s">
        <v>135</v>
      </c>
      <c r="C60" s="279">
        <v>0</v>
      </c>
      <c r="E60" s="235" t="s">
        <v>264</v>
      </c>
      <c r="G60" s="266">
        <f>Data!C58</f>
        <v>12537</v>
      </c>
      <c r="H60" s="266">
        <f>Data!D58</f>
        <v>4611</v>
      </c>
      <c r="I60" s="266">
        <f>Data!E58</f>
        <v>-176</v>
      </c>
      <c r="J60" s="266">
        <f>Data!F58</f>
        <v>-4593</v>
      </c>
      <c r="K60" s="266">
        <f>Data!G58</f>
        <v>36959</v>
      </c>
      <c r="L60" s="266" t="str">
        <f>Data!H58</f>
        <v/>
      </c>
      <c r="M60" s="266" t="str">
        <f>Data!I58</f>
        <v/>
      </c>
      <c r="N60" s="266" t="str">
        <f>Data!J58</f>
        <v/>
      </c>
      <c r="O60" s="266" t="str">
        <f>Data!K58</f>
        <v/>
      </c>
      <c r="P60" s="266" t="str">
        <f>Data!L58</f>
        <v/>
      </c>
      <c r="Q60" s="266" t="str">
        <f>Data!M58</f>
        <v/>
      </c>
    </row>
    <row r="61" spans="1:17" ht="15.75" customHeight="1" x14ac:dyDescent="0.15">
      <c r="A61" s="10"/>
      <c r="B61" s="30" t="s">
        <v>164</v>
      </c>
      <c r="C61" s="267">
        <f>C59+C60</f>
        <v>0</v>
      </c>
      <c r="E61" s="237"/>
      <c r="G61" s="267">
        <f t="shared" ref="G61:Q61" si="21">IF(G4="","",G59+G60)</f>
        <v>14864</v>
      </c>
      <c r="H61" s="267">
        <f t="shared" si="21"/>
        <v>5621</v>
      </c>
      <c r="I61" s="267">
        <f t="shared" si="21"/>
        <v>-2371</v>
      </c>
      <c r="J61" s="267">
        <f t="shared" si="21"/>
        <v>-9511</v>
      </c>
      <c r="K61" s="267">
        <f t="shared" si="21"/>
        <v>41250</v>
      </c>
      <c r="L61" s="267" t="str">
        <f t="shared" si="21"/>
        <v/>
      </c>
      <c r="M61" s="267" t="str">
        <f t="shared" si="21"/>
        <v/>
      </c>
      <c r="N61" s="267" t="str">
        <f t="shared" si="21"/>
        <v/>
      </c>
      <c r="O61" s="267" t="str">
        <f t="shared" si="21"/>
        <v/>
      </c>
      <c r="P61" s="267" t="str">
        <f t="shared" si="21"/>
        <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0</v>
      </c>
      <c r="E65" s="237"/>
      <c r="G65" s="22">
        <f>IFERROR(G57/BS!$C$68,0)</f>
        <v>0</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0</v>
      </c>
      <c r="D67" s="9"/>
      <c r="E67" s="240"/>
      <c r="F67" s="9"/>
      <c r="G67" s="68">
        <f>G59/BS!C70</f>
        <v>1.8566242470179919E-2</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0.89803141106555029</v>
      </c>
      <c r="D71" s="26"/>
      <c r="E71" s="234"/>
      <c r="F71" s="26"/>
      <c r="G71" s="6">
        <f t="shared" ref="G71:Q71" si="23">IF(G$4="","",ABS(G5/G$4))</f>
        <v>0.89740934520403959</v>
      </c>
      <c r="H71" s="6">
        <f t="shared" si="23"/>
        <v>0.90487543585006203</v>
      </c>
      <c r="I71" s="6">
        <f t="shared" si="23"/>
        <v>0.91167575958005653</v>
      </c>
      <c r="J71" s="6">
        <f t="shared" si="23"/>
        <v>0.91723238530798912</v>
      </c>
      <c r="K71" s="6">
        <f t="shared" si="23"/>
        <v>0.91176880727056242</v>
      </c>
      <c r="L71" s="6" t="str">
        <f t="shared" si="23"/>
        <v/>
      </c>
      <c r="M71" s="6" t="str">
        <f t="shared" si="23"/>
        <v/>
      </c>
      <c r="N71" s="6" t="str">
        <f t="shared" si="23"/>
        <v/>
      </c>
      <c r="O71" s="6" t="str">
        <f t="shared" si="23"/>
        <v/>
      </c>
      <c r="P71" s="6" t="str">
        <f t="shared" si="23"/>
        <v/>
      </c>
      <c r="Q71" s="6" t="str">
        <f t="shared" si="23"/>
        <v/>
      </c>
    </row>
    <row r="72" spans="1:17" ht="15.75" customHeight="1" x14ac:dyDescent="0.15">
      <c r="A72" s="10"/>
      <c r="B72" s="30" t="s">
        <v>45</v>
      </c>
      <c r="C72" s="75">
        <f t="shared" si="22"/>
        <v>0.10196858893444971</v>
      </c>
      <c r="D72" s="26"/>
      <c r="E72" s="234"/>
      <c r="F72" s="26"/>
      <c r="G72" s="62">
        <f t="shared" ref="G72:Q72" si="24">IF(G$4="","",ABS(G6/G$4))</f>
        <v>0.10259065479596037</v>
      </c>
      <c r="H72" s="62">
        <f t="shared" si="24"/>
        <v>9.512456414993796E-2</v>
      </c>
      <c r="I72" s="62">
        <f t="shared" si="24"/>
        <v>8.8324240419943495E-2</v>
      </c>
      <c r="J72" s="62">
        <f t="shared" si="24"/>
        <v>8.2767614692010869E-2</v>
      </c>
      <c r="K72" s="62">
        <f t="shared" si="24"/>
        <v>8.8231192729437566E-2</v>
      </c>
      <c r="L72" s="62" t="str">
        <f t="shared" si="24"/>
        <v/>
      </c>
      <c r="M72" s="62" t="str">
        <f t="shared" si="24"/>
        <v/>
      </c>
      <c r="N72" s="62" t="str">
        <f t="shared" si="24"/>
        <v/>
      </c>
      <c r="O72" s="62" t="str">
        <f t="shared" si="24"/>
        <v/>
      </c>
      <c r="P72" s="62" t="str">
        <f t="shared" si="24"/>
        <v/>
      </c>
      <c r="Q72" s="62" t="str">
        <f t="shared" si="24"/>
        <v/>
      </c>
    </row>
    <row r="73" spans="1:17" ht="15.75" customHeight="1" x14ac:dyDescent="0.15">
      <c r="A73" s="10"/>
      <c r="B73" s="8" t="s">
        <v>42</v>
      </c>
      <c r="C73" s="74">
        <f t="shared" si="22"/>
        <v>6.8443820821025542E-2</v>
      </c>
      <c r="D73" s="26"/>
      <c r="E73" s="234"/>
      <c r="F73" s="26"/>
      <c r="G73" s="6">
        <f t="shared" ref="G73:Q73" si="25">IF(G$4="","",ABS(G7/G$4))</f>
        <v>6.8443820821025542E-2</v>
      </c>
      <c r="H73" s="6">
        <f t="shared" si="25"/>
        <v>6.8471099752734035E-2</v>
      </c>
      <c r="I73" s="6">
        <f t="shared" si="25"/>
        <v>7.0790911419603225E-2</v>
      </c>
      <c r="J73" s="6">
        <f t="shared" si="25"/>
        <v>7.4209325004834001E-2</v>
      </c>
      <c r="K73" s="6">
        <f t="shared" si="25"/>
        <v>7.3892266311970198E-2</v>
      </c>
      <c r="L73" s="6" t="str">
        <f t="shared" si="25"/>
        <v/>
      </c>
      <c r="M73" s="6" t="str">
        <f t="shared" si="25"/>
        <v/>
      </c>
      <c r="N73" s="6" t="str">
        <f t="shared" si="25"/>
        <v/>
      </c>
      <c r="O73" s="6" t="str">
        <f t="shared" si="25"/>
        <v/>
      </c>
      <c r="P73" s="6" t="str">
        <f t="shared" si="25"/>
        <v/>
      </c>
      <c r="Q73" s="6" t="str">
        <f t="shared" si="25"/>
        <v/>
      </c>
    </row>
    <row r="74" spans="1:17" ht="15.75" customHeight="1" x14ac:dyDescent="0.15">
      <c r="A74" s="10"/>
      <c r="B74" s="28" t="s">
        <v>127</v>
      </c>
      <c r="C74" s="75">
        <f t="shared" si="22"/>
        <v>3.3524768113424162E-2</v>
      </c>
      <c r="D74" s="26"/>
      <c r="E74" s="234"/>
      <c r="F74" s="26"/>
      <c r="G74" s="62">
        <f t="shared" ref="G74:Q74" si="26">IF(G$4="","",ABS(G8/G$4))</f>
        <v>3.4146833974934829E-2</v>
      </c>
      <c r="H74" s="62">
        <f t="shared" si="26"/>
        <v>2.6653464397203921E-2</v>
      </c>
      <c r="I74" s="62">
        <f t="shared" si="26"/>
        <v>1.7533329000340266E-2</v>
      </c>
      <c r="J74" s="62">
        <f t="shared" si="26"/>
        <v>8.5582896871768573E-3</v>
      </c>
      <c r="K74" s="62">
        <f t="shared" si="26"/>
        <v>1.4338926417467372E-2</v>
      </c>
      <c r="L74" s="62" t="str">
        <f t="shared" si="26"/>
        <v/>
      </c>
      <c r="M74" s="62" t="str">
        <f t="shared" si="26"/>
        <v/>
      </c>
      <c r="N74" s="62" t="str">
        <f t="shared" si="26"/>
        <v/>
      </c>
      <c r="O74" s="62" t="str">
        <f t="shared" si="26"/>
        <v/>
      </c>
      <c r="P74" s="62" t="str">
        <f t="shared" si="26"/>
        <v/>
      </c>
      <c r="Q74" s="62" t="str">
        <f t="shared" si="26"/>
        <v/>
      </c>
    </row>
    <row r="75" spans="1:17" ht="15.75" customHeight="1" x14ac:dyDescent="0.15">
      <c r="A75" s="10"/>
      <c r="B75" s="26" t="s">
        <v>128</v>
      </c>
      <c r="C75" s="74">
        <f t="shared" si="22"/>
        <v>0</v>
      </c>
      <c r="D75" s="26"/>
      <c r="E75" s="234"/>
      <c r="F75" s="26"/>
      <c r="G75" s="6">
        <f t="shared" ref="G75:Q75" si="27">IF(G$4="","",G9/G$4)</f>
        <v>2.0080789148262152E-3</v>
      </c>
      <c r="H75" s="6">
        <f t="shared" si="27"/>
        <v>9.3116565344780213E-4</v>
      </c>
      <c r="I75" s="6">
        <f t="shared" si="27"/>
        <v>-2.0979970102347847E-3</v>
      </c>
      <c r="J75" s="6">
        <f t="shared" si="27"/>
        <v>-5.168181321406653E-3</v>
      </c>
      <c r="K75" s="6">
        <f t="shared" si="27"/>
        <v>5.7535378022585083E-3</v>
      </c>
      <c r="L75" s="6" t="str">
        <f t="shared" si="27"/>
        <v/>
      </c>
      <c r="M75" s="6" t="str">
        <f t="shared" si="27"/>
        <v/>
      </c>
      <c r="N75" s="6" t="str">
        <f t="shared" si="27"/>
        <v/>
      </c>
      <c r="O75" s="6" t="str">
        <f t="shared" si="27"/>
        <v/>
      </c>
      <c r="P75" s="6" t="str">
        <f t="shared" si="27"/>
        <v/>
      </c>
      <c r="Q75" s="6" t="str">
        <f t="shared" si="27"/>
        <v/>
      </c>
    </row>
    <row r="76" spans="1:17" ht="15.75" customHeight="1" x14ac:dyDescent="0.15">
      <c r="A76" s="10"/>
      <c r="B76" s="2" t="s">
        <v>65</v>
      </c>
      <c r="C76" s="74">
        <f t="shared" si="22"/>
        <v>3.3807793219874224E-3</v>
      </c>
      <c r="D76" s="26"/>
      <c r="E76" s="234"/>
      <c r="F76" s="26"/>
      <c r="G76" s="6">
        <f t="shared" ref="G76:Q76" si="28">IF(G$4="","",ABS(G10/G$4))</f>
        <v>2.499096062456691E-3</v>
      </c>
      <c r="H76" s="6">
        <f t="shared" si="28"/>
        <v>2.6561269778050674E-3</v>
      </c>
      <c r="I76" s="6">
        <f t="shared" si="28"/>
        <v>2.0129301610726453E-3</v>
      </c>
      <c r="J76" s="6">
        <f t="shared" si="28"/>
        <v>1.2747059664225844E-3</v>
      </c>
      <c r="K76" s="6">
        <f t="shared" si="28"/>
        <v>1.5084432597391802E-3</v>
      </c>
      <c r="L76" s="6" t="str">
        <f t="shared" si="28"/>
        <v/>
      </c>
      <c r="M76" s="6" t="str">
        <f t="shared" si="28"/>
        <v/>
      </c>
      <c r="N76" s="6" t="str">
        <f t="shared" si="28"/>
        <v/>
      </c>
      <c r="O76" s="6" t="str">
        <f t="shared" si="28"/>
        <v/>
      </c>
      <c r="P76" s="6" t="str">
        <f t="shared" si="28"/>
        <v/>
      </c>
      <c r="Q76" s="6" t="str">
        <f t="shared" si="28"/>
        <v/>
      </c>
    </row>
    <row r="77" spans="1:17" ht="15.75" customHeight="1" x14ac:dyDescent="0.15">
      <c r="A77" s="10"/>
      <c r="B77" s="67" t="s">
        <v>137</v>
      </c>
      <c r="C77" s="75">
        <f>C11/C4</f>
        <v>3.0143988791436739E-2</v>
      </c>
      <c r="D77" s="26"/>
      <c r="E77" s="234"/>
      <c r="F77" s="26"/>
      <c r="G77" s="62">
        <f t="shared" ref="G77:Q77" si="29">IF(G$4="","",G11/G$4)</f>
        <v>3.3655816827304348E-2</v>
      </c>
      <c r="H77" s="62">
        <f t="shared" si="29"/>
        <v>2.4928503072846657E-2</v>
      </c>
      <c r="I77" s="62">
        <f t="shared" si="29"/>
        <v>1.3422401829032838E-2</v>
      </c>
      <c r="J77" s="62">
        <f t="shared" si="29"/>
        <v>2.1154023993476194E-3</v>
      </c>
      <c r="K77" s="62">
        <f t="shared" si="29"/>
        <v>1.8584020959986697E-2</v>
      </c>
      <c r="L77" s="62" t="str">
        <f t="shared" si="29"/>
        <v/>
      </c>
      <c r="M77" s="62" t="str">
        <f t="shared" si="29"/>
        <v/>
      </c>
      <c r="N77" s="62" t="str">
        <f t="shared" si="29"/>
        <v/>
      </c>
      <c r="O77" s="62" t="str">
        <f t="shared" si="29"/>
        <v/>
      </c>
      <c r="P77" s="62" t="str">
        <f t="shared" si="29"/>
        <v/>
      </c>
      <c r="Q77" s="62" t="str">
        <f t="shared" si="29"/>
        <v/>
      </c>
    </row>
    <row r="78" spans="1:17" ht="15.75" customHeight="1" x14ac:dyDescent="0.15">
      <c r="A78" s="10"/>
      <c r="B78" s="2" t="s">
        <v>60</v>
      </c>
      <c r="C78" s="74">
        <f>ABS(C12/C$4)</f>
        <v>7.5359971978591848E-3</v>
      </c>
      <c r="D78" s="26"/>
      <c r="E78" s="234"/>
      <c r="F78" s="26"/>
      <c r="G78" s="6">
        <f t="shared" ref="G78:Q78" si="30">IF(G$4="","",ABS(G12/G$4))</f>
        <v>5.9353531483346406E-3</v>
      </c>
      <c r="H78" s="6">
        <f t="shared" si="30"/>
        <v>7.7378943855320832E-3</v>
      </c>
      <c r="I78" s="6">
        <f t="shared" si="30"/>
        <v>3.9914512595628521E-3</v>
      </c>
      <c r="J78" s="6">
        <f t="shared" si="30"/>
        <v>1.9829927111619265E-3</v>
      </c>
      <c r="K78" s="6">
        <f t="shared" si="30"/>
        <v>1.9871225874964131E-3</v>
      </c>
      <c r="L78" s="6" t="str">
        <f t="shared" si="30"/>
        <v/>
      </c>
      <c r="M78" s="6" t="str">
        <f t="shared" si="30"/>
        <v/>
      </c>
      <c r="N78" s="6" t="str">
        <f t="shared" si="30"/>
        <v/>
      </c>
      <c r="O78" s="6" t="str">
        <f t="shared" si="30"/>
        <v/>
      </c>
      <c r="P78" s="6" t="str">
        <f t="shared" si="30"/>
        <v/>
      </c>
      <c r="Q78" s="6" t="str">
        <f t="shared" si="30"/>
        <v/>
      </c>
    </row>
    <row r="79" spans="1:17" ht="15.75" customHeight="1" x14ac:dyDescent="0.15">
      <c r="A79" s="10"/>
      <c r="B79" s="38" t="str">
        <f>B13</f>
        <v>NCI’s Share of Profits</v>
      </c>
      <c r="C79" s="233">
        <f>MIN(BS!C62,MAX(G79:K79))</f>
        <v>2.8485898142850607E-3</v>
      </c>
      <c r="D79" s="26"/>
      <c r="E79" s="234"/>
      <c r="F79" s="26"/>
      <c r="G79" s="6">
        <f t="shared" ref="G79:Q79" si="31">IF(G$4="","",-G13/G$4)</f>
        <v>2.8485898142850607E-3</v>
      </c>
      <c r="H79" s="6">
        <f t="shared" si="31"/>
        <v>0</v>
      </c>
      <c r="I79" s="6">
        <f t="shared" si="31"/>
        <v>0</v>
      </c>
      <c r="J79" s="6">
        <f t="shared" si="31"/>
        <v>0</v>
      </c>
      <c r="K79" s="6">
        <f t="shared" si="31"/>
        <v>0</v>
      </c>
      <c r="L79" s="6" t="str">
        <f t="shared" si="31"/>
        <v/>
      </c>
      <c r="M79" s="6" t="str">
        <f t="shared" si="31"/>
        <v/>
      </c>
      <c r="N79" s="6" t="str">
        <f t="shared" si="31"/>
        <v/>
      </c>
      <c r="O79" s="6" t="str">
        <f t="shared" si="31"/>
        <v/>
      </c>
      <c r="P79" s="6" t="str">
        <f t="shared" si="31"/>
        <v/>
      </c>
      <c r="Q79" s="6" t="str">
        <f t="shared" si="31"/>
        <v/>
      </c>
    </row>
    <row r="80" spans="1:17" ht="15.75" customHeight="1" x14ac:dyDescent="0.15">
      <c r="A80" s="10"/>
      <c r="B80" s="39" t="s">
        <v>129</v>
      </c>
      <c r="C80" s="75">
        <f>ABS(C14/C$4)</f>
        <v>1.9759401779292494E-2</v>
      </c>
      <c r="D80" s="26"/>
      <c r="E80" s="234"/>
      <c r="F80" s="26"/>
      <c r="G80" s="62">
        <f t="shared" ref="G80:Q80" si="32">IF(G$4="","",ABS(G14/G$4))</f>
        <v>2.4871873864684649E-2</v>
      </c>
      <c r="H80" s="62">
        <f t="shared" si="32"/>
        <v>1.7190608687314573E-2</v>
      </c>
      <c r="I80" s="62">
        <f t="shared" si="32"/>
        <v>9.4309505694699855E-3</v>
      </c>
      <c r="J80" s="62">
        <f t="shared" si="32"/>
        <v>1.3240968818569303E-4</v>
      </c>
      <c r="K80" s="62">
        <f t="shared" si="32"/>
        <v>1.6596898372490284E-2</v>
      </c>
      <c r="L80" s="62" t="str">
        <f t="shared" si="32"/>
        <v/>
      </c>
      <c r="M80" s="62" t="str">
        <f t="shared" si="32"/>
        <v/>
      </c>
      <c r="N80" s="62" t="str">
        <f t="shared" si="32"/>
        <v/>
      </c>
      <c r="O80" s="62" t="str">
        <f t="shared" si="32"/>
        <v/>
      </c>
      <c r="P80" s="62" t="str">
        <f t="shared" si="32"/>
        <v/>
      </c>
      <c r="Q80" s="62" t="str">
        <f t="shared" si="32"/>
        <v/>
      </c>
    </row>
    <row r="81" spans="1:17" ht="15.75" customHeight="1" x14ac:dyDescent="0.15">
      <c r="A81" s="10"/>
      <c r="B81" s="2" t="s">
        <v>62</v>
      </c>
      <c r="C81" s="74">
        <f>ABS(C15/C$4)</f>
        <v>7.68368485501187E-3</v>
      </c>
      <c r="D81" s="26"/>
      <c r="E81" s="234"/>
      <c r="F81" s="26"/>
      <c r="G81" s="6">
        <f t="shared" ref="G81:Q81" si="33">IF(G$4="","",G15/G$4)</f>
        <v>7.68368485501187E-3</v>
      </c>
      <c r="H81" s="6">
        <f t="shared" si="33"/>
        <v>7.6447778201873028E-3</v>
      </c>
      <c r="I81" s="6">
        <f t="shared" si="33"/>
        <v>6.9162215790701141E-3</v>
      </c>
      <c r="J81" s="6">
        <f t="shared" si="33"/>
        <v>0</v>
      </c>
      <c r="K81" s="6">
        <f t="shared" si="33"/>
        <v>0</v>
      </c>
      <c r="L81" s="6" t="str">
        <f t="shared" si="33"/>
        <v/>
      </c>
      <c r="M81" s="6" t="str">
        <f t="shared" si="33"/>
        <v/>
      </c>
      <c r="N81" s="6" t="str">
        <f t="shared" si="33"/>
        <v/>
      </c>
      <c r="O81" s="6" t="str">
        <f t="shared" si="33"/>
        <v/>
      </c>
      <c r="P81" s="6" t="str">
        <f t="shared" si="33"/>
        <v/>
      </c>
      <c r="Q81" s="6" t="str">
        <f t="shared" si="33"/>
        <v/>
      </c>
    </row>
    <row r="82" spans="1:17" ht="15.75" customHeight="1" x14ac:dyDescent="0.15">
      <c r="A82" s="10"/>
      <c r="B82" s="2" t="s">
        <v>77</v>
      </c>
      <c r="C82" s="85">
        <f>MAX(AVERAGE(G82:J82),C81)</f>
        <v>7.68368485501187E-3</v>
      </c>
      <c r="D82" s="26"/>
      <c r="E82" s="235" t="s">
        <v>548</v>
      </c>
      <c r="F82" s="26"/>
      <c r="G82" s="6">
        <f t="shared" ref="G82:Q82" si="34">IF(G$4="","",-G16/G$4)</f>
        <v>7.68368485501187E-3</v>
      </c>
      <c r="H82" s="6">
        <f t="shared" si="34"/>
        <v>7.6447778201873028E-3</v>
      </c>
      <c r="I82" s="6">
        <f t="shared" si="34"/>
        <v>6.9162215790701141E-3</v>
      </c>
      <c r="J82" s="6">
        <f t="shared" si="34"/>
        <v>0</v>
      </c>
      <c r="K82" s="6">
        <f t="shared" si="34"/>
        <v>0</v>
      </c>
      <c r="L82" s="6" t="str">
        <f t="shared" si="34"/>
        <v/>
      </c>
      <c r="M82" s="6" t="str">
        <f t="shared" si="34"/>
        <v/>
      </c>
      <c r="N82" s="6" t="str">
        <f t="shared" si="34"/>
        <v/>
      </c>
      <c r="O82" s="6" t="str">
        <f t="shared" si="34"/>
        <v/>
      </c>
      <c r="P82" s="6" t="str">
        <f t="shared" si="34"/>
        <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1.9759401779292494E-2</v>
      </c>
      <c r="D85" s="72"/>
      <c r="E85" s="234"/>
      <c r="F85" s="72"/>
      <c r="G85" s="62">
        <f t="shared" ref="G85:Q85" si="35">IF(G$4="","",ABS(G19/G$4))</f>
        <v>2.4871873864684649E-2</v>
      </c>
      <c r="H85" s="62">
        <f t="shared" si="35"/>
        <v>1.7190608687314573E-2</v>
      </c>
      <c r="I85" s="62">
        <f t="shared" si="35"/>
        <v>9.4309505694699855E-3</v>
      </c>
      <c r="J85" s="62">
        <f t="shared" si="35"/>
        <v>1.3240968818569303E-4</v>
      </c>
      <c r="K85" s="62">
        <f t="shared" si="35"/>
        <v>1.6596898372490284E-2</v>
      </c>
      <c r="L85" s="62" t="str">
        <f t="shared" si="35"/>
        <v/>
      </c>
      <c r="M85" s="62" t="str">
        <f t="shared" si="35"/>
        <v/>
      </c>
      <c r="N85" s="62" t="str">
        <f t="shared" si="35"/>
        <v/>
      </c>
      <c r="O85" s="62" t="str">
        <f t="shared" si="35"/>
        <v/>
      </c>
      <c r="P85" s="62" t="str">
        <f t="shared" si="35"/>
        <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(HKD)</v>
      </c>
      <c r="C88" s="110">
        <f>G88</f>
        <v>3.9</v>
      </c>
      <c r="E88" s="237"/>
      <c r="G88" s="109">
        <f>Data!C65</f>
        <v>3.9</v>
      </c>
      <c r="H88" s="109">
        <f>Data!D65</f>
        <v>2.964</v>
      </c>
      <c r="I88" s="109">
        <f>Data!E65</f>
        <v>2.4180000000000001</v>
      </c>
      <c r="J88" s="109">
        <f>Data!F65</f>
        <v>0</v>
      </c>
      <c r="K88" s="109">
        <f>Data!G65</f>
        <v>0</v>
      </c>
      <c r="L88" s="109" t="str">
        <f>Data!H65</f>
        <v/>
      </c>
      <c r="M88" s="109" t="str">
        <f>Data!I65</f>
        <v/>
      </c>
      <c r="N88" s="109" t="str">
        <f>Data!J65</f>
        <v/>
      </c>
      <c r="O88" s="109" t="str">
        <f>Data!K65</f>
        <v/>
      </c>
      <c r="P88" s="109" t="str">
        <f>Data!L65</f>
        <v/>
      </c>
      <c r="Q88" s="109" t="str">
        <f>Data!M65</f>
        <v/>
      </c>
    </row>
    <row r="89" spans="1:17" ht="15.75" customHeight="1" x14ac:dyDescent="0.15">
      <c r="A89" s="10"/>
      <c r="B89" s="2" t="str">
        <f>"Dividend ("&amp;Market_currency&amp;")"</f>
        <v>Dividend (HKD)</v>
      </c>
      <c r="C89" s="71">
        <f>C88*Common_Shares/scaling_factor</f>
        <v>11727.512008145701</v>
      </c>
      <c r="E89" s="237"/>
      <c r="G89" s="71">
        <f t="shared" ref="G89:Q89" si="36">IF(G$4="","",G88*Common_Shares/scaling_factor)</f>
        <v>11727.512008145701</v>
      </c>
      <c r="H89" s="71">
        <f t="shared" si="36"/>
        <v>8912.9091261907324</v>
      </c>
      <c r="I89" s="71">
        <f t="shared" si="36"/>
        <v>7271.0574450503345</v>
      </c>
      <c r="J89" s="71">
        <f t="shared" si="36"/>
        <v>0</v>
      </c>
      <c r="K89" s="71">
        <f t="shared" si="36"/>
        <v>0</v>
      </c>
      <c r="L89" s="71" t="str">
        <f t="shared" si="36"/>
        <v/>
      </c>
      <c r="M89" s="71" t="str">
        <f t="shared" si="36"/>
        <v/>
      </c>
      <c r="N89" s="71" t="str">
        <f t="shared" si="36"/>
        <v/>
      </c>
      <c r="O89" s="71" t="str">
        <f t="shared" si="36"/>
        <v/>
      </c>
      <c r="P89" s="71" t="str">
        <f t="shared" si="36"/>
        <v/>
      </c>
      <c r="Q89" s="71" t="str">
        <f t="shared" si="36"/>
        <v/>
      </c>
    </row>
    <row r="90" spans="1:17" ht="15.75" customHeight="1" x14ac:dyDescent="0.15">
      <c r="A90" s="10"/>
      <c r="B90" s="2" t="s">
        <v>182</v>
      </c>
      <c r="C90" s="22">
        <f>C88/(C19*scaling_factor/Common_Shares)</f>
        <v>0.51217277206029399</v>
      </c>
      <c r="E90" s="237"/>
      <c r="G90" s="152">
        <f t="shared" ref="G90:Q90" si="37">IF(G$4="","",G88/(G19*scaling_factor/Common_Shares))</f>
        <v>0.4068944559067969</v>
      </c>
      <c r="H90" s="152">
        <f t="shared" si="37"/>
        <v>0.47800649609518031</v>
      </c>
      <c r="I90" s="152">
        <f t="shared" si="37"/>
        <v>0.73690660231583405</v>
      </c>
      <c r="J90" s="152">
        <f t="shared" si="37"/>
        <v>0</v>
      </c>
      <c r="K90" s="152">
        <f t="shared" si="37"/>
        <v>0</v>
      </c>
      <c r="L90" s="152" t="str">
        <f t="shared" si="37"/>
        <v/>
      </c>
      <c r="M90" s="152" t="str">
        <f t="shared" si="37"/>
        <v/>
      </c>
      <c r="N90" s="152" t="str">
        <f t="shared" si="37"/>
        <v/>
      </c>
      <c r="O90" s="152" t="str">
        <f t="shared" si="37"/>
        <v/>
      </c>
      <c r="P90" s="152" t="str">
        <f t="shared" si="37"/>
        <v/>
      </c>
      <c r="Q90" s="152" t="str">
        <f t="shared" si="37"/>
        <v/>
      </c>
    </row>
    <row r="91" spans="1:17" ht="15.75" customHeight="1" x14ac:dyDescent="0.15">
      <c r="A91" s="10"/>
      <c r="B91" s="2" t="s">
        <v>331</v>
      </c>
      <c r="C91" s="292">
        <v>0.1</v>
      </c>
      <c r="E91" s="237"/>
      <c r="G91" s="293"/>
      <c r="H91" s="293"/>
      <c r="I91" s="293"/>
      <c r="J91" s="293"/>
      <c r="K91" s="293"/>
      <c r="L91" s="293"/>
      <c r="M91" s="293"/>
      <c r="N91" s="293"/>
      <c r="O91" s="293"/>
      <c r="P91" s="293"/>
      <c r="Q91" s="293"/>
    </row>
    <row r="92" spans="1:17" ht="15.75" customHeight="1" x14ac:dyDescent="0.15">
      <c r="A92" s="10"/>
      <c r="B92" s="2" t="s">
        <v>330</v>
      </c>
      <c r="C92" s="22">
        <f>(C88*(1-dividend_tax_rate))/Market_Price</f>
        <v>3.3815028901734101E-2</v>
      </c>
      <c r="E92" s="237"/>
      <c r="G92" s="22">
        <f t="shared" ref="G92:Q92" si="38">IF(G$4="","",(G88*(1-dividend_tax_rate))/Market_Price)</f>
        <v>3.3815028901734101E-2</v>
      </c>
      <c r="H92" s="22">
        <f t="shared" si="38"/>
        <v>2.5699421965317923E-2</v>
      </c>
      <c r="I92" s="22">
        <f t="shared" si="38"/>
        <v>2.0965317919075147E-2</v>
      </c>
      <c r="J92" s="22">
        <f t="shared" si="38"/>
        <v>0</v>
      </c>
      <c r="K92" s="22">
        <f t="shared" si="38"/>
        <v>0</v>
      </c>
      <c r="L92" s="22" t="str">
        <f t="shared" si="38"/>
        <v/>
      </c>
      <c r="M92" s="22" t="str">
        <f t="shared" si="38"/>
        <v/>
      </c>
      <c r="N92" s="22" t="str">
        <f t="shared" si="38"/>
        <v/>
      </c>
      <c r="O92" s="22" t="str">
        <f t="shared" si="38"/>
        <v/>
      </c>
      <c r="P92" s="22" t="str">
        <f t="shared" si="38"/>
        <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6.8368763725473958E-2</v>
      </c>
      <c r="H95" s="6">
        <f t="shared" si="39"/>
        <v>3.6727851077577034E-2</v>
      </c>
      <c r="I95" s="6">
        <f t="shared" si="39"/>
        <v>9.945859149719638E-2</v>
      </c>
      <c r="J95" s="6">
        <f t="shared" si="39"/>
        <v>0.27593114526375628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15">
      <c r="A96" s="10"/>
      <c r="B96" s="67" t="s">
        <v>137</v>
      </c>
      <c r="C96" s="74">
        <f>C11/G11-1</f>
        <v>-0.10434535147037427</v>
      </c>
      <c r="D96" s="26"/>
      <c r="E96" s="234"/>
      <c r="F96" s="26"/>
      <c r="G96" s="6">
        <f t="shared" ref="G96:Q96" si="40">IF(H5="","",G11/H11-1)</f>
        <v>0.44239801767816855</v>
      </c>
      <c r="H96" s="6">
        <f t="shared" si="40"/>
        <v>0.92544328135013876</v>
      </c>
      <c r="I96" s="6">
        <f t="shared" si="40"/>
        <v>5.9761549925484347</v>
      </c>
      <c r="J96" s="6">
        <f t="shared" si="40"/>
        <v>-0.85476190476190472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713529</v>
      </c>
      <c r="D100" s="25"/>
      <c r="E100" s="238"/>
      <c r="F100" s="25"/>
      <c r="G100" s="270">
        <f t="shared" ref="G100:Q100" si="41">IF(G$4="","",G104+G103)</f>
        <v>713529</v>
      </c>
      <c r="H100" s="270">
        <f t="shared" si="41"/>
        <v>628344</v>
      </c>
      <c r="I100" s="270">
        <f t="shared" si="41"/>
        <v>595250</v>
      </c>
      <c r="J100" s="270">
        <f t="shared" si="41"/>
        <v>496507</v>
      </c>
      <c r="K100" s="270">
        <f t="shared" si="41"/>
        <v>0</v>
      </c>
      <c r="L100" s="270" t="str">
        <f t="shared" si="41"/>
        <v/>
      </c>
      <c r="M100" s="270" t="str">
        <f t="shared" si="41"/>
        <v/>
      </c>
      <c r="N100" s="270" t="str">
        <f t="shared" si="41"/>
        <v/>
      </c>
      <c r="O100" s="270" t="str">
        <f t="shared" si="41"/>
        <v/>
      </c>
      <c r="P100" s="270" t="str">
        <f t="shared" si="41"/>
        <v/>
      </c>
      <c r="Q100" s="270" t="str">
        <f t="shared" si="41"/>
        <v/>
      </c>
    </row>
    <row r="101" spans="1:17" ht="15.75" customHeight="1" x14ac:dyDescent="0.15">
      <c r="A101" s="10"/>
      <c r="B101" s="90" t="s">
        <v>179</v>
      </c>
      <c r="C101" s="281">
        <f>BS!C4</f>
        <v>41491</v>
      </c>
      <c r="D101" s="86"/>
      <c r="E101" s="239"/>
      <c r="F101" s="86"/>
      <c r="G101" s="282">
        <f>IF(G$4="","",Data!D77)</f>
        <v>22416</v>
      </c>
      <c r="H101" s="282">
        <f>IF(H$4="","",Data!E77)</f>
        <v>205760</v>
      </c>
      <c r="I101" s="282">
        <f>IF(I$4="","",Data!F77)</f>
        <v>11900</v>
      </c>
      <c r="J101" s="282">
        <f>IF(J$4="","",Data!G77)</f>
        <v>0</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x14ac:dyDescent="0.15">
      <c r="A102" s="10"/>
      <c r="B102" s="90" t="s">
        <v>180</v>
      </c>
      <c r="C102" s="281">
        <f>BS!C6+BS!C7</f>
        <v>100999</v>
      </c>
      <c r="D102" s="86"/>
      <c r="E102" s="239"/>
      <c r="F102" s="86"/>
      <c r="G102" s="282">
        <f>IF(G$4="","",Data!D78)</f>
        <v>68058</v>
      </c>
      <c r="H102" s="282">
        <f>IF(H$4="","",Data!E78)</f>
        <v>77949</v>
      </c>
      <c r="I102" s="282">
        <f>IF(I$4="","",Data!F78)</f>
        <v>75601</v>
      </c>
      <c r="J102" s="282">
        <f>IF(J$4="","",Data!G78)</f>
        <v>0</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x14ac:dyDescent="0.15">
      <c r="A103" s="10"/>
      <c r="B103" s="25" t="s">
        <v>38</v>
      </c>
      <c r="C103" s="280">
        <f>BS!G30</f>
        <v>409109</v>
      </c>
      <c r="D103" s="25"/>
      <c r="E103" s="238"/>
      <c r="F103" s="25"/>
      <c r="G103" s="270">
        <f>Data!C79</f>
        <v>409109</v>
      </c>
      <c r="H103" s="270">
        <f>Data!D79</f>
        <v>332578</v>
      </c>
      <c r="I103" s="270">
        <f>Data!E79</f>
        <v>321127</v>
      </c>
      <c r="J103" s="270">
        <f>Data!F79</f>
        <v>249723</v>
      </c>
      <c r="K103" s="270">
        <f>Data!G79</f>
        <v>0</v>
      </c>
      <c r="L103" s="270" t="str">
        <f>Data!H79</f>
        <v/>
      </c>
      <c r="M103" s="270" t="str">
        <f>Data!I79</f>
        <v/>
      </c>
      <c r="N103" s="270" t="str">
        <f>Data!J79</f>
        <v/>
      </c>
      <c r="O103" s="270" t="str">
        <f>Data!K79</f>
        <v/>
      </c>
      <c r="P103" s="270" t="str">
        <f>Data!L79</f>
        <v/>
      </c>
      <c r="Q103" s="270" t="str">
        <f>Data!M79</f>
        <v/>
      </c>
    </row>
    <row r="104" spans="1:17" ht="15.75" customHeight="1" x14ac:dyDescent="0.15">
      <c r="A104" s="10"/>
      <c r="B104" s="25" t="s">
        <v>28</v>
      </c>
      <c r="C104" s="280">
        <f>BS!G27</f>
        <v>304420</v>
      </c>
      <c r="D104" s="25"/>
      <c r="E104" s="238"/>
      <c r="F104" s="25"/>
      <c r="G104" s="270">
        <f>Data!C80</f>
        <v>304420</v>
      </c>
      <c r="H104" s="270">
        <f>Data!D80</f>
        <v>295766</v>
      </c>
      <c r="I104" s="270">
        <f>Data!E80</f>
        <v>274123</v>
      </c>
      <c r="J104" s="270">
        <f>Data!F80</f>
        <v>246784</v>
      </c>
      <c r="K104" s="270">
        <f>Data!G80</f>
        <v>0</v>
      </c>
      <c r="L104" s="270" t="str">
        <f>Data!H80</f>
        <v/>
      </c>
      <c r="M104" s="270" t="str">
        <f>Data!I80</f>
        <v/>
      </c>
      <c r="N104" s="270" t="str">
        <f>Data!J80</f>
        <v/>
      </c>
      <c r="O104" s="270" t="str">
        <f>Data!K80</f>
        <v/>
      </c>
      <c r="P104" s="270" t="str">
        <f>Data!L80</f>
        <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3.5804556190397289E-2</v>
      </c>
      <c r="D107" s="25"/>
      <c r="E107" s="238"/>
      <c r="F107" s="25"/>
      <c r="G107" s="91">
        <f t="shared" ref="G107:Q107" si="42">IF(G$4="","",G101/G$4)</f>
        <v>1.934383195304875E-2</v>
      </c>
      <c r="H107" s="91">
        <f t="shared" si="42"/>
        <v>0.18969964836972256</v>
      </c>
      <c r="I107" s="91">
        <f t="shared" si="42"/>
        <v>1.1374106798083797E-2</v>
      </c>
      <c r="J107" s="91">
        <f t="shared" si="42"/>
        <v>0</v>
      </c>
      <c r="K107" s="91" t="e">
        <f t="shared" si="42"/>
        <v>#VALUE!</v>
      </c>
      <c r="L107" s="91" t="str">
        <f t="shared" si="42"/>
        <v/>
      </c>
      <c r="M107" s="91" t="str">
        <f t="shared" si="42"/>
        <v/>
      </c>
      <c r="N107" s="91" t="str">
        <f t="shared" si="42"/>
        <v/>
      </c>
      <c r="O107" s="91" t="str">
        <f t="shared" si="42"/>
        <v/>
      </c>
      <c r="P107" s="91" t="str">
        <f t="shared" si="42"/>
        <v/>
      </c>
      <c r="Q107" s="91" t="str">
        <f t="shared" si="42"/>
        <v/>
      </c>
    </row>
    <row r="108" spans="1:17" ht="15.75" customHeight="1" x14ac:dyDescent="0.15">
      <c r="A108" s="10"/>
      <c r="B108" s="25" t="s">
        <v>187</v>
      </c>
      <c r="C108" s="91">
        <f>C102/C$4</f>
        <v>8.7156838125712469E-2</v>
      </c>
      <c r="D108" s="25"/>
      <c r="E108" s="238"/>
      <c r="F108" s="25"/>
      <c r="G108" s="91">
        <f t="shared" ref="G108:Q108" si="43">IF(G$4="","",G102/G$4)</f>
        <v>5.8730483362802989E-2</v>
      </c>
      <c r="H108" s="91">
        <f t="shared" si="43"/>
        <v>7.1864783683765074E-2</v>
      </c>
      <c r="I108" s="91">
        <f t="shared" si="43"/>
        <v>7.2259987230414546E-2</v>
      </c>
      <c r="J108" s="91">
        <f t="shared" si="43"/>
        <v>0</v>
      </c>
      <c r="K108" s="91" t="e">
        <f t="shared" si="43"/>
        <v>#VALUE!</v>
      </c>
      <c r="L108" s="91" t="str">
        <f t="shared" si="43"/>
        <v/>
      </c>
      <c r="M108" s="91" t="str">
        <f t="shared" si="43"/>
        <v/>
      </c>
      <c r="N108" s="91" t="str">
        <f t="shared" si="43"/>
        <v/>
      </c>
      <c r="O108" s="91" t="str">
        <f t="shared" si="43"/>
        <v/>
      </c>
      <c r="P108" s="91" t="str">
        <f t="shared" si="43"/>
        <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555</v>
      </c>
      <c r="G112" s="251">
        <f>IF(G$4="","",Data!C$22/Data!C15)</f>
        <v>1.3008284818629645</v>
      </c>
      <c r="H112" s="251">
        <f>IF(H$4="","",Data!D$22/Data!D15)</f>
        <v>2.5592724771036677</v>
      </c>
      <c r="I112" s="251">
        <f>IF(I$4="","",Data!E$22/Data!E15)</f>
        <v>5.9662573521824376</v>
      </c>
      <c r="J112" s="251">
        <f>IF(J$4="","",Data!F$22/Data!F15)</f>
        <v>-9.4696664428027759</v>
      </c>
      <c r="K112" s="251">
        <f>IF(K$4="","",Data!G$22/Data!G15)</f>
        <v>0</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x14ac:dyDescent="0.15">
      <c r="A113" s="10"/>
      <c r="B113" s="2" t="s">
        <v>304</v>
      </c>
      <c r="C113" s="151"/>
      <c r="E113" s="459">
        <f>(Normalized_FCF!E117/Normalized_FCF!C117)^(1/DCF!C15)-1</f>
        <v>0</v>
      </c>
      <c r="G113" s="251">
        <f>IF(G$4="","",Data!C$22/G19)</f>
        <v>2.0156477690652972</v>
      </c>
      <c r="H113" s="251">
        <f>IF(H$4="","",Data!D$22/H19)</f>
        <v>3.192159176230827</v>
      </c>
      <c r="I113" s="251">
        <f>IF(I$4="","",Data!E$22/I19)</f>
        <v>5.8598358163575552</v>
      </c>
      <c r="J113" s="251">
        <f>IF(J$4="","",Data!F$22/J19)</f>
        <v>335.72222222222223</v>
      </c>
      <c r="K113" s="251">
        <f>IF(K$4="","",Data!G$22/K19)</f>
        <v>0</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x14ac:dyDescent="0.15">
      <c r="A114" s="10"/>
      <c r="E114" s="237"/>
    </row>
    <row r="115" spans="1:17" ht="15.75" customHeight="1" x14ac:dyDescent="0.15">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3.0143988791436739E-2</v>
      </c>
      <c r="E116" s="22">
        <f>E119/E117/E118</f>
        <v>3.9404773307997187E-2</v>
      </c>
      <c r="G116" s="22">
        <f t="shared" ref="G116:Q116" si="44">IF(G4="","",G77)</f>
        <v>3.3655816827304348E-2</v>
      </c>
      <c r="H116" s="22">
        <f t="shared" si="44"/>
        <v>2.4928503072846657E-2</v>
      </c>
      <c r="I116" s="22">
        <f t="shared" si="44"/>
        <v>1.3422401829032838E-2</v>
      </c>
      <c r="J116" s="22">
        <f t="shared" si="44"/>
        <v>2.1154023993476194E-3</v>
      </c>
      <c r="K116" s="22">
        <f t="shared" si="44"/>
        <v>1.8584020959986697E-2</v>
      </c>
      <c r="L116" s="22" t="str">
        <f t="shared" si="44"/>
        <v/>
      </c>
      <c r="M116" s="22" t="str">
        <f t="shared" si="44"/>
        <v/>
      </c>
      <c r="N116" s="22" t="str">
        <f t="shared" si="44"/>
        <v/>
      </c>
      <c r="O116" s="22" t="str">
        <f t="shared" si="44"/>
        <v/>
      </c>
      <c r="P116" s="22" t="str">
        <f t="shared" si="44"/>
        <v/>
      </c>
      <c r="Q116" s="22" t="str">
        <f t="shared" si="44"/>
        <v/>
      </c>
    </row>
    <row r="117" spans="1:17" ht="15.75" customHeight="1" x14ac:dyDescent="0.15">
      <c r="B117" s="7" t="s">
        <v>80</v>
      </c>
      <c r="C117" s="452">
        <f>G117</f>
        <v>1.6240671367246462</v>
      </c>
      <c r="E117" s="452">
        <f>C117</f>
        <v>1.6240671367246462</v>
      </c>
      <c r="G117" s="40">
        <f t="shared" ref="G117:Q117" si="45">IF(G4="","",G4/G100)</f>
        <v>1.6240671367246462</v>
      </c>
      <c r="H117" s="40">
        <f t="shared" si="45"/>
        <v>1.7262232153088117</v>
      </c>
      <c r="I117" s="40">
        <f t="shared" si="45"/>
        <v>1.7576413271734566</v>
      </c>
      <c r="J117" s="40">
        <f t="shared" si="45"/>
        <v>1.9165731802371366</v>
      </c>
      <c r="K117" s="40" t="e">
        <f t="shared" si="45"/>
        <v>#DIV/0!</v>
      </c>
      <c r="L117" s="40" t="str">
        <f t="shared" si="45"/>
        <v/>
      </c>
      <c r="M117" s="40" t="str">
        <f t="shared" si="45"/>
        <v/>
      </c>
      <c r="N117" s="40" t="str">
        <f t="shared" si="45"/>
        <v/>
      </c>
      <c r="O117" s="40" t="str">
        <f t="shared" si="45"/>
        <v/>
      </c>
      <c r="P117" s="40" t="str">
        <f t="shared" si="45"/>
        <v/>
      </c>
      <c r="Q117" s="40" t="str">
        <f t="shared" si="45"/>
        <v/>
      </c>
    </row>
    <row r="118" spans="1:17" ht="15.75" customHeight="1" x14ac:dyDescent="0.15">
      <c r="B118" s="7" t="s">
        <v>88</v>
      </c>
      <c r="C118" s="15">
        <f>C100/C104</f>
        <v>2.3438965902371725</v>
      </c>
      <c r="D118" s="11"/>
      <c r="E118" s="15">
        <f>C100/C104</f>
        <v>2.3438965902371725</v>
      </c>
      <c r="F118" s="11"/>
      <c r="G118" s="15">
        <f t="shared" ref="G118:Q118" si="46">IF(G$4="","",G100/G104)</f>
        <v>2.3438965902371725</v>
      </c>
      <c r="H118" s="15">
        <f t="shared" si="46"/>
        <v>2.1244632581162133</v>
      </c>
      <c r="I118" s="15">
        <f t="shared" si="46"/>
        <v>2.1714704712847883</v>
      </c>
      <c r="J118" s="15">
        <f t="shared" si="46"/>
        <v>2.0119091999481329</v>
      </c>
      <c r="K118" s="15" t="e">
        <f t="shared" si="46"/>
        <v>#DIV/0!</v>
      </c>
      <c r="L118" s="15" t="str">
        <f t="shared" si="46"/>
        <v/>
      </c>
      <c r="M118" s="15" t="str">
        <f t="shared" si="46"/>
        <v/>
      </c>
      <c r="N118" s="15" t="str">
        <f t="shared" si="46"/>
        <v/>
      </c>
      <c r="O118" s="15" t="str">
        <f t="shared" si="46"/>
        <v/>
      </c>
      <c r="P118" s="15" t="str">
        <f t="shared" si="46"/>
        <v/>
      </c>
      <c r="Q118" s="15" t="str">
        <f t="shared" si="46"/>
        <v/>
      </c>
    </row>
    <row r="119" spans="1:17" ht="15.75" customHeight="1" x14ac:dyDescent="0.15">
      <c r="A119" s="10"/>
      <c r="B119" s="67" t="s">
        <v>191</v>
      </c>
      <c r="C119" s="62">
        <f>C11/C104</f>
        <v>0.11474747699659658</v>
      </c>
      <c r="D119" s="100"/>
      <c r="E119" s="453">
        <v>0.15</v>
      </c>
      <c r="F119" s="100"/>
      <c r="G119" s="99">
        <f t="shared" ref="G119:Q119" si="47">IF(G$4="","",G11/G104)</f>
        <v>0.12811576111950596</v>
      </c>
      <c r="H119" s="99">
        <f t="shared" si="47"/>
        <v>9.1420244382383373E-2</v>
      </c>
      <c r="I119" s="99">
        <f t="shared" si="47"/>
        <v>5.1228827934905137E-2</v>
      </c>
      <c r="J119" s="99">
        <f t="shared" si="47"/>
        <v>8.1569307572614113E-3</v>
      </c>
      <c r="K119" s="99" t="e">
        <f t="shared" si="47"/>
        <v>#DIV/0!</v>
      </c>
      <c r="L119" s="99" t="str">
        <f t="shared" si="47"/>
        <v/>
      </c>
      <c r="M119" s="99" t="str">
        <f t="shared" si="47"/>
        <v/>
      </c>
      <c r="N119" s="99" t="str">
        <f t="shared" si="47"/>
        <v/>
      </c>
      <c r="O119" s="99" t="str">
        <f t="shared" si="47"/>
        <v/>
      </c>
      <c r="P119" s="99" t="str">
        <f t="shared" si="47"/>
        <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59">
        <f>C14*$C$3/Common_Shares*Exchange_Rate</f>
        <v>8.6165723280823254</v>
      </c>
      <c r="D123" s="26"/>
      <c r="E123" s="234"/>
      <c r="F123" s="26"/>
      <c r="G123" s="159">
        <f t="shared" ref="G123:Q123" si="48">IF(G$4="","",G14*$C$3/Common_Shares*Exchange_Rate)</f>
        <v>10.845991315111027</v>
      </c>
      <c r="H123" s="159">
        <f t="shared" si="48"/>
        <v>7.016666229323441</v>
      </c>
      <c r="I123" s="159">
        <f t="shared" si="48"/>
        <v>3.713045462015145</v>
      </c>
      <c r="J123" s="159">
        <f t="shared" si="48"/>
        <v>4.7414992217888745E-2</v>
      </c>
      <c r="K123" s="159">
        <f t="shared" si="48"/>
        <v>4.6579585212144998</v>
      </c>
      <c r="L123" s="159" t="str">
        <f t="shared" si="48"/>
        <v/>
      </c>
      <c r="M123" s="159" t="str">
        <f t="shared" si="48"/>
        <v/>
      </c>
      <c r="N123" s="159" t="str">
        <f t="shared" si="48"/>
        <v/>
      </c>
      <c r="O123" s="159" t="str">
        <f t="shared" si="48"/>
        <v/>
      </c>
      <c r="P123" s="159" t="str">
        <f t="shared" si="48"/>
        <v/>
      </c>
      <c r="Q123" s="159" t="str">
        <f t="shared" si="48"/>
        <v/>
      </c>
    </row>
    <row r="124" spans="1:17" ht="15.75" customHeight="1" x14ac:dyDescent="0.15">
      <c r="A124" s="10"/>
      <c r="B124" s="26" t="s">
        <v>226</v>
      </c>
      <c r="C124" s="74">
        <f>C19*Exchange_Rate*$C$3/(Market_Price*Common_Shares)</f>
        <v>8.3011294104839359E-2</v>
      </c>
      <c r="D124" s="26"/>
      <c r="E124" s="234"/>
      <c r="F124" s="26"/>
      <c r="G124" s="74">
        <f t="shared" ref="G124" si="49">IF(G$4="","",G123/Market_Price)</f>
        <v>0.10448931902804458</v>
      </c>
      <c r="H124" s="74">
        <f t="shared" ref="H124" si="50">IF(H$4="","",H123/Market_Price)</f>
        <v>6.759794055224895E-2</v>
      </c>
      <c r="I124" s="74">
        <f t="shared" ref="I124" si="51">IF(I$4="","",I123/Market_Price)</f>
        <v>3.577115088646575E-2</v>
      </c>
      <c r="J124" s="74">
        <f t="shared" ref="J124" si="52">IF(J$4="","",J123/Market_Price)</f>
        <v>4.5679183254228079E-4</v>
      </c>
      <c r="K124" s="74">
        <f t="shared" ref="K124" si="53">IF(K$4="","",K123/Market_Price)</f>
        <v>4.4874359549272637E-2</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x14ac:dyDescent="0.15">
      <c r="B125" s="2" t="s">
        <v>306</v>
      </c>
      <c r="C125" s="151"/>
      <c r="G125" s="22">
        <f>IF(G$4="","",(Data!C47*$C$3)/(Market_Price*Common_Shares))</f>
        <v>0.14308038034386381</v>
      </c>
      <c r="H125" s="22">
        <f>IF(H$4="","",(Data!D47*$C$3)/(Market_Price*Common_Shares))</f>
        <v>7.4510085214000002E-2</v>
      </c>
      <c r="I125" s="22">
        <f>IF(I$4="","",(Data!E47*$C$3)/(Market_Price*Common_Shares))</f>
        <v>3.1047737705158621E-2</v>
      </c>
      <c r="J125" s="22">
        <f>IF(J$4="","",(Data!F47*$C$3)/(Market_Price*Common_Shares))</f>
        <v>-1.4311241804658297E-2</v>
      </c>
      <c r="K125" s="22">
        <f>IF(K$4="","",(Data!G47*$C$3)/(Market_Price*Common_Shares))</f>
        <v>0.1580644139056249</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1000000</v>
      </c>
      <c r="E3" s="106" t="s">
        <v>424</v>
      </c>
      <c r="H3" s="106" t="s">
        <v>414</v>
      </c>
    </row>
    <row r="4" spans="2:15" x14ac:dyDescent="0.15">
      <c r="B4" s="97" t="s">
        <v>393</v>
      </c>
      <c r="C4" s="275">
        <f>Normalized_FCF!C19</f>
        <v>22897.570210477948</v>
      </c>
      <c r="D4" t="str">
        <f>Reporting_currency</f>
        <v>CNY</v>
      </c>
      <c r="E4" s="135" t="s">
        <v>431</v>
      </c>
      <c r="F4" s="275">
        <f>-BS!G31</f>
        <v>-112089</v>
      </c>
      <c r="G4" t="str">
        <f>Reporting_currency</f>
        <v>CNY</v>
      </c>
      <c r="H4" s="308" t="s">
        <v>394</v>
      </c>
      <c r="I4" s="305">
        <f>Normalized_FCF!C4</f>
        <v>1158819</v>
      </c>
      <c r="J4" s="305"/>
    </row>
    <row r="5" spans="2:15" x14ac:dyDescent="0.15">
      <c r="B5" s="187" t="s">
        <v>105</v>
      </c>
      <c r="C5" s="188">
        <f>Equity_Cost</f>
        <v>7.2499999999999995E-2</v>
      </c>
      <c r="E5" s="135" t="s">
        <v>432</v>
      </c>
      <c r="F5" s="275">
        <f>BS!D66</f>
        <v>31026.885521023709</v>
      </c>
      <c r="G5" t="str">
        <f>Reporting_currency</f>
        <v>CNY</v>
      </c>
      <c r="H5" s="308" t="s">
        <v>395</v>
      </c>
      <c r="I5" s="305">
        <f>Normalized_FCF!C7</f>
        <v>-79314</v>
      </c>
      <c r="J5" s="305"/>
    </row>
    <row r="6" spans="2:15" ht="13.25" customHeight="1" x14ac:dyDescent="0.15">
      <c r="B6" s="136" t="s">
        <v>194</v>
      </c>
      <c r="C6" s="283">
        <f>(C4*(1+Terminal_Growth))/(Equity_Cost-Terminal_Growth)</f>
        <v>444867.07837500022</v>
      </c>
      <c r="D6" t="str">
        <f>Reporting_currency</f>
        <v>CNY</v>
      </c>
      <c r="E6" s="187" t="s">
        <v>433</v>
      </c>
      <c r="F6" s="284">
        <f>BS!H42</f>
        <v>98531.7</v>
      </c>
      <c r="G6" t="str">
        <f>Reporting_currency</f>
        <v>CNY</v>
      </c>
      <c r="H6" s="308" t="s">
        <v>416</v>
      </c>
      <c r="I6" s="305">
        <f>I7+I8</f>
        <v>-3917.7113131261426</v>
      </c>
      <c r="J6" s="305"/>
      <c r="N6" s="135"/>
    </row>
    <row r="7" spans="2:15" ht="12.75" customHeight="1" x14ac:dyDescent="0.15">
      <c r="B7" s="318" t="s">
        <v>430</v>
      </c>
      <c r="C7" s="275">
        <f>F7</f>
        <v>17469.585521023706</v>
      </c>
      <c r="E7" s="140" t="s">
        <v>424</v>
      </c>
      <c r="F7" s="283">
        <f>SUM(F4:F6)</f>
        <v>17469.585521023706</v>
      </c>
      <c r="G7" t="str">
        <f>Reporting_currency</f>
        <v>CNY</v>
      </c>
      <c r="H7" s="312" t="s">
        <v>417</v>
      </c>
      <c r="I7" s="313">
        <f>Normalized_FCF!C9</f>
        <v>0</v>
      </c>
      <c r="J7" s="313"/>
      <c r="N7" s="304"/>
      <c r="O7" s="304"/>
    </row>
    <row r="8" spans="2:15" ht="14" x14ac:dyDescent="0.15">
      <c r="B8" s="136" t="s">
        <v>426</v>
      </c>
      <c r="C8" s="283">
        <f>C6+C7</f>
        <v>462336.66389602394</v>
      </c>
      <c r="D8" t="str">
        <f>Reporting_currency</f>
        <v>CNY</v>
      </c>
      <c r="E8" s="140" t="s">
        <v>464</v>
      </c>
      <c r="F8" s="108">
        <f>FV_adjustments*scaling_factor/Common_Shares*Exchange_Rate</f>
        <v>6.5739703295958796</v>
      </c>
      <c r="G8" s="294" t="str">
        <f>Market_currency</f>
        <v>HKD</v>
      </c>
      <c r="H8" s="314" t="str">
        <f>Normalized_FCF!B10</f>
        <v>Net Interest Income</v>
      </c>
      <c r="I8" s="313">
        <f>Normalized_FCF!C10</f>
        <v>-3917.7113131261426</v>
      </c>
      <c r="J8" s="313"/>
      <c r="N8" s="304"/>
      <c r="O8" s="304"/>
    </row>
    <row r="9" spans="2:15" ht="14" thickBot="1" x14ac:dyDescent="0.2">
      <c r="B9" s="189" t="str">
        <f>"*"&amp;Thesis!E15</f>
        <v>*CNY/HKD</v>
      </c>
      <c r="C9" s="190">
        <f>Exchange_Rate</f>
        <v>1.1315830089569092</v>
      </c>
      <c r="D9" t="str">
        <f>Thesis!E15</f>
        <v>CNY/HKD</v>
      </c>
      <c r="F9" s="322"/>
      <c r="H9" s="308" t="str">
        <f>Normalized_FCF!B79</f>
        <v>NCI’s Share of Profits</v>
      </c>
      <c r="I9" s="144">
        <f>Normalized_FCF!C79</f>
        <v>2.8485898142850607E-3</v>
      </c>
      <c r="J9" s="306"/>
      <c r="N9" s="304"/>
      <c r="O9" s="304"/>
    </row>
    <row r="10" spans="2:15" ht="14" thickTop="1" x14ac:dyDescent="0.15">
      <c r="B10" s="107" t="s">
        <v>427</v>
      </c>
      <c r="C10" s="283">
        <f>C8*Exchange_Rate</f>
        <v>523172.31328256195</v>
      </c>
      <c r="D10" t="str">
        <f>Market_currency</f>
        <v>HKD</v>
      </c>
      <c r="H10" s="308" t="s">
        <v>397</v>
      </c>
      <c r="I10" s="306">
        <f>Normalized_FCF!C41</f>
        <v>0.25</v>
      </c>
      <c r="N10" s="304"/>
      <c r="O10" s="304"/>
    </row>
    <row r="11" spans="2:15" x14ac:dyDescent="0.15">
      <c r="B11" s="136" t="s">
        <v>425</v>
      </c>
      <c r="C11" s="108">
        <f>(C10*scaling_factor)/Common_Shares</f>
        <v>173.98166127519536</v>
      </c>
      <c r="D11" t="str">
        <f>Market_currency</f>
        <v>HKD</v>
      </c>
      <c r="E11" s="307"/>
      <c r="I11" s="307"/>
      <c r="J11" s="307"/>
    </row>
    <row r="13" spans="2:15" ht="16" x14ac:dyDescent="0.25">
      <c r="B13" s="34" t="s">
        <v>428</v>
      </c>
      <c r="C13" s="35"/>
      <c r="D13" s="35"/>
      <c r="E13" s="35"/>
      <c r="F13" s="35"/>
      <c r="G13" s="35"/>
      <c r="H13" s="35"/>
      <c r="I13" s="35"/>
      <c r="J13" s="35"/>
      <c r="K13" s="35"/>
      <c r="L13" s="35"/>
    </row>
    <row r="14" spans="2:15" x14ac:dyDescent="0.15">
      <c r="B14" s="106" t="s">
        <v>399</v>
      </c>
      <c r="C14" s="309" t="s">
        <v>405</v>
      </c>
      <c r="E14" s="106" t="s">
        <v>399</v>
      </c>
      <c r="F14" s="309" t="str">
        <f>IF(ROUND(F17,4)=ROUND(C17,4),"I","II")</f>
        <v>II</v>
      </c>
      <c r="H14" s="106" t="s">
        <v>413</v>
      </c>
    </row>
    <row r="15" spans="2:15" x14ac:dyDescent="0.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x14ac:dyDescent="0.15">
      <c r="B16" s="114" t="s">
        <v>422</v>
      </c>
      <c r="C16" s="147">
        <f>Scenarios!C46</f>
        <v>2.38559171477595E-2</v>
      </c>
      <c r="E16" s="308" t="s">
        <v>400</v>
      </c>
      <c r="F16" s="311">
        <f>Scenarios!C41</f>
        <v>2.38559171477595E-2</v>
      </c>
    </row>
    <row r="17" spans="1:21" ht="13.25" customHeight="1" x14ac:dyDescent="0.15">
      <c r="B17" s="308" t="s">
        <v>550</v>
      </c>
      <c r="C17" s="306">
        <f>Normalized_FCF!C77</f>
        <v>3.0143988791436739E-2</v>
      </c>
      <c r="E17" s="308" t="s">
        <v>551</v>
      </c>
      <c r="F17" s="311">
        <f>Scenarios!C40</f>
        <v>3.9404773307997187E-2</v>
      </c>
      <c r="H17" s="106" t="s">
        <v>412</v>
      </c>
    </row>
    <row r="18" spans="1:21" ht="13.25" customHeight="1" x14ac:dyDescent="0.15">
      <c r="B18" s="308" t="s">
        <v>423</v>
      </c>
      <c r="C18" s="306">
        <f>Normalized_FCF!C81-Normalized_FCF!C82</f>
        <v>0</v>
      </c>
      <c r="E18" s="308" t="s">
        <v>423</v>
      </c>
      <c r="F18" s="144">
        <f>IF(F14="II",C18/2,C18)</f>
        <v>0</v>
      </c>
      <c r="H18" s="140" t="s">
        <v>97</v>
      </c>
      <c r="I18" s="129">
        <f>(L52+FV_adjustments)*Exchange_Rate/Common_Shares*scaling_factor</f>
        <v>189.7895771945665</v>
      </c>
      <c r="J18" t="str">
        <f>Market_currency</f>
        <v>HKD</v>
      </c>
    </row>
    <row r="19" spans="1:21" x14ac:dyDescent="0.15">
      <c r="L19" s="275"/>
    </row>
    <row r="20" spans="1:21" ht="14" x14ac:dyDescent="0.2">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x14ac:dyDescent="0.15">
      <c r="A21" s="302" t="str">
        <f t="shared" ref="A21:A50" si="0">IF($C$15&lt;B21,"",IF(B21&gt;=$F$15,"II","I"))</f>
        <v>I</v>
      </c>
      <c r="B21" s="117">
        <v>1</v>
      </c>
      <c r="C21" s="277">
        <f>I4*(1+D21)</f>
        <v>1186463.6900532495</v>
      </c>
      <c r="D21" s="299">
        <f t="shared" ref="D21:D50" si="1">IF(A21="",0,IF(A21="I",$C$16,$F$16))</f>
        <v>2.38559171477595E-2</v>
      </c>
      <c r="E21" s="299">
        <f>$C$17</f>
        <v>3.0143988791436739E-2</v>
      </c>
      <c r="F21" s="277">
        <f>C21*E21</f>
        <v>35764.748174411827</v>
      </c>
      <c r="G21" s="299">
        <f t="shared" ref="G21:G50" si="2">IF(A21="",0%,IF(A21="I",$C$18,$F$18))</f>
        <v>0</v>
      </c>
      <c r="H21" s="277">
        <f>(F21*(1-$I$10)+C21*(G21-$I$9))</f>
        <v>23443.812748304117</v>
      </c>
      <c r="I21" s="299">
        <f>H21/C4-1</f>
        <v>2.3855917147759476E-2</v>
      </c>
      <c r="J21" s="299">
        <f>H21/C21</f>
        <v>1.9759401779292494E-2</v>
      </c>
      <c r="K21" s="119">
        <f t="shared" ref="K21:K50" si="3">IF($C$15&lt;B21,0,1/(1+Equity_Cost)^B21)</f>
        <v>0.93240093240093236</v>
      </c>
      <c r="L21" s="277">
        <f t="shared" ref="L21:L51" si="4">H21*K21</f>
        <v>21859.032865551624</v>
      </c>
    </row>
    <row r="22" spans="1:21" x14ac:dyDescent="0.15">
      <c r="A22" s="302" t="str">
        <f t="shared" si="0"/>
        <v>I</v>
      </c>
      <c r="B22" s="117">
        <v>2</v>
      </c>
      <c r="C22" s="277">
        <f t="shared" ref="C22:C50" si="5">IF(A22="",0,C21*(1+D22))</f>
        <v>1214767.8695419847</v>
      </c>
      <c r="D22" s="299">
        <f t="shared" si="1"/>
        <v>2.38559171477595E-2</v>
      </c>
      <c r="E22" s="299">
        <f t="shared" ref="E22:E50" si="6">IF($C$15&lt;B22,0,IF(B22&gt;=$F$15,$F$17,$C$17))</f>
        <v>3.0143988791436739E-2</v>
      </c>
      <c r="F22" s="277">
        <f t="shared" ref="F22:F50" si="7">IF(A22="", 0,C22*E22)</f>
        <v>36617.949043671077</v>
      </c>
      <c r="G22" s="299">
        <f t="shared" si="2"/>
        <v>0</v>
      </c>
      <c r="H22" s="277">
        <f t="shared" ref="H22:H50" si="8">IF(A22="", 0,F22*(1-$I$10)+C22*(G22-$I$9))</f>
        <v>24003.086402855246</v>
      </c>
      <c r="I22" s="299">
        <f t="shared" ref="I22:I50" si="9">IF(A22="", 0,H22/H21-1)</f>
        <v>2.3855917147759476E-2</v>
      </c>
      <c r="J22" s="299">
        <f>IF(A22="", 0,H22/C22)</f>
        <v>1.9759401779292494E-2</v>
      </c>
      <c r="K22" s="119">
        <f t="shared" si="3"/>
        <v>0.86937149874212816</v>
      </c>
      <c r="L22" s="277">
        <f t="shared" si="4"/>
        <v>20867.599200487064</v>
      </c>
    </row>
    <row r="23" spans="1:21" x14ac:dyDescent="0.15">
      <c r="A23" s="302" t="str">
        <f t="shared" si="0"/>
        <v>I</v>
      </c>
      <c r="B23" s="117">
        <v>3</v>
      </c>
      <c r="C23" s="277">
        <f t="shared" si="5"/>
        <v>1243747.2711915385</v>
      </c>
      <c r="D23" s="299">
        <f t="shared" si="1"/>
        <v>2.38559171477595E-2</v>
      </c>
      <c r="E23" s="299">
        <f t="shared" si="6"/>
        <v>3.0143988791436739E-2</v>
      </c>
      <c r="F23" s="277">
        <f t="shared" si="7"/>
        <v>37491.503802177765</v>
      </c>
      <c r="G23" s="299">
        <f t="shared" si="2"/>
        <v>0</v>
      </c>
      <c r="H23" s="277">
        <f t="shared" si="8"/>
        <v>24575.702043372272</v>
      </c>
      <c r="I23" s="299">
        <f t="shared" si="9"/>
        <v>2.3855917147759476E-2</v>
      </c>
      <c r="J23" s="299">
        <f t="shared" ref="J23:J50" si="10">IF(A23="", 0,H23/C23)</f>
        <v>1.9759401779292494E-2</v>
      </c>
      <c r="K23" s="119">
        <f t="shared" si="3"/>
        <v>0.81060279602995633</v>
      </c>
      <c r="L23" s="277">
        <f t="shared" si="4"/>
        <v>19921.132790756674</v>
      </c>
      <c r="N23" s="275"/>
      <c r="O23" s="275"/>
      <c r="P23" s="275"/>
      <c r="Q23" s="275"/>
      <c r="R23" s="275"/>
      <c r="S23" s="275"/>
      <c r="T23" s="275"/>
      <c r="U23" s="275"/>
    </row>
    <row r="24" spans="1:21" x14ac:dyDescent="0.15">
      <c r="A24" s="302" t="str">
        <f t="shared" si="0"/>
        <v>I</v>
      </c>
      <c r="B24" s="117">
        <v>4</v>
      </c>
      <c r="C24" s="277">
        <f t="shared" si="5"/>
        <v>1273418.0030458358</v>
      </c>
      <c r="D24" s="299">
        <f t="shared" si="1"/>
        <v>2.38559171477595E-2</v>
      </c>
      <c r="E24" s="299">
        <f t="shared" si="6"/>
        <v>3.0143988791436739E-2</v>
      </c>
      <c r="F24" s="277">
        <f t="shared" si="7"/>
        <v>38385.898010627432</v>
      </c>
      <c r="G24" s="299">
        <f t="shared" si="2"/>
        <v>0</v>
      </c>
      <c r="H24" s="277">
        <f t="shared" si="8"/>
        <v>25161.977955166985</v>
      </c>
      <c r="I24" s="299">
        <f t="shared" si="9"/>
        <v>2.3855917147759476E-2</v>
      </c>
      <c r="J24" s="299">
        <f t="shared" si="10"/>
        <v>1.9759401779292498E-2</v>
      </c>
      <c r="K24" s="119">
        <f t="shared" si="3"/>
        <v>0.75580680282513402</v>
      </c>
      <c r="L24" s="277">
        <f t="shared" si="4"/>
        <v>19017.594111051261</v>
      </c>
      <c r="N24" s="275"/>
      <c r="O24" s="275"/>
      <c r="P24" s="275"/>
      <c r="Q24" s="275"/>
      <c r="R24" s="275"/>
      <c r="S24" s="275"/>
      <c r="T24" s="275"/>
      <c r="U24" s="275"/>
    </row>
    <row r="25" spans="1:21" x14ac:dyDescent="0.15">
      <c r="A25" s="302" t="str">
        <f t="shared" si="0"/>
        <v>II</v>
      </c>
      <c r="B25" s="117">
        <v>5</v>
      </c>
      <c r="C25" s="277">
        <f t="shared" si="5"/>
        <v>1303796.5574209625</v>
      </c>
      <c r="D25" s="299">
        <f t="shared" si="1"/>
        <v>2.38559171477595E-2</v>
      </c>
      <c r="E25" s="299">
        <f t="shared" si="6"/>
        <v>3.9404773307997187E-2</v>
      </c>
      <c r="F25" s="277">
        <f t="shared" si="7"/>
        <v>51375.807784920165</v>
      </c>
      <c r="G25" s="299">
        <f t="shared" si="2"/>
        <v>0</v>
      </c>
      <c r="H25" s="277">
        <f t="shared" si="8"/>
        <v>34817.874245320847</v>
      </c>
      <c r="I25" s="299">
        <f t="shared" si="9"/>
        <v>0.38374949327745655</v>
      </c>
      <c r="J25" s="299">
        <f t="shared" si="10"/>
        <v>2.6704990166712832E-2</v>
      </c>
      <c r="K25" s="119">
        <f t="shared" si="3"/>
        <v>0.70471496766912267</v>
      </c>
      <c r="L25" s="277">
        <f t="shared" si="4"/>
        <v>24536.67712309886</v>
      </c>
      <c r="N25" s="275"/>
      <c r="O25" s="275"/>
      <c r="P25" s="275"/>
      <c r="Q25" s="275"/>
      <c r="R25" s="275"/>
      <c r="S25" s="275"/>
      <c r="T25" s="275"/>
      <c r="U25" s="275"/>
    </row>
    <row r="26" spans="1:21" x14ac:dyDescent="0.15">
      <c r="A26" s="302" t="str">
        <f t="shared" si="0"/>
        <v>II</v>
      </c>
      <c r="B26" s="117">
        <v>6</v>
      </c>
      <c r="C26" s="277">
        <f t="shared" si="5"/>
        <v>1334899.820072331</v>
      </c>
      <c r="D26" s="299">
        <f t="shared" si="1"/>
        <v>2.38559171477595E-2</v>
      </c>
      <c r="E26" s="299">
        <f t="shared" si="6"/>
        <v>3.9404773307997187E-2</v>
      </c>
      <c r="F26" s="277">
        <f t="shared" si="7"/>
        <v>52601.424798836437</v>
      </c>
      <c r="G26" s="299">
        <f t="shared" si="2"/>
        <v>0</v>
      </c>
      <c r="H26" s="277">
        <f t="shared" si="8"/>
        <v>35648.486568578322</v>
      </c>
      <c r="I26" s="299">
        <f t="shared" si="9"/>
        <v>2.3855917147759254E-2</v>
      </c>
      <c r="J26" s="299">
        <f t="shared" si="10"/>
        <v>2.6704990166712829E-2</v>
      </c>
      <c r="K26" s="119">
        <f t="shared" si="3"/>
        <v>0.65707689293158289</v>
      </c>
      <c r="L26" s="277">
        <f t="shared" si="4"/>
        <v>23423.796792194709</v>
      </c>
    </row>
    <row r="27" spans="1:21" x14ac:dyDescent="0.15">
      <c r="A27" s="302" t="str">
        <f t="shared" si="0"/>
        <v>II</v>
      </c>
      <c r="B27" s="117">
        <v>7</v>
      </c>
      <c r="C27" s="277">
        <f t="shared" si="5"/>
        <v>1366745.0795805356</v>
      </c>
      <c r="D27" s="299">
        <f t="shared" si="1"/>
        <v>2.38559171477595E-2</v>
      </c>
      <c r="E27" s="299">
        <f t="shared" si="6"/>
        <v>3.9404773307997187E-2</v>
      </c>
      <c r="F27" s="277">
        <f t="shared" si="7"/>
        <v>53856.280030691581</v>
      </c>
      <c r="G27" s="299">
        <f t="shared" si="2"/>
        <v>0</v>
      </c>
      <c r="H27" s="277">
        <f t="shared" si="8"/>
        <v>36498.913910601346</v>
      </c>
      <c r="I27" s="299">
        <f t="shared" si="9"/>
        <v>2.3855917147759476E-2</v>
      </c>
      <c r="J27" s="299">
        <f t="shared" si="10"/>
        <v>2.6704990166712829E-2</v>
      </c>
      <c r="K27" s="119">
        <f t="shared" si="3"/>
        <v>0.61265910762851561</v>
      </c>
      <c r="L27" s="277">
        <f t="shared" si="4"/>
        <v>22361.392025879035</v>
      </c>
    </row>
    <row r="28" spans="1:21" x14ac:dyDescent="0.15">
      <c r="A28" s="302" t="str">
        <f t="shared" si="0"/>
        <v>II</v>
      </c>
      <c r="B28" s="117">
        <v>8</v>
      </c>
      <c r="C28" s="277">
        <f t="shared" si="5"/>
        <v>1399350.0369611168</v>
      </c>
      <c r="D28" s="299">
        <f t="shared" si="1"/>
        <v>2.38559171477595E-2</v>
      </c>
      <c r="E28" s="299">
        <f t="shared" si="6"/>
        <v>3.9404773307997187E-2</v>
      </c>
      <c r="F28" s="277">
        <f t="shared" si="7"/>
        <v>55141.070984990292</v>
      </c>
      <c r="G28" s="299">
        <f t="shared" si="2"/>
        <v>0</v>
      </c>
      <c r="H28" s="277">
        <f t="shared" si="8"/>
        <v>37369.628976835862</v>
      </c>
      <c r="I28" s="299">
        <f t="shared" si="9"/>
        <v>2.3855917147759698E-2</v>
      </c>
      <c r="J28" s="299">
        <f t="shared" si="10"/>
        <v>2.6704990166712832E-2</v>
      </c>
      <c r="K28" s="119">
        <f t="shared" si="3"/>
        <v>0.5712439231967511</v>
      </c>
      <c r="L28" s="277">
        <f t="shared" si="4"/>
        <v>21347.173465134711</v>
      </c>
    </row>
    <row r="29" spans="1:21" x14ac:dyDescent="0.15">
      <c r="A29" s="302" t="str">
        <f t="shared" si="0"/>
        <v>II</v>
      </c>
      <c r="B29" s="117">
        <v>9</v>
      </c>
      <c r="C29" s="277">
        <f t="shared" si="5"/>
        <v>1432732.8155035754</v>
      </c>
      <c r="D29" s="299">
        <f t="shared" si="1"/>
        <v>2.38559171477595E-2</v>
      </c>
      <c r="E29" s="299">
        <f t="shared" si="6"/>
        <v>3.9404773307997187E-2</v>
      </c>
      <c r="F29" s="277">
        <f t="shared" si="7"/>
        <v>56456.511805846945</v>
      </c>
      <c r="G29" s="299">
        <f t="shared" si="2"/>
        <v>0</v>
      </c>
      <c r="H29" s="277">
        <f t="shared" si="8"/>
        <v>38261.115749549768</v>
      </c>
      <c r="I29" s="299">
        <f t="shared" si="9"/>
        <v>2.3855917147759476E-2</v>
      </c>
      <c r="J29" s="299">
        <f t="shared" si="10"/>
        <v>2.6704990166712829E-2</v>
      </c>
      <c r="K29" s="119">
        <f t="shared" si="3"/>
        <v>0.53262836661701729</v>
      </c>
      <c r="L29" s="277">
        <f t="shared" si="4"/>
        <v>20378.955586627329</v>
      </c>
    </row>
    <row r="30" spans="1:21" x14ac:dyDescent="0.15">
      <c r="A30" s="302" t="str">
        <f t="shared" si="0"/>
        <v>II</v>
      </c>
      <c r="B30" s="117">
        <v>10</v>
      </c>
      <c r="C30" s="277">
        <f t="shared" si="5"/>
        <v>1466911.9708451049</v>
      </c>
      <c r="D30" s="299">
        <f t="shared" si="1"/>
        <v>2.38559171477595E-2</v>
      </c>
      <c r="E30" s="299">
        <f t="shared" si="6"/>
        <v>3.9404773307997187E-2</v>
      </c>
      <c r="F30" s="277">
        <f t="shared" si="7"/>
        <v>57803.333673938738</v>
      </c>
      <c r="G30" s="299">
        <f t="shared" si="2"/>
        <v>0</v>
      </c>
      <c r="H30" s="277">
        <f t="shared" si="8"/>
        <v>39173.869756851869</v>
      </c>
      <c r="I30" s="299">
        <f t="shared" si="9"/>
        <v>2.3855917147759698E-2</v>
      </c>
      <c r="J30" s="299">
        <f t="shared" si="10"/>
        <v>2.6704990166712832E-2</v>
      </c>
      <c r="K30" s="119">
        <f t="shared" si="3"/>
        <v>0.49662318565689262</v>
      </c>
      <c r="L30" s="277">
        <f t="shared" si="4"/>
        <v>19454.651993155978</v>
      </c>
    </row>
    <row r="31" spans="1:21" x14ac:dyDescent="0.15">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x14ac:dyDescent="0.15">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x14ac:dyDescent="0.15">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x14ac:dyDescent="0.15">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x14ac:dyDescent="0.15">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x14ac:dyDescent="0.15">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x14ac:dyDescent="0.15">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x14ac:dyDescent="0.15">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x14ac:dyDescent="0.15">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x14ac:dyDescent="0.15">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418</v>
      </c>
      <c r="B51" s="316">
        <f>C15+1</f>
        <v>11</v>
      </c>
      <c r="C51" s="277">
        <f>VLOOKUP(C15,B21:C50,2,FALSE)*(1+Terminal_Growth)</f>
        <v>1496250.2102620071</v>
      </c>
      <c r="D51" s="301">
        <f>Terminal_Growth</f>
        <v>0.02</v>
      </c>
      <c r="E51" s="301">
        <f>F17</f>
        <v>3.9404773307997187E-2</v>
      </c>
      <c r="F51" s="277">
        <f>C51*E51</f>
        <v>58959.400347417519</v>
      </c>
      <c r="G51" s="299">
        <f>F18</f>
        <v>0</v>
      </c>
      <c r="H51" s="277">
        <f>(F51*(1-$I$10)+C51*(G51-$I$9))/Equity_Cost</f>
        <v>551135.82278605388</v>
      </c>
      <c r="I51" s="415">
        <f>(F51*(1-$I$10)+C51*(G51-$I$9))/VLOOKUP(C15,B21:H50,COLUMN(H20)-1,FALSE)-1</f>
        <v>2.0000000000000018E-2</v>
      </c>
      <c r="J51" s="454"/>
      <c r="K51" s="119">
        <f>1/(1+Equity_Cost)^C15</f>
        <v>0.49662318565689262</v>
      </c>
      <c r="L51" s="277">
        <f t="shared" si="4"/>
        <v>273706.82804164273</v>
      </c>
    </row>
    <row r="52" spans="1:21" x14ac:dyDescent="0.15">
      <c r="G52" s="111"/>
      <c r="H52" s="111"/>
      <c r="I52" s="111"/>
      <c r="J52" s="469" t="s">
        <v>420</v>
      </c>
      <c r="K52" s="469"/>
      <c r="L52" s="317">
        <f>SUM(L21:L51)</f>
        <v>486874.83399557997</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486874.83399557997</v>
      </c>
      <c r="B55" s="123">
        <f>C94</f>
        <v>0</v>
      </c>
      <c r="C55" s="123">
        <f>C93</f>
        <v>0.01</v>
      </c>
      <c r="D55" s="123">
        <f>C92</f>
        <v>0.02</v>
      </c>
      <c r="E55" s="123">
        <f>C91</f>
        <v>0.03</v>
      </c>
      <c r="F55" s="123">
        <f>C90</f>
        <v>0.05</v>
      </c>
      <c r="G55" s="123"/>
      <c r="H55" s="123"/>
      <c r="I55" s="123"/>
      <c r="J55" s="123"/>
      <c r="K55" s="123"/>
      <c r="L55" s="123"/>
    </row>
    <row r="56" spans="1:21" x14ac:dyDescent="0.15">
      <c r="A56" s="131">
        <v>1</v>
      </c>
      <c r="B56" s="118">
        <f t="dataTable" ref="B56:F69" dt2D="1" dtr="1" r1="C16" r2="C15"/>
        <v>427300.04135049781</v>
      </c>
      <c r="C56" s="118">
        <v>431573.04176400276</v>
      </c>
      <c r="D56" s="118">
        <v>435846.04217750789</v>
      </c>
      <c r="E56" s="118">
        <v>440119.04259101284</v>
      </c>
      <c r="F56" s="118">
        <v>448665.0434180228</v>
      </c>
      <c r="G56" s="295"/>
      <c r="H56" s="295"/>
      <c r="I56" s="295"/>
      <c r="J56" s="295"/>
      <c r="K56" s="295"/>
      <c r="L56" s="295"/>
    </row>
    <row r="57" spans="1:21" x14ac:dyDescent="0.15">
      <c r="A57" s="131">
        <v>2</v>
      </c>
      <c r="B57" s="118">
        <v>426761.9655956389</v>
      </c>
      <c r="C57" s="118">
        <v>435124.24897439033</v>
      </c>
      <c r="D57" s="118">
        <v>443567.61480309779</v>
      </c>
      <c r="E57" s="118">
        <v>452092.06308176182</v>
      </c>
      <c r="F57" s="118">
        <v>469384.2069889587</v>
      </c>
      <c r="G57" s="295"/>
      <c r="H57" s="295"/>
      <c r="I57" s="295"/>
      <c r="J57" s="295"/>
      <c r="K57" s="295"/>
      <c r="L57" s="295"/>
    </row>
    <row r="58" spans="1:21" x14ac:dyDescent="0.15">
      <c r="A58" s="131">
        <v>3</v>
      </c>
      <c r="B58" s="118">
        <v>426260.26326010597</v>
      </c>
      <c r="C58" s="118">
        <v>438468.50937764545</v>
      </c>
      <c r="D58" s="118">
        <v>450911.20834911353</v>
      </c>
      <c r="E58" s="118">
        <v>463590.6282150686</v>
      </c>
      <c r="F58" s="118">
        <v>489668.70279267221</v>
      </c>
      <c r="G58" s="295"/>
      <c r="H58" s="295"/>
      <c r="I58" s="295"/>
      <c r="J58" s="295"/>
      <c r="K58" s="295"/>
      <c r="L58" s="295"/>
    </row>
    <row r="59" spans="1:21" x14ac:dyDescent="0.15">
      <c r="A59" s="131">
        <v>4</v>
      </c>
      <c r="B59" s="118">
        <v>425792.47553466744</v>
      </c>
      <c r="C59" s="118">
        <v>441617.88281101396</v>
      </c>
      <c r="D59" s="118">
        <v>457895.32528798154</v>
      </c>
      <c r="E59" s="118">
        <v>474633.53925218346</v>
      </c>
      <c r="F59" s="118">
        <v>509527.64973337075</v>
      </c>
      <c r="G59" s="295"/>
      <c r="H59" s="295"/>
      <c r="I59" s="295"/>
      <c r="J59" s="295"/>
      <c r="K59" s="295"/>
      <c r="L59" s="295"/>
    </row>
    <row r="60" spans="1:21" x14ac:dyDescent="0.15">
      <c r="A60" s="131">
        <v>5</v>
      </c>
      <c r="B60" s="118">
        <v>418359.01701179054</v>
      </c>
      <c r="C60" s="118">
        <v>437445.78792699939</v>
      </c>
      <c r="D60" s="118">
        <v>457257.57893559779</v>
      </c>
      <c r="E60" s="118">
        <v>477815.42447229964</v>
      </c>
      <c r="F60" s="118">
        <v>521255.46008488693</v>
      </c>
      <c r="G60" s="295"/>
      <c r="H60" s="295"/>
      <c r="I60" s="295"/>
      <c r="J60" s="295"/>
      <c r="K60" s="295"/>
      <c r="L60" s="295"/>
    </row>
    <row r="61" spans="1:21" x14ac:dyDescent="0.15">
      <c r="A61" s="131">
        <v>6</v>
      </c>
      <c r="B61" s="118">
        <v>417952.33569583291</v>
      </c>
      <c r="C61" s="118">
        <v>440238.79673645308</v>
      </c>
      <c r="D61" s="118">
        <v>463574.67155143735</v>
      </c>
      <c r="E61" s="118">
        <v>488000.4804711481</v>
      </c>
      <c r="F61" s="118">
        <v>540289.90480285301</v>
      </c>
      <c r="G61" s="295"/>
      <c r="H61" s="295"/>
      <c r="I61" s="295"/>
      <c r="J61" s="295"/>
      <c r="K61" s="295"/>
      <c r="L61" s="295"/>
    </row>
    <row r="62" spans="1:21" x14ac:dyDescent="0.15">
      <c r="A62" s="131">
        <v>7</v>
      </c>
      <c r="B62" s="118">
        <v>411048.8633159076</v>
      </c>
      <c r="C62" s="118">
        <v>436147.0681737999</v>
      </c>
      <c r="D62" s="118">
        <v>462658.9152421013</v>
      </c>
      <c r="E62" s="118">
        <v>490652.67338188784</v>
      </c>
      <c r="F62" s="118">
        <v>551372.3531599046</v>
      </c>
      <c r="G62" s="295"/>
      <c r="H62" s="295"/>
      <c r="I62" s="295"/>
      <c r="J62" s="295"/>
      <c r="K62" s="295"/>
      <c r="L62" s="295"/>
    </row>
    <row r="63" spans="1:21" x14ac:dyDescent="0.15">
      <c r="A63" s="131">
        <v>8</v>
      </c>
      <c r="B63" s="118">
        <v>410695.30617074302</v>
      </c>
      <c r="C63" s="118">
        <v>438624.03648979362</v>
      </c>
      <c r="D63" s="118">
        <v>468372.68828834163</v>
      </c>
      <c r="E63" s="118">
        <v>500046.51576194726</v>
      </c>
      <c r="F63" s="118">
        <v>569616.52727463574</v>
      </c>
      <c r="G63" s="295"/>
      <c r="H63" s="295"/>
      <c r="I63" s="295"/>
      <c r="J63" s="295"/>
      <c r="K63" s="295"/>
      <c r="L63" s="295"/>
    </row>
    <row r="64" spans="1:21" x14ac:dyDescent="0.15">
      <c r="A64" s="131">
        <v>9</v>
      </c>
      <c r="B64" s="118">
        <v>404282.40222025261</v>
      </c>
      <c r="C64" s="118">
        <v>434626.40817461465</v>
      </c>
      <c r="D64" s="118">
        <v>467222.06402684934</v>
      </c>
      <c r="E64" s="118">
        <v>502221.35995486996</v>
      </c>
      <c r="F64" s="118">
        <v>580083.73180360778</v>
      </c>
      <c r="G64" s="295"/>
      <c r="H64" s="295"/>
      <c r="I64" s="295"/>
      <c r="J64" s="295"/>
      <c r="K64" s="295"/>
      <c r="L64" s="295"/>
    </row>
    <row r="65" spans="1:21" x14ac:dyDescent="0.15">
      <c r="A65" s="131">
        <v>10</v>
      </c>
      <c r="B65" s="118">
        <v>403975.02971506992</v>
      </c>
      <c r="C65" s="118">
        <v>436823.09728553693</v>
      </c>
      <c r="D65" s="118">
        <v>472390.13807757368</v>
      </c>
      <c r="E65" s="118">
        <v>510885.45317844965</v>
      </c>
      <c r="F65" s="118">
        <v>597570.44570887124</v>
      </c>
      <c r="G65" s="295"/>
      <c r="H65" s="295"/>
      <c r="I65" s="295"/>
      <c r="J65" s="295"/>
      <c r="K65" s="295"/>
      <c r="L65" s="295"/>
    </row>
    <row r="66" spans="1:21" x14ac:dyDescent="0.15">
      <c r="A66" s="131">
        <v>15</v>
      </c>
      <c r="B66" s="118">
        <v>386831.40955815709</v>
      </c>
      <c r="C66" s="277">
        <v>429167.0721551741</v>
      </c>
      <c r="D66" s="118">
        <v>476792.04883739928</v>
      </c>
      <c r="E66" s="118">
        <v>530365.15327993874</v>
      </c>
      <c r="F66" s="118">
        <v>658387.84479172144</v>
      </c>
      <c r="G66" s="295"/>
      <c r="H66" s="295"/>
      <c r="I66" s="295"/>
      <c r="J66" s="295"/>
      <c r="K66" s="295"/>
      <c r="L66" s="295"/>
      <c r="M66" s="275"/>
      <c r="N66" s="275"/>
      <c r="O66" s="275"/>
      <c r="P66" s="275"/>
      <c r="Q66" s="275"/>
      <c r="R66" s="275"/>
      <c r="S66" s="275"/>
      <c r="T66" s="275"/>
      <c r="U66" s="275"/>
    </row>
    <row r="67" spans="1:21" x14ac:dyDescent="0.15">
      <c r="A67" s="132">
        <v>20</v>
      </c>
      <c r="B67" s="118">
        <v>377064.46472967777</v>
      </c>
      <c r="C67" s="277">
        <v>426318.38410724991</v>
      </c>
      <c r="D67" s="118">
        <v>483620.37524178997</v>
      </c>
      <c r="E67" s="118">
        <v>550346.81211956847</v>
      </c>
      <c r="F67" s="118">
        <v>718770.39704685635</v>
      </c>
      <c r="G67" s="295"/>
      <c r="H67" s="295"/>
      <c r="I67" s="295"/>
      <c r="J67" s="295"/>
      <c r="K67" s="295"/>
      <c r="L67" s="295"/>
      <c r="M67" s="275"/>
      <c r="N67" s="275"/>
      <c r="O67" s="275"/>
      <c r="P67" s="275"/>
      <c r="Q67" s="275"/>
      <c r="R67" s="275"/>
      <c r="S67" s="275"/>
      <c r="T67" s="275"/>
      <c r="U67" s="275"/>
    </row>
    <row r="68" spans="1:21" x14ac:dyDescent="0.15">
      <c r="A68" s="132">
        <v>25</v>
      </c>
      <c r="B68" s="118">
        <v>365243.60838978499</v>
      </c>
      <c r="C68" s="277">
        <v>418879.53307044599</v>
      </c>
      <c r="D68" s="118">
        <v>483197.23688072362</v>
      </c>
      <c r="E68" s="118">
        <v>560513.47711203783</v>
      </c>
      <c r="F68" s="118">
        <v>766044.65098794212</v>
      </c>
      <c r="G68" s="295"/>
      <c r="H68" s="295"/>
      <c r="I68" s="295"/>
      <c r="J68" s="295"/>
      <c r="K68" s="295"/>
      <c r="L68" s="295"/>
      <c r="M68" s="275"/>
      <c r="N68" s="275"/>
      <c r="O68" s="275"/>
      <c r="P68" s="275"/>
      <c r="Q68" s="275"/>
      <c r="R68" s="275"/>
      <c r="S68" s="275"/>
      <c r="T68" s="275"/>
      <c r="U68" s="275"/>
    </row>
    <row r="69" spans="1:21" x14ac:dyDescent="0.15">
      <c r="A69" s="132">
        <v>30</v>
      </c>
      <c r="B69" s="118">
        <v>358544.28104338603</v>
      </c>
      <c r="C69" s="277">
        <v>415459.88812160527</v>
      </c>
      <c r="D69" s="118">
        <v>485516.03935070307</v>
      </c>
      <c r="E69" s="118">
        <v>572142.24308048002</v>
      </c>
      <c r="F69" s="118">
        <v>813674.72447184823</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v>
      </c>
      <c r="C72" s="124">
        <f>C55</f>
        <v>0.01</v>
      </c>
      <c r="D72" s="124">
        <f>D55</f>
        <v>0.02</v>
      </c>
      <c r="E72" s="124">
        <f>E55</f>
        <v>0.03</v>
      </c>
      <c r="F72" s="124">
        <f>F55</f>
        <v>0.05</v>
      </c>
      <c r="G72" s="124"/>
      <c r="H72" s="124"/>
      <c r="I72" s="124"/>
      <c r="J72" s="124"/>
      <c r="K72" s="124"/>
      <c r="L72" s="124"/>
    </row>
    <row r="73" spans="1:21" x14ac:dyDescent="0.15">
      <c r="A73" s="131">
        <v>0</v>
      </c>
      <c r="B73" s="119">
        <f>C11</f>
        <v>173.98166127519536</v>
      </c>
      <c r="C73" s="119">
        <f>C11</f>
        <v>173.98166127519536</v>
      </c>
      <c r="D73" s="119">
        <f>C11</f>
        <v>173.98166127519536</v>
      </c>
      <c r="E73" s="119">
        <f>C11</f>
        <v>173.98166127519536</v>
      </c>
      <c r="F73" s="119">
        <f>C11</f>
        <v>173.98166127519536</v>
      </c>
      <c r="G73" s="296"/>
      <c r="H73" s="296"/>
      <c r="I73" s="296"/>
      <c r="J73" s="296"/>
      <c r="K73" s="296"/>
      <c r="L73" s="296"/>
    </row>
    <row r="74" spans="1:21" x14ac:dyDescent="0.15">
      <c r="A74" s="131">
        <v>1</v>
      </c>
      <c r="B74" s="119">
        <f t="shared" ref="B74:F87" si="11">(B56+FV_adjustments)/Common_Shares*scaling_factor*Exchange_Rate</f>
        <v>167.37101902274978</v>
      </c>
      <c r="C74" s="119">
        <f t="shared" si="11"/>
        <v>168.97898950968133</v>
      </c>
      <c r="D74" s="119">
        <f t="shared" si="11"/>
        <v>170.58695999661293</v>
      </c>
      <c r="E74" s="119">
        <f t="shared" si="11"/>
        <v>172.19493048354443</v>
      </c>
      <c r="F74" s="119">
        <f t="shared" si="11"/>
        <v>175.41087145740755</v>
      </c>
      <c r="G74" s="296"/>
      <c r="H74" s="296"/>
      <c r="I74" s="296"/>
      <c r="J74" s="296"/>
      <c r="K74" s="296"/>
      <c r="L74" s="296"/>
    </row>
    <row r="75" spans="1:21" x14ac:dyDescent="0.15">
      <c r="A75" s="131">
        <v>2</v>
      </c>
      <c r="B75" s="119">
        <f t="shared" si="11"/>
        <v>167.16853602489843</v>
      </c>
      <c r="C75" s="119">
        <f t="shared" si="11"/>
        <v>170.31534238463874</v>
      </c>
      <c r="D75" s="119">
        <f t="shared" si="11"/>
        <v>173.49266083750345</v>
      </c>
      <c r="E75" s="119">
        <f t="shared" si="11"/>
        <v>176.70049138349276</v>
      </c>
      <c r="F75" s="119">
        <f t="shared" si="11"/>
        <v>183.20768875484475</v>
      </c>
      <c r="G75" s="296"/>
      <c r="H75" s="296"/>
      <c r="I75" s="296"/>
      <c r="J75" s="296"/>
      <c r="K75" s="296"/>
      <c r="L75" s="296"/>
    </row>
    <row r="76" spans="1:21" x14ac:dyDescent="0.15">
      <c r="A76" s="131">
        <v>3</v>
      </c>
      <c r="B76" s="119">
        <f t="shared" si="11"/>
        <v>166.97974068890642</v>
      </c>
      <c r="C76" s="119">
        <f t="shared" si="11"/>
        <v>171.57381921793188</v>
      </c>
      <c r="D76" s="119">
        <f t="shared" si="11"/>
        <v>176.25612457429452</v>
      </c>
      <c r="E76" s="119">
        <f t="shared" si="11"/>
        <v>181.02751024311678</v>
      </c>
      <c r="F76" s="119">
        <f t="shared" si="11"/>
        <v>190.84093645862944</v>
      </c>
      <c r="G76" s="296"/>
      <c r="H76" s="296"/>
      <c r="I76" s="296"/>
      <c r="J76" s="296"/>
      <c r="K76" s="296"/>
      <c r="L76" s="296"/>
    </row>
    <row r="77" spans="1:21" x14ac:dyDescent="0.15">
      <c r="A77" s="131">
        <v>4</v>
      </c>
      <c r="B77" s="119">
        <f t="shared" si="11"/>
        <v>166.80370774159459</v>
      </c>
      <c r="C77" s="119">
        <f t="shared" si="11"/>
        <v>172.75895824042709</v>
      </c>
      <c r="D77" s="119">
        <f t="shared" si="11"/>
        <v>178.88431386243141</v>
      </c>
      <c r="E77" s="119">
        <f t="shared" si="11"/>
        <v>185.18306215492342</v>
      </c>
      <c r="F77" s="119">
        <f t="shared" si="11"/>
        <v>198.31404609869838</v>
      </c>
      <c r="G77" s="296"/>
      <c r="H77" s="296"/>
      <c r="I77" s="296"/>
      <c r="J77" s="296"/>
      <c r="K77" s="296"/>
      <c r="L77" s="296"/>
    </row>
    <row r="78" spans="1:21" x14ac:dyDescent="0.15">
      <c r="A78" s="131">
        <v>5</v>
      </c>
      <c r="B78" s="119">
        <f t="shared" si="11"/>
        <v>164.00642696370409</v>
      </c>
      <c r="C78" s="119">
        <f t="shared" si="11"/>
        <v>171.18895945901562</v>
      </c>
      <c r="D78" s="119">
        <f t="shared" si="11"/>
        <v>178.64432387564364</v>
      </c>
      <c r="E78" s="119">
        <f t="shared" si="11"/>
        <v>186.38043567039981</v>
      </c>
      <c r="F78" s="119">
        <f t="shared" si="11"/>
        <v>202.72733210306356</v>
      </c>
      <c r="G78" s="296"/>
      <c r="H78" s="296"/>
      <c r="I78" s="296"/>
      <c r="J78" s="296"/>
      <c r="K78" s="296"/>
      <c r="L78" s="296"/>
    </row>
    <row r="79" spans="1:21" x14ac:dyDescent="0.15">
      <c r="A79" s="131">
        <v>6</v>
      </c>
      <c r="B79" s="119">
        <f t="shared" si="11"/>
        <v>163.85338893647162</v>
      </c>
      <c r="C79" s="119">
        <f t="shared" si="11"/>
        <v>172.23999510159291</v>
      </c>
      <c r="D79" s="119">
        <f t="shared" si="11"/>
        <v>181.02150559960964</v>
      </c>
      <c r="E79" s="119">
        <f t="shared" si="11"/>
        <v>190.21316861424233</v>
      </c>
      <c r="F79" s="119">
        <f t="shared" si="11"/>
        <v>209.89017375523974</v>
      </c>
      <c r="G79" s="296"/>
      <c r="H79" s="296"/>
      <c r="I79" s="296"/>
      <c r="J79" s="296"/>
      <c r="K79" s="296"/>
      <c r="L79" s="296"/>
    </row>
    <row r="80" spans="1:21" x14ac:dyDescent="0.15">
      <c r="A80" s="131">
        <f t="shared" ref="A80" si="12">A62</f>
        <v>7</v>
      </c>
      <c r="B80" s="119">
        <f t="shared" si="11"/>
        <v>161.2555469589274</v>
      </c>
      <c r="C80" s="119">
        <f t="shared" si="11"/>
        <v>170.70023892733963</v>
      </c>
      <c r="D80" s="119">
        <f t="shared" si="11"/>
        <v>180.67689783547749</v>
      </c>
      <c r="E80" s="119">
        <f t="shared" si="11"/>
        <v>191.21121390172701</v>
      </c>
      <c r="F80" s="119">
        <f t="shared" si="11"/>
        <v>214.06060393464253</v>
      </c>
      <c r="G80" s="296"/>
      <c r="H80" s="296"/>
      <c r="I80" s="296"/>
      <c r="J80" s="296"/>
      <c r="K80" s="296"/>
      <c r="L80" s="296"/>
    </row>
    <row r="81" spans="1:12" x14ac:dyDescent="0.15">
      <c r="A81" s="131">
        <v>8</v>
      </c>
      <c r="B81" s="119">
        <f t="shared" si="11"/>
        <v>161.12250005982773</v>
      </c>
      <c r="C81" s="119">
        <f t="shared" si="11"/>
        <v>171.63234554183805</v>
      </c>
      <c r="D81" s="119">
        <f t="shared" si="11"/>
        <v>182.82704469676531</v>
      </c>
      <c r="E81" s="119">
        <f t="shared" si="11"/>
        <v>194.74620567431901</v>
      </c>
      <c r="F81" s="119">
        <f t="shared" si="11"/>
        <v>220.92605928124399</v>
      </c>
      <c r="G81" s="296"/>
      <c r="H81" s="296"/>
      <c r="I81" s="296"/>
      <c r="J81" s="296"/>
      <c r="K81" s="296"/>
      <c r="L81" s="296"/>
    </row>
    <row r="82" spans="1:12" x14ac:dyDescent="0.15">
      <c r="A82" s="131">
        <f t="shared" ref="A82" si="13">A64</f>
        <v>9</v>
      </c>
      <c r="B82" s="119">
        <f t="shared" si="11"/>
        <v>158.70926362406132</v>
      </c>
      <c r="C82" s="119">
        <f t="shared" si="11"/>
        <v>170.12800018109024</v>
      </c>
      <c r="D82" s="119">
        <f t="shared" si="11"/>
        <v>182.39405389990526</v>
      </c>
      <c r="E82" s="119">
        <f t="shared" si="11"/>
        <v>195.5646201225932</v>
      </c>
      <c r="F82" s="119">
        <f t="shared" si="11"/>
        <v>224.86496738667461</v>
      </c>
      <c r="G82" s="296"/>
      <c r="H82" s="296"/>
      <c r="I82" s="296"/>
      <c r="J82" s="296"/>
      <c r="K82" s="296"/>
      <c r="L82" s="296"/>
    </row>
    <row r="83" spans="1:12" x14ac:dyDescent="0.15">
      <c r="A83" s="131">
        <f t="shared" ref="A83:A87" si="14">A65</f>
        <v>10</v>
      </c>
      <c r="B83" s="119">
        <f t="shared" si="11"/>
        <v>158.59359644198807</v>
      </c>
      <c r="C83" s="119">
        <f t="shared" si="11"/>
        <v>170.95463507870531</v>
      </c>
      <c r="D83" s="119">
        <f t="shared" si="11"/>
        <v>184.33884906575102</v>
      </c>
      <c r="E83" s="119">
        <f t="shared" si="11"/>
        <v>198.82500038268122</v>
      </c>
      <c r="F83" s="119">
        <f t="shared" si="11"/>
        <v>231.44538328932953</v>
      </c>
      <c r="G83" s="296"/>
      <c r="H83" s="296"/>
      <c r="I83" s="296"/>
      <c r="J83" s="296"/>
      <c r="K83" s="296"/>
      <c r="L83" s="296"/>
    </row>
    <row r="84" spans="1:12" x14ac:dyDescent="0.15">
      <c r="A84" s="131">
        <f t="shared" si="14"/>
        <v>15</v>
      </c>
      <c r="B84" s="119">
        <f t="shared" si="11"/>
        <v>152.14228996320662</v>
      </c>
      <c r="C84" s="119">
        <f t="shared" si="11"/>
        <v>168.07360038048222</v>
      </c>
      <c r="D84" s="119">
        <f t="shared" si="11"/>
        <v>185.99532973575873</v>
      </c>
      <c r="E84" s="119">
        <f t="shared" si="11"/>
        <v>206.15539584870433</v>
      </c>
      <c r="F84" s="119">
        <f t="shared" si="11"/>
        <v>254.33154602127854</v>
      </c>
      <c r="G84" s="296"/>
      <c r="H84" s="296"/>
      <c r="I84" s="296"/>
      <c r="J84" s="296"/>
      <c r="K84" s="296"/>
      <c r="L84" s="296"/>
    </row>
    <row r="85" spans="1:12" x14ac:dyDescent="0.15">
      <c r="A85" s="132">
        <f t="shared" si="14"/>
        <v>20</v>
      </c>
      <c r="B85" s="119">
        <f t="shared" si="11"/>
        <v>148.4668962089614</v>
      </c>
      <c r="C85" s="119">
        <f t="shared" si="11"/>
        <v>167.00161211362888</v>
      </c>
      <c r="D85" s="119">
        <f t="shared" si="11"/>
        <v>188.56489357167453</v>
      </c>
      <c r="E85" s="119">
        <f t="shared" si="11"/>
        <v>213.67468313744678</v>
      </c>
      <c r="F85" s="119">
        <f t="shared" si="11"/>
        <v>277.05407177741728</v>
      </c>
      <c r="G85" s="296"/>
      <c r="H85" s="296"/>
      <c r="I85" s="296"/>
      <c r="J85" s="296"/>
      <c r="K85" s="296"/>
      <c r="L85" s="296"/>
    </row>
    <row r="86" spans="1:12" x14ac:dyDescent="0.15">
      <c r="A86" s="132">
        <f t="shared" si="14"/>
        <v>25</v>
      </c>
      <c r="B86" s="119">
        <f t="shared" si="11"/>
        <v>144.01859611876461</v>
      </c>
      <c r="C86" s="119">
        <f t="shared" si="11"/>
        <v>164.20230208172339</v>
      </c>
      <c r="D86" s="119">
        <f t="shared" si="11"/>
        <v>188.40566260265027</v>
      </c>
      <c r="E86" s="119">
        <f t="shared" si="11"/>
        <v>217.50049537157233</v>
      </c>
      <c r="F86" s="119">
        <f t="shared" si="11"/>
        <v>294.84382084664804</v>
      </c>
      <c r="G86" s="296"/>
      <c r="H86" s="296"/>
      <c r="I86" s="296"/>
      <c r="J86" s="296"/>
      <c r="K86" s="296"/>
      <c r="L86" s="296"/>
    </row>
    <row r="87" spans="1:12" x14ac:dyDescent="0.15">
      <c r="A87" s="132">
        <f t="shared" si="14"/>
        <v>30</v>
      </c>
      <c r="B87" s="119">
        <f t="shared" si="11"/>
        <v>141.49757584896622</v>
      </c>
      <c r="C87" s="119">
        <f t="shared" si="11"/>
        <v>162.91545733063433</v>
      </c>
      <c r="D87" s="119">
        <f t="shared" si="11"/>
        <v>189.27824991272087</v>
      </c>
      <c r="E87" s="119">
        <f t="shared" si="11"/>
        <v>221.87651003742425</v>
      </c>
      <c r="F87" s="119">
        <f t="shared" si="11"/>
        <v>312.76746817662325</v>
      </c>
      <c r="G87" s="296"/>
      <c r="H87" s="296"/>
      <c r="I87" s="296"/>
      <c r="J87" s="296"/>
      <c r="K87" s="296"/>
      <c r="L87" s="296"/>
    </row>
    <row r="89" spans="1:12" ht="14" x14ac:dyDescent="0.2">
      <c r="B89" s="153" t="s">
        <v>101</v>
      </c>
      <c r="C89" s="153" t="s">
        <v>110</v>
      </c>
      <c r="D89" s="153" t="s">
        <v>99</v>
      </c>
      <c r="E89" s="154" t="s">
        <v>100</v>
      </c>
      <c r="F89" s="154" t="s">
        <v>457</v>
      </c>
      <c r="G89" s="323"/>
      <c r="H89" s="323"/>
      <c r="I89" s="323"/>
      <c r="J89" s="323"/>
      <c r="K89" s="323"/>
      <c r="L89" s="323"/>
    </row>
    <row r="90" spans="1:12" x14ac:dyDescent="0.15">
      <c r="B90" s="120" t="str">
        <f>Scenarios!B29</f>
        <v>Snowball Scenario</v>
      </c>
      <c r="C90" s="130">
        <f>Scenarios!C29</f>
        <v>0.05</v>
      </c>
      <c r="D90" s="133">
        <f>Scenarios!D29</f>
        <v>10</v>
      </c>
      <c r="E90" s="127">
        <f>INDEX(B$73:F$87, MATCH(D90, A$73:A$87, 0), MATCH(C90, B$72:F$72, 0))</f>
        <v>231.44538328932953</v>
      </c>
      <c r="F90" s="130">
        <f>Scenarios!F29</f>
        <v>0.15</v>
      </c>
      <c r="G90" s="297"/>
      <c r="H90" s="297"/>
      <c r="I90" s="297"/>
      <c r="J90" s="297"/>
      <c r="K90" s="297"/>
      <c r="L90" s="297"/>
    </row>
    <row r="91" spans="1:12" x14ac:dyDescent="0.15">
      <c r="B91" s="120" t="str">
        <f>Scenarios!B22</f>
        <v>Optimistic</v>
      </c>
      <c r="C91" s="130">
        <f>Scenarios!C22</f>
        <v>0.03</v>
      </c>
      <c r="D91" s="133">
        <f>Scenarios!D22</f>
        <v>10</v>
      </c>
      <c r="E91" s="127">
        <f>INDEX(B$73:F$87, MATCH(D91, A$73:A$87, 0), MATCH(C91, B$72:F$72, 0))</f>
        <v>198.82500038268122</v>
      </c>
      <c r="F91" s="130">
        <f>Scenarios!F22*(1-F$90-F$94)</f>
        <v>0.15999999999999995</v>
      </c>
      <c r="G91" s="297"/>
      <c r="H91" s="297"/>
      <c r="I91" s="297"/>
      <c r="J91" s="297"/>
      <c r="K91" s="297"/>
      <c r="L91" s="297"/>
    </row>
    <row r="92" spans="1:12" x14ac:dyDescent="0.15">
      <c r="B92" s="120" t="str">
        <f>Scenarios!B23</f>
        <v>Base</v>
      </c>
      <c r="C92" s="130">
        <f>Scenarios!C23</f>
        <v>0.02</v>
      </c>
      <c r="D92" s="133">
        <f>Scenarios!D23</f>
        <v>10</v>
      </c>
      <c r="E92" s="127">
        <f>INDEX(B$73:F$87, MATCH(D92, A$73:A$87, 0), MATCH(C92, B$72:F$72, 0))</f>
        <v>184.33884906575102</v>
      </c>
      <c r="F92" s="130">
        <f>Scenarios!F23*(1-F$90-F$94)</f>
        <v>0.44</v>
      </c>
      <c r="G92" s="297"/>
      <c r="H92" s="297"/>
      <c r="I92" s="297"/>
      <c r="J92" s="297"/>
      <c r="K92" s="297"/>
      <c r="L92" s="297"/>
    </row>
    <row r="93" spans="1:12" x14ac:dyDescent="0.15">
      <c r="B93" s="120" t="str">
        <f>Scenarios!B24</f>
        <v>Pessimistic</v>
      </c>
      <c r="C93" s="130">
        <f>Scenarios!C24</f>
        <v>0.01</v>
      </c>
      <c r="D93" s="133">
        <f>Scenarios!D24</f>
        <v>10</v>
      </c>
      <c r="E93" s="127">
        <f>INDEX(B$73:F$87, MATCH(D93, A$73:A$87, 0), MATCH(C93, B$72:F$72, 0))</f>
        <v>170.95463507870531</v>
      </c>
      <c r="F93" s="130">
        <f>Scenarios!F24*(1-F$90-F$94)</f>
        <v>0.19999999999999998</v>
      </c>
      <c r="G93" s="297"/>
      <c r="H93" s="297"/>
      <c r="I93" s="297"/>
      <c r="J93" s="297"/>
      <c r="K93" s="297"/>
      <c r="L93" s="297"/>
    </row>
    <row r="94" spans="1:12" x14ac:dyDescent="0.15">
      <c r="B94" s="120" t="str">
        <f>Scenarios!B30</f>
        <v>Devil's advocate</v>
      </c>
      <c r="C94" s="130">
        <f>Scenarios!C30</f>
        <v>0</v>
      </c>
      <c r="D94" s="133">
        <f>Scenarios!D30</f>
        <v>10</v>
      </c>
      <c r="E94" s="127">
        <f>INDEX(B$73:F$87, MATCH(D94, A$73:A$87, 0), MATCH(C94, B$72:F$72, 0))</f>
        <v>158.59359644198807</v>
      </c>
      <c r="F94" s="130">
        <f>Scenarios!F30</f>
        <v>0.05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C18" sqref="C18"/>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543</v>
      </c>
      <c r="E3" s="97"/>
    </row>
    <row r="4" spans="2:7" ht="12.75" customHeight="1" x14ac:dyDescent="0.15">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x14ac:dyDescent="0.15">
      <c r="C5" s="445"/>
      <c r="D5" s="470"/>
      <c r="E5" s="470"/>
      <c r="F5" s="470"/>
      <c r="G5" s="470"/>
    </row>
    <row r="6" spans="2:7" x14ac:dyDescent="0.15">
      <c r="B6" s="145" t="s">
        <v>91</v>
      </c>
      <c r="C6" s="446" t="str">
        <f>DCF!C3&amp;" "&amp;Reporting_currency</f>
        <v>1000000 CNY</v>
      </c>
      <c r="D6" s="470"/>
      <c r="E6" s="470"/>
      <c r="F6" s="470"/>
      <c r="G6" s="470"/>
    </row>
    <row r="7" spans="2:7" ht="12.75" customHeight="1" x14ac:dyDescent="0.15">
      <c r="B7" s="97" t="s">
        <v>232</v>
      </c>
      <c r="C7" s="447">
        <f>Normalized_FCF!G8</f>
        <v>39570</v>
      </c>
      <c r="D7" s="470"/>
      <c r="E7" s="470"/>
      <c r="F7" s="470"/>
      <c r="G7" s="470"/>
    </row>
    <row r="8" spans="2:7" x14ac:dyDescent="0.15">
      <c r="B8" s="97" t="s">
        <v>63</v>
      </c>
      <c r="C8" s="447">
        <f>Normalized_FCF!G19</f>
        <v>28822</v>
      </c>
      <c r="D8" s="470"/>
      <c r="E8" s="470"/>
      <c r="F8" s="470"/>
      <c r="G8" s="470"/>
    </row>
    <row r="9" spans="2:7" x14ac:dyDescent="0.15">
      <c r="B9" s="97" t="s">
        <v>54</v>
      </c>
      <c r="C9" s="447">
        <f>Normalized_FCF!C19</f>
        <v>22897.570210477948</v>
      </c>
      <c r="D9" s="470"/>
      <c r="E9" s="470"/>
      <c r="F9" s="470"/>
      <c r="G9" s="470"/>
    </row>
    <row r="10" spans="2:7" x14ac:dyDescent="0.15">
      <c r="C10" s="448"/>
      <c r="D10" s="470"/>
      <c r="E10" s="470"/>
      <c r="F10" s="470"/>
      <c r="G10" s="470"/>
    </row>
    <row r="11" spans="2:7" x14ac:dyDescent="0.15">
      <c r="B11" s="145" t="s">
        <v>321</v>
      </c>
      <c r="C11" s="448"/>
      <c r="D11" s="470"/>
      <c r="E11" s="470"/>
      <c r="F11" s="470"/>
      <c r="G11" s="470"/>
    </row>
    <row r="12" spans="2:7" ht="14" x14ac:dyDescent="0.15">
      <c r="B12" s="114" t="s">
        <v>121</v>
      </c>
      <c r="C12" s="249">
        <f ca="1">(Normalized_FCF!G4/OFFSET(Normalized_FCF!G4, 0, $C$4))^(1/$C$4) - 1</f>
        <v>5.2429405031766629E-2</v>
      </c>
      <c r="D12" s="470"/>
      <c r="E12" s="470"/>
      <c r="F12" s="470"/>
      <c r="G12" s="470"/>
    </row>
    <row r="13" spans="2:7" x14ac:dyDescent="0.15">
      <c r="B13" s="135" t="s">
        <v>127</v>
      </c>
      <c r="C13" s="249">
        <f ca="1">(Normalized_FCF!G8/OFFSET(Normalized_FCF!G8, 0, $C$4))^(1/$C$4) - 1</f>
        <v>0.46870983906455255</v>
      </c>
      <c r="D13" s="470"/>
      <c r="E13" s="470"/>
      <c r="F13" s="470"/>
      <c r="G13" s="470"/>
    </row>
    <row r="14" spans="2:7" x14ac:dyDescent="0.15">
      <c r="B14" s="97" t="s">
        <v>63</v>
      </c>
      <c r="C14" s="249">
        <f ca="1">(Normalized_FCF!G19/OFFSET(Normalized_FCF!G19, 0, $C$4))^(1/$C$4) - 1</f>
        <v>0.70910794408317734</v>
      </c>
      <c r="D14" s="470"/>
      <c r="E14" s="470"/>
      <c r="F14" s="470"/>
      <c r="G14" s="470"/>
    </row>
    <row r="16" spans="2:7" ht="16" x14ac:dyDescent="0.25">
      <c r="B16" s="34" t="s">
        <v>453</v>
      </c>
      <c r="C16" s="35"/>
      <c r="D16" s="35"/>
      <c r="E16" s="35"/>
      <c r="F16" s="35"/>
      <c r="G16" s="35"/>
    </row>
    <row r="17" spans="2:7" x14ac:dyDescent="0.15">
      <c r="B17" s="106" t="s">
        <v>126</v>
      </c>
      <c r="E17" s="222" t="s">
        <v>251</v>
      </c>
    </row>
    <row r="18" spans="2:7" ht="12.75" customHeight="1" x14ac:dyDescent="0.15">
      <c r="B18" s="139" t="s">
        <v>111</v>
      </c>
      <c r="C18" s="137">
        <v>10</v>
      </c>
      <c r="E18" s="450" t="s">
        <v>544</v>
      </c>
      <c r="F18" s="319"/>
    </row>
    <row r="19" spans="2:7" x14ac:dyDescent="0.15">
      <c r="E19" s="319"/>
      <c r="F19" s="319"/>
    </row>
    <row r="20" spans="2:7" x14ac:dyDescent="0.15">
      <c r="B20" s="106" t="s">
        <v>450</v>
      </c>
      <c r="E20" s="319"/>
      <c r="F20" s="319"/>
    </row>
    <row r="21" spans="2:7" ht="14" x14ac:dyDescent="0.2">
      <c r="B21" s="153" t="s">
        <v>436</v>
      </c>
      <c r="C21" s="153" t="s">
        <v>379</v>
      </c>
      <c r="D21" s="153" t="s">
        <v>448</v>
      </c>
      <c r="E21" s="154" t="str">
        <f>"Value per share ("&amp;Market_currency&amp;")"</f>
        <v>Value per share (HKD)</v>
      </c>
      <c r="F21" s="154" t="s">
        <v>449</v>
      </c>
      <c r="G21" s="154" t="s">
        <v>457</v>
      </c>
    </row>
    <row r="22" spans="2:7" x14ac:dyDescent="0.15">
      <c r="B22" s="302" t="s">
        <v>445</v>
      </c>
      <c r="C22" s="324">
        <v>0.03</v>
      </c>
      <c r="D22" s="325">
        <f>C18</f>
        <v>10</v>
      </c>
      <c r="E22" s="326">
        <f>DCF!E91</f>
        <v>198.82500038268122</v>
      </c>
      <c r="F22" s="328">
        <f>1-F23-F24</f>
        <v>0.19999999999999996</v>
      </c>
      <c r="G22" s="328">
        <f>F22*(1-F$29-F$30)</f>
        <v>0.15999999999999995</v>
      </c>
    </row>
    <row r="23" spans="2:7" x14ac:dyDescent="0.15">
      <c r="B23" s="302" t="s">
        <v>437</v>
      </c>
      <c r="C23" s="324">
        <v>0.02</v>
      </c>
      <c r="D23" s="325">
        <f>C18</f>
        <v>10</v>
      </c>
      <c r="E23" s="326">
        <f>DCF!E92</f>
        <v>184.33884906575102</v>
      </c>
      <c r="F23" s="327">
        <v>0.55000000000000004</v>
      </c>
      <c r="G23" s="328">
        <f t="shared" ref="G23:G24" si="0">F23*(1-F$29-F$30)</f>
        <v>0.44</v>
      </c>
    </row>
    <row r="24" spans="2:7" x14ac:dyDescent="0.15">
      <c r="B24" s="302" t="s">
        <v>446</v>
      </c>
      <c r="C24" s="324">
        <v>0.01</v>
      </c>
      <c r="D24" s="325">
        <f>C18</f>
        <v>10</v>
      </c>
      <c r="E24" s="326">
        <f>DCF!E93</f>
        <v>170.95463507870531</v>
      </c>
      <c r="F24" s="327">
        <v>0.25</v>
      </c>
      <c r="G24" s="328">
        <f t="shared" si="0"/>
        <v>0.19999999999999998</v>
      </c>
    </row>
    <row r="25" spans="2:7" x14ac:dyDescent="0.15">
      <c r="B25" s="141" t="s">
        <v>451</v>
      </c>
      <c r="C25" s="441">
        <f>E23*F23+E24*F24+E22*F22</f>
        <v>183.89002583237564</v>
      </c>
      <c r="D25" s="141" t="str">
        <f>Market_currency</f>
        <v>HKD</v>
      </c>
      <c r="G25" s="149"/>
    </row>
    <row r="27" spans="2:7" x14ac:dyDescent="0.15">
      <c r="B27" s="106" t="s">
        <v>452</v>
      </c>
    </row>
    <row r="28" spans="2:7" ht="14" x14ac:dyDescent="0.2">
      <c r="B28" s="153" t="s">
        <v>436</v>
      </c>
      <c r="C28" s="153" t="s">
        <v>379</v>
      </c>
      <c r="D28" s="153" t="s">
        <v>448</v>
      </c>
      <c r="E28" s="154" t="str">
        <f>"Value per share ("&amp;Market_currency&amp;")"</f>
        <v>Value per share (HKD)</v>
      </c>
      <c r="F28" s="154" t="s">
        <v>449</v>
      </c>
      <c r="G28" s="154" t="s">
        <v>457</v>
      </c>
    </row>
    <row r="29" spans="2:7" x14ac:dyDescent="0.15">
      <c r="B29" s="302" t="s">
        <v>444</v>
      </c>
      <c r="C29" s="324">
        <v>0.05</v>
      </c>
      <c r="D29" s="325">
        <f>C18</f>
        <v>10</v>
      </c>
      <c r="E29" s="326">
        <f>DCF!E90</f>
        <v>231.44538328932953</v>
      </c>
      <c r="F29" s="327">
        <v>0.15</v>
      </c>
      <c r="G29" s="328">
        <f>F29</f>
        <v>0.15</v>
      </c>
    </row>
    <row r="30" spans="2:7" x14ac:dyDescent="0.15">
      <c r="B30" s="315" t="s">
        <v>447</v>
      </c>
      <c r="C30" s="324">
        <v>0</v>
      </c>
      <c r="D30" s="325">
        <f>C18</f>
        <v>10</v>
      </c>
      <c r="E30" s="326">
        <f>DCF!E94</f>
        <v>158.59359644198807</v>
      </c>
      <c r="F30" s="327">
        <v>0.05</v>
      </c>
      <c r="G30" s="328">
        <f>F30</f>
        <v>0.05</v>
      </c>
    </row>
    <row r="31" spans="2:7" x14ac:dyDescent="0.15">
      <c r="E31" s="329"/>
      <c r="F31" s="329"/>
    </row>
    <row r="32" spans="2:7" x14ac:dyDescent="0.15">
      <c r="B32" s="145" t="s">
        <v>456</v>
      </c>
    </row>
    <row r="33" spans="2:7" x14ac:dyDescent="0.15">
      <c r="B33" s="97" t="s">
        <v>458</v>
      </c>
      <c r="C33" s="155">
        <f>Normalized_FCF!C88*(1-dividend_tax_rate)</f>
        <v>3.51</v>
      </c>
      <c r="D33" t="str">
        <f>Market_currency</f>
        <v>HKD</v>
      </c>
      <c r="E33" s="97" t="s">
        <v>455</v>
      </c>
      <c r="F33" s="219">
        <f>Holding_Period</f>
        <v>3</v>
      </c>
    </row>
    <row r="34" spans="2:7" x14ac:dyDescent="0.15">
      <c r="B34" s="97" t="s">
        <v>233</v>
      </c>
      <c r="C34" s="146">
        <f>Market_Price</f>
        <v>103.8</v>
      </c>
      <c r="D34" t="str">
        <f>Market_currency</f>
        <v>HKD</v>
      </c>
      <c r="E34" s="97" t="s">
        <v>454</v>
      </c>
      <c r="F34" s="330">
        <f>RATE(Holding_Period,$C$33,-C34,$C$36)</f>
        <v>0.25085546041516749</v>
      </c>
    </row>
    <row r="35" spans="2:7" x14ac:dyDescent="0.15">
      <c r="B35" s="97" t="s">
        <v>434</v>
      </c>
      <c r="C35" s="320">
        <f>DCF!C11</f>
        <v>173.98166127519536</v>
      </c>
      <c r="D35" s="97" t="str">
        <f>Market_currency</f>
        <v>HKD</v>
      </c>
      <c r="E35" s="97" t="s">
        <v>454</v>
      </c>
      <c r="F35" s="330">
        <f>RATE(Holding_Period,$C$33,-C35,$C$36)</f>
        <v>4.896855368906447E-2</v>
      </c>
    </row>
    <row r="36" spans="2:7" x14ac:dyDescent="0.15">
      <c r="B36" s="97" t="s">
        <v>435</v>
      </c>
      <c r="C36" s="321">
        <f>E22*G22+E23*G23+E24*G24+E30*G30+E29*G29</f>
        <v>189.75850798139936</v>
      </c>
      <c r="D36" t="str">
        <f>Market_currency</f>
        <v>HKD</v>
      </c>
      <c r="E36" s="97" t="s">
        <v>460</v>
      </c>
      <c r="F36" s="331" t="s">
        <v>459</v>
      </c>
    </row>
    <row r="38" spans="2:7" ht="16" x14ac:dyDescent="0.25">
      <c r="B38" s="34" t="s">
        <v>411</v>
      </c>
      <c r="C38" s="35"/>
      <c r="D38" s="35"/>
      <c r="E38" s="35"/>
      <c r="F38" s="35"/>
      <c r="G38" s="35"/>
    </row>
    <row r="39" spans="2:7" x14ac:dyDescent="0.15">
      <c r="B39" s="414" t="str">
        <f>IF(DCF!F14="II","2","1")&amp;"-stage DCF"</f>
        <v>2-stage DCF</v>
      </c>
      <c r="E39" s="222" t="s">
        <v>251</v>
      </c>
    </row>
    <row r="40" spans="2:7" x14ac:dyDescent="0.15">
      <c r="B40" t="s">
        <v>551</v>
      </c>
      <c r="C40" s="126">
        <f>Normalized_FCF!E116</f>
        <v>3.9404773307997187E-2</v>
      </c>
      <c r="E40" s="97" t="s">
        <v>401</v>
      </c>
    </row>
    <row r="41" spans="2:7" x14ac:dyDescent="0.15">
      <c r="B41" s="97" t="s">
        <v>400</v>
      </c>
      <c r="C41" s="455">
        <f>DCF!C16</f>
        <v>2.38559171477595E-2</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10</v>
      </c>
      <c r="D45" s="137"/>
      <c r="E45" s="221" t="s">
        <v>307</v>
      </c>
    </row>
    <row r="46" spans="2:7" ht="14" x14ac:dyDescent="0.15">
      <c r="B46" s="114" t="s">
        <v>112</v>
      </c>
      <c r="C46" s="138">
        <v>2.38559171477595E-2</v>
      </c>
      <c r="D46" s="138"/>
      <c r="E46" s="221" t="s">
        <v>252</v>
      </c>
    </row>
    <row r="47" spans="2:7" x14ac:dyDescent="0.15">
      <c r="B47" s="97" t="s">
        <v>96</v>
      </c>
      <c r="C47" s="146">
        <f>DCF!I18</f>
        <v>189.7895771945665</v>
      </c>
      <c r="D47" s="146" t="str">
        <f>Market_currency</f>
        <v>HKD</v>
      </c>
      <c r="E47" s="221" t="s">
        <v>253</v>
      </c>
    </row>
    <row r="49" spans="2:7" x14ac:dyDescent="0.15">
      <c r="B49" s="106" t="s">
        <v>277</v>
      </c>
      <c r="C49" s="218" t="str">
        <f>IF(Scenarios!C50="Y",Scenarios!B50,"")&amp;IF(Scenarios!C51="Y",Scenarios!B51,"")&amp;IF(Scenarios!C52="Y",Scenarios!B52,"")&amp;" "&amp;IF(Scenarios!C53="Y",Scenarios!B53,"")</f>
        <v xml:space="preserve">Low Growth </v>
      </c>
      <c r="E49" s="222" t="s">
        <v>254</v>
      </c>
    </row>
    <row r="50" spans="2:7" x14ac:dyDescent="0.15">
      <c r="B50" s="97" t="s">
        <v>250</v>
      </c>
      <c r="C50" s="218" t="str">
        <f>IF(C36&lt;C35,"Y","N")</f>
        <v>N</v>
      </c>
      <c r="E50" s="126"/>
    </row>
    <row r="51" spans="2:7" x14ac:dyDescent="0.15">
      <c r="B51" s="97" t="s">
        <v>246</v>
      </c>
      <c r="C51" s="218" t="str">
        <f>IF(C50="Y","N",IF(C46&gt;8%,"N","Y"))</f>
        <v>Y</v>
      </c>
      <c r="E51" s="221" t="s">
        <v>247</v>
      </c>
    </row>
    <row r="52" spans="2:7" x14ac:dyDescent="0.15">
      <c r="B52" s="97" t="s">
        <v>245</v>
      </c>
      <c r="C52" s="218" t="str">
        <f>IF(C46&gt;8%,"Y","N")</f>
        <v>N</v>
      </c>
      <c r="E52" s="221"/>
    </row>
    <row r="53" spans="2:7" x14ac:dyDescent="0.15">
      <c r="B53" s="97" t="s">
        <v>237</v>
      </c>
      <c r="C53" s="217" t="str">
        <f>IF(F53&gt;50%,"Y","N")</f>
        <v>N</v>
      </c>
      <c r="E53" s="126" t="s">
        <v>273</v>
      </c>
      <c r="F53" s="249">
        <f>BS!D89/C36</f>
        <v>3.4643876575169333E-2</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333</v>
      </c>
      <c r="C58" s="155">
        <f>C33</f>
        <v>3.51</v>
      </c>
      <c r="D58" t="str">
        <f>Market_currency</f>
        <v>HKD</v>
      </c>
    </row>
    <row r="60" spans="2:7" x14ac:dyDescent="0.15">
      <c r="B60" s="106" t="s">
        <v>473</v>
      </c>
      <c r="E60" s="413"/>
    </row>
    <row r="61" spans="2:7" ht="14" x14ac:dyDescent="0.2">
      <c r="B61" s="153" t="s">
        <v>462</v>
      </c>
      <c r="C61" s="153" t="s">
        <v>103</v>
      </c>
      <c r="D61" s="153" t="s">
        <v>104</v>
      </c>
      <c r="E61" s="154" t="str">
        <f>"Buy below ("&amp;Market_currency&amp;")"</f>
        <v>Buy below (HKD)</v>
      </c>
      <c r="F61" s="154" t="s">
        <v>454</v>
      </c>
      <c r="G61" s="154" t="s">
        <v>461</v>
      </c>
    </row>
    <row r="62" spans="2:7" x14ac:dyDescent="0.15">
      <c r="B62" s="302" t="s">
        <v>312</v>
      </c>
      <c r="C62" s="119">
        <f>PV(F62, Holding_Period, -C58, 0)</f>
        <v>6.4227790321465186</v>
      </c>
      <c r="D62" s="119">
        <f>C36/(1+F62)^Holding_Period</f>
        <v>87.446317042119546</v>
      </c>
      <c r="E62" s="332">
        <f>C62+D62</f>
        <v>93.869096074266068</v>
      </c>
      <c r="F62" s="301">
        <f>Thesis!E22</f>
        <v>0.29465259038036606</v>
      </c>
      <c r="G62" s="440">
        <f>(1-E62/C36)</f>
        <v>0.50532338669385313</v>
      </c>
    </row>
    <row r="63" spans="2:7" x14ac:dyDescent="0.15">
      <c r="B63" s="302" t="s">
        <v>313</v>
      </c>
      <c r="C63" s="119">
        <f>PV(F63, Holding_Period, -C58, 0)</f>
        <v>7.3850538549144646</v>
      </c>
      <c r="D63" s="119">
        <f>C36/(1+F63)^Holding_Period</f>
        <v>109.60780244412965</v>
      </c>
      <c r="E63" s="332">
        <f>C63+D63</f>
        <v>116.99285629904411</v>
      </c>
      <c r="F63" s="301">
        <f>Thesis!E23</f>
        <v>0.20075184365903009</v>
      </c>
      <c r="G63" s="440">
        <f>(1-E63/C36)</f>
        <v>0.38346450157316758</v>
      </c>
    </row>
    <row r="65" spans="2:7" ht="14" x14ac:dyDescent="0.2">
      <c r="B65" s="153" t="s">
        <v>463</v>
      </c>
      <c r="C65" s="153" t="s">
        <v>103</v>
      </c>
      <c r="D65" s="153" t="s">
        <v>104</v>
      </c>
      <c r="E65" s="154" t="str">
        <f>"Sell above ("&amp;Market_currency&amp;")"</f>
        <v>Sell above (HKD)</v>
      </c>
      <c r="F65" s="154" t="s">
        <v>454</v>
      </c>
      <c r="G65" s="154" t="s">
        <v>461</v>
      </c>
    </row>
    <row r="66" spans="2:7" x14ac:dyDescent="0.15">
      <c r="B66" s="302" t="s">
        <v>315</v>
      </c>
      <c r="C66" s="119">
        <f>PV(F66, Holding_Period, -C58, 0)</f>
        <v>8.4682369720446573</v>
      </c>
      <c r="D66" s="119">
        <f>C36/(1+F66)^Holding_Period</f>
        <v>136.01138275865037</v>
      </c>
      <c r="E66" s="332">
        <f>C66+D66</f>
        <v>144.47961973069502</v>
      </c>
      <c r="F66" s="301">
        <f>Thesis!E24</f>
        <v>0.1174</v>
      </c>
      <c r="G66" s="440">
        <f>(1-E66/C36)</f>
        <v>0.23861321809688074</v>
      </c>
    </row>
    <row r="67" spans="2:7" x14ac:dyDescent="0.15">
      <c r="B67" s="302" t="s">
        <v>314</v>
      </c>
      <c r="C67" s="119">
        <f>PV(F67, Holding_Period, -C58, 0)</f>
        <v>9.1694370473772864</v>
      </c>
      <c r="D67" s="119">
        <f>C36/(1+F67)^Holding_Period</f>
        <v>153.81877714019512</v>
      </c>
      <c r="E67" s="332">
        <f>C67+D67</f>
        <v>162.9882141875724</v>
      </c>
      <c r="F67" s="301">
        <f>Thesis!E25</f>
        <v>7.2499999999999995E-2</v>
      </c>
      <c r="G67" s="440">
        <f>(1-E67/C36)</f>
        <v>0.14107559170127471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334</v>
      </c>
      <c r="B2" s="345"/>
      <c r="C2" s="345"/>
      <c r="D2" s="345"/>
      <c r="E2" s="345"/>
      <c r="F2" s="345"/>
      <c r="G2" s="346"/>
      <c r="H2" s="346"/>
      <c r="I2" s="346"/>
      <c r="J2" s="346"/>
    </row>
    <row r="3" spans="1:10" x14ac:dyDescent="0.2">
      <c r="E3" s="435" t="s">
        <v>542</v>
      </c>
      <c r="F3" s="436">
        <f>Thesis!F3</f>
        <v>46045</v>
      </c>
    </row>
    <row r="4" spans="1:10" x14ac:dyDescent="0.2">
      <c r="B4" s="422" t="s">
        <v>534</v>
      </c>
      <c r="C4" s="423" t="str">
        <f>Thesis!C4</f>
        <v>京东集团</v>
      </c>
      <c r="D4" s="349"/>
      <c r="E4" s="434" t="s">
        <v>540</v>
      </c>
      <c r="F4" s="437" t="str">
        <f>Thesis!F4</f>
        <v>INT</v>
      </c>
    </row>
    <row r="5" spans="1:10" x14ac:dyDescent="0.2">
      <c r="B5" s="343" t="s">
        <v>364</v>
      </c>
      <c r="C5" s="355" t="str">
        <f>Thesis!C5</f>
        <v>9618.HK</v>
      </c>
      <c r="E5" s="438" t="s">
        <v>541</v>
      </c>
      <c r="F5" s="439" t="str">
        <f>Thesis!F5</f>
        <v>Y</v>
      </c>
    </row>
    <row r="6" spans="1:10" x14ac:dyDescent="0.2">
      <c r="B6" s="350" t="s">
        <v>336</v>
      </c>
      <c r="C6" s="352" t="str">
        <f>Thesis!C6</f>
        <v>CNS_01</v>
      </c>
      <c r="E6" s="354"/>
    </row>
    <row r="7" spans="1:10" x14ac:dyDescent="0.2">
      <c r="B7" s="343" t="s">
        <v>366</v>
      </c>
      <c r="C7" s="352" t="str">
        <f>Market_currency</f>
        <v>HKD</v>
      </c>
      <c r="D7" s="354"/>
      <c r="E7" s="354"/>
    </row>
    <row r="8" spans="1:10" x14ac:dyDescent="0.2">
      <c r="B8" s="351" t="s">
        <v>365</v>
      </c>
      <c r="C8" s="356">
        <f>Market_Price</f>
        <v>103.8</v>
      </c>
    </row>
    <row r="9" spans="1:10" x14ac:dyDescent="0.2">
      <c r="B9" s="351" t="s">
        <v>361</v>
      </c>
      <c r="C9" s="353">
        <f>Common_Shares</f>
        <v>3007054361.0630002</v>
      </c>
    </row>
    <row r="10" spans="1:10" x14ac:dyDescent="0.2">
      <c r="B10" s="351" t="s">
        <v>367</v>
      </c>
      <c r="C10" s="357">
        <f>投资主题!C8*Common_Shares/1000000</f>
        <v>312132.24267833942</v>
      </c>
      <c r="D10" s="343" t="s">
        <v>529</v>
      </c>
      <c r="E10" s="360">
        <f>Scenarios!F34</f>
        <v>0.25085546041516749</v>
      </c>
    </row>
    <row r="11" spans="1:10" x14ac:dyDescent="0.2">
      <c r="D11" s="349"/>
      <c r="E11" s="349"/>
    </row>
    <row r="12" spans="1:10" ht="24.5" customHeight="1" x14ac:dyDescent="0.2">
      <c r="B12" s="475" t="s">
        <v>498</v>
      </c>
      <c r="C12" s="475"/>
      <c r="D12" s="475"/>
      <c r="E12" s="475"/>
      <c r="F12" s="475"/>
    </row>
    <row r="14" spans="1:10" x14ac:dyDescent="0.2">
      <c r="B14" s="347" t="s">
        <v>370</v>
      </c>
      <c r="C14" s="348"/>
      <c r="D14" s="349"/>
    </row>
    <row r="15" spans="1:10" x14ac:dyDescent="0.2">
      <c r="B15" s="343" t="s">
        <v>337</v>
      </c>
      <c r="C15" s="358" t="str">
        <f>Thesis!C15</f>
        <v>N</v>
      </c>
      <c r="D15" s="351" t="s">
        <v>368</v>
      </c>
      <c r="E15" s="344" t="str">
        <f>IF(E17=C7,C7,E17&amp;"/"&amp;C7)</f>
        <v>CNY/HKD</v>
      </c>
    </row>
    <row r="16" spans="1:10" x14ac:dyDescent="0.2">
      <c r="B16" s="343" t="s">
        <v>338</v>
      </c>
      <c r="C16" s="358" t="str">
        <f>Thesis!C16</f>
        <v>N</v>
      </c>
      <c r="D16" s="351" t="s">
        <v>369</v>
      </c>
      <c r="E16" s="425">
        <f>Exchange_Rate</f>
        <v>1.1315830089569092</v>
      </c>
    </row>
    <row r="17" spans="1:6" x14ac:dyDescent="0.2">
      <c r="B17" s="343" t="s">
        <v>535</v>
      </c>
      <c r="C17" s="424">
        <f>Terminal_Growth</f>
        <v>0.02</v>
      </c>
      <c r="D17" s="351" t="s">
        <v>339</v>
      </c>
      <c r="E17" s="344" t="str">
        <f>Reporting_currency</f>
        <v>CNY</v>
      </c>
    </row>
    <row r="18" spans="1:6" x14ac:dyDescent="0.2">
      <c r="B18" s="343" t="str">
        <f>"预期股权价值 ("&amp;C7&amp;") :"</f>
        <v>预期股权价值 (HKD) :</v>
      </c>
      <c r="C18" s="359">
        <f>C125</f>
        <v>189.75850798139936</v>
      </c>
      <c r="D18" s="350" t="s">
        <v>362</v>
      </c>
      <c r="E18" s="426">
        <f>Thesis!E18</f>
        <v>6</v>
      </c>
    </row>
    <row r="19" spans="1:6" x14ac:dyDescent="0.2">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x14ac:dyDescent="0.2">
      <c r="D20" s="349"/>
      <c r="E20" s="349"/>
    </row>
    <row r="21" spans="1:6" x14ac:dyDescent="0.2">
      <c r="B21" s="347" t="s">
        <v>493</v>
      </c>
      <c r="C21" s="361" t="str">
        <f>C138&amp;" ("&amp;Market_currency&amp;")"</f>
        <v xml:space="preserve"> (HKD)</v>
      </c>
      <c r="D21" s="362" t="s">
        <v>344</v>
      </c>
      <c r="E21" s="363">
        <f>Holding_Period</f>
        <v>3</v>
      </c>
    </row>
    <row r="22" spans="1:6" x14ac:dyDescent="0.2">
      <c r="B22" s="343" t="s">
        <v>340</v>
      </c>
      <c r="C22" s="364">
        <f>E140</f>
        <v>93.869096074266068</v>
      </c>
      <c r="D22" s="365" t="s">
        <v>440</v>
      </c>
      <c r="E22" s="366">
        <f>Thesis!E22</f>
        <v>0.29465259038036606</v>
      </c>
    </row>
    <row r="23" spans="1:6" x14ac:dyDescent="0.2">
      <c r="B23" s="343" t="s">
        <v>341</v>
      </c>
      <c r="C23" s="367">
        <f>E141</f>
        <v>116.99285629904411</v>
      </c>
      <c r="D23" s="365" t="s">
        <v>441</v>
      </c>
      <c r="E23" s="368">
        <f>Thesis!E23</f>
        <v>0.20075184365903009</v>
      </c>
    </row>
    <row r="24" spans="1:6" x14ac:dyDescent="0.2">
      <c r="B24" s="343" t="s">
        <v>343</v>
      </c>
      <c r="C24" s="367">
        <f>E144</f>
        <v>144.47961973069502</v>
      </c>
      <c r="D24" s="365" t="s">
        <v>443</v>
      </c>
      <c r="E24" s="368">
        <f>Thesis!E24</f>
        <v>0.1174</v>
      </c>
    </row>
    <row r="25" spans="1:6" x14ac:dyDescent="0.2">
      <c r="B25" s="343" t="s">
        <v>342</v>
      </c>
      <c r="C25" s="367">
        <f>E145</f>
        <v>162.9882141875724</v>
      </c>
      <c r="D25" s="365" t="s">
        <v>442</v>
      </c>
      <c r="E25" s="368">
        <f>Thesis!E25</f>
        <v>7.2499999999999995E-2</v>
      </c>
    </row>
    <row r="27" spans="1:6" ht="16" x14ac:dyDescent="0.25">
      <c r="A27" s="345" t="s">
        <v>345</v>
      </c>
      <c r="B27" s="345"/>
      <c r="C27" s="345"/>
      <c r="D27" s="345"/>
      <c r="E27" s="345"/>
      <c r="F27" s="345"/>
    </row>
    <row r="29" spans="1:6" x14ac:dyDescent="0.2">
      <c r="B29" s="475" t="s">
        <v>499</v>
      </c>
      <c r="C29" s="475"/>
      <c r="D29" s="475"/>
      <c r="E29" s="475"/>
      <c r="F29" s="475"/>
    </row>
    <row r="30" spans="1:6" ht="24.5" customHeight="1" x14ac:dyDescent="0.2">
      <c r="B30" s="478" t="s">
        <v>500</v>
      </c>
      <c r="C30" s="478"/>
      <c r="D30" s="478"/>
      <c r="E30" s="478"/>
      <c r="F30" s="478"/>
    </row>
    <row r="32" spans="1:6" x14ac:dyDescent="0.2">
      <c r="B32" s="369" t="s">
        <v>371</v>
      </c>
      <c r="C32" s="370">
        <f>scaling_factor</f>
        <v>1000000</v>
      </c>
    </row>
    <row r="33" spans="2:6" x14ac:dyDescent="0.2">
      <c r="B33" s="471" t="s">
        <v>501</v>
      </c>
      <c r="C33" s="471"/>
      <c r="D33" s="471"/>
      <c r="E33" s="471"/>
      <c r="F33" s="471"/>
    </row>
    <row r="34" spans="2:6" x14ac:dyDescent="0.2">
      <c r="B34" s="372" t="s">
        <v>197</v>
      </c>
      <c r="C34" s="373">
        <f>Normalized_FCF!C8</f>
        <v>38849.138260430074</v>
      </c>
      <c r="D34" s="343" t="str">
        <f>Reporting_currency</f>
        <v>CNY</v>
      </c>
    </row>
    <row r="35" spans="2:6" x14ac:dyDescent="0.2">
      <c r="B35" s="372"/>
      <c r="C35" s="374"/>
    </row>
    <row r="36" spans="2:6" ht="24.5" customHeight="1" x14ac:dyDescent="0.2">
      <c r="B36" s="471" t="s">
        <v>502</v>
      </c>
      <c r="C36" s="471"/>
      <c r="D36" s="471"/>
      <c r="E36" s="471"/>
      <c r="F36" s="471"/>
    </row>
    <row r="37" spans="2:6" x14ac:dyDescent="0.2">
      <c r="B37" s="372" t="s">
        <v>199</v>
      </c>
      <c r="C37" s="373">
        <f>Normalized_FCF!C15</f>
        <v>8904</v>
      </c>
      <c r="D37" s="343" t="str">
        <f>Reporting_currency</f>
        <v>CNY</v>
      </c>
    </row>
    <row r="38" spans="2:6" x14ac:dyDescent="0.2">
      <c r="B38" s="375" t="s">
        <v>200</v>
      </c>
      <c r="C38" s="373">
        <f>Normalized_FCF!C16</f>
        <v>-8904</v>
      </c>
      <c r="D38" s="343" t="str">
        <f>Reporting_currency</f>
        <v>CNY</v>
      </c>
    </row>
    <row r="40" spans="2:6" x14ac:dyDescent="0.2">
      <c r="B40" s="471" t="s">
        <v>503</v>
      </c>
      <c r="C40" s="471"/>
      <c r="D40" s="471"/>
      <c r="E40" s="471"/>
      <c r="F40" s="471"/>
    </row>
    <row r="41" spans="2:6" x14ac:dyDescent="0.2">
      <c r="B41" s="372" t="s">
        <v>202</v>
      </c>
      <c r="C41" s="373">
        <f>Normalized_FCF!C9</f>
        <v>0</v>
      </c>
      <c r="D41" s="343" t="str">
        <f>Reporting_currency</f>
        <v>CNY</v>
      </c>
    </row>
    <row r="43" spans="2:6" x14ac:dyDescent="0.2">
      <c r="B43" s="471" t="s">
        <v>504</v>
      </c>
      <c r="C43" s="471"/>
      <c r="D43" s="471"/>
      <c r="E43" s="471"/>
      <c r="F43" s="471"/>
    </row>
    <row r="44" spans="2:6" x14ac:dyDescent="0.2">
      <c r="B44" s="372" t="s">
        <v>267</v>
      </c>
      <c r="C44" s="376">
        <f>Normalized_FCF!C46</f>
        <v>565.84868687385779</v>
      </c>
      <c r="D44" s="343" t="str">
        <f>Reporting_currency</f>
        <v>CNY</v>
      </c>
      <c r="E44" s="371"/>
      <c r="F44" s="371"/>
    </row>
    <row r="45" spans="2:6" x14ac:dyDescent="0.2">
      <c r="B45" s="372" t="s">
        <v>268</v>
      </c>
      <c r="C45" s="376">
        <f>Normalized_FCF!C45</f>
        <v>-4483.5600000000004</v>
      </c>
      <c r="D45" s="343" t="str">
        <f>Reporting_currency</f>
        <v>CNY</v>
      </c>
      <c r="E45" s="371"/>
      <c r="F45" s="371"/>
    </row>
    <row r="46" spans="2:6" x14ac:dyDescent="0.2">
      <c r="B46" s="372" t="s">
        <v>203</v>
      </c>
      <c r="C46" s="373">
        <f>Normalized_FCF!C10</f>
        <v>-3917.7113131261426</v>
      </c>
      <c r="D46" s="343" t="str">
        <f>Reporting_currency</f>
        <v>CNY</v>
      </c>
    </row>
    <row r="48" spans="2:6" x14ac:dyDescent="0.2">
      <c r="B48" s="343" t="s">
        <v>505</v>
      </c>
    </row>
    <row r="49" spans="2:6" x14ac:dyDescent="0.2">
      <c r="B49" s="372" t="s">
        <v>223</v>
      </c>
      <c r="C49" s="373">
        <f>Normalized_FCF!C13</f>
        <v>-3301</v>
      </c>
      <c r="D49" s="343" t="str">
        <f>Reporting_currency</f>
        <v>CNY</v>
      </c>
    </row>
    <row r="51" spans="2:6" x14ac:dyDescent="0.2">
      <c r="B51" s="471" t="s">
        <v>506</v>
      </c>
      <c r="C51" s="471"/>
      <c r="D51" s="471"/>
      <c r="E51" s="471"/>
      <c r="F51" s="471"/>
    </row>
    <row r="52" spans="2:6" x14ac:dyDescent="0.2">
      <c r="B52" s="372" t="s">
        <v>496</v>
      </c>
      <c r="C52" s="373">
        <f>Normalized_FCF!C12</f>
        <v>-8732.8567368259828</v>
      </c>
      <c r="D52" s="343" t="str">
        <f>Reporting_currency</f>
        <v>CNY</v>
      </c>
    </row>
    <row r="54" spans="2:6" x14ac:dyDescent="0.2">
      <c r="B54" s="471" t="s">
        <v>507</v>
      </c>
      <c r="C54" s="477"/>
      <c r="D54" s="477"/>
      <c r="E54" s="477"/>
      <c r="F54" s="477"/>
    </row>
    <row r="55" spans="2:6" x14ac:dyDescent="0.2">
      <c r="B55" s="372" t="s">
        <v>207</v>
      </c>
      <c r="C55" s="373">
        <f>Normalized_FCF!C17</f>
        <v>0</v>
      </c>
      <c r="D55" s="343" t="str">
        <f>Reporting_currency</f>
        <v>CNY</v>
      </c>
    </row>
    <row r="57" spans="2:6" x14ac:dyDescent="0.2">
      <c r="B57" s="475" t="s">
        <v>508</v>
      </c>
      <c r="C57" s="475"/>
      <c r="D57" s="475"/>
      <c r="E57" s="475"/>
      <c r="F57" s="475"/>
    </row>
    <row r="58" spans="2:6" x14ac:dyDescent="0.2">
      <c r="B58" s="475" t="s">
        <v>509</v>
      </c>
      <c r="C58" s="475"/>
      <c r="D58" s="475"/>
      <c r="E58" s="475"/>
      <c r="F58" s="475"/>
    </row>
    <row r="60" spans="2:6" x14ac:dyDescent="0.2">
      <c r="B60" s="372" t="s">
        <v>372</v>
      </c>
      <c r="C60" s="373">
        <f>Normalized_FCF!G19</f>
        <v>28822</v>
      </c>
      <c r="D60" s="343" t="str">
        <f>Reporting_currency</f>
        <v>CNY</v>
      </c>
    </row>
    <row r="61" spans="2:6" x14ac:dyDescent="0.2">
      <c r="B61" s="372" t="s">
        <v>213</v>
      </c>
      <c r="C61" s="373">
        <f>Normalized_FCF!C19</f>
        <v>22897.570210477948</v>
      </c>
      <c r="D61" s="343" t="str">
        <f>Reporting_currency</f>
        <v>CNY</v>
      </c>
    </row>
    <row r="62" spans="2:6" x14ac:dyDescent="0.2">
      <c r="B62" s="377" t="s">
        <v>302</v>
      </c>
      <c r="C62" s="378">
        <f>Normalized_FCF!C124</f>
        <v>8.3011294104839359E-2</v>
      </c>
      <c r="F62" s="379"/>
    </row>
    <row r="63" spans="2:6" x14ac:dyDescent="0.2">
      <c r="B63" s="377" t="s">
        <v>332</v>
      </c>
      <c r="C63" s="378">
        <f>Normalized_FCF!C92</f>
        <v>3.3815028901734101E-2</v>
      </c>
      <c r="E63" s="372" t="s">
        <v>373</v>
      </c>
      <c r="F63" s="380">
        <f>Normalized_FCF!C90</f>
        <v>0.51217277206029399</v>
      </c>
    </row>
    <row r="65" spans="1:6" x14ac:dyDescent="0.2">
      <c r="B65" s="369" t="s">
        <v>376</v>
      </c>
      <c r="C65" s="381" t="s">
        <v>327</v>
      </c>
      <c r="D65" s="381" t="s">
        <v>374</v>
      </c>
    </row>
    <row r="66" spans="1:6" x14ac:dyDescent="0.2">
      <c r="B66" s="372" t="s">
        <v>326</v>
      </c>
      <c r="C66" s="378">
        <f>Normalized_FCF!E119</f>
        <v>0.15</v>
      </c>
      <c r="D66" s="378">
        <f>Normalized_FCF!G119</f>
        <v>0.12811576111950596</v>
      </c>
    </row>
    <row r="67" spans="1:6" x14ac:dyDescent="0.2">
      <c r="B67" s="382" t="str">
        <f>Normalized_FCF!B116</f>
        <v>Pre-tax Profit/Sales</v>
      </c>
      <c r="C67" s="383">
        <f>Normalized_FCF!E116</f>
        <v>3.9404773307997187E-2</v>
      </c>
      <c r="D67" s="383">
        <f>Normalized_FCF!G116</f>
        <v>3.3655816827304348E-2</v>
      </c>
    </row>
    <row r="68" spans="1:6" x14ac:dyDescent="0.2">
      <c r="B68" s="382" t="str">
        <f>Normalized_FCF!B117</f>
        <v>Sales/Total Assets</v>
      </c>
      <c r="C68" s="384">
        <f>Normalized_FCF!E117</f>
        <v>1.6240671367246462</v>
      </c>
      <c r="D68" s="384">
        <f>Normalized_FCF!G117</f>
        <v>1.6240671367246462</v>
      </c>
    </row>
    <row r="69" spans="1:6" x14ac:dyDescent="0.2">
      <c r="B69" s="382" t="str">
        <f>Normalized_FCF!B118</f>
        <v>Total Assets/Equity</v>
      </c>
      <c r="C69" s="384">
        <f>Normalized_FCF!E118</f>
        <v>2.3438965902371725</v>
      </c>
      <c r="D69" s="384">
        <f>Normalized_FCF!G118</f>
        <v>2.3438965902371725</v>
      </c>
    </row>
    <row r="71" spans="1:6" ht="16" x14ac:dyDescent="0.25">
      <c r="A71" s="345" t="s">
        <v>476</v>
      </c>
      <c r="B71" s="345"/>
      <c r="C71" s="345"/>
      <c r="D71" s="345"/>
      <c r="E71" s="345"/>
      <c r="F71" s="345"/>
    </row>
    <row r="72" spans="1:6" x14ac:dyDescent="0.2">
      <c r="A72" s="385"/>
    </row>
    <row r="73" spans="1:6" x14ac:dyDescent="0.2">
      <c r="A73" s="386"/>
      <c r="B73" s="475" t="s">
        <v>510</v>
      </c>
      <c r="C73" s="475"/>
      <c r="D73" s="475"/>
      <c r="E73" s="475"/>
      <c r="F73" s="475"/>
    </row>
    <row r="74" spans="1:6" x14ac:dyDescent="0.2">
      <c r="B74" s="478" t="s">
        <v>479</v>
      </c>
      <c r="C74" s="478"/>
      <c r="D74" s="478"/>
      <c r="E74" s="478"/>
      <c r="F74" s="478"/>
    </row>
    <row r="76" spans="1:6" x14ac:dyDescent="0.2">
      <c r="B76" s="369" t="s">
        <v>371</v>
      </c>
    </row>
    <row r="77" spans="1:6" x14ac:dyDescent="0.2">
      <c r="B77" s="475" t="s">
        <v>511</v>
      </c>
      <c r="C77" s="475"/>
      <c r="D77" s="475"/>
      <c r="E77" s="475"/>
      <c r="F77" s="475"/>
    </row>
    <row r="78" spans="1:6" x14ac:dyDescent="0.2">
      <c r="B78" s="343" t="s">
        <v>215</v>
      </c>
      <c r="C78" s="373">
        <f>DCF!F4</f>
        <v>-112089</v>
      </c>
      <c r="D78" s="343" t="str">
        <f>Reporting_currency</f>
        <v>CNY</v>
      </c>
    </row>
    <row r="79" spans="1:6" x14ac:dyDescent="0.2">
      <c r="B79" s="372" t="s">
        <v>234</v>
      </c>
      <c r="C79" s="387">
        <f>C78*scaling_factor*Exchange_Rate/Common_Shares</f>
        <v>-42.180151291356594</v>
      </c>
      <c r="D79" s="343" t="str">
        <f>Market_currency</f>
        <v>HKD</v>
      </c>
    </row>
    <row r="80" spans="1:6" x14ac:dyDescent="0.2">
      <c r="B80" s="382" t="s">
        <v>309</v>
      </c>
      <c r="C80" s="388">
        <f>IF(BS!G31/BS!G27&gt;300%,"nm",BS!G31/BS!G27)</f>
        <v>0.36820511135930623</v>
      </c>
    </row>
    <row r="81" spans="1:6" x14ac:dyDescent="0.2">
      <c r="B81" s="382" t="s">
        <v>311</v>
      </c>
      <c r="C81" s="389">
        <f>IF(BS!C50&gt;30,"nm",BS!C50)</f>
        <v>2.8852377432054559</v>
      </c>
    </row>
    <row r="83" spans="1:6" x14ac:dyDescent="0.2">
      <c r="B83" s="343" t="s">
        <v>512</v>
      </c>
    </row>
    <row r="84" spans="1:6" x14ac:dyDescent="0.2">
      <c r="B84" s="343" t="s">
        <v>224</v>
      </c>
      <c r="C84" s="373">
        <f>DCF!F5</f>
        <v>31026.885521023709</v>
      </c>
      <c r="D84" s="343" t="str">
        <f>Reporting_currency</f>
        <v>CNY</v>
      </c>
    </row>
    <row r="85" spans="1:6" x14ac:dyDescent="0.2">
      <c r="B85" s="382" t="s">
        <v>481</v>
      </c>
      <c r="C85" s="390">
        <f>BS!C66</f>
        <v>125335</v>
      </c>
      <c r="D85" s="391" t="str">
        <f>Reporting_currency</f>
        <v>CNY</v>
      </c>
    </row>
    <row r="86" spans="1:6" x14ac:dyDescent="0.2">
      <c r="B86" s="372" t="s">
        <v>235</v>
      </c>
      <c r="C86" s="387">
        <f>C84*scaling_factor*Exchange_Rate/Common_Shares</f>
        <v>11.675710599402095</v>
      </c>
      <c r="D86" s="343" t="str">
        <f>Market_currency</f>
        <v>HKD</v>
      </c>
    </row>
    <row r="88" spans="1:6" x14ac:dyDescent="0.2">
      <c r="B88" s="343" t="s">
        <v>513</v>
      </c>
    </row>
    <row r="89" spans="1:6" x14ac:dyDescent="0.2">
      <c r="B89" s="343" t="s">
        <v>217</v>
      </c>
      <c r="C89" s="373">
        <f>DCF!F6</f>
        <v>98531.7</v>
      </c>
      <c r="D89" s="343" t="str">
        <f>Reporting_currency</f>
        <v>CNY</v>
      </c>
    </row>
    <row r="90" spans="1:6" x14ac:dyDescent="0.2">
      <c r="B90" s="372" t="s">
        <v>236</v>
      </c>
      <c r="C90" s="387">
        <f>C89*scaling_factor*Exchange_Rate/Common_Shares</f>
        <v>37.078411021550387</v>
      </c>
      <c r="D90" s="343" t="str">
        <f>Market_currency</f>
        <v>HKD</v>
      </c>
    </row>
    <row r="92" spans="1:6" x14ac:dyDescent="0.2">
      <c r="B92" s="372" t="s">
        <v>480</v>
      </c>
      <c r="C92" s="387">
        <f>DCF!F8</f>
        <v>6.5739703295958796</v>
      </c>
      <c r="D92" s="343" t="str">
        <f>Market_currency</f>
        <v>HKD</v>
      </c>
    </row>
    <row r="94" spans="1:6" ht="16" x14ac:dyDescent="0.25">
      <c r="A94" s="345" t="s">
        <v>482</v>
      </c>
      <c r="B94" s="345"/>
      <c r="C94" s="345"/>
      <c r="D94" s="345"/>
      <c r="E94" s="345"/>
      <c r="F94" s="345"/>
    </row>
    <row r="95" spans="1:6" x14ac:dyDescent="0.2">
      <c r="A95" s="385"/>
    </row>
    <row r="96" spans="1:6" x14ac:dyDescent="0.2">
      <c r="A96" s="385"/>
      <c r="B96" s="475" t="s">
        <v>514</v>
      </c>
      <c r="C96" s="475"/>
      <c r="D96" s="475"/>
      <c r="E96" s="475"/>
      <c r="F96" s="475"/>
    </row>
    <row r="97" spans="1:6" x14ac:dyDescent="0.2">
      <c r="A97" s="385"/>
      <c r="B97" s="478" t="s">
        <v>515</v>
      </c>
      <c r="C97" s="478"/>
      <c r="D97" s="478"/>
      <c r="E97" s="478"/>
      <c r="F97" s="478"/>
    </row>
    <row r="98" spans="1:6" x14ac:dyDescent="0.2">
      <c r="A98" s="385"/>
      <c r="B98" s="478" t="s">
        <v>516</v>
      </c>
      <c r="C98" s="478"/>
      <c r="D98" s="478"/>
      <c r="E98" s="478"/>
      <c r="F98" s="478"/>
    </row>
    <row r="99" spans="1:6" x14ac:dyDescent="0.2">
      <c r="A99" s="385"/>
    </row>
    <row r="100" spans="1:6" x14ac:dyDescent="0.2">
      <c r="A100" s="385"/>
      <c r="B100" s="369" t="s">
        <v>371</v>
      </c>
    </row>
    <row r="101" spans="1:6" x14ac:dyDescent="0.2">
      <c r="A101" s="385"/>
      <c r="B101" s="372" t="s">
        <v>212</v>
      </c>
      <c r="C101" s="368">
        <f>E25+C103</f>
        <v>7.2499999999999995E-2</v>
      </c>
    </row>
    <row r="102" spans="1:6" x14ac:dyDescent="0.2">
      <c r="A102" s="385"/>
      <c r="B102" s="382" t="s">
        <v>318</v>
      </c>
      <c r="C102" s="383">
        <f>E25</f>
        <v>7.2499999999999995E-2</v>
      </c>
    </row>
    <row r="103" spans="1:6" x14ac:dyDescent="0.2">
      <c r="A103" s="385"/>
      <c r="B103" s="382" t="s">
        <v>317</v>
      </c>
      <c r="C103" s="383">
        <f>IF(C15="Y",1%,0)+IF(C16="Y",1%,0)</f>
        <v>0</v>
      </c>
    </row>
    <row r="104" spans="1:6" x14ac:dyDescent="0.2">
      <c r="A104" s="385"/>
      <c r="B104" s="372" t="s">
        <v>535</v>
      </c>
      <c r="C104" s="368">
        <v>0</v>
      </c>
    </row>
    <row r="105" spans="1:6" x14ac:dyDescent="0.2">
      <c r="A105" s="385"/>
      <c r="C105" s="392"/>
    </row>
    <row r="106" spans="1:6" x14ac:dyDescent="0.2">
      <c r="A106" s="385"/>
      <c r="B106" s="393" t="s">
        <v>375</v>
      </c>
      <c r="C106" s="392"/>
    </row>
    <row r="107" spans="1:6" x14ac:dyDescent="0.2">
      <c r="A107" s="385"/>
      <c r="B107" s="475" t="s">
        <v>517</v>
      </c>
      <c r="C107" s="475"/>
      <c r="D107" s="475"/>
      <c r="E107" s="475"/>
      <c r="F107" s="475"/>
    </row>
    <row r="108" spans="1:6" x14ac:dyDescent="0.2">
      <c r="A108" s="385"/>
      <c r="B108" s="475" t="s">
        <v>536</v>
      </c>
      <c r="C108" s="475"/>
      <c r="D108" s="475"/>
      <c r="E108" s="475"/>
      <c r="F108" s="475"/>
    </row>
    <row r="109" spans="1:6" x14ac:dyDescent="0.2">
      <c r="A109" s="385"/>
    </row>
    <row r="110" spans="1:6" x14ac:dyDescent="0.2">
      <c r="A110" s="385"/>
      <c r="B110" s="369" t="s">
        <v>489</v>
      </c>
    </row>
    <row r="111" spans="1:6" x14ac:dyDescent="0.2">
      <c r="A111" s="385"/>
      <c r="B111" s="375" t="s">
        <v>486</v>
      </c>
      <c r="C111" s="394">
        <f>BS!D47</f>
        <v>-65.299983728895668</v>
      </c>
      <c r="D111" s="343" t="str">
        <f>Market_currency</f>
        <v>HKD</v>
      </c>
    </row>
    <row r="112" spans="1:6" x14ac:dyDescent="0.2">
      <c r="A112" s="385"/>
      <c r="B112" s="372" t="s">
        <v>377</v>
      </c>
      <c r="C112" s="394">
        <f>DCF!C11</f>
        <v>173.98166127519536</v>
      </c>
      <c r="D112" s="343" t="str">
        <f>Market_currency</f>
        <v>HKD</v>
      </c>
    </row>
    <row r="113" spans="1:6" x14ac:dyDescent="0.2">
      <c r="A113" s="385"/>
    </row>
    <row r="114" spans="1:6" x14ac:dyDescent="0.2">
      <c r="A114" s="385"/>
      <c r="B114" s="475" t="s">
        <v>518</v>
      </c>
      <c r="C114" s="475"/>
      <c r="D114" s="475"/>
      <c r="E114" s="475"/>
      <c r="F114" s="475"/>
    </row>
    <row r="115" spans="1:6" x14ac:dyDescent="0.2">
      <c r="A115" s="385"/>
    </row>
    <row r="116" spans="1:6" x14ac:dyDescent="0.2">
      <c r="A116" s="385"/>
      <c r="B116" s="369" t="s">
        <v>490</v>
      </c>
    </row>
    <row r="117" spans="1:6" x14ac:dyDescent="0.2">
      <c r="A117" s="385"/>
      <c r="B117" s="342" t="s">
        <v>378</v>
      </c>
      <c r="C117" s="342" t="s">
        <v>379</v>
      </c>
      <c r="D117" s="342" t="s">
        <v>99</v>
      </c>
      <c r="E117" s="342" t="s">
        <v>380</v>
      </c>
      <c r="F117" s="342" t="s">
        <v>381</v>
      </c>
    </row>
    <row r="118" spans="1:6" x14ac:dyDescent="0.2">
      <c r="A118" s="385"/>
      <c r="B118" s="395" t="str">
        <f>DCF!B90</f>
        <v>Snowball Scenario</v>
      </c>
      <c r="C118" s="396">
        <f>DCF!C90</f>
        <v>0.05</v>
      </c>
      <c r="D118" s="397">
        <f>DCF!D90</f>
        <v>10</v>
      </c>
      <c r="E118" s="398" t="str">
        <f>ROUND(DCF!E90,2)&amp;" "&amp;Market_currency</f>
        <v>231.45 HKD</v>
      </c>
      <c r="F118" s="399">
        <f>DCF!F90</f>
        <v>0.15</v>
      </c>
    </row>
    <row r="119" spans="1:6" x14ac:dyDescent="0.2">
      <c r="A119" s="385"/>
      <c r="B119" s="400" t="str">
        <f>DCF!B91</f>
        <v>Optimistic</v>
      </c>
      <c r="C119" s="401">
        <f>DCF!C91</f>
        <v>0.03</v>
      </c>
      <c r="D119" s="402">
        <f>DCF!D91</f>
        <v>10</v>
      </c>
      <c r="E119" s="398" t="str">
        <f>ROUND(DCF!E91,2)&amp;" "&amp;Market_currency</f>
        <v>198.83 HKD</v>
      </c>
      <c r="F119" s="403">
        <f>DCF!F91</f>
        <v>0.15999999999999995</v>
      </c>
    </row>
    <row r="120" spans="1:6" x14ac:dyDescent="0.2">
      <c r="B120" s="400" t="str">
        <f>DCF!B92</f>
        <v>Base</v>
      </c>
      <c r="C120" s="401">
        <f>DCF!C92</f>
        <v>0.02</v>
      </c>
      <c r="D120" s="402">
        <f>DCF!D92</f>
        <v>10</v>
      </c>
      <c r="E120" s="398" t="str">
        <f>ROUND(DCF!E92,2)&amp;" "&amp;Market_currency</f>
        <v>184.34 HKD</v>
      </c>
      <c r="F120" s="403">
        <f>DCF!F92</f>
        <v>0.44</v>
      </c>
    </row>
    <row r="121" spans="1:6" x14ac:dyDescent="0.2">
      <c r="B121" s="400" t="str">
        <f>DCF!B93</f>
        <v>Pessimistic</v>
      </c>
      <c r="C121" s="401">
        <f>DCF!C93</f>
        <v>0.01</v>
      </c>
      <c r="D121" s="402">
        <f>DCF!D93</f>
        <v>10</v>
      </c>
      <c r="E121" s="398" t="str">
        <f>ROUND(DCF!E93,2)&amp;" "&amp;Market_currency</f>
        <v>170.95 HKD</v>
      </c>
      <c r="F121" s="403">
        <f>DCF!F93</f>
        <v>0.19999999999999998</v>
      </c>
    </row>
    <row r="122" spans="1:6" x14ac:dyDescent="0.2">
      <c r="B122" s="400" t="str">
        <f>DCF!B94</f>
        <v>Devil's advocate</v>
      </c>
      <c r="C122" s="401">
        <f>DCF!C94</f>
        <v>0</v>
      </c>
      <c r="D122" s="402">
        <f>DCF!D94</f>
        <v>10</v>
      </c>
      <c r="E122" s="398" t="str">
        <f>ROUND(DCF!E94,2)&amp;" "&amp;Market_currency</f>
        <v>158.59 HKD</v>
      </c>
      <c r="F122" s="403">
        <f>DCF!F94</f>
        <v>0.05</v>
      </c>
    </row>
    <row r="124" spans="1:6" x14ac:dyDescent="0.2">
      <c r="B124" s="471" t="s">
        <v>519</v>
      </c>
      <c r="C124" s="471"/>
      <c r="D124" s="471"/>
      <c r="E124" s="471"/>
      <c r="F124" s="471"/>
    </row>
    <row r="125" spans="1:6" x14ac:dyDescent="0.2">
      <c r="B125" s="372" t="s">
        <v>218</v>
      </c>
      <c r="C125" s="404">
        <f>Scenarios!C36</f>
        <v>189.75850798139936</v>
      </c>
      <c r="D125" s="343" t="str">
        <f>Market_currency</f>
        <v>HKD</v>
      </c>
    </row>
    <row r="127" spans="1:6" x14ac:dyDescent="0.2">
      <c r="B127" s="473" t="s">
        <v>520</v>
      </c>
      <c r="C127" s="473"/>
      <c r="D127" s="473"/>
      <c r="E127" s="473"/>
      <c r="F127" s="473"/>
    </row>
    <row r="129" spans="1:6" ht="16" x14ac:dyDescent="0.25">
      <c r="A129" s="345" t="s">
        <v>492</v>
      </c>
      <c r="B129" s="345"/>
      <c r="C129" s="345"/>
      <c r="D129" s="345"/>
      <c r="E129" s="345"/>
      <c r="F129" s="345"/>
    </row>
    <row r="131" spans="1:6" x14ac:dyDescent="0.2">
      <c r="B131" s="474" t="s">
        <v>521</v>
      </c>
      <c r="C131" s="474"/>
      <c r="D131" s="474"/>
      <c r="E131" s="474"/>
      <c r="F131" s="474"/>
    </row>
    <row r="132" spans="1:6" ht="24.5" customHeight="1" x14ac:dyDescent="0.2">
      <c r="B132" s="475" t="s">
        <v>522</v>
      </c>
      <c r="C132" s="475"/>
      <c r="D132" s="475"/>
      <c r="E132" s="475"/>
      <c r="F132" s="475"/>
    </row>
    <row r="134" spans="1:6" x14ac:dyDescent="0.2">
      <c r="B134" s="369" t="s">
        <v>371</v>
      </c>
    </row>
    <row r="135" spans="1:6" x14ac:dyDescent="0.2">
      <c r="B135" s="343" t="s">
        <v>382</v>
      </c>
      <c r="C135" s="405">
        <f>E21</f>
        <v>3</v>
      </c>
    </row>
    <row r="136" spans="1:6" x14ac:dyDescent="0.2">
      <c r="B136" s="343" t="s">
        <v>383</v>
      </c>
      <c r="C136" s="406">
        <f>Scenarios!C58</f>
        <v>3.51</v>
      </c>
      <c r="D136" s="343" t="str">
        <f>Market_currency</f>
        <v>HKD</v>
      </c>
    </row>
    <row r="138" spans="1:6" x14ac:dyDescent="0.2">
      <c r="B138" s="369" t="s">
        <v>493</v>
      </c>
      <c r="C138" s="407"/>
      <c r="D138" s="407"/>
    </row>
    <row r="139" spans="1:6" x14ac:dyDescent="0.2">
      <c r="B139" s="340" t="s">
        <v>462</v>
      </c>
      <c r="C139" s="340" t="str">
        <f>"PV("&amp;Holding_Period&amp;" yrs of Dividends)"</f>
        <v>PV(3 yrs of Dividends)</v>
      </c>
      <c r="D139" s="340" t="s">
        <v>471</v>
      </c>
      <c r="E139" s="341" t="str">
        <f>"Buy below ("&amp;Market_currency&amp;")"</f>
        <v>Buy below (HKD)</v>
      </c>
      <c r="F139" s="341" t="s">
        <v>495</v>
      </c>
    </row>
    <row r="140" spans="1:6" x14ac:dyDescent="0.2">
      <c r="B140" s="408" t="s">
        <v>312</v>
      </c>
      <c r="C140" s="409">
        <f>Scenarios!C62</f>
        <v>6.4227790321465186</v>
      </c>
      <c r="D140" s="409">
        <f>Scenarios!D62</f>
        <v>87.446317042119546</v>
      </c>
      <c r="E140" s="410">
        <f>Scenarios!E62</f>
        <v>93.869096074266068</v>
      </c>
      <c r="F140" s="411">
        <f>E22</f>
        <v>0.29465259038036606</v>
      </c>
    </row>
    <row r="141" spans="1:6" x14ac:dyDescent="0.2">
      <c r="B141" s="408" t="s">
        <v>313</v>
      </c>
      <c r="C141" s="409">
        <f>Scenarios!C63</f>
        <v>7.3850538549144646</v>
      </c>
      <c r="D141" s="409">
        <f>Scenarios!D63</f>
        <v>109.60780244412965</v>
      </c>
      <c r="E141" s="410">
        <f>Scenarios!E63</f>
        <v>116.99285629904411</v>
      </c>
      <c r="F141" s="411">
        <f>Scenarios!F63</f>
        <v>0.20075184365903009</v>
      </c>
    </row>
    <row r="143" spans="1:6" x14ac:dyDescent="0.2">
      <c r="B143" s="340" t="s">
        <v>463</v>
      </c>
      <c r="C143" s="340" t="str">
        <f>"PV("&amp;Holding_Period&amp;" yrs of Dividends)"</f>
        <v>PV(3 yrs of Dividends)</v>
      </c>
      <c r="D143" s="340" t="s">
        <v>471</v>
      </c>
      <c r="E143" s="341" t="str">
        <f>"Sell above ("&amp;Market_currency&amp;")"</f>
        <v>Sell above (HKD)</v>
      </c>
      <c r="F143" s="341" t="s">
        <v>495</v>
      </c>
    </row>
    <row r="144" spans="1:6" x14ac:dyDescent="0.2">
      <c r="B144" s="408" t="s">
        <v>315</v>
      </c>
      <c r="C144" s="409">
        <f>Scenarios!C66</f>
        <v>8.4682369720446573</v>
      </c>
      <c r="D144" s="409">
        <f>Scenarios!D66</f>
        <v>136.01138275865037</v>
      </c>
      <c r="E144" s="410">
        <f>Scenarios!E66</f>
        <v>144.47961973069502</v>
      </c>
      <c r="F144" s="411">
        <f>E24</f>
        <v>0.1174</v>
      </c>
    </row>
    <row r="145" spans="1:6" x14ac:dyDescent="0.2">
      <c r="B145" s="408" t="s">
        <v>314</v>
      </c>
      <c r="C145" s="409">
        <f>Scenarios!C67</f>
        <v>9.1694370473772864</v>
      </c>
      <c r="D145" s="409">
        <f>Scenarios!D67</f>
        <v>153.81877714019512</v>
      </c>
      <c r="E145" s="410">
        <f>Scenarios!E67</f>
        <v>162.9882141875724</v>
      </c>
      <c r="F145" s="411">
        <f>Scenarios!F67</f>
        <v>7.2499999999999995E-2</v>
      </c>
    </row>
    <row r="147" spans="1:6" ht="16" x14ac:dyDescent="0.25">
      <c r="A147" s="345" t="s">
        <v>475</v>
      </c>
      <c r="B147" s="345"/>
      <c r="C147" s="345"/>
      <c r="D147" s="345"/>
      <c r="E147" s="345"/>
      <c r="F147" s="345"/>
    </row>
    <row r="149" spans="1:6" x14ac:dyDescent="0.2">
      <c r="B149" s="476" t="s">
        <v>523</v>
      </c>
      <c r="C149" s="475"/>
      <c r="D149" s="475"/>
      <c r="E149" s="475"/>
      <c r="F149" s="475"/>
    </row>
    <row r="151" spans="1:6" x14ac:dyDescent="0.2">
      <c r="B151" s="369" t="s">
        <v>384</v>
      </c>
    </row>
    <row r="152" spans="1:6" x14ac:dyDescent="0.2">
      <c r="B152" s="477" t="s">
        <v>524</v>
      </c>
      <c r="C152" s="477"/>
      <c r="D152" s="477"/>
      <c r="E152" s="477"/>
      <c r="F152" s="477"/>
    </row>
    <row r="153" spans="1:6" x14ac:dyDescent="0.2">
      <c r="B153" s="412" t="s">
        <v>385</v>
      </c>
    </row>
    <row r="154" spans="1:6" x14ac:dyDescent="0.2">
      <c r="B154" s="412" t="s">
        <v>386</v>
      </c>
    </row>
    <row r="155" spans="1:6" x14ac:dyDescent="0.2">
      <c r="B155" s="412" t="s">
        <v>387</v>
      </c>
    </row>
    <row r="157" spans="1:6" x14ac:dyDescent="0.2">
      <c r="B157" s="343" t="s">
        <v>525</v>
      </c>
    </row>
    <row r="158" spans="1:6" ht="24.5" customHeight="1" x14ac:dyDescent="0.2">
      <c r="B158" s="471" t="s">
        <v>439</v>
      </c>
      <c r="C158" s="471"/>
      <c r="D158" s="471"/>
      <c r="E158" s="471"/>
      <c r="F158" s="471"/>
    </row>
    <row r="160" spans="1:6" x14ac:dyDescent="0.2">
      <c r="B160" s="343" t="s">
        <v>526</v>
      </c>
    </row>
    <row r="161" spans="2:6" x14ac:dyDescent="0.2">
      <c r="B161" s="472" t="s">
        <v>388</v>
      </c>
      <c r="C161" s="472"/>
      <c r="D161" s="472"/>
      <c r="E161" s="472"/>
      <c r="F161" s="472"/>
    </row>
    <row r="162" spans="2:6" x14ac:dyDescent="0.2">
      <c r="B162" s="472" t="s">
        <v>389</v>
      </c>
      <c r="C162" s="472"/>
      <c r="D162" s="472"/>
      <c r="E162" s="472"/>
      <c r="F162" s="472"/>
    </row>
    <row r="164" spans="2:6" x14ac:dyDescent="0.2">
      <c r="B164" s="343" t="s">
        <v>527</v>
      </c>
    </row>
    <row r="165" spans="2:6" x14ac:dyDescent="0.2">
      <c r="B165" s="412" t="s">
        <v>390</v>
      </c>
    </row>
    <row r="166" spans="2:6" x14ac:dyDescent="0.2">
      <c r="B166" s="412" t="s">
        <v>391</v>
      </c>
    </row>
    <row r="167" spans="2:6" x14ac:dyDescent="0.2">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