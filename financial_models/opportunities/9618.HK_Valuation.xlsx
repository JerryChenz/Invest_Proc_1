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FAFB310-3F6D-4F67-91C4-EB2C99CC8623}"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G6" i="4" l="1"/>
  <c r="F6" i="4"/>
  <c r="C117" i="2"/>
  <c r="C9" i="6"/>
  <c r="E117" i="2"/>
  <c r="E83" i="2"/>
  <c r="E84" i="2"/>
  <c r="C88" i="2"/>
  <c r="C64" i="2"/>
  <c r="C65" i="2"/>
  <c r="C66" i="2"/>
  <c r="C35" i="2"/>
  <c r="C29" i="2"/>
  <c r="C30" i="2"/>
  <c r="C31" i="2"/>
  <c r="C36" i="3"/>
  <c r="C27" i="3"/>
  <c r="G17" i="3"/>
  <c r="G19" i="3"/>
  <c r="C19" i="3"/>
  <c r="C23" i="3"/>
  <c r="C4" i="3"/>
  <c r="C9" i="3"/>
  <c r="C6" i="4"/>
  <c r="D6" i="4"/>
  <c r="E6" i="4"/>
  <c r="C25" i="4"/>
  <c r="D25" i="4"/>
  <c r="E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79"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<sst xmlns="http://schemas.openxmlformats.org/spreadsheetml/2006/main" count="768" uniqueCount="559">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</sst>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6" sqref="B2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113.5</v>
      </c>
      <c r="E8" s="32"/>
    </row>
    <row r="9" spans="1:9">
      <c r="B9" s="4" t="s">
        <v>346</v>
      </c>
      <c r="C9" s="48">
        <f>2865069999*(1-0.063)+322483772</f>
        <v>3007054361.0630002</v>
      </c>
    </row>
    <row r="10" spans="1:9">
      <c r="B10" s="4" t="s">
        <v>352</v>
      </c>
      <c r="C10" s="33">
        <f>Thesis!C8*Common_Shares/1000000</f>
        <v>341300.66998065053</v>
      </c>
      <c r="D10" s="1" t="s">
        <v>528</v>
      </c>
      <c r="E10" s="303">
        <f>Scenarios!F34</f>
        <v>0.20517568115776152</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1.1215249683380129</v>
      </c>
    </row>
    <row r="17" spans="1:6">
      <c r="B17" s="1" t="s">
        <v>532</v>
      </c>
      <c r="C17" s="456">
        <v>0.02</v>
      </c>
      <c r="D17" s="4" t="s">
        <v>274</v>
      </c>
      <c r="E17" s="224" t="s">
        <v>558</v>
      </c>
    </row>
    <row r="18" spans="1:6">
      <c r="B18" s="1" t="str">
        <f>"Expected Equity Value ("&amp;C7&amp;") :"</f>
        <v>Expected Equity Value (HKD) :</v>
      </c>
      <c r="C18" s="252">
        <f>C125</f>
        <v>185.83844056195898</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92.062613392496303</v>
      </c>
      <c r="D22" s="38" t="s">
        <v>406</v>
      </c>
      <c r="E22" s="79">
        <v>0.29465259038036606</v>
      </c>
    </row>
    <row r="23" spans="1:6">
      <c r="B23" s="1" t="s">
        <v>313</v>
      </c>
      <c r="C23" s="256">
        <f>E141</f>
        <v>114.72855742860922</v>
      </c>
      <c r="D23" s="38" t="s">
        <v>407</v>
      </c>
      <c r="E23" s="443">
        <v>0.20075184365903009</v>
      </c>
    </row>
    <row r="24" spans="1:6">
      <c r="B24" s="1" t="s">
        <v>315</v>
      </c>
      <c r="C24" s="256">
        <f>E144</f>
        <v>141.66987066649239</v>
      </c>
      <c r="D24" s="38" t="s">
        <v>408</v>
      </c>
      <c r="E24" s="443">
        <v>0.1174</v>
      </c>
    </row>
    <row r="25" spans="1:6">
      <c r="B25" s="1" t="s">
        <v>314</v>
      </c>
      <c r="C25" s="256">
        <f>E145</f>
        <v>159.81059657674808</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38849.138260430074</v>
      </c>
      <c r="D34" s="1" t="str">
        <f>Reporting_currency</f>
        <v>CNY</v>
      </c>
    </row>
    <row r="35" spans="2:6">
      <c r="B35" s="44"/>
      <c r="C35" s="73"/>
    </row>
    <row r="36" spans="2:6" ht="24.5" customHeight="1">
      <c r="B36" s="461" t="s">
        <v>198</v>
      </c>
      <c r="C36" s="461"/>
      <c r="D36" s="461"/>
      <c r="E36" s="461"/>
      <c r="F36" s="461"/>
    </row>
    <row r="37" spans="2:6">
      <c r="B37" s="44" t="s">
        <v>199</v>
      </c>
      <c r="C37" s="285">
        <f>Normalized_FCF!C15</f>
        <v>8904</v>
      </c>
      <c r="D37" s="1" t="str">
        <f>Reporting_currency</f>
        <v>CNY</v>
      </c>
    </row>
    <row r="38" spans="2:6">
      <c r="B38" s="49" t="s">
        <v>200</v>
      </c>
      <c r="C38" s="285">
        <f>Normalized_FCF!C16</f>
        <v>-8904</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565.84868687385779</v>
      </c>
      <c r="D44" s="1" t="str">
        <f>Reporting_currency</f>
        <v>CNY</v>
      </c>
      <c r="E44" s="244"/>
      <c r="F44" s="244"/>
    </row>
    <row r="45" spans="2:6">
      <c r="B45" s="44" t="s">
        <v>268</v>
      </c>
      <c r="C45" s="286">
        <f>Normalized_FCF!C45</f>
        <v>-6725.34</v>
      </c>
      <c r="D45" s="1" t="str">
        <f>Reporting_currency</f>
        <v>CNY</v>
      </c>
      <c r="E45" s="244"/>
      <c r="F45" s="244"/>
    </row>
    <row r="46" spans="2:6">
      <c r="B46" s="44" t="s">
        <v>203</v>
      </c>
      <c r="C46" s="285">
        <f>Normalized_FCF!C10</f>
        <v>-6159.4913131261419</v>
      </c>
      <c r="D46" s="1" t="str">
        <f>Reporting_currency</f>
        <v>CNY</v>
      </c>
    </row>
    <row r="48" spans="2:6">
      <c r="B48" s="1" t="s">
        <v>211</v>
      </c>
    </row>
    <row r="49" spans="2:6">
      <c r="B49" s="44" t="s">
        <v>223</v>
      </c>
      <c r="C49" s="285">
        <f>Normalized_FCF!C13</f>
        <v>-3301</v>
      </c>
      <c r="D49" s="1" t="str">
        <f>Reporting_currency</f>
        <v>CNY</v>
      </c>
    </row>
    <row r="51" spans="2:6">
      <c r="B51" s="461" t="s">
        <v>206</v>
      </c>
      <c r="C51" s="461"/>
      <c r="D51" s="461"/>
      <c r="E51" s="461"/>
      <c r="F51" s="461"/>
    </row>
    <row r="52" spans="2:6">
      <c r="B52" s="44" t="s">
        <v>204</v>
      </c>
      <c r="C52" s="285">
        <f>Normalized_FCF!C12</f>
        <v>-8172.4117368259831</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28822</v>
      </c>
      <c r="D60" s="1" t="str">
        <f>Reporting_currency</f>
        <v>CNY</v>
      </c>
    </row>
    <row r="61" spans="2:6">
      <c r="B61" s="44" t="s">
        <v>213</v>
      </c>
      <c r="C61" s="285">
        <f>Normalized_FCF!C19</f>
        <v>21216.235210477949</v>
      </c>
      <c r="D61" s="1" t="str">
        <f>Reporting_currency</f>
        <v>CNY</v>
      </c>
    </row>
    <row r="62" spans="2:6">
      <c r="B62" s="204" t="s">
        <v>302</v>
      </c>
      <c r="C62" s="89">
        <f>Normalized_FCF!C124</f>
        <v>6.9717230628442983E-2</v>
      </c>
      <c r="F62" s="257"/>
    </row>
    <row r="63" spans="2:6">
      <c r="B63" s="204" t="s">
        <v>332</v>
      </c>
      <c r="C63" s="89">
        <f>Normalized_FCF!C92</f>
        <v>3.0925110132158588E-2</v>
      </c>
      <c r="E63" s="44" t="s">
        <v>322</v>
      </c>
      <c r="F63" s="258">
        <f>Normalized_FCF!C90</f>
        <v>0.55276121761479602</v>
      </c>
    </row>
    <row r="65" spans="1:6">
      <c r="B65" s="192" t="s">
        <v>325</v>
      </c>
      <c r="C65" s="264" t="s">
        <v>327</v>
      </c>
      <c r="D65" s="264" t="s">
        <v>328</v>
      </c>
    </row>
    <row r="66" spans="1:6">
      <c r="B66" s="44" t="s">
        <v>326</v>
      </c>
      <c r="C66" s="89">
        <f>Normalized_FCF!E119</f>
        <v>0.15</v>
      </c>
      <c r="D66" s="89">
        <f>Normalized_FCF!G119</f>
        <v>0.12811576111950596</v>
      </c>
    </row>
    <row r="67" spans="1:6">
      <c r="B67" s="229" t="str">
        <f>Normalized_FCF!B116</f>
        <v>Pre-tax Profit/Sales</v>
      </c>
      <c r="C67" s="263">
        <f>Normalized_FCF!E116</f>
        <v>3.9404773307997187E-2</v>
      </c>
      <c r="D67" s="263">
        <f>Normalized_FCF!G116</f>
        <v>3.3655816827304348E-2</v>
      </c>
    </row>
    <row r="68" spans="1:6">
      <c r="B68" s="229" t="str">
        <f>Normalized_FCF!B117</f>
        <v>Sales/Total Assets</v>
      </c>
      <c r="C68" s="265">
        <f>Normalized_FCF!E117</f>
        <v>1.6240671367246462</v>
      </c>
      <c r="D68" s="265">
        <f>Normalized_FCF!G117</f>
        <v>1.6240671367246462</v>
      </c>
    </row>
    <row r="69" spans="1:6">
      <c r="B69" s="229" t="str">
        <f>Normalized_FCF!B118</f>
        <v>Total Assets/Equity</v>
      </c>
      <c r="C69" s="265">
        <f>Normalized_FCF!E118</f>
        <v>2.3438965902371725</v>
      </c>
      <c r="D69" s="265">
        <f>Normalized_FCF!G118</f>
        <v>2.3438965902371725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-112089</v>
      </c>
      <c r="D78" s="1" t="str">
        <f>Reporting_currency</f>
        <v>CNY</v>
      </c>
    </row>
    <row r="79" spans="1:6">
      <c r="A79" s="191"/>
      <c r="B79" s="44" t="s">
        <v>234</v>
      </c>
      <c r="C79" s="201">
        <f>C78*scaling_factor*Exchange_Rate/Common_Shares</f>
        <v>-41.805234319608559</v>
      </c>
      <c r="D79" s="1" t="str">
        <f>Market_currency</f>
        <v>HKD</v>
      </c>
    </row>
    <row r="80" spans="1:6">
      <c r="A80" s="191"/>
      <c r="B80" s="229" t="s">
        <v>309</v>
      </c>
      <c r="C80" s="337">
        <f>IF(BS!G31/BS!G27&gt;300%,"nm",BS!G31/BS!G27)</f>
        <v>0.36820511135930623</v>
      </c>
    </row>
    <row r="81" spans="1:6">
      <c r="A81" s="191"/>
      <c r="B81" s="229" t="s">
        <v>311</v>
      </c>
      <c r="C81" s="338">
        <f>IF(BS!C50&gt;30,"nm",BS!C50)</f>
        <v>2.8852377432054559</v>
      </c>
    </row>
    <row r="82" spans="1:6">
      <c r="A82" s="191"/>
    </row>
    <row r="83" spans="1:6">
      <c r="A83" s="191"/>
      <c r="B83" s="1" t="s">
        <v>466</v>
      </c>
    </row>
    <row r="84" spans="1:6">
      <c r="A84" s="191"/>
      <c r="B84" s="1" t="s">
        <v>224</v>
      </c>
      <c r="C84" s="285">
        <f>DCF!F5</f>
        <v>31026.885521023709</v>
      </c>
      <c r="D84" s="1" t="str">
        <f>Reporting_currency</f>
        <v>CNY</v>
      </c>
    </row>
    <row r="85" spans="1:6">
      <c r="A85" s="191"/>
      <c r="B85" s="229" t="s">
        <v>222</v>
      </c>
      <c r="C85" s="291">
        <f>BS!C66</f>
        <v>125335</v>
      </c>
      <c r="D85" s="339" t="str">
        <f>Reporting_currency</f>
        <v>CNY</v>
      </c>
    </row>
    <row r="86" spans="1:6">
      <c r="A86" s="191"/>
      <c r="B86" s="44" t="s">
        <v>235</v>
      </c>
      <c r="C86" s="201">
        <f>C84*scaling_factor*Exchange_Rate/Common_Shares</f>
        <v>11.571931406418704</v>
      </c>
      <c r="D86" s="1" t="str">
        <f>Market_currency</f>
        <v>HKD</v>
      </c>
    </row>
    <row r="87" spans="1:6">
      <c r="A87" s="191"/>
    </row>
    <row r="88" spans="1:6">
      <c r="A88" s="191"/>
      <c r="B88" s="1" t="s">
        <v>216</v>
      </c>
    </row>
    <row r="89" spans="1:6">
      <c r="A89" s="191"/>
      <c r="B89" s="1" t="s">
        <v>217</v>
      </c>
      <c r="C89" s="285">
        <f>DCF!F6</f>
        <v>98531.7</v>
      </c>
      <c r="D89" s="1" t="str">
        <f>Reporting_currency</f>
        <v>CNY</v>
      </c>
    </row>
    <row r="90" spans="1:6">
      <c r="A90" s="191"/>
      <c r="B90" s="44" t="s">
        <v>236</v>
      </c>
      <c r="C90" s="201">
        <f>C89*scaling_factor*Exchange_Rate/Common_Shares</f>
        <v>36.748840710590464</v>
      </c>
      <c r="D90" s="1" t="str">
        <f>Market_currency</f>
        <v>HKD</v>
      </c>
    </row>
    <row r="91" spans="1:6">
      <c r="A91" s="191"/>
    </row>
    <row r="92" spans="1:6">
      <c r="A92" s="191"/>
      <c r="B92" s="44" t="s">
        <v>469</v>
      </c>
      <c r="C92" s="216">
        <f>DCF!F8</f>
        <v>6.5155377974006097</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-64.719566840731247</v>
      </c>
      <c r="D111" s="1" t="str">
        <f>Market_currency</f>
        <v>HKD</v>
      </c>
    </row>
    <row r="112" spans="2:6">
      <c r="B112" s="44" t="s">
        <v>323</v>
      </c>
      <c r="C112" s="216">
        <f>DCF!C11</f>
        <v>160.25199093749288</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0.05</v>
      </c>
      <c r="D118" s="207" t="str">
        <f>ROUND(DCF!E90,2)&amp;" "&amp;Market_currency</f>
        <v>227.01 HKD</v>
      </c>
      <c r="E118" s="208">
        <f>DCF!F90</f>
        <v>0.15</v>
      </c>
      <c r="F118" s="208">
        <f>RATE(Holding_Period,Scenarios!C$58,-DCF!E90,C$18)</f>
        <v>-4.7987375660487559E-2</v>
      </c>
    </row>
    <row r="119" spans="2:6">
      <c r="B119" s="205" t="str">
        <f>DCF!B91&amp;" ("&amp;DCF!D91&amp;"yrs)"</f>
        <v>Optimistic (10yrs)</v>
      </c>
      <c r="C119" s="198">
        <f>DCF!C91</f>
        <v>0.03</v>
      </c>
      <c r="D119" s="207" t="str">
        <f>ROUND(DCF!E91,2)&amp;" "&amp;Market_currency</f>
        <v>194.79 HKD</v>
      </c>
      <c r="E119" s="199">
        <f>DCF!F91</f>
        <v>0.15999999999999995</v>
      </c>
      <c r="F119" s="208">
        <f>RATE(Holding_Period,Scenarios!C$58,-DCF!E91,C$18)</f>
        <v>2.7460528879222597E-3</v>
      </c>
    </row>
    <row r="120" spans="2:6">
      <c r="B120" s="205" t="str">
        <f>DCF!B92&amp;" ("&amp;DCF!D92&amp;"yrs)"</f>
        <v>Base (10yrs)</v>
      </c>
      <c r="C120" s="198">
        <f>DCF!C92</f>
        <v>0.02</v>
      </c>
      <c r="D120" s="207" t="str">
        <f>ROUND(DCF!E92,2)&amp;" "&amp;Market_currency</f>
        <v>180.48 HKD</v>
      </c>
      <c r="E120" s="199">
        <f>DCF!F92</f>
        <v>0.44</v>
      </c>
      <c r="F120" s="208">
        <f>RATE(Holding_Period,Scenarios!C$58,-DCF!E92,C$18)</f>
        <v>2.9054240566849038E-2</v>
      </c>
    </row>
    <row r="121" spans="2:6">
      <c r="B121" s="205" t="str">
        <f>DCF!B93&amp;" ("&amp;DCF!D93&amp;"yrs)"</f>
        <v>Pessimistic (10yrs)</v>
      </c>
      <c r="C121" s="198">
        <f>DCF!C93</f>
        <v>0.01</v>
      </c>
      <c r="D121" s="207" t="str">
        <f>ROUND(DCF!E93,2)&amp;" "&amp;Market_currency</f>
        <v>167.27 HKD</v>
      </c>
      <c r="E121" s="199">
        <f>DCF!F93</f>
        <v>0.19999999999999998</v>
      </c>
      <c r="F121" s="208">
        <f>RATE(Holding_Period,Scenarios!C$58,-DCF!E93,C$18)</f>
        <v>5.5987055893302717E-2</v>
      </c>
    </row>
    <row r="122" spans="2:6">
      <c r="B122" s="205" t="str">
        <f>DCF!B94&amp;" ("&amp;DCF!D94&amp;"yrs)"</f>
        <v>Devil's advocate (10yrs)</v>
      </c>
      <c r="C122" s="198">
        <f>DCF!C94</f>
        <v>0</v>
      </c>
      <c r="D122" s="207" t="str">
        <f>ROUND(DCF!E94,2)&amp;" "&amp;Market_currency</f>
        <v>155.07 HKD</v>
      </c>
      <c r="E122" s="199">
        <f>DCF!F94</f>
        <v>0.05</v>
      </c>
      <c r="F122" s="208">
        <f>RATE(Holding_Period,Scenarios!C$58,-DCF!E94,C$18)</f>
        <v>8.3539190408932193E-2</v>
      </c>
    </row>
    <row r="124" spans="2:6">
      <c r="B124" s="461" t="s">
        <v>357</v>
      </c>
      <c r="C124" s="461"/>
      <c r="D124" s="461"/>
      <c r="E124" s="461"/>
      <c r="F124" s="461"/>
    </row>
    <row r="125" spans="2:6">
      <c r="B125" s="193" t="s">
        <v>218</v>
      </c>
      <c r="C125" s="197">
        <f>Scenarios!C36</f>
        <v>185.83844056195898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6.4227790321465186</v>
      </c>
      <c r="D140" s="333">
        <f>Scenarios!D62</f>
        <v>85.639834360349781</v>
      </c>
      <c r="E140" s="334">
        <f>Scenarios!E62</f>
        <v>92.062613392496303</v>
      </c>
      <c r="F140" s="335">
        <f>E22</f>
        <v>0.29465259038036606</v>
      </c>
    </row>
    <row r="141" spans="1:6">
      <c r="B141" s="336" t="s">
        <v>313</v>
      </c>
      <c r="C141" s="333">
        <f>Scenarios!C63</f>
        <v>7.3850538549144646</v>
      </c>
      <c r="D141" s="333">
        <f>Scenarios!D63</f>
        <v>107.34350357369476</v>
      </c>
      <c r="E141" s="334">
        <f>Scenarios!E63</f>
        <v>114.72855742860922</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133.20163369444774</v>
      </c>
      <c r="E144" s="334">
        <f>Scenarios!E66</f>
        <v>141.66987066649239</v>
      </c>
      <c r="F144" s="335">
        <f>E24</f>
        <v>0.1174</v>
      </c>
    </row>
    <row r="145" spans="1:6">
      <c r="B145" s="336" t="s">
        <v>314</v>
      </c>
      <c r="C145" s="333">
        <f>Scenarios!C67</f>
        <v>9.1694370473772864</v>
      </c>
      <c r="D145" s="333">
        <f>Scenarios!D67</f>
        <v>150.64115952937081</v>
      </c>
      <c r="E145" s="334">
        <f>Scenarios!E67</f>
        <v>159.81059657674808</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D32" activePane="bottomRight" state="frozen"/>
      <selection pane="topRight" activeCell="C1" sqref="C1"/>
      <selection pane="bottomLeft" activeCell="A2" sqref="A2"/>
      <selection pane="bottomRight" activeCell="G17" sqref="G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1158819</v>
      </c>
      <c r="D4" s="287">
        <v>1084662</v>
      </c>
      <c r="E4" s="287">
        <v>1046236</v>
      </c>
      <c r="F4" s="287">
        <v>951592</v>
      </c>
      <c r="G4" s="287">
        <v>745802</v>
      </c>
      <c r="H4" s="287"/>
      <c r="I4" s="287"/>
      <c r="J4" s="287"/>
      <c r="K4" s="287"/>
      <c r="L4" s="287"/>
      <c r="M4" s="287"/>
    </row>
    <row r="5" spans="2:13">
      <c r="B5" s="38" t="s">
        <v>40</v>
      </c>
      <c r="C5" s="287">
        <v>974951</v>
      </c>
      <c r="D5" s="287">
        <v>924958</v>
      </c>
      <c r="E5" s="287">
        <v>899163</v>
      </c>
      <c r="F5" s="287">
        <v>822526</v>
      </c>
      <c r="G5" s="287">
        <v>636694</v>
      </c>
      <c r="H5" s="287"/>
      <c r="I5" s="287"/>
      <c r="J5" s="287"/>
      <c r="K5" s="287"/>
      <c r="L5" s="287"/>
      <c r="M5" s="287"/>
    </row>
    <row r="6" spans="2:13">
      <c r="B6" s="38" t="s">
        <v>51</v>
      </c>
      <c r="C6" s="287">
        <f>70426+8888+C7</f>
        <v>127267</v>
      </c>
      <c r="D6" s="287">
        <f>64558+9710+D7</f>
        <v>114401</v>
      </c>
      <c r="E6" s="287">
        <f>63011+11053+E7</f>
        <v>111836</v>
      </c>
      <c r="F6" s="287">
        <f>59055+11562+F7</f>
        <v>109360</v>
      </c>
      <c r="G6" s="287">
        <f>48700+6409+G7</f>
        <v>82265</v>
      </c>
      <c r="H6" s="287"/>
      <c r="I6" s="287"/>
      <c r="J6" s="287"/>
      <c r="K6" s="287"/>
      <c r="L6" s="287"/>
      <c r="M6" s="287"/>
    </row>
    <row r="7" spans="2:13">
      <c r="B7" s="66" t="s">
        <v>58</v>
      </c>
      <c r="C7" s="288">
        <v>47953</v>
      </c>
      <c r="D7" s="288">
        <v>40133</v>
      </c>
      <c r="E7" s="288">
        <v>37772</v>
      </c>
      <c r="F7" s="288">
        <v>38743</v>
      </c>
      <c r="G7" s="288">
        <v>27156</v>
      </c>
      <c r="H7" s="288"/>
      <c r="I7" s="288"/>
      <c r="J7" s="288"/>
      <c r="K7" s="288"/>
      <c r="L7" s="288"/>
      <c r="M7" s="288"/>
    </row>
    <row r="8" spans="2:13">
      <c r="B8" s="38" t="s">
        <v>46</v>
      </c>
      <c r="C8" s="287">
        <v>17031</v>
      </c>
      <c r="D8" s="287">
        <v>16393</v>
      </c>
      <c r="E8" s="287">
        <v>16893</v>
      </c>
      <c r="F8" s="287">
        <v>11562</v>
      </c>
      <c r="G8" s="287">
        <v>16149</v>
      </c>
      <c r="H8" s="287"/>
      <c r="I8" s="287"/>
      <c r="J8" s="287"/>
      <c r="K8" s="287"/>
      <c r="L8" s="287"/>
      <c r="M8" s="287"/>
    </row>
    <row r="9" spans="2:13">
      <c r="B9" s="38" t="s">
        <v>134</v>
      </c>
      <c r="C9" s="287">
        <v>2327</v>
      </c>
      <c r="D9" s="287">
        <v>1010</v>
      </c>
      <c r="E9" s="287">
        <v>-2195</v>
      </c>
      <c r="F9" s="287">
        <v>-4918</v>
      </c>
      <c r="G9" s="287">
        <v>4291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2896</v>
      </c>
      <c r="D12" s="287">
        <v>2881</v>
      </c>
      <c r="E12" s="287">
        <v>2106</v>
      </c>
      <c r="F12" s="287">
        <v>1213</v>
      </c>
      <c r="G12" s="287">
        <v>1125</v>
      </c>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6878</v>
      </c>
      <c r="D14" s="287">
        <v>8393</v>
      </c>
      <c r="E14" s="287">
        <v>4176</v>
      </c>
      <c r="F14" s="287">
        <v>1887</v>
      </c>
      <c r="G14" s="287">
        <v>1482</v>
      </c>
      <c r="H14" s="287"/>
      <c r="I14" s="287"/>
      <c r="J14" s="287"/>
      <c r="K14" s="287"/>
      <c r="L14" s="287"/>
      <c r="M14" s="287"/>
    </row>
    <row r="15" spans="2:13">
      <c r="B15" s="41" t="s">
        <v>39</v>
      </c>
      <c r="C15" s="289">
        <v>44660</v>
      </c>
      <c r="D15" s="289">
        <v>23257</v>
      </c>
      <c r="E15" s="289">
        <v>9691</v>
      </c>
      <c r="F15" s="289">
        <v>-4467</v>
      </c>
      <c r="G15" s="289">
        <v>49337</v>
      </c>
      <c r="H15" s="289"/>
      <c r="I15" s="289"/>
      <c r="J15" s="289"/>
      <c r="K15" s="289"/>
      <c r="L15" s="289"/>
      <c r="M15" s="289"/>
    </row>
    <row r="16" spans="2:13">
      <c r="B16" s="27" t="s">
        <v>41</v>
      </c>
      <c r="C16" s="287">
        <v>3301</v>
      </c>
      <c r="D16" s="287">
        <v>-910</v>
      </c>
      <c r="E16" s="287">
        <v>-697</v>
      </c>
      <c r="F16" s="287">
        <v>-923</v>
      </c>
      <c r="G16" s="287">
        <v>-75</v>
      </c>
      <c r="H16" s="287"/>
      <c r="I16" s="287"/>
      <c r="J16" s="287"/>
      <c r="K16" s="287"/>
      <c r="L16" s="287"/>
      <c r="M16" s="287"/>
    </row>
    <row r="18" spans="2:13">
      <c r="B18" s="16" t="s">
        <v>48</v>
      </c>
      <c r="C18" s="9"/>
    </row>
    <row r="19" spans="2:13">
      <c r="B19" s="26" t="s">
        <v>44</v>
      </c>
      <c r="C19" s="287">
        <v>8904</v>
      </c>
      <c r="D19" s="287">
        <v>8292</v>
      </c>
      <c r="E19" s="287">
        <v>7236</v>
      </c>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58095</v>
      </c>
      <c r="D22" s="287">
        <v>59521</v>
      </c>
      <c r="E22" s="287">
        <v>57819</v>
      </c>
      <c r="F22" s="287"/>
      <c r="G22" s="287"/>
      <c r="H22" s="287"/>
      <c r="I22" s="287"/>
      <c r="J22" s="287"/>
      <c r="K22" s="287"/>
      <c r="L22" s="287"/>
      <c r="M22" s="287"/>
    </row>
    <row r="23" spans="2:13">
      <c r="B23" s="26" t="s">
        <v>288</v>
      </c>
      <c r="C23" s="287">
        <v>-871</v>
      </c>
      <c r="D23" s="287">
        <v>-59543</v>
      </c>
      <c r="E23" s="287">
        <v>-54026</v>
      </c>
      <c r="F23" s="287"/>
      <c r="G23" s="287"/>
      <c r="H23" s="287"/>
      <c r="I23" s="287"/>
      <c r="J23" s="287"/>
      <c r="K23" s="287"/>
      <c r="L23" s="287"/>
      <c r="M23" s="287"/>
    </row>
    <row r="24" spans="2:13">
      <c r="B24" s="26" t="s">
        <v>287</v>
      </c>
      <c r="C24" s="287">
        <v>-21004</v>
      </c>
      <c r="D24" s="287">
        <v>-5808</v>
      </c>
      <c r="E24" s="287">
        <v>1180</v>
      </c>
      <c r="F24" s="287"/>
      <c r="G24" s="287"/>
      <c r="H24" s="287"/>
      <c r="I24" s="287"/>
      <c r="J24" s="287"/>
      <c r="K24" s="287"/>
      <c r="L24" s="287"/>
      <c r="M24" s="287"/>
    </row>
    <row r="25" spans="2:13">
      <c r="B25" s="23" t="str">
        <f>"Dividend per share ("&amp;Market_currency&amp;")"</f>
        <v>Dividend per share (HKD)</v>
      </c>
      <c r="C25" s="37">
        <f>0.5*7.8</f>
        <v>3.9</v>
      </c>
      <c r="D25" s="37">
        <f>0.38*7.8</f>
        <v>2.964</v>
      </c>
      <c r="E25" s="37">
        <f>0.31*7.8</f>
        <v>2.4180000000000001</v>
      </c>
      <c r="F25" s="37"/>
      <c r="G25" s="37"/>
      <c r="H25" s="37"/>
      <c r="I25" s="37"/>
      <c r="J25" s="37"/>
      <c r="K25" s="37"/>
      <c r="L25" s="37"/>
      <c r="M25" s="37"/>
    </row>
    <row r="27" spans="2:13">
      <c r="B27" s="16" t="s">
        <v>26</v>
      </c>
      <c r="C27" s="94" t="s">
        <v>547</v>
      </c>
    </row>
    <row r="28" spans="2:13">
      <c r="B28" s="25" t="s">
        <v>22</v>
      </c>
      <c r="C28" s="270">
        <f>BS!C4</f>
        <v>41491</v>
      </c>
      <c r="D28" s="287">
        <f>20302+2114</f>
        <v>22416</v>
      </c>
      <c r="E28" s="287"/>
      <c r="F28" s="287"/>
      <c r="G28" s="287"/>
      <c r="H28" s="287"/>
      <c r="I28" s="287"/>
      <c r="J28" s="287"/>
      <c r="K28" s="287"/>
      <c r="L28" s="287"/>
      <c r="M28" s="287"/>
    </row>
    <row r="29" spans="2:13">
      <c r="B29" s="25" t="s">
        <v>30</v>
      </c>
      <c r="C29" s="270">
        <f>BS!C6</f>
        <v>100999</v>
      </c>
      <c r="D29" s="287">
        <v>68058</v>
      </c>
      <c r="E29" s="287"/>
      <c r="F29" s="287"/>
      <c r="G29" s="287"/>
      <c r="H29" s="287"/>
      <c r="I29" s="287"/>
      <c r="J29" s="287"/>
      <c r="K29" s="287"/>
      <c r="L29" s="287"/>
      <c r="M29" s="287"/>
    </row>
    <row r="30" spans="2:13">
      <c r="B30" s="28" t="s">
        <v>38</v>
      </c>
      <c r="C30" s="271">
        <f>BS!C33+BS!C42</f>
        <v>409109</v>
      </c>
      <c r="D30" s="289">
        <v>332578</v>
      </c>
      <c r="E30" s="289"/>
      <c r="F30" s="289"/>
      <c r="G30" s="289"/>
      <c r="H30" s="289"/>
      <c r="I30" s="289"/>
      <c r="J30" s="289"/>
      <c r="K30" s="289"/>
      <c r="L30" s="289"/>
      <c r="M30" s="289"/>
    </row>
    <row r="31" spans="2:13">
      <c r="B31" s="28" t="s">
        <v>28</v>
      </c>
      <c r="C31" s="271">
        <f>BS!G27</f>
        <v>304420</v>
      </c>
      <c r="D31" s="289">
        <v>295766</v>
      </c>
      <c r="E31" s="289"/>
      <c r="F31" s="289"/>
      <c r="G31" s="289"/>
      <c r="H31" s="289"/>
      <c r="I31" s="289"/>
      <c r="J31" s="289"/>
      <c r="K31" s="289"/>
      <c r="L31" s="289"/>
      <c r="M31" s="289"/>
    </row>
    <row r="32" spans="2:13">
      <c r="B32" s="25" t="s">
        <v>143</v>
      </c>
      <c r="C32" s="270">
        <f>BS!G28</f>
        <v>72487</v>
      </c>
      <c r="D32" s="287">
        <v>63908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1158819</v>
      </c>
      <c r="D36" s="270">
        <f t="shared" si="1"/>
        <v>1084662</v>
      </c>
      <c r="E36" s="270">
        <f t="shared" si="1"/>
        <v>1046236</v>
      </c>
      <c r="F36" s="270">
        <f t="shared" si="1"/>
        <v>951592</v>
      </c>
      <c r="G36" s="270">
        <f t="shared" si="1"/>
        <v>745802</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-974951</v>
      </c>
      <c r="D37" s="270">
        <f t="shared" si="2"/>
        <v>-924958</v>
      </c>
      <c r="E37" s="270">
        <f t="shared" si="2"/>
        <v>-899163</v>
      </c>
      <c r="F37" s="270">
        <f t="shared" si="2"/>
        <v>-822526</v>
      </c>
      <c r="G37" s="270">
        <f t="shared" si="2"/>
        <v>-636694</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183868</v>
      </c>
      <c r="D38" s="267">
        <f t="shared" ref="D38" si="3">IF(D36="","",D36+D37)</f>
        <v>159704</v>
      </c>
      <c r="E38" s="267">
        <f t="shared" ref="E38" si="4">IF(E36="","",E36+E37)</f>
        <v>147073</v>
      </c>
      <c r="F38" s="267">
        <f t="shared" ref="F38" si="5">IF(F36="","",F36+F37)</f>
        <v>129066</v>
      </c>
      <c r="G38" s="267">
        <f t="shared" ref="G38" si="6">IF(G36="","",G36+G37)</f>
        <v>109108</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-127267</v>
      </c>
      <c r="D39" s="270">
        <f t="shared" si="13"/>
        <v>-114401</v>
      </c>
      <c r="E39" s="270">
        <f t="shared" si="13"/>
        <v>-111836</v>
      </c>
      <c r="F39" s="270">
        <f t="shared" si="13"/>
        <v>-109360</v>
      </c>
      <c r="G39" s="270">
        <f t="shared" si="13"/>
        <v>-82265</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-47953</v>
      </c>
      <c r="D40" s="282">
        <f t="shared" si="14"/>
        <v>-40133</v>
      </c>
      <c r="E40" s="282">
        <f t="shared" si="14"/>
        <v>-37772</v>
      </c>
      <c r="F40" s="282">
        <f t="shared" si="14"/>
        <v>-38743</v>
      </c>
      <c r="G40" s="282">
        <f t="shared" si="14"/>
        <v>-27156</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-79314</v>
      </c>
      <c r="D41" s="282">
        <f t="shared" ref="D41:M41" si="15">IF(D$4="","",D39-D40)</f>
        <v>-74268</v>
      </c>
      <c r="E41" s="282">
        <f t="shared" si="15"/>
        <v>-74064</v>
      </c>
      <c r="F41" s="282">
        <f t="shared" si="15"/>
        <v>-70617</v>
      </c>
      <c r="G41" s="282">
        <f t="shared" si="15"/>
        <v>-55109</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-17031</v>
      </c>
      <c r="D42" s="270">
        <f t="shared" si="16"/>
        <v>-16393</v>
      </c>
      <c r="E42" s="270">
        <f t="shared" si="16"/>
        <v>-16893</v>
      </c>
      <c r="F42" s="270">
        <f t="shared" si="16"/>
        <v>-11562</v>
      </c>
      <c r="G42" s="270">
        <f t="shared" si="16"/>
        <v>-16149</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39570</v>
      </c>
      <c r="D43" s="271">
        <f t="shared" ref="D43:M43" si="17">IF(D$4="","",D38+D39+D42)</f>
        <v>28910</v>
      </c>
      <c r="E43" s="271">
        <f t="shared" si="17"/>
        <v>18344</v>
      </c>
      <c r="F43" s="271">
        <f t="shared" si="17"/>
        <v>8144</v>
      </c>
      <c r="G43" s="271">
        <f t="shared" si="17"/>
        <v>10694</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14864</v>
      </c>
      <c r="D44" s="290">
        <f t="shared" si="18"/>
        <v>5621</v>
      </c>
      <c r="E44" s="290">
        <f t="shared" si="18"/>
        <v>-2371</v>
      </c>
      <c r="F44" s="290">
        <f t="shared" si="18"/>
        <v>-9511</v>
      </c>
      <c r="G44" s="290">
        <f t="shared" si="18"/>
        <v>41250</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-2896</v>
      </c>
      <c r="D45" s="285">
        <f t="shared" si="19"/>
        <v>-2881</v>
      </c>
      <c r="E45" s="285">
        <f t="shared" si="19"/>
        <v>-2106</v>
      </c>
      <c r="F45" s="285">
        <f t="shared" si="19"/>
        <v>-1213</v>
      </c>
      <c r="G45" s="285">
        <f t="shared" si="19"/>
        <v>-1125</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-6878</v>
      </c>
      <c r="D46" s="270">
        <f t="shared" ref="D46:M46" si="20">IF(D$4="","",-D14)</f>
        <v>-8393</v>
      </c>
      <c r="E46" s="270">
        <f t="shared" si="20"/>
        <v>-4176</v>
      </c>
      <c r="F46" s="270">
        <f t="shared" si="20"/>
        <v>-1887</v>
      </c>
      <c r="G46" s="270">
        <f t="shared" si="20"/>
        <v>-1482</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44660</v>
      </c>
      <c r="D47" s="271">
        <f t="shared" si="21"/>
        <v>23257</v>
      </c>
      <c r="E47" s="271">
        <f t="shared" si="21"/>
        <v>9691</v>
      </c>
      <c r="F47" s="271">
        <f t="shared" si="21"/>
        <v>-4467</v>
      </c>
      <c r="G47" s="271">
        <f t="shared" si="21"/>
        <v>49337</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-3301</v>
      </c>
      <c r="D48" s="270">
        <f t="shared" si="22"/>
        <v>0</v>
      </c>
      <c r="E48" s="270">
        <f t="shared" si="22"/>
        <v>0</v>
      </c>
      <c r="F48" s="270">
        <f t="shared" si="22"/>
        <v>0</v>
      </c>
      <c r="G48" s="270">
        <f t="shared" si="22"/>
        <v>0</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-2896</v>
      </c>
      <c r="D51" s="270">
        <f t="shared" si="23"/>
        <v>-2881</v>
      </c>
      <c r="E51" s="270">
        <f t="shared" si="23"/>
        <v>-2106</v>
      </c>
      <c r="F51" s="270">
        <f t="shared" si="23"/>
        <v>-1213</v>
      </c>
      <c r="G51" s="270">
        <f t="shared" si="23"/>
        <v>-1125</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1010</v>
      </c>
      <c r="E55" s="285">
        <f t="shared" si="25"/>
        <v>-2195</v>
      </c>
      <c r="F55" s="285">
        <f t="shared" si="25"/>
        <v>-4918</v>
      </c>
      <c r="G55" s="285">
        <f t="shared" si="25"/>
        <v>4291</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12537</v>
      </c>
      <c r="D58" s="285">
        <f t="shared" ref="D58:M58" si="28">IF(D$4="","",D44-D55-D56-D57)</f>
        <v>4611</v>
      </c>
      <c r="E58" s="285">
        <f t="shared" si="28"/>
        <v>-176</v>
      </c>
      <c r="F58" s="285">
        <f t="shared" si="28"/>
        <v>-4593</v>
      </c>
      <c r="G58" s="285">
        <f t="shared" si="28"/>
        <v>36959</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-8292</v>
      </c>
      <c r="E61" s="270">
        <f t="shared" si="29"/>
        <v>-7236</v>
      </c>
      <c r="F61" s="270">
        <f t="shared" si="29"/>
        <v>0</v>
      </c>
      <c r="G61" s="270">
        <f t="shared" si="29"/>
        <v>0</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-8292</v>
      </c>
      <c r="E62" s="270">
        <f t="shared" si="30"/>
        <v>-7236</v>
      </c>
      <c r="F62" s="270">
        <f t="shared" si="30"/>
        <v>0</v>
      </c>
      <c r="G62" s="270">
        <f t="shared" si="30"/>
        <v>0</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36220</v>
      </c>
      <c r="D64" s="270">
        <f t="shared" ref="D64:M64" si="32">IF(D$4="","",D22+D23+D24)</f>
        <v>-5830</v>
      </c>
      <c r="E64" s="270">
        <f t="shared" si="32"/>
        <v>4973</v>
      </c>
      <c r="F64" s="270">
        <f t="shared" si="32"/>
        <v>0</v>
      </c>
      <c r="G64" s="270">
        <f t="shared" si="32"/>
        <v>0</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2.964</v>
      </c>
      <c r="E65" s="70">
        <f t="shared" si="33"/>
        <v>2.4180000000000001</v>
      </c>
      <c r="F65" s="70">
        <f t="shared" si="33"/>
        <v>0</v>
      </c>
      <c r="G65" s="70">
        <f t="shared" si="33"/>
        <v>0</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6.8368763725473958E-2</v>
      </c>
      <c r="D68" s="89">
        <f t="shared" si="34"/>
        <v>3.6727851077577034E-2</v>
      </c>
      <c r="E68" s="89">
        <f t="shared" si="34"/>
        <v>9.945859149719638E-2</v>
      </c>
      <c r="F68" s="89">
        <f t="shared" si="34"/>
        <v>0.27593114526375628</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0.1513049140910685</v>
      </c>
      <c r="D69" s="89">
        <f t="shared" ref="D69:M69" si="35">IF(E$36="","",D38/E38-1)</f>
        <v>8.5882520924982941E-2</v>
      </c>
      <c r="E69" s="89">
        <f t="shared" si="35"/>
        <v>0.13951776610416378</v>
      </c>
      <c r="F69" s="89">
        <f t="shared" si="35"/>
        <v>0.18291967591743963</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0.36873054306468345</v>
      </c>
      <c r="D70" s="98">
        <f t="shared" ref="D70:M70" si="36">IF(E$36="","",D43/E43-1)</f>
        <v>0.57599215002180548</v>
      </c>
      <c r="E70" s="98">
        <f t="shared" si="36"/>
        <v>1.2524557956777995</v>
      </c>
      <c r="F70" s="98">
        <f t="shared" si="36"/>
        <v>-0.23845146811296059</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1.6443693293008361</v>
      </c>
      <c r="D71" s="98">
        <f t="shared" ref="D71:M71" si="37">IF(E$36="","",D44/E44-1)</f>
        <v>-3.3707296499367354</v>
      </c>
      <c r="E71" s="98">
        <f t="shared" si="37"/>
        <v>-0.75070970455262331</v>
      </c>
      <c r="F71" s="98">
        <f t="shared" si="37"/>
        <v>-1.2305696969696971</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0.92028206561465375</v>
      </c>
      <c r="D72" s="98">
        <f t="shared" ref="D72:M72" si="38">IF(E$36="","",D47/E47-1)</f>
        <v>1.3998555360643898</v>
      </c>
      <c r="E72" s="98">
        <f t="shared" si="38"/>
        <v>-3.1694649653010969</v>
      </c>
      <c r="F72" s="98">
        <f t="shared" si="38"/>
        <v>-1.0905405679307618</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713529</v>
      </c>
      <c r="D76" s="285">
        <f t="shared" ref="D76:M76" si="39">IF(D$4="","",D79+D80)</f>
        <v>628344</v>
      </c>
      <c r="E76" s="285">
        <f t="shared" si="39"/>
        <v>0</v>
      </c>
      <c r="F76" s="285">
        <f t="shared" si="39"/>
        <v>0</v>
      </c>
      <c r="G76" s="285">
        <f t="shared" si="39"/>
        <v>0</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41491</v>
      </c>
      <c r="D77" s="282">
        <f t="shared" si="40"/>
        <v>22416</v>
      </c>
      <c r="E77" s="282">
        <f t="shared" si="40"/>
        <v>0</v>
      </c>
      <c r="F77" s="282">
        <f t="shared" si="40"/>
        <v>0</v>
      </c>
      <c r="G77" s="282">
        <f t="shared" si="40"/>
        <v>0</v>
      </c>
      <c r="H77" s="282" t="str">
        <f t="shared" si="40"/>
        <v/>
      </c>
      <c r="I77" s="291"/>
      <c r="J77" s="291"/>
      <c r="K77" s="291"/>
      <c r="L77" s="291"/>
      <c r="M77" s="291"/>
    </row>
    <row r="78" spans="2:13">
      <c r="B78" s="90" t="s">
        <v>83</v>
      </c>
      <c r="C78" s="260">
        <f t="shared" si="40"/>
        <v>100999</v>
      </c>
      <c r="D78" s="282">
        <f t="shared" si="40"/>
        <v>68058</v>
      </c>
      <c r="E78" s="282">
        <f t="shared" si="40"/>
        <v>0</v>
      </c>
      <c r="F78" s="282">
        <f t="shared" si="40"/>
        <v>0</v>
      </c>
      <c r="G78" s="282">
        <f t="shared" si="40"/>
        <v>0</v>
      </c>
      <c r="H78" s="282" t="str">
        <f t="shared" si="40"/>
        <v/>
      </c>
      <c r="I78" s="291"/>
      <c r="J78" s="291"/>
      <c r="K78" s="291"/>
      <c r="L78" s="291"/>
      <c r="M78" s="291"/>
    </row>
    <row r="79" spans="2:13">
      <c r="B79" s="25" t="s">
        <v>38</v>
      </c>
      <c r="C79" s="259">
        <f t="shared" ref="C79:M79" si="41">IF(C$4="","",C30)</f>
        <v>409109</v>
      </c>
      <c r="D79" s="270">
        <f t="shared" si="41"/>
        <v>332578</v>
      </c>
      <c r="E79" s="270">
        <f t="shared" si="41"/>
        <v>0</v>
      </c>
      <c r="F79" s="270">
        <f t="shared" si="41"/>
        <v>0</v>
      </c>
      <c r="G79" s="270">
        <f t="shared" si="41"/>
        <v>0</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304420</v>
      </c>
      <c r="D80" s="270">
        <f t="shared" si="42"/>
        <v>295766</v>
      </c>
      <c r="E80" s="270">
        <f t="shared" si="42"/>
        <v>0</v>
      </c>
      <c r="F80" s="270">
        <f t="shared" si="42"/>
        <v>0</v>
      </c>
      <c r="G80" s="270">
        <f t="shared" si="42"/>
        <v>0</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1" sqref="G3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39735+1756</f>
        <v>41491</v>
      </c>
      <c r="D4" s="231">
        <v>0.6</v>
      </c>
      <c r="E4" s="24"/>
      <c r="F4" s="4" t="s">
        <v>74</v>
      </c>
      <c r="G4" s="18">
        <v>113069</v>
      </c>
      <c r="H4" s="231">
        <v>0.9</v>
      </c>
    </row>
    <row r="5" spans="2:8" ht="15" customHeight="1">
      <c r="B5" s="1" t="s">
        <v>31</v>
      </c>
      <c r="C5" s="18">
        <v>0</v>
      </c>
      <c r="D5" s="231">
        <v>0.6</v>
      </c>
      <c r="E5" s="24"/>
      <c r="F5" s="1" t="s">
        <v>27</v>
      </c>
      <c r="G5" s="18">
        <v>12266</v>
      </c>
      <c r="H5" s="231">
        <v>0.7</v>
      </c>
    </row>
    <row r="6" spans="2:8" ht="15" customHeight="1">
      <c r="B6" s="4" t="s">
        <v>8</v>
      </c>
      <c r="C6" s="18">
        <v>100999</v>
      </c>
      <c r="D6" s="231">
        <v>0.5</v>
      </c>
      <c r="E6" s="24"/>
      <c r="F6" s="4" t="s">
        <v>147</v>
      </c>
      <c r="G6" s="18">
        <v>0</v>
      </c>
      <c r="H6" s="231">
        <v>0.6</v>
      </c>
    </row>
    <row r="7" spans="2:8" ht="15" customHeight="1">
      <c r="B7" s="1" t="s">
        <v>66</v>
      </c>
      <c r="C7" s="18">
        <v>0</v>
      </c>
      <c r="D7" s="231">
        <v>0.6</v>
      </c>
      <c r="E7" s="24"/>
      <c r="F7" s="4" t="s">
        <v>148</v>
      </c>
      <c r="G7" s="18">
        <v>85203</v>
      </c>
      <c r="H7" s="231">
        <v>0.6</v>
      </c>
    </row>
    <row r="8" spans="2:8" ht="15" customHeight="1">
      <c r="B8" s="1" t="s">
        <v>144</v>
      </c>
      <c r="C8" s="18">
        <v>0</v>
      </c>
      <c r="D8" s="231">
        <v>0.6</v>
      </c>
      <c r="E8" s="24"/>
      <c r="F8" s="1" t="s">
        <v>149</v>
      </c>
      <c r="G8" s="18">
        <v>0</v>
      </c>
      <c r="H8" s="231">
        <v>0.6</v>
      </c>
    </row>
    <row r="9" spans="2:8" ht="15" customHeight="1">
      <c r="B9" s="4" t="s">
        <v>23</v>
      </c>
      <c r="C9" s="18">
        <f>8111+17165</f>
        <v>25276</v>
      </c>
      <c r="D9" s="231">
        <v>0.1</v>
      </c>
      <c r="E9" s="24"/>
      <c r="F9" s="4" t="s">
        <v>150</v>
      </c>
      <c r="G9" s="18">
        <v>0</v>
      </c>
      <c r="H9" s="231">
        <v>0.6</v>
      </c>
    </row>
    <row r="10" spans="2:8" ht="15" customHeight="1">
      <c r="B10" s="4" t="s">
        <v>9</v>
      </c>
      <c r="C10" s="18">
        <v>0</v>
      </c>
      <c r="D10" s="231">
        <v>0.9</v>
      </c>
      <c r="F10" s="1" t="s">
        <v>402</v>
      </c>
      <c r="G10" s="18">
        <v>960</v>
      </c>
      <c r="H10" s="231">
        <v>0.4</v>
      </c>
    </row>
    <row r="11" spans="2:8" ht="15" customHeight="1">
      <c r="B11" s="4" t="s">
        <v>10</v>
      </c>
      <c r="C11" s="18">
        <v>0</v>
      </c>
      <c r="D11" s="231">
        <v>0.05</v>
      </c>
      <c r="H11" s="232"/>
    </row>
    <row r="12" spans="2:8" ht="15" customHeight="1">
      <c r="B12" s="77" t="s">
        <v>69</v>
      </c>
      <c r="C12" s="78">
        <f>SUM(C4:C11)</f>
        <v>167766</v>
      </c>
      <c r="D12" s="19">
        <f>C4*D4+C5*D5+C9*D9+C6*D6+C8*D8+C7*D7+C10*D10+C11*D11</f>
        <v>77921.7</v>
      </c>
      <c r="F12" s="77" t="s">
        <v>67</v>
      </c>
      <c r="G12" s="78">
        <f>SUM(G4:G10)</f>
        <v>211498</v>
      </c>
      <c r="H12" s="19">
        <f>G4*H4+G5*H5+G6*H6+G7*H7+G8*H8+G9*H9+G10*H10</f>
        <v>161854.1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70622</f>
        <v>70622</v>
      </c>
      <c r="H17" s="231">
        <v>0.6</v>
      </c>
    </row>
    <row r="18" spans="2:8" ht="15" customHeight="1">
      <c r="B18" s="4" t="s">
        <v>144</v>
      </c>
      <c r="C18" s="18">
        <v>0</v>
      </c>
      <c r="D18" s="231">
        <v>0.6</v>
      </c>
      <c r="F18" s="4" t="s">
        <v>151</v>
      </c>
      <c r="G18" s="18">
        <v>0</v>
      </c>
      <c r="H18" s="231">
        <v>0.1</v>
      </c>
    </row>
    <row r="19" spans="2:8" ht="15" customHeight="1">
      <c r="B19" s="4" t="s">
        <v>24</v>
      </c>
      <c r="C19" s="18">
        <f>88559+8337+36877+29854</f>
        <v>163627</v>
      </c>
      <c r="D19" s="231">
        <v>0.1</v>
      </c>
      <c r="F19" s="4" t="s">
        <v>152</v>
      </c>
      <c r="G19" s="18">
        <f>50367</f>
        <v>50367</v>
      </c>
      <c r="H19" s="231">
        <v>0.1</v>
      </c>
    </row>
    <row r="20" spans="2:8" ht="15" customHeight="1">
      <c r="B20" s="4" t="s">
        <v>16</v>
      </c>
      <c r="C20" s="18">
        <v>0</v>
      </c>
      <c r="D20" s="231">
        <v>0.05</v>
      </c>
      <c r="F20" s="4" t="s">
        <v>149</v>
      </c>
      <c r="G20" s="18">
        <v>0</v>
      </c>
      <c r="H20" s="231">
        <v>0.2</v>
      </c>
    </row>
    <row r="21" spans="2:8" ht="15" customHeight="1">
      <c r="B21" s="4" t="s">
        <v>17</v>
      </c>
      <c r="C21" s="18">
        <v>8001</v>
      </c>
      <c r="D21" s="231">
        <v>0.05</v>
      </c>
      <c r="F21" s="1" t="s">
        <v>150</v>
      </c>
      <c r="G21" s="18">
        <v>0</v>
      </c>
      <c r="H21" s="231">
        <v>0.1</v>
      </c>
    </row>
    <row r="22" spans="2:8" ht="15" customHeight="1">
      <c r="B22" s="4" t="s">
        <v>18</v>
      </c>
      <c r="C22" s="18">
        <v>4578</v>
      </c>
      <c r="D22" s="231">
        <v>0.9</v>
      </c>
      <c r="H22" s="232"/>
    </row>
    <row r="23" spans="2:8" ht="15" customHeight="1">
      <c r="B23" s="4" t="s">
        <v>19</v>
      </c>
      <c r="C23" s="18">
        <f>27594+9476</f>
        <v>37070</v>
      </c>
      <c r="D23" s="231">
        <v>0</v>
      </c>
      <c r="H23" s="232"/>
    </row>
    <row r="24" spans="2:8" ht="15" customHeight="1">
      <c r="B24" s="77" t="s">
        <v>70</v>
      </c>
      <c r="C24" s="78">
        <f>SUM(C15:C23)</f>
        <v>213276</v>
      </c>
      <c r="D24" s="19">
        <f>C15*D15+C16*D16+C18*D18+C17*D17+C19*D19+C20*D20+C21*D21+C22*D22+C23*D23</f>
        <v>20882.95</v>
      </c>
      <c r="F24" s="77" t="s">
        <v>68</v>
      </c>
      <c r="G24" s="78">
        <f>SUM(G15:G21)</f>
        <v>120989</v>
      </c>
      <c r="H24" s="19">
        <f>G15*H15+G16*H16+G17*H17+G18*H18+G19*H19+G20*H20+G21*H21</f>
        <v>47409.899999999994</v>
      </c>
    </row>
    <row r="26" spans="2:8" ht="15" customHeight="1">
      <c r="B26" s="16" t="s">
        <v>169</v>
      </c>
      <c r="C26" s="164" t="s">
        <v>113</v>
      </c>
      <c r="F26" s="166" t="s">
        <v>165</v>
      </c>
      <c r="G26" s="167" t="s">
        <v>113</v>
      </c>
      <c r="H26" s="168" t="s">
        <v>33</v>
      </c>
    </row>
    <row r="27" spans="2:8" ht="15" customHeight="1">
      <c r="B27" s="4" t="s">
        <v>3</v>
      </c>
      <c r="C27" s="18">
        <f>17062+3547</f>
        <v>20609</v>
      </c>
      <c r="F27" s="169" t="s">
        <v>28</v>
      </c>
      <c r="G27" s="82">
        <f>G32-G30</f>
        <v>304420</v>
      </c>
      <c r="H27" s="170">
        <f>H32-G30</f>
        <v>-101040.34999999998</v>
      </c>
    </row>
    <row r="28" spans="2:8" ht="15" customHeight="1">
      <c r="B28" s="4" t="s">
        <v>4</v>
      </c>
      <c r="C28" s="18">
        <v>8897</v>
      </c>
      <c r="F28" s="171" t="s">
        <v>209</v>
      </c>
      <c r="G28" s="287">
        <v>72487</v>
      </c>
      <c r="H28" s="170"/>
    </row>
    <row r="29" spans="2:8" ht="15" customHeight="1">
      <c r="B29" s="4" t="s">
        <v>5</v>
      </c>
      <c r="C29" s="18">
        <v>0</v>
      </c>
      <c r="F29" s="172" t="s">
        <v>72</v>
      </c>
      <c r="G29" s="14">
        <f>G27-G28</f>
        <v>231933</v>
      </c>
      <c r="H29" s="170">
        <f>H27-G28</f>
        <v>-173527.34999999998</v>
      </c>
    </row>
    <row r="30" spans="2:8" ht="15" customHeight="1">
      <c r="B30" s="2" t="s">
        <v>6</v>
      </c>
      <c r="C30" s="18">
        <v>0</v>
      </c>
      <c r="F30" s="169" t="s">
        <v>21</v>
      </c>
      <c r="G30" s="82">
        <f>C33+C42</f>
        <v>409109</v>
      </c>
      <c r="H30" s="170"/>
    </row>
    <row r="31" spans="2:8" ht="15" customHeight="1">
      <c r="B31" s="77" t="s">
        <v>172</v>
      </c>
      <c r="C31" s="78">
        <f>SUM(C27:C30)</f>
        <v>29506</v>
      </c>
      <c r="F31" s="172" t="s">
        <v>73</v>
      </c>
      <c r="G31" s="173">
        <f>C31+C40</f>
        <v>112089</v>
      </c>
      <c r="H31" s="170"/>
    </row>
    <row r="32" spans="2:8" ht="15" customHeight="1">
      <c r="B32" s="4" t="s">
        <v>7</v>
      </c>
      <c r="C32" s="20">
        <f>C33-C31</f>
        <v>287043</v>
      </c>
      <c r="F32" s="174" t="s">
        <v>71</v>
      </c>
      <c r="G32" s="175">
        <f>G35+G40</f>
        <v>713529</v>
      </c>
      <c r="H32" s="170">
        <f>H35+H40</f>
        <v>308068.65000000002</v>
      </c>
    </row>
    <row r="33" spans="2:8" ht="15" customHeight="1">
      <c r="B33" s="80" t="s">
        <v>2</v>
      </c>
      <c r="C33" s="81">
        <v>316549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381042</v>
      </c>
      <c r="H35" s="182">
        <f>D12+D24</f>
        <v>98804.65</v>
      </c>
    </row>
    <row r="36" spans="2:8" ht="15" customHeight="1">
      <c r="B36" s="4" t="s">
        <v>11</v>
      </c>
      <c r="C36" s="18">
        <f>21005+38957</f>
        <v>59962</v>
      </c>
      <c r="F36" s="172" t="s">
        <v>166</v>
      </c>
      <c r="G36" s="173">
        <f>C4+C15</f>
        <v>41491</v>
      </c>
      <c r="H36" s="177"/>
    </row>
    <row r="37" spans="2:8" ht="15" customHeight="1">
      <c r="B37" s="4" t="s">
        <v>12</v>
      </c>
      <c r="C37" s="18">
        <v>22621</v>
      </c>
      <c r="F37" s="172" t="s">
        <v>167</v>
      </c>
      <c r="G37" s="173">
        <f>C6</f>
        <v>100999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163627</v>
      </c>
      <c r="H39" s="170">
        <f>C7*D7+C17*D17+C19*D19+C20*D20</f>
        <v>16362.7</v>
      </c>
    </row>
    <row r="40" spans="2:8" ht="15" customHeight="1">
      <c r="B40" s="77" t="s">
        <v>173</v>
      </c>
      <c r="C40" s="78">
        <f>SUM(C36:C39)</f>
        <v>82583</v>
      </c>
      <c r="F40" s="181" t="s">
        <v>115</v>
      </c>
      <c r="G40" s="175">
        <f>G12+G24</f>
        <v>332487</v>
      </c>
      <c r="H40" s="182">
        <f>H12+H24</f>
        <v>209264</v>
      </c>
    </row>
    <row r="41" spans="2:8" ht="15" customHeight="1">
      <c r="B41" s="4" t="s">
        <v>15</v>
      </c>
      <c r="C41" s="20">
        <f>C42-C40</f>
        <v>9977</v>
      </c>
      <c r="F41" s="172" t="s">
        <v>160</v>
      </c>
      <c r="G41" s="173">
        <f>C70</f>
        <v>125335</v>
      </c>
      <c r="H41" s="182">
        <f>H40-H42</f>
        <v>110732.3</v>
      </c>
    </row>
    <row r="42" spans="2:8" ht="15" customHeight="1">
      <c r="B42" s="80" t="s">
        <v>20</v>
      </c>
      <c r="C42" s="81">
        <v>92560</v>
      </c>
      <c r="F42" s="183" t="s">
        <v>161</v>
      </c>
      <c r="G42" s="184">
        <f>C82</f>
        <v>206192</v>
      </c>
      <c r="H42" s="185">
        <f>D82</f>
        <v>98531.7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231933</v>
      </c>
      <c r="D46" s="73">
        <f>H29</f>
        <v>-173527.34999999998</v>
      </c>
      <c r="F46" s="223"/>
    </row>
    <row r="47" spans="2:8" ht="15" customHeight="1">
      <c r="B47" s="1" t="str">
        <f>"Equity per share ("&amp;Market_currency&amp;")"</f>
        <v>Equity per share (HKD)</v>
      </c>
      <c r="C47" s="134">
        <f>C46*H1/Common_Shares*Exchange_Rate</f>
        <v>86.502809476842259</v>
      </c>
      <c r="D47" s="134">
        <f>D46*H1/Common_Shares*Exchange_Rate</f>
        <v>-64.719566840731247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2.8852377432054559</v>
      </c>
      <c r="D50" s="92">
        <f>G31/Normalized_FCF!G8</f>
        <v>2.8326762699014405</v>
      </c>
      <c r="F50" s="223"/>
    </row>
    <row r="51" spans="2:8" ht="15" customHeight="1">
      <c r="B51" s="1" t="s">
        <v>146</v>
      </c>
      <c r="C51" s="163"/>
      <c r="D51" s="89">
        <f>G29/G32</f>
        <v>0.32505055856174031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0.10195500301916868</v>
      </c>
      <c r="D54" s="89">
        <f>Normalized_FCF!G8/G35</f>
        <v>0.10384682003558662</v>
      </c>
      <c r="F54" s="223"/>
    </row>
    <row r="55" spans="2:8" ht="15" customHeight="1">
      <c r="B55" s="1" t="s">
        <v>118</v>
      </c>
      <c r="C55" s="89">
        <f>Normalized_FCF!C9/G40</f>
        <v>0</v>
      </c>
      <c r="D55" s="89">
        <f>Normalized_FCF!G9/G40</f>
        <v>6.9987698767169848E-3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5.441644716336546E-2</v>
      </c>
      <c r="F58" s="5"/>
    </row>
    <row r="59" spans="2:8" ht="15" customHeight="1">
      <c r="B59" s="1" t="s">
        <v>89</v>
      </c>
      <c r="C59" s="95"/>
      <c r="D59" s="89">
        <f>G39/G32</f>
        <v>0.22932074239449274</v>
      </c>
      <c r="F59" s="223"/>
    </row>
    <row r="60" spans="2:8" ht="15" customHeight="1">
      <c r="F60" s="223"/>
    </row>
    <row r="61" spans="2:8" ht="15" customHeight="1">
      <c r="B61" s="143" t="s">
        <v>231</v>
      </c>
      <c r="C61" s="210" t="s">
        <v>114</v>
      </c>
      <c r="D61" s="179" t="s">
        <v>91</v>
      </c>
      <c r="F61" s="223"/>
    </row>
    <row r="62" spans="2:8" ht="15" customHeight="1">
      <c r="B62" s="1" t="s">
        <v>210</v>
      </c>
      <c r="C62" s="89">
        <f>IF(G28&lt;=0,0,G28/G29)</f>
        <v>0.31253422324550623</v>
      </c>
      <c r="D62" s="89">
        <f>G28/G29</f>
        <v>0.31253422324550623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125335</v>
      </c>
      <c r="D66" s="73">
        <f>C66-D75</f>
        <v>31026.885521023709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125335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-94248.042667345479</v>
      </c>
      <c r="D73" s="285">
        <f>(Normalized_FCF!C26+Normalized_FCF!C35-Normalized_FCF!C89)/12</f>
        <v>-94308.114478976291</v>
      </c>
      <c r="F73" s="1" t="s">
        <v>278</v>
      </c>
    </row>
    <row r="74" spans="2:6" ht="15" customHeight="1">
      <c r="B74" s="227" t="s">
        <v>259</v>
      </c>
      <c r="C74" s="228">
        <f>-$C$66/C73</f>
        <v>1.3298419410403879</v>
      </c>
      <c r="D74" s="228">
        <f>-$C$66/D73</f>
        <v>1.3289948663743076</v>
      </c>
      <c r="F74" s="223" t="s">
        <v>257</v>
      </c>
    </row>
    <row r="75" spans="2:6" ht="15" customHeight="1">
      <c r="B75" s="77" t="s">
        <v>258</v>
      </c>
      <c r="C75" s="261"/>
      <c r="D75" s="262">
        <f>MAX(-D73*D76,G5)</f>
        <v>94308.114478976291</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155825</v>
      </c>
      <c r="D79" s="73">
        <f>G7*H7+G17*H17</f>
        <v>93495</v>
      </c>
      <c r="F79" s="223"/>
    </row>
    <row r="80" spans="2:6" ht="15" customHeight="1">
      <c r="B80" s="102" t="s">
        <v>152</v>
      </c>
      <c r="C80" s="19">
        <f>G19</f>
        <v>50367</v>
      </c>
      <c r="D80" s="73">
        <f>G19*H19</f>
        <v>5036.7000000000007</v>
      </c>
      <c r="F80" s="223"/>
    </row>
    <row r="81" spans="2:8" ht="15" customHeight="1">
      <c r="B81" s="102" t="s">
        <v>150</v>
      </c>
      <c r="C81" s="19">
        <f>G9+G21</f>
        <v>0</v>
      </c>
      <c r="D81" s="73">
        <f>G9*H9+G21*H21</f>
        <v>0</v>
      </c>
      <c r="F81" s="223"/>
    </row>
    <row r="82" spans="2:8" ht="15" customHeight="1">
      <c r="B82" s="77" t="s">
        <v>159</v>
      </c>
      <c r="C82" s="78">
        <f>SUM(C79:C81)</f>
        <v>206192</v>
      </c>
      <c r="D82" s="78">
        <f>SUM(D79:D81)</f>
        <v>98531.7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-125710.61217603952</v>
      </c>
      <c r="D86" s="201">
        <f>C86*scaling_factor/Common_Shares</f>
        <v>-41.805234319608559</v>
      </c>
      <c r="E86" s="214" t="str">
        <f>Market_currency</f>
        <v>HKD</v>
      </c>
    </row>
    <row r="87" spans="2:8" ht="15" customHeight="1">
      <c r="B87" s="212" t="s">
        <v>240</v>
      </c>
      <c r="C87" s="73">
        <f>DCF!F5*Exchange_Rate</f>
        <v>34797.426801593261</v>
      </c>
      <c r="D87" s="201">
        <f>C87*scaling_factor/Common_Shares</f>
        <v>11.571931406418704</v>
      </c>
      <c r="E87" s="214" t="str">
        <f>Market_currency</f>
        <v>HKD</v>
      </c>
    </row>
    <row r="88" spans="2:8" ht="15" customHeight="1">
      <c r="B88" s="213" t="s">
        <v>159</v>
      </c>
      <c r="C88" s="73">
        <f>DCF!F6*Exchange_Rate</f>
        <v>110505.76172279057</v>
      </c>
      <c r="D88" s="201">
        <f>C88*scaling_factor/Common_Shares</f>
        <v>36.748840710590464</v>
      </c>
      <c r="E88" s="214" t="str">
        <f>Market_currency</f>
        <v>HKD</v>
      </c>
    </row>
    <row r="89" spans="2:8" ht="15" customHeight="1">
      <c r="B89" s="77" t="s">
        <v>244</v>
      </c>
      <c r="C89" s="162">
        <f>SUM(C86:C88)</f>
        <v>19592.576348344315</v>
      </c>
      <c r="D89" s="216">
        <f>SUM(D86:D88)</f>
        <v>6.5155377974006115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79" zoomScaleNormal="100" workbookViewId="0">
      <pane xSplit="2" ySplit="1" topLeftCell="D65" activePane="bottomRight" state="frozen"/>
      <selection activeCell="C17" sqref="C17"/>
      <selection pane="topRight" activeCell="C17" sqref="C17"/>
      <selection pane="bottomLeft" activeCell="C17" sqref="C17"/>
      <selection pane="bottomRight" activeCell="K77" sqref="K7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1158819</v>
      </c>
      <c r="D4" s="54"/>
      <c r="E4" s="235"/>
      <c r="F4" s="54"/>
      <c r="G4" s="270">
        <f>Data!C36</f>
        <v>1158819</v>
      </c>
      <c r="H4" s="270">
        <f>Data!D36</f>
        <v>1084662</v>
      </c>
      <c r="I4" s="270">
        <f>Data!E36</f>
        <v>1046236</v>
      </c>
      <c r="J4" s="270">
        <f>Data!F36</f>
        <v>951592</v>
      </c>
      <c r="K4" s="270">
        <f>Data!G36</f>
        <v>745802</v>
      </c>
      <c r="L4" s="270" t="str">
        <f>Data!H36</f>
        <v/>
      </c>
      <c r="M4" s="270" t="str">
        <f>Data!I36</f>
        <v/>
      </c>
      <c r="N4" s="270" t="str">
        <f>Data!J36</f>
        <v/>
      </c>
      <c r="O4" s="270" t="str">
        <f>Data!K36</f>
        <v/>
      </c>
      <c r="P4" s="270" t="str">
        <f>Data!L36</f>
        <v/>
      </c>
      <c r="Q4" s="270" t="str">
        <f>Data!M36</f>
        <v/>
      </c>
    </row>
    <row r="5" spans="1:17" ht="15.75" customHeight="1">
      <c r="A5" s="10"/>
      <c r="B5" s="2" t="s">
        <v>43</v>
      </c>
      <c r="C5" s="266">
        <f>C26</f>
        <v>-1040655.8617395699</v>
      </c>
      <c r="E5" s="237"/>
      <c r="G5" s="270">
        <f t="shared" ref="G5:Q5" si="1">G26</f>
        <v>-1039935</v>
      </c>
      <c r="H5" s="270">
        <f t="shared" si="1"/>
        <v>-981484</v>
      </c>
      <c r="I5" s="270">
        <f t="shared" si="1"/>
        <v>-953828</v>
      </c>
      <c r="J5" s="270">
        <f t="shared" si="1"/>
        <v>-872831</v>
      </c>
      <c r="K5" s="270">
        <f t="shared" si="1"/>
        <v>-679999</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118163.13826043007</v>
      </c>
      <c r="E6" s="237"/>
      <c r="G6" s="267">
        <f>IF(G4="","",G4+G5)</f>
        <v>118884</v>
      </c>
      <c r="H6" s="267">
        <f t="shared" ref="H6:Q6" si="2">IF(H4="","",H4+H5)</f>
        <v>103178</v>
      </c>
      <c r="I6" s="267">
        <f t="shared" si="2"/>
        <v>92408</v>
      </c>
      <c r="J6" s="267">
        <f t="shared" si="2"/>
        <v>78761</v>
      </c>
      <c r="K6" s="267">
        <f t="shared" si="2"/>
        <v>65803</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-79314</v>
      </c>
      <c r="E7" s="237"/>
      <c r="G7" s="266">
        <f t="shared" ref="G7:Q7" si="3">G35</f>
        <v>-79314</v>
      </c>
      <c r="H7" s="266">
        <f t="shared" si="3"/>
        <v>-74268</v>
      </c>
      <c r="I7" s="266">
        <f t="shared" si="3"/>
        <v>-74064</v>
      </c>
      <c r="J7" s="266">
        <f t="shared" si="3"/>
        <v>-70617</v>
      </c>
      <c r="K7" s="266">
        <f t="shared" si="3"/>
        <v>-55109</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38849.138260430074</v>
      </c>
      <c r="D8" s="56"/>
      <c r="E8" s="241"/>
      <c r="F8" s="56"/>
      <c r="G8" s="267">
        <f>IF(G$4="","",G6+G7)</f>
        <v>39570</v>
      </c>
      <c r="H8" s="267">
        <f t="shared" ref="H8:Q8" si="4">IF(H$4="","",H6+H7)</f>
        <v>28910</v>
      </c>
      <c r="I8" s="267">
        <f t="shared" si="4"/>
        <v>18344</v>
      </c>
      <c r="J8" s="267">
        <f t="shared" si="4"/>
        <v>8144</v>
      </c>
      <c r="K8" s="267">
        <f t="shared" si="4"/>
        <v>10694</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1010</v>
      </c>
      <c r="I9" s="270">
        <f t="shared" si="5"/>
        <v>-2195</v>
      </c>
      <c r="J9" s="270">
        <f t="shared" si="5"/>
        <v>-4918</v>
      </c>
      <c r="K9" s="270">
        <f t="shared" si="5"/>
        <v>4291</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-6159.4913131261419</v>
      </c>
      <c r="E10" s="237"/>
      <c r="G10" s="266">
        <f>G48</f>
        <v>-2896</v>
      </c>
      <c r="H10" s="266">
        <f t="shared" ref="H10:Q10" si="6">H48</f>
        <v>-2881</v>
      </c>
      <c r="I10" s="266">
        <f t="shared" si="6"/>
        <v>-2106</v>
      </c>
      <c r="J10" s="266">
        <f t="shared" si="6"/>
        <v>-1213</v>
      </c>
      <c r="K10" s="266">
        <f t="shared" si="6"/>
        <v>-1125</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32689.646947303932</v>
      </c>
      <c r="E11" s="237"/>
      <c r="G11" s="267">
        <f t="shared" ref="G11:Q11" si="7">IF(G$4="","",SUM(G8:G10))</f>
        <v>39001</v>
      </c>
      <c r="H11" s="267">
        <f t="shared" si="7"/>
        <v>27039</v>
      </c>
      <c r="I11" s="267">
        <f t="shared" si="7"/>
        <v>14043</v>
      </c>
      <c r="J11" s="267">
        <f t="shared" si="7"/>
        <v>2013</v>
      </c>
      <c r="K11" s="267">
        <f t="shared" si="7"/>
        <v>13860</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-8172.4117368259831</v>
      </c>
      <c r="E12" s="237"/>
      <c r="G12" s="266">
        <f>Data!C46</f>
        <v>-6878</v>
      </c>
      <c r="H12" s="266">
        <f>Data!D46</f>
        <v>-8393</v>
      </c>
      <c r="I12" s="266">
        <f>Data!E46</f>
        <v>-4176</v>
      </c>
      <c r="J12" s="266">
        <f>Data!F46</f>
        <v>-1887</v>
      </c>
      <c r="K12" s="266">
        <f>Data!G46</f>
        <v>-1482</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-3301</v>
      </c>
      <c r="D13" s="57"/>
      <c r="E13" s="242"/>
      <c r="F13" s="57"/>
      <c r="G13" s="270">
        <f>Data!C48</f>
        <v>-3301</v>
      </c>
      <c r="H13" s="270">
        <f>Data!D48</f>
        <v>0</v>
      </c>
      <c r="I13" s="270">
        <f>Data!E48</f>
        <v>0</v>
      </c>
      <c r="J13" s="270">
        <f>Data!F48</f>
        <v>0</v>
      </c>
      <c r="K13" s="270">
        <f>Data!G48</f>
        <v>0</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21216.235210477949</v>
      </c>
      <c r="D14" s="58"/>
      <c r="E14" s="243"/>
      <c r="F14" s="58"/>
      <c r="G14" s="267">
        <f t="shared" ref="G14:Q14" si="8">IF(G$4="","",SUM(G11:G13))</f>
        <v>28822</v>
      </c>
      <c r="H14" s="267">
        <f t="shared" si="8"/>
        <v>18646</v>
      </c>
      <c r="I14" s="267">
        <f t="shared" si="8"/>
        <v>9867</v>
      </c>
      <c r="J14" s="267">
        <f t="shared" si="8"/>
        <v>126</v>
      </c>
      <c r="K14" s="267">
        <f t="shared" si="8"/>
        <v>12378</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8292</v>
      </c>
      <c r="I15" s="266">
        <f>IF(Data!E61="","",-Data!E61)</f>
        <v>7236</v>
      </c>
      <c r="J15" s="266">
        <f>IF(Data!F61="","",-Data!F61)</f>
        <v>0</v>
      </c>
      <c r="K15" s="266">
        <f>IF(Data!G61="","",-Data!G61)</f>
        <v>0</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-8904</v>
      </c>
      <c r="E16" s="237"/>
      <c r="G16" s="266">
        <f>Data!C62</f>
        <v>-8904</v>
      </c>
      <c r="H16" s="266">
        <f>Data!D62</f>
        <v>-8292</v>
      </c>
      <c r="I16" s="266">
        <f>Data!E62</f>
        <v>-7236</v>
      </c>
      <c r="J16" s="266">
        <f>Data!F62</f>
        <v>0</v>
      </c>
      <c r="K16" s="266">
        <f>Data!G62</f>
        <v>0</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21216.235210477949</v>
      </c>
      <c r="D19" s="26"/>
      <c r="E19" s="234"/>
      <c r="F19" s="26"/>
      <c r="G19" s="271">
        <f t="shared" ref="G19:Q19" si="9">IF(G$4="","",G14+G17)</f>
        <v>28822</v>
      </c>
      <c r="H19" s="271">
        <f t="shared" si="9"/>
        <v>18646</v>
      </c>
      <c r="I19" s="271">
        <f t="shared" si="9"/>
        <v>9867</v>
      </c>
      <c r="J19" s="271">
        <f t="shared" si="9"/>
        <v>126</v>
      </c>
      <c r="K19" s="271">
        <f t="shared" si="9"/>
        <v>12378</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-974951</v>
      </c>
      <c r="D23" s="55"/>
      <c r="E23" s="236"/>
      <c r="F23" s="55"/>
      <c r="G23" s="270">
        <f>Data!C37</f>
        <v>-974951</v>
      </c>
      <c r="H23" s="270">
        <f>Data!D37</f>
        <v>-924958</v>
      </c>
      <c r="I23" s="270">
        <f>Data!E37</f>
        <v>-899163</v>
      </c>
      <c r="J23" s="270">
        <f>Data!F37</f>
        <v>-822526</v>
      </c>
      <c r="K23" s="270">
        <f>Data!G37</f>
        <v>-636694</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-47953</v>
      </c>
      <c r="D24" s="26"/>
      <c r="E24" s="234"/>
      <c r="F24" s="26"/>
      <c r="G24" s="270">
        <f>Data!C40</f>
        <v>-47953</v>
      </c>
      <c r="H24" s="270">
        <f>Data!D40</f>
        <v>-40133</v>
      </c>
      <c r="I24" s="270">
        <f>Data!E40</f>
        <v>-37772</v>
      </c>
      <c r="J24" s="270">
        <f>Data!F40</f>
        <v>-38743</v>
      </c>
      <c r="K24" s="270">
        <f>Data!G40</f>
        <v>-27156</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-17751.861739569973</v>
      </c>
      <c r="D25" s="55"/>
      <c r="E25" s="235"/>
      <c r="F25" s="55"/>
      <c r="G25" s="270">
        <f>Data!C42</f>
        <v>-17031</v>
      </c>
      <c r="H25" s="270">
        <f>Data!D42</f>
        <v>-16393</v>
      </c>
      <c r="I25" s="270">
        <f>Data!E42</f>
        <v>-16893</v>
      </c>
      <c r="J25" s="270">
        <f>Data!F42</f>
        <v>-11562</v>
      </c>
      <c r="K25" s="270">
        <f>Data!G42</f>
        <v>-16149</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-1040655.8617395699</v>
      </c>
      <c r="D26" s="9"/>
      <c r="E26" s="240"/>
      <c r="F26" s="9"/>
      <c r="G26" s="267">
        <f>IF(G$4="","",SUM(G23:G25))</f>
        <v>-1039935</v>
      </c>
      <c r="H26" s="267">
        <f t="shared" ref="H26:Q26" si="10">IF(H$4="","",SUM(H23:H25))</f>
        <v>-981484</v>
      </c>
      <c r="I26" s="267">
        <f t="shared" si="10"/>
        <v>-953828</v>
      </c>
      <c r="J26" s="267">
        <f t="shared" si="10"/>
        <v>-872831</v>
      </c>
      <c r="K26" s="267">
        <f t="shared" si="10"/>
        <v>-679999</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0.84133156256499075</v>
      </c>
      <c r="D29" s="25"/>
      <c r="E29" s="235"/>
      <c r="F29" s="25"/>
      <c r="G29" s="13">
        <f t="shared" ref="G29:Q29" si="11">IF(G$4="","",ABS(G23/G$4))</f>
        <v>0.84133156256499075</v>
      </c>
      <c r="H29" s="13">
        <f t="shared" si="11"/>
        <v>0.85276150542749718</v>
      </c>
      <c r="I29" s="13">
        <f t="shared" si="11"/>
        <v>0.85942655385591782</v>
      </c>
      <c r="J29" s="13">
        <f t="shared" si="11"/>
        <v>0.86436834273512175</v>
      </c>
      <c r="K29" s="13">
        <f t="shared" si="11"/>
        <v>0.85370379805900221</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4.1380923164014399E-2</v>
      </c>
      <c r="D30" s="25"/>
      <c r="E30" s="235"/>
      <c r="F30" s="25"/>
      <c r="G30" s="13">
        <f t="shared" ref="G30:Q30" si="12">IF(G$4="","",ABS(G24/G$4))</f>
        <v>4.1380923164014399E-2</v>
      </c>
      <c r="H30" s="13">
        <f t="shared" si="12"/>
        <v>3.7000466504772914E-2</v>
      </c>
      <c r="I30" s="13">
        <f t="shared" si="12"/>
        <v>3.6102753107329515E-2</v>
      </c>
      <c r="J30" s="13">
        <f t="shared" si="12"/>
        <v>4.0713877376018295E-2</v>
      </c>
      <c r="K30" s="13">
        <f t="shared" si="12"/>
        <v>3.6411809032424157E-2</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1.53189253365452E-2</v>
      </c>
      <c r="D31" s="26"/>
      <c r="E31" s="234"/>
      <c r="F31" s="26"/>
      <c r="G31" s="13">
        <f t="shared" ref="G31:Q31" si="13">IF(G$4="","",ABS(G25/G$4))</f>
        <v>1.4696859475034496E-2</v>
      </c>
      <c r="H31" s="13">
        <f t="shared" si="13"/>
        <v>1.5113463917791902E-2</v>
      </c>
      <c r="I31" s="13">
        <f t="shared" si="13"/>
        <v>1.614645261680921E-2</v>
      </c>
      <c r="J31" s="13">
        <f t="shared" si="13"/>
        <v>1.2150165196849069E-2</v>
      </c>
      <c r="K31" s="13">
        <f t="shared" si="13"/>
        <v>2.1653200179136016E-2</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0.89803141106555029</v>
      </c>
      <c r="E32" s="237"/>
      <c r="G32" s="29">
        <f t="shared" ref="G32:Q32" si="14">IF(G$4="","",ABS(G26/G$4))</f>
        <v>0.89740934520403959</v>
      </c>
      <c r="H32" s="29">
        <f t="shared" si="14"/>
        <v>0.90487543585006203</v>
      </c>
      <c r="I32" s="29">
        <f t="shared" si="14"/>
        <v>0.91167575958005653</v>
      </c>
      <c r="J32" s="29">
        <f t="shared" si="14"/>
        <v>0.91723238530798912</v>
      </c>
      <c r="K32" s="29">
        <f t="shared" si="14"/>
        <v>0.91176880727056242</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-79314</v>
      </c>
      <c r="D35" s="55"/>
      <c r="E35" s="236"/>
      <c r="F35" s="55"/>
      <c r="G35" s="267">
        <f>IF(G4="","",Data!C41)</f>
        <v>-79314</v>
      </c>
      <c r="H35" s="267">
        <f>IF(H4="","",Data!D41)</f>
        <v>-74268</v>
      </c>
      <c r="I35" s="267">
        <f>IF(I4="","",Data!E41)</f>
        <v>-74064</v>
      </c>
      <c r="J35" s="267">
        <f>IF(J4="","",Data!F41)</f>
        <v>-70617</v>
      </c>
      <c r="K35" s="267">
        <f>IF(K4="","",Data!G41)</f>
        <v>-55109</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6.8443820821025542E-2</v>
      </c>
      <c r="E38" s="237"/>
      <c r="G38" s="29">
        <f t="shared" ref="G38:Q38" si="15">IF(G$4="","",ABS(G35/G$4))</f>
        <v>6.8443820821025542E-2</v>
      </c>
      <c r="H38" s="29">
        <f t="shared" si="15"/>
        <v>6.8471099752734035E-2</v>
      </c>
      <c r="I38" s="29">
        <f t="shared" si="15"/>
        <v>7.0790911419603225E-2</v>
      </c>
      <c r="J38" s="29">
        <f t="shared" si="15"/>
        <v>7.4209325004834001E-2</v>
      </c>
      <c r="K38" s="29">
        <f t="shared" si="15"/>
        <v>7.3892266311970198E-2</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0.17635445244993719</v>
      </c>
      <c r="H41" s="6">
        <f t="shared" si="16"/>
        <v>0.31040349125337474</v>
      </c>
      <c r="I41" s="6">
        <f t="shared" si="16"/>
        <v>0.29737235633411663</v>
      </c>
      <c r="J41" s="6">
        <f t="shared" si="16"/>
        <v>0.93740685543964231</v>
      </c>
      <c r="K41" s="6">
        <f t="shared" si="16"/>
        <v>0.10692640692640693</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-6725.34</v>
      </c>
      <c r="E45" s="237"/>
      <c r="G45" s="266">
        <f>Data!C51</f>
        <v>-2896</v>
      </c>
      <c r="H45" s="266">
        <f>Data!D51</f>
        <v>-2881</v>
      </c>
      <c r="I45" s="266">
        <f>Data!E51</f>
        <v>-2106</v>
      </c>
      <c r="J45" s="266">
        <f>Data!F51</f>
        <v>-1213</v>
      </c>
      <c r="K45" s="266">
        <f>Data!G51</f>
        <v>-1125</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565.84868687385779</v>
      </c>
      <c r="E46" s="237"/>
      <c r="G46" s="274">
        <f t="shared" ref="G46:Q46" si="17">IFERROR(IF(G$4="","",($C$46/$C$47)*G47),0)</f>
        <v>0</v>
      </c>
      <c r="H46" s="274">
        <f t="shared" si="17"/>
        <v>0</v>
      </c>
      <c r="I46" s="274">
        <f t="shared" si="17"/>
        <v>0</v>
      </c>
      <c r="J46" s="274">
        <f t="shared" si="17"/>
        <v>0</v>
      </c>
      <c r="K46" s="274">
        <f t="shared" si="17"/>
        <v>0</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752.01</v>
      </c>
      <c r="D47" s="246"/>
      <c r="E47" s="247"/>
      <c r="F47" s="246"/>
      <c r="G47" s="278">
        <f>Data!C52</f>
        <v>0</v>
      </c>
      <c r="H47" s="278">
        <f>Data!D52</f>
        <v>0</v>
      </c>
      <c r="I47" s="278">
        <f>Data!E52</f>
        <v>0</v>
      </c>
      <c r="J47" s="278">
        <f>Data!F52</f>
        <v>0</v>
      </c>
      <c r="K47" s="278">
        <f>Data!G52</f>
        <v>0</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-6159.4913131261419</v>
      </c>
      <c r="E48" s="237"/>
      <c r="G48" s="267">
        <f>IF(G$4="","",(G45+G46))</f>
        <v>-2896</v>
      </c>
      <c r="H48" s="267">
        <f t="shared" ref="H48:Q48" si="18">IF(H$4="","",(H45+H46))</f>
        <v>-2881</v>
      </c>
      <c r="I48" s="267">
        <f t="shared" si="18"/>
        <v>-2106</v>
      </c>
      <c r="J48" s="267">
        <f t="shared" si="18"/>
        <v>-1213</v>
      </c>
      <c r="K48" s="267">
        <f t="shared" si="18"/>
        <v>-1125</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2.5836611977981781E-2</v>
      </c>
      <c r="H52" s="151"/>
      <c r="I52" s="151"/>
      <c r="J52" s="151"/>
      <c r="K52" s="151"/>
      <c r="L52" s="151"/>
      <c r="M52" s="151"/>
      <c r="N52" s="151"/>
      <c r="O52" s="151"/>
      <c r="P52" s="151"/>
      <c r="Q52" s="151"/>
    </row>
    <row r="53" spans="1:17" ht="15.75" customHeight="1">
      <c r="A53" s="10"/>
      <c r="B53" s="25" t="s">
        <v>87</v>
      </c>
      <c r="C53" s="40">
        <f>-C8/C45</f>
        <v>5.7765314854609686</v>
      </c>
      <c r="E53" s="237"/>
      <c r="G53" s="40">
        <f t="shared" ref="G53:Q53" si="19">IF(G4="","",-G8/G45)</f>
        <v>13.663674033149171</v>
      </c>
      <c r="H53" s="40">
        <f t="shared" si="19"/>
        <v>10.034710170079833</v>
      </c>
      <c r="I53" s="40">
        <f t="shared" si="19"/>
        <v>8.7103513770180445</v>
      </c>
      <c r="J53" s="40">
        <f t="shared" si="19"/>
        <v>6.7139323990107176</v>
      </c>
      <c r="K53" s="40">
        <f t="shared" si="19"/>
        <v>9.5057777777777783</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1010</v>
      </c>
      <c r="I57" s="266">
        <f>Data!E55</f>
        <v>-2195</v>
      </c>
      <c r="J57" s="266">
        <f>Data!F55</f>
        <v>-4918</v>
      </c>
      <c r="K57" s="266">
        <f>Data!G55</f>
        <v>4291</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1010</v>
      </c>
      <c r="I59" s="267">
        <f t="shared" si="20"/>
        <v>-2195</v>
      </c>
      <c r="J59" s="267">
        <f t="shared" si="20"/>
        <v>-4918</v>
      </c>
      <c r="K59" s="267">
        <f t="shared" si="20"/>
        <v>4291</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12537</v>
      </c>
      <c r="H60" s="266">
        <f>Data!D58</f>
        <v>4611</v>
      </c>
      <c r="I60" s="266">
        <f>Data!E58</f>
        <v>-176</v>
      </c>
      <c r="J60" s="266">
        <f>Data!F58</f>
        <v>-4593</v>
      </c>
      <c r="K60" s="266">
        <f>Data!G58</f>
        <v>36959</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14864</v>
      </c>
      <c r="H61" s="267">
        <f t="shared" si="21"/>
        <v>5621</v>
      </c>
      <c r="I61" s="267">
        <f t="shared" si="21"/>
        <v>-2371</v>
      </c>
      <c r="J61" s="267">
        <f t="shared" si="21"/>
        <v>-9511</v>
      </c>
      <c r="K61" s="267">
        <f t="shared" si="21"/>
        <v>41250</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1.8566242470179919E-2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0.89803141106555029</v>
      </c>
      <c r="D71" s="26"/>
      <c r="E71" s="234"/>
      <c r="F71" s="26"/>
      <c r="G71" s="6">
        <f t="shared" ref="G71:Q71" si="23">IF(G$4="","",ABS(G5/G$4))</f>
        <v>0.89740934520403959</v>
      </c>
      <c r="H71" s="6">
        <f t="shared" si="23"/>
        <v>0.90487543585006203</v>
      </c>
      <c r="I71" s="6">
        <f t="shared" si="23"/>
        <v>0.91167575958005653</v>
      </c>
      <c r="J71" s="6">
        <f t="shared" si="23"/>
        <v>0.91723238530798912</v>
      </c>
      <c r="K71" s="6">
        <f t="shared" si="23"/>
        <v>0.91176880727056242</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0.10196858893444971</v>
      </c>
      <c r="D72" s="26"/>
      <c r="E72" s="234"/>
      <c r="F72" s="26"/>
      <c r="G72" s="62">
        <f t="shared" ref="G72:Q72" si="24">IF(G$4="","",ABS(G6/G$4))</f>
        <v>0.10259065479596037</v>
      </c>
      <c r="H72" s="62">
        <f t="shared" si="24"/>
        <v>9.512456414993796E-2</v>
      </c>
      <c r="I72" s="62">
        <f t="shared" si="24"/>
        <v>8.8324240419943495E-2</v>
      </c>
      <c r="J72" s="62">
        <f t="shared" si="24"/>
        <v>8.2767614692010869E-2</v>
      </c>
      <c r="K72" s="62">
        <f t="shared" si="24"/>
        <v>8.8231192729437566E-2</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6.8443820821025542E-2</v>
      </c>
      <c r="D73" s="26"/>
      <c r="E73" s="234"/>
      <c r="F73" s="26"/>
      <c r="G73" s="6">
        <f t="shared" ref="G73:Q73" si="25">IF(G$4="","",ABS(G7/G$4))</f>
        <v>6.8443820821025542E-2</v>
      </c>
      <c r="H73" s="6">
        <f t="shared" si="25"/>
        <v>6.8471099752734035E-2</v>
      </c>
      <c r="I73" s="6">
        <f t="shared" si="25"/>
        <v>7.0790911419603225E-2</v>
      </c>
      <c r="J73" s="6">
        <f t="shared" si="25"/>
        <v>7.4209325004834001E-2</v>
      </c>
      <c r="K73" s="6">
        <f t="shared" si="25"/>
        <v>7.3892266311970198E-2</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3.3524768113424162E-2</v>
      </c>
      <c r="D74" s="26"/>
      <c r="E74" s="234"/>
      <c r="F74" s="26"/>
      <c r="G74" s="62">
        <f t="shared" ref="G74:Q74" si="26">IF(G$4="","",ABS(G8/G$4))</f>
        <v>3.4146833974934829E-2</v>
      </c>
      <c r="H74" s="62">
        <f t="shared" si="26"/>
        <v>2.6653464397203921E-2</v>
      </c>
      <c r="I74" s="62">
        <f t="shared" si="26"/>
        <v>1.7533329000340266E-2</v>
      </c>
      <c r="J74" s="62">
        <f t="shared" si="26"/>
        <v>8.5582896871768573E-3</v>
      </c>
      <c r="K74" s="62">
        <f t="shared" si="26"/>
        <v>1.4338926417467372E-2</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2.0080789148262152E-3</v>
      </c>
      <c r="H75" s="6">
        <f t="shared" si="27"/>
        <v>9.3116565344780213E-4</v>
      </c>
      <c r="I75" s="6">
        <f t="shared" si="27"/>
        <v>-2.0979970102347847E-3</v>
      </c>
      <c r="J75" s="6">
        <f t="shared" si="27"/>
        <v>-5.168181321406653E-3</v>
      </c>
      <c r="K75" s="6">
        <f t="shared" si="27"/>
        <v>5.7535378022585083E-3</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5.3153178478486645E-3</v>
      </c>
      <c r="D76" s="26"/>
      <c r="E76" s="234"/>
      <c r="F76" s="26"/>
      <c r="G76" s="6">
        <f t="shared" ref="G76:Q76" si="28">IF(G$4="","",ABS(G10/G$4))</f>
        <v>2.499096062456691E-3</v>
      </c>
      <c r="H76" s="6">
        <f t="shared" si="28"/>
        <v>2.6561269778050674E-3</v>
      </c>
      <c r="I76" s="6">
        <f t="shared" si="28"/>
        <v>2.0129301610726453E-3</v>
      </c>
      <c r="J76" s="6">
        <f t="shared" si="28"/>
        <v>1.2747059664225844E-3</v>
      </c>
      <c r="K76" s="6">
        <f t="shared" si="28"/>
        <v>1.5084432597391802E-3</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2.8209450265575496E-2</v>
      </c>
      <c r="D77" s="26"/>
      <c r="E77" s="234"/>
      <c r="F77" s="26"/>
      <c r="G77" s="62">
        <f t="shared" ref="G77:Q77" si="29">IF(G$4="","",G11/G$4)</f>
        <v>3.3655816827304348E-2</v>
      </c>
      <c r="H77" s="62">
        <f t="shared" si="29"/>
        <v>2.4928503072846657E-2</v>
      </c>
      <c r="I77" s="62">
        <f t="shared" si="29"/>
        <v>1.3422401829032838E-2</v>
      </c>
      <c r="J77" s="62">
        <f t="shared" si="29"/>
        <v>2.1154023993476194E-3</v>
      </c>
      <c r="K77" s="62">
        <f t="shared" si="29"/>
        <v>1.8584020959986697E-2</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7.052362566393874E-3</v>
      </c>
      <c r="D78" s="26"/>
      <c r="E78" s="234"/>
      <c r="F78" s="26"/>
      <c r="G78" s="6">
        <f t="shared" ref="G78:Q78" si="30">IF(G$4="","",ABS(G12/G$4))</f>
        <v>5.9353531483346406E-3</v>
      </c>
      <c r="H78" s="6">
        <f t="shared" si="30"/>
        <v>7.7378943855320832E-3</v>
      </c>
      <c r="I78" s="6">
        <f t="shared" si="30"/>
        <v>3.9914512595628521E-3</v>
      </c>
      <c r="J78" s="6">
        <f t="shared" si="30"/>
        <v>1.9829927111619265E-3</v>
      </c>
      <c r="K78" s="6">
        <f t="shared" si="30"/>
        <v>1.9871225874964131E-3</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2.8485898142850607E-3</v>
      </c>
      <c r="H79" s="6">
        <f t="shared" si="31"/>
        <v>0</v>
      </c>
      <c r="I79" s="6">
        <f t="shared" si="31"/>
        <v>0</v>
      </c>
      <c r="J79" s="6">
        <f t="shared" si="31"/>
        <v>0</v>
      </c>
      <c r="K79" s="6">
        <f t="shared" si="31"/>
        <v>0</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1.8308497884896562E-2</v>
      </c>
      <c r="D80" s="26"/>
      <c r="E80" s="234"/>
      <c r="F80" s="26"/>
      <c r="G80" s="62">
        <f t="shared" ref="G80:Q80" si="32">IF(G$4="","",ABS(G14/G$4))</f>
        <v>2.4871873864684649E-2</v>
      </c>
      <c r="H80" s="62">
        <f t="shared" si="32"/>
        <v>1.7190608687314573E-2</v>
      </c>
      <c r="I80" s="62">
        <f t="shared" si="32"/>
        <v>9.4309505694699855E-3</v>
      </c>
      <c r="J80" s="62">
        <f t="shared" si="32"/>
        <v>1.3240968818569303E-4</v>
      </c>
      <c r="K80" s="62">
        <f t="shared" si="32"/>
        <v>1.6596898372490284E-2</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7.68368485501187E-3</v>
      </c>
      <c r="D81" s="26"/>
      <c r="E81" s="234"/>
      <c r="F81" s="26"/>
      <c r="G81" s="6">
        <f t="shared" ref="G81:Q81" si="33">IF(G$4="","",G15/G$4)</f>
        <v>7.68368485501187E-3</v>
      </c>
      <c r="H81" s="6">
        <f t="shared" si="33"/>
        <v>7.6447778201873028E-3</v>
      </c>
      <c r="I81" s="6">
        <f t="shared" si="33"/>
        <v>6.9162215790701141E-3</v>
      </c>
      <c r="J81" s="6">
        <f t="shared" si="33"/>
        <v>0</v>
      </c>
      <c r="K81" s="6">
        <f t="shared" si="33"/>
        <v>0</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7.68368485501187E-3</v>
      </c>
      <c r="D82" s="26"/>
      <c r="E82" s="235" t="s">
        <v>548</v>
      </c>
      <c r="F82" s="26"/>
      <c r="G82" s="6">
        <f t="shared" ref="G82:Q82" si="34">IF(G$4="","",-G16/G$4)</f>
        <v>7.68368485501187E-3</v>
      </c>
      <c r="H82" s="6">
        <f t="shared" si="34"/>
        <v>7.6447778201873028E-3</v>
      </c>
      <c r="I82" s="6">
        <f t="shared" si="34"/>
        <v>6.9162215790701141E-3</v>
      </c>
      <c r="J82" s="6">
        <f t="shared" si="34"/>
        <v>0</v>
      </c>
      <c r="K82" s="6">
        <f t="shared" si="34"/>
        <v>0</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1.8308497884896562E-2</v>
      </c>
      <c r="D85" s="72"/>
      <c r="E85" s="234"/>
      <c r="F85" s="72"/>
      <c r="G85" s="62">
        <f t="shared" ref="G85:Q85" si="35">IF(G$4="","",ABS(G19/G$4))</f>
        <v>2.4871873864684649E-2</v>
      </c>
      <c r="H85" s="62">
        <f t="shared" si="35"/>
        <v>1.7190608687314573E-2</v>
      </c>
      <c r="I85" s="62">
        <f t="shared" si="35"/>
        <v>9.4309505694699855E-3</v>
      </c>
      <c r="J85" s="62">
        <f t="shared" si="35"/>
        <v>1.3240968818569303E-4</v>
      </c>
      <c r="K85" s="62">
        <f t="shared" si="35"/>
        <v>1.6596898372490284E-2</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2.964</v>
      </c>
      <c r="I88" s="109">
        <f>Data!E65</f>
        <v>2.4180000000000001</v>
      </c>
      <c r="J88" s="109">
        <f>Data!F65</f>
        <v>0</v>
      </c>
      <c r="K88" s="109">
        <f>Data!G65</f>
        <v>0</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11727.512008145701</v>
      </c>
      <c r="E89" s="237"/>
      <c r="G89" s="71">
        <f t="shared" ref="G89:Q89" si="36">IF(G$4="","",G88*Common_Shares/scaling_factor)</f>
        <v>11727.512008145701</v>
      </c>
      <c r="H89" s="71">
        <f t="shared" si="36"/>
        <v>8912.9091261907324</v>
      </c>
      <c r="I89" s="71">
        <f t="shared" si="36"/>
        <v>7271.0574450503345</v>
      </c>
      <c r="J89" s="71">
        <f t="shared" si="36"/>
        <v>0</v>
      </c>
      <c r="K89" s="71">
        <f t="shared" si="36"/>
        <v>0</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0.55276121761479602</v>
      </c>
      <c r="E90" s="237"/>
      <c r="G90" s="152">
        <f t="shared" ref="G90:Q90" si="37">IF(G$4="","",G88/(G19*scaling_factor/Common_Shares))</f>
        <v>0.4068944559067969</v>
      </c>
      <c r="H90" s="152">
        <f t="shared" si="37"/>
        <v>0.47800649609518031</v>
      </c>
      <c r="I90" s="152">
        <f t="shared" si="37"/>
        <v>0.73690660231583405</v>
      </c>
      <c r="J90" s="152">
        <f t="shared" si="37"/>
        <v>0</v>
      </c>
      <c r="K90" s="152">
        <f t="shared" si="37"/>
        <v>0</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3.0925110132158588E-2</v>
      </c>
      <c r="E92" s="237"/>
      <c r="G92" s="22">
        <f t="shared" ref="G92:Q92" si="38">IF(G$4="","",(G88*(1-dividend_tax_rate))/Market_Price)</f>
        <v>3.0925110132158588E-2</v>
      </c>
      <c r="H92" s="22">
        <f t="shared" si="38"/>
        <v>2.3503083700440529E-2</v>
      </c>
      <c r="I92" s="22">
        <f t="shared" si="38"/>
        <v>1.9173568281938329E-2</v>
      </c>
      <c r="J92" s="22">
        <f t="shared" si="38"/>
        <v>0</v>
      </c>
      <c r="K92" s="22">
        <f t="shared" si="38"/>
        <v>0</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6.8368763725473958E-2</v>
      </c>
      <c r="H95" s="6">
        <f t="shared" si="39"/>
        <v>3.6727851077577034E-2</v>
      </c>
      <c r="I95" s="6">
        <f t="shared" si="39"/>
        <v>9.945859149719638E-2</v>
      </c>
      <c r="J95" s="6">
        <f t="shared" si="39"/>
        <v>0.27593114526375628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-0.16182541608410217</v>
      </c>
      <c r="D96" s="26"/>
      <c r="E96" s="234"/>
      <c r="F96" s="26"/>
      <c r="G96" s="6">
        <f t="shared" ref="G96:Q96" si="40">IF(H5="","",G11/H11-1)</f>
        <v>0.44239801767816855</v>
      </c>
      <c r="H96" s="6">
        <f t="shared" si="40"/>
        <v>0.92544328135013876</v>
      </c>
      <c r="I96" s="6">
        <f t="shared" si="40"/>
        <v>5.9761549925484347</v>
      </c>
      <c r="J96" s="6">
        <f t="shared" si="40"/>
        <v>-0.85476190476190472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713529</v>
      </c>
      <c r="D100" s="25"/>
      <c r="E100" s="238"/>
      <c r="F100" s="25"/>
      <c r="G100" s="270">
        <f t="shared" ref="G100:Q100" si="41">IF(G$4="","",G104+G103)</f>
        <v>713529</v>
      </c>
      <c r="H100" s="270">
        <f t="shared" si="41"/>
        <v>628344</v>
      </c>
      <c r="I100" s="270">
        <f t="shared" si="41"/>
        <v>0</v>
      </c>
      <c r="J100" s="270">
        <f t="shared" si="41"/>
        <v>0</v>
      </c>
      <c r="K100" s="270">
        <f t="shared" si="41"/>
        <v>0</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41491</v>
      </c>
      <c r="D101" s="86"/>
      <c r="E101" s="239"/>
      <c r="F101" s="86"/>
      <c r="G101" s="282">
        <f>IF(G$4="","",Data!D77)</f>
        <v>22416</v>
      </c>
      <c r="H101" s="282">
        <f>IF(H$4="","",Data!E77)</f>
        <v>0</v>
      </c>
      <c r="I101" s="282">
        <f>IF(I$4="","",Data!F77)</f>
        <v>0</v>
      </c>
      <c r="J101" s="282">
        <f>IF(J$4="","",Data!G77)</f>
        <v>0</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100999</v>
      </c>
      <c r="D102" s="86"/>
      <c r="E102" s="239"/>
      <c r="F102" s="86"/>
      <c r="G102" s="282">
        <f>IF(G$4="","",Data!D78)</f>
        <v>68058</v>
      </c>
      <c r="H102" s="282">
        <f>IF(H$4="","",Data!E78)</f>
        <v>0</v>
      </c>
      <c r="I102" s="282">
        <f>IF(I$4="","",Data!F78)</f>
        <v>0</v>
      </c>
      <c r="J102" s="282">
        <f>IF(J$4="","",Data!G78)</f>
        <v>0</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409109</v>
      </c>
      <c r="D103" s="25"/>
      <c r="E103" s="238"/>
      <c r="F103" s="25"/>
      <c r="G103" s="270">
        <f>Data!C79</f>
        <v>409109</v>
      </c>
      <c r="H103" s="270">
        <f>Data!D79</f>
        <v>332578</v>
      </c>
      <c r="I103" s="270">
        <f>Data!E79</f>
        <v>0</v>
      </c>
      <c r="J103" s="270">
        <f>Data!F79</f>
        <v>0</v>
      </c>
      <c r="K103" s="270">
        <f>Data!G79</f>
        <v>0</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304420</v>
      </c>
      <c r="D104" s="25"/>
      <c r="E104" s="238"/>
      <c r="F104" s="25"/>
      <c r="G104" s="270">
        <f>Data!C80</f>
        <v>304420</v>
      </c>
      <c r="H104" s="270">
        <f>Data!D80</f>
        <v>295766</v>
      </c>
      <c r="I104" s="270">
        <f>Data!E80</f>
        <v>0</v>
      </c>
      <c r="J104" s="270">
        <f>Data!F80</f>
        <v>0</v>
      </c>
      <c r="K104" s="270">
        <f>Data!G80</f>
        <v>0</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3.5804556190397289E-2</v>
      </c>
      <c r="D107" s="25"/>
      <c r="E107" s="238"/>
      <c r="F107" s="25"/>
      <c r="G107" s="91">
        <f t="shared" ref="G107:Q107" si="42">IF(G$4="","",G101/G$4)</f>
        <v>1.934383195304875E-2</v>
      </c>
      <c r="H107" s="91">
        <f t="shared" si="42"/>
        <v>0</v>
      </c>
      <c r="I107" s="91">
        <f t="shared" si="42"/>
        <v>0</v>
      </c>
      <c r="J107" s="91">
        <f t="shared" si="42"/>
        <v>0</v>
      </c>
      <c r="K107" s="91" t="e">
        <f t="shared" si="42"/>
        <v>#VALUE!</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8.7156838125712469E-2</v>
      </c>
      <c r="D108" s="25"/>
      <c r="E108" s="238"/>
      <c r="F108" s="25"/>
      <c r="G108" s="91">
        <f t="shared" ref="G108:Q108" si="43">IF(G$4="","",G102/G$4)</f>
        <v>5.8730483362802989E-2</v>
      </c>
      <c r="H108" s="91">
        <f t="shared" si="43"/>
        <v>0</v>
      </c>
      <c r="I108" s="91">
        <f t="shared" si="43"/>
        <v>0</v>
      </c>
      <c r="J108" s="91">
        <f t="shared" si="43"/>
        <v>0</v>
      </c>
      <c r="K108" s="91" t="e">
        <f t="shared" si="43"/>
        <v>#VALUE!</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1.3008284818629645</v>
      </c>
      <c r="H112" s="251">
        <f>IF(H$4="","",Data!D$22/Data!D15)</f>
        <v>2.5592724771036677</v>
      </c>
      <c r="I112" s="251">
        <f>IF(I$4="","",Data!E$22/Data!E15)</f>
        <v>5.9662573521824376</v>
      </c>
      <c r="J112" s="251">
        <f>IF(J$4="","",Data!F$22/Data!F15)</f>
        <v>0</v>
      </c>
      <c r="K112" s="251">
        <f>IF(K$4="","",Data!G$22/Data!G15)</f>
        <v>0</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2.0156477690652972</v>
      </c>
      <c r="H113" s="251">
        <f>IF(H$4="","",Data!D$22/H19)</f>
        <v>3.192159176230827</v>
      </c>
      <c r="I113" s="251">
        <f>IF(I$4="","",Data!E$22/I19)</f>
        <v>5.8598358163575552</v>
      </c>
      <c r="J113" s="251">
        <f>IF(J$4="","",Data!F$22/J19)</f>
        <v>0</v>
      </c>
      <c r="K113" s="251">
        <f>IF(K$4="","",Data!G$22/K19)</f>
        <v>0</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2.8209450265575496E-2</v>
      </c>
      <c r="E116" s="22">
        <f>E119/E117/E118</f>
        <v>3.9404773307997187E-2</v>
      </c>
      <c r="G116" s="22">
        <f t="shared" ref="G116:Q116" si="44">IF(G4="","",G77)</f>
        <v>3.3655816827304348E-2</v>
      </c>
      <c r="H116" s="22">
        <f t="shared" si="44"/>
        <v>2.4928503072846657E-2</v>
      </c>
      <c r="I116" s="22">
        <f t="shared" si="44"/>
        <v>1.3422401829032838E-2</v>
      </c>
      <c r="J116" s="22">
        <f t="shared" si="44"/>
        <v>2.1154023993476194E-3</v>
      </c>
      <c r="K116" s="22">
        <f t="shared" si="44"/>
        <v>1.8584020959986697E-2</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1.6240671367246462</v>
      </c>
      <c r="E117" s="452">
        <f>C117</f>
        <v>1.6240671367246462</v>
      </c>
      <c r="G117" s="40">
        <f t="shared" ref="G117:Q117" si="45">IF(G4="","",G4/G100)</f>
        <v>1.6240671367246462</v>
      </c>
      <c r="H117" s="40">
        <f t="shared" si="45"/>
        <v>1.7262232153088117</v>
      </c>
      <c r="I117" s="40" t="e">
        <f t="shared" si="45"/>
        <v>#DIV/0!</v>
      </c>
      <c r="J117" s="40" t="e">
        <f t="shared" si="45"/>
        <v>#DIV/0!</v>
      </c>
      <c r="K117" s="40" t="e">
        <f t="shared" si="45"/>
        <v>#DIV/0!</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2.3438965902371725</v>
      </c>
      <c r="D118" s="11"/>
      <c r="E118" s="15">
        <f>C100/C104</f>
        <v>2.3438965902371725</v>
      </c>
      <c r="F118" s="11"/>
      <c r="G118" s="15">
        <f t="shared" ref="G118:Q118" si="46">IF(G$4="","",G100/G104)</f>
        <v>2.3438965902371725</v>
      </c>
      <c r="H118" s="15">
        <f t="shared" si="46"/>
        <v>2.1244632581162133</v>
      </c>
      <c r="I118" s="15" t="e">
        <f t="shared" si="46"/>
        <v>#DIV/0!</v>
      </c>
      <c r="J118" s="15" t="e">
        <f t="shared" si="46"/>
        <v>#DIV/0!</v>
      </c>
      <c r="K118" s="15" t="e">
        <f t="shared" si="46"/>
        <v>#DIV/0!</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0.10738337476941046</v>
      </c>
      <c r="D119" s="100"/>
      <c r="E119" s="453">
        <v>0.15</v>
      </c>
      <c r="F119" s="100"/>
      <c r="G119" s="99">
        <f t="shared" ref="G119:Q119" si="47">IF(G$4="","",G11/G104)</f>
        <v>0.12811576111950596</v>
      </c>
      <c r="H119" s="99">
        <f t="shared" si="47"/>
        <v>9.1420244382383373E-2</v>
      </c>
      <c r="I119" s="99" t="e">
        <f t="shared" si="47"/>
        <v>#DIV/0!</v>
      </c>
      <c r="J119" s="99" t="e">
        <f t="shared" si="47"/>
        <v>#DIV/0!</v>
      </c>
      <c r="K119" s="99" t="e">
        <f t="shared" si="47"/>
        <v>#DIV/0!</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7.9129056763282781</v>
      </c>
      <c r="D123" s="26"/>
      <c r="E123" s="234"/>
      <c r="F123" s="26"/>
      <c r="G123" s="159">
        <f t="shared" ref="G123:Q123" si="48">IF(G$4="","",G14*$C$3/Common_Shares*Exchange_Rate)</f>
        <v>10.749587056354843</v>
      </c>
      <c r="H123" s="159">
        <f t="shared" si="48"/>
        <v>6.9542988082989519</v>
      </c>
      <c r="I123" s="159">
        <f t="shared" si="48"/>
        <v>3.6800421721273064</v>
      </c>
      <c r="J123" s="159">
        <f t="shared" si="48"/>
        <v>4.6993545524276946E-2</v>
      </c>
      <c r="K123" s="159">
        <f t="shared" si="48"/>
        <v>4.6165564007896833</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6.9717230628442983E-2</v>
      </c>
      <c r="D124" s="26"/>
      <c r="E124" s="234"/>
      <c r="F124" s="26"/>
      <c r="G124" s="74">
        <f t="shared" ref="G124" si="49">IF(G$4="","",G123/Market_Price)</f>
        <v>9.4710018117663816E-2</v>
      </c>
      <c r="H124" s="74">
        <f t="shared" ref="H124" si="50">IF(H$4="","",H123/Market_Price)</f>
        <v>6.1271355139197813E-2</v>
      </c>
      <c r="I124" s="74">
        <f t="shared" ref="I124" si="51">IF(I$4="","",I123/Market_Price)</f>
        <v>3.2423279049579791E-2</v>
      </c>
      <c r="J124" s="74">
        <f t="shared" ref="J124" si="52">IF(J$4="","",J123/Market_Price)</f>
        <v>4.1404004867204357E-4</v>
      </c>
      <c r="K124" s="74">
        <f t="shared" ref="K124" si="53">IF(K$4="","",K123/Market_Price)</f>
        <v>4.0674505733829809E-2</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0.13085236545985077</v>
      </c>
      <c r="H125" s="22">
        <f>IF(H$4="","",(Data!D47*$C$3)/(Market_Price*Common_Shares))</f>
        <v>6.8142262953420268E-2</v>
      </c>
      <c r="I125" s="22">
        <f>IF(I$4="","",(Data!E47*$C$3)/(Market_Price*Common_Shares))</f>
        <v>2.8394318711854317E-2</v>
      </c>
      <c r="J125" s="22">
        <f>IF(J$4="","",(Data!F47*$C$3)/(Market_Price*Common_Shares))</f>
        <v>-1.3088166513863712E-2</v>
      </c>
      <c r="K125" s="22">
        <f>IF(K$4="","",(Data!G47*$C$3)/(Market_Price*Common_Shares))</f>
        <v>0.14455582522822788</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5"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21216.235210477949</v>
      </c>
      <c r="D4" t="str">
        <f>Reporting_currency</f>
        <v>CNY</v>
      </c>
      <c r="E4" s="135" t="s">
        <v>431</v>
      </c>
      <c r="F4" s="275">
        <f>-BS!G31</f>
        <v>-112089</v>
      </c>
      <c r="G4" t="str">
        <f>Reporting_currency</f>
        <v>CNY</v>
      </c>
      <c r="H4" s="308" t="s">
        <v>394</v>
      </c>
      <c r="I4" s="305">
        <f>Normalized_FCF!C4</f>
        <v>1158819</v>
      </c>
      <c r="J4" s="305"/>
    </row>
    <row r="5" spans="2:15">
      <c r="B5" s="187" t="s">
        <v>105</v>
      </c>
      <c r="C5" s="188">
        <f>Equity_Cost</f>
        <v>7.2499999999999995E-2</v>
      </c>
      <c r="E5" s="135" t="s">
        <v>432</v>
      </c>
      <c r="F5" s="275">
        <f>BS!D66</f>
        <v>31026.885521023709</v>
      </c>
      <c r="G5" t="str">
        <f>Reporting_currency</f>
        <v>CNY</v>
      </c>
      <c r="H5" s="308" t="s">
        <v>395</v>
      </c>
      <c r="I5" s="305">
        <f>Normalized_FCF!C7</f>
        <v>-79314</v>
      </c>
      <c r="J5" s="305"/>
    </row>
    <row r="6" spans="2:15" ht="13.25" customHeight="1">
      <c r="B6" s="136" t="s">
        <v>194</v>
      </c>
      <c r="C6" s="283">
        <f>(C4*(1+Terminal_Growth))/(Equity_Cost-Terminal_Growth)</f>
        <v>412201.1412321431</v>
      </c>
      <c r="D6" t="str">
        <f>Reporting_currency</f>
        <v>CNY</v>
      </c>
      <c r="E6" s="187" t="s">
        <v>433</v>
      </c>
      <c r="F6" s="284">
        <f>BS!H42</f>
        <v>98531.7</v>
      </c>
      <c r="G6" t="str">
        <f>Reporting_currency</f>
        <v>CNY</v>
      </c>
      <c r="H6" s="308" t="s">
        <v>416</v>
      </c>
      <c r="I6" s="305">
        <f>I7+I8</f>
        <v>-6159.4913131261419</v>
      </c>
      <c r="J6" s="305"/>
      <c r="N6" s="135"/>
    </row>
    <row r="7" spans="2:15" ht="12.75" customHeight="1">
      <c r="B7" s="318" t="s">
        <v>430</v>
      </c>
      <c r="C7" s="275">
        <f>F7</f>
        <v>17469.585521023706</v>
      </c>
      <c r="E7" s="140" t="s">
        <v>424</v>
      </c>
      <c r="F7" s="283">
        <f>SUM(F4:F6)</f>
        <v>17469.585521023706</v>
      </c>
      <c r="G7" t="str">
        <f>Reporting_currency</f>
        <v>CNY</v>
      </c>
      <c r="H7" s="312" t="s">
        <v>417</v>
      </c>
      <c r="I7" s="313">
        <f>Normalized_FCF!C9</f>
        <v>0</v>
      </c>
      <c r="J7" s="313"/>
      <c r="N7" s="304"/>
      <c r="O7" s="304"/>
    </row>
    <row r="8" spans="2:15" ht="13.15">
      <c r="B8" s="136" t="s">
        <v>426</v>
      </c>
      <c r="C8" s="283">
        <f>C6+C7</f>
        <v>429670.72675316682</v>
      </c>
      <c r="D8" t="str">
        <f>Reporting_currency</f>
        <v>CNY</v>
      </c>
      <c r="E8" s="140" t="s">
        <v>464</v>
      </c>
      <c r="F8" s="108">
        <f>FV_adjustments*scaling_factor/Common_Shares*Exchange_Rate</f>
        <v>6.5155377974006097</v>
      </c>
      <c r="G8" s="294" t="str">
        <f>Market_currency</f>
        <v>HKD</v>
      </c>
      <c r="H8" s="314" t="str">
        <f>Normalized_FCF!B10</f>
        <v>Net Interest Income</v>
      </c>
      <c r="I8" s="313">
        <f>Normalized_FCF!C10</f>
        <v>-6159.4913131261419</v>
      </c>
      <c r="J8" s="313"/>
      <c r="N8" s="304"/>
      <c r="O8" s="304"/>
    </row>
    <row r="9" spans="2:15" ht="13.15" thickBot="1">
      <c r="B9" s="189" t="str">
        <f>"*"&amp;Thesis!E15</f>
        <v>*CNY/HKD</v>
      </c>
      <c r="C9" s="190">
        <f>Exchange_Rate</f>
        <v>1.1215249683380129</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481886.44821761636</v>
      </c>
      <c r="D10" t="str">
        <f>Market_currency</f>
        <v>HKD</v>
      </c>
      <c r="H10" s="308" t="s">
        <v>397</v>
      </c>
      <c r="I10" s="306">
        <f>Normalized_FCF!C41</f>
        <v>0.25</v>
      </c>
      <c r="N10" s="304"/>
      <c r="O10" s="304"/>
    </row>
    <row r="11" spans="2:15" ht="13.15">
      <c r="B11" s="136" t="s">
        <v>425</v>
      </c>
      <c r="C11" s="108">
        <f>(C10*scaling_factor)/Common_Shares</f>
        <v>160.25199093749288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2.8209450265575496E-2</v>
      </c>
      <c r="E17" s="308" t="s">
        <v>551</v>
      </c>
      <c r="F17" s="311">
        <f>Scenarios!C40</f>
        <v>3.9404773307997187E-2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185.86613070383422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1186463.6900532495</v>
      </c>
      <c r="D21" s="299">
        <f t="shared" ref="D21:D50" si="1">IF(A21="",0,IF(A21="I",$C$16,$F$16))</f>
        <v>2.38559171477595E-2</v>
      </c>
      <c r="E21" s="299">
        <f>$C$17</f>
        <v>2.8209450265575496E-2</v>
      </c>
      <c r="F21" s="277">
        <f>C21*E21</f>
        <v>33469.488456468323</v>
      </c>
      <c r="G21" s="299">
        <f t="shared" ref="G21:G50" si="2">IF(A21="",0%,IF(A21="I",$C$18,$F$18))</f>
        <v>0</v>
      </c>
      <c r="H21" s="277">
        <f>(F21*(1-$I$10)+C21*(G21-$I$9))</f>
        <v>21722.367959846488</v>
      </c>
      <c r="I21" s="299">
        <f>H21/C4-1</f>
        <v>2.3855917147759476E-2</v>
      </c>
      <c r="J21" s="299">
        <f>H21/C21</f>
        <v>1.8308497884896562E-2</v>
      </c>
      <c r="K21" s="119">
        <f t="shared" ref="K21:K50" si="3">IF($C$15&lt;B21,0,1/(1+Equity_Cost)^B21)</f>
        <v>0.93240093240093236</v>
      </c>
      <c r="L21" s="277">
        <f t="shared" ref="L21:L51" si="4">H21*K21</f>
        <v>20253.956139717004</v>
      </c>
    </row>
    <row r="22" spans="1:21">
      <c r="A22" s="302" t="str">
        <f t="shared" si="0"/>
        <v>I</v>
      </c>
      <c r="B22" s="117">
        <v>2</v>
      </c>
      <c r="C22" s="277">
        <f t="shared" ref="C22:C50" si="5">IF(A22="",0,C21*(1+D22))</f>
        <v>1214767.8695419847</v>
      </c>
      <c r="D22" s="299">
        <f t="shared" si="1"/>
        <v>2.38559171477595E-2</v>
      </c>
      <c r="E22" s="299">
        <f t="shared" ref="E22:E50" si="6">IF($C$15&lt;B22,0,IF(B22&gt;=$F$15,$F$17,$C$17))</f>
        <v>2.8209450265575496E-2</v>
      </c>
      <c r="F22" s="277">
        <f t="shared" ref="F22:F50" si="7">IF(A22="", 0,C22*E22)</f>
        <v>34267.933800063722</v>
      </c>
      <c r="G22" s="299">
        <f t="shared" si="2"/>
        <v>0</v>
      </c>
      <c r="H22" s="277">
        <f t="shared" ref="H22:H50" si="8">IF(A22="", 0,F22*(1-$I$10)+C22*(G22-$I$9))</f>
        <v>22240.57497014973</v>
      </c>
      <c r="I22" s="299">
        <f t="shared" ref="I22:I50" si="9">IF(A22="", 0,H22/H21-1)</f>
        <v>2.3855917147759476E-2</v>
      </c>
      <c r="J22" s="299">
        <f>IF(A22="", 0,H22/C22)</f>
        <v>1.8308497884896562E-2</v>
      </c>
      <c r="K22" s="119">
        <f t="shared" si="3"/>
        <v>0.86937149874212816</v>
      </c>
      <c r="L22" s="277">
        <f t="shared" si="4"/>
        <v>19335.321994685732</v>
      </c>
    </row>
    <row r="23" spans="1:21">
      <c r="A23" s="302" t="str">
        <f t="shared" si="0"/>
        <v>I</v>
      </c>
      <c r="B23" s="117">
        <v>3</v>
      </c>
      <c r="C23" s="277">
        <f t="shared" si="5"/>
        <v>1243747.2711915385</v>
      </c>
      <c r="D23" s="299">
        <f t="shared" si="1"/>
        <v>2.38559171477595E-2</v>
      </c>
      <c r="E23" s="299">
        <f t="shared" si="6"/>
        <v>2.8209450265575496E-2</v>
      </c>
      <c r="F23" s="277">
        <f t="shared" si="7"/>
        <v>35085.426789622943</v>
      </c>
      <c r="G23" s="299">
        <f t="shared" si="2"/>
        <v>0</v>
      </c>
      <c r="H23" s="277">
        <f t="shared" si="8"/>
        <v>22771.14428395615</v>
      </c>
      <c r="I23" s="299">
        <f t="shared" si="9"/>
        <v>2.3855917147759254E-2</v>
      </c>
      <c r="J23" s="299">
        <f t="shared" ref="J23:J50" si="10">IF(A23="", 0,H23/C23)</f>
        <v>1.8308497884896559E-2</v>
      </c>
      <c r="K23" s="119">
        <f t="shared" si="3"/>
        <v>0.81060279602995633</v>
      </c>
      <c r="L23" s="277">
        <f t="shared" si="4"/>
        <v>18458.353225376413</v>
      </c>
      <c r="N23" s="275"/>
      <c r="O23" s="275"/>
      <c r="P23" s="275"/>
      <c r="Q23" s="275"/>
      <c r="R23" s="275"/>
      <c r="S23" s="275"/>
      <c r="T23" s="275"/>
      <c r="U23" s="275"/>
    </row>
    <row r="24" spans="1:21">
      <c r="A24" s="302" t="str">
        <f t="shared" si="0"/>
        <v>I</v>
      </c>
      <c r="B24" s="117">
        <v>4</v>
      </c>
      <c r="C24" s="277">
        <f t="shared" si="5"/>
        <v>1273418.0030458358</v>
      </c>
      <c r="D24" s="299">
        <f t="shared" si="1"/>
        <v>2.38559171477595E-2</v>
      </c>
      <c r="E24" s="299">
        <f t="shared" si="6"/>
        <v>2.8209450265575496E-2</v>
      </c>
      <c r="F24" s="277">
        <f t="shared" si="7"/>
        <v>35922.421824209967</v>
      </c>
      <c r="G24" s="299">
        <f t="shared" si="2"/>
        <v>0</v>
      </c>
      <c r="H24" s="277">
        <f t="shared" si="8"/>
        <v>23314.370815353883</v>
      </c>
      <c r="I24" s="299">
        <f t="shared" si="9"/>
        <v>2.3855917147759476E-2</v>
      </c>
      <c r="J24" s="299">
        <f t="shared" si="10"/>
        <v>1.8308497884896559E-2</v>
      </c>
      <c r="K24" s="119">
        <f t="shared" si="3"/>
        <v>0.75580680282513402</v>
      </c>
      <c r="L24" s="277">
        <f t="shared" si="4"/>
        <v>17621.160065832231</v>
      </c>
      <c r="N24" s="275"/>
      <c r="O24" s="275"/>
      <c r="P24" s="275"/>
      <c r="Q24" s="275"/>
      <c r="R24" s="275"/>
      <c r="S24" s="275"/>
      <c r="T24" s="275"/>
      <c r="U24" s="275"/>
    </row>
    <row r="25" spans="1:21">
      <c r="A25" s="302" t="str">
        <f t="shared" si="0"/>
        <v>II</v>
      </c>
      <c r="B25" s="117">
        <v>5</v>
      </c>
      <c r="C25" s="277">
        <f t="shared" si="5"/>
        <v>1303796.5574209625</v>
      </c>
      <c r="D25" s="299">
        <f t="shared" si="1"/>
        <v>2.38559171477595E-2</v>
      </c>
      <c r="E25" s="299">
        <f t="shared" si="6"/>
        <v>3.9404773307997187E-2</v>
      </c>
      <c r="F25" s="277">
        <f t="shared" si="7"/>
        <v>51375.807784920165</v>
      </c>
      <c r="G25" s="299">
        <f t="shared" si="2"/>
        <v>0</v>
      </c>
      <c r="H25" s="277">
        <f t="shared" si="8"/>
        <v>34817.874245320847</v>
      </c>
      <c r="I25" s="299">
        <f t="shared" si="9"/>
        <v>0.49340827256600162</v>
      </c>
      <c r="J25" s="299">
        <f t="shared" si="10"/>
        <v>2.6704990166712832E-2</v>
      </c>
      <c r="K25" s="119">
        <f t="shared" si="3"/>
        <v>0.70471496766912267</v>
      </c>
      <c r="L25" s="277">
        <f t="shared" si="4"/>
        <v>24536.67712309886</v>
      </c>
      <c r="N25" s="275"/>
      <c r="O25" s="275"/>
      <c r="P25" s="275"/>
      <c r="Q25" s="275"/>
      <c r="R25" s="275"/>
      <c r="S25" s="275"/>
      <c r="T25" s="275"/>
      <c r="U25" s="275"/>
    </row>
    <row r="26" spans="1:21">
      <c r="A26" s="302" t="str">
        <f t="shared" si="0"/>
        <v>II</v>
      </c>
      <c r="B26" s="117">
        <v>6</v>
      </c>
      <c r="C26" s="277">
        <f t="shared" si="5"/>
        <v>1334899.820072331</v>
      </c>
      <c r="D26" s="299">
        <f t="shared" si="1"/>
        <v>2.38559171477595E-2</v>
      </c>
      <c r="E26" s="299">
        <f t="shared" si="6"/>
        <v>3.9404773307997187E-2</v>
      </c>
      <c r="F26" s="277">
        <f t="shared" si="7"/>
        <v>52601.424798836437</v>
      </c>
      <c r="G26" s="299">
        <f t="shared" si="2"/>
        <v>0</v>
      </c>
      <c r="H26" s="277">
        <f t="shared" si="8"/>
        <v>35648.486568578322</v>
      </c>
      <c r="I26" s="299">
        <f t="shared" si="9"/>
        <v>2.3855917147759254E-2</v>
      </c>
      <c r="J26" s="299">
        <f t="shared" si="10"/>
        <v>2.6704990166712829E-2</v>
      </c>
      <c r="K26" s="119">
        <f t="shared" si="3"/>
        <v>0.65707689293158289</v>
      </c>
      <c r="L26" s="277">
        <f t="shared" si="4"/>
        <v>23423.796792194709</v>
      </c>
    </row>
    <row r="27" spans="1:21">
      <c r="A27" s="302" t="str">
        <f t="shared" si="0"/>
        <v>II</v>
      </c>
      <c r="B27" s="117">
        <v>7</v>
      </c>
      <c r="C27" s="277">
        <f t="shared" si="5"/>
        <v>1366745.0795805356</v>
      </c>
      <c r="D27" s="299">
        <f t="shared" si="1"/>
        <v>2.38559171477595E-2</v>
      </c>
      <c r="E27" s="299">
        <f t="shared" si="6"/>
        <v>3.9404773307997187E-2</v>
      </c>
      <c r="F27" s="277">
        <f t="shared" si="7"/>
        <v>53856.280030691581</v>
      </c>
      <c r="G27" s="299">
        <f t="shared" si="2"/>
        <v>0</v>
      </c>
      <c r="H27" s="277">
        <f t="shared" si="8"/>
        <v>36498.913910601346</v>
      </c>
      <c r="I27" s="299">
        <f t="shared" si="9"/>
        <v>2.3855917147759476E-2</v>
      </c>
      <c r="J27" s="299">
        <f t="shared" si="10"/>
        <v>2.6704990166712829E-2</v>
      </c>
      <c r="K27" s="119">
        <f t="shared" si="3"/>
        <v>0.61265910762851561</v>
      </c>
      <c r="L27" s="277">
        <f t="shared" si="4"/>
        <v>22361.392025879035</v>
      </c>
    </row>
    <row r="28" spans="1:21">
      <c r="A28" s="302" t="str">
        <f t="shared" si="0"/>
        <v>II</v>
      </c>
      <c r="B28" s="117">
        <v>8</v>
      </c>
      <c r="C28" s="277">
        <f t="shared" si="5"/>
        <v>1399350.0369611168</v>
      </c>
      <c r="D28" s="299">
        <f t="shared" si="1"/>
        <v>2.38559171477595E-2</v>
      </c>
      <c r="E28" s="299">
        <f t="shared" si="6"/>
        <v>3.9404773307997187E-2</v>
      </c>
      <c r="F28" s="277">
        <f t="shared" si="7"/>
        <v>55141.070984990292</v>
      </c>
      <c r="G28" s="299">
        <f t="shared" si="2"/>
        <v>0</v>
      </c>
      <c r="H28" s="277">
        <f t="shared" si="8"/>
        <v>37369.628976835862</v>
      </c>
      <c r="I28" s="299">
        <f t="shared" si="9"/>
        <v>2.3855917147759698E-2</v>
      </c>
      <c r="J28" s="299">
        <f t="shared" si="10"/>
        <v>2.6704990166712832E-2</v>
      </c>
      <c r="K28" s="119">
        <f t="shared" si="3"/>
        <v>0.5712439231967511</v>
      </c>
      <c r="L28" s="277">
        <f t="shared" si="4"/>
        <v>21347.173465134711</v>
      </c>
    </row>
    <row r="29" spans="1:21">
      <c r="A29" s="302" t="str">
        <f t="shared" si="0"/>
        <v>II</v>
      </c>
      <c r="B29" s="117">
        <v>9</v>
      </c>
      <c r="C29" s="277">
        <f t="shared" si="5"/>
        <v>1432732.8155035754</v>
      </c>
      <c r="D29" s="299">
        <f t="shared" si="1"/>
        <v>2.38559171477595E-2</v>
      </c>
      <c r="E29" s="299">
        <f t="shared" si="6"/>
        <v>3.9404773307997187E-2</v>
      </c>
      <c r="F29" s="277">
        <f t="shared" si="7"/>
        <v>56456.511805846945</v>
      </c>
      <c r="G29" s="299">
        <f t="shared" si="2"/>
        <v>0</v>
      </c>
      <c r="H29" s="277">
        <f t="shared" si="8"/>
        <v>38261.115749549768</v>
      </c>
      <c r="I29" s="299">
        <f t="shared" si="9"/>
        <v>2.3855917147759476E-2</v>
      </c>
      <c r="J29" s="299">
        <f t="shared" si="10"/>
        <v>2.6704990166712829E-2</v>
      </c>
      <c r="K29" s="119">
        <f t="shared" si="3"/>
        <v>0.53262836661701729</v>
      </c>
      <c r="L29" s="277">
        <f t="shared" si="4"/>
        <v>20378.955586627329</v>
      </c>
    </row>
    <row r="30" spans="1:21">
      <c r="A30" s="302" t="str">
        <f t="shared" si="0"/>
        <v>II</v>
      </c>
      <c r="B30" s="117">
        <v>10</v>
      </c>
      <c r="C30" s="277">
        <f t="shared" si="5"/>
        <v>1466911.9708451049</v>
      </c>
      <c r="D30" s="299">
        <f t="shared" si="1"/>
        <v>2.38559171477595E-2</v>
      </c>
      <c r="E30" s="299">
        <f t="shared" si="6"/>
        <v>3.9404773307997187E-2</v>
      </c>
      <c r="F30" s="277">
        <f t="shared" si="7"/>
        <v>57803.333673938738</v>
      </c>
      <c r="G30" s="299">
        <f t="shared" si="2"/>
        <v>0</v>
      </c>
      <c r="H30" s="277">
        <f t="shared" si="8"/>
        <v>39173.869756851869</v>
      </c>
      <c r="I30" s="299">
        <f t="shared" si="9"/>
        <v>2.3855917147759698E-2</v>
      </c>
      <c r="J30" s="299">
        <f t="shared" si="10"/>
        <v>2.6704990166712832E-2</v>
      </c>
      <c r="K30" s="119">
        <f t="shared" si="3"/>
        <v>0.49662318565689262</v>
      </c>
      <c r="L30" s="277">
        <f t="shared" si="4"/>
        <v>19454.651993155978</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1496250.2102620071</v>
      </c>
      <c r="D51" s="301">
        <f>Terminal_Growth</f>
        <v>0.02</v>
      </c>
      <c r="E51" s="301">
        <f>F17</f>
        <v>3.9404773307997187E-2</v>
      </c>
      <c r="F51" s="277">
        <f>C51*E51</f>
        <v>58959.400347417519</v>
      </c>
      <c r="G51" s="299">
        <f>F18</f>
        <v>0</v>
      </c>
      <c r="H51" s="277">
        <f>(F51*(1-$I$10)+C51*(G51-$I$9))/Equity_Cost</f>
        <v>551135.82278605388</v>
      </c>
      <c r="I51" s="415">
        <f>(F51*(1-$I$10)+C51*(G51-$I$9))/VLOOKUP(C15,B21:H50,COLUMN(H20)-1,FALSE)-1</f>
        <v>2.0000000000000018E-2</v>
      </c>
      <c r="J51" s="454"/>
      <c r="K51" s="119">
        <f>1/(1+Equity_Cost)^C15</f>
        <v>0.49662318565689262</v>
      </c>
      <c r="L51" s="277">
        <f t="shared" si="4"/>
        <v>273706.82804164273</v>
      </c>
    </row>
    <row r="52" spans="1:21" ht="13.15">
      <c r="G52" s="111"/>
      <c r="H52" s="111"/>
      <c r="I52" s="111"/>
      <c r="J52" s="468" t="s">
        <v>420</v>
      </c>
      <c r="K52" s="468"/>
      <c r="L52" s="317">
        <f>SUM(L21:L51)</f>
        <v>480878.26645334472</v>
      </c>
    </row>
    <row r="53" spans="1:21">
      <c r="C53" s="111"/>
    </row>
    <row r="54" spans="1:21" ht="13.15">
      <c r="B54" s="115" t="s">
        <v>108</v>
      </c>
      <c r="C54" s="128"/>
      <c r="D54" s="128"/>
      <c r="E54" s="113"/>
      <c r="F54" s="113"/>
      <c r="G54" s="113"/>
      <c r="H54" s="113"/>
      <c r="I54" s="113"/>
      <c r="J54" s="113"/>
      <c r="K54" s="113"/>
      <c r="L54" s="113"/>
    </row>
    <row r="55" spans="1:21" ht="13.15">
      <c r="A55" s="125">
        <f>L52</f>
        <v>480878.26645334472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425732.36302881944</v>
      </c>
      <c r="C56" s="118">
        <v>429989.68665910763</v>
      </c>
      <c r="D56" s="118">
        <v>434247.01028939598</v>
      </c>
      <c r="E56" s="118">
        <v>438504.33391968417</v>
      </c>
      <c r="F56" s="118">
        <v>447018.98118026054</v>
      </c>
      <c r="G56" s="295"/>
      <c r="H56" s="295"/>
      <c r="I56" s="295"/>
      <c r="J56" s="295"/>
      <c r="K56" s="295"/>
      <c r="L56" s="295"/>
    </row>
    <row r="57" spans="1:21" ht="13.15">
      <c r="A57" s="131">
        <v>2</v>
      </c>
      <c r="B57" s="118">
        <v>425194.28727396054</v>
      </c>
      <c r="C57" s="118">
        <v>433540.89386949519</v>
      </c>
      <c r="D57" s="118">
        <v>441968.58291498595</v>
      </c>
      <c r="E57" s="118">
        <v>450477.35441043309</v>
      </c>
      <c r="F57" s="118">
        <v>467738.14475119644</v>
      </c>
      <c r="G57" s="295"/>
      <c r="H57" s="295"/>
      <c r="I57" s="295"/>
      <c r="J57" s="295"/>
      <c r="K57" s="295"/>
      <c r="L57" s="295"/>
    </row>
    <row r="58" spans="1:21" ht="13.15">
      <c r="A58" s="131">
        <v>3</v>
      </c>
      <c r="B58" s="118">
        <v>424692.58493842767</v>
      </c>
      <c r="C58" s="118">
        <v>436885.15427275037</v>
      </c>
      <c r="D58" s="118">
        <v>449312.17646100163</v>
      </c>
      <c r="E58" s="118">
        <v>461975.91954373999</v>
      </c>
      <c r="F58" s="118">
        <v>488022.64055490994</v>
      </c>
      <c r="G58" s="295"/>
      <c r="H58" s="295"/>
      <c r="I58" s="295"/>
      <c r="J58" s="295"/>
      <c r="K58" s="295"/>
      <c r="L58" s="295"/>
    </row>
    <row r="59" spans="1:21" ht="13.15">
      <c r="A59" s="131">
        <v>4</v>
      </c>
      <c r="B59" s="118">
        <v>424224.79721298913</v>
      </c>
      <c r="C59" s="118">
        <v>440034.52770611882</v>
      </c>
      <c r="D59" s="118">
        <v>456296.29339986964</v>
      </c>
      <c r="E59" s="118">
        <v>473018.83058085479</v>
      </c>
      <c r="F59" s="118">
        <v>507881.58749560849</v>
      </c>
      <c r="G59" s="295"/>
      <c r="H59" s="295"/>
      <c r="I59" s="295"/>
      <c r="J59" s="295"/>
      <c r="K59" s="295"/>
      <c r="L59" s="295"/>
    </row>
    <row r="60" spans="1:21" ht="13.15">
      <c r="A60" s="131">
        <v>5</v>
      </c>
      <c r="B60" s="118">
        <v>415329.63396127464</v>
      </c>
      <c r="C60" s="118">
        <v>434371.34782821708</v>
      </c>
      <c r="D60" s="118">
        <v>454137.78944760328</v>
      </c>
      <c r="E60" s="118">
        <v>474649.99325414718</v>
      </c>
      <c r="F60" s="118">
        <v>517997.86838358123</v>
      </c>
      <c r="G60" s="295"/>
      <c r="H60" s="295"/>
      <c r="I60" s="295"/>
      <c r="J60" s="295"/>
      <c r="K60" s="295"/>
      <c r="L60" s="295"/>
    </row>
    <row r="61" spans="1:21" ht="13.15">
      <c r="A61" s="131">
        <v>6</v>
      </c>
      <c r="B61" s="118">
        <v>414922.95264531695</v>
      </c>
      <c r="C61" s="118">
        <v>437164.35663767077</v>
      </c>
      <c r="D61" s="118">
        <v>460454.88206344284</v>
      </c>
      <c r="E61" s="118">
        <v>484835.04925299564</v>
      </c>
      <c r="F61" s="118">
        <v>537032.3131015473</v>
      </c>
      <c r="G61" s="295"/>
      <c r="H61" s="295"/>
      <c r="I61" s="295"/>
      <c r="J61" s="295"/>
      <c r="K61" s="295"/>
      <c r="L61" s="295"/>
    </row>
    <row r="62" spans="1:21" ht="13.15">
      <c r="A62" s="131">
        <v>7</v>
      </c>
      <c r="B62" s="118">
        <v>406656.58541332866</v>
      </c>
      <c r="C62" s="118">
        <v>431668.43614604214</v>
      </c>
      <c r="D62" s="118">
        <v>458092.81083393865</v>
      </c>
      <c r="E62" s="118">
        <v>485997.97016072512</v>
      </c>
      <c r="F62" s="118">
        <v>546537.04030547943</v>
      </c>
      <c r="G62" s="295"/>
      <c r="H62" s="295"/>
      <c r="I62" s="295"/>
      <c r="J62" s="295"/>
      <c r="K62" s="295"/>
      <c r="L62" s="295"/>
    </row>
    <row r="63" spans="1:21" ht="13.15">
      <c r="A63" s="131">
        <v>8</v>
      </c>
      <c r="B63" s="118">
        <v>406303.02826816408</v>
      </c>
      <c r="C63" s="118">
        <v>434145.40446203586</v>
      </c>
      <c r="D63" s="118">
        <v>463806.58388017898</v>
      </c>
      <c r="E63" s="118">
        <v>495391.81254078454</v>
      </c>
      <c r="F63" s="118">
        <v>564781.21442021057</v>
      </c>
      <c r="G63" s="295"/>
      <c r="H63" s="295"/>
      <c r="I63" s="295"/>
      <c r="J63" s="295"/>
      <c r="K63" s="295"/>
      <c r="L63" s="295"/>
    </row>
    <row r="64" spans="1:21" ht="13.15">
      <c r="A64" s="131">
        <v>9</v>
      </c>
      <c r="B64" s="118">
        <v>398619.35988684569</v>
      </c>
      <c r="C64" s="118">
        <v>428825.41358437197</v>
      </c>
      <c r="D64" s="118">
        <v>461280.44333097438</v>
      </c>
      <c r="E64" s="118">
        <v>496136.40017137572</v>
      </c>
      <c r="F64" s="118">
        <v>573703.7968412335</v>
      </c>
      <c r="G64" s="295"/>
      <c r="H64" s="295"/>
      <c r="I64" s="295"/>
      <c r="J64" s="295"/>
      <c r="K64" s="295"/>
      <c r="L64" s="295"/>
    </row>
    <row r="65" spans="1:21" ht="13.15">
      <c r="A65" s="131">
        <v>10</v>
      </c>
      <c r="B65" s="118">
        <v>398311.987381663</v>
      </c>
      <c r="C65" s="118">
        <v>431022.10269529419</v>
      </c>
      <c r="D65" s="118">
        <v>466448.51738169871</v>
      </c>
      <c r="E65" s="118">
        <v>504800.49339495535</v>
      </c>
      <c r="F65" s="118">
        <v>591190.51074649696</v>
      </c>
      <c r="G65" s="295"/>
      <c r="H65" s="295"/>
      <c r="I65" s="295"/>
      <c r="J65" s="295"/>
      <c r="K65" s="295"/>
      <c r="L65" s="295"/>
    </row>
    <row r="66" spans="1:21" ht="13.15">
      <c r="A66" s="131">
        <v>15</v>
      </c>
      <c r="B66" s="118">
        <v>377848.65370608249</v>
      </c>
      <c r="C66" s="277">
        <v>419843.65322674008</v>
      </c>
      <c r="D66" s="118">
        <v>467114.8543356958</v>
      </c>
      <c r="E66" s="118">
        <v>520320.59006954031</v>
      </c>
      <c r="F66" s="118">
        <v>647565.76645292563</v>
      </c>
      <c r="G66" s="295"/>
      <c r="H66" s="295"/>
      <c r="I66" s="295"/>
      <c r="J66" s="295"/>
      <c r="K66" s="295"/>
      <c r="L66" s="295"/>
      <c r="M66" s="275"/>
      <c r="N66" s="275"/>
      <c r="O66" s="275"/>
      <c r="P66" s="275"/>
      <c r="Q66" s="275"/>
      <c r="R66" s="275"/>
      <c r="S66" s="275"/>
      <c r="T66" s="275"/>
      <c r="U66" s="275"/>
    </row>
    <row r="67" spans="1:21" ht="13.15">
      <c r="A67" s="132">
        <v>20</v>
      </c>
      <c r="B67" s="118">
        <v>366225.72976120922</v>
      </c>
      <c r="C67" s="277">
        <v>414975.50847604114</v>
      </c>
      <c r="D67" s="118">
        <v>471747.62035189278</v>
      </c>
      <c r="E67" s="118">
        <v>537917.11729936081</v>
      </c>
      <c r="F67" s="118">
        <v>705140.03721799445</v>
      </c>
      <c r="G67" s="295"/>
      <c r="H67" s="295"/>
      <c r="I67" s="295"/>
      <c r="J67" s="295"/>
      <c r="K67" s="295"/>
      <c r="L67" s="295"/>
      <c r="M67" s="275"/>
      <c r="N67" s="275"/>
      <c r="O67" s="275"/>
      <c r="P67" s="275"/>
      <c r="Q67" s="275"/>
      <c r="R67" s="275"/>
      <c r="S67" s="275"/>
      <c r="T67" s="275"/>
      <c r="U67" s="275"/>
    </row>
    <row r="68" spans="1:21" ht="13.15">
      <c r="A68" s="132">
        <v>25</v>
      </c>
      <c r="B68" s="118">
        <v>352065.42161633779</v>
      </c>
      <c r="C68" s="277">
        <v>404927.72977538285</v>
      </c>
      <c r="D68" s="118">
        <v>468417.97296493349</v>
      </c>
      <c r="E68" s="118">
        <v>544848.95341982238</v>
      </c>
      <c r="F68" s="118">
        <v>748418.96201773675</v>
      </c>
      <c r="G68" s="295"/>
      <c r="H68" s="295"/>
      <c r="I68" s="295"/>
      <c r="J68" s="295"/>
      <c r="K68" s="295"/>
      <c r="L68" s="295"/>
      <c r="M68" s="275"/>
      <c r="N68" s="275"/>
      <c r="O68" s="275"/>
      <c r="P68" s="275"/>
      <c r="Q68" s="275"/>
      <c r="R68" s="275"/>
      <c r="S68" s="275"/>
      <c r="T68" s="275"/>
      <c r="U68" s="275"/>
    </row>
    <row r="69" spans="1:21" ht="13.15">
      <c r="A69" s="132">
        <v>30</v>
      </c>
      <c r="B69" s="118">
        <v>344058.15800693462</v>
      </c>
      <c r="C69" s="277">
        <v>400012.3489492088</v>
      </c>
      <c r="D69" s="118">
        <v>469028.49274077325</v>
      </c>
      <c r="E69" s="118">
        <v>554529.16753518628</v>
      </c>
      <c r="F69" s="118">
        <v>793523.22579142265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160.25199093749288</v>
      </c>
      <c r="C73" s="119">
        <f>C11</f>
        <v>160.25199093749288</v>
      </c>
      <c r="D73" s="119">
        <f>C11</f>
        <v>160.25199093749288</v>
      </c>
      <c r="E73" s="119">
        <f>C11</f>
        <v>160.25199093749288</v>
      </c>
      <c r="F73" s="119">
        <f>C11</f>
        <v>160.25199093749288</v>
      </c>
      <c r="G73" s="296"/>
      <c r="H73" s="296"/>
      <c r="I73" s="296"/>
      <c r="J73" s="296"/>
      <c r="K73" s="296"/>
      <c r="L73" s="296"/>
    </row>
    <row r="74" spans="1:21" ht="13.15">
      <c r="A74" s="131">
        <v>1</v>
      </c>
      <c r="B74" s="119">
        <f t="shared" ref="B74:F87" si="11">(B56+FV_adjustments)/Common_Shares*scaling_factor*Exchange_Rate</f>
        <v>165.29865829861353</v>
      </c>
      <c r="C74" s="119">
        <f t="shared" si="11"/>
        <v>166.88648950362563</v>
      </c>
      <c r="D74" s="119">
        <f t="shared" si="11"/>
        <v>168.47432070863783</v>
      </c>
      <c r="E74" s="119">
        <f t="shared" si="11"/>
        <v>170.06215191364996</v>
      </c>
      <c r="F74" s="119">
        <f t="shared" si="11"/>
        <v>173.23781432367423</v>
      </c>
      <c r="G74" s="296"/>
      <c r="H74" s="296"/>
      <c r="I74" s="296"/>
      <c r="J74" s="296"/>
      <c r="K74" s="296"/>
      <c r="L74" s="296"/>
    </row>
    <row r="75" spans="1:21" ht="13.15">
      <c r="A75" s="131">
        <v>2</v>
      </c>
      <c r="B75" s="119">
        <f t="shared" si="11"/>
        <v>165.0979750646336</v>
      </c>
      <c r="C75" s="119">
        <f t="shared" si="11"/>
        <v>168.21096424733588</v>
      </c>
      <c r="D75" s="119">
        <f t="shared" si="11"/>
        <v>171.3541943173654</v>
      </c>
      <c r="E75" s="119">
        <f t="shared" si="11"/>
        <v>174.52766527472227</v>
      </c>
      <c r="F75" s="119">
        <f t="shared" si="11"/>
        <v>180.96532985141798</v>
      </c>
      <c r="G75" s="296"/>
      <c r="H75" s="296"/>
      <c r="I75" s="296"/>
      <c r="J75" s="296"/>
      <c r="K75" s="296"/>
      <c r="L75" s="296"/>
    </row>
    <row r="76" spans="1:21" ht="13.15">
      <c r="A76" s="131">
        <v>3</v>
      </c>
      <c r="B76" s="119">
        <f t="shared" si="11"/>
        <v>164.91085783015345</v>
      </c>
      <c r="C76" s="119">
        <f t="shared" si="11"/>
        <v>169.45825514817241</v>
      </c>
      <c r="D76" s="119">
        <f t="shared" si="11"/>
        <v>174.0930950920993</v>
      </c>
      <c r="E76" s="119">
        <f t="shared" si="11"/>
        <v>178.81622356088036</v>
      </c>
      <c r="F76" s="119">
        <f t="shared" si="11"/>
        <v>188.53072966878952</v>
      </c>
      <c r="G76" s="296"/>
      <c r="H76" s="296"/>
      <c r="I76" s="296"/>
      <c r="J76" s="296"/>
      <c r="K76" s="296"/>
      <c r="L76" s="296"/>
    </row>
    <row r="77" spans="1:21" ht="13.15">
      <c r="A77" s="131">
        <v>4</v>
      </c>
      <c r="B77" s="119">
        <f t="shared" si="11"/>
        <v>164.73638954625582</v>
      </c>
      <c r="C77" s="119">
        <f t="shared" si="11"/>
        <v>170.63286009907679</v>
      </c>
      <c r="D77" s="119">
        <f t="shared" si="11"/>
        <v>176.69792380093716</v>
      </c>
      <c r="E77" s="119">
        <f t="shared" si="11"/>
        <v>182.93483897788985</v>
      </c>
      <c r="F77" s="119">
        <f t="shared" si="11"/>
        <v>195.93741480467776</v>
      </c>
      <c r="G77" s="296"/>
      <c r="H77" s="296"/>
      <c r="I77" s="296"/>
      <c r="J77" s="296"/>
      <c r="K77" s="296"/>
      <c r="L77" s="296"/>
    </row>
    <row r="78" spans="1:21" ht="13.15">
      <c r="A78" s="131">
        <v>5</v>
      </c>
      <c r="B78" s="119">
        <f t="shared" si="11"/>
        <v>161.41880812391204</v>
      </c>
      <c r="C78" s="119">
        <f t="shared" si="11"/>
        <v>168.52069421491532</v>
      </c>
      <c r="D78" s="119">
        <f t="shared" si="11"/>
        <v>175.89287813629304</v>
      </c>
      <c r="E78" s="119">
        <f t="shared" si="11"/>
        <v>183.54320498856339</v>
      </c>
      <c r="F78" s="119">
        <f t="shared" si="11"/>
        <v>199.71042993519617</v>
      </c>
      <c r="G78" s="296"/>
      <c r="H78" s="296"/>
      <c r="I78" s="296"/>
      <c r="J78" s="296"/>
      <c r="K78" s="296"/>
      <c r="L78" s="296"/>
    </row>
    <row r="79" spans="1:21" ht="13.15">
      <c r="A79" s="131">
        <v>6</v>
      </c>
      <c r="B79" s="119">
        <f t="shared" si="11"/>
        <v>161.26713037045701</v>
      </c>
      <c r="C79" s="119">
        <f t="shared" si="11"/>
        <v>169.56238775965159</v>
      </c>
      <c r="D79" s="119">
        <f t="shared" si="11"/>
        <v>178.2489303539401</v>
      </c>
      <c r="E79" s="119">
        <f t="shared" si="11"/>
        <v>187.34187080403322</v>
      </c>
      <c r="F79" s="119">
        <f t="shared" si="11"/>
        <v>206.80960489061738</v>
      </c>
      <c r="G79" s="296"/>
      <c r="H79" s="296"/>
      <c r="I79" s="296"/>
      <c r="J79" s="296"/>
      <c r="K79" s="296"/>
      <c r="L79" s="296"/>
    </row>
    <row r="80" spans="1:21" ht="13.15">
      <c r="A80" s="131">
        <f t="shared" ref="A80" si="12">A62</f>
        <v>7</v>
      </c>
      <c r="B80" s="119">
        <f t="shared" si="11"/>
        <v>158.18406763365678</v>
      </c>
      <c r="C80" s="119">
        <f t="shared" si="11"/>
        <v>167.51260371345194</v>
      </c>
      <c r="D80" s="119">
        <f t="shared" si="11"/>
        <v>177.36796129159652</v>
      </c>
      <c r="E80" s="119">
        <f t="shared" si="11"/>
        <v>187.77559918989445</v>
      </c>
      <c r="F80" s="119">
        <f t="shared" si="11"/>
        <v>210.35453211723498</v>
      </c>
      <c r="G80" s="296"/>
      <c r="H80" s="296"/>
      <c r="I80" s="296"/>
      <c r="J80" s="296"/>
      <c r="K80" s="296"/>
      <c r="L80" s="296"/>
    </row>
    <row r="81" spans="1:12" ht="13.15">
      <c r="A81" s="131">
        <v>8</v>
      </c>
      <c r="B81" s="119">
        <f t="shared" si="11"/>
        <v>158.05220331780976</v>
      </c>
      <c r="C81" s="119">
        <f t="shared" si="11"/>
        <v>168.43642532710149</v>
      </c>
      <c r="D81" s="119">
        <f t="shared" si="11"/>
        <v>179.49899663892893</v>
      </c>
      <c r="E81" s="119">
        <f t="shared" si="11"/>
        <v>191.27917029731671</v>
      </c>
      <c r="F81" s="119">
        <f t="shared" si="11"/>
        <v>217.1589640760719</v>
      </c>
      <c r="G81" s="296"/>
      <c r="H81" s="296"/>
      <c r="I81" s="296"/>
      <c r="J81" s="296"/>
      <c r="K81" s="296"/>
      <c r="L81" s="296"/>
    </row>
    <row r="82" spans="1:12" ht="13.15">
      <c r="A82" s="131">
        <f t="shared" ref="A82" si="13">A64</f>
        <v>9</v>
      </c>
      <c r="B82" s="119">
        <f t="shared" si="11"/>
        <v>155.18646665216744</v>
      </c>
      <c r="C82" s="119">
        <f t="shared" si="11"/>
        <v>166.45225680727418</v>
      </c>
      <c r="D82" s="119">
        <f t="shared" si="11"/>
        <v>178.55683552067677</v>
      </c>
      <c r="E82" s="119">
        <f t="shared" si="11"/>
        <v>191.55687516013418</v>
      </c>
      <c r="F82" s="119">
        <f t="shared" si="11"/>
        <v>220.48677187921837</v>
      </c>
      <c r="G82" s="296"/>
      <c r="H82" s="296"/>
      <c r="I82" s="296"/>
      <c r="J82" s="296"/>
      <c r="K82" s="296"/>
      <c r="L82" s="296"/>
    </row>
    <row r="83" spans="1:12" ht="13.15">
      <c r="A83" s="131">
        <f t="shared" ref="A83:A87" si="14">A65</f>
        <v>10</v>
      </c>
      <c r="B83" s="119">
        <f t="shared" si="11"/>
        <v>155.07182757426889</v>
      </c>
      <c r="C83" s="119">
        <f t="shared" si="11"/>
        <v>167.27154418613776</v>
      </c>
      <c r="D83" s="119">
        <f t="shared" si="11"/>
        <v>180.48434443476845</v>
      </c>
      <c r="E83" s="119">
        <f t="shared" si="11"/>
        <v>194.78827563099821</v>
      </c>
      <c r="F83" s="119">
        <f t="shared" si="11"/>
        <v>227.00869795840097</v>
      </c>
      <c r="G83" s="296"/>
      <c r="H83" s="296"/>
      <c r="I83" s="296"/>
      <c r="J83" s="296"/>
      <c r="K83" s="296"/>
      <c r="L83" s="296"/>
    </row>
    <row r="84" spans="1:12" ht="13.15">
      <c r="A84" s="131">
        <f t="shared" si="14"/>
        <v>15</v>
      </c>
      <c r="B84" s="119">
        <f t="shared" si="11"/>
        <v>147.439727553143</v>
      </c>
      <c r="C84" s="119">
        <f t="shared" si="11"/>
        <v>163.10237772588911</v>
      </c>
      <c r="D84" s="119">
        <f t="shared" si="11"/>
        <v>180.73286456161102</v>
      </c>
      <c r="E84" s="119">
        <f t="shared" si="11"/>
        <v>200.57672300892114</v>
      </c>
      <c r="F84" s="119">
        <f t="shared" si="11"/>
        <v>248.03467530350264</v>
      </c>
      <c r="G84" s="296"/>
      <c r="H84" s="296"/>
      <c r="I84" s="296"/>
      <c r="J84" s="296"/>
      <c r="K84" s="296"/>
      <c r="L84" s="296"/>
    </row>
    <row r="85" spans="1:12" ht="13.15">
      <c r="A85" s="132">
        <f t="shared" si="14"/>
        <v>20</v>
      </c>
      <c r="B85" s="119">
        <f t="shared" si="11"/>
        <v>143.10478782672547</v>
      </c>
      <c r="C85" s="119">
        <f t="shared" si="11"/>
        <v>161.28673183731183</v>
      </c>
      <c r="D85" s="119">
        <f t="shared" si="11"/>
        <v>182.46072250355925</v>
      </c>
      <c r="E85" s="119">
        <f t="shared" si="11"/>
        <v>207.13960557593501</v>
      </c>
      <c r="F85" s="119">
        <f t="shared" si="11"/>
        <v>269.50784287671934</v>
      </c>
      <c r="G85" s="296"/>
      <c r="H85" s="296"/>
      <c r="I85" s="296"/>
      <c r="J85" s="296"/>
      <c r="K85" s="296"/>
      <c r="L85" s="296"/>
    </row>
    <row r="86" spans="1:12" ht="13.15">
      <c r="A86" s="132">
        <f t="shared" si="14"/>
        <v>25</v>
      </c>
      <c r="B86" s="119">
        <f t="shared" si="11"/>
        <v>137.82349349780637</v>
      </c>
      <c r="C86" s="119">
        <f t="shared" si="11"/>
        <v>157.53926560090511</v>
      </c>
      <c r="D86" s="119">
        <f t="shared" si="11"/>
        <v>181.21888174118735</v>
      </c>
      <c r="E86" s="119">
        <f t="shared" si="11"/>
        <v>209.72493538779008</v>
      </c>
      <c r="F86" s="119">
        <f t="shared" si="11"/>
        <v>285.64935178797691</v>
      </c>
      <c r="G86" s="296"/>
      <c r="H86" s="296"/>
      <c r="I86" s="296"/>
      <c r="J86" s="296"/>
      <c r="K86" s="296"/>
      <c r="L86" s="296"/>
    </row>
    <row r="87" spans="1:12" ht="13.15">
      <c r="A87" s="132">
        <f t="shared" si="14"/>
        <v>30</v>
      </c>
      <c r="B87" s="119">
        <f t="shared" si="11"/>
        <v>134.83706725214469</v>
      </c>
      <c r="C87" s="119">
        <f t="shared" si="11"/>
        <v>155.7060023261117</v>
      </c>
      <c r="D87" s="119">
        <f t="shared" si="11"/>
        <v>181.44658403388101</v>
      </c>
      <c r="E87" s="119">
        <f t="shared" si="11"/>
        <v>213.33531302838611</v>
      </c>
      <c r="F87" s="119">
        <f t="shared" si="11"/>
        <v>302.47164760533963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227.00869795840097</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194.78827563099821</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180.48434443476845</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167.27154418613776</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155.07182757426889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39570</v>
      </c>
      <c r="D7" s="469"/>
      <c r="E7" s="469"/>
      <c r="F7" s="469"/>
      <c r="G7" s="469"/>
    </row>
    <row r="8" spans="2:7">
      <c r="B8" s="97" t="s">
        <v>63</v>
      </c>
      <c r="C8" s="447">
        <f>Normalized_FCF!G19</f>
        <v>28822</v>
      </c>
      <c r="D8" s="469"/>
      <c r="E8" s="469"/>
      <c r="F8" s="469"/>
      <c r="G8" s="469"/>
    </row>
    <row r="9" spans="2:7">
      <c r="B9" s="97" t="s">
        <v>54</v>
      </c>
      <c r="C9" s="447">
        <f>Normalized_FCF!C19</f>
        <v>21216.235210477949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5.2429405031766629E-2</v>
      </c>
      <c r="D12" s="469"/>
      <c r="E12" s="469"/>
      <c r="F12" s="469"/>
      <c r="G12" s="469"/>
    </row>
    <row r="13" spans="2:7">
      <c r="B13" s="135" t="s">
        <v>127</v>
      </c>
      <c r="C13" s="249">
        <f ca="1">(Normalized_FCF!G8/OFFSET(Normalized_FCF!G8, 0, $C$4))^(1/$C$4) - 1</f>
        <v>0.46870983906455255</v>
      </c>
      <c r="D13" s="469"/>
      <c r="E13" s="469"/>
      <c r="F13" s="469"/>
      <c r="G13" s="469"/>
    </row>
    <row r="14" spans="2:7">
      <c r="B14" s="97" t="s">
        <v>63</v>
      </c>
      <c r="C14" s="249">
        <f ca="1">(Normalized_FCF!G19/OFFSET(Normalized_FCF!G19, 0, $C$4))^(1/$C$4) - 1</f>
        <v>0.70910794408317734</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194.78827563099821</v>
      </c>
      <c r="F22" s="328">
        <f>1-F23-F24</f>
        <v>0.19999999999999996</v>
      </c>
      <c r="G22" s="328">
        <f>F22*(1-F$29-F$30)</f>
        <v>0.15999999999999995</v>
      </c>
    </row>
    <row r="23" spans="2:7">
      <c r="B23" s="302" t="s">
        <v>437</v>
      </c>
      <c r="C23" s="324">
        <v>0.02</v>
      </c>
      <c r="D23" s="325">
        <f>C18</f>
        <v>10</v>
      </c>
      <c r="E23" s="326">
        <f>DCF!E92</f>
        <v>180.48434443476845</v>
      </c>
      <c r="F23" s="327">
        <v>0.55000000000000004</v>
      </c>
      <c r="G23" s="328">
        <f t="shared" ref="G23:G24" si="0">F23*(1-F$29-F$30)</f>
        <v>0.44</v>
      </c>
    </row>
    <row r="24" spans="2:7">
      <c r="B24" s="302" t="s">
        <v>446</v>
      </c>
      <c r="C24" s="324">
        <v>0.01</v>
      </c>
      <c r="D24" s="325">
        <f>C18</f>
        <v>10</v>
      </c>
      <c r="E24" s="326">
        <f>DCF!E93</f>
        <v>167.27154418613776</v>
      </c>
      <c r="F24" s="327">
        <v>0.25</v>
      </c>
      <c r="G24" s="328">
        <f t="shared" si="0"/>
        <v>0.19999999999999998</v>
      </c>
    </row>
    <row r="25" spans="2:7">
      <c r="B25" s="141" t="s">
        <v>451</v>
      </c>
      <c r="C25" s="441">
        <f>E23*F23+E24*F24+E22*F22</f>
        <v>180.04193061185671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10</v>
      </c>
      <c r="E29" s="326">
        <f>DCF!E90</f>
        <v>227.00869795840097</v>
      </c>
      <c r="F29" s="327">
        <v>0.15</v>
      </c>
      <c r="G29" s="328">
        <f>F29</f>
        <v>0.15</v>
      </c>
    </row>
    <row r="30" spans="2:7">
      <c r="B30" s="315" t="s">
        <v>447</v>
      </c>
      <c r="C30" s="324">
        <v>0</v>
      </c>
      <c r="D30" s="325">
        <f>C18</f>
        <v>10</v>
      </c>
      <c r="E30" s="326">
        <f>DCF!E94</f>
        <v>155.07182757426889</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113.5</v>
      </c>
      <c r="D34" t="str">
        <f>Market_currency</f>
        <v>HKD</v>
      </c>
      <c r="E34" s="97" t="s">
        <v>454</v>
      </c>
      <c r="F34" s="330">
        <f>RATE(Holding_Period,$C$33,-C34,$C$36)</f>
        <v>0.20517568115776152</v>
      </c>
    </row>
    <row r="35" spans="2:7">
      <c r="B35" s="97" t="s">
        <v>434</v>
      </c>
      <c r="C35" s="320">
        <f>DCF!C11</f>
        <v>160.25199093749288</v>
      </c>
      <c r="D35" s="97" t="str">
        <f>Market_currency</f>
        <v>HKD</v>
      </c>
      <c r="E35" s="97" t="s">
        <v>454</v>
      </c>
      <c r="F35" s="330">
        <f>RATE(Holding_Period,$C$33,-C35,$C$36)</f>
        <v>7.1494297926842101E-2</v>
      </c>
    </row>
    <row r="36" spans="2:7">
      <c r="B36" s="97" t="s">
        <v>435</v>
      </c>
      <c r="C36" s="321">
        <f>E22*G22+E23*G23+E24*G24+E30*G30+E29*G29</f>
        <v>185.83844056195898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3.9404773307997187E-2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185.86613070383422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3.5060226386415011E-2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6.4227790321465186</v>
      </c>
      <c r="D62" s="119">
        <f>C36/(1+F62)^Holding_Period</f>
        <v>85.639834360349781</v>
      </c>
      <c r="E62" s="332">
        <f>C62+D62</f>
        <v>92.062613392496303</v>
      </c>
      <c r="F62" s="301">
        <f>Thesis!E22</f>
        <v>0.29465259038036606</v>
      </c>
      <c r="G62" s="440">
        <f>(1-E62/C36)</f>
        <v>0.50460941711463403</v>
      </c>
    </row>
    <row r="63" spans="2:7" ht="13.15">
      <c r="B63" s="302" t="s">
        <v>313</v>
      </c>
      <c r="C63" s="119">
        <f>PV(F63, Holding_Period, -C58, 0)</f>
        <v>7.3850538549144646</v>
      </c>
      <c r="D63" s="119">
        <f>C36/(1+F63)^Holding_Period</f>
        <v>107.34350357369476</v>
      </c>
      <c r="E63" s="332">
        <f>C63+D63</f>
        <v>114.72855742860922</v>
      </c>
      <c r="F63" s="301">
        <f>Thesis!E23</f>
        <v>0.20075184365903009</v>
      </c>
      <c r="G63" s="440">
        <f>(1-E63/C36)</f>
        <v>0.38264356350774231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133.20163369444774</v>
      </c>
      <c r="E66" s="332">
        <f>C66+D66</f>
        <v>141.66987066649239</v>
      </c>
      <c r="F66" s="301">
        <f>Thesis!E24</f>
        <v>0.1174</v>
      </c>
      <c r="G66" s="440">
        <f>(1-E66/C36)</f>
        <v>0.23767187112582711</v>
      </c>
    </row>
    <row r="67" spans="2:7" ht="13.15">
      <c r="B67" s="302" t="s">
        <v>314</v>
      </c>
      <c r="C67" s="119">
        <f>PV(F67, Holding_Period, -C58, 0)</f>
        <v>9.1694370473772864</v>
      </c>
      <c r="D67" s="119">
        <f>C36/(1+F67)^Holding_Period</f>
        <v>150.64115952937081</v>
      </c>
      <c r="E67" s="332">
        <f>C67+D67</f>
        <v>159.81059657674808</v>
      </c>
      <c r="F67" s="301">
        <f>Thesis!E25</f>
        <v>7.2499999999999995E-2</v>
      </c>
      <c r="G67" s="440">
        <f>(1-E67/C36)</f>
        <v>0.14005629786014673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113.5</v>
      </c>
    </row>
    <row r="9" spans="1:10">
      <c r="B9" s="351" t="s">
        <v>361</v>
      </c>
      <c r="C9" s="353">
        <f>Common_Shares</f>
        <v>3007054361.0630002</v>
      </c>
    </row>
    <row r="10" spans="1:10">
      <c r="B10" s="351" t="s">
        <v>367</v>
      </c>
      <c r="C10" s="357">
        <f>投资主题!C8*Common_Shares/1000000</f>
        <v>341300.66998065053</v>
      </c>
      <c r="D10" s="343" t="s">
        <v>529</v>
      </c>
      <c r="E10" s="360">
        <f>Scenarios!F34</f>
        <v>0.20517568115776152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1.1215249683380129</v>
      </c>
    </row>
    <row r="17" spans="1:6">
      <c r="B17" s="343" t="s">
        <v>535</v>
      </c>
      <c r="C17" s="424">
        <f>Terminal_Growth</f>
        <v>0.02</v>
      </c>
      <c r="D17" s="351" t="s">
        <v>339</v>
      </c>
      <c r="E17" s="344" t="str">
        <f>Reporting_currency</f>
        <v>CNY</v>
      </c>
    </row>
    <row r="18" spans="1:6">
      <c r="B18" s="343" t="str">
        <f>"预期股权价值 ("&amp;C7&amp;") :"</f>
        <v>预期股权价值 (HKD) :</v>
      </c>
      <c r="C18" s="359">
        <f>C125</f>
        <v>185.83844056195898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92.062613392496303</v>
      </c>
      <c r="D22" s="365" t="s">
        <v>440</v>
      </c>
      <c r="E22" s="366">
        <f>Thesis!E22</f>
        <v>0.29465259038036606</v>
      </c>
    </row>
    <row r="23" spans="1:6">
      <c r="B23" s="343" t="s">
        <v>341</v>
      </c>
      <c r="C23" s="367">
        <f>E141</f>
        <v>114.72855742860922</v>
      </c>
      <c r="D23" s="365" t="s">
        <v>441</v>
      </c>
      <c r="E23" s="368">
        <f>Thesis!E23</f>
        <v>0.20075184365903009</v>
      </c>
    </row>
    <row r="24" spans="1:6">
      <c r="B24" s="343" t="s">
        <v>343</v>
      </c>
      <c r="C24" s="367">
        <f>E144</f>
        <v>141.66987066649239</v>
      </c>
      <c r="D24" s="365" t="s">
        <v>443</v>
      </c>
      <c r="E24" s="368">
        <f>Thesis!E24</f>
        <v>0.1174</v>
      </c>
    </row>
    <row r="25" spans="1:6">
      <c r="B25" s="343" t="s">
        <v>342</v>
      </c>
      <c r="C25" s="367">
        <f>E145</f>
        <v>159.81059657674808</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38849.138260430074</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8904</v>
      </c>
      <c r="D37" s="343" t="str">
        <f>Reporting_currency</f>
        <v>CNY</v>
      </c>
    </row>
    <row r="38" spans="2:6">
      <c r="B38" s="375" t="s">
        <v>200</v>
      </c>
      <c r="C38" s="373">
        <f>Normalized_FCF!C16</f>
        <v>-8904</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565.84868687385779</v>
      </c>
      <c r="D44" s="343" t="str">
        <f>Reporting_currency</f>
        <v>CNY</v>
      </c>
      <c r="E44" s="371"/>
      <c r="F44" s="371"/>
    </row>
    <row r="45" spans="2:6">
      <c r="B45" s="372" t="s">
        <v>268</v>
      </c>
      <c r="C45" s="376">
        <f>Normalized_FCF!C45</f>
        <v>-6725.34</v>
      </c>
      <c r="D45" s="343" t="str">
        <f>Reporting_currency</f>
        <v>CNY</v>
      </c>
      <c r="E45" s="371"/>
      <c r="F45" s="371"/>
    </row>
    <row r="46" spans="2:6">
      <c r="B46" s="372" t="s">
        <v>203</v>
      </c>
      <c r="C46" s="373">
        <f>Normalized_FCF!C10</f>
        <v>-6159.4913131261419</v>
      </c>
      <c r="D46" s="343" t="str">
        <f>Reporting_currency</f>
        <v>CNY</v>
      </c>
    </row>
    <row r="48" spans="2:6">
      <c r="B48" s="343" t="s">
        <v>505</v>
      </c>
    </row>
    <row r="49" spans="2:6">
      <c r="B49" s="372" t="s">
        <v>223</v>
      </c>
      <c r="C49" s="373">
        <f>Normalized_FCF!C13</f>
        <v>-3301</v>
      </c>
      <c r="D49" s="343" t="str">
        <f>Reporting_currency</f>
        <v>CNY</v>
      </c>
    </row>
    <row r="51" spans="2:6">
      <c r="B51" s="470" t="s">
        <v>506</v>
      </c>
      <c r="C51" s="470"/>
      <c r="D51" s="470"/>
      <c r="E51" s="470"/>
      <c r="F51" s="470"/>
    </row>
    <row r="52" spans="2:6">
      <c r="B52" s="372" t="s">
        <v>496</v>
      </c>
      <c r="C52" s="373">
        <f>Normalized_FCF!C12</f>
        <v>-8172.4117368259831</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28822</v>
      </c>
      <c r="D60" s="343" t="str">
        <f>Reporting_currency</f>
        <v>CNY</v>
      </c>
    </row>
    <row r="61" spans="2:6">
      <c r="B61" s="372" t="s">
        <v>213</v>
      </c>
      <c r="C61" s="373">
        <f>Normalized_FCF!C19</f>
        <v>21216.235210477949</v>
      </c>
      <c r="D61" s="343" t="str">
        <f>Reporting_currency</f>
        <v>CNY</v>
      </c>
    </row>
    <row r="62" spans="2:6">
      <c r="B62" s="377" t="s">
        <v>302</v>
      </c>
      <c r="C62" s="378">
        <f>Normalized_FCF!C124</f>
        <v>6.9717230628442983E-2</v>
      </c>
      <c r="F62" s="379"/>
    </row>
    <row r="63" spans="2:6">
      <c r="B63" s="377" t="s">
        <v>332</v>
      </c>
      <c r="C63" s="378">
        <f>Normalized_FCF!C92</f>
        <v>3.0925110132158588E-2</v>
      </c>
      <c r="E63" s="372" t="s">
        <v>373</v>
      </c>
      <c r="F63" s="380">
        <f>Normalized_FCF!C90</f>
        <v>0.55276121761479602</v>
      </c>
    </row>
    <row r="65" spans="1:6">
      <c r="B65" s="369" t="s">
        <v>376</v>
      </c>
      <c r="C65" s="381" t="s">
        <v>327</v>
      </c>
      <c r="D65" s="381" t="s">
        <v>374</v>
      </c>
    </row>
    <row r="66" spans="1:6">
      <c r="B66" s="372" t="s">
        <v>326</v>
      </c>
      <c r="C66" s="378">
        <f>Normalized_FCF!E119</f>
        <v>0.15</v>
      </c>
      <c r="D66" s="378">
        <f>Normalized_FCF!G119</f>
        <v>0.12811576111950596</v>
      </c>
    </row>
    <row r="67" spans="1:6">
      <c r="B67" s="382" t="str">
        <f>Normalized_FCF!B116</f>
        <v>Pre-tax Profit/Sales</v>
      </c>
      <c r="C67" s="383">
        <f>Normalized_FCF!E116</f>
        <v>3.9404773307997187E-2</v>
      </c>
      <c r="D67" s="383">
        <f>Normalized_FCF!G116</f>
        <v>3.3655816827304348E-2</v>
      </c>
    </row>
    <row r="68" spans="1:6">
      <c r="B68" s="382" t="str">
        <f>Normalized_FCF!B117</f>
        <v>Sales/Total Assets</v>
      </c>
      <c r="C68" s="384">
        <f>Normalized_FCF!E117</f>
        <v>1.6240671367246462</v>
      </c>
      <c r="D68" s="384">
        <f>Normalized_FCF!G117</f>
        <v>1.6240671367246462</v>
      </c>
    </row>
    <row r="69" spans="1:6">
      <c r="B69" s="382" t="str">
        <f>Normalized_FCF!B118</f>
        <v>Total Assets/Equity</v>
      </c>
      <c r="C69" s="384">
        <f>Normalized_FCF!E118</f>
        <v>2.3438965902371725</v>
      </c>
      <c r="D69" s="384">
        <f>Normalized_FCF!G118</f>
        <v>2.3438965902371725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-112089</v>
      </c>
      <c r="D78" s="343" t="str">
        <f>Reporting_currency</f>
        <v>CNY</v>
      </c>
    </row>
    <row r="79" spans="1:6">
      <c r="B79" s="372" t="s">
        <v>234</v>
      </c>
      <c r="C79" s="387">
        <f>C78*scaling_factor*Exchange_Rate/Common_Shares</f>
        <v>-41.805234319608559</v>
      </c>
      <c r="D79" s="343" t="str">
        <f>Market_currency</f>
        <v>HKD</v>
      </c>
    </row>
    <row r="80" spans="1:6">
      <c r="B80" s="382" t="s">
        <v>309</v>
      </c>
      <c r="C80" s="388">
        <f>IF(BS!G31/BS!G27&gt;300%,"nm",BS!G31/BS!G27)</f>
        <v>0.36820511135930623</v>
      </c>
    </row>
    <row r="81" spans="1:6">
      <c r="B81" s="382" t="s">
        <v>311</v>
      </c>
      <c r="C81" s="389">
        <f>IF(BS!C50&gt;30,"nm",BS!C50)</f>
        <v>2.8852377432054559</v>
      </c>
    </row>
    <row r="83" spans="1:6">
      <c r="B83" s="343" t="s">
        <v>512</v>
      </c>
    </row>
    <row r="84" spans="1:6">
      <c r="B84" s="343" t="s">
        <v>224</v>
      </c>
      <c r="C84" s="373">
        <f>DCF!F5</f>
        <v>31026.885521023709</v>
      </c>
      <c r="D84" s="343" t="str">
        <f>Reporting_currency</f>
        <v>CNY</v>
      </c>
    </row>
    <row r="85" spans="1:6">
      <c r="B85" s="382" t="s">
        <v>481</v>
      </c>
      <c r="C85" s="390">
        <f>BS!C66</f>
        <v>125335</v>
      </c>
      <c r="D85" s="391" t="str">
        <f>Reporting_currency</f>
        <v>CNY</v>
      </c>
    </row>
    <row r="86" spans="1:6">
      <c r="B86" s="372" t="s">
        <v>235</v>
      </c>
      <c r="C86" s="387">
        <f>C84*scaling_factor*Exchange_Rate/Common_Shares</f>
        <v>11.571931406418704</v>
      </c>
      <c r="D86" s="343" t="str">
        <f>Market_currency</f>
        <v>HKD</v>
      </c>
    </row>
    <row r="88" spans="1:6">
      <c r="B88" s="343" t="s">
        <v>513</v>
      </c>
    </row>
    <row r="89" spans="1:6">
      <c r="B89" s="343" t="s">
        <v>217</v>
      </c>
      <c r="C89" s="373">
        <f>DCF!F6</f>
        <v>98531.7</v>
      </c>
      <c r="D89" s="343" t="str">
        <f>Reporting_currency</f>
        <v>CNY</v>
      </c>
    </row>
    <row r="90" spans="1:6">
      <c r="B90" s="372" t="s">
        <v>236</v>
      </c>
      <c r="C90" s="387">
        <f>C89*scaling_factor*Exchange_Rate/Common_Shares</f>
        <v>36.748840710590464</v>
      </c>
      <c r="D90" s="343" t="str">
        <f>Market_currency</f>
        <v>HKD</v>
      </c>
    </row>
    <row r="92" spans="1:6">
      <c r="B92" s="372" t="s">
        <v>480</v>
      </c>
      <c r="C92" s="387">
        <f>DCF!F8</f>
        <v>6.5155377974006097</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-64.719566840731247</v>
      </c>
      <c r="D111" s="343" t="str">
        <f>Market_currency</f>
        <v>HKD</v>
      </c>
    </row>
    <row r="112" spans="1:6">
      <c r="A112" s="385"/>
      <c r="B112" s="372" t="s">
        <v>377</v>
      </c>
      <c r="C112" s="394">
        <f>DCF!C11</f>
        <v>160.25199093749288</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10</v>
      </c>
      <c r="E118" s="398" t="str">
        <f>ROUND(DCF!E90,2)&amp;" "&amp;Market_currency</f>
        <v>227.01 HKD</v>
      </c>
      <c r="F118" s="399">
        <f>DCF!F90</f>
        <v>0.15</v>
      </c>
    </row>
    <row r="119" spans="1:6">
      <c r="A119" s="385"/>
      <c r="B119" s="400" t="str">
        <f>DCF!B91</f>
        <v>Optimistic</v>
      </c>
      <c r="C119" s="401">
        <f>DCF!C91</f>
        <v>0.03</v>
      </c>
      <c r="D119" s="402">
        <f>DCF!D91</f>
        <v>10</v>
      </c>
      <c r="E119" s="398" t="str">
        <f>ROUND(DCF!E91,2)&amp;" "&amp;Market_currency</f>
        <v>194.79 HKD</v>
      </c>
      <c r="F119" s="403">
        <f>DCF!F91</f>
        <v>0.15999999999999995</v>
      </c>
    </row>
    <row r="120" spans="1:6">
      <c r="B120" s="400" t="str">
        <f>DCF!B92</f>
        <v>Base</v>
      </c>
      <c r="C120" s="401">
        <f>DCF!C92</f>
        <v>0.02</v>
      </c>
      <c r="D120" s="402">
        <f>DCF!D92</f>
        <v>10</v>
      </c>
      <c r="E120" s="398" t="str">
        <f>ROUND(DCF!E92,2)&amp;" "&amp;Market_currency</f>
        <v>180.48 HKD</v>
      </c>
      <c r="F120" s="403">
        <f>DCF!F92</f>
        <v>0.44</v>
      </c>
    </row>
    <row r="121" spans="1:6">
      <c r="B121" s="400" t="str">
        <f>DCF!B93</f>
        <v>Pessimistic</v>
      </c>
      <c r="C121" s="401">
        <f>DCF!C93</f>
        <v>0.01</v>
      </c>
      <c r="D121" s="402">
        <f>DCF!D93</f>
        <v>10</v>
      </c>
      <c r="E121" s="398" t="str">
        <f>ROUND(DCF!E93,2)&amp;" "&amp;Market_currency</f>
        <v>167.27 HKD</v>
      </c>
      <c r="F121" s="403">
        <f>DCF!F93</f>
        <v>0.19999999999999998</v>
      </c>
    </row>
    <row r="122" spans="1:6">
      <c r="B122" s="400" t="str">
        <f>DCF!B94</f>
        <v>Devil's advocate</v>
      </c>
      <c r="C122" s="401">
        <f>DCF!C94</f>
        <v>0</v>
      </c>
      <c r="D122" s="402">
        <f>DCF!D94</f>
        <v>10</v>
      </c>
      <c r="E122" s="398" t="str">
        <f>ROUND(DCF!E94,2)&amp;" "&amp;Market_currency</f>
        <v>155.07 HKD</v>
      </c>
      <c r="F122" s="403">
        <f>DCF!F94</f>
        <v>0.05</v>
      </c>
    </row>
    <row r="124" spans="1:6">
      <c r="B124" s="470" t="s">
        <v>519</v>
      </c>
      <c r="C124" s="470"/>
      <c r="D124" s="470"/>
      <c r="E124" s="470"/>
      <c r="F124" s="470"/>
    </row>
    <row r="125" spans="1:6">
      <c r="B125" s="372" t="s">
        <v>218</v>
      </c>
      <c r="C125" s="404">
        <f>Scenarios!C36</f>
        <v>185.83844056195898</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6.4227790321465186</v>
      </c>
      <c r="D140" s="409">
        <f>Scenarios!D62</f>
        <v>85.639834360349781</v>
      </c>
      <c r="E140" s="410">
        <f>Scenarios!E62</f>
        <v>92.062613392496303</v>
      </c>
      <c r="F140" s="411">
        <f>E22</f>
        <v>0.29465259038036606</v>
      </c>
    </row>
    <row r="141" spans="1:6">
      <c r="B141" s="408" t="s">
        <v>313</v>
      </c>
      <c r="C141" s="409">
        <f>Scenarios!C63</f>
        <v>7.3850538549144646</v>
      </c>
      <c r="D141" s="409">
        <f>Scenarios!D63</f>
        <v>107.34350357369476</v>
      </c>
      <c r="E141" s="410">
        <f>Scenarios!E63</f>
        <v>114.72855742860922</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133.20163369444774</v>
      </c>
      <c r="E144" s="410">
        <f>Scenarios!E66</f>
        <v>141.66987066649239</v>
      </c>
      <c r="F144" s="411">
        <f>E24</f>
        <v>0.1174</v>
      </c>
    </row>
    <row r="145" spans="1:6">
      <c r="B145" s="408" t="s">
        <v>314</v>
      </c>
      <c r="C145" s="409">
        <f>Scenarios!C67</f>
        <v>9.1694370473772864</v>
      </c>
      <c r="D145" s="409">
        <f>Scenarios!D67</f>
        <v>150.64115952937081</v>
      </c>
      <c r="E145" s="410">
        <f>Scenarios!E67</f>
        <v>159.81059657674808</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2026-01-27T08:36:14Z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