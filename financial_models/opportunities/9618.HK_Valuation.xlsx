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25EF62-6C5F-42AD-B893-DC1BE9D9B79F}"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<sst xmlns="http://schemas.openxmlformats.org/spreadsheetml/2006/main" count="768" uniqueCount="559">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</sst>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181" fontId="7" fillId="0" borderId="1" xfId="0" quotePrefix="1" applyNumberFormat="1" applyFont="1" applyBorder="1" applyAlignment="1">
      <alignment horizontal="right"/>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3" sqref="B33:F3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113.5</v>
      </c>
      <c r="E8" s="32"/>
    </row>
    <row r="9" spans="1:9">
      <c r="B9" s="4" t="s">
        <v>346</v>
      </c>
      <c r="C9" s="48">
        <f>2865069999*(1-0.063)+322483772</f>
        <v>3007054361.0630002</v>
      </c>
    </row>
    <row r="10" spans="1:9">
      <c r="B10" s="4" t="s">
        <v>352</v>
      </c>
      <c r="C10" s="33">
        <f>Thesis!C8*Common_Shares/1000000</f>
        <v>341300.66998065053</v>
      </c>
      <c r="D10" s="1" t="s">
        <v>528</v>
      </c>
      <c r="E10" s="303">
        <f>Scenarios!F34</f>
        <v>0.20517568115776152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1.1215249683380129</v>
      </c>
    </row>
    <row r="17" spans="1:6">
      <c r="B17" s="1" t="s">
        <v>532</v>
      </c>
      <c r="C17" s="456">
        <v>0.02</v>
      </c>
      <c r="D17" s="4" t="s">
        <v>274</v>
      </c>
      <c r="E17" s="224" t="s">
        <v>558</v>
      </c>
    </row>
    <row r="18" spans="1:6">
      <c r="B18" s="1" t="str">
        <f>"Expected Equity Value ("&amp;C7&amp;") :"</f>
        <v>Expected Equity Value (HKD) :</v>
      </c>
      <c r="C18" s="252">
        <f>C125</f>
        <v>185.83844056195898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92.062613392496303</v>
      </c>
      <c r="D22" s="38" t="s">
        <v>406</v>
      </c>
      <c r="E22" s="79">
        <v>0.29465259038036606</v>
      </c>
    </row>
    <row r="23" spans="1:6">
      <c r="B23" s="1" t="s">
        <v>313</v>
      </c>
      <c r="C23" s="256">
        <f>E141</f>
        <v>114.72855742860922</v>
      </c>
      <c r="D23" s="38" t="s">
        <v>407</v>
      </c>
      <c r="E23" s="443">
        <v>0.20075184365903009</v>
      </c>
    </row>
    <row r="24" spans="1:6">
      <c r="B24" s="1" t="s">
        <v>315</v>
      </c>
      <c r="C24" s="256">
        <f>E144</f>
        <v>141.66987066649239</v>
      </c>
      <c r="D24" s="38" t="s">
        <v>408</v>
      </c>
      <c r="E24" s="443">
        <v>0.1174</v>
      </c>
    </row>
    <row r="25" spans="1:6">
      <c r="B25" s="1" t="s">
        <v>314</v>
      </c>
      <c r="C25" s="256">
        <f>E145</f>
        <v>159.81059657674808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38849.138260430074</v>
      </c>
      <c r="D34" s="1" t="str">
        <f>Reporting_currency</f>
        <v>CNY</v>
      </c>
    </row>
    <row r="35" spans="2:6">
      <c r="B35" s="44"/>
      <c r="C35" s="73"/>
    </row>
    <row r="36" spans="2:6" ht="24.5" customHeight="1">
      <c r="B36" s="463" t="s">
        <v>198</v>
      </c>
      <c r="C36" s="463"/>
      <c r="D36" s="463"/>
      <c r="E36" s="463"/>
      <c r="F36" s="463"/>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565.84868687385779</v>
      </c>
      <c r="D44" s="1" t="str">
        <f>Reporting_currency</f>
        <v>CNY</v>
      </c>
      <c r="E44" s="244"/>
      <c r="F44" s="244"/>
    </row>
    <row r="45" spans="2:6">
      <c r="B45" s="44" t="s">
        <v>268</v>
      </c>
      <c r="C45" s="286">
        <f>Normalized_FCF!C45</f>
        <v>-6725.34</v>
      </c>
      <c r="D45" s="1" t="str">
        <f>Reporting_currency</f>
        <v>CNY</v>
      </c>
      <c r="E45" s="244"/>
      <c r="F45" s="244"/>
    </row>
    <row r="46" spans="2:6">
      <c r="B46" s="44" t="s">
        <v>203</v>
      </c>
      <c r="C46" s="285">
        <f>Normalized_FCF!C10</f>
        <v>-6159.4913131261419</v>
      </c>
      <c r="D46" s="1" t="str">
        <f>Reporting_currency</f>
        <v>CNY</v>
      </c>
    </row>
    <row r="48" spans="2:6">
      <c r="B48" s="1" t="s">
        <v>211</v>
      </c>
    </row>
    <row r="49" spans="2:6">
      <c r="B49" s="44" t="s">
        <v>223</v>
      </c>
      <c r="C49" s="285">
        <f>Normalized_FCF!C13</f>
        <v>-3301</v>
      </c>
      <c r="D49" s="1" t="str">
        <f>Reporting_currency</f>
        <v>CNY</v>
      </c>
    </row>
    <row r="51" spans="2:6">
      <c r="B51" s="463" t="s">
        <v>206</v>
      </c>
      <c r="C51" s="463"/>
      <c r="D51" s="463"/>
      <c r="E51" s="463"/>
      <c r="F51" s="463"/>
    </row>
    <row r="52" spans="2:6">
      <c r="B52" s="44" t="s">
        <v>204</v>
      </c>
      <c r="C52" s="285">
        <f>Normalized_FCF!C12</f>
        <v>-8172.4117368259831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28822</v>
      </c>
      <c r="D60" s="1" t="str">
        <f>Reporting_currency</f>
        <v>CNY</v>
      </c>
    </row>
    <row r="61" spans="2:6">
      <c r="B61" s="44" t="s">
        <v>213</v>
      </c>
      <c r="C61" s="285">
        <f>Normalized_FCF!C19</f>
        <v>21216.235210477949</v>
      </c>
      <c r="D61" s="1" t="str">
        <f>Reporting_currency</f>
        <v>CNY</v>
      </c>
    </row>
    <row r="62" spans="2:6">
      <c r="B62" s="204" t="s">
        <v>302</v>
      </c>
      <c r="C62" s="89">
        <f>Normalized_FCF!C124</f>
        <v>6.9717230628442983E-2</v>
      </c>
      <c r="F62" s="257"/>
    </row>
    <row r="63" spans="2:6">
      <c r="B63" s="204" t="s">
        <v>332</v>
      </c>
      <c r="C63" s="89">
        <f>Normalized_FCF!C92</f>
        <v>3.0925110132158588E-2</v>
      </c>
      <c r="E63" s="44" t="s">
        <v>322</v>
      </c>
      <c r="F63" s="258">
        <f>Normalized_FCF!C90</f>
        <v>0.55276121761479602</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-112089</v>
      </c>
      <c r="D78" s="1" t="str">
        <f>Reporting_currency</f>
        <v>CNY</v>
      </c>
    </row>
    <row r="79" spans="1:6">
      <c r="A79" s="191"/>
      <c r="B79" s="44" t="s">
        <v>234</v>
      </c>
      <c r="C79" s="201">
        <f>C78*scaling_factor*Exchange_Rate/Common_Shares</f>
        <v>-41.805234319608559</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11.571931406418704</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36.748840710590464</v>
      </c>
      <c r="D90" s="1" t="str">
        <f>Market_currency</f>
        <v>HKD</v>
      </c>
    </row>
    <row r="91" spans="1:6">
      <c r="A91" s="191"/>
    </row>
    <row r="92" spans="1:6">
      <c r="A92" s="191"/>
      <c r="B92" s="44" t="s">
        <v>469</v>
      </c>
      <c r="C92" s="216">
        <f>DCF!F8</f>
        <v>6.5155377974006097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-64.719566840731247</v>
      </c>
      <c r="D111" s="1" t="str">
        <f>Market_currency</f>
        <v>HKD</v>
      </c>
    </row>
    <row r="112" spans="2:6">
      <c r="B112" s="44" t="s">
        <v>323</v>
      </c>
      <c r="C112" s="216">
        <f>DCF!C11</f>
        <v>160.25199093749288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227.01 HKD</v>
      </c>
      <c r="E118" s="208">
        <f>DCF!F90</f>
        <v>0.15</v>
      </c>
      <c r="F118" s="208">
        <f>RATE(Holding_Period,Scenarios!C$58,-DCF!E90,C$18)</f>
        <v>-4.7987375660487559E-2</v>
      </c>
    </row>
    <row r="119" spans="2:6">
      <c r="B119" s="205" t="str">
        <f>DCF!B91&amp;" ("&amp;DCF!D91&amp;"yrs)"</f>
        <v>Optimistic (10yrs)</v>
      </c>
      <c r="C119" s="198">
        <f>DCF!C91</f>
        <v>0.03</v>
      </c>
      <c r="D119" s="207" t="str">
        <f>ROUND(DCF!E91,2)&amp;" "&amp;Market_currency</f>
        <v>194.79 HKD</v>
      </c>
      <c r="E119" s="199">
        <f>DCF!F91</f>
        <v>0.15999999999999995</v>
      </c>
      <c r="F119" s="208">
        <f>RATE(Holding_Period,Scenarios!C$58,-DCF!E91,C$18)</f>
        <v>2.7460528879222597E-3</v>
      </c>
    </row>
    <row r="120" spans="2:6">
      <c r="B120" s="205" t="str">
        <f>DCF!B92&amp;" ("&amp;DCF!D92&amp;"yrs)"</f>
        <v>Base (10yrs)</v>
      </c>
      <c r="C120" s="198">
        <f>DCF!C92</f>
        <v>0.02</v>
      </c>
      <c r="D120" s="207" t="str">
        <f>ROUND(DCF!E92,2)&amp;" "&amp;Market_currency</f>
        <v>180.48 HKD</v>
      </c>
      <c r="E120" s="199">
        <f>DCF!F92</f>
        <v>0.44</v>
      </c>
      <c r="F120" s="208">
        <f>RATE(Holding_Period,Scenarios!C$58,-DCF!E92,C$18)</f>
        <v>2.9054240566849038E-2</v>
      </c>
    </row>
    <row r="121" spans="2:6">
      <c r="B121" s="205" t="str">
        <f>DCF!B93&amp;" ("&amp;DCF!D93&amp;"yrs)"</f>
        <v>Pessimistic (10yrs)</v>
      </c>
      <c r="C121" s="198">
        <f>DCF!C93</f>
        <v>0.01</v>
      </c>
      <c r="D121" s="207" t="str">
        <f>ROUND(DCF!E93,2)&amp;" "&amp;Market_currency</f>
        <v>167.27 HKD</v>
      </c>
      <c r="E121" s="199">
        <f>DCF!F93</f>
        <v>0.19999999999999998</v>
      </c>
      <c r="F121" s="208">
        <f>RATE(Holding_Period,Scenarios!C$58,-DCF!E93,C$18)</f>
        <v>5.5987055893302717E-2</v>
      </c>
    </row>
    <row r="122" spans="2:6">
      <c r="B122" s="205" t="str">
        <f>DCF!B94&amp;" ("&amp;DCF!D94&amp;"yrs)"</f>
        <v>Devil's advocate (10yrs)</v>
      </c>
      <c r="C122" s="198">
        <f>DCF!C94</f>
        <v>0</v>
      </c>
      <c r="D122" s="207" t="str">
        <f>ROUND(DCF!E94,2)&amp;" "&amp;Market_currency</f>
        <v>155.07 HKD</v>
      </c>
      <c r="E122" s="199">
        <f>DCF!F94</f>
        <v>0.05</v>
      </c>
      <c r="F122" s="208">
        <f>RATE(Holding_Period,Scenarios!C$58,-DCF!E94,C$18)</f>
        <v>8.3539190408932193E-2</v>
      </c>
    </row>
    <row r="124" spans="2:6">
      <c r="B124" s="463" t="s">
        <v>357</v>
      </c>
      <c r="C124" s="463"/>
      <c r="D124" s="463"/>
      <c r="E124" s="463"/>
      <c r="F124" s="463"/>
    </row>
    <row r="125" spans="2:6">
      <c r="B125" s="193" t="s">
        <v>218</v>
      </c>
      <c r="C125" s="197">
        <f>Scenarios!C36</f>
        <v>185.83844056195898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85.639834360349781</v>
      </c>
      <c r="E140" s="334">
        <f>Scenarios!E62</f>
        <v>92.062613392496303</v>
      </c>
      <c r="F140" s="335">
        <f>E22</f>
        <v>0.29465259038036606</v>
      </c>
    </row>
    <row r="141" spans="1:6">
      <c r="B141" s="336" t="s">
        <v>313</v>
      </c>
      <c r="C141" s="333">
        <f>Scenarios!C63</f>
        <v>7.3850538549144646</v>
      </c>
      <c r="D141" s="333">
        <f>Scenarios!D63</f>
        <v>107.34350357369476</v>
      </c>
      <c r="E141" s="334">
        <f>Scenarios!E63</f>
        <v>114.72855742860922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133.20163369444774</v>
      </c>
      <c r="E144" s="334">
        <f>Scenarios!E66</f>
        <v>141.66987066649239</v>
      </c>
      <c r="F144" s="335">
        <f>E24</f>
        <v>0.1174</v>
      </c>
    </row>
    <row r="145" spans="1:6">
      <c r="B145" s="336" t="s">
        <v>314</v>
      </c>
      <c r="C145" s="333">
        <f>Scenarios!C67</f>
        <v>9.1694370473772864</v>
      </c>
      <c r="D145" s="333">
        <f>Scenarios!D67</f>
        <v>150.64115952937081</v>
      </c>
      <c r="E145" s="334">
        <f>Scenarios!E67</f>
        <v>159.81059657674808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78">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86.502809476842259</v>
      </c>
      <c r="D47" s="134">
        <f>D46*H1/Common_Shares*Exchange_Rate</f>
        <v>-64.719566840731247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-125710.61217603952</v>
      </c>
      <c r="D86" s="201">
        <f>C86*scaling_factor/Common_Shares</f>
        <v>-41.805234319608559</v>
      </c>
      <c r="E86" s="214" t="str">
        <f>Market_currency</f>
        <v>HKD</v>
      </c>
    </row>
    <row r="87" spans="2:8" ht="15" customHeight="1">
      <c r="B87" s="212" t="s">
        <v>240</v>
      </c>
      <c r="C87" s="73">
        <f>DCF!F5*Exchange_Rate</f>
        <v>34797.426801593261</v>
      </c>
      <c r="D87" s="201">
        <f>C87*scaling_factor/Common_Shares</f>
        <v>11.571931406418704</v>
      </c>
      <c r="E87" s="214" t="str">
        <f>Market_currency</f>
        <v>HKD</v>
      </c>
    </row>
    <row r="88" spans="2:8" ht="15" customHeight="1">
      <c r="B88" s="213" t="s">
        <v>159</v>
      </c>
      <c r="C88" s="73">
        <f>DCF!F6*Exchange_Rate</f>
        <v>110505.76172279057</v>
      </c>
      <c r="D88" s="201">
        <f>C88*scaling_factor/Common_Shares</f>
        <v>36.748840710590464</v>
      </c>
      <c r="E88" s="214" t="str">
        <f>Market_currency</f>
        <v>HKD</v>
      </c>
    </row>
    <row r="89" spans="2:8" ht="15" customHeight="1">
      <c r="B89" s="77" t="s">
        <v>244</v>
      </c>
      <c r="C89" s="162">
        <f>SUM(C86:C88)</f>
        <v>19592.576348344315</v>
      </c>
      <c r="D89" s="216">
        <f>SUM(D86:D88)</f>
        <v>6.5155377974006115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59" sqref="G5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-6159.4913131261419</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32689.646947303932</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-8172.4117368259831</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21216.235210477949</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21216.235210477949</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-6725.34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-6159.4913131261419</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5.7765314854609686</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5.3153178478486645E-3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2.8209450265575496E-2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7.052362566393874E-3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1.8308497884896562E-2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1.8308497884896562E-2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0.55276121761479602</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3.0925110132158588E-2</v>
      </c>
      <c r="E92" s="237"/>
      <c r="G92" s="22">
        <f t="shared" ref="G92:Q92" si="38">IF(G$4="","",(G88*(1-dividend_tax_rate))/Market_Price)</f>
        <v>3.0925110132158588E-2</v>
      </c>
      <c r="H92" s="22">
        <f t="shared" si="38"/>
        <v>2.3503083700440529E-2</v>
      </c>
      <c r="I92" s="22">
        <f t="shared" si="38"/>
        <v>1.9173568281938329E-2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-0.16182541608410217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2.8209450265575496E-2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0.10738337476941046</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7.9129056763282781</v>
      </c>
      <c r="D123" s="26"/>
      <c r="E123" s="234"/>
      <c r="F123" s="26"/>
      <c r="G123" s="159">
        <f t="shared" ref="G123:Q123" si="48">IF(G$4="","",G14*$C$3/Common_Shares*Exchange_Rate)</f>
        <v>10.749587056354843</v>
      </c>
      <c r="H123" s="159">
        <f t="shared" si="48"/>
        <v>6.9542988082989519</v>
      </c>
      <c r="I123" s="159">
        <f t="shared" si="48"/>
        <v>3.6800421721273064</v>
      </c>
      <c r="J123" s="159">
        <f t="shared" si="48"/>
        <v>4.6993545524276946E-2</v>
      </c>
      <c r="K123" s="159">
        <f t="shared" si="48"/>
        <v>4.6165564007896833</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6.9717230628442983E-2</v>
      </c>
      <c r="D124" s="26"/>
      <c r="E124" s="234"/>
      <c r="F124" s="26"/>
      <c r="G124" s="74">
        <f t="shared" ref="G124" si="49">IF(G$4="","",G123/Market_Price)</f>
        <v>9.4710018117663816E-2</v>
      </c>
      <c r="H124" s="74">
        <f t="shared" ref="H124" si="50">IF(H$4="","",H123/Market_Price)</f>
        <v>6.1271355139197813E-2</v>
      </c>
      <c r="I124" s="74">
        <f t="shared" ref="I124" si="51">IF(I$4="","",I123/Market_Price)</f>
        <v>3.2423279049579791E-2</v>
      </c>
      <c r="J124" s="74">
        <f t="shared" ref="J124" si="52">IF(J$4="","",J123/Market_Price)</f>
        <v>4.1404004867204357E-4</v>
      </c>
      <c r="K124" s="74">
        <f t="shared" ref="K124" si="53">IF(K$4="","",K123/Market_Price)</f>
        <v>4.0674505733829809E-2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0.13085236545985077</v>
      </c>
      <c r="H125" s="22">
        <f>IF(H$4="","",(Data!D47*$C$3)/(Market_Price*Common_Shares))</f>
        <v>6.8142262953420268E-2</v>
      </c>
      <c r="I125" s="22">
        <f>IF(I$4="","",(Data!E47*$C$3)/(Market_Price*Common_Shares))</f>
        <v>2.8394318711854317E-2</v>
      </c>
      <c r="J125" s="22">
        <f>IF(J$4="","",(Data!F47*$C$3)/(Market_Price*Common_Shares))</f>
        <v>-1.3088166513863712E-2</v>
      </c>
      <c r="K125" s="22">
        <f>IF(K$4="","",(Data!G47*$C$3)/(Market_Price*Common_Shares))</f>
        <v>0.14455582522822788</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5"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21216.235210477949</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412201.1412321431</v>
      </c>
      <c r="D6" t="str">
        <f>Reporting_currency</f>
        <v>CNY</v>
      </c>
      <c r="E6" s="187" t="s">
        <v>433</v>
      </c>
      <c r="F6" s="284">
        <f>BS!H42</f>
        <v>98531.7</v>
      </c>
      <c r="G6" t="str">
        <f>Reporting_currency</f>
        <v>CNY</v>
      </c>
      <c r="H6" s="308" t="s">
        <v>416</v>
      </c>
      <c r="I6" s="305">
        <f>I7+I8</f>
        <v>-6159.4913131261419</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429670.72675316682</v>
      </c>
      <c r="D8" t="str">
        <f>Reporting_currency</f>
        <v>CNY</v>
      </c>
      <c r="E8" s="140" t="s">
        <v>464</v>
      </c>
      <c r="F8" s="108">
        <f>FV_adjustments*scaling_factor/Common_Shares*Exchange_Rate</f>
        <v>6.5155377974006097</v>
      </c>
      <c r="G8" s="294" t="str">
        <f>Market_currency</f>
        <v>HKD</v>
      </c>
      <c r="H8" s="314" t="str">
        <f>Normalized_FCF!B10</f>
        <v>Net Interest Income</v>
      </c>
      <c r="I8" s="313">
        <f>Normalized_FCF!C10</f>
        <v>-6159.4913131261419</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481886.44821761636</v>
      </c>
      <c r="D10" t="str">
        <f>Market_currency</f>
        <v>HKD</v>
      </c>
      <c r="H10" s="308" t="s">
        <v>397</v>
      </c>
      <c r="I10" s="306">
        <f>Normalized_FCF!C41</f>
        <v>0.25</v>
      </c>
      <c r="N10" s="304"/>
      <c r="O10" s="304"/>
    </row>
    <row r="11" spans="2:15" ht="13.15">
      <c r="B11" s="136" t="s">
        <v>425</v>
      </c>
      <c r="C11" s="108">
        <f>(C10*scaling_factor)/Common_Shares</f>
        <v>160.25199093749288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2.8209450265575496E-2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185.86613070383422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2.8209450265575496E-2</v>
      </c>
      <c r="F21" s="277">
        <f>C21*E21</f>
        <v>33469.488456468323</v>
      </c>
      <c r="G21" s="299">
        <f t="shared" ref="G21:G50" si="2">IF(A21="",0%,IF(A21="I",$C$18,$F$18))</f>
        <v>0</v>
      </c>
      <c r="H21" s="277">
        <f>(F21*(1-$I$10)+C21*(G21-$I$9))</f>
        <v>21722.367959846488</v>
      </c>
      <c r="I21" s="299">
        <f>H21/C4-1</f>
        <v>2.3855917147759476E-2</v>
      </c>
      <c r="J21" s="299">
        <f>H21/C21</f>
        <v>1.8308497884896562E-2</v>
      </c>
      <c r="K21" s="119">
        <f t="shared" ref="K21:K50" si="3">IF($C$15&lt;B21,0,1/(1+Equity_Cost)^B21)</f>
        <v>0.93240093240093236</v>
      </c>
      <c r="L21" s="277">
        <f t="shared" ref="L21:L51" si="4">H21*K21</f>
        <v>20253.956139717004</v>
      </c>
    </row>
    <row r="22" spans="1:21">
      <c r="A22" s="302" t="str">
        <f t="shared" si="0"/>
        <v>I</v>
      </c>
      <c r="B22" s="117">
        <v>2</v>
      </c>
      <c r="C22" s="277">
        <f t="shared" ref="C22:C50" si="5">IF(A22="",0,C21*(1+D22))</f>
        <v>1214767.8695419847</v>
      </c>
      <c r="D22" s="299">
        <f t="shared" si="1"/>
        <v>2.38559171477595E-2</v>
      </c>
      <c r="E22" s="299">
        <f t="shared" ref="E22:E50" si="6">IF($C$15&lt;B22,0,IF(B22&gt;=$F$15,$F$17,$C$17))</f>
        <v>2.8209450265575496E-2</v>
      </c>
      <c r="F22" s="277">
        <f t="shared" ref="F22:F50" si="7">IF(A22="", 0,C22*E22)</f>
        <v>34267.933800063722</v>
      </c>
      <c r="G22" s="299">
        <f t="shared" si="2"/>
        <v>0</v>
      </c>
      <c r="H22" s="277">
        <f t="shared" ref="H22:H50" si="8">IF(A22="", 0,F22*(1-$I$10)+C22*(G22-$I$9))</f>
        <v>22240.57497014973</v>
      </c>
      <c r="I22" s="299">
        <f t="shared" ref="I22:I50" si="9">IF(A22="", 0,H22/H21-1)</f>
        <v>2.3855917147759476E-2</v>
      </c>
      <c r="J22" s="299">
        <f>IF(A22="", 0,H22/C22)</f>
        <v>1.8308497884896562E-2</v>
      </c>
      <c r="K22" s="119">
        <f t="shared" si="3"/>
        <v>0.86937149874212816</v>
      </c>
      <c r="L22" s="277">
        <f t="shared" si="4"/>
        <v>19335.321994685732</v>
      </c>
    </row>
    <row r="23" spans="1:21">
      <c r="A23" s="302" t="str">
        <f t="shared" si="0"/>
        <v>I</v>
      </c>
      <c r="B23" s="117">
        <v>3</v>
      </c>
      <c r="C23" s="277">
        <f t="shared" si="5"/>
        <v>1243747.2711915385</v>
      </c>
      <c r="D23" s="299">
        <f t="shared" si="1"/>
        <v>2.38559171477595E-2</v>
      </c>
      <c r="E23" s="299">
        <f t="shared" si="6"/>
        <v>2.8209450265575496E-2</v>
      </c>
      <c r="F23" s="277">
        <f t="shared" si="7"/>
        <v>35085.426789622943</v>
      </c>
      <c r="G23" s="299">
        <f t="shared" si="2"/>
        <v>0</v>
      </c>
      <c r="H23" s="277">
        <f t="shared" si="8"/>
        <v>22771.14428395615</v>
      </c>
      <c r="I23" s="299">
        <f t="shared" si="9"/>
        <v>2.3855917147759254E-2</v>
      </c>
      <c r="J23" s="299">
        <f t="shared" ref="J23:J50" si="10">IF(A23="", 0,H23/C23)</f>
        <v>1.8308497884896559E-2</v>
      </c>
      <c r="K23" s="119">
        <f t="shared" si="3"/>
        <v>0.81060279602995633</v>
      </c>
      <c r="L23" s="277">
        <f t="shared" si="4"/>
        <v>18458.353225376413</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2.8209450265575496E-2</v>
      </c>
      <c r="F24" s="277">
        <f t="shared" si="7"/>
        <v>35922.421824209967</v>
      </c>
      <c r="G24" s="299">
        <f t="shared" si="2"/>
        <v>0</v>
      </c>
      <c r="H24" s="277">
        <f t="shared" si="8"/>
        <v>23314.370815353883</v>
      </c>
      <c r="I24" s="299">
        <f t="shared" si="9"/>
        <v>2.3855917147759476E-2</v>
      </c>
      <c r="J24" s="299">
        <f t="shared" si="10"/>
        <v>1.8308497884896559E-2</v>
      </c>
      <c r="K24" s="119">
        <f t="shared" si="3"/>
        <v>0.75580680282513402</v>
      </c>
      <c r="L24" s="277">
        <f t="shared" si="4"/>
        <v>17621.160065832231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0.49340827256600162</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8" t="s">
        <v>420</v>
      </c>
      <c r="K52" s="468"/>
      <c r="L52" s="317">
        <f>SUM(L21:L51)</f>
        <v>480878.26645334472</v>
      </c>
    </row>
    <row r="53" spans="1:21">
      <c r="C53" s="111"/>
    </row>
    <row r="54" spans="1:21" ht="13.15">
      <c r="B54" s="115" t="s">
        <v>108</v>
      </c>
      <c r="C54" s="128"/>
      <c r="D54" s="128"/>
      <c r="E54" s="113"/>
      <c r="F54" s="113"/>
      <c r="G54" s="113"/>
      <c r="H54" s="113"/>
      <c r="I54" s="113"/>
      <c r="J54" s="113"/>
      <c r="K54" s="113"/>
      <c r="L54" s="113"/>
    </row>
    <row r="55" spans="1:21" ht="13.15">
      <c r="A55" s="125">
        <f>L52</f>
        <v>480878.26645334472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425732.36302881944</v>
      </c>
      <c r="C56" s="118">
        <v>429989.68665910763</v>
      </c>
      <c r="D56" s="118">
        <v>434247.01028939598</v>
      </c>
      <c r="E56" s="118">
        <v>438504.33391968417</v>
      </c>
      <c r="F56" s="118">
        <v>447018.98118026054</v>
      </c>
      <c r="G56" s="295"/>
      <c r="H56" s="295"/>
      <c r="I56" s="295"/>
      <c r="J56" s="295"/>
      <c r="K56" s="295"/>
      <c r="L56" s="295"/>
    </row>
    <row r="57" spans="1:21" ht="13.15">
      <c r="A57" s="131">
        <v>2</v>
      </c>
      <c r="B57" s="118">
        <v>425194.28727396054</v>
      </c>
      <c r="C57" s="118">
        <v>433540.89386949519</v>
      </c>
      <c r="D57" s="118">
        <v>441968.58291498595</v>
      </c>
      <c r="E57" s="118">
        <v>450477.35441043309</v>
      </c>
      <c r="F57" s="118">
        <v>467738.14475119644</v>
      </c>
      <c r="G57" s="295"/>
      <c r="H57" s="295"/>
      <c r="I57" s="295"/>
      <c r="J57" s="295"/>
      <c r="K57" s="295"/>
      <c r="L57" s="295"/>
    </row>
    <row r="58" spans="1:21" ht="13.15">
      <c r="A58" s="131">
        <v>3</v>
      </c>
      <c r="B58" s="118">
        <v>424692.58493842767</v>
      </c>
      <c r="C58" s="118">
        <v>436885.15427275037</v>
      </c>
      <c r="D58" s="118">
        <v>449312.17646100163</v>
      </c>
      <c r="E58" s="118">
        <v>461975.91954373999</v>
      </c>
      <c r="F58" s="118">
        <v>488022.64055490994</v>
      </c>
      <c r="G58" s="295"/>
      <c r="H58" s="295"/>
      <c r="I58" s="295"/>
      <c r="J58" s="295"/>
      <c r="K58" s="295"/>
      <c r="L58" s="295"/>
    </row>
    <row r="59" spans="1:21" ht="13.15">
      <c r="A59" s="131">
        <v>4</v>
      </c>
      <c r="B59" s="118">
        <v>424224.79721298913</v>
      </c>
      <c r="C59" s="118">
        <v>440034.52770611882</v>
      </c>
      <c r="D59" s="118">
        <v>456296.29339986964</v>
      </c>
      <c r="E59" s="118">
        <v>473018.83058085479</v>
      </c>
      <c r="F59" s="118">
        <v>507881.58749560849</v>
      </c>
      <c r="G59" s="295"/>
      <c r="H59" s="295"/>
      <c r="I59" s="295"/>
      <c r="J59" s="295"/>
      <c r="K59" s="295"/>
      <c r="L59" s="295"/>
    </row>
    <row r="60" spans="1:21" ht="13.15">
      <c r="A60" s="131">
        <v>5</v>
      </c>
      <c r="B60" s="118">
        <v>415329.63396127464</v>
      </c>
      <c r="C60" s="118">
        <v>434371.34782821708</v>
      </c>
      <c r="D60" s="118">
        <v>454137.78944760328</v>
      </c>
      <c r="E60" s="118">
        <v>474649.99325414718</v>
      </c>
      <c r="F60" s="118">
        <v>517997.86838358123</v>
      </c>
      <c r="G60" s="295"/>
      <c r="H60" s="295"/>
      <c r="I60" s="295"/>
      <c r="J60" s="295"/>
      <c r="K60" s="295"/>
      <c r="L60" s="295"/>
    </row>
    <row r="61" spans="1:21" ht="13.15">
      <c r="A61" s="131">
        <v>6</v>
      </c>
      <c r="B61" s="118">
        <v>414922.95264531695</v>
      </c>
      <c r="C61" s="118">
        <v>437164.35663767077</v>
      </c>
      <c r="D61" s="118">
        <v>460454.88206344284</v>
      </c>
      <c r="E61" s="118">
        <v>484835.04925299564</v>
      </c>
      <c r="F61" s="118">
        <v>537032.3131015473</v>
      </c>
      <c r="G61" s="295"/>
      <c r="H61" s="295"/>
      <c r="I61" s="295"/>
      <c r="J61" s="295"/>
      <c r="K61" s="295"/>
      <c r="L61" s="295"/>
    </row>
    <row r="62" spans="1:21" ht="13.15">
      <c r="A62" s="131">
        <v>7</v>
      </c>
      <c r="B62" s="118">
        <v>406656.58541332866</v>
      </c>
      <c r="C62" s="118">
        <v>431668.43614604214</v>
      </c>
      <c r="D62" s="118">
        <v>458092.81083393865</v>
      </c>
      <c r="E62" s="118">
        <v>485997.97016072512</v>
      </c>
      <c r="F62" s="118">
        <v>546537.04030547943</v>
      </c>
      <c r="G62" s="295"/>
      <c r="H62" s="295"/>
      <c r="I62" s="295"/>
      <c r="J62" s="295"/>
      <c r="K62" s="295"/>
      <c r="L62" s="295"/>
    </row>
    <row r="63" spans="1:21" ht="13.15">
      <c r="A63" s="131">
        <v>8</v>
      </c>
      <c r="B63" s="118">
        <v>406303.02826816408</v>
      </c>
      <c r="C63" s="118">
        <v>434145.40446203586</v>
      </c>
      <c r="D63" s="118">
        <v>463806.58388017898</v>
      </c>
      <c r="E63" s="118">
        <v>495391.81254078454</v>
      </c>
      <c r="F63" s="118">
        <v>564781.21442021057</v>
      </c>
      <c r="G63" s="295"/>
      <c r="H63" s="295"/>
      <c r="I63" s="295"/>
      <c r="J63" s="295"/>
      <c r="K63" s="295"/>
      <c r="L63" s="295"/>
    </row>
    <row r="64" spans="1:21" ht="13.15">
      <c r="A64" s="131">
        <v>9</v>
      </c>
      <c r="B64" s="118">
        <v>398619.35988684569</v>
      </c>
      <c r="C64" s="118">
        <v>428825.41358437197</v>
      </c>
      <c r="D64" s="118">
        <v>461280.44333097438</v>
      </c>
      <c r="E64" s="118">
        <v>496136.40017137572</v>
      </c>
      <c r="F64" s="118">
        <v>573703.7968412335</v>
      </c>
      <c r="G64" s="295"/>
      <c r="H64" s="295"/>
      <c r="I64" s="295"/>
      <c r="J64" s="295"/>
      <c r="K64" s="295"/>
      <c r="L64" s="295"/>
    </row>
    <row r="65" spans="1:21" ht="13.15">
      <c r="A65" s="131">
        <v>10</v>
      </c>
      <c r="B65" s="118">
        <v>398311.987381663</v>
      </c>
      <c r="C65" s="118">
        <v>431022.10269529419</v>
      </c>
      <c r="D65" s="118">
        <v>466448.51738169871</v>
      </c>
      <c r="E65" s="118">
        <v>504800.49339495535</v>
      </c>
      <c r="F65" s="118">
        <v>591190.51074649696</v>
      </c>
      <c r="G65" s="295"/>
      <c r="H65" s="295"/>
      <c r="I65" s="295"/>
      <c r="J65" s="295"/>
      <c r="K65" s="295"/>
      <c r="L65" s="295"/>
    </row>
    <row r="66" spans="1:21" ht="13.15">
      <c r="A66" s="131">
        <v>15</v>
      </c>
      <c r="B66" s="118">
        <v>377848.65370608249</v>
      </c>
      <c r="C66" s="277">
        <v>419843.65322674008</v>
      </c>
      <c r="D66" s="118">
        <v>467114.8543356958</v>
      </c>
      <c r="E66" s="118">
        <v>520320.59006954031</v>
      </c>
      <c r="F66" s="118">
        <v>647565.76645292563</v>
      </c>
      <c r="G66" s="295"/>
      <c r="H66" s="295"/>
      <c r="I66" s="295"/>
      <c r="J66" s="295"/>
      <c r="K66" s="295"/>
      <c r="L66" s="295"/>
      <c r="M66" s="275"/>
      <c r="N66" s="275"/>
      <c r="O66" s="275"/>
      <c r="P66" s="275"/>
      <c r="Q66" s="275"/>
      <c r="R66" s="275"/>
      <c r="S66" s="275"/>
      <c r="T66" s="275"/>
      <c r="U66" s="275"/>
    </row>
    <row r="67" spans="1:21" ht="13.15">
      <c r="A67" s="132">
        <v>20</v>
      </c>
      <c r="B67" s="118">
        <v>366225.72976120922</v>
      </c>
      <c r="C67" s="277">
        <v>414975.50847604114</v>
      </c>
      <c r="D67" s="118">
        <v>471747.62035189278</v>
      </c>
      <c r="E67" s="118">
        <v>537917.11729936081</v>
      </c>
      <c r="F67" s="118">
        <v>705140.03721799445</v>
      </c>
      <c r="G67" s="295"/>
      <c r="H67" s="295"/>
      <c r="I67" s="295"/>
      <c r="J67" s="295"/>
      <c r="K67" s="295"/>
      <c r="L67" s="295"/>
      <c r="M67" s="275"/>
      <c r="N67" s="275"/>
      <c r="O67" s="275"/>
      <c r="P67" s="275"/>
      <c r="Q67" s="275"/>
      <c r="R67" s="275"/>
      <c r="S67" s="275"/>
      <c r="T67" s="275"/>
      <c r="U67" s="275"/>
    </row>
    <row r="68" spans="1:21" ht="13.15">
      <c r="A68" s="132">
        <v>25</v>
      </c>
      <c r="B68" s="118">
        <v>352065.42161633779</v>
      </c>
      <c r="C68" s="277">
        <v>404927.72977538285</v>
      </c>
      <c r="D68" s="118">
        <v>468417.97296493349</v>
      </c>
      <c r="E68" s="118">
        <v>544848.95341982238</v>
      </c>
      <c r="F68" s="118">
        <v>748418.96201773675</v>
      </c>
      <c r="G68" s="295"/>
      <c r="H68" s="295"/>
      <c r="I68" s="295"/>
      <c r="J68" s="295"/>
      <c r="K68" s="295"/>
      <c r="L68" s="295"/>
      <c r="M68" s="275"/>
      <c r="N68" s="275"/>
      <c r="O68" s="275"/>
      <c r="P68" s="275"/>
      <c r="Q68" s="275"/>
      <c r="R68" s="275"/>
      <c r="S68" s="275"/>
      <c r="T68" s="275"/>
      <c r="U68" s="275"/>
    </row>
    <row r="69" spans="1:21" ht="13.15">
      <c r="A69" s="132">
        <v>30</v>
      </c>
      <c r="B69" s="118">
        <v>344058.15800693462</v>
      </c>
      <c r="C69" s="277">
        <v>400012.3489492088</v>
      </c>
      <c r="D69" s="118">
        <v>469028.49274077325</v>
      </c>
      <c r="E69" s="118">
        <v>554529.16753518628</v>
      </c>
      <c r="F69" s="118">
        <v>793523.22579142265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160.25199093749288</v>
      </c>
      <c r="C73" s="119">
        <f>C11</f>
        <v>160.25199093749288</v>
      </c>
      <c r="D73" s="119">
        <f>C11</f>
        <v>160.25199093749288</v>
      </c>
      <c r="E73" s="119">
        <f>C11</f>
        <v>160.25199093749288</v>
      </c>
      <c r="F73" s="119">
        <f>C11</f>
        <v>160.25199093749288</v>
      </c>
      <c r="G73" s="296"/>
      <c r="H73" s="296"/>
      <c r="I73" s="296"/>
      <c r="J73" s="296"/>
      <c r="K73" s="296"/>
      <c r="L73" s="296"/>
    </row>
    <row r="74" spans="1:21" ht="13.15">
      <c r="A74" s="131">
        <v>1</v>
      </c>
      <c r="B74" s="119">
        <f t="shared" ref="B74:F87" si="11">(B56+FV_adjustments)/Common_Shares*scaling_factor*Exchange_Rate</f>
        <v>165.29865829861353</v>
      </c>
      <c r="C74" s="119">
        <f t="shared" si="11"/>
        <v>166.88648950362563</v>
      </c>
      <c r="D74" s="119">
        <f t="shared" si="11"/>
        <v>168.47432070863783</v>
      </c>
      <c r="E74" s="119">
        <f t="shared" si="11"/>
        <v>170.06215191364996</v>
      </c>
      <c r="F74" s="119">
        <f t="shared" si="11"/>
        <v>173.23781432367423</v>
      </c>
      <c r="G74" s="296"/>
      <c r="H74" s="296"/>
      <c r="I74" s="296"/>
      <c r="J74" s="296"/>
      <c r="K74" s="296"/>
      <c r="L74" s="296"/>
    </row>
    <row r="75" spans="1:21" ht="13.15">
      <c r="A75" s="131">
        <v>2</v>
      </c>
      <c r="B75" s="119">
        <f t="shared" si="11"/>
        <v>165.0979750646336</v>
      </c>
      <c r="C75" s="119">
        <f t="shared" si="11"/>
        <v>168.21096424733588</v>
      </c>
      <c r="D75" s="119">
        <f t="shared" si="11"/>
        <v>171.3541943173654</v>
      </c>
      <c r="E75" s="119">
        <f t="shared" si="11"/>
        <v>174.52766527472227</v>
      </c>
      <c r="F75" s="119">
        <f t="shared" si="11"/>
        <v>180.96532985141798</v>
      </c>
      <c r="G75" s="296"/>
      <c r="H75" s="296"/>
      <c r="I75" s="296"/>
      <c r="J75" s="296"/>
      <c r="K75" s="296"/>
      <c r="L75" s="296"/>
    </row>
    <row r="76" spans="1:21" ht="13.15">
      <c r="A76" s="131">
        <v>3</v>
      </c>
      <c r="B76" s="119">
        <f t="shared" si="11"/>
        <v>164.91085783015345</v>
      </c>
      <c r="C76" s="119">
        <f t="shared" si="11"/>
        <v>169.45825514817241</v>
      </c>
      <c r="D76" s="119">
        <f t="shared" si="11"/>
        <v>174.0930950920993</v>
      </c>
      <c r="E76" s="119">
        <f t="shared" si="11"/>
        <v>178.81622356088036</v>
      </c>
      <c r="F76" s="119">
        <f t="shared" si="11"/>
        <v>188.53072966878952</v>
      </c>
      <c r="G76" s="296"/>
      <c r="H76" s="296"/>
      <c r="I76" s="296"/>
      <c r="J76" s="296"/>
      <c r="K76" s="296"/>
      <c r="L76" s="296"/>
    </row>
    <row r="77" spans="1:21" ht="13.15">
      <c r="A77" s="131">
        <v>4</v>
      </c>
      <c r="B77" s="119">
        <f t="shared" si="11"/>
        <v>164.73638954625582</v>
      </c>
      <c r="C77" s="119">
        <f t="shared" si="11"/>
        <v>170.63286009907679</v>
      </c>
      <c r="D77" s="119">
        <f t="shared" si="11"/>
        <v>176.69792380093716</v>
      </c>
      <c r="E77" s="119">
        <f t="shared" si="11"/>
        <v>182.93483897788985</v>
      </c>
      <c r="F77" s="119">
        <f t="shared" si="11"/>
        <v>195.93741480467776</v>
      </c>
      <c r="G77" s="296"/>
      <c r="H77" s="296"/>
      <c r="I77" s="296"/>
      <c r="J77" s="296"/>
      <c r="K77" s="296"/>
      <c r="L77" s="296"/>
    </row>
    <row r="78" spans="1:21" ht="13.15">
      <c r="A78" s="131">
        <v>5</v>
      </c>
      <c r="B78" s="119">
        <f t="shared" si="11"/>
        <v>161.41880812391204</v>
      </c>
      <c r="C78" s="119">
        <f t="shared" si="11"/>
        <v>168.52069421491532</v>
      </c>
      <c r="D78" s="119">
        <f t="shared" si="11"/>
        <v>175.89287813629304</v>
      </c>
      <c r="E78" s="119">
        <f t="shared" si="11"/>
        <v>183.54320498856339</v>
      </c>
      <c r="F78" s="119">
        <f t="shared" si="11"/>
        <v>199.71042993519617</v>
      </c>
      <c r="G78" s="296"/>
      <c r="H78" s="296"/>
      <c r="I78" s="296"/>
      <c r="J78" s="296"/>
      <c r="K78" s="296"/>
      <c r="L78" s="296"/>
    </row>
    <row r="79" spans="1:21" ht="13.15">
      <c r="A79" s="131">
        <v>6</v>
      </c>
      <c r="B79" s="119">
        <f t="shared" si="11"/>
        <v>161.26713037045701</v>
      </c>
      <c r="C79" s="119">
        <f t="shared" si="11"/>
        <v>169.56238775965159</v>
      </c>
      <c r="D79" s="119">
        <f t="shared" si="11"/>
        <v>178.2489303539401</v>
      </c>
      <c r="E79" s="119">
        <f t="shared" si="11"/>
        <v>187.34187080403322</v>
      </c>
      <c r="F79" s="119">
        <f t="shared" si="11"/>
        <v>206.80960489061738</v>
      </c>
      <c r="G79" s="296"/>
      <c r="H79" s="296"/>
      <c r="I79" s="296"/>
      <c r="J79" s="296"/>
      <c r="K79" s="296"/>
      <c r="L79" s="296"/>
    </row>
    <row r="80" spans="1:21" ht="13.15">
      <c r="A80" s="131">
        <f t="shared" ref="A80" si="12">A62</f>
        <v>7</v>
      </c>
      <c r="B80" s="119">
        <f t="shared" si="11"/>
        <v>158.18406763365678</v>
      </c>
      <c r="C80" s="119">
        <f t="shared" si="11"/>
        <v>167.51260371345194</v>
      </c>
      <c r="D80" s="119">
        <f t="shared" si="11"/>
        <v>177.36796129159652</v>
      </c>
      <c r="E80" s="119">
        <f t="shared" si="11"/>
        <v>187.77559918989445</v>
      </c>
      <c r="F80" s="119">
        <f t="shared" si="11"/>
        <v>210.35453211723498</v>
      </c>
      <c r="G80" s="296"/>
      <c r="H80" s="296"/>
      <c r="I80" s="296"/>
      <c r="J80" s="296"/>
      <c r="K80" s="296"/>
      <c r="L80" s="296"/>
    </row>
    <row r="81" spans="1:12" ht="13.15">
      <c r="A81" s="131">
        <v>8</v>
      </c>
      <c r="B81" s="119">
        <f t="shared" si="11"/>
        <v>158.05220331780976</v>
      </c>
      <c r="C81" s="119">
        <f t="shared" si="11"/>
        <v>168.43642532710149</v>
      </c>
      <c r="D81" s="119">
        <f t="shared" si="11"/>
        <v>179.49899663892893</v>
      </c>
      <c r="E81" s="119">
        <f t="shared" si="11"/>
        <v>191.27917029731671</v>
      </c>
      <c r="F81" s="119">
        <f t="shared" si="11"/>
        <v>217.1589640760719</v>
      </c>
      <c r="G81" s="296"/>
      <c r="H81" s="296"/>
      <c r="I81" s="296"/>
      <c r="J81" s="296"/>
      <c r="K81" s="296"/>
      <c r="L81" s="296"/>
    </row>
    <row r="82" spans="1:12" ht="13.15">
      <c r="A82" s="131">
        <f t="shared" ref="A82" si="13">A64</f>
        <v>9</v>
      </c>
      <c r="B82" s="119">
        <f t="shared" si="11"/>
        <v>155.18646665216744</v>
      </c>
      <c r="C82" s="119">
        <f t="shared" si="11"/>
        <v>166.45225680727418</v>
      </c>
      <c r="D82" s="119">
        <f t="shared" si="11"/>
        <v>178.55683552067677</v>
      </c>
      <c r="E82" s="119">
        <f t="shared" si="11"/>
        <v>191.55687516013418</v>
      </c>
      <c r="F82" s="119">
        <f t="shared" si="11"/>
        <v>220.48677187921837</v>
      </c>
      <c r="G82" s="296"/>
      <c r="H82" s="296"/>
      <c r="I82" s="296"/>
      <c r="J82" s="296"/>
      <c r="K82" s="296"/>
      <c r="L82" s="296"/>
    </row>
    <row r="83" spans="1:12" ht="13.15">
      <c r="A83" s="131">
        <f t="shared" ref="A83:A87" si="14">A65</f>
        <v>10</v>
      </c>
      <c r="B83" s="119">
        <f t="shared" si="11"/>
        <v>155.07182757426889</v>
      </c>
      <c r="C83" s="119">
        <f t="shared" si="11"/>
        <v>167.27154418613776</v>
      </c>
      <c r="D83" s="119">
        <f t="shared" si="11"/>
        <v>180.48434443476845</v>
      </c>
      <c r="E83" s="119">
        <f t="shared" si="11"/>
        <v>194.78827563099821</v>
      </c>
      <c r="F83" s="119">
        <f t="shared" si="11"/>
        <v>227.00869795840097</v>
      </c>
      <c r="G83" s="296"/>
      <c r="H83" s="296"/>
      <c r="I83" s="296"/>
      <c r="J83" s="296"/>
      <c r="K83" s="296"/>
      <c r="L83" s="296"/>
    </row>
    <row r="84" spans="1:12" ht="13.15">
      <c r="A84" s="131">
        <f t="shared" si="14"/>
        <v>15</v>
      </c>
      <c r="B84" s="119">
        <f t="shared" si="11"/>
        <v>147.439727553143</v>
      </c>
      <c r="C84" s="119">
        <f t="shared" si="11"/>
        <v>163.10237772588911</v>
      </c>
      <c r="D84" s="119">
        <f t="shared" si="11"/>
        <v>180.73286456161102</v>
      </c>
      <c r="E84" s="119">
        <f t="shared" si="11"/>
        <v>200.57672300892114</v>
      </c>
      <c r="F84" s="119">
        <f t="shared" si="11"/>
        <v>248.03467530350264</v>
      </c>
      <c r="G84" s="296"/>
      <c r="H84" s="296"/>
      <c r="I84" s="296"/>
      <c r="J84" s="296"/>
      <c r="K84" s="296"/>
      <c r="L84" s="296"/>
    </row>
    <row r="85" spans="1:12" ht="13.15">
      <c r="A85" s="132">
        <f t="shared" si="14"/>
        <v>20</v>
      </c>
      <c r="B85" s="119">
        <f t="shared" si="11"/>
        <v>143.10478782672547</v>
      </c>
      <c r="C85" s="119">
        <f t="shared" si="11"/>
        <v>161.28673183731183</v>
      </c>
      <c r="D85" s="119">
        <f t="shared" si="11"/>
        <v>182.46072250355925</v>
      </c>
      <c r="E85" s="119">
        <f t="shared" si="11"/>
        <v>207.13960557593501</v>
      </c>
      <c r="F85" s="119">
        <f t="shared" si="11"/>
        <v>269.50784287671934</v>
      </c>
      <c r="G85" s="296"/>
      <c r="H85" s="296"/>
      <c r="I85" s="296"/>
      <c r="J85" s="296"/>
      <c r="K85" s="296"/>
      <c r="L85" s="296"/>
    </row>
    <row r="86" spans="1:12" ht="13.15">
      <c r="A86" s="132">
        <f t="shared" si="14"/>
        <v>25</v>
      </c>
      <c r="B86" s="119">
        <f t="shared" si="11"/>
        <v>137.82349349780637</v>
      </c>
      <c r="C86" s="119">
        <f t="shared" si="11"/>
        <v>157.53926560090511</v>
      </c>
      <c r="D86" s="119">
        <f t="shared" si="11"/>
        <v>181.21888174118735</v>
      </c>
      <c r="E86" s="119">
        <f t="shared" si="11"/>
        <v>209.72493538779008</v>
      </c>
      <c r="F86" s="119">
        <f t="shared" si="11"/>
        <v>285.64935178797691</v>
      </c>
      <c r="G86" s="296"/>
      <c r="H86" s="296"/>
      <c r="I86" s="296"/>
      <c r="J86" s="296"/>
      <c r="K86" s="296"/>
      <c r="L86" s="296"/>
    </row>
    <row r="87" spans="1:12" ht="13.15">
      <c r="A87" s="132">
        <f t="shared" si="14"/>
        <v>30</v>
      </c>
      <c r="B87" s="119">
        <f t="shared" si="11"/>
        <v>134.83706725214469</v>
      </c>
      <c r="C87" s="119">
        <f t="shared" si="11"/>
        <v>155.7060023261117</v>
      </c>
      <c r="D87" s="119">
        <f t="shared" si="11"/>
        <v>181.44658403388101</v>
      </c>
      <c r="E87" s="119">
        <f t="shared" si="11"/>
        <v>213.33531302838611</v>
      </c>
      <c r="F87" s="119">
        <f t="shared" si="11"/>
        <v>302.47164760533963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227.00869795840097</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194.78827563099821</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180.48434443476845</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167.27154418613776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155.07182757426889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39570</v>
      </c>
      <c r="D7" s="469"/>
      <c r="E7" s="469"/>
      <c r="F7" s="469"/>
      <c r="G7" s="469"/>
    </row>
    <row r="8" spans="2:7">
      <c r="B8" s="97" t="s">
        <v>63</v>
      </c>
      <c r="C8" s="447">
        <f>Normalized_FCF!G19</f>
        <v>28822</v>
      </c>
      <c r="D8" s="469"/>
      <c r="E8" s="469"/>
      <c r="F8" s="469"/>
      <c r="G8" s="469"/>
    </row>
    <row r="9" spans="2:7">
      <c r="B9" s="97" t="s">
        <v>54</v>
      </c>
      <c r="C9" s="447">
        <f>Normalized_FCF!C19</f>
        <v>21216.235210477949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5.2429405031766629E-2</v>
      </c>
      <c r="D12" s="469"/>
      <c r="E12" s="469"/>
      <c r="F12" s="469"/>
      <c r="G12" s="469"/>
    </row>
    <row r="13" spans="2:7">
      <c r="B13" s="135" t="s">
        <v>127</v>
      </c>
      <c r="C13" s="249">
        <f ca="1">(Normalized_FCF!G8/OFFSET(Normalized_FCF!G8, 0, $C$4))^(1/$C$4) - 1</f>
        <v>0.46870983906455255</v>
      </c>
      <c r="D13" s="469"/>
      <c r="E13" s="469"/>
      <c r="F13" s="469"/>
      <c r="G13" s="469"/>
    </row>
    <row r="14" spans="2:7">
      <c r="B14" s="97" t="s">
        <v>63</v>
      </c>
      <c r="C14" s="249">
        <f ca="1">(Normalized_FCF!G19/OFFSET(Normalized_FCF!G19, 0, $C$4))^(1/$C$4) - 1</f>
        <v>0.70910794408317734</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194.78827563099821</v>
      </c>
      <c r="F22" s="328">
        <f>1-F23-F24</f>
        <v>0.19999999999999996</v>
      </c>
      <c r="G22" s="328">
        <f>F22*(1-F$29-F$30)</f>
        <v>0.15999999999999995</v>
      </c>
    </row>
    <row r="23" spans="2:7">
      <c r="B23" s="302" t="s">
        <v>437</v>
      </c>
      <c r="C23" s="324">
        <v>0.02</v>
      </c>
      <c r="D23" s="325">
        <f>C18</f>
        <v>10</v>
      </c>
      <c r="E23" s="326">
        <f>DCF!E92</f>
        <v>180.48434443476845</v>
      </c>
      <c r="F23" s="327">
        <v>0.55000000000000004</v>
      </c>
      <c r="G23" s="328">
        <f t="shared" ref="G23:G24" si="0">F23*(1-F$29-F$30)</f>
        <v>0.44</v>
      </c>
    </row>
    <row r="24" spans="2:7">
      <c r="B24" s="302" t="s">
        <v>446</v>
      </c>
      <c r="C24" s="324">
        <v>0.01</v>
      </c>
      <c r="D24" s="325">
        <f>C18</f>
        <v>10</v>
      </c>
      <c r="E24" s="326">
        <f>DCF!E93</f>
        <v>167.27154418613776</v>
      </c>
      <c r="F24" s="327">
        <v>0.25</v>
      </c>
      <c r="G24" s="328">
        <f t="shared" si="0"/>
        <v>0.19999999999999998</v>
      </c>
    </row>
    <row r="25" spans="2:7">
      <c r="B25" s="141" t="s">
        <v>451</v>
      </c>
      <c r="C25" s="441">
        <f>E23*F23+E24*F24+E22*F22</f>
        <v>180.04193061185671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227.00869795840097</v>
      </c>
      <c r="F29" s="327">
        <v>0.15</v>
      </c>
      <c r="G29" s="328">
        <f>F29</f>
        <v>0.15</v>
      </c>
    </row>
    <row r="30" spans="2:7">
      <c r="B30" s="315" t="s">
        <v>447</v>
      </c>
      <c r="C30" s="324">
        <v>0</v>
      </c>
      <c r="D30" s="325">
        <f>C18</f>
        <v>10</v>
      </c>
      <c r="E30" s="326">
        <f>DCF!E94</f>
        <v>155.07182757426889</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113.5</v>
      </c>
      <c r="D34" t="str">
        <f>Market_currency</f>
        <v>HKD</v>
      </c>
      <c r="E34" s="97" t="s">
        <v>454</v>
      </c>
      <c r="F34" s="330">
        <f>RATE(Holding_Period,$C$33,-C34,$C$36)</f>
        <v>0.20517568115776152</v>
      </c>
    </row>
    <row r="35" spans="2:7">
      <c r="B35" s="97" t="s">
        <v>434</v>
      </c>
      <c r="C35" s="320">
        <f>DCF!C11</f>
        <v>160.25199093749288</v>
      </c>
      <c r="D35" s="97" t="str">
        <f>Market_currency</f>
        <v>HKD</v>
      </c>
      <c r="E35" s="97" t="s">
        <v>454</v>
      </c>
      <c r="F35" s="330">
        <f>RATE(Holding_Period,$C$33,-C35,$C$36)</f>
        <v>7.1494297926842101E-2</v>
      </c>
    </row>
    <row r="36" spans="2:7">
      <c r="B36" s="97" t="s">
        <v>435</v>
      </c>
      <c r="C36" s="321">
        <f>E22*G22+E23*G23+E24*G24+E30*G30+E29*G29</f>
        <v>185.83844056195898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185.86613070383422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3.5060226386415011E-2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85.639834360349781</v>
      </c>
      <c r="E62" s="332">
        <f>C62+D62</f>
        <v>92.062613392496303</v>
      </c>
      <c r="F62" s="301">
        <f>Thesis!E22</f>
        <v>0.29465259038036606</v>
      </c>
      <c r="G62" s="440">
        <f>(1-E62/C36)</f>
        <v>0.50460941711463403</v>
      </c>
    </row>
    <row r="63" spans="2:7" ht="13.15">
      <c r="B63" s="302" t="s">
        <v>313</v>
      </c>
      <c r="C63" s="119">
        <f>PV(F63, Holding_Period, -C58, 0)</f>
        <v>7.3850538549144646</v>
      </c>
      <c r="D63" s="119">
        <f>C36/(1+F63)^Holding_Period</f>
        <v>107.34350357369476</v>
      </c>
      <c r="E63" s="332">
        <f>C63+D63</f>
        <v>114.72855742860922</v>
      </c>
      <c r="F63" s="301">
        <f>Thesis!E23</f>
        <v>0.20075184365903009</v>
      </c>
      <c r="G63" s="440">
        <f>(1-E63/C36)</f>
        <v>0.38264356350774231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133.20163369444774</v>
      </c>
      <c r="E66" s="332">
        <f>C66+D66</f>
        <v>141.66987066649239</v>
      </c>
      <c r="F66" s="301">
        <f>Thesis!E24</f>
        <v>0.1174</v>
      </c>
      <c r="G66" s="440">
        <f>(1-E66/C36)</f>
        <v>0.23767187112582711</v>
      </c>
    </row>
    <row r="67" spans="2:7" ht="13.15">
      <c r="B67" s="302" t="s">
        <v>314</v>
      </c>
      <c r="C67" s="119">
        <f>PV(F67, Holding_Period, -C58, 0)</f>
        <v>9.1694370473772864</v>
      </c>
      <c r="D67" s="119">
        <f>C36/(1+F67)^Holding_Period</f>
        <v>150.64115952937081</v>
      </c>
      <c r="E67" s="332">
        <f>C67+D67</f>
        <v>159.81059657674808</v>
      </c>
      <c r="F67" s="301">
        <f>Thesis!E25</f>
        <v>7.2499999999999995E-2</v>
      </c>
      <c r="G67" s="440">
        <f>(1-E67/C36)</f>
        <v>0.14005629786014673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113.5</v>
      </c>
    </row>
    <row r="9" spans="1:10">
      <c r="B9" s="351" t="s">
        <v>361</v>
      </c>
      <c r="C9" s="353">
        <f>Common_Shares</f>
        <v>3007054361.0630002</v>
      </c>
    </row>
    <row r="10" spans="1:10">
      <c r="B10" s="351" t="s">
        <v>367</v>
      </c>
      <c r="C10" s="357">
        <f>投资主题!C8*Common_Shares/1000000</f>
        <v>341300.66998065053</v>
      </c>
      <c r="D10" s="343" t="s">
        <v>529</v>
      </c>
      <c r="E10" s="360">
        <f>Scenarios!F34</f>
        <v>0.20517568115776152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1.1215249683380129</v>
      </c>
    </row>
    <row r="17" spans="1:6">
      <c r="B17" s="343" t="s">
        <v>535</v>
      </c>
      <c r="C17" s="424">
        <f>Terminal_Growth</f>
        <v>0.02</v>
      </c>
      <c r="D17" s="351" t="s">
        <v>339</v>
      </c>
      <c r="E17" s="344" t="str">
        <f>Reporting_currency</f>
        <v>CNY</v>
      </c>
    </row>
    <row r="18" spans="1:6">
      <c r="B18" s="343" t="str">
        <f>"预期股权价值 ("&amp;C7&amp;") :"</f>
        <v>预期股权价值 (HKD) :</v>
      </c>
      <c r="C18" s="359">
        <f>C125</f>
        <v>185.83844056195898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92.062613392496303</v>
      </c>
      <c r="D22" s="365" t="s">
        <v>440</v>
      </c>
      <c r="E22" s="366">
        <f>Thesis!E22</f>
        <v>0.29465259038036606</v>
      </c>
    </row>
    <row r="23" spans="1:6">
      <c r="B23" s="343" t="s">
        <v>341</v>
      </c>
      <c r="C23" s="367">
        <f>E141</f>
        <v>114.72855742860922</v>
      </c>
      <c r="D23" s="365" t="s">
        <v>441</v>
      </c>
      <c r="E23" s="368">
        <f>Thesis!E23</f>
        <v>0.20075184365903009</v>
      </c>
    </row>
    <row r="24" spans="1:6">
      <c r="B24" s="343" t="s">
        <v>343</v>
      </c>
      <c r="C24" s="367">
        <f>E144</f>
        <v>141.66987066649239</v>
      </c>
      <c r="D24" s="365" t="s">
        <v>443</v>
      </c>
      <c r="E24" s="368">
        <f>Thesis!E24</f>
        <v>0.1174</v>
      </c>
    </row>
    <row r="25" spans="1:6">
      <c r="B25" s="343" t="s">
        <v>342</v>
      </c>
      <c r="C25" s="367">
        <f>E145</f>
        <v>159.81059657674808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38849.138260430074</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565.84868687385779</v>
      </c>
      <c r="D44" s="343" t="str">
        <f>Reporting_currency</f>
        <v>CNY</v>
      </c>
      <c r="E44" s="371"/>
      <c r="F44" s="371"/>
    </row>
    <row r="45" spans="2:6">
      <c r="B45" s="372" t="s">
        <v>268</v>
      </c>
      <c r="C45" s="376">
        <f>Normalized_FCF!C45</f>
        <v>-6725.34</v>
      </c>
      <c r="D45" s="343" t="str">
        <f>Reporting_currency</f>
        <v>CNY</v>
      </c>
      <c r="E45" s="371"/>
      <c r="F45" s="371"/>
    </row>
    <row r="46" spans="2:6">
      <c r="B46" s="372" t="s">
        <v>203</v>
      </c>
      <c r="C46" s="373">
        <f>Normalized_FCF!C10</f>
        <v>-6159.4913131261419</v>
      </c>
      <c r="D46" s="343" t="str">
        <f>Reporting_currency</f>
        <v>CNY</v>
      </c>
    </row>
    <row r="48" spans="2:6">
      <c r="B48" s="343" t="s">
        <v>505</v>
      </c>
    </row>
    <row r="49" spans="2:6">
      <c r="B49" s="372" t="s">
        <v>223</v>
      </c>
      <c r="C49" s="373">
        <f>Normalized_FCF!C13</f>
        <v>-3301</v>
      </c>
      <c r="D49" s="343" t="str">
        <f>Reporting_currency</f>
        <v>CNY</v>
      </c>
    </row>
    <row r="51" spans="2:6">
      <c r="B51" s="470" t="s">
        <v>506</v>
      </c>
      <c r="C51" s="470"/>
      <c r="D51" s="470"/>
      <c r="E51" s="470"/>
      <c r="F51" s="470"/>
    </row>
    <row r="52" spans="2:6">
      <c r="B52" s="372" t="s">
        <v>496</v>
      </c>
      <c r="C52" s="373">
        <f>Normalized_FCF!C12</f>
        <v>-8172.4117368259831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28822</v>
      </c>
      <c r="D60" s="343" t="str">
        <f>Reporting_currency</f>
        <v>CNY</v>
      </c>
    </row>
    <row r="61" spans="2:6">
      <c r="B61" s="372" t="s">
        <v>213</v>
      </c>
      <c r="C61" s="373">
        <f>Normalized_FCF!C19</f>
        <v>21216.235210477949</v>
      </c>
      <c r="D61" s="343" t="str">
        <f>Reporting_currency</f>
        <v>CNY</v>
      </c>
    </row>
    <row r="62" spans="2:6">
      <c r="B62" s="377" t="s">
        <v>302</v>
      </c>
      <c r="C62" s="378">
        <f>Normalized_FCF!C124</f>
        <v>6.9717230628442983E-2</v>
      </c>
      <c r="F62" s="379"/>
    </row>
    <row r="63" spans="2:6">
      <c r="B63" s="377" t="s">
        <v>332</v>
      </c>
      <c r="C63" s="378">
        <f>Normalized_FCF!C92</f>
        <v>3.0925110132158588E-2</v>
      </c>
      <c r="E63" s="372" t="s">
        <v>373</v>
      </c>
      <c r="F63" s="380">
        <f>Normalized_FCF!C90</f>
        <v>0.55276121761479602</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-112089</v>
      </c>
      <c r="D78" s="343" t="str">
        <f>Reporting_currency</f>
        <v>CNY</v>
      </c>
    </row>
    <row r="79" spans="1:6">
      <c r="B79" s="372" t="s">
        <v>234</v>
      </c>
      <c r="C79" s="387">
        <f>C78*scaling_factor*Exchange_Rate/Common_Shares</f>
        <v>-41.805234319608559</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11.571931406418704</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36.748840710590464</v>
      </c>
      <c r="D90" s="343" t="str">
        <f>Market_currency</f>
        <v>HKD</v>
      </c>
    </row>
    <row r="92" spans="1:6">
      <c r="B92" s="372" t="s">
        <v>480</v>
      </c>
      <c r="C92" s="387">
        <f>DCF!F8</f>
        <v>6.5155377974006097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-64.719566840731247</v>
      </c>
      <c r="D111" s="343" t="str">
        <f>Market_currency</f>
        <v>HKD</v>
      </c>
    </row>
    <row r="112" spans="1:6">
      <c r="A112" s="385"/>
      <c r="B112" s="372" t="s">
        <v>377</v>
      </c>
      <c r="C112" s="394">
        <f>DCF!C11</f>
        <v>160.25199093749288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227.01 HKD</v>
      </c>
      <c r="F118" s="399">
        <f>DCF!F90</f>
        <v>0.15</v>
      </c>
    </row>
    <row r="119" spans="1:6">
      <c r="A119" s="385"/>
      <c r="B119" s="400" t="str">
        <f>DCF!B91</f>
        <v>Optimistic</v>
      </c>
      <c r="C119" s="401">
        <f>DCF!C91</f>
        <v>0.03</v>
      </c>
      <c r="D119" s="402">
        <f>DCF!D91</f>
        <v>10</v>
      </c>
      <c r="E119" s="398" t="str">
        <f>ROUND(DCF!E91,2)&amp;" "&amp;Market_currency</f>
        <v>194.79 HKD</v>
      </c>
      <c r="F119" s="403">
        <f>DCF!F91</f>
        <v>0.15999999999999995</v>
      </c>
    </row>
    <row r="120" spans="1:6">
      <c r="B120" s="400" t="str">
        <f>DCF!B92</f>
        <v>Base</v>
      </c>
      <c r="C120" s="401">
        <f>DCF!C92</f>
        <v>0.02</v>
      </c>
      <c r="D120" s="402">
        <f>DCF!D92</f>
        <v>10</v>
      </c>
      <c r="E120" s="398" t="str">
        <f>ROUND(DCF!E92,2)&amp;" "&amp;Market_currency</f>
        <v>180.48 HKD</v>
      </c>
      <c r="F120" s="403">
        <f>DCF!F92</f>
        <v>0.44</v>
      </c>
    </row>
    <row r="121" spans="1:6">
      <c r="B121" s="400" t="str">
        <f>DCF!B93</f>
        <v>Pessimistic</v>
      </c>
      <c r="C121" s="401">
        <f>DCF!C93</f>
        <v>0.01</v>
      </c>
      <c r="D121" s="402">
        <f>DCF!D93</f>
        <v>10</v>
      </c>
      <c r="E121" s="398" t="str">
        <f>ROUND(DCF!E93,2)&amp;" "&amp;Market_currency</f>
        <v>167.27 HKD</v>
      </c>
      <c r="F121" s="403">
        <f>DCF!F93</f>
        <v>0.19999999999999998</v>
      </c>
    </row>
    <row r="122" spans="1:6">
      <c r="B122" s="400" t="str">
        <f>DCF!B94</f>
        <v>Devil's advocate</v>
      </c>
      <c r="C122" s="401">
        <f>DCF!C94</f>
        <v>0</v>
      </c>
      <c r="D122" s="402">
        <f>DCF!D94</f>
        <v>10</v>
      </c>
      <c r="E122" s="398" t="str">
        <f>ROUND(DCF!E94,2)&amp;" "&amp;Market_currency</f>
        <v>155.07 HKD</v>
      </c>
      <c r="F122" s="403">
        <f>DCF!F94</f>
        <v>0.05</v>
      </c>
    </row>
    <row r="124" spans="1:6">
      <c r="B124" s="470" t="s">
        <v>519</v>
      </c>
      <c r="C124" s="470"/>
      <c r="D124" s="470"/>
      <c r="E124" s="470"/>
      <c r="F124" s="470"/>
    </row>
    <row r="125" spans="1:6">
      <c r="B125" s="372" t="s">
        <v>218</v>
      </c>
      <c r="C125" s="404">
        <f>Scenarios!C36</f>
        <v>185.83844056195898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85.639834360349781</v>
      </c>
      <c r="E140" s="410">
        <f>Scenarios!E62</f>
        <v>92.062613392496303</v>
      </c>
      <c r="F140" s="411">
        <f>E22</f>
        <v>0.29465259038036606</v>
      </c>
    </row>
    <row r="141" spans="1:6">
      <c r="B141" s="408" t="s">
        <v>313</v>
      </c>
      <c r="C141" s="409">
        <f>Scenarios!C63</f>
        <v>7.3850538549144646</v>
      </c>
      <c r="D141" s="409">
        <f>Scenarios!D63</f>
        <v>107.34350357369476</v>
      </c>
      <c r="E141" s="410">
        <f>Scenarios!E63</f>
        <v>114.72855742860922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133.20163369444774</v>
      </c>
      <c r="E144" s="410">
        <f>Scenarios!E66</f>
        <v>141.66987066649239</v>
      </c>
      <c r="F144" s="411">
        <f>E24</f>
        <v>0.1174</v>
      </c>
    </row>
    <row r="145" spans="1:6">
      <c r="B145" s="408" t="s">
        <v>314</v>
      </c>
      <c r="C145" s="409">
        <f>Scenarios!C67</f>
        <v>9.1694370473772864</v>
      </c>
      <c r="D145" s="409">
        <f>Scenarios!D67</f>
        <v>150.64115952937081</v>
      </c>
      <c r="E145" s="410">
        <f>Scenarios!E67</f>
        <v>159.81059657674808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2026-01-27T08:49:12Z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