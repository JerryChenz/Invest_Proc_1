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2C8ACDB-6DC4-4CAB-B7B9-29F78261651D}"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30" i="2" l="1"/>
  <c r="C36" i="3"/>
  <c r="C27" i="3"/>
  <c r="C23" i="3"/>
  <c r="C19" i="3"/>
  <c r="G4" i="3"/>
  <c r="C9" i="3"/>
  <c r="C4" i="3"/>
  <c r="C29" i="2"/>
  <c r="C6" i="4"/>
  <c r="C5" i="4"/>
  <c r="C7" i="4"/>
  <c r="E28" i="4"/>
  <c r="F30" i="4"/>
  <c r="G30" i="4"/>
  <c r="E83" i="2"/>
  <c r="E84" i="2"/>
  <c r="C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31"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E79" i="8" l="1"/>
  <c r="B74"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<sst xmlns="http://schemas.openxmlformats.org/spreadsheetml/2006/main" count="768" uniqueCount="559">
  <si>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</si>
  <si>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</si>
  <si>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</si>
  <si>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</si>
  <si>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</si>
  <si>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</si>
  <si>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</si>
  <si>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</si>
  <si>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</si>
  <si>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</si>
  <si>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</si>
  <si>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</si>
  <si>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</si>
  <si>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</si>
  <si>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</si>
  <si>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</si>
  <si>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</si>
  <si>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</si>
  <si>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</si>
  <si>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</si>
  <si>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</si>
  <si>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</si>
  <si>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</si>
  <si>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</si>
  <si>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</si>
  <si>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</si>
  <si>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</si>
  <si>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</si>
  <si>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</si>
  <si>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</si>
  <si>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</si>
  <si>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</si>
  <si>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</si>
  <si>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</si>
  <si>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</si>
  <si>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</si>
  <si>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</si>
  <si>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</si>
  <si>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</si>
  <si>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</si>
  <si>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</si>
  <si>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</si>
  <si>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</si>
  <si>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</si>
  <si>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</si>
  <si>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</si>
  <si>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</si>
  <si>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</si>
  <si>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</si>
  <si>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</si>
  <si>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</si>
  <si>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</si>
  <si>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</si>
  <si>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</si>
  <si>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</si>
  <si>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</si>
  <si>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</si>
  <si>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</si>
  <si>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</si>
  <si>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</si>
  <si>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</si>
  <si>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</si>
  <si>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</si>
  <si>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</si>
  <si>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</si>
  <si>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</si>
  <si>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</si>
  <si>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</si>
  <si>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</si>
  <si>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</si>
  <si>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</si>
  <si>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</si>
  <si>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</si>
  <si>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</si>
  <si>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</si>
  <si>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</si>
  <si>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</si>
  <si>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</si>
  <si>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</si>
  <si>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</si>
  <si>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</si>
  <si>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</si>
  <si>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</si>
  <si>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</si>
  <si>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</si>
  <si>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</si>
  <si>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</si>
  <si>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</si>
  <si>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</si>
  <si>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</si>
  <si>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</si>
  <si>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</si>
  <si>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</si>
  <si>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</si>
  <si>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</si>
  <si>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</si>
  <si>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</si>
  <si>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</si>
  <si>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</si>
  <si>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</si>
  <si>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</si>
  <si>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</si>
  <si>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</si>
  <si>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</si>
  <si>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</si>
  <si>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</si>
  <si>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</si>
  <si>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</si>
  <si>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</si>
  <si>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</si>
  <si>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</si>
  <si>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</si>
  <si>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</si>
  <si>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</si>
  <si>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</si>
  <si>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</si>
  <si>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</si>
  <si>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</si>
  <si>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</si>
  <si>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</si>
  <si>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</si>
  <si>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</si>
  <si>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</si>
  <si>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</si>
  <si>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</si>
  <si>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</si>
  <si>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</si>
  <si>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</si>
  <si>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</si>
  <si>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</si>
  <si>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</si>
  <si>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</si>
  <si>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</si>
  <si>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</si>
  <si>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</si>
  <si>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</si>
  <si>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</si>
  <si>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</si>
  <si>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</si>
  <si>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</si>
  <si>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</si>
  <si>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</si>
  <si>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</si>
  <si>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</si>
  <si>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</si>
  <si>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</si>
  <si>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</si>
  <si>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</si>
  <si>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</si>
  <si>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</si>
  <si>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</si>
  <si>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</si>
  <si>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</si>
  <si>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</si>
  <si>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</si>
  <si>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</si>
  <si>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</si>
  <si>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</si>
  <si>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</si>
  <si>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</si>
  <si>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</si>
  <si>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</si>
  <si>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</si>
  <si>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</si>
  <si>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</si>
  <si>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</si>
  <si>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</si>
  <si>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</si>
  <si>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</si>
  <si>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</si>
  <si>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</si>
  <si>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</si>
  <si>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</si>
  <si>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</si>
  <si>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</si>
  <si>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</si>
  <si>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</si>
  <si>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</si>
  <si>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</si>
  <si>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</si>
  <si>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</si>
  <si>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</si>
  <si>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</si>
  <si>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</si>
  <si>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</si>
  <si>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</si>
  <si>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</si>
  <si>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</si>
  <si>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</si>
  <si>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</si>
  <si>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</si>
  <si>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</si>
  <si>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</si>
  <si>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</si>
  <si>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</si>
  <si>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</si>
  <si>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</si>
  <si>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</si>
  <si>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</si>
  <si>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</si>
  <si>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</si>
  <si>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</si>
  <si>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</si>
  <si>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</si>
  <si>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</si>
  <si>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</si>
  <si>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</si>
  <si>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</si>
  <si>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</si>
  <si>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</si>
  <si>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</si>
  <si>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</si>
  <si>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</si>
  <si>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</si>
  <si>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</si>
  <si>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</si>
  <si>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</si>
  <si>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</si>
  <si>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</si>
  <si>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</si>
  <si>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</si>
  <si>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</si>
  <si>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</si>
  <si>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</si>
  <si>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</si>
  <si>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</si>
  <si>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</si>
  <si>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</si>
  <si>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</si>
  <si>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</si>
  <si>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</si>
  <si>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</si>
  <si>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</si>
  <si>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</si>
  <si>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</si>
  <si>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</si>
  <si>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</si>
  <si>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</si>
  <si>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</si>
  <si>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</si>
  <si>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</si>
  <si>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</si>
  <si>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</si>
  <si>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</si>
  <si>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</si>
  <si>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</si>
  <si>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</si>
  <si>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</si>
  <si>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</si>
  <si>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</si>
  <si>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</si>
  <si>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</si>
  <si>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</si>
  <si>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</si>
  <si>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</si>
  <si>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</si>
  <si>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</si>
  <si>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</si>
  <si>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</si>
  <si>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</si>
  <si>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</si>
  <si>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</si>
  <si>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</si>
  <si>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</si>
  <si>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</si>
  <si>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</si>
  <si>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</si>
  <si>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</si>
  <si>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</si>
  <si>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</si>
  <si>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</si>
  <si>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</si>
  <si>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</si>
  <si>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</si>
  <si>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</si>
  <si>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</si>
  <si>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</si>
  <si>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</si>
  <si>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</si>
  <si>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</si>
  <si>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</si>
  <si>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</si>
  <si>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</si>
  <si>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</si>
  <si>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</si>
  <si>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</si>
  <si>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</si>
  <si>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</si>
  <si>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</si>
  <si>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</si>
  <si>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</si>
  <si>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</si>
  <si>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</si>
  <si>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</si>
  <si>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</si>
  <si>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</si>
  <si>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</si>
  <si>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</si>
  <si>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</si>
  <si>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</si>
  <si>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</si>
  <si>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</si>
  <si>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</si>
  <si>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</si>
  <si>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</si>
  <si>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</si>
  <si>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</si>
  <si>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</si>
  <si>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</si>
  <si>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</si>
  <si>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</si>
  <si>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</si>
  <si>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</si>
  <si>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</si>
  <si>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</si>
  <si>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</si>
  <si>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</si>
  <si>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</si>
  <si>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</si>
  <si>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</si>
  <si>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</si>
  <si>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</si>
  <si>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</si>
  <si>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</si>
  <si>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</si>
  <si>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</si>
  <si>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</si>
  <si>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</si>
  <si>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</si>
  <si>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</si>
  <si>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</si>
  <si>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</si>
  <si>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</si>
  <si>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</si>
  <si>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</si>
  <si>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</si>
  <si>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</si>
  <si>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</si>
  <si>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</si>
  <si>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</si>
  <si>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</si>
  <si>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</si>
  <si>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</si>
  <si>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</si>
  <si>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</si>
  <si>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</si>
  <si>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</si>
  <si>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</si>
  <si>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</si>
  <si>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</si>
  <si>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</si>
  <si>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</si>
  <si>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</si>
  <si>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</si>
  <si>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</si>
  <si>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</si>
  <si>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</si>
  <si>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</si>
  <si>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</si>
  <si>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</si>
  <si>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</si>
  <si>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</si>
  <si>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</si>
  <si>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</si>
  <si>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</si>
  <si>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</si>
  <si>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</si>
  <si>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</si>
  <si>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</si>
  <si>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</si>
  <si>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</si>
  <si>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</si>
  <si>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</si>
  <si>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</si>
  <si>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</si>
  <si>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</si>
  <si>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</si>
  <si>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</si>
  <si>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</si>
  <si>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</si>
  <si>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</si>
  <si>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</si>
  <si>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</si>
  <si>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</si>
  <si>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</si>
  <si>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</si>
  <si>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</si>
  <si>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</si>
  <si>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</si>
  <si>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</si>
  <si>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</si>
  <si>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</si>
  <si>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</si>
  <si>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</si>
  <si>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</si>
  <si>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</si>
  <si>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</si>
  <si>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</si>
  <si>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</si>
  <si>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</si>
  <si>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</si>
  <si>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</si>
  <si>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</si>
  <si>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</si>
  <si>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</si>
  <si>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</si>
  <si>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</si>
  <si>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</si>
  <si>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</si>
  <si>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</si>
  <si>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</si>
  <si>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</si>
  <si>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</si>
  <si>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</si>
  <si>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</si>
  <si>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</si>
  <si>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</si>
  <si>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</si>
  <si>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</si>
  <si>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</si>
  <si>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</si>
  <si>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</si>
  <si>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</si>
  <si>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</si>
  <si>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</si>
  <si>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</si>
  <si>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</si>
  <si>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</si>
  <si>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</si>
  <si>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</si>
  <si>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</si>
  <si>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</si>
  <si>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</si>
  <si>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</si>
  <si>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</si>
  <si>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</si>
  <si>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</si>
  <si>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</si>
  <si>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</si>
  <si>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</si>
  <si>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</si>
  <si>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</si>
  <si>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</si>
  <si>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</si>
  <si>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</si>
  <si>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</si>
  <si>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</si>
  <si>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</si>
  <si>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</si>
  <si>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</si>
  <si>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</si>
  <si>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</si>
  <si>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</si>
  <si>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</si>
  <si>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</si>
  <si>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</si>
  <si>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</si>
  <si>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</si>
  <si>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</si>
  <si>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</si>
  <si>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</si>
  <si>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</si>
  <si>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</si>
  <si>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</si>
  <si>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</si>
  <si>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</si>
  <si>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</si>
  <si>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</si>
  <si>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</si>
  <si>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</si>
  <si>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</si>
  <si>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</si>
  <si>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</si>
  <si>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</si>
  <si>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</si>
  <si>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</si>
  <si>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</si>
  <si>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</si>
  <si>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</si>
  <si>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</si>
  <si>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</si>
  <si>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</si>
  <si>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</si>
  <si>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</si>
  <si>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</si>
  <si>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</si>
  <si>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</si>
  <si>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</si>
  <si>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</si>
  <si>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</si>
  <si>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</si>
  <si>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</si>
  <si>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</si>
  <si>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</si>
  <si>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</si>
  <si>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</si>
  <si>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</si>
  <si>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</si>
  <si>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</si>
  <si>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</si>
  <si>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</si>
  <si>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</si>
  <si>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</si>
  <si>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</si>
  <si>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</si>
  <si>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</si>
  <si>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</si>
  <si>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</si>
  <si>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</si>
  <si>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</si>
  <si>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</si>
  <si>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</si>
  <si>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</si>
  <si>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</si>
  <si>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</si>
  <si>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</si>
  <si>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</si>
  <si>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</si>
  <si>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</si>
  <si>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</si>
  <si>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</si>
  <si>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</si>
  <si>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</si>
  <si>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</si>
  <si>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</si>
  <si>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</si>
  <si>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</si>
  <si>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</si>
  <si>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</si>
  <si>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</si>
  <si>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</si>
  <si>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</si>
  <si>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</si>
  <si>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</si>
  <si>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</si>
  <si>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</si>
  <si>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</si>
  <si>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</si>
  <si>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</si>
  <si>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</si>
  <si>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</si>
  <si>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</si>
  <si>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</si>
  <si>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</si>
  <si>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</si>
  <si>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</si>
  <si>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</si>
  <si>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</si>
  <si>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</si>
  <si>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</si>
  <si>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</si>
  <si>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</si>
  <si>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</si>
  <si>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</si>
  <si>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</si>
  <si>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</si>
  <si>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京东集团</t>
  </si>
  <si>
    <t>9618.HK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</si>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</sst>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181" fontId="7" fillId="0" borderId="1" xfId="0" quotePrefix="1" applyNumberFormat="1" applyFont="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4" zoomScaleNormal="100" workbookViewId="0">
      <selection activeCell="C23" sqref="C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46045</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112.4</v>
      </c>
      <c r="E8" s="32"/>
    </row>
    <row r="9" spans="1:9">
      <c r="B9" s="4" t="s">
        <v>346</v>
      </c>
      <c r="C9" s="48">
        <v>2818000000</v>
      </c>
    </row>
    <row r="10" spans="1:9">
      <c r="B10" s="4" t="s">
        <v>352</v>
      </c>
      <c r="C10" s="33">
        <f>Thesis!C8*Common_Shares/1000000</f>
        <v>316743.2</v>
      </c>
      <c r="D10" s="1" t="s">
        <v>528</v>
      </c>
      <c r="E10" s="303">
        <f>Scenarios!F34</f>
        <v>0.18882315142641323</v>
      </c>
    </row>
    <row r="11" spans="1:9">
      <c r="D11" s="5"/>
      <c r="E11" s="5"/>
    </row>
    <row r="12" spans="1:9" ht="24.5" customHeight="1">
      <c r="B12" s="461" t="s">
        <v>355</v>
      </c>
      <c r="C12" s="461"/>
      <c r="D12" s="461"/>
      <c r="E12" s="461"/>
      <c r="F12" s="461"/>
    </row>
    <row r="14" spans="1:9">
      <c r="B14" s="42" t="str">
        <f>Scenarios!B39&amp;" Valuation Conclusion"</f>
        <v>2-stage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1.1347130000000001</v>
      </c>
    </row>
    <row r="17" spans="1:6">
      <c r="B17" s="1" t="s">
        <v>532</v>
      </c>
      <c r="C17" s="456">
        <v>0.02</v>
      </c>
      <c r="D17" s="4" t="s">
        <v>274</v>
      </c>
      <c r="E17" s="224" t="s">
        <v>558</v>
      </c>
    </row>
    <row r="18" spans="1:6">
      <c r="B18" s="1" t="str">
        <f>"Expected Equity Value ("&amp;C7&amp;") :"</f>
        <v>Expected Equity Value (HKD) :</v>
      </c>
      <c r="C18" s="252">
        <f>C125</f>
        <v>176.2070175054501</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46265</v>
      </c>
    </row>
    <row r="20" spans="1:6">
      <c r="D20" s="5"/>
      <c r="E20" s="5"/>
    </row>
    <row r="21" spans="1:6">
      <c r="B21" s="42" t="s">
        <v>404</v>
      </c>
      <c r="C21" s="254" t="str">
        <f>C138&amp;" ("&amp;Market_currency&amp;")"</f>
        <v xml:space="preserve"> (HKD)</v>
      </c>
      <c r="D21" s="31" t="s">
        <v>316</v>
      </c>
      <c r="E21" s="442">
        <v>3</v>
      </c>
    </row>
    <row r="22" spans="1:6">
      <c r="B22" s="1" t="s">
        <v>312</v>
      </c>
      <c r="C22" s="255">
        <f>E140</f>
        <v>86.578023443536665</v>
      </c>
      <c r="D22" s="38" t="s">
        <v>406</v>
      </c>
      <c r="E22" s="79">
        <v>0.3</v>
      </c>
    </row>
    <row r="23" spans="1:6">
      <c r="B23" s="1" t="s">
        <v>313</v>
      </c>
      <c r="C23" s="256">
        <f>E141</f>
        <v>109.36540364898732</v>
      </c>
      <c r="D23" s="38" t="s">
        <v>407</v>
      </c>
      <c r="E23" s="443">
        <v>0.2</v>
      </c>
    </row>
    <row r="24" spans="1:6">
      <c r="B24" s="1" t="s">
        <v>315</v>
      </c>
      <c r="C24" s="256">
        <f>E144</f>
        <v>134.76644809121728</v>
      </c>
      <c r="D24" s="38" t="s">
        <v>408</v>
      </c>
      <c r="E24" s="443">
        <v>0.1174</v>
      </c>
    </row>
    <row r="25" spans="1:6">
      <c r="B25" s="1" t="s">
        <v>314</v>
      </c>
      <c r="C25" s="256">
        <f>E145</f>
        <v>152.00333811739461</v>
      </c>
      <c r="D25" s="38" t="s">
        <v>409</v>
      </c>
      <c r="E25" s="444">
        <v>7.2499999999999995E-2</v>
      </c>
    </row>
    <row r="26" spans="1:6">
      <c r="D26" s="5"/>
      <c r="E26" s="5"/>
    </row>
    <row r="27" spans="1:6" ht="13.9">
      <c r="A27" s="200" t="s">
        <v>280</v>
      </c>
      <c r="B27" s="34"/>
      <c r="C27" s="34"/>
      <c r="D27" s="34"/>
      <c r="E27" s="34"/>
      <c r="F27" s="34"/>
    </row>
    <row r="29" spans="1:6">
      <c r="B29" s="461" t="s">
        <v>356</v>
      </c>
      <c r="C29" s="461"/>
      <c r="D29" s="461"/>
      <c r="E29" s="461"/>
      <c r="F29" s="461"/>
    </row>
    <row r="30" spans="1:6" ht="24.5" customHeight="1">
      <c r="B30" s="463" t="s">
        <v>266</v>
      </c>
      <c r="C30" s="463"/>
      <c r="D30" s="463"/>
      <c r="E30" s="463"/>
      <c r="F30" s="463"/>
    </row>
    <row r="32" spans="1:6">
      <c r="B32" s="192" t="s">
        <v>195</v>
      </c>
      <c r="C32" s="105">
        <f>scaling_factor</f>
        <v>1000000</v>
      </c>
    </row>
    <row r="33" spans="2:6" ht="24.5" customHeight="1">
      <c r="B33" s="462" t="s">
        <v>196</v>
      </c>
      <c r="C33" s="462"/>
      <c r="D33" s="462"/>
      <c r="E33" s="462"/>
      <c r="F33" s="462"/>
    </row>
    <row r="34" spans="2:6">
      <c r="B34" s="44" t="s">
        <v>197</v>
      </c>
      <c r="C34" s="285">
        <f>Normalized_FCF!C8</f>
        <v>4776.6048103198409</v>
      </c>
      <c r="D34" s="1" t="str">
        <f>Reporting_currency</f>
        <v>CNY</v>
      </c>
    </row>
    <row r="35" spans="2:6">
      <c r="B35" s="44"/>
      <c r="C35" s="73"/>
    </row>
    <row r="36" spans="2:6" ht="24.5" customHeight="1">
      <c r="B36" s="462" t="s">
        <v>198</v>
      </c>
      <c r="C36" s="462"/>
      <c r="D36" s="462"/>
      <c r="E36" s="462"/>
      <c r="F36" s="462"/>
    </row>
    <row r="37" spans="2:6">
      <c r="B37" s="44" t="s">
        <v>199</v>
      </c>
      <c r="C37" s="285">
        <f>Normalized_FCF!C15</f>
        <v>8904</v>
      </c>
      <c r="D37" s="1" t="str">
        <f>Reporting_currency</f>
        <v>CNY</v>
      </c>
    </row>
    <row r="38" spans="2:6">
      <c r="B38" s="49" t="s">
        <v>200</v>
      </c>
      <c r="C38" s="285">
        <f>Normalized_FCF!C16</f>
        <v>-9506.0456217500268</v>
      </c>
      <c r="D38" s="1" t="str">
        <f>Reporting_currency</f>
        <v>CNY</v>
      </c>
    </row>
    <row r="40" spans="2:6">
      <c r="B40" s="462" t="s">
        <v>201</v>
      </c>
      <c r="C40" s="462"/>
      <c r="D40" s="462"/>
      <c r="E40" s="462"/>
      <c r="F40" s="462"/>
    </row>
    <row r="41" spans="2:6">
      <c r="B41" s="44" t="s">
        <v>202</v>
      </c>
      <c r="C41" s="285">
        <f>Normalized_FCF!C9</f>
        <v>0</v>
      </c>
      <c r="D41" s="1" t="str">
        <f>Reporting_currency</f>
        <v>CNY</v>
      </c>
    </row>
    <row r="43" spans="2:6">
      <c r="B43" s="462" t="s">
        <v>205</v>
      </c>
      <c r="C43" s="462"/>
      <c r="D43" s="462"/>
      <c r="E43" s="462"/>
      <c r="F43" s="462"/>
    </row>
    <row r="44" spans="2:6">
      <c r="B44" s="44" t="s">
        <v>267</v>
      </c>
      <c r="C44" s="286">
        <f>Normalized_FCF!C46</f>
        <v>657.64929759484005</v>
      </c>
      <c r="D44" s="1" t="str">
        <f>Reporting_currency</f>
        <v>CNY</v>
      </c>
      <c r="E44" s="244"/>
      <c r="F44" s="244"/>
    </row>
    <row r="45" spans="2:6">
      <c r="B45" s="44" t="s">
        <v>268</v>
      </c>
      <c r="C45" s="286">
        <f>Normalized_FCF!C45</f>
        <v>-4264.12</v>
      </c>
      <c r="D45" s="1" t="str">
        <f>Reporting_currency</f>
        <v>CNY</v>
      </c>
      <c r="E45" s="244"/>
      <c r="F45" s="244"/>
    </row>
    <row r="46" spans="2:6">
      <c r="B46" s="44" t="s">
        <v>203</v>
      </c>
      <c r="C46" s="285">
        <f>Normalized_FCF!C10</f>
        <v>-3606.47070240516</v>
      </c>
      <c r="D46" s="1" t="str">
        <f>Reporting_currency</f>
        <v>CNY</v>
      </c>
    </row>
    <row r="48" spans="2:6">
      <c r="B48" s="1" t="s">
        <v>211</v>
      </c>
    </row>
    <row r="49" spans="2:6">
      <c r="B49" s="44" t="s">
        <v>223</v>
      </c>
      <c r="C49" s="285">
        <f>Normalized_FCF!C13</f>
        <v>-3729.0461970333586</v>
      </c>
      <c r="D49" s="1" t="str">
        <f>Reporting_currency</f>
        <v>CNY</v>
      </c>
    </row>
    <row r="51" spans="2:6">
      <c r="B51" s="462" t="s">
        <v>206</v>
      </c>
      <c r="C51" s="462"/>
      <c r="D51" s="462"/>
      <c r="E51" s="462"/>
      <c r="F51" s="462"/>
    </row>
    <row r="52" spans="2:6">
      <c r="B52" s="44" t="s">
        <v>204</v>
      </c>
      <c r="C52" s="285">
        <f>Normalized_FCF!C12</f>
        <v>-292.53352697867024</v>
      </c>
      <c r="D52" s="1" t="str">
        <f>Reporting_currency</f>
        <v>CNY</v>
      </c>
    </row>
    <row r="54" spans="2:6">
      <c r="B54" s="462" t="s">
        <v>265</v>
      </c>
      <c r="C54" s="465"/>
      <c r="D54" s="465"/>
      <c r="E54" s="465"/>
      <c r="F54" s="465"/>
    </row>
    <row r="55" spans="2:6">
      <c r="B55" s="44" t="s">
        <v>207</v>
      </c>
      <c r="C55" s="285">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85">
        <f>Normalized_FCF!G19</f>
        <v>-2478</v>
      </c>
      <c r="D60" s="1" t="str">
        <f>Reporting_currency</f>
        <v>CNY</v>
      </c>
    </row>
    <row r="61" spans="2:6">
      <c r="B61" s="44" t="s">
        <v>213</v>
      </c>
      <c r="C61" s="285">
        <f>Normalized_FCF!C19</f>
        <v>-2851.4456160973477</v>
      </c>
      <c r="D61" s="1" t="str">
        <f>Reporting_currency</f>
        <v>CNY</v>
      </c>
    </row>
    <row r="62" spans="2:6">
      <c r="B62" s="204" t="s">
        <v>302</v>
      </c>
      <c r="C62" s="89">
        <f>Normalized_FCF!C124</f>
        <v>-1.0215128247042619E-2</v>
      </c>
      <c r="F62" s="257"/>
    </row>
    <row r="63" spans="2:6">
      <c r="B63" s="204" t="s">
        <v>332</v>
      </c>
      <c r="C63" s="89">
        <f>Normalized_FCF!C92</f>
        <v>3.1227758007117433E-2</v>
      </c>
      <c r="E63" s="44" t="s">
        <v>322</v>
      </c>
      <c r="F63" s="258">
        <f>Normalized_FCF!C90</f>
        <v>-3.8542555179578768</v>
      </c>
    </row>
    <row r="65" spans="1:6">
      <c r="B65" s="192" t="s">
        <v>325</v>
      </c>
      <c r="C65" s="264" t="s">
        <v>327</v>
      </c>
      <c r="D65" s="264" t="s">
        <v>328</v>
      </c>
    </row>
    <row r="66" spans="1:6">
      <c r="B66" s="44" t="s">
        <v>326</v>
      </c>
      <c r="C66" s="89">
        <f>Normalized_FCF!E119</f>
        <v>0.15</v>
      </c>
      <c r="D66" s="89">
        <f>Normalized_FCF!G119</f>
        <v>1.0940047586143514E-2</v>
      </c>
    </row>
    <row r="67" spans="1:6">
      <c r="B67" s="229" t="str">
        <f>Normalized_FCF!B116</f>
        <v>Pre-tax Profit/Sales</v>
      </c>
      <c r="C67" s="263">
        <f>Normalized_FCF!E116</f>
        <v>3.3662787366748527E-2</v>
      </c>
      <c r="D67" s="263">
        <f>Normalized_FCF!G116</f>
        <v>2.4551499711630643E-3</v>
      </c>
    </row>
    <row r="68" spans="1:6">
      <c r="B68" s="229" t="str">
        <f>Normalized_FCF!B117</f>
        <v>Sales/Total Assets</v>
      </c>
      <c r="C68" s="265">
        <f>Normalized_FCF!E117</f>
        <v>1.883030950761003</v>
      </c>
      <c r="D68" s="265">
        <f>Normalized_FCF!G117</f>
        <v>1.883030950761003</v>
      </c>
    </row>
    <row r="69" spans="1:6">
      <c r="B69" s="229" t="str">
        <f>Normalized_FCF!B118</f>
        <v>Total Assets/Equity</v>
      </c>
      <c r="C69" s="265">
        <f>Normalized_FCF!E118</f>
        <v>2.3663758624563029</v>
      </c>
      <c r="D69" s="265">
        <f>Normalized_FCF!G118</f>
        <v>2.3663758624563029</v>
      </c>
    </row>
    <row r="71" spans="1:6" ht="13.9">
      <c r="A71" s="200" t="s">
        <v>477</v>
      </c>
      <c r="B71" s="34"/>
      <c r="C71" s="34"/>
      <c r="D71" s="34"/>
      <c r="E71" s="34"/>
      <c r="F71" s="34"/>
    </row>
    <row r="72" spans="1:6">
      <c r="A72" s="191"/>
    </row>
    <row r="73" spans="1:6">
      <c r="A73" s="191"/>
      <c r="B73" s="461" t="s">
        <v>478</v>
      </c>
      <c r="C73" s="461"/>
      <c r="D73" s="461"/>
      <c r="E73" s="461"/>
      <c r="F73" s="461"/>
    </row>
    <row r="74" spans="1:6">
      <c r="A74" s="191"/>
      <c r="B74" s="1" t="s">
        <v>465</v>
      </c>
    </row>
    <row r="75" spans="1:6">
      <c r="A75" s="191"/>
    </row>
    <row r="76" spans="1:6">
      <c r="A76" s="191"/>
      <c r="B76" s="192" t="s">
        <v>195</v>
      </c>
    </row>
    <row r="77" spans="1:6">
      <c r="A77" s="191"/>
      <c r="B77" s="461" t="s">
        <v>271</v>
      </c>
      <c r="C77" s="461"/>
      <c r="D77" s="461"/>
      <c r="E77" s="461"/>
      <c r="F77" s="461"/>
    </row>
    <row r="78" spans="1:6">
      <c r="A78" s="191"/>
      <c r="B78" s="1" t="s">
        <v>215</v>
      </c>
      <c r="C78" s="285">
        <f>DCF!F4</f>
        <v>-106603</v>
      </c>
      <c r="D78" s="1" t="str">
        <f>Reporting_currency</f>
        <v>CNY</v>
      </c>
    </row>
    <row r="79" spans="1:6">
      <c r="A79" s="191"/>
      <c r="B79" s="44" t="s">
        <v>234</v>
      </c>
      <c r="C79" s="201">
        <f>C78*scaling_factor*Exchange_Rate/Common_Shares</f>
        <v>-42.925411617814056</v>
      </c>
      <c r="D79" s="1" t="str">
        <f>Market_currency</f>
        <v>HKD</v>
      </c>
    </row>
    <row r="80" spans="1:6">
      <c r="A80" s="191"/>
      <c r="B80" s="229" t="s">
        <v>309</v>
      </c>
      <c r="C80" s="337">
        <f>IF(BS!G31/BS!G27&gt;300%,"nm",BS!G31/BS!G27)</f>
        <v>0.36286306559603515</v>
      </c>
    </row>
    <row r="81" spans="1:6">
      <c r="A81" s="191"/>
      <c r="B81" s="229" t="s">
        <v>311</v>
      </c>
      <c r="C81" s="338">
        <f>IF(BS!C50&gt;30,"nm",BS!C50)</f>
        <v>22.317734925377231</v>
      </c>
    </row>
    <row r="82" spans="1:6">
      <c r="A82" s="191"/>
    </row>
    <row r="83" spans="1:6">
      <c r="A83" s="191"/>
      <c r="B83" s="1" t="s">
        <v>466</v>
      </c>
    </row>
    <row r="84" spans="1:6">
      <c r="A84" s="191"/>
      <c r="B84" s="1" t="s">
        <v>224</v>
      </c>
      <c r="C84" s="285">
        <f>DCF!F5</f>
        <v>40016.783734193319</v>
      </c>
      <c r="D84" s="1" t="str">
        <f>Reporting_currency</f>
        <v>CNY</v>
      </c>
    </row>
    <row r="85" spans="1:6">
      <c r="A85" s="191"/>
      <c r="B85" s="229" t="s">
        <v>222</v>
      </c>
      <c r="C85" s="291">
        <f>BS!C66</f>
        <v>149625</v>
      </c>
      <c r="D85" s="339" t="str">
        <f>Reporting_currency</f>
        <v>CNY</v>
      </c>
    </row>
    <row r="86" spans="1:6">
      <c r="A86" s="191"/>
      <c r="B86" s="44" t="s">
        <v>235</v>
      </c>
      <c r="C86" s="201">
        <f>C84*scaling_factor*Exchange_Rate/Common_Shares</f>
        <v>16.113401249601743</v>
      </c>
      <c r="D86" s="1" t="str">
        <f>Market_currency</f>
        <v>HKD</v>
      </c>
    </row>
    <row r="87" spans="1:6">
      <c r="A87" s="191"/>
    </row>
    <row r="88" spans="1:6">
      <c r="A88" s="191"/>
      <c r="B88" s="1" t="s">
        <v>216</v>
      </c>
    </row>
    <row r="89" spans="1:6">
      <c r="A89" s="191"/>
      <c r="B89" s="1" t="s">
        <v>217</v>
      </c>
      <c r="C89" s="285">
        <f>DCF!F6</f>
        <v>81748.2</v>
      </c>
      <c r="D89" s="1" t="str">
        <f>Reporting_currency</f>
        <v>CNY</v>
      </c>
    </row>
    <row r="90" spans="1:6">
      <c r="A90" s="191"/>
      <c r="B90" s="44" t="s">
        <v>236</v>
      </c>
      <c r="C90" s="201">
        <f>C89*scaling_factor*Exchange_Rate/Common_Shares</f>
        <v>32.917226851171044</v>
      </c>
      <c r="D90" s="1" t="str">
        <f>Market_currency</f>
        <v>HKD</v>
      </c>
    </row>
    <row r="91" spans="1:6">
      <c r="A91" s="191"/>
    </row>
    <row r="92" spans="1:6">
      <c r="A92" s="191"/>
      <c r="B92" s="44" t="s">
        <v>469</v>
      </c>
      <c r="C92" s="216">
        <f>DCF!F8</f>
        <v>6.1052164829587294</v>
      </c>
      <c r="D92" s="44" t="str">
        <f>Market_currency</f>
        <v>HKD</v>
      </c>
    </row>
    <row r="94" spans="1:6" ht="13.9">
      <c r="A94" s="200" t="s">
        <v>470</v>
      </c>
      <c r="B94" s="34"/>
      <c r="C94" s="34"/>
      <c r="D94" s="34"/>
      <c r="E94" s="34"/>
      <c r="F94" s="34"/>
    </row>
    <row r="95" spans="1:6">
      <c r="A95" s="191"/>
    </row>
    <row r="96" spans="1:6" ht="11.75" customHeight="1">
      <c r="B96" s="461" t="s">
        <v>485</v>
      </c>
      <c r="C96" s="461"/>
      <c r="D96" s="461"/>
      <c r="E96" s="461"/>
      <c r="F96" s="461"/>
    </row>
    <row r="97" spans="2:6">
      <c r="B97" s="463" t="s">
        <v>484</v>
      </c>
      <c r="C97" s="463"/>
      <c r="D97" s="463"/>
      <c r="E97" s="463"/>
      <c r="F97" s="463"/>
    </row>
    <row r="98" spans="2:6">
      <c r="B98" s="463" t="s">
        <v>483</v>
      </c>
      <c r="C98" s="463"/>
      <c r="D98" s="463"/>
      <c r="E98" s="463"/>
      <c r="F98" s="463"/>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1" t="s">
        <v>283</v>
      </c>
      <c r="C107" s="461"/>
      <c r="D107" s="461"/>
      <c r="E107" s="461"/>
      <c r="F107" s="461"/>
    </row>
    <row r="108" spans="2:6">
      <c r="B108" s="461" t="s">
        <v>284</v>
      </c>
      <c r="C108" s="461"/>
      <c r="D108" s="461"/>
      <c r="E108" s="461"/>
      <c r="F108" s="461"/>
    </row>
    <row r="110" spans="2:6">
      <c r="B110" s="192" t="s">
        <v>487</v>
      </c>
    </row>
    <row r="111" spans="2:6">
      <c r="B111" s="49" t="s">
        <v>468</v>
      </c>
      <c r="C111" s="216">
        <f>BS!D47</f>
        <v>-67.068081623722534</v>
      </c>
      <c r="D111" s="1" t="str">
        <f>Market_currency</f>
        <v>HKD</v>
      </c>
    </row>
    <row r="112" spans="2:6">
      <c r="B112" s="44" t="s">
        <v>323</v>
      </c>
      <c r="C112" s="216">
        <f>DCF!C11</f>
        <v>-16.202288722125886</v>
      </c>
      <c r="D112" s="1" t="str">
        <f>Market_currency</f>
        <v>HKD</v>
      </c>
    </row>
    <row r="114" spans="2:6" ht="24.5" customHeight="1">
      <c r="B114" s="461" t="s">
        <v>491</v>
      </c>
      <c r="C114" s="461"/>
      <c r="D114" s="461"/>
      <c r="E114" s="461"/>
      <c r="F114" s="461"/>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0.08</v>
      </c>
      <c r="D118" s="207" t="str">
        <f>ROUND(DCF!E90,2)&amp;" "&amp;Market_currency</f>
        <v>250.59 HKD</v>
      </c>
      <c r="E118" s="208">
        <f>DCF!F90</f>
        <v>0.15</v>
      </c>
      <c r="F118" s="208">
        <f>RATE(Holding_Period,Scenarios!C$58,-DCF!E90,C$18)</f>
        <v>-9.4962067730307298E-2</v>
      </c>
    </row>
    <row r="119" spans="2:6">
      <c r="B119" s="205" t="str">
        <f>DCF!B91&amp;" ("&amp;DCF!D91&amp;"yrs)"</f>
        <v>Optimistic (10yrs)</v>
      </c>
      <c r="C119" s="198">
        <f>DCF!C91</f>
        <v>0.05</v>
      </c>
      <c r="D119" s="207" t="str">
        <f>ROUND(DCF!E91,2)&amp;" "&amp;Market_currency</f>
        <v>193.67 HKD</v>
      </c>
      <c r="E119" s="199">
        <f>DCF!F91</f>
        <v>0.15999999999999995</v>
      </c>
      <c r="F119" s="208">
        <f>RATE(Holding_Period,Scenarios!C$58,-DCF!E91,C$18)</f>
        <v>-1.2300931100861891E-2</v>
      </c>
    </row>
    <row r="120" spans="2:6">
      <c r="B120" s="205" t="str">
        <f>DCF!B92&amp;" ("&amp;DCF!D92&amp;"yrs)"</f>
        <v>Base (10yrs)</v>
      </c>
      <c r="C120" s="198">
        <f>DCF!C92</f>
        <v>0.03</v>
      </c>
      <c r="D120" s="207" t="str">
        <f>ROUND(DCF!E92,2)&amp;" "&amp;Market_currency</f>
        <v>162.7 HKD</v>
      </c>
      <c r="E120" s="199">
        <f>DCF!F92</f>
        <v>0.44</v>
      </c>
      <c r="F120" s="208">
        <f>RATE(Holding_Period,Scenarios!C$58,-DCF!E92,C$18)</f>
        <v>4.7970854030269579E-2</v>
      </c>
    </row>
    <row r="121" spans="2:6">
      <c r="B121" s="205" t="str">
        <f>DCF!B93&amp;" ("&amp;DCF!D93&amp;"yrs)"</f>
        <v>Pessimistic (10yrs)</v>
      </c>
      <c r="C121" s="198">
        <f>DCF!C93</f>
        <v>0.02</v>
      </c>
      <c r="D121" s="207" t="str">
        <f>ROUND(DCF!E93,2)&amp;" "&amp;Market_currency</f>
        <v>149.01 HKD</v>
      </c>
      <c r="E121" s="199">
        <f>DCF!F93</f>
        <v>0.19999999999999998</v>
      </c>
      <c r="F121" s="208">
        <f>RATE(Holding_Period,Scenarios!C$58,-DCF!E93,C$18)</f>
        <v>7.9777093184162803E-2</v>
      </c>
    </row>
    <row r="122" spans="2:6">
      <c r="B122" s="205" t="str">
        <f>DCF!B94&amp;" ("&amp;DCF!D94&amp;"yrs)"</f>
        <v>Devil's advocate (10yrs)</v>
      </c>
      <c r="C122" s="198">
        <f>DCF!C94</f>
        <v>0</v>
      </c>
      <c r="D122" s="207" t="str">
        <f>ROUND(DCF!E94,2)&amp;" "&amp;Market_currency</f>
        <v>124.84 HKD</v>
      </c>
      <c r="E122" s="199">
        <f>DCF!F94</f>
        <v>0.05</v>
      </c>
      <c r="F122" s="208">
        <f>RATE(Holding_Period,Scenarios!C$58,-DCF!E94,C$18)</f>
        <v>0.14694055441603152</v>
      </c>
    </row>
    <row r="124" spans="2:6">
      <c r="B124" s="462" t="s">
        <v>357</v>
      </c>
      <c r="C124" s="462"/>
      <c r="D124" s="462"/>
      <c r="E124" s="462"/>
      <c r="F124" s="462"/>
    </row>
    <row r="125" spans="2:6">
      <c r="B125" s="193" t="s">
        <v>218</v>
      </c>
      <c r="C125" s="197">
        <f>Scenarios!C36</f>
        <v>176.2070175054501</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4" t="s">
        <v>285</v>
      </c>
      <c r="C131" s="464"/>
      <c r="D131" s="464"/>
      <c r="E131" s="464"/>
      <c r="F131" s="464"/>
    </row>
    <row r="132" spans="1:6">
      <c r="B132" s="461" t="s">
        <v>359</v>
      </c>
      <c r="C132" s="461"/>
      <c r="D132" s="461"/>
      <c r="E132" s="461"/>
      <c r="F132" s="461"/>
    </row>
    <row r="134" spans="1:6">
      <c r="B134" s="192" t="s">
        <v>195</v>
      </c>
    </row>
    <row r="135" spans="1:6">
      <c r="B135" s="1" t="s">
        <v>221</v>
      </c>
      <c r="C135" s="202">
        <f>E21</f>
        <v>3</v>
      </c>
    </row>
    <row r="136" spans="1:6">
      <c r="B136" s="194" t="s">
        <v>220</v>
      </c>
      <c r="C136" s="195">
        <f>Scenarios!C58</f>
        <v>3.51</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6.3745562130177529</v>
      </c>
      <c r="D140" s="333">
        <f>Scenarios!D62</f>
        <v>80.20346723051891</v>
      </c>
      <c r="E140" s="334">
        <f>Scenarios!E62</f>
        <v>86.578023443536665</v>
      </c>
      <c r="F140" s="335">
        <f>E22</f>
        <v>0.3</v>
      </c>
    </row>
    <row r="141" spans="1:6">
      <c r="B141" s="336" t="s">
        <v>313</v>
      </c>
      <c r="C141" s="333">
        <f>Scenarios!C63</f>
        <v>7.3937499999999998</v>
      </c>
      <c r="D141" s="333">
        <f>Scenarios!D63</f>
        <v>101.97165364898733</v>
      </c>
      <c r="E141" s="334">
        <f>Scenarios!E63</f>
        <v>109.36540364898732</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8.4682369720446573</v>
      </c>
      <c r="D144" s="333">
        <f>Scenarios!D66</f>
        <v>126.29821111917262</v>
      </c>
      <c r="E144" s="334">
        <f>Scenarios!E66</f>
        <v>134.76644809121728</v>
      </c>
      <c r="F144" s="335">
        <f>E24</f>
        <v>0.1174</v>
      </c>
    </row>
    <row r="145" spans="1:6">
      <c r="B145" s="336" t="s">
        <v>314</v>
      </c>
      <c r="C145" s="333">
        <f>Scenarios!C67</f>
        <v>9.1694370473772864</v>
      </c>
      <c r="D145" s="333">
        <f>Scenarios!D67</f>
        <v>142.8339010700173</v>
      </c>
      <c r="E145" s="334">
        <f>Scenarios!E67</f>
        <v>152.00333811739461</v>
      </c>
      <c r="F145" s="335">
        <f>Scenarios!F67</f>
        <v>7.2499999999999995E-2</v>
      </c>
    </row>
    <row r="147" spans="1:6" ht="13.9">
      <c r="A147" s="200" t="s">
        <v>475</v>
      </c>
      <c r="B147" s="34"/>
      <c r="C147" s="34"/>
      <c r="D147" s="34"/>
      <c r="E147" s="34"/>
      <c r="F147" s="34"/>
    </row>
    <row r="149" spans="1:6">
      <c r="B149" s="468" t="s">
        <v>360</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438</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47" activePane="bottomRight" state="frozen"/>
      <selection pane="topRight" activeCell="C1" sqref="C1"/>
      <selection pane="bottomLeft" activeCell="A2" sqref="A2"/>
      <selection pane="bottomRight" activeCell="G70" sqref="G7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46022</v>
      </c>
      <c r="D1" s="36">
        <f>EOMONTH(EDATE(C1,-12),0)</f>
        <v>45657</v>
      </c>
      <c r="E1" s="36">
        <f t="shared" ref="E1:M1" si="0">EOMONTH(EDATE(D1,-12),0)</f>
        <v>45291</v>
      </c>
      <c r="F1" s="36">
        <f t="shared" si="0"/>
        <v>44926</v>
      </c>
      <c r="G1" s="36">
        <f t="shared" si="0"/>
        <v>44561</v>
      </c>
      <c r="H1" s="36">
        <f t="shared" si="0"/>
        <v>44196</v>
      </c>
      <c r="I1" s="36">
        <f t="shared" si="0"/>
        <v>43830</v>
      </c>
      <c r="J1" s="36">
        <f t="shared" si="0"/>
        <v>43465</v>
      </c>
      <c r="K1" s="36">
        <f t="shared" si="0"/>
        <v>43100</v>
      </c>
      <c r="L1" s="36">
        <f t="shared" si="0"/>
        <v>42735</v>
      </c>
      <c r="M1" s="36">
        <f t="shared" si="0"/>
        <v>42369</v>
      </c>
    </row>
    <row r="2" spans="2:13" ht="13.9">
      <c r="B2" s="34" t="s">
        <v>93</v>
      </c>
      <c r="C2" s="35"/>
      <c r="D2" s="35"/>
      <c r="E2" s="35"/>
      <c r="F2" s="35"/>
      <c r="G2" s="35"/>
      <c r="H2" s="35"/>
      <c r="I2" s="35"/>
      <c r="J2" s="35"/>
      <c r="K2" s="35"/>
      <c r="L2" s="35"/>
      <c r="M2" s="35"/>
    </row>
    <row r="3" spans="2:13">
      <c r="B3" s="16" t="s">
        <v>25</v>
      </c>
      <c r="C3" s="103">
        <v>1000000</v>
      </c>
    </row>
    <row r="4" spans="2:13">
      <c r="B4" s="31" t="s">
        <v>0</v>
      </c>
      <c r="C4" s="287">
        <v>1309085</v>
      </c>
      <c r="D4" s="287">
        <v>1158819</v>
      </c>
      <c r="E4" s="287">
        <v>1084662</v>
      </c>
      <c r="F4" s="287">
        <v>1046236</v>
      </c>
      <c r="G4" s="287">
        <v>951592</v>
      </c>
      <c r="H4" s="287">
        <v>745802</v>
      </c>
      <c r="I4" s="287"/>
      <c r="J4" s="287"/>
      <c r="K4" s="287"/>
      <c r="L4" s="287"/>
      <c r="M4" s="287"/>
    </row>
    <row r="5" spans="2:13">
      <c r="B5" s="38" t="s">
        <v>40</v>
      </c>
      <c r="C5" s="287">
        <f>1099057</f>
        <v>1099057</v>
      </c>
      <c r="D5" s="287">
        <v>974951</v>
      </c>
      <c r="E5" s="287">
        <v>924958</v>
      </c>
      <c r="F5" s="287">
        <v>899163</v>
      </c>
      <c r="G5" s="287">
        <v>822526</v>
      </c>
      <c r="H5" s="287">
        <v>636694</v>
      </c>
      <c r="I5" s="287"/>
      <c r="J5" s="287"/>
      <c r="K5" s="287"/>
      <c r="L5" s="287"/>
      <c r="M5" s="287"/>
    </row>
    <row r="6" spans="2:13">
      <c r="B6" s="38" t="s">
        <v>51</v>
      </c>
      <c r="C6" s="287">
        <f>11980+88176+C7</f>
        <v>184109</v>
      </c>
      <c r="D6" s="287">
        <v>127267</v>
      </c>
      <c r="E6" s="287">
        <v>114401</v>
      </c>
      <c r="F6" s="287">
        <v>111836</v>
      </c>
      <c r="G6" s="287">
        <v>109360</v>
      </c>
      <c r="H6" s="287">
        <v>82265</v>
      </c>
      <c r="I6" s="287"/>
      <c r="J6" s="287"/>
      <c r="K6" s="287"/>
      <c r="L6" s="287"/>
      <c r="M6" s="287"/>
    </row>
    <row r="7" spans="2:13">
      <c r="B7" s="66" t="s">
        <v>58</v>
      </c>
      <c r="C7" s="288">
        <f>83953</f>
        <v>83953</v>
      </c>
      <c r="D7" s="288">
        <v>47953</v>
      </c>
      <c r="E7" s="288">
        <v>40133</v>
      </c>
      <c r="F7" s="288">
        <v>37772</v>
      </c>
      <c r="G7" s="288">
        <v>38743</v>
      </c>
      <c r="H7" s="288">
        <v>27156</v>
      </c>
      <c r="I7" s="288"/>
      <c r="J7" s="288"/>
      <c r="K7" s="288"/>
      <c r="L7" s="288"/>
      <c r="M7" s="288"/>
    </row>
    <row r="8" spans="2:13">
      <c r="B8" s="38" t="s">
        <v>46</v>
      </c>
      <c r="C8" s="287">
        <v>22229</v>
      </c>
      <c r="D8" s="287">
        <v>17031</v>
      </c>
      <c r="E8" s="287">
        <v>16393</v>
      </c>
      <c r="F8" s="287">
        <v>16893</v>
      </c>
      <c r="G8" s="287">
        <v>11562</v>
      </c>
      <c r="H8" s="287">
        <v>16149</v>
      </c>
      <c r="I8" s="287"/>
      <c r="J8" s="287"/>
      <c r="K8" s="287"/>
      <c r="L8" s="287"/>
      <c r="M8" s="287"/>
    </row>
    <row r="9" spans="2:13">
      <c r="B9" s="38" t="s">
        <v>134</v>
      </c>
      <c r="C9" s="287">
        <v>2327</v>
      </c>
      <c r="D9" s="287">
        <v>2327</v>
      </c>
      <c r="E9" s="287">
        <v>1010</v>
      </c>
      <c r="F9" s="287">
        <v>-2195</v>
      </c>
      <c r="G9" s="287">
        <v>-4918</v>
      </c>
      <c r="H9" s="287">
        <v>4291</v>
      </c>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2803</v>
      </c>
      <c r="D12" s="287">
        <v>2896</v>
      </c>
      <c r="E12" s="287">
        <v>2881</v>
      </c>
      <c r="F12" s="287">
        <v>2106</v>
      </c>
      <c r="G12" s="287">
        <v>1213</v>
      </c>
      <c r="H12" s="287">
        <v>1125</v>
      </c>
      <c r="I12" s="287"/>
      <c r="J12" s="287"/>
      <c r="K12" s="287"/>
      <c r="L12" s="287"/>
      <c r="M12" s="287"/>
    </row>
    <row r="13" spans="2:13">
      <c r="B13" s="38" t="s">
        <v>64</v>
      </c>
      <c r="C13" s="287"/>
      <c r="D13" s="287"/>
      <c r="E13" s="287"/>
      <c r="F13" s="287"/>
      <c r="G13" s="287"/>
      <c r="H13" s="287"/>
      <c r="I13" s="287"/>
      <c r="J13" s="287"/>
      <c r="K13" s="287"/>
      <c r="L13" s="287"/>
      <c r="M13" s="287"/>
    </row>
    <row r="14" spans="2:13">
      <c r="B14" s="38" t="s">
        <v>47</v>
      </c>
      <c r="C14" s="287">
        <v>2181</v>
      </c>
      <c r="D14" s="287">
        <v>6878</v>
      </c>
      <c r="E14" s="287">
        <v>8393</v>
      </c>
      <c r="F14" s="287">
        <v>4176</v>
      </c>
      <c r="G14" s="287">
        <v>1887</v>
      </c>
      <c r="H14" s="287">
        <v>1482</v>
      </c>
      <c r="I14" s="287"/>
      <c r="J14" s="287"/>
      <c r="K14" s="287"/>
      <c r="L14" s="287"/>
      <c r="M14" s="287"/>
    </row>
    <row r="15" spans="2:13">
      <c r="B15" s="41" t="s">
        <v>39</v>
      </c>
      <c r="C15" s="289">
        <v>23142</v>
      </c>
      <c r="D15" s="289">
        <v>44660</v>
      </c>
      <c r="E15" s="289">
        <v>23257</v>
      </c>
      <c r="F15" s="289">
        <v>9691</v>
      </c>
      <c r="G15" s="289">
        <v>-4467</v>
      </c>
      <c r="H15" s="289">
        <v>49337</v>
      </c>
      <c r="I15" s="289"/>
      <c r="J15" s="289"/>
      <c r="K15" s="289"/>
      <c r="L15" s="289"/>
      <c r="M15" s="289"/>
    </row>
    <row r="16" spans="2:13">
      <c r="B16" s="27" t="s">
        <v>41</v>
      </c>
      <c r="C16" s="287">
        <v>3511</v>
      </c>
      <c r="D16" s="287">
        <v>3301</v>
      </c>
      <c r="E16" s="287">
        <v>-910</v>
      </c>
      <c r="F16" s="287">
        <v>-697</v>
      </c>
      <c r="G16" s="287">
        <v>-923</v>
      </c>
      <c r="H16" s="287">
        <v>-75</v>
      </c>
      <c r="I16" s="287"/>
      <c r="J16" s="287"/>
      <c r="K16" s="287"/>
      <c r="L16" s="287"/>
      <c r="M16" s="287"/>
    </row>
    <row r="18" spans="2:13">
      <c r="B18" s="16" t="s">
        <v>48</v>
      </c>
      <c r="C18" s="9"/>
    </row>
    <row r="19" spans="2:13">
      <c r="B19" s="26" t="s">
        <v>44</v>
      </c>
      <c r="C19" s="287">
        <v>8904</v>
      </c>
      <c r="D19" s="287">
        <v>8904</v>
      </c>
      <c r="E19" s="287">
        <v>8292</v>
      </c>
      <c r="F19" s="287">
        <v>7236</v>
      </c>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18991</v>
      </c>
      <c r="D22" s="287">
        <v>58095</v>
      </c>
      <c r="E22" s="287">
        <v>59521</v>
      </c>
      <c r="F22" s="287">
        <v>57819</v>
      </c>
      <c r="G22" s="287">
        <v>42301</v>
      </c>
      <c r="H22" s="287"/>
      <c r="I22" s="287"/>
      <c r="J22" s="287"/>
      <c r="K22" s="287"/>
      <c r="L22" s="287"/>
      <c r="M22" s="287"/>
    </row>
    <row r="23" spans="2:13">
      <c r="B23" s="26" t="s">
        <v>288</v>
      </c>
      <c r="C23" s="287">
        <v>-871</v>
      </c>
      <c r="D23" s="287">
        <v>-871</v>
      </c>
      <c r="E23" s="287">
        <v>-59543</v>
      </c>
      <c r="F23" s="287">
        <v>-54026</v>
      </c>
      <c r="G23" s="287">
        <v>-74248</v>
      </c>
      <c r="H23" s="287"/>
      <c r="I23" s="287"/>
      <c r="J23" s="287"/>
      <c r="K23" s="287"/>
      <c r="L23" s="287"/>
      <c r="M23" s="287"/>
    </row>
    <row r="24" spans="2:13">
      <c r="B24" s="26" t="s">
        <v>287</v>
      </c>
      <c r="C24" s="287">
        <v>-21004</v>
      </c>
      <c r="D24" s="287">
        <v>-21004</v>
      </c>
      <c r="E24" s="287">
        <v>-5808</v>
      </c>
      <c r="F24" s="287">
        <v>1180</v>
      </c>
      <c r="G24" s="287">
        <v>19503</v>
      </c>
      <c r="H24" s="287"/>
      <c r="I24" s="287"/>
      <c r="J24" s="287"/>
      <c r="K24" s="287"/>
      <c r="L24" s="287"/>
      <c r="M24" s="287"/>
    </row>
    <row r="25" spans="2:13">
      <c r="B25" s="23" t="str">
        <f>"Dividend per share ("&amp;Market_currency&amp;")"</f>
        <v>Dividend per share (HKD)</v>
      </c>
      <c r="C25" s="37">
        <f>0.5*7.8</f>
        <v>3.9</v>
      </c>
      <c r="D25" s="37">
        <v>3.9</v>
      </c>
      <c r="E25" s="37">
        <v>2.964</v>
      </c>
      <c r="F25" s="37">
        <v>2.4180000000000001</v>
      </c>
      <c r="G25" s="37">
        <v>0</v>
      </c>
      <c r="H25" s="37"/>
      <c r="I25" s="37"/>
      <c r="J25" s="37"/>
      <c r="K25" s="37"/>
      <c r="L25" s="37"/>
      <c r="M25" s="37"/>
    </row>
    <row r="27" spans="2:13">
      <c r="B27" s="16" t="s">
        <v>26</v>
      </c>
      <c r="C27" s="94" t="s">
        <v>547</v>
      </c>
    </row>
    <row r="28" spans="2:13">
      <c r="B28" s="25" t="s">
        <v>22</v>
      </c>
      <c r="C28" s="270">
        <f>BS!C4</f>
        <v>29475</v>
      </c>
      <c r="D28" s="287">
        <v>41491</v>
      </c>
      <c r="E28" s="287">
        <f>20302+2114</f>
        <v>22416</v>
      </c>
      <c r="F28" s="287">
        <v>205760</v>
      </c>
      <c r="G28" s="287">
        <v>11900</v>
      </c>
      <c r="H28" s="287"/>
      <c r="I28" s="287"/>
      <c r="J28" s="287"/>
      <c r="K28" s="287"/>
      <c r="L28" s="287"/>
      <c r="M28" s="287"/>
    </row>
    <row r="29" spans="2:13">
      <c r="B29" s="25" t="s">
        <v>30</v>
      </c>
      <c r="C29" s="270">
        <f>BS!C6</f>
        <v>95428</v>
      </c>
      <c r="D29" s="287">
        <v>100999</v>
      </c>
      <c r="E29" s="287">
        <v>68058</v>
      </c>
      <c r="F29" s="287">
        <v>77949</v>
      </c>
      <c r="G29" s="287">
        <v>75601</v>
      </c>
      <c r="H29" s="287"/>
      <c r="I29" s="287"/>
      <c r="J29" s="287"/>
      <c r="K29" s="287"/>
      <c r="L29" s="287"/>
      <c r="M29" s="287"/>
    </row>
    <row r="30" spans="2:13">
      <c r="B30" s="28" t="s">
        <v>38</v>
      </c>
      <c r="C30" s="271">
        <f>BS!C33+BS!C42</f>
        <v>401418</v>
      </c>
      <c r="D30" s="289">
        <v>409109</v>
      </c>
      <c r="E30" s="289">
        <v>332578</v>
      </c>
      <c r="F30" s="289">
        <f>266561+54566</f>
        <v>321127</v>
      </c>
      <c r="G30" s="289">
        <f>221636+28087</f>
        <v>249723</v>
      </c>
      <c r="H30" s="289"/>
      <c r="I30" s="289"/>
      <c r="J30" s="289"/>
      <c r="K30" s="289"/>
      <c r="L30" s="289"/>
      <c r="M30" s="289"/>
    </row>
    <row r="31" spans="2:13">
      <c r="B31" s="28" t="s">
        <v>28</v>
      </c>
      <c r="C31" s="271">
        <f>BS!G27</f>
        <v>293783</v>
      </c>
      <c r="D31" s="289">
        <v>304420</v>
      </c>
      <c r="E31" s="289">
        <v>295766</v>
      </c>
      <c r="F31" s="289">
        <v>274123</v>
      </c>
      <c r="G31" s="289">
        <v>246784</v>
      </c>
      <c r="H31" s="289"/>
      <c r="I31" s="289"/>
      <c r="J31" s="289"/>
      <c r="K31" s="289"/>
      <c r="L31" s="289"/>
      <c r="M31" s="289"/>
    </row>
    <row r="32" spans="2:13">
      <c r="B32" s="25" t="s">
        <v>143</v>
      </c>
      <c r="C32" s="270">
        <f>BS!G28</f>
        <v>68743</v>
      </c>
      <c r="D32" s="287">
        <v>72487</v>
      </c>
      <c r="E32" s="460">
        <v>63908</v>
      </c>
      <c r="F32" s="287">
        <v>60167</v>
      </c>
      <c r="G32" s="287">
        <v>36661</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1309085</v>
      </c>
      <c r="D36" s="270">
        <f t="shared" si="1"/>
        <v>1158819</v>
      </c>
      <c r="E36" s="270">
        <f t="shared" si="1"/>
        <v>1084662</v>
      </c>
      <c r="F36" s="270">
        <f t="shared" si="1"/>
        <v>1046236</v>
      </c>
      <c r="G36" s="270">
        <f t="shared" si="1"/>
        <v>951592</v>
      </c>
      <c r="H36" s="270">
        <f t="shared" si="1"/>
        <v>745802</v>
      </c>
      <c r="I36" s="270" t="str">
        <f t="shared" si="1"/>
        <v/>
      </c>
      <c r="J36" s="270" t="str">
        <f t="shared" si="1"/>
        <v/>
      </c>
      <c r="K36" s="270" t="str">
        <f t="shared" si="1"/>
        <v/>
      </c>
      <c r="L36" s="270" t="str">
        <f t="shared" si="1"/>
        <v/>
      </c>
      <c r="M36" s="270" t="str">
        <f t="shared" si="1"/>
        <v/>
      </c>
    </row>
    <row r="37" spans="2:13">
      <c r="B37" s="38" t="s">
        <v>40</v>
      </c>
      <c r="C37" s="270">
        <f t="shared" ref="C37:M37" si="2">IF(C$4="","",-C5)</f>
        <v>-1099057</v>
      </c>
      <c r="D37" s="270">
        <f t="shared" si="2"/>
        <v>-974951</v>
      </c>
      <c r="E37" s="270">
        <f t="shared" si="2"/>
        <v>-924958</v>
      </c>
      <c r="F37" s="270">
        <f t="shared" si="2"/>
        <v>-899163</v>
      </c>
      <c r="G37" s="270">
        <f t="shared" si="2"/>
        <v>-822526</v>
      </c>
      <c r="H37" s="270">
        <f t="shared" si="2"/>
        <v>-636694</v>
      </c>
      <c r="I37" s="270" t="str">
        <f t="shared" si="2"/>
        <v/>
      </c>
      <c r="J37" s="270" t="str">
        <f t="shared" si="2"/>
        <v/>
      </c>
      <c r="K37" s="270" t="str">
        <f t="shared" si="2"/>
        <v/>
      </c>
      <c r="L37" s="270" t="str">
        <f t="shared" si="2"/>
        <v/>
      </c>
      <c r="M37" s="270" t="str">
        <f t="shared" si="2"/>
        <v/>
      </c>
    </row>
    <row r="38" spans="2:13">
      <c r="B38" s="30" t="s">
        <v>55</v>
      </c>
      <c r="C38" s="267">
        <f>IF(C36="","",C36+C37)</f>
        <v>210028</v>
      </c>
      <c r="D38" s="267">
        <f t="shared" ref="D38" si="3">IF(D36="","",D36+D37)</f>
        <v>183868</v>
      </c>
      <c r="E38" s="267">
        <f t="shared" ref="E38" si="4">IF(E36="","",E36+E37)</f>
        <v>159704</v>
      </c>
      <c r="F38" s="267">
        <f t="shared" ref="F38" si="5">IF(F36="","",F36+F37)</f>
        <v>147073</v>
      </c>
      <c r="G38" s="267">
        <f t="shared" ref="G38" si="6">IF(G36="","",G36+G37)</f>
        <v>129066</v>
      </c>
      <c r="H38" s="267">
        <f t="shared" ref="H38" si="7">IF(H36="","",H36+H37)</f>
        <v>109108</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-184109</v>
      </c>
      <c r="D39" s="270">
        <f t="shared" si="13"/>
        <v>-127267</v>
      </c>
      <c r="E39" s="270">
        <f t="shared" si="13"/>
        <v>-114401</v>
      </c>
      <c r="F39" s="270">
        <f t="shared" si="13"/>
        <v>-111836</v>
      </c>
      <c r="G39" s="270">
        <f t="shared" si="13"/>
        <v>-109360</v>
      </c>
      <c r="H39" s="270">
        <f t="shared" si="13"/>
        <v>-82265</v>
      </c>
      <c r="I39" s="270" t="str">
        <f t="shared" si="13"/>
        <v/>
      </c>
      <c r="J39" s="270" t="str">
        <f t="shared" si="13"/>
        <v/>
      </c>
      <c r="K39" s="270" t="str">
        <f t="shared" si="13"/>
        <v/>
      </c>
      <c r="L39" s="270" t="str">
        <f t="shared" si="13"/>
        <v/>
      </c>
      <c r="M39" s="270" t="str">
        <f t="shared" si="13"/>
        <v/>
      </c>
    </row>
    <row r="40" spans="2:13">
      <c r="B40" s="66" t="s">
        <v>58</v>
      </c>
      <c r="C40" s="282">
        <f t="shared" ref="C40:M40" si="14">IF(C$4="","",-C7)</f>
        <v>-83953</v>
      </c>
      <c r="D40" s="282">
        <f t="shared" si="14"/>
        <v>-47953</v>
      </c>
      <c r="E40" s="282">
        <f t="shared" si="14"/>
        <v>-40133</v>
      </c>
      <c r="F40" s="282">
        <f t="shared" si="14"/>
        <v>-37772</v>
      </c>
      <c r="G40" s="282">
        <f t="shared" si="14"/>
        <v>-38743</v>
      </c>
      <c r="H40" s="282">
        <f t="shared" si="14"/>
        <v>-27156</v>
      </c>
      <c r="I40" s="282" t="str">
        <f t="shared" si="14"/>
        <v/>
      </c>
      <c r="J40" s="282" t="str">
        <f t="shared" si="14"/>
        <v/>
      </c>
      <c r="K40" s="282" t="str">
        <f t="shared" si="14"/>
        <v/>
      </c>
      <c r="L40" s="282" t="str">
        <f t="shared" si="14"/>
        <v/>
      </c>
      <c r="M40" s="282" t="str">
        <f t="shared" si="14"/>
        <v/>
      </c>
    </row>
    <row r="41" spans="2:13">
      <c r="B41" s="66" t="s">
        <v>61</v>
      </c>
      <c r="C41" s="282">
        <f>IF(C$4="","",C39-C40)</f>
        <v>-100156</v>
      </c>
      <c r="D41" s="282">
        <f t="shared" ref="D41:M41" si="15">IF(D$4="","",D39-D40)</f>
        <v>-79314</v>
      </c>
      <c r="E41" s="282">
        <f t="shared" si="15"/>
        <v>-74268</v>
      </c>
      <c r="F41" s="282">
        <f t="shared" si="15"/>
        <v>-74064</v>
      </c>
      <c r="G41" s="282">
        <f t="shared" si="15"/>
        <v>-70617</v>
      </c>
      <c r="H41" s="282">
        <f t="shared" si="15"/>
        <v>-55109</v>
      </c>
      <c r="I41" s="282" t="str">
        <f t="shared" si="15"/>
        <v/>
      </c>
      <c r="J41" s="282" t="str">
        <f t="shared" si="15"/>
        <v/>
      </c>
      <c r="K41" s="282" t="str">
        <f t="shared" si="15"/>
        <v/>
      </c>
      <c r="L41" s="282" t="str">
        <f t="shared" si="15"/>
        <v/>
      </c>
      <c r="M41" s="282" t="str">
        <f t="shared" si="15"/>
        <v/>
      </c>
    </row>
    <row r="42" spans="2:13">
      <c r="B42" s="38" t="s">
        <v>46</v>
      </c>
      <c r="C42" s="270">
        <f t="shared" ref="C42:M42" si="16">IF(C$4="","",-C8)</f>
        <v>-22229</v>
      </c>
      <c r="D42" s="270">
        <f t="shared" si="16"/>
        <v>-17031</v>
      </c>
      <c r="E42" s="270">
        <f t="shared" si="16"/>
        <v>-16393</v>
      </c>
      <c r="F42" s="270">
        <f t="shared" si="16"/>
        <v>-16893</v>
      </c>
      <c r="G42" s="270">
        <f t="shared" si="16"/>
        <v>-11562</v>
      </c>
      <c r="H42" s="270">
        <f t="shared" si="16"/>
        <v>-16149</v>
      </c>
      <c r="I42" s="270" t="str">
        <f t="shared" si="16"/>
        <v/>
      </c>
      <c r="J42" s="270" t="str">
        <f t="shared" si="16"/>
        <v/>
      </c>
      <c r="K42" s="270" t="str">
        <f t="shared" si="16"/>
        <v/>
      </c>
      <c r="L42" s="270" t="str">
        <f t="shared" si="16"/>
        <v/>
      </c>
      <c r="M42" s="270" t="str">
        <f t="shared" si="16"/>
        <v/>
      </c>
    </row>
    <row r="43" spans="2:13">
      <c r="B43" s="41" t="s">
        <v>127</v>
      </c>
      <c r="C43" s="271">
        <f>IF(C$4="","",C38+C39+C42)</f>
        <v>3690</v>
      </c>
      <c r="D43" s="271">
        <f t="shared" ref="D43:M43" si="17">IF(D$4="","",D38+D39+D42)</f>
        <v>39570</v>
      </c>
      <c r="E43" s="271">
        <f t="shared" si="17"/>
        <v>28910</v>
      </c>
      <c r="F43" s="271">
        <f t="shared" si="17"/>
        <v>18344</v>
      </c>
      <c r="G43" s="271">
        <f t="shared" si="17"/>
        <v>8144</v>
      </c>
      <c r="H43" s="271">
        <f t="shared" si="17"/>
        <v>10694</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24436</v>
      </c>
      <c r="D44" s="290">
        <f t="shared" si="18"/>
        <v>14864</v>
      </c>
      <c r="E44" s="290">
        <f t="shared" si="18"/>
        <v>5621</v>
      </c>
      <c r="F44" s="290">
        <f t="shared" si="18"/>
        <v>-2371</v>
      </c>
      <c r="G44" s="290">
        <f t="shared" si="18"/>
        <v>-9511</v>
      </c>
      <c r="H44" s="290">
        <f t="shared" si="18"/>
        <v>41250</v>
      </c>
      <c r="I44" s="290" t="str">
        <f t="shared" si="18"/>
        <v/>
      </c>
      <c r="J44" s="290" t="str">
        <f t="shared" si="18"/>
        <v/>
      </c>
      <c r="K44" s="290" t="str">
        <f t="shared" si="18"/>
        <v/>
      </c>
      <c r="L44" s="290" t="str">
        <f t="shared" si="18"/>
        <v/>
      </c>
      <c r="M44" s="290" t="str">
        <f t="shared" si="18"/>
        <v/>
      </c>
    </row>
    <row r="45" spans="2:13">
      <c r="B45" s="38" t="s">
        <v>65</v>
      </c>
      <c r="C45" s="285">
        <f t="shared" ref="C45:M45" si="19">IF(C$4="","",C51+C52)</f>
        <v>-2803</v>
      </c>
      <c r="D45" s="285">
        <f t="shared" si="19"/>
        <v>-2896</v>
      </c>
      <c r="E45" s="285">
        <f t="shared" si="19"/>
        <v>-2881</v>
      </c>
      <c r="F45" s="285">
        <f t="shared" si="19"/>
        <v>-2106</v>
      </c>
      <c r="G45" s="285">
        <f t="shared" si="19"/>
        <v>-1213</v>
      </c>
      <c r="H45" s="285">
        <f t="shared" si="19"/>
        <v>-1125</v>
      </c>
      <c r="I45" s="285" t="str">
        <f t="shared" si="19"/>
        <v/>
      </c>
      <c r="J45" s="285" t="str">
        <f t="shared" si="19"/>
        <v/>
      </c>
      <c r="K45" s="285" t="str">
        <f t="shared" si="19"/>
        <v/>
      </c>
      <c r="L45" s="285" t="str">
        <f t="shared" si="19"/>
        <v/>
      </c>
      <c r="M45" s="285" t="str">
        <f t="shared" si="19"/>
        <v/>
      </c>
    </row>
    <row r="46" spans="2:13">
      <c r="B46" s="38" t="s">
        <v>47</v>
      </c>
      <c r="C46" s="270">
        <f>IF(C$4="","",-C14)</f>
        <v>-2181</v>
      </c>
      <c r="D46" s="270">
        <f t="shared" ref="D46:M46" si="20">IF(D$4="","",-D14)</f>
        <v>-6878</v>
      </c>
      <c r="E46" s="270">
        <f t="shared" si="20"/>
        <v>-8393</v>
      </c>
      <c r="F46" s="270">
        <f t="shared" si="20"/>
        <v>-4176</v>
      </c>
      <c r="G46" s="270">
        <f t="shared" si="20"/>
        <v>-1887</v>
      </c>
      <c r="H46" s="270">
        <f t="shared" si="20"/>
        <v>-1482</v>
      </c>
      <c r="I46" s="270" t="str">
        <f t="shared" si="20"/>
        <v/>
      </c>
      <c r="J46" s="270" t="str">
        <f t="shared" si="20"/>
        <v/>
      </c>
      <c r="K46" s="270" t="str">
        <f t="shared" si="20"/>
        <v/>
      </c>
      <c r="L46" s="270" t="str">
        <f t="shared" si="20"/>
        <v/>
      </c>
      <c r="M46" s="270" t="str">
        <f t="shared" si="20"/>
        <v/>
      </c>
    </row>
    <row r="47" spans="2:13">
      <c r="B47" s="41" t="s">
        <v>39</v>
      </c>
      <c r="C47" s="271">
        <f t="shared" ref="C47:M47" si="21">IF(C$4="","",C15)</f>
        <v>23142</v>
      </c>
      <c r="D47" s="271">
        <f t="shared" si="21"/>
        <v>44660</v>
      </c>
      <c r="E47" s="271">
        <f t="shared" si="21"/>
        <v>23257</v>
      </c>
      <c r="F47" s="271">
        <f t="shared" si="21"/>
        <v>9691</v>
      </c>
      <c r="G47" s="271">
        <f t="shared" si="21"/>
        <v>-4467</v>
      </c>
      <c r="H47" s="271">
        <f t="shared" si="21"/>
        <v>49337</v>
      </c>
      <c r="I47" s="271" t="str">
        <f t="shared" si="21"/>
        <v/>
      </c>
      <c r="J47" s="271" t="str">
        <f t="shared" si="21"/>
        <v/>
      </c>
      <c r="K47" s="271" t="str">
        <f t="shared" si="21"/>
        <v/>
      </c>
      <c r="L47" s="271" t="str">
        <f t="shared" si="21"/>
        <v/>
      </c>
      <c r="M47" s="271" t="str">
        <f t="shared" si="21"/>
        <v/>
      </c>
    </row>
    <row r="48" spans="2:13">
      <c r="B48" s="27" t="s">
        <v>41</v>
      </c>
      <c r="C48" s="270">
        <f t="shared" ref="C48:M48" si="22">IF(C$4="","",MIN(-C16,0))</f>
        <v>-3511</v>
      </c>
      <c r="D48" s="270">
        <f t="shared" si="22"/>
        <v>-3301</v>
      </c>
      <c r="E48" s="270">
        <f t="shared" si="22"/>
        <v>0</v>
      </c>
      <c r="F48" s="270">
        <f t="shared" si="22"/>
        <v>0</v>
      </c>
      <c r="G48" s="270">
        <f t="shared" si="22"/>
        <v>0</v>
      </c>
      <c r="H48" s="270">
        <f t="shared" si="22"/>
        <v>0</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-2803</v>
      </c>
      <c r="D51" s="270">
        <f t="shared" si="23"/>
        <v>-2896</v>
      </c>
      <c r="E51" s="270">
        <f t="shared" si="23"/>
        <v>-2881</v>
      </c>
      <c r="F51" s="270">
        <f t="shared" si="23"/>
        <v>-2106</v>
      </c>
      <c r="G51" s="270">
        <f t="shared" si="23"/>
        <v>-1213</v>
      </c>
      <c r="H51" s="270">
        <f t="shared" si="23"/>
        <v>-1125</v>
      </c>
      <c r="I51" s="270" t="str">
        <f t="shared" si="23"/>
        <v/>
      </c>
      <c r="J51" s="270" t="str">
        <f t="shared" si="23"/>
        <v/>
      </c>
      <c r="K51" s="270" t="str">
        <f t="shared" si="23"/>
        <v/>
      </c>
      <c r="L51" s="270" t="str">
        <f t="shared" si="23"/>
        <v/>
      </c>
      <c r="M51" s="270" t="str">
        <f t="shared" si="23"/>
        <v/>
      </c>
    </row>
    <row r="52" spans="2:13">
      <c r="B52" s="38" t="s">
        <v>64</v>
      </c>
      <c r="C52" s="270">
        <f>IF(C$4="","",C13)</f>
        <v>0</v>
      </c>
      <c r="D52" s="270">
        <f t="shared" ref="D52:M52" si="24">IF(D$4="","",D13)</f>
        <v>0</v>
      </c>
      <c r="E52" s="270">
        <f t="shared" si="24"/>
        <v>0</v>
      </c>
      <c r="F52" s="270">
        <f t="shared" si="24"/>
        <v>0</v>
      </c>
      <c r="G52" s="270">
        <f t="shared" si="24"/>
        <v>0</v>
      </c>
      <c r="H52" s="270">
        <f t="shared" si="24"/>
        <v>0</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2327</v>
      </c>
      <c r="D55" s="285">
        <f t="shared" si="25"/>
        <v>2327</v>
      </c>
      <c r="E55" s="285">
        <f t="shared" si="25"/>
        <v>1010</v>
      </c>
      <c r="F55" s="285">
        <f t="shared" si="25"/>
        <v>-2195</v>
      </c>
      <c r="G55" s="285">
        <f t="shared" si="25"/>
        <v>-4918</v>
      </c>
      <c r="H55" s="285">
        <f t="shared" si="25"/>
        <v>4291</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t="str">
        <f t="shared" si="27"/>
        <v/>
      </c>
      <c r="J57" s="285" t="str">
        <f t="shared" si="27"/>
        <v/>
      </c>
      <c r="K57" s="285" t="str">
        <f t="shared" si="27"/>
        <v/>
      </c>
      <c r="L57" s="285" t="str">
        <f t="shared" si="27"/>
        <v/>
      </c>
      <c r="M57" s="285" t="str">
        <f t="shared" si="27"/>
        <v/>
      </c>
    </row>
    <row r="58" spans="2:13">
      <c r="B58" s="38" t="s">
        <v>135</v>
      </c>
      <c r="C58" s="285">
        <f>IF(C$4="","",C44-C55-C56-C57)</f>
        <v>22109</v>
      </c>
      <c r="D58" s="285">
        <f t="shared" ref="D58:M58" si="28">IF(D$4="","",D44-D55-D56-D57)</f>
        <v>12537</v>
      </c>
      <c r="E58" s="285">
        <f t="shared" si="28"/>
        <v>4611</v>
      </c>
      <c r="F58" s="285">
        <f t="shared" si="28"/>
        <v>-176</v>
      </c>
      <c r="G58" s="285">
        <f t="shared" si="28"/>
        <v>-4593</v>
      </c>
      <c r="H58" s="285">
        <f t="shared" si="28"/>
        <v>36959</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-8904</v>
      </c>
      <c r="D61" s="270">
        <f t="shared" ref="D61:M61" si="29">IF(D$4="","",-D19)</f>
        <v>-8904</v>
      </c>
      <c r="E61" s="270">
        <f t="shared" si="29"/>
        <v>-8292</v>
      </c>
      <c r="F61" s="270">
        <f t="shared" si="29"/>
        <v>-7236</v>
      </c>
      <c r="G61" s="270">
        <f t="shared" si="29"/>
        <v>0</v>
      </c>
      <c r="H61" s="270">
        <f t="shared" si="29"/>
        <v>0</v>
      </c>
      <c r="I61" s="270" t="str">
        <f t="shared" si="29"/>
        <v/>
      </c>
      <c r="J61" s="270" t="str">
        <f t="shared" si="29"/>
        <v/>
      </c>
      <c r="K61" s="270" t="str">
        <f t="shared" si="29"/>
        <v/>
      </c>
      <c r="L61" s="270" t="str">
        <f t="shared" si="29"/>
        <v/>
      </c>
      <c r="M61" s="270" t="str">
        <f t="shared" si="29"/>
        <v/>
      </c>
    </row>
    <row r="62" spans="2:13">
      <c r="B62" s="26" t="s">
        <v>50</v>
      </c>
      <c r="C62" s="270">
        <f>IF(C$4="","",IF(C20=0,C61,-C20))</f>
        <v>-8904</v>
      </c>
      <c r="D62" s="270">
        <f t="shared" ref="D62:M62" si="30">IF(D$4="","",IF(D20=0,D61,-D20))</f>
        <v>-8904</v>
      </c>
      <c r="E62" s="270">
        <f t="shared" si="30"/>
        <v>-8292</v>
      </c>
      <c r="F62" s="270">
        <f t="shared" si="30"/>
        <v>-7236</v>
      </c>
      <c r="G62" s="270">
        <f t="shared" si="30"/>
        <v>0</v>
      </c>
      <c r="H62" s="270">
        <f t="shared" si="30"/>
        <v>0</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t="str">
        <f t="shared" si="31"/>
        <v/>
      </c>
      <c r="J63" s="270" t="str">
        <f t="shared" si="31"/>
        <v/>
      </c>
      <c r="K63" s="270" t="str">
        <f t="shared" si="31"/>
        <v/>
      </c>
      <c r="L63" s="270" t="str">
        <f t="shared" si="31"/>
        <v/>
      </c>
      <c r="M63" s="270" t="str">
        <f t="shared" si="31"/>
        <v/>
      </c>
    </row>
    <row r="64" spans="2:13">
      <c r="B64" s="26" t="s">
        <v>305</v>
      </c>
      <c r="C64" s="270">
        <f>IF(C$4="","",C22+C23+C24)</f>
        <v>-2884</v>
      </c>
      <c r="D64" s="270">
        <f t="shared" ref="D64:M64" si="32">IF(D$4="","",D22+D23+D24)</f>
        <v>36220</v>
      </c>
      <c r="E64" s="270">
        <f t="shared" si="32"/>
        <v>-5830</v>
      </c>
      <c r="F64" s="270">
        <f t="shared" si="32"/>
        <v>4973</v>
      </c>
      <c r="G64" s="270">
        <f t="shared" si="32"/>
        <v>-12444</v>
      </c>
      <c r="H64" s="270">
        <f t="shared" si="32"/>
        <v>0</v>
      </c>
      <c r="I64" s="270" t="str">
        <f t="shared" si="32"/>
        <v/>
      </c>
      <c r="J64" s="270" t="str">
        <f t="shared" si="32"/>
        <v/>
      </c>
      <c r="K64" s="270" t="str">
        <f t="shared" si="32"/>
        <v/>
      </c>
      <c r="L64" s="270" t="str">
        <f t="shared" si="32"/>
        <v/>
      </c>
      <c r="M64" s="270" t="str">
        <f t="shared" si="32"/>
        <v/>
      </c>
    </row>
    <row r="65" spans="2:13">
      <c r="B65" s="23" t="s">
        <v>34</v>
      </c>
      <c r="C65" s="70">
        <f>IF(C$4="","",C25)</f>
        <v>3.9</v>
      </c>
      <c r="D65" s="70">
        <f t="shared" ref="D65:M65" si="33">IF(D$4="","",D25)</f>
        <v>3.9</v>
      </c>
      <c r="E65" s="70">
        <f t="shared" si="33"/>
        <v>2.964</v>
      </c>
      <c r="F65" s="70">
        <f t="shared" si="33"/>
        <v>2.4180000000000001</v>
      </c>
      <c r="G65" s="70">
        <f t="shared" si="33"/>
        <v>0</v>
      </c>
      <c r="H65" s="70">
        <f t="shared" si="33"/>
        <v>0</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0.12967167435121452</v>
      </c>
      <c r="D68" s="89">
        <f t="shared" si="34"/>
        <v>6.8368763725473958E-2</v>
      </c>
      <c r="E68" s="89">
        <f t="shared" si="34"/>
        <v>3.6727851077577034E-2</v>
      </c>
      <c r="F68" s="89">
        <f t="shared" si="34"/>
        <v>9.945859149719638E-2</v>
      </c>
      <c r="G68" s="89">
        <f t="shared" si="34"/>
        <v>0.27593114526375628</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0.14227598059477442</v>
      </c>
      <c r="D69" s="89">
        <f t="shared" ref="D69:M69" si="35">IF(E$36="","",D38/E38-1)</f>
        <v>0.1513049140910685</v>
      </c>
      <c r="E69" s="89">
        <f t="shared" si="35"/>
        <v>8.5882520924982941E-2</v>
      </c>
      <c r="F69" s="89">
        <f t="shared" si="35"/>
        <v>0.13951776610416378</v>
      </c>
      <c r="G69" s="89">
        <f t="shared" si="35"/>
        <v>0.18291967591743963</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-0.90674753601213043</v>
      </c>
      <c r="D70" s="98">
        <f t="shared" ref="D70:M70" si="36">IF(E$36="","",D43/E43-1)</f>
        <v>0.36873054306468345</v>
      </c>
      <c r="E70" s="98">
        <f t="shared" si="36"/>
        <v>0.57599215002180548</v>
      </c>
      <c r="F70" s="98">
        <f t="shared" si="36"/>
        <v>1.2524557956777995</v>
      </c>
      <c r="G70" s="98">
        <f t="shared" si="36"/>
        <v>-0.23845146811296059</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0.64397201291711514</v>
      </c>
      <c r="D71" s="98">
        <f t="shared" ref="D71:M71" si="37">IF(E$36="","",D44/E44-1)</f>
        <v>1.6443693293008361</v>
      </c>
      <c r="E71" s="98">
        <f t="shared" si="37"/>
        <v>-3.3707296499367354</v>
      </c>
      <c r="F71" s="98">
        <f t="shared" si="37"/>
        <v>-0.75070970455262331</v>
      </c>
      <c r="G71" s="98">
        <f t="shared" si="37"/>
        <v>-1.2305696969696971</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-0.48181818181818181</v>
      </c>
      <c r="D72" s="98">
        <f t="shared" ref="D72:M72" si="38">IF(E$36="","",D47/E47-1)</f>
        <v>0.92028206561465375</v>
      </c>
      <c r="E72" s="98">
        <f t="shared" si="38"/>
        <v>1.3998555360643898</v>
      </c>
      <c r="F72" s="98">
        <f t="shared" si="38"/>
        <v>-3.1694649653010969</v>
      </c>
      <c r="G72" s="98">
        <f t="shared" si="38"/>
        <v>-1.0905405679307618</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695201</v>
      </c>
      <c r="D76" s="285">
        <f t="shared" ref="D76:M76" si="39">IF(D$4="","",D79+D80)</f>
        <v>713529</v>
      </c>
      <c r="E76" s="285">
        <f t="shared" si="39"/>
        <v>628344</v>
      </c>
      <c r="F76" s="285">
        <f t="shared" si="39"/>
        <v>595250</v>
      </c>
      <c r="G76" s="285">
        <f t="shared" si="39"/>
        <v>496507</v>
      </c>
      <c r="H76" s="285">
        <f t="shared" si="39"/>
        <v>0</v>
      </c>
      <c r="I76" s="285" t="str">
        <f t="shared" si="39"/>
        <v/>
      </c>
      <c r="J76" s="285" t="str">
        <f t="shared" si="39"/>
        <v/>
      </c>
      <c r="K76" s="285" t="str">
        <f t="shared" si="39"/>
        <v/>
      </c>
      <c r="L76" s="285" t="str">
        <f t="shared" si="39"/>
        <v/>
      </c>
      <c r="M76" s="285" t="str">
        <f t="shared" si="39"/>
        <v/>
      </c>
    </row>
    <row r="77" spans="2:13">
      <c r="B77" s="90" t="s">
        <v>82</v>
      </c>
      <c r="C77" s="260">
        <f t="shared" ref="C77:H78" si="40">IF(C$4="","",C28)</f>
        <v>29475</v>
      </c>
      <c r="D77" s="282">
        <f t="shared" si="40"/>
        <v>41491</v>
      </c>
      <c r="E77" s="282">
        <f t="shared" si="40"/>
        <v>22416</v>
      </c>
      <c r="F77" s="282">
        <f t="shared" si="40"/>
        <v>205760</v>
      </c>
      <c r="G77" s="282">
        <f t="shared" si="40"/>
        <v>11900</v>
      </c>
      <c r="H77" s="282">
        <f t="shared" si="40"/>
        <v>0</v>
      </c>
      <c r="I77" s="291"/>
      <c r="J77" s="291"/>
      <c r="K77" s="291"/>
      <c r="L77" s="291"/>
      <c r="M77" s="291"/>
    </row>
    <row r="78" spans="2:13">
      <c r="B78" s="90" t="s">
        <v>83</v>
      </c>
      <c r="C78" s="260">
        <f t="shared" si="40"/>
        <v>95428</v>
      </c>
      <c r="D78" s="282">
        <f t="shared" si="40"/>
        <v>100999</v>
      </c>
      <c r="E78" s="282">
        <f t="shared" si="40"/>
        <v>68058</v>
      </c>
      <c r="F78" s="282">
        <f t="shared" si="40"/>
        <v>77949</v>
      </c>
      <c r="G78" s="282">
        <f t="shared" si="40"/>
        <v>75601</v>
      </c>
      <c r="H78" s="282">
        <f t="shared" si="40"/>
        <v>0</v>
      </c>
      <c r="I78" s="291"/>
      <c r="J78" s="291"/>
      <c r="K78" s="291"/>
      <c r="L78" s="291"/>
      <c r="M78" s="291"/>
    </row>
    <row r="79" spans="2:13">
      <c r="B79" s="25" t="s">
        <v>38</v>
      </c>
      <c r="C79" s="259">
        <f t="shared" ref="C79:M79" si="41">IF(C$4="","",C30)</f>
        <v>401418</v>
      </c>
      <c r="D79" s="270">
        <f t="shared" si="41"/>
        <v>409109</v>
      </c>
      <c r="E79" s="270">
        <f t="shared" si="41"/>
        <v>332578</v>
      </c>
      <c r="F79" s="270">
        <f t="shared" si="41"/>
        <v>321127</v>
      </c>
      <c r="G79" s="270">
        <f t="shared" si="41"/>
        <v>249723</v>
      </c>
      <c r="H79" s="270">
        <f t="shared" si="41"/>
        <v>0</v>
      </c>
      <c r="I79" s="270" t="str">
        <f t="shared" si="41"/>
        <v/>
      </c>
      <c r="J79" s="270" t="str">
        <f t="shared" si="41"/>
        <v/>
      </c>
      <c r="K79" s="270" t="str">
        <f t="shared" si="41"/>
        <v/>
      </c>
      <c r="L79" s="270" t="str">
        <f t="shared" si="41"/>
        <v/>
      </c>
      <c r="M79" s="270" t="str">
        <f t="shared" si="41"/>
        <v/>
      </c>
    </row>
    <row r="80" spans="2:13">
      <c r="B80" s="25" t="s">
        <v>28</v>
      </c>
      <c r="C80" s="259">
        <f t="shared" ref="C80:M80" si="42">IF(C$4="","",C31)</f>
        <v>293783</v>
      </c>
      <c r="D80" s="270">
        <f t="shared" si="42"/>
        <v>304420</v>
      </c>
      <c r="E80" s="270">
        <f t="shared" si="42"/>
        <v>295766</v>
      </c>
      <c r="F80" s="270">
        <f t="shared" si="42"/>
        <v>274123</v>
      </c>
      <c r="G80" s="270">
        <f t="shared" si="42"/>
        <v>246784</v>
      </c>
      <c r="H80" s="270">
        <f t="shared" si="42"/>
        <v>0</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3" zoomScaleNormal="100" workbookViewId="0">
      <selection activeCell="H13" sqref="H1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46022</v>
      </c>
      <c r="F1" s="83" t="str">
        <f>IF(MONTH(C1)=MONTH(Normalized_FCF!G1),"FY","Quarter")&amp;" Report"</f>
        <v>FY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27333+2142</f>
        <v>29475</v>
      </c>
      <c r="D4" s="231">
        <v>0.6</v>
      </c>
      <c r="E4" s="24"/>
      <c r="F4" s="4" t="s">
        <v>74</v>
      </c>
      <c r="G4" s="18">
        <f>137488</f>
        <v>137488</v>
      </c>
      <c r="H4" s="231">
        <v>0.9</v>
      </c>
    </row>
    <row r="5" spans="2:8" ht="15" customHeight="1">
      <c r="B5" s="1" t="s">
        <v>31</v>
      </c>
      <c r="C5" s="18">
        <v>0</v>
      </c>
      <c r="D5" s="231">
        <v>0.6</v>
      </c>
      <c r="E5" s="24"/>
      <c r="F5" s="1" t="s">
        <v>27</v>
      </c>
      <c r="G5" s="18">
        <v>12137</v>
      </c>
      <c r="H5" s="231">
        <v>0.7</v>
      </c>
    </row>
    <row r="6" spans="2:8" ht="15" customHeight="1">
      <c r="B6" s="4" t="s">
        <v>8</v>
      </c>
      <c r="C6" s="18">
        <v>95428</v>
      </c>
      <c r="D6" s="231">
        <v>0.5</v>
      </c>
      <c r="E6" s="24"/>
      <c r="F6" s="4" t="s">
        <v>147</v>
      </c>
      <c r="G6" s="18">
        <v>0</v>
      </c>
      <c r="H6" s="231">
        <v>0.6</v>
      </c>
    </row>
    <row r="7" spans="2:8" ht="15" customHeight="1">
      <c r="B7" s="1" t="s">
        <v>66</v>
      </c>
      <c r="C7" s="18">
        <v>0</v>
      </c>
      <c r="D7" s="231">
        <v>0.6</v>
      </c>
      <c r="E7" s="24"/>
      <c r="F7" s="4" t="s">
        <v>148</v>
      </c>
      <c r="G7" s="18">
        <v>75744</v>
      </c>
      <c r="H7" s="231">
        <v>0.6</v>
      </c>
    </row>
    <row r="8" spans="2:8" ht="15" customHeight="1">
      <c r="B8" s="1" t="s">
        <v>144</v>
      </c>
      <c r="C8" s="18">
        <v>0</v>
      </c>
      <c r="D8" s="231">
        <v>0.6</v>
      </c>
      <c r="E8" s="24"/>
      <c r="F8" s="1" t="s">
        <v>149</v>
      </c>
      <c r="G8" s="18">
        <v>0</v>
      </c>
      <c r="H8" s="231">
        <v>0.6</v>
      </c>
    </row>
    <row r="9" spans="2:8" ht="15" customHeight="1">
      <c r="B9" s="4" t="s">
        <v>23</v>
      </c>
      <c r="C9" s="18">
        <f>17898+5856</f>
        <v>23754</v>
      </c>
      <c r="D9" s="231">
        <v>0.1</v>
      </c>
      <c r="E9" s="24"/>
      <c r="F9" s="4" t="s">
        <v>150</v>
      </c>
      <c r="G9" s="18">
        <v>0</v>
      </c>
      <c r="H9" s="231">
        <v>0.6</v>
      </c>
    </row>
    <row r="10" spans="2:8" ht="15" customHeight="1">
      <c r="B10" s="4" t="s">
        <v>9</v>
      </c>
      <c r="C10" s="18">
        <v>0</v>
      </c>
      <c r="D10" s="231">
        <v>0.9</v>
      </c>
      <c r="F10" s="1" t="s">
        <v>402</v>
      </c>
      <c r="G10" s="18">
        <v>395</v>
      </c>
      <c r="H10" s="231">
        <v>0.4</v>
      </c>
    </row>
    <row r="11" spans="2:8" ht="15" customHeight="1">
      <c r="B11" s="4" t="s">
        <v>10</v>
      </c>
      <c r="C11" s="18">
        <v>0</v>
      </c>
      <c r="D11" s="231">
        <v>0.05</v>
      </c>
      <c r="H11" s="232"/>
    </row>
    <row r="12" spans="2:8" ht="15" customHeight="1">
      <c r="B12" s="77" t="s">
        <v>69</v>
      </c>
      <c r="C12" s="78">
        <f>SUM(C4:C11)</f>
        <v>148657</v>
      </c>
      <c r="D12" s="19">
        <f>C4*D4+C5*D5+C9*D9+C6*D6+C8*D8+C7*D7+C10*D10+C11*D11</f>
        <v>67774.399999999994</v>
      </c>
      <c r="F12" s="77" t="s">
        <v>67</v>
      </c>
      <c r="G12" s="78">
        <f>SUM(G4:G10)</f>
        <v>225764</v>
      </c>
      <c r="H12" s="19">
        <f>G4*H4+G5*H5+G6*H6+G7*H7+G8*H8+G9*H9+G10*H10</f>
        <v>177839.5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51840</v>
      </c>
      <c r="H17" s="231">
        <v>0.6</v>
      </c>
    </row>
    <row r="18" spans="2:8" ht="15" customHeight="1">
      <c r="B18" s="4" t="s">
        <v>144</v>
      </c>
      <c r="C18" s="18">
        <v>0</v>
      </c>
      <c r="D18" s="231">
        <v>0.6</v>
      </c>
      <c r="F18" s="4" t="s">
        <v>151</v>
      </c>
      <c r="G18" s="18">
        <v>0</v>
      </c>
      <c r="H18" s="231">
        <v>0.1</v>
      </c>
    </row>
    <row r="19" spans="2:8" ht="15" customHeight="1">
      <c r="B19" s="4" t="s">
        <v>24</v>
      </c>
      <c r="C19" s="18">
        <f>91349+6503+36878+31128</f>
        <v>165858</v>
      </c>
      <c r="D19" s="231">
        <v>0.1</v>
      </c>
      <c r="F19" s="4" t="s">
        <v>152</v>
      </c>
      <c r="G19" s="18">
        <v>51978</v>
      </c>
      <c r="H19" s="231">
        <v>0.1</v>
      </c>
    </row>
    <row r="20" spans="2:8" ht="15" customHeight="1">
      <c r="B20" s="4" t="s">
        <v>16</v>
      </c>
      <c r="C20" s="18">
        <v>0</v>
      </c>
      <c r="D20" s="231">
        <v>0.05</v>
      </c>
      <c r="F20" s="4" t="s">
        <v>149</v>
      </c>
      <c r="G20" s="18">
        <v>0</v>
      </c>
      <c r="H20" s="231">
        <v>0.2</v>
      </c>
    </row>
    <row r="21" spans="2:8" ht="15" customHeight="1">
      <c r="B21" s="4" t="s">
        <v>17</v>
      </c>
      <c r="C21" s="18">
        <v>7723</v>
      </c>
      <c r="D21" s="231">
        <v>0.05</v>
      </c>
      <c r="F21" s="1" t="s">
        <v>150</v>
      </c>
      <c r="G21" s="18">
        <v>0</v>
      </c>
      <c r="H21" s="231">
        <v>0.1</v>
      </c>
    </row>
    <row r="22" spans="2:8" ht="15" customHeight="1">
      <c r="B22" s="4" t="s">
        <v>18</v>
      </c>
      <c r="C22" s="18">
        <v>5237</v>
      </c>
      <c r="D22" s="231">
        <v>0.9</v>
      </c>
      <c r="H22" s="232"/>
    </row>
    <row r="23" spans="2:8" ht="15" customHeight="1">
      <c r="B23" s="4" t="s">
        <v>19</v>
      </c>
      <c r="C23" s="18">
        <f>26291+11853</f>
        <v>38144</v>
      </c>
      <c r="D23" s="231">
        <v>0</v>
      </c>
      <c r="H23" s="232"/>
    </row>
    <row r="24" spans="2:8" ht="15" customHeight="1">
      <c r="B24" s="77" t="s">
        <v>70</v>
      </c>
      <c r="C24" s="78">
        <f>SUM(C15:C23)</f>
        <v>216962</v>
      </c>
      <c r="D24" s="19">
        <f>C15*D15+C16*D16+C18*D18+C17*D17+C19*D19+C20*D20+C21*D21+C22*D22+C23*D23</f>
        <v>21685.25</v>
      </c>
      <c r="F24" s="77" t="s">
        <v>68</v>
      </c>
      <c r="G24" s="78">
        <f>SUM(G15:G21)</f>
        <v>103818</v>
      </c>
      <c r="H24" s="19">
        <f>G15*H15+G16*H16+G17*H17+G18*H18+G19*H19+G20*H20+G21*H21</f>
        <v>36301.800000000003</v>
      </c>
    </row>
    <row r="26" spans="2:8" ht="15" customHeight="1">
      <c r="B26" s="16" t="s">
        <v>169</v>
      </c>
      <c r="C26" s="164" t="s">
        <v>113</v>
      </c>
      <c r="F26" s="166" t="s">
        <v>165</v>
      </c>
      <c r="G26" s="167" t="s">
        <v>113</v>
      </c>
      <c r="H26" s="168" t="s">
        <v>33</v>
      </c>
    </row>
    <row r="27" spans="2:8" ht="15" customHeight="1">
      <c r="B27" s="4" t="s">
        <v>3</v>
      </c>
      <c r="C27" s="18">
        <f>8014+3511</f>
        <v>11525</v>
      </c>
      <c r="F27" s="169" t="s">
        <v>28</v>
      </c>
      <c r="G27" s="82">
        <f>G32-G30</f>
        <v>293783</v>
      </c>
      <c r="H27" s="170">
        <f>H32-G30</f>
        <v>-97817.050000000047</v>
      </c>
    </row>
    <row r="28" spans="2:8" ht="15" customHeight="1">
      <c r="B28" s="4" t="s">
        <v>4</v>
      </c>
      <c r="C28" s="18">
        <v>8897</v>
      </c>
      <c r="F28" s="171" t="s">
        <v>209</v>
      </c>
      <c r="G28" s="287">
        <v>68743</v>
      </c>
      <c r="H28" s="170"/>
    </row>
    <row r="29" spans="2:8" ht="15" customHeight="1">
      <c r="B29" s="4" t="s">
        <v>5</v>
      </c>
      <c r="C29" s="18">
        <v>0</v>
      </c>
      <c r="F29" s="172" t="s">
        <v>72</v>
      </c>
      <c r="G29" s="14">
        <f>G27-G28</f>
        <v>225040</v>
      </c>
      <c r="H29" s="170">
        <f>H27-G28</f>
        <v>-166560.05000000005</v>
      </c>
    </row>
    <row r="30" spans="2:8" ht="15" customHeight="1">
      <c r="B30" s="2" t="s">
        <v>6</v>
      </c>
      <c r="C30" s="18">
        <v>0</v>
      </c>
      <c r="F30" s="169" t="s">
        <v>21</v>
      </c>
      <c r="G30" s="82">
        <f>C33+C42</f>
        <v>401418</v>
      </c>
      <c r="H30" s="170"/>
    </row>
    <row r="31" spans="2:8" ht="15" customHeight="1">
      <c r="B31" s="77" t="s">
        <v>172</v>
      </c>
      <c r="C31" s="78">
        <f>SUM(C27:C30)</f>
        <v>20422</v>
      </c>
      <c r="F31" s="172" t="s">
        <v>73</v>
      </c>
      <c r="G31" s="173">
        <f>C31+C40</f>
        <v>106603</v>
      </c>
      <c r="H31" s="170"/>
    </row>
    <row r="32" spans="2:8" ht="15" customHeight="1">
      <c r="B32" s="4" t="s">
        <v>7</v>
      </c>
      <c r="C32" s="20">
        <f>C33-C31</f>
        <v>285650</v>
      </c>
      <c r="F32" s="174" t="s">
        <v>71</v>
      </c>
      <c r="G32" s="175">
        <f>G35+G40</f>
        <v>695201</v>
      </c>
      <c r="H32" s="170">
        <f>H35+H40</f>
        <v>303600.94999999995</v>
      </c>
    </row>
    <row r="33" spans="2:8" ht="15" customHeight="1">
      <c r="B33" s="80" t="s">
        <v>2</v>
      </c>
      <c r="C33" s="81">
        <v>306072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365619</v>
      </c>
      <c r="H35" s="182">
        <f>D12+D24</f>
        <v>89459.65</v>
      </c>
    </row>
    <row r="36" spans="2:8" ht="15" customHeight="1">
      <c r="B36" s="4" t="s">
        <v>11</v>
      </c>
      <c r="C36" s="18">
        <f>20798+41675</f>
        <v>62473</v>
      </c>
      <c r="F36" s="172" t="s">
        <v>166</v>
      </c>
      <c r="G36" s="173">
        <f>C4+C15</f>
        <v>29475</v>
      </c>
      <c r="H36" s="177"/>
    </row>
    <row r="37" spans="2:8" ht="15" customHeight="1">
      <c r="B37" s="4" t="s">
        <v>12</v>
      </c>
      <c r="C37" s="18">
        <v>23708</v>
      </c>
      <c r="F37" s="172" t="s">
        <v>167</v>
      </c>
      <c r="G37" s="173">
        <f>C6</f>
        <v>95428</v>
      </c>
      <c r="H37" s="177"/>
    </row>
    <row r="38" spans="2:8" ht="15" customHeight="1">
      <c r="B38" s="4" t="s">
        <v>13</v>
      </c>
      <c r="C38" s="18">
        <v>0</v>
      </c>
      <c r="F38" s="172" t="s">
        <v>168</v>
      </c>
      <c r="G38" s="173">
        <f>C7+C17</f>
        <v>0</v>
      </c>
      <c r="H38" s="177"/>
    </row>
    <row r="39" spans="2:8" ht="15" customHeight="1">
      <c r="B39" s="2" t="s">
        <v>14</v>
      </c>
      <c r="C39" s="18">
        <v>0</v>
      </c>
      <c r="F39" s="172" t="s">
        <v>76</v>
      </c>
      <c r="G39" s="173">
        <f>C7+C17+C19+C20</f>
        <v>165858</v>
      </c>
      <c r="H39" s="170">
        <f>C7*D7+C17*D17+C19*D19+C20*D20</f>
        <v>16585.8</v>
      </c>
    </row>
    <row r="40" spans="2:8" ht="15" customHeight="1">
      <c r="B40" s="77" t="s">
        <v>173</v>
      </c>
      <c r="C40" s="78">
        <f>SUM(C36:C39)</f>
        <v>86181</v>
      </c>
      <c r="F40" s="181" t="s">
        <v>115</v>
      </c>
      <c r="G40" s="175">
        <f>G12+G24</f>
        <v>329582</v>
      </c>
      <c r="H40" s="182">
        <f>H12+H24</f>
        <v>214141.3</v>
      </c>
    </row>
    <row r="41" spans="2:8" ht="15" customHeight="1">
      <c r="B41" s="4" t="s">
        <v>15</v>
      </c>
      <c r="C41" s="20">
        <f>C42-C40</f>
        <v>9165</v>
      </c>
      <c r="F41" s="172" t="s">
        <v>160</v>
      </c>
      <c r="G41" s="173">
        <f>C70</f>
        <v>149625</v>
      </c>
      <c r="H41" s="182">
        <f>H40-H42</f>
        <v>132393.09999999998</v>
      </c>
    </row>
    <row r="42" spans="2:8" ht="15" customHeight="1">
      <c r="B42" s="80" t="s">
        <v>20</v>
      </c>
      <c r="C42" s="81">
        <v>95346</v>
      </c>
      <c r="F42" s="183" t="s">
        <v>161</v>
      </c>
      <c r="G42" s="184">
        <f>C82</f>
        <v>179562</v>
      </c>
      <c r="H42" s="185">
        <f>D82</f>
        <v>81748.2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225040</v>
      </c>
      <c r="D46" s="73">
        <f>H29</f>
        <v>-166560.05000000005</v>
      </c>
      <c r="F46" s="223"/>
    </row>
    <row r="47" spans="2:8" ht="15" customHeight="1">
      <c r="B47" s="1" t="str">
        <f>"Equity per share ("&amp;Market_currency&amp;")"</f>
        <v>Equity per share (HKD)</v>
      </c>
      <c r="C47" s="134">
        <f>C46*H1/Common_Shares*Exchange_Rate</f>
        <v>90.615973569907752</v>
      </c>
      <c r="D47" s="134">
        <f>D46*H1/Common_Shares*Exchange_Rate</f>
        <v>-67.068081623722534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22.317734925377231</v>
      </c>
      <c r="D50" s="92">
        <f>G31/Normalized_FCF!G8</f>
        <v>28.88970189701897</v>
      </c>
      <c r="F50" s="223"/>
    </row>
    <row r="51" spans="2:8" ht="15" customHeight="1">
      <c r="B51" s="1" t="s">
        <v>146</v>
      </c>
      <c r="C51" s="163"/>
      <c r="D51" s="89">
        <f>G29/G32</f>
        <v>0.32370494288702117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1.3064432675325519E-2</v>
      </c>
      <c r="D54" s="89">
        <f>Normalized_FCF!G8/G35</f>
        <v>1.0092473312382562E-2</v>
      </c>
      <c r="F54" s="223"/>
    </row>
    <row r="55" spans="2:8" ht="15" customHeight="1">
      <c r="B55" s="1" t="s">
        <v>118</v>
      </c>
      <c r="C55" s="89">
        <f>Normalized_FCF!C9/G40</f>
        <v>0</v>
      </c>
      <c r="D55" s="89">
        <f>Normalized_FCF!G9/G40</f>
        <v>7.0604583988203243E-3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5.368447708280577E-2</v>
      </c>
      <c r="F58" s="5"/>
    </row>
    <row r="59" spans="2:8" ht="15" customHeight="1">
      <c r="B59" s="1" t="s">
        <v>89</v>
      </c>
      <c r="C59" s="95"/>
      <c r="D59" s="89">
        <f>G39/G32</f>
        <v>0.23857560619159063</v>
      </c>
      <c r="F59" s="223"/>
    </row>
    <row r="60" spans="2:8" ht="15" customHeight="1">
      <c r="F60" s="223"/>
    </row>
    <row r="61" spans="2:8" ht="15" customHeight="1">
      <c r="B61" s="143" t="s">
        <v>231</v>
      </c>
      <c r="C61" s="210" t="s">
        <v>114</v>
      </c>
      <c r="D61" s="179" t="s">
        <v>91</v>
      </c>
      <c r="F61" s="223"/>
    </row>
    <row r="62" spans="2:8" ht="15" customHeight="1">
      <c r="B62" s="1" t="s">
        <v>210</v>
      </c>
      <c r="C62" s="89">
        <f>IF(G28&lt;=0,0,G28/G29)</f>
        <v>0.30547013864201922</v>
      </c>
      <c r="D62" s="89">
        <f>G28/G29</f>
        <v>0.30547013864201922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149625</v>
      </c>
      <c r="D66" s="73">
        <f>C66-D75</f>
        <v>40016.783734193319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149625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-109698.76666666666</v>
      </c>
      <c r="D73" s="285">
        <f>(Normalized_FCF!C26+Normalized_FCF!C35-Normalized_FCF!C89)/12</f>
        <v>-109608.21626580668</v>
      </c>
      <c r="F73" s="1" t="s">
        <v>278</v>
      </c>
    </row>
    <row r="74" spans="2:6" ht="15" customHeight="1">
      <c r="B74" s="227" t="s">
        <v>259</v>
      </c>
      <c r="C74" s="228">
        <f>-$C$66/C73</f>
        <v>1.363962463266831</v>
      </c>
      <c r="D74" s="228">
        <f>-$C$66/D73</f>
        <v>1.3650892706542195</v>
      </c>
      <c r="F74" s="223" t="s">
        <v>257</v>
      </c>
    </row>
    <row r="75" spans="2:6" ht="15" customHeight="1">
      <c r="B75" s="77" t="s">
        <v>258</v>
      </c>
      <c r="C75" s="261"/>
      <c r="D75" s="262">
        <f>MAX(-D73*D76,G5)</f>
        <v>109608.21626580668</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127584</v>
      </c>
      <c r="D79" s="73">
        <f>G7*H7+G17*H17</f>
        <v>76550.399999999994</v>
      </c>
      <c r="F79" s="223"/>
    </row>
    <row r="80" spans="2:6" ht="15" customHeight="1">
      <c r="B80" s="102" t="s">
        <v>152</v>
      </c>
      <c r="C80" s="19">
        <f>G19</f>
        <v>51978</v>
      </c>
      <c r="D80" s="73">
        <f>G19*H19</f>
        <v>5197.8</v>
      </c>
      <c r="F80" s="223"/>
    </row>
    <row r="81" spans="2:8" ht="15" customHeight="1">
      <c r="B81" s="102" t="s">
        <v>150</v>
      </c>
      <c r="C81" s="19">
        <f>G9+G21</f>
        <v>0</v>
      </c>
      <c r="D81" s="73">
        <f>G9*H9+G21*H21</f>
        <v>0</v>
      </c>
      <c r="F81" s="223"/>
    </row>
    <row r="82" spans="2:8" ht="15" customHeight="1">
      <c r="B82" s="77" t="s">
        <v>159</v>
      </c>
      <c r="C82" s="78">
        <f>SUM(C79:C81)</f>
        <v>179562</v>
      </c>
      <c r="D82" s="78">
        <f>SUM(D79:D81)</f>
        <v>81748.2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-120963.80993900001</v>
      </c>
      <c r="D86" s="201">
        <f>C86*scaling_factor/Common_Shares</f>
        <v>-42.925411617814056</v>
      </c>
      <c r="E86" s="214" t="str">
        <f>Market_currency</f>
        <v>HKD</v>
      </c>
    </row>
    <row r="87" spans="2:8" ht="15" customHeight="1">
      <c r="B87" s="212" t="s">
        <v>240</v>
      </c>
      <c r="C87" s="73">
        <f>DCF!F5*Exchange_Rate</f>
        <v>45407.564721377705</v>
      </c>
      <c r="D87" s="201">
        <f>C87*scaling_factor/Common_Shares</f>
        <v>16.113401249601743</v>
      </c>
      <c r="E87" s="214" t="str">
        <f>Market_currency</f>
        <v>HKD</v>
      </c>
    </row>
    <row r="88" spans="2:8" ht="15" customHeight="1">
      <c r="B88" s="213" t="s">
        <v>159</v>
      </c>
      <c r="C88" s="73">
        <f>DCF!F6*Exchange_Rate</f>
        <v>92760.745266600003</v>
      </c>
      <c r="D88" s="201">
        <f>C88*scaling_factor/Common_Shares</f>
        <v>32.917226851171044</v>
      </c>
      <c r="E88" s="214" t="str">
        <f>Market_currency</f>
        <v>HKD</v>
      </c>
    </row>
    <row r="89" spans="2:8" ht="15" customHeight="1">
      <c r="B89" s="77" t="s">
        <v>244</v>
      </c>
      <c r="C89" s="162">
        <f>SUM(C86:C88)</f>
        <v>17204.500048977687</v>
      </c>
      <c r="D89" s="216">
        <f>SUM(D86:D88)</f>
        <v>6.1052164829587312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70" zoomScaleNormal="70" workbookViewId="0">
      <pane xSplit="2" ySplit="1" topLeftCell="C29" activePane="bottomRight" state="frozen"/>
      <selection activeCell="C17" sqref="C17"/>
      <selection pane="topRight" activeCell="C17" sqref="C17"/>
      <selection pane="bottomLeft" activeCell="C17" sqref="C17"/>
      <selection pane="bottomRight" activeCell="C35" sqref="C3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46022</v>
      </c>
      <c r="H1" s="36">
        <f>EOMONTH(EDATE(G1,-12),0)</f>
        <v>45657</v>
      </c>
      <c r="I1" s="36">
        <f t="shared" ref="I1:Q1" si="0">EOMONTH(EDATE(H1,-12),0)</f>
        <v>45291</v>
      </c>
      <c r="J1" s="36">
        <f t="shared" si="0"/>
        <v>44926</v>
      </c>
      <c r="K1" s="36">
        <f t="shared" si="0"/>
        <v>44561</v>
      </c>
      <c r="L1" s="36">
        <f t="shared" si="0"/>
        <v>44196</v>
      </c>
      <c r="M1" s="36">
        <f t="shared" si="0"/>
        <v>43830</v>
      </c>
      <c r="N1" s="36">
        <f t="shared" si="0"/>
        <v>43465</v>
      </c>
      <c r="O1" s="36">
        <f t="shared" si="0"/>
        <v>43100</v>
      </c>
      <c r="P1" s="36">
        <f t="shared" si="0"/>
        <v>42735</v>
      </c>
      <c r="Q1" s="36">
        <f t="shared" si="0"/>
        <v>42369</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1309085</v>
      </c>
      <c r="D4" s="54"/>
      <c r="E4" s="235"/>
      <c r="F4" s="54"/>
      <c r="G4" s="270">
        <f>Data!C36</f>
        <v>1309085</v>
      </c>
      <c r="H4" s="270">
        <f>Data!D36</f>
        <v>1158819</v>
      </c>
      <c r="I4" s="270">
        <f>Data!E36</f>
        <v>1084662</v>
      </c>
      <c r="J4" s="270">
        <f>Data!F36</f>
        <v>1046236</v>
      </c>
      <c r="K4" s="270">
        <f>Data!G36</f>
        <v>951592</v>
      </c>
      <c r="L4" s="270">
        <f>Data!H36</f>
        <v>745802</v>
      </c>
      <c r="M4" s="270" t="str">
        <f>Data!I36</f>
        <v/>
      </c>
      <c r="N4" s="270" t="str">
        <f>Data!J36</f>
        <v/>
      </c>
      <c r="O4" s="270" t="str">
        <f>Data!K36</f>
        <v/>
      </c>
      <c r="P4" s="270" t="str">
        <f>Data!L36</f>
        <v/>
      </c>
      <c r="Q4" s="270" t="str">
        <f>Data!M36</f>
        <v/>
      </c>
    </row>
    <row r="5" spans="1:17" ht="15.75" customHeight="1">
      <c r="A5" s="10"/>
      <c r="B5" s="2" t="s">
        <v>43</v>
      </c>
      <c r="C5" s="266">
        <f>C26</f>
        <v>-1204152.3951896802</v>
      </c>
      <c r="E5" s="237"/>
      <c r="G5" s="270">
        <f t="shared" ref="G5:Q5" si="1">G26</f>
        <v>-1205239</v>
      </c>
      <c r="H5" s="270">
        <f t="shared" si="1"/>
        <v>-1039935</v>
      </c>
      <c r="I5" s="270">
        <f t="shared" si="1"/>
        <v>-981484</v>
      </c>
      <c r="J5" s="270">
        <f t="shared" si="1"/>
        <v>-953828</v>
      </c>
      <c r="K5" s="270">
        <f t="shared" si="1"/>
        <v>-872831</v>
      </c>
      <c r="L5" s="270">
        <f t="shared" si="1"/>
        <v>-679999</v>
      </c>
      <c r="M5" s="270" t="str">
        <f t="shared" si="1"/>
        <v/>
      </c>
      <c r="N5" s="270" t="str">
        <f t="shared" si="1"/>
        <v/>
      </c>
      <c r="O5" s="270" t="str">
        <f t="shared" si="1"/>
        <v/>
      </c>
      <c r="P5" s="270" t="str">
        <f t="shared" si="1"/>
        <v/>
      </c>
      <c r="Q5" s="270" t="str">
        <f t="shared" si="1"/>
        <v/>
      </c>
    </row>
    <row r="6" spans="1:17" ht="15.75" customHeight="1">
      <c r="A6" s="10"/>
      <c r="B6" s="30" t="s">
        <v>45</v>
      </c>
      <c r="C6" s="267">
        <f>C4+C5</f>
        <v>104932.60481031984</v>
      </c>
      <c r="E6" s="237"/>
      <c r="G6" s="267">
        <f>IF(G4="","",G4+G5)</f>
        <v>103846</v>
      </c>
      <c r="H6" s="267">
        <f t="shared" ref="H6:Q6" si="2">IF(H4="","",H4+H5)</f>
        <v>118884</v>
      </c>
      <c r="I6" s="267">
        <f t="shared" si="2"/>
        <v>103178</v>
      </c>
      <c r="J6" s="267">
        <f t="shared" si="2"/>
        <v>92408</v>
      </c>
      <c r="K6" s="267">
        <f t="shared" si="2"/>
        <v>78761</v>
      </c>
      <c r="L6" s="267">
        <f t="shared" si="2"/>
        <v>65803</v>
      </c>
      <c r="M6" s="267" t="str">
        <f t="shared" si="2"/>
        <v/>
      </c>
      <c r="N6" s="267" t="str">
        <f t="shared" si="2"/>
        <v/>
      </c>
      <c r="O6" s="267" t="str">
        <f t="shared" si="2"/>
        <v/>
      </c>
      <c r="P6" s="267" t="str">
        <f t="shared" si="2"/>
        <v/>
      </c>
      <c r="Q6" s="267" t="str">
        <f t="shared" si="2"/>
        <v/>
      </c>
    </row>
    <row r="7" spans="1:17" ht="15.75" customHeight="1">
      <c r="A7" s="10"/>
      <c r="B7" s="8" t="s">
        <v>42</v>
      </c>
      <c r="C7" s="266">
        <f>C35</f>
        <v>-100156</v>
      </c>
      <c r="E7" s="237"/>
      <c r="G7" s="266">
        <f t="shared" ref="G7:Q7" si="3">G35</f>
        <v>-100156</v>
      </c>
      <c r="H7" s="266">
        <f t="shared" si="3"/>
        <v>-79314</v>
      </c>
      <c r="I7" s="266">
        <f t="shared" si="3"/>
        <v>-74268</v>
      </c>
      <c r="J7" s="266">
        <f t="shared" si="3"/>
        <v>-74064</v>
      </c>
      <c r="K7" s="266">
        <f t="shared" si="3"/>
        <v>-70617</v>
      </c>
      <c r="L7" s="266">
        <f t="shared" si="3"/>
        <v>-55109</v>
      </c>
      <c r="M7" s="266" t="str">
        <f t="shared" si="3"/>
        <v/>
      </c>
      <c r="N7" s="266" t="str">
        <f t="shared" si="3"/>
        <v/>
      </c>
      <c r="O7" s="266" t="str">
        <f t="shared" si="3"/>
        <v/>
      </c>
      <c r="P7" s="266" t="str">
        <f t="shared" si="3"/>
        <v/>
      </c>
      <c r="Q7" s="266" t="str">
        <f t="shared" si="3"/>
        <v/>
      </c>
    </row>
    <row r="8" spans="1:17" ht="15.75" customHeight="1">
      <c r="A8" s="10"/>
      <c r="B8" s="28" t="s">
        <v>127</v>
      </c>
      <c r="C8" s="268">
        <f>C6+C7</f>
        <v>4776.6048103198409</v>
      </c>
      <c r="D8" s="56"/>
      <c r="E8" s="241"/>
      <c r="F8" s="56"/>
      <c r="G8" s="267">
        <f>IF(G$4="","",G6+G7)</f>
        <v>3690</v>
      </c>
      <c r="H8" s="267">
        <f t="shared" ref="H8:Q8" si="4">IF(H$4="","",H6+H7)</f>
        <v>39570</v>
      </c>
      <c r="I8" s="267">
        <f t="shared" si="4"/>
        <v>28910</v>
      </c>
      <c r="J8" s="267">
        <f t="shared" si="4"/>
        <v>18344</v>
      </c>
      <c r="K8" s="267">
        <f t="shared" si="4"/>
        <v>8144</v>
      </c>
      <c r="L8" s="267">
        <f t="shared" si="4"/>
        <v>10694</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2327</v>
      </c>
      <c r="H9" s="270">
        <f t="shared" ref="H9:Q9" si="5">H59</f>
        <v>2327</v>
      </c>
      <c r="I9" s="270">
        <f t="shared" si="5"/>
        <v>1010</v>
      </c>
      <c r="J9" s="270">
        <f t="shared" si="5"/>
        <v>-2195</v>
      </c>
      <c r="K9" s="270">
        <f t="shared" si="5"/>
        <v>-4918</v>
      </c>
      <c r="L9" s="270">
        <f t="shared" si="5"/>
        <v>4291</v>
      </c>
      <c r="M9" s="270" t="str">
        <f t="shared" si="5"/>
        <v/>
      </c>
      <c r="N9" s="270" t="str">
        <f t="shared" si="5"/>
        <v/>
      </c>
      <c r="O9" s="270" t="str">
        <f t="shared" si="5"/>
        <v/>
      </c>
      <c r="P9" s="270" t="str">
        <f t="shared" si="5"/>
        <v/>
      </c>
      <c r="Q9" s="270" t="str">
        <f t="shared" si="5"/>
        <v/>
      </c>
    </row>
    <row r="10" spans="1:17" ht="15.75" customHeight="1">
      <c r="A10" s="10"/>
      <c r="B10" s="2" t="s">
        <v>65</v>
      </c>
      <c r="C10" s="266">
        <f>C48</f>
        <v>-3606.47070240516</v>
      </c>
      <c r="E10" s="237"/>
      <c r="G10" s="266">
        <f>G48</f>
        <v>-2803</v>
      </c>
      <c r="H10" s="266">
        <f t="shared" ref="H10:Q10" si="6">H48</f>
        <v>-2896</v>
      </c>
      <c r="I10" s="266">
        <f t="shared" si="6"/>
        <v>-2881</v>
      </c>
      <c r="J10" s="266">
        <f t="shared" si="6"/>
        <v>-2106</v>
      </c>
      <c r="K10" s="266">
        <f t="shared" si="6"/>
        <v>-1213</v>
      </c>
      <c r="L10" s="266">
        <f t="shared" si="6"/>
        <v>-1125</v>
      </c>
      <c r="M10" s="266" t="str">
        <f t="shared" si="6"/>
        <v/>
      </c>
      <c r="N10" s="266" t="str">
        <f t="shared" si="6"/>
        <v/>
      </c>
      <c r="O10" s="266" t="str">
        <f t="shared" si="6"/>
        <v/>
      </c>
      <c r="P10" s="266" t="str">
        <f t="shared" si="6"/>
        <v/>
      </c>
      <c r="Q10" s="266" t="str">
        <f t="shared" si="6"/>
        <v/>
      </c>
    </row>
    <row r="11" spans="1:17" ht="15.75" customHeight="1">
      <c r="A11" s="10"/>
      <c r="B11" s="67" t="s">
        <v>137</v>
      </c>
      <c r="C11" s="267">
        <f>SUM(C8:C10)</f>
        <v>1170.134107914681</v>
      </c>
      <c r="E11" s="237"/>
      <c r="G11" s="267">
        <f t="shared" ref="G11:Q11" si="7">IF(G$4="","",SUM(G8:G10))</f>
        <v>3214</v>
      </c>
      <c r="H11" s="267">
        <f t="shared" si="7"/>
        <v>39001</v>
      </c>
      <c r="I11" s="267">
        <f t="shared" si="7"/>
        <v>27039</v>
      </c>
      <c r="J11" s="267">
        <f t="shared" si="7"/>
        <v>14043</v>
      </c>
      <c r="K11" s="267">
        <f t="shared" si="7"/>
        <v>2013</v>
      </c>
      <c r="L11" s="267">
        <f t="shared" si="7"/>
        <v>13860</v>
      </c>
      <c r="M11" s="267" t="str">
        <f t="shared" si="7"/>
        <v/>
      </c>
      <c r="N11" s="267" t="str">
        <f t="shared" si="7"/>
        <v/>
      </c>
      <c r="O11" s="267" t="str">
        <f t="shared" si="7"/>
        <v/>
      </c>
      <c r="P11" s="267" t="str">
        <f t="shared" si="7"/>
        <v/>
      </c>
      <c r="Q11" s="267" t="str">
        <f t="shared" si="7"/>
        <v/>
      </c>
    </row>
    <row r="12" spans="1:17" ht="15.75" customHeight="1">
      <c r="A12" s="10"/>
      <c r="B12" s="2" t="s">
        <v>60</v>
      </c>
      <c r="C12" s="266">
        <f>-C11*C41</f>
        <v>-292.53352697867024</v>
      </c>
      <c r="E12" s="237"/>
      <c r="G12" s="266">
        <f>Data!C46</f>
        <v>-2181</v>
      </c>
      <c r="H12" s="266">
        <f>Data!D46</f>
        <v>-6878</v>
      </c>
      <c r="I12" s="266">
        <f>Data!E46</f>
        <v>-8393</v>
      </c>
      <c r="J12" s="266">
        <f>Data!F46</f>
        <v>-4176</v>
      </c>
      <c r="K12" s="266">
        <f>Data!G46</f>
        <v>-1887</v>
      </c>
      <c r="L12" s="266">
        <f>Data!H46</f>
        <v>-1482</v>
      </c>
      <c r="M12" s="266" t="str">
        <f>Data!I46</f>
        <v/>
      </c>
      <c r="N12" s="266" t="str">
        <f>Data!J46</f>
        <v/>
      </c>
      <c r="O12" s="266" t="str">
        <f>Data!K46</f>
        <v/>
      </c>
      <c r="P12" s="266" t="str">
        <f>Data!L46</f>
        <v/>
      </c>
      <c r="Q12" s="266" t="str">
        <f>Data!M46</f>
        <v/>
      </c>
    </row>
    <row r="13" spans="1:17" ht="15.75" customHeight="1">
      <c r="A13" s="10"/>
      <c r="B13" s="38" t="s">
        <v>208</v>
      </c>
      <c r="C13" s="266">
        <f>-C4*C79</f>
        <v>-3729.0461970333586</v>
      </c>
      <c r="D13" s="57"/>
      <c r="E13" s="242"/>
      <c r="F13" s="57"/>
      <c r="G13" s="270">
        <f>Data!C48</f>
        <v>-3511</v>
      </c>
      <c r="H13" s="270">
        <f>Data!D48</f>
        <v>-3301</v>
      </c>
      <c r="I13" s="270">
        <f>Data!E48</f>
        <v>0</v>
      </c>
      <c r="J13" s="270">
        <f>Data!F48</f>
        <v>0</v>
      </c>
      <c r="K13" s="270">
        <f>Data!G48</f>
        <v>0</v>
      </c>
      <c r="L13" s="270">
        <f>Data!H48</f>
        <v>0</v>
      </c>
      <c r="M13" s="270" t="str">
        <f>Data!I48</f>
        <v/>
      </c>
      <c r="N13" s="270" t="str">
        <f>Data!J48</f>
        <v/>
      </c>
      <c r="O13" s="270" t="str">
        <f>Data!K48</f>
        <v/>
      </c>
      <c r="P13" s="270" t="str">
        <f>Data!L48</f>
        <v/>
      </c>
      <c r="Q13" s="270" t="str">
        <f>Data!M48</f>
        <v/>
      </c>
    </row>
    <row r="14" spans="1:17" ht="15.75" customHeight="1">
      <c r="A14" s="10"/>
      <c r="B14" s="39" t="s">
        <v>129</v>
      </c>
      <c r="C14" s="269">
        <f>SUM(C11:C13)</f>
        <v>-2851.4456160973477</v>
      </c>
      <c r="D14" s="58"/>
      <c r="E14" s="243"/>
      <c r="F14" s="58"/>
      <c r="G14" s="267">
        <f t="shared" ref="G14:Q14" si="8">IF(G$4="","",SUM(G11:G13))</f>
        <v>-2478</v>
      </c>
      <c r="H14" s="267">
        <f t="shared" si="8"/>
        <v>28822</v>
      </c>
      <c r="I14" s="267">
        <f t="shared" si="8"/>
        <v>18646</v>
      </c>
      <c r="J14" s="267">
        <f t="shared" si="8"/>
        <v>9867</v>
      </c>
      <c r="K14" s="267">
        <f t="shared" si="8"/>
        <v>126</v>
      </c>
      <c r="L14" s="267">
        <f t="shared" si="8"/>
        <v>12378</v>
      </c>
      <c r="M14" s="267" t="str">
        <f t="shared" si="8"/>
        <v/>
      </c>
      <c r="N14" s="267" t="str">
        <f t="shared" si="8"/>
        <v/>
      </c>
      <c r="O14" s="267" t="str">
        <f t="shared" si="8"/>
        <v/>
      </c>
      <c r="P14" s="267" t="str">
        <f t="shared" si="8"/>
        <v/>
      </c>
      <c r="Q14" s="267" t="str">
        <f t="shared" si="8"/>
        <v/>
      </c>
    </row>
    <row r="15" spans="1:17" ht="15.75" customHeight="1">
      <c r="A15" s="10"/>
      <c r="B15" s="2" t="s">
        <v>62</v>
      </c>
      <c r="C15" s="266">
        <f>BS!$G$39*BS!D58</f>
        <v>8904</v>
      </c>
      <c r="E15" s="237"/>
      <c r="G15" s="266">
        <f>IF(Data!C61="","",-Data!C61)</f>
        <v>8904</v>
      </c>
      <c r="H15" s="266">
        <f>IF(Data!D61="","",-Data!D61)</f>
        <v>8904</v>
      </c>
      <c r="I15" s="266">
        <f>IF(Data!E61="","",-Data!E61)</f>
        <v>8292</v>
      </c>
      <c r="J15" s="266">
        <f>IF(Data!F61="","",-Data!F61)</f>
        <v>7236</v>
      </c>
      <c r="K15" s="266">
        <f>IF(Data!G61="","",-Data!G61)</f>
        <v>0</v>
      </c>
      <c r="L15" s="266">
        <f>IF(Data!H61="","",-Data!H61)</f>
        <v>0</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-9506.0456217500268</v>
      </c>
      <c r="E16" s="237"/>
      <c r="G16" s="266">
        <f>Data!C62</f>
        <v>-8904</v>
      </c>
      <c r="H16" s="266">
        <f>Data!D62</f>
        <v>-8904</v>
      </c>
      <c r="I16" s="266">
        <f>Data!E62</f>
        <v>-8292</v>
      </c>
      <c r="J16" s="266">
        <f>Data!F62</f>
        <v>-7236</v>
      </c>
      <c r="K16" s="266">
        <f>Data!G62</f>
        <v>0</v>
      </c>
      <c r="L16" s="266">
        <f>Data!H62</f>
        <v>0</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-2851.4456160973477</v>
      </c>
      <c r="D19" s="26"/>
      <c r="E19" s="234"/>
      <c r="F19" s="26"/>
      <c r="G19" s="271">
        <f t="shared" ref="G19:Q19" si="9">IF(G$4="","",G14+G17)</f>
        <v>-2478</v>
      </c>
      <c r="H19" s="271">
        <f t="shared" si="9"/>
        <v>28822</v>
      </c>
      <c r="I19" s="271">
        <f t="shared" si="9"/>
        <v>18646</v>
      </c>
      <c r="J19" s="271">
        <f t="shared" si="9"/>
        <v>9867</v>
      </c>
      <c r="K19" s="271">
        <f t="shared" si="9"/>
        <v>126</v>
      </c>
      <c r="L19" s="271">
        <f t="shared" si="9"/>
        <v>12378</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-1114672.5732233655</v>
      </c>
      <c r="D23" s="55"/>
      <c r="E23" s="236"/>
      <c r="F23" s="55"/>
      <c r="G23" s="270">
        <f>Data!C37</f>
        <v>-1099057</v>
      </c>
      <c r="H23" s="270">
        <f>Data!D37</f>
        <v>-974951</v>
      </c>
      <c r="I23" s="270">
        <f>Data!E37</f>
        <v>-924958</v>
      </c>
      <c r="J23" s="270">
        <f>Data!F37</f>
        <v>-899163</v>
      </c>
      <c r="K23" s="270">
        <f>Data!G37</f>
        <v>-822526</v>
      </c>
      <c r="L23" s="270">
        <f>Data!H37</f>
        <v>-636694</v>
      </c>
      <c r="M23" s="270" t="str">
        <f>Data!I37</f>
        <v/>
      </c>
      <c r="N23" s="270" t="str">
        <f>Data!J37</f>
        <v/>
      </c>
      <c r="O23" s="270" t="str">
        <f>Data!K37</f>
        <v/>
      </c>
      <c r="P23" s="270" t="str">
        <f>Data!L37</f>
        <v/>
      </c>
      <c r="Q23" s="270" t="str">
        <f>Data!M37</f>
        <v/>
      </c>
    </row>
    <row r="24" spans="1:17" ht="15.75" customHeight="1">
      <c r="A24" s="10"/>
      <c r="B24" s="65" t="s">
        <v>59</v>
      </c>
      <c r="C24" s="266">
        <f>-C4*C30</f>
        <v>-69062.072900081897</v>
      </c>
      <c r="D24" s="26"/>
      <c r="E24" s="234"/>
      <c r="F24" s="26"/>
      <c r="G24" s="270">
        <f>Data!C40</f>
        <v>-83953</v>
      </c>
      <c r="H24" s="270">
        <f>Data!D40</f>
        <v>-47953</v>
      </c>
      <c r="I24" s="270">
        <f>Data!E40</f>
        <v>-40133</v>
      </c>
      <c r="J24" s="270">
        <f>Data!F40</f>
        <v>-37772</v>
      </c>
      <c r="K24" s="270">
        <f>Data!G40</f>
        <v>-38743</v>
      </c>
      <c r="L24" s="270">
        <f>Data!H40</f>
        <v>-27156</v>
      </c>
      <c r="M24" s="270" t="str">
        <f>Data!I40</f>
        <v/>
      </c>
      <c r="N24" s="270" t="str">
        <f>Data!J40</f>
        <v/>
      </c>
      <c r="O24" s="270" t="str">
        <f>Data!K40</f>
        <v/>
      </c>
      <c r="P24" s="270" t="str">
        <f>Data!L40</f>
        <v/>
      </c>
      <c r="Q24" s="270" t="str">
        <f>Data!M40</f>
        <v/>
      </c>
    </row>
    <row r="25" spans="1:17" ht="15.75" customHeight="1">
      <c r="A25" s="10"/>
      <c r="B25" s="26" t="s">
        <v>46</v>
      </c>
      <c r="C25" s="266">
        <f>-C4*C31</f>
        <v>-20417.749066232715</v>
      </c>
      <c r="D25" s="55"/>
      <c r="E25" s="235"/>
      <c r="F25" s="55"/>
      <c r="G25" s="270">
        <f>Data!C42</f>
        <v>-22229</v>
      </c>
      <c r="H25" s="270">
        <f>Data!D42</f>
        <v>-17031</v>
      </c>
      <c r="I25" s="270">
        <f>Data!E42</f>
        <v>-16393</v>
      </c>
      <c r="J25" s="270">
        <f>Data!F42</f>
        <v>-16893</v>
      </c>
      <c r="K25" s="270">
        <f>Data!G42</f>
        <v>-11562</v>
      </c>
      <c r="L25" s="270">
        <f>Data!H42</f>
        <v>-16149</v>
      </c>
      <c r="M25" s="270" t="str">
        <f>Data!I42</f>
        <v/>
      </c>
      <c r="N25" s="270" t="str">
        <f>Data!J42</f>
        <v/>
      </c>
      <c r="O25" s="270" t="str">
        <f>Data!K42</f>
        <v/>
      </c>
      <c r="P25" s="270" t="str">
        <f>Data!L42</f>
        <v/>
      </c>
      <c r="Q25" s="270" t="str">
        <f>Data!M42</f>
        <v/>
      </c>
    </row>
    <row r="26" spans="1:17" ht="15.75" customHeight="1">
      <c r="A26" s="10"/>
      <c r="B26" s="67" t="s">
        <v>43</v>
      </c>
      <c r="C26" s="267">
        <f>SUM(C23:C25)</f>
        <v>-1204152.3951896802</v>
      </c>
      <c r="D26" s="9"/>
      <c r="E26" s="240"/>
      <c r="F26" s="9"/>
      <c r="G26" s="267">
        <f>IF(G$4="","",SUM(G23:G25))</f>
        <v>-1205239</v>
      </c>
      <c r="H26" s="267">
        <f t="shared" ref="H26:Q26" si="10">IF(H$4="","",SUM(H23:H25))</f>
        <v>-1039935</v>
      </c>
      <c r="I26" s="267">
        <f t="shared" si="10"/>
        <v>-981484</v>
      </c>
      <c r="J26" s="267">
        <f t="shared" si="10"/>
        <v>-953828</v>
      </c>
      <c r="K26" s="267">
        <f t="shared" si="10"/>
        <v>-872831</v>
      </c>
      <c r="L26" s="267">
        <f t="shared" si="10"/>
        <v>-679999</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AVERAGE(G29:K29)</f>
        <v>0.85148983696502933</v>
      </c>
      <c r="D29" s="25"/>
      <c r="E29" s="235"/>
      <c r="F29" s="25"/>
      <c r="G29" s="13">
        <f t="shared" ref="G29:Q29" si="11">IF(G$4="","",ABS(G23/G$4))</f>
        <v>0.83956122024161917</v>
      </c>
      <c r="H29" s="13">
        <f t="shared" si="11"/>
        <v>0.84133156256499075</v>
      </c>
      <c r="I29" s="13">
        <f t="shared" si="11"/>
        <v>0.85276150542749718</v>
      </c>
      <c r="J29" s="13">
        <f t="shared" si="11"/>
        <v>0.85942655385591782</v>
      </c>
      <c r="K29" s="13">
        <f t="shared" si="11"/>
        <v>0.86436834273512175</v>
      </c>
      <c r="L29" s="13">
        <f t="shared" si="11"/>
        <v>0.85370379805900221</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5.2755988266676261E-2</v>
      </c>
      <c r="D30" s="25"/>
      <c r="E30" s="235"/>
      <c r="F30" s="25"/>
      <c r="G30" s="13">
        <f t="shared" ref="G30:Q30" si="12">IF(G$4="","",ABS(G24/G$4))</f>
        <v>6.4131053369338123E-2</v>
      </c>
      <c r="H30" s="13">
        <f t="shared" si="12"/>
        <v>4.1380923164014399E-2</v>
      </c>
      <c r="I30" s="13">
        <f t="shared" si="12"/>
        <v>3.7000466504772914E-2</v>
      </c>
      <c r="J30" s="13">
        <f t="shared" si="12"/>
        <v>3.6102753107329515E-2</v>
      </c>
      <c r="K30" s="13">
        <f t="shared" si="12"/>
        <v>4.0713877376018295E-2</v>
      </c>
      <c r="L30" s="13">
        <f t="shared" si="12"/>
        <v>3.6411809032424157E-2</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1.5596962050770357E-2</v>
      </c>
      <c r="D31" s="26"/>
      <c r="E31" s="234"/>
      <c r="F31" s="26"/>
      <c r="G31" s="13">
        <f t="shared" ref="G31:Q31" si="13">IF(G$4="","",ABS(G25/G$4))</f>
        <v>1.6980562759484678E-2</v>
      </c>
      <c r="H31" s="13">
        <f t="shared" si="13"/>
        <v>1.4696859475034496E-2</v>
      </c>
      <c r="I31" s="13">
        <f t="shared" si="13"/>
        <v>1.5113463917791902E-2</v>
      </c>
      <c r="J31" s="13">
        <f t="shared" si="13"/>
        <v>1.614645261680921E-2</v>
      </c>
      <c r="K31" s="13">
        <f t="shared" si="13"/>
        <v>1.2150165196849069E-2</v>
      </c>
      <c r="L31" s="13">
        <f t="shared" si="13"/>
        <v>2.1653200179136016E-2</v>
      </c>
      <c r="M31" s="13" t="str">
        <f t="shared" si="13"/>
        <v/>
      </c>
      <c r="N31" s="13" t="str">
        <f t="shared" si="13"/>
        <v/>
      </c>
      <c r="O31" s="13" t="str">
        <f t="shared" si="13"/>
        <v/>
      </c>
      <c r="P31" s="13" t="str">
        <f t="shared" si="13"/>
        <v/>
      </c>
      <c r="Q31" s="13" t="str">
        <f t="shared" si="13"/>
        <v/>
      </c>
    </row>
    <row r="32" spans="1:17" ht="15.75" customHeight="1">
      <c r="A32" s="10"/>
      <c r="B32" s="67" t="s">
        <v>43</v>
      </c>
      <c r="C32" s="68">
        <f>ABS(C26/$C$4)</f>
        <v>0.91984278728247604</v>
      </c>
      <c r="E32" s="237"/>
      <c r="G32" s="29">
        <f t="shared" ref="G32:Q32" si="14">IF(G$4="","",ABS(G26/G$4))</f>
        <v>0.92067283637044195</v>
      </c>
      <c r="H32" s="29">
        <f t="shared" si="14"/>
        <v>0.89740934520403959</v>
      </c>
      <c r="I32" s="29">
        <f t="shared" si="14"/>
        <v>0.90487543585006203</v>
      </c>
      <c r="J32" s="29">
        <f t="shared" si="14"/>
        <v>0.91167575958005653</v>
      </c>
      <c r="K32" s="29">
        <f t="shared" si="14"/>
        <v>0.91723238530798912</v>
      </c>
      <c r="L32" s="29">
        <f t="shared" si="14"/>
        <v>0.91176880727056242</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-100156</v>
      </c>
      <c r="D35" s="55"/>
      <c r="E35" s="236"/>
      <c r="F35" s="55"/>
      <c r="G35" s="267">
        <f>IF(G4="","",Data!C41)</f>
        <v>-100156</v>
      </c>
      <c r="H35" s="267">
        <f>IF(H4="","",Data!D41)</f>
        <v>-79314</v>
      </c>
      <c r="I35" s="267">
        <f>IF(I4="","",Data!E41)</f>
        <v>-74268</v>
      </c>
      <c r="J35" s="267">
        <f>IF(J4="","",Data!F41)</f>
        <v>-74064</v>
      </c>
      <c r="K35" s="267">
        <f>IF(K4="","",Data!G41)</f>
        <v>-70617</v>
      </c>
      <c r="L35" s="267">
        <f>IF(L4="","",Data!H41)</f>
        <v>-55109</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7.6508400905976312E-2</v>
      </c>
      <c r="E38" s="237"/>
      <c r="G38" s="29">
        <f t="shared" ref="G38:Q38" si="15">IF(G$4="","",ABS(G35/G$4))</f>
        <v>7.6508400905976312E-2</v>
      </c>
      <c r="H38" s="29">
        <f t="shared" si="15"/>
        <v>6.8443820821025542E-2</v>
      </c>
      <c r="I38" s="29">
        <f t="shared" si="15"/>
        <v>6.8471099752734035E-2</v>
      </c>
      <c r="J38" s="29">
        <f t="shared" si="15"/>
        <v>7.0790911419603225E-2</v>
      </c>
      <c r="K38" s="29">
        <f t="shared" si="15"/>
        <v>7.4209325004834001E-2</v>
      </c>
      <c r="L38" s="29">
        <f t="shared" si="15"/>
        <v>7.3892266311970198E-2</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0.67859365276913508</v>
      </c>
      <c r="H41" s="6">
        <f t="shared" si="16"/>
        <v>0.17635445244993719</v>
      </c>
      <c r="I41" s="6">
        <f t="shared" si="16"/>
        <v>0.31040349125337474</v>
      </c>
      <c r="J41" s="6">
        <f t="shared" si="16"/>
        <v>0.29737235633411663</v>
      </c>
      <c r="K41" s="6">
        <f t="shared" si="16"/>
        <v>0.93740685543964231</v>
      </c>
      <c r="L41" s="6">
        <f t="shared" si="16"/>
        <v>0.10692640692640693</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-4264.12</v>
      </c>
      <c r="E45" s="237"/>
      <c r="G45" s="266">
        <f>Data!C51</f>
        <v>-2803</v>
      </c>
      <c r="H45" s="266">
        <f>Data!D51</f>
        <v>-2896</v>
      </c>
      <c r="I45" s="266">
        <f>Data!E51</f>
        <v>-2881</v>
      </c>
      <c r="J45" s="266">
        <f>Data!F51</f>
        <v>-2106</v>
      </c>
      <c r="K45" s="266">
        <f>Data!G51</f>
        <v>-1213</v>
      </c>
      <c r="L45" s="266">
        <f>Data!H51</f>
        <v>-1125</v>
      </c>
      <c r="M45" s="266" t="str">
        <f>Data!I51</f>
        <v/>
      </c>
      <c r="N45" s="266" t="str">
        <f>Data!J51</f>
        <v/>
      </c>
      <c r="O45" s="266" t="str">
        <f>Data!K51</f>
        <v/>
      </c>
      <c r="P45" s="266" t="str">
        <f>Data!L51</f>
        <v/>
      </c>
      <c r="Q45" s="266" t="str">
        <f>Data!M51</f>
        <v/>
      </c>
    </row>
    <row r="46" spans="1:17" ht="15.75" customHeight="1">
      <c r="A46" s="10"/>
      <c r="B46" s="2" t="s">
        <v>272</v>
      </c>
      <c r="C46" s="266">
        <f>BS!D75*C51</f>
        <v>657.64929759484005</v>
      </c>
      <c r="E46" s="237"/>
      <c r="G46" s="274">
        <f t="shared" ref="G46:Q46" si="17">IFERROR(IF(G$4="","",($C$46/$C$47)*G47),0)</f>
        <v>0</v>
      </c>
      <c r="H46" s="274">
        <f t="shared" si="17"/>
        <v>0</v>
      </c>
      <c r="I46" s="274">
        <f t="shared" si="17"/>
        <v>0</v>
      </c>
      <c r="J46" s="274">
        <f t="shared" si="17"/>
        <v>0</v>
      </c>
      <c r="K46" s="274">
        <f t="shared" si="17"/>
        <v>0</v>
      </c>
      <c r="L46" s="274">
        <f t="shared" si="17"/>
        <v>0</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897.75</v>
      </c>
      <c r="D47" s="246"/>
      <c r="E47" s="247"/>
      <c r="F47" s="246"/>
      <c r="G47" s="278">
        <f>Data!C52</f>
        <v>0</v>
      </c>
      <c r="H47" s="278">
        <f>Data!D52</f>
        <v>0</v>
      </c>
      <c r="I47" s="278">
        <f>Data!E52</f>
        <v>0</v>
      </c>
      <c r="J47" s="278">
        <f>Data!F52</f>
        <v>0</v>
      </c>
      <c r="K47" s="278">
        <f>Data!G52</f>
        <v>0</v>
      </c>
      <c r="L47" s="278">
        <f>Data!H52</f>
        <v>0</v>
      </c>
      <c r="M47" s="278" t="str">
        <f>Data!I52</f>
        <v/>
      </c>
      <c r="N47" s="278" t="str">
        <f>Data!J52</f>
        <v/>
      </c>
      <c r="O47" s="278" t="str">
        <f>Data!K52</f>
        <v/>
      </c>
      <c r="P47" s="278" t="str">
        <f>Data!L52</f>
        <v/>
      </c>
      <c r="Q47" s="278" t="str">
        <f>Data!M52</f>
        <v/>
      </c>
    </row>
    <row r="48" spans="1:17" ht="15.75" customHeight="1">
      <c r="A48" s="10"/>
      <c r="B48" s="67" t="s">
        <v>65</v>
      </c>
      <c r="C48" s="267">
        <f>C45+C46</f>
        <v>-3606.47070240516</v>
      </c>
      <c r="E48" s="237"/>
      <c r="G48" s="267">
        <f>IF(G$4="","",(G45+G46))</f>
        <v>-2803</v>
      </c>
      <c r="H48" s="267">
        <f t="shared" ref="H48:Q48" si="18">IF(H$4="","",(H45+H46))</f>
        <v>-2896</v>
      </c>
      <c r="I48" s="267">
        <f t="shared" si="18"/>
        <v>-2881</v>
      </c>
      <c r="J48" s="267">
        <f t="shared" si="18"/>
        <v>-2106</v>
      </c>
      <c r="K48" s="267">
        <f t="shared" si="18"/>
        <v>-1213</v>
      </c>
      <c r="L48" s="267">
        <f t="shared" si="18"/>
        <v>-1125</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0.04</v>
      </c>
      <c r="E52" s="234"/>
      <c r="G52" s="22">
        <f>IFERROR(ABS(Normalized_FCF!G45/BS!$G$31),0)</f>
        <v>2.6293819123289212E-2</v>
      </c>
      <c r="H52" s="151"/>
      <c r="I52" s="151"/>
      <c r="J52" s="151"/>
      <c r="K52" s="151"/>
      <c r="L52" s="151"/>
      <c r="M52" s="151"/>
      <c r="N52" s="151"/>
      <c r="O52" s="151"/>
      <c r="P52" s="151"/>
      <c r="Q52" s="151"/>
    </row>
    <row r="53" spans="1:17" ht="15.75" customHeight="1">
      <c r="A53" s="10"/>
      <c r="B53" s="25" t="s">
        <v>87</v>
      </c>
      <c r="C53" s="40">
        <f>-C8/C45</f>
        <v>1.1201853630572876</v>
      </c>
      <c r="E53" s="237"/>
      <c r="G53" s="40">
        <f t="shared" ref="G53:Q53" si="19">IF(G4="","",-G8/G45)</f>
        <v>1.3164466642882626</v>
      </c>
      <c r="H53" s="40">
        <f t="shared" si="19"/>
        <v>13.663674033149171</v>
      </c>
      <c r="I53" s="40">
        <f t="shared" si="19"/>
        <v>10.034710170079833</v>
      </c>
      <c r="J53" s="40">
        <f t="shared" si="19"/>
        <v>8.7103513770180445</v>
      </c>
      <c r="K53" s="40">
        <f t="shared" si="19"/>
        <v>6.7139323990107176</v>
      </c>
      <c r="L53" s="40">
        <f t="shared" si="19"/>
        <v>9.5057777777777783</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2327</v>
      </c>
      <c r="H57" s="266">
        <f>Data!D55</f>
        <v>2327</v>
      </c>
      <c r="I57" s="266">
        <f>Data!E55</f>
        <v>1010</v>
      </c>
      <c r="J57" s="266">
        <f>Data!F55</f>
        <v>-2195</v>
      </c>
      <c r="K57" s="266">
        <f>Data!G55</f>
        <v>-4918</v>
      </c>
      <c r="L57" s="266">
        <f>Data!H55</f>
        <v>4291</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2327</v>
      </c>
      <c r="H59" s="267">
        <f t="shared" si="20"/>
        <v>2327</v>
      </c>
      <c r="I59" s="267">
        <f t="shared" si="20"/>
        <v>1010</v>
      </c>
      <c r="J59" s="267">
        <f t="shared" si="20"/>
        <v>-2195</v>
      </c>
      <c r="K59" s="267">
        <f t="shared" si="20"/>
        <v>-4918</v>
      </c>
      <c r="L59" s="267">
        <f t="shared" si="20"/>
        <v>4291</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22109</v>
      </c>
      <c r="H60" s="266">
        <f>Data!D58</f>
        <v>12537</v>
      </c>
      <c r="I60" s="266">
        <f>Data!E58</f>
        <v>4611</v>
      </c>
      <c r="J60" s="266">
        <f>Data!F58</f>
        <v>-176</v>
      </c>
      <c r="K60" s="266">
        <f>Data!G58</f>
        <v>-4593</v>
      </c>
      <c r="L60" s="266">
        <f>Data!H58</f>
        <v>36959</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24436</v>
      </c>
      <c r="H61" s="267">
        <f t="shared" si="21"/>
        <v>14864</v>
      </c>
      <c r="I61" s="267">
        <f t="shared" si="21"/>
        <v>5621</v>
      </c>
      <c r="J61" s="267">
        <f t="shared" si="21"/>
        <v>-2371</v>
      </c>
      <c r="K61" s="267">
        <f t="shared" si="21"/>
        <v>-9511</v>
      </c>
      <c r="L61" s="267">
        <f t="shared" si="21"/>
        <v>41250</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1.5552213868003342E-2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0.91984278728247604</v>
      </c>
      <c r="D71" s="26"/>
      <c r="E71" s="234"/>
      <c r="F71" s="26"/>
      <c r="G71" s="6">
        <f t="shared" ref="G71:Q71" si="23">IF(G$4="","",ABS(G5/G$4))</f>
        <v>0.92067283637044195</v>
      </c>
      <c r="H71" s="6">
        <f t="shared" si="23"/>
        <v>0.89740934520403959</v>
      </c>
      <c r="I71" s="6">
        <f t="shared" si="23"/>
        <v>0.90487543585006203</v>
      </c>
      <c r="J71" s="6">
        <f t="shared" si="23"/>
        <v>0.91167575958005653</v>
      </c>
      <c r="K71" s="6">
        <f t="shared" si="23"/>
        <v>0.91723238530798912</v>
      </c>
      <c r="L71" s="6">
        <f t="shared" si="23"/>
        <v>0.91176880727056242</v>
      </c>
      <c r="M71" s="6" t="str">
        <f t="shared" si="23"/>
        <v/>
      </c>
      <c r="N71" s="6" t="str">
        <f t="shared" si="23"/>
        <v/>
      </c>
      <c r="O71" s="6" t="str">
        <f t="shared" si="23"/>
        <v/>
      </c>
      <c r="P71" s="6" t="str">
        <f t="shared" si="23"/>
        <v/>
      </c>
      <c r="Q71" s="6" t="str">
        <f t="shared" si="23"/>
        <v/>
      </c>
    </row>
    <row r="72" spans="1:17" ht="15.75" customHeight="1">
      <c r="A72" s="10"/>
      <c r="B72" s="30" t="s">
        <v>45</v>
      </c>
      <c r="C72" s="75">
        <f t="shared" si="22"/>
        <v>8.0157212717523948E-2</v>
      </c>
      <c r="D72" s="26"/>
      <c r="E72" s="234"/>
      <c r="F72" s="26"/>
      <c r="G72" s="62">
        <f t="shared" ref="G72:Q72" si="24">IF(G$4="","",ABS(G6/G$4))</f>
        <v>7.9327163629558051E-2</v>
      </c>
      <c r="H72" s="62">
        <f t="shared" si="24"/>
        <v>0.10259065479596037</v>
      </c>
      <c r="I72" s="62">
        <f t="shared" si="24"/>
        <v>9.512456414993796E-2</v>
      </c>
      <c r="J72" s="62">
        <f t="shared" si="24"/>
        <v>8.8324240419943495E-2</v>
      </c>
      <c r="K72" s="62">
        <f t="shared" si="24"/>
        <v>8.2767614692010869E-2</v>
      </c>
      <c r="L72" s="62">
        <f t="shared" si="24"/>
        <v>8.8231192729437566E-2</v>
      </c>
      <c r="M72" s="62" t="str">
        <f t="shared" si="24"/>
        <v/>
      </c>
      <c r="N72" s="62" t="str">
        <f t="shared" si="24"/>
        <v/>
      </c>
      <c r="O72" s="62" t="str">
        <f t="shared" si="24"/>
        <v/>
      </c>
      <c r="P72" s="62" t="str">
        <f t="shared" si="24"/>
        <v/>
      </c>
      <c r="Q72" s="62" t="str">
        <f t="shared" si="24"/>
        <v/>
      </c>
    </row>
    <row r="73" spans="1:17" ht="15.75" customHeight="1">
      <c r="A73" s="10"/>
      <c r="B73" s="8" t="s">
        <v>42</v>
      </c>
      <c r="C73" s="74">
        <f t="shared" si="22"/>
        <v>7.6508400905976312E-2</v>
      </c>
      <c r="D73" s="26"/>
      <c r="E73" s="234"/>
      <c r="F73" s="26"/>
      <c r="G73" s="6">
        <f t="shared" ref="G73:Q73" si="25">IF(G$4="","",ABS(G7/G$4))</f>
        <v>7.6508400905976312E-2</v>
      </c>
      <c r="H73" s="6">
        <f t="shared" si="25"/>
        <v>6.8443820821025542E-2</v>
      </c>
      <c r="I73" s="6">
        <f t="shared" si="25"/>
        <v>6.8471099752734035E-2</v>
      </c>
      <c r="J73" s="6">
        <f t="shared" si="25"/>
        <v>7.0790911419603225E-2</v>
      </c>
      <c r="K73" s="6">
        <f t="shared" si="25"/>
        <v>7.4209325004834001E-2</v>
      </c>
      <c r="L73" s="6">
        <f t="shared" si="25"/>
        <v>7.3892266311970198E-2</v>
      </c>
      <c r="M73" s="6" t="str">
        <f t="shared" si="25"/>
        <v/>
      </c>
      <c r="N73" s="6" t="str">
        <f t="shared" si="25"/>
        <v/>
      </c>
      <c r="O73" s="6" t="str">
        <f t="shared" si="25"/>
        <v/>
      </c>
      <c r="P73" s="6" t="str">
        <f t="shared" si="25"/>
        <v/>
      </c>
      <c r="Q73" s="6" t="str">
        <f t="shared" si="25"/>
        <v/>
      </c>
    </row>
    <row r="74" spans="1:17" ht="15.75" customHeight="1">
      <c r="A74" s="10"/>
      <c r="B74" s="28" t="s">
        <v>127</v>
      </c>
      <c r="C74" s="75">
        <f t="shared" si="22"/>
        <v>3.6488118115476391E-3</v>
      </c>
      <c r="D74" s="26"/>
      <c r="E74" s="234"/>
      <c r="F74" s="26"/>
      <c r="G74" s="62">
        <f t="shared" ref="G74:Q74" si="26">IF(G$4="","",ABS(G8/G$4))</f>
        <v>2.8187627235817382E-3</v>
      </c>
      <c r="H74" s="62">
        <f t="shared" si="26"/>
        <v>3.4146833974934829E-2</v>
      </c>
      <c r="I74" s="62">
        <f t="shared" si="26"/>
        <v>2.6653464397203921E-2</v>
      </c>
      <c r="J74" s="62">
        <f t="shared" si="26"/>
        <v>1.7533329000340266E-2</v>
      </c>
      <c r="K74" s="62">
        <f t="shared" si="26"/>
        <v>8.5582896871768573E-3</v>
      </c>
      <c r="L74" s="62">
        <f t="shared" si="26"/>
        <v>1.4338926417467372E-2</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1.7775774682316275E-3</v>
      </c>
      <c r="H75" s="6">
        <f t="shared" si="27"/>
        <v>2.0080789148262152E-3</v>
      </c>
      <c r="I75" s="6">
        <f t="shared" si="27"/>
        <v>9.3116565344780213E-4</v>
      </c>
      <c r="J75" s="6">
        <f t="shared" si="27"/>
        <v>-2.0979970102347847E-3</v>
      </c>
      <c r="K75" s="6">
        <f t="shared" si="27"/>
        <v>-5.168181321406653E-3</v>
      </c>
      <c r="L75" s="6">
        <f t="shared" si="27"/>
        <v>5.7535378022585083E-3</v>
      </c>
      <c r="M75" s="6" t="str">
        <f t="shared" si="27"/>
        <v/>
      </c>
      <c r="N75" s="6" t="str">
        <f t="shared" si="27"/>
        <v/>
      </c>
      <c r="O75" s="6" t="str">
        <f t="shared" si="27"/>
        <v/>
      </c>
      <c r="P75" s="6" t="str">
        <f t="shared" si="27"/>
        <v/>
      </c>
      <c r="Q75" s="6" t="str">
        <f t="shared" si="27"/>
        <v/>
      </c>
    </row>
    <row r="76" spans="1:17" ht="15.75" customHeight="1">
      <c r="A76" s="10"/>
      <c r="B76" s="2" t="s">
        <v>65</v>
      </c>
      <c r="C76" s="74">
        <f t="shared" si="22"/>
        <v>2.7549553332328765E-3</v>
      </c>
      <c r="D76" s="26"/>
      <c r="E76" s="234"/>
      <c r="F76" s="26"/>
      <c r="G76" s="6">
        <f t="shared" ref="G76:Q76" si="28">IF(G$4="","",ABS(G10/G$4))</f>
        <v>2.1411902206503017E-3</v>
      </c>
      <c r="H76" s="6">
        <f t="shared" si="28"/>
        <v>2.499096062456691E-3</v>
      </c>
      <c r="I76" s="6">
        <f t="shared" si="28"/>
        <v>2.6561269778050674E-3</v>
      </c>
      <c r="J76" s="6">
        <f t="shared" si="28"/>
        <v>2.0129301610726453E-3</v>
      </c>
      <c r="K76" s="6">
        <f t="shared" si="28"/>
        <v>1.2747059664225844E-3</v>
      </c>
      <c r="L76" s="6">
        <f t="shared" si="28"/>
        <v>1.5084432597391802E-3</v>
      </c>
      <c r="M76" s="6" t="str">
        <f t="shared" si="28"/>
        <v/>
      </c>
      <c r="N76" s="6" t="str">
        <f t="shared" si="28"/>
        <v/>
      </c>
      <c r="O76" s="6" t="str">
        <f t="shared" si="28"/>
        <v/>
      </c>
      <c r="P76" s="6" t="str">
        <f t="shared" si="28"/>
        <v/>
      </c>
      <c r="Q76" s="6" t="str">
        <f t="shared" si="28"/>
        <v/>
      </c>
    </row>
    <row r="77" spans="1:17" ht="15.75" customHeight="1">
      <c r="A77" s="10"/>
      <c r="B77" s="67" t="s">
        <v>137</v>
      </c>
      <c r="C77" s="75">
        <f>C11/C4</f>
        <v>8.9385647831476253E-4</v>
      </c>
      <c r="D77" s="26"/>
      <c r="E77" s="234"/>
      <c r="F77" s="26"/>
      <c r="G77" s="62">
        <f t="shared" ref="G77:Q77" si="29">IF(G$4="","",G11/G$4)</f>
        <v>2.4551499711630643E-3</v>
      </c>
      <c r="H77" s="62">
        <f t="shared" si="29"/>
        <v>3.3655816827304348E-2</v>
      </c>
      <c r="I77" s="62">
        <f t="shared" si="29"/>
        <v>2.4928503072846657E-2</v>
      </c>
      <c r="J77" s="62">
        <f t="shared" si="29"/>
        <v>1.3422401829032838E-2</v>
      </c>
      <c r="K77" s="62">
        <f t="shared" si="29"/>
        <v>2.1154023993476194E-3</v>
      </c>
      <c r="L77" s="62">
        <f t="shared" si="29"/>
        <v>1.8584020959986697E-2</v>
      </c>
      <c r="M77" s="62" t="str">
        <f t="shared" si="29"/>
        <v/>
      </c>
      <c r="N77" s="62" t="str">
        <f t="shared" si="29"/>
        <v/>
      </c>
      <c r="O77" s="62" t="str">
        <f t="shared" si="29"/>
        <v/>
      </c>
      <c r="P77" s="62" t="str">
        <f t="shared" si="29"/>
        <v/>
      </c>
      <c r="Q77" s="62" t="str">
        <f t="shared" si="29"/>
        <v/>
      </c>
    </row>
    <row r="78" spans="1:17" ht="15.75" customHeight="1">
      <c r="A78" s="10"/>
      <c r="B78" s="2" t="s">
        <v>60</v>
      </c>
      <c r="C78" s="74">
        <f>ABS(C12/C$4)</f>
        <v>2.2346411957869063E-4</v>
      </c>
      <c r="D78" s="26"/>
      <c r="E78" s="234"/>
      <c r="F78" s="26"/>
      <c r="G78" s="6">
        <f t="shared" ref="G78:Q78" si="30">IF(G$4="","",ABS(G12/G$4))</f>
        <v>1.6660491870275802E-3</v>
      </c>
      <c r="H78" s="6">
        <f t="shared" si="30"/>
        <v>5.9353531483346406E-3</v>
      </c>
      <c r="I78" s="6">
        <f t="shared" si="30"/>
        <v>7.7378943855320832E-3</v>
      </c>
      <c r="J78" s="6">
        <f t="shared" si="30"/>
        <v>3.9914512595628521E-3</v>
      </c>
      <c r="K78" s="6">
        <f t="shared" si="30"/>
        <v>1.9829927111619265E-3</v>
      </c>
      <c r="L78" s="6">
        <f t="shared" si="30"/>
        <v>1.9871225874964131E-3</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2.8485898142850607E-3</v>
      </c>
      <c r="D79" s="26"/>
      <c r="E79" s="234"/>
      <c r="F79" s="26"/>
      <c r="G79" s="6">
        <f t="shared" ref="G79:Q79" si="31">IF(G$4="","",-G13/G$4)</f>
        <v>2.6820259952562288E-3</v>
      </c>
      <c r="H79" s="6">
        <f t="shared" si="31"/>
        <v>2.8485898142850607E-3</v>
      </c>
      <c r="I79" s="6">
        <f t="shared" si="31"/>
        <v>0</v>
      </c>
      <c r="J79" s="6">
        <f t="shared" si="31"/>
        <v>0</v>
      </c>
      <c r="K79" s="6">
        <f t="shared" si="31"/>
        <v>0</v>
      </c>
      <c r="L79" s="6">
        <f t="shared" si="31"/>
        <v>0</v>
      </c>
      <c r="M79" s="6" t="str">
        <f t="shared" si="31"/>
        <v/>
      </c>
      <c r="N79" s="6" t="str">
        <f t="shared" si="31"/>
        <v/>
      </c>
      <c r="O79" s="6" t="str">
        <f t="shared" si="31"/>
        <v/>
      </c>
      <c r="P79" s="6" t="str">
        <f t="shared" si="31"/>
        <v/>
      </c>
      <c r="Q79" s="6" t="str">
        <f t="shared" si="31"/>
        <v/>
      </c>
    </row>
    <row r="80" spans="1:17" ht="15.75" customHeight="1">
      <c r="A80" s="10"/>
      <c r="B80" s="39" t="s">
        <v>129</v>
      </c>
      <c r="C80" s="75">
        <f>ABS(C14/C$4)</f>
        <v>2.1781974555489885E-3</v>
      </c>
      <c r="D80" s="26"/>
      <c r="E80" s="234"/>
      <c r="F80" s="26"/>
      <c r="G80" s="62">
        <f t="shared" ref="G80:Q80" si="32">IF(G$4="","",ABS(G14/G$4))</f>
        <v>1.8929252111207447E-3</v>
      </c>
      <c r="H80" s="62">
        <f t="shared" si="32"/>
        <v>2.4871873864684649E-2</v>
      </c>
      <c r="I80" s="62">
        <f t="shared" si="32"/>
        <v>1.7190608687314573E-2</v>
      </c>
      <c r="J80" s="62">
        <f t="shared" si="32"/>
        <v>9.4309505694699855E-3</v>
      </c>
      <c r="K80" s="62">
        <f t="shared" si="32"/>
        <v>1.3240968818569303E-4</v>
      </c>
      <c r="L80" s="62">
        <f t="shared" si="32"/>
        <v>1.6596898372490284E-2</v>
      </c>
      <c r="M80" s="62" t="str">
        <f t="shared" si="32"/>
        <v/>
      </c>
      <c r="N80" s="62" t="str">
        <f t="shared" si="32"/>
        <v/>
      </c>
      <c r="O80" s="62" t="str">
        <f t="shared" si="32"/>
        <v/>
      </c>
      <c r="P80" s="62" t="str">
        <f t="shared" si="32"/>
        <v/>
      </c>
      <c r="Q80" s="62" t="str">
        <f t="shared" si="32"/>
        <v/>
      </c>
    </row>
    <row r="81" spans="1:17" ht="15.75" customHeight="1">
      <c r="A81" s="10"/>
      <c r="B81" s="2" t="s">
        <v>62</v>
      </c>
      <c r="C81" s="74">
        <f>ABS(C15/C$4)</f>
        <v>6.8016973687728454E-3</v>
      </c>
      <c r="D81" s="26"/>
      <c r="E81" s="234"/>
      <c r="F81" s="26"/>
      <c r="G81" s="6">
        <f t="shared" ref="G81:Q81" si="33">IF(G$4="","",G15/G$4)</f>
        <v>6.8016973687728454E-3</v>
      </c>
      <c r="H81" s="6">
        <f t="shared" si="33"/>
        <v>7.68368485501187E-3</v>
      </c>
      <c r="I81" s="6">
        <f t="shared" si="33"/>
        <v>7.6447778201873028E-3</v>
      </c>
      <c r="J81" s="6">
        <f t="shared" si="33"/>
        <v>6.9162215790701141E-3</v>
      </c>
      <c r="K81" s="6">
        <f t="shared" si="33"/>
        <v>0</v>
      </c>
      <c r="L81" s="6">
        <f t="shared" si="33"/>
        <v>0</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7.2615954057605328E-3</v>
      </c>
      <c r="D82" s="26"/>
      <c r="E82" s="235" t="s">
        <v>548</v>
      </c>
      <c r="F82" s="26"/>
      <c r="G82" s="6">
        <f t="shared" ref="G82:Q82" si="34">IF(G$4="","",-G16/G$4)</f>
        <v>6.8016973687728454E-3</v>
      </c>
      <c r="H82" s="6">
        <f t="shared" si="34"/>
        <v>7.68368485501187E-3</v>
      </c>
      <c r="I82" s="6">
        <f t="shared" si="34"/>
        <v>7.6447778201873028E-3</v>
      </c>
      <c r="J82" s="6">
        <f t="shared" si="34"/>
        <v>6.9162215790701141E-3</v>
      </c>
      <c r="K82" s="6">
        <f t="shared" si="34"/>
        <v>0</v>
      </c>
      <c r="L82" s="6">
        <f t="shared" si="34"/>
        <v>0</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2.1781974555489885E-3</v>
      </c>
      <c r="D85" s="72"/>
      <c r="E85" s="234"/>
      <c r="F85" s="72"/>
      <c r="G85" s="62">
        <f t="shared" ref="G85:Q85" si="35">IF(G$4="","",ABS(G19/G$4))</f>
        <v>1.8929252111207447E-3</v>
      </c>
      <c r="H85" s="62">
        <f t="shared" si="35"/>
        <v>2.4871873864684649E-2</v>
      </c>
      <c r="I85" s="62">
        <f t="shared" si="35"/>
        <v>1.7190608687314573E-2</v>
      </c>
      <c r="J85" s="62">
        <f t="shared" si="35"/>
        <v>9.4309505694699855E-3</v>
      </c>
      <c r="K85" s="62">
        <f t="shared" si="35"/>
        <v>1.3240968818569303E-4</v>
      </c>
      <c r="L85" s="62">
        <f t="shared" si="35"/>
        <v>1.6596898372490284E-2</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3.9</v>
      </c>
      <c r="E88" s="237"/>
      <c r="G88" s="109">
        <f>Data!C65</f>
        <v>3.9</v>
      </c>
      <c r="H88" s="109">
        <f>Data!D65</f>
        <v>3.9</v>
      </c>
      <c r="I88" s="109">
        <f>Data!E65</f>
        <v>2.964</v>
      </c>
      <c r="J88" s="109">
        <f>Data!F65</f>
        <v>2.4180000000000001</v>
      </c>
      <c r="K88" s="109">
        <f>Data!G65</f>
        <v>0</v>
      </c>
      <c r="L88" s="109">
        <f>Data!H65</f>
        <v>0</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10990.2</v>
      </c>
      <c r="E89" s="237"/>
      <c r="G89" s="71">
        <f t="shared" ref="G89:Q89" si="36">IF(G$4="","",G88*Common_Shares/scaling_factor)</f>
        <v>10990.2</v>
      </c>
      <c r="H89" s="71">
        <f t="shared" si="36"/>
        <v>10990.2</v>
      </c>
      <c r="I89" s="71">
        <f t="shared" si="36"/>
        <v>8352.5519999999997</v>
      </c>
      <c r="J89" s="71">
        <f t="shared" si="36"/>
        <v>6813.924</v>
      </c>
      <c r="K89" s="71">
        <f t="shared" si="36"/>
        <v>0</v>
      </c>
      <c r="L89" s="71">
        <f t="shared" si="36"/>
        <v>0</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-3.8542555179578768</v>
      </c>
      <c r="E90" s="237"/>
      <c r="G90" s="152">
        <f t="shared" ref="G90:Q90" si="37">IF(G$4="","",G88/(G19*scaling_factor/Common_Shares))</f>
        <v>-4.4351089588377723</v>
      </c>
      <c r="H90" s="152">
        <f t="shared" si="37"/>
        <v>0.38131288598986884</v>
      </c>
      <c r="I90" s="152">
        <f t="shared" si="37"/>
        <v>0.44795409203046227</v>
      </c>
      <c r="J90" s="152">
        <f t="shared" si="37"/>
        <v>0.69057707509881427</v>
      </c>
      <c r="K90" s="152">
        <f t="shared" si="37"/>
        <v>0</v>
      </c>
      <c r="L90" s="152">
        <f t="shared" si="37"/>
        <v>0</v>
      </c>
      <c r="M90" s="152" t="str">
        <f t="shared" si="37"/>
        <v/>
      </c>
      <c r="N90" s="152" t="str">
        <f t="shared" si="37"/>
        <v/>
      </c>
      <c r="O90" s="152" t="str">
        <f t="shared" si="37"/>
        <v/>
      </c>
      <c r="P90" s="152" t="str">
        <f t="shared" si="37"/>
        <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3.1227758007117433E-2</v>
      </c>
      <c r="E92" s="237"/>
      <c r="G92" s="22">
        <f t="shared" ref="G92:Q92" si="38">IF(G$4="","",(G88*(1-dividend_tax_rate))/Market_Price)</f>
        <v>3.1227758007117433E-2</v>
      </c>
      <c r="H92" s="22">
        <f t="shared" si="38"/>
        <v>3.1227758007117433E-2</v>
      </c>
      <c r="I92" s="22">
        <f t="shared" si="38"/>
        <v>2.3733096085409255E-2</v>
      </c>
      <c r="J92" s="22">
        <f t="shared" si="38"/>
        <v>1.9361209964412811E-2</v>
      </c>
      <c r="K92" s="22">
        <f t="shared" si="38"/>
        <v>0</v>
      </c>
      <c r="L92" s="22">
        <f t="shared" si="38"/>
        <v>0</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0.12967167435121452</v>
      </c>
      <c r="H95" s="6">
        <f t="shared" si="39"/>
        <v>6.8368763725473958E-2</v>
      </c>
      <c r="I95" s="6">
        <f t="shared" si="39"/>
        <v>3.6727851077577034E-2</v>
      </c>
      <c r="J95" s="6">
        <f t="shared" si="39"/>
        <v>9.945859149719638E-2</v>
      </c>
      <c r="K95" s="6">
        <f t="shared" si="39"/>
        <v>0.27593114526375628</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-0.63592591539680121</v>
      </c>
      <c r="D96" s="26"/>
      <c r="E96" s="234"/>
      <c r="F96" s="26"/>
      <c r="G96" s="6">
        <f t="shared" ref="G96:Q96" si="40">IF(H5="","",G11/H11-1)</f>
        <v>-0.91759185661906106</v>
      </c>
      <c r="H96" s="6">
        <f t="shared" si="40"/>
        <v>0.44239801767816855</v>
      </c>
      <c r="I96" s="6">
        <f t="shared" si="40"/>
        <v>0.92544328135013876</v>
      </c>
      <c r="J96" s="6">
        <f t="shared" si="40"/>
        <v>5.9761549925484347</v>
      </c>
      <c r="K96" s="6">
        <f t="shared" si="40"/>
        <v>-0.85476190476190472</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695201</v>
      </c>
      <c r="D100" s="25"/>
      <c r="E100" s="238"/>
      <c r="F100" s="25"/>
      <c r="G100" s="270">
        <f t="shared" ref="G100:Q100" si="41">IF(G$4="","",G104+G103)</f>
        <v>695201</v>
      </c>
      <c r="H100" s="270">
        <f t="shared" si="41"/>
        <v>713529</v>
      </c>
      <c r="I100" s="270">
        <f t="shared" si="41"/>
        <v>628344</v>
      </c>
      <c r="J100" s="270">
        <f t="shared" si="41"/>
        <v>595250</v>
      </c>
      <c r="K100" s="270">
        <f t="shared" si="41"/>
        <v>496507</v>
      </c>
      <c r="L100" s="270">
        <f t="shared" si="41"/>
        <v>0</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29475</v>
      </c>
      <c r="D101" s="86"/>
      <c r="E101" s="239"/>
      <c r="F101" s="86"/>
      <c r="G101" s="282">
        <f>IF(G$4="","",Data!D77)</f>
        <v>41491</v>
      </c>
      <c r="H101" s="282">
        <f>IF(H$4="","",Data!E77)</f>
        <v>22416</v>
      </c>
      <c r="I101" s="282">
        <f>IF(I$4="","",Data!F77)</f>
        <v>205760</v>
      </c>
      <c r="J101" s="282">
        <f>IF(J$4="","",Data!G77)</f>
        <v>11900</v>
      </c>
      <c r="K101" s="282">
        <f>IF(K$4="","",Data!H77)</f>
        <v>0</v>
      </c>
      <c r="L101" s="282">
        <f>IF(L$4="","",Data!I77)</f>
        <v>0</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95428</v>
      </c>
      <c r="D102" s="86"/>
      <c r="E102" s="239"/>
      <c r="F102" s="86"/>
      <c r="G102" s="282">
        <f>IF(G$4="","",Data!D78)</f>
        <v>100999</v>
      </c>
      <c r="H102" s="282">
        <f>IF(H$4="","",Data!E78)</f>
        <v>68058</v>
      </c>
      <c r="I102" s="282">
        <f>IF(I$4="","",Data!F78)</f>
        <v>77949</v>
      </c>
      <c r="J102" s="282">
        <f>IF(J$4="","",Data!G78)</f>
        <v>75601</v>
      </c>
      <c r="K102" s="282">
        <f>IF(K$4="","",Data!H78)</f>
        <v>0</v>
      </c>
      <c r="L102" s="282">
        <f>IF(L$4="","",Data!I78)</f>
        <v>0</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401418</v>
      </c>
      <c r="D103" s="25"/>
      <c r="E103" s="238"/>
      <c r="F103" s="25"/>
      <c r="G103" s="270">
        <f>Data!C79</f>
        <v>401418</v>
      </c>
      <c r="H103" s="270">
        <f>Data!D79</f>
        <v>409109</v>
      </c>
      <c r="I103" s="270">
        <f>Data!E79</f>
        <v>332578</v>
      </c>
      <c r="J103" s="270">
        <f>Data!F79</f>
        <v>321127</v>
      </c>
      <c r="K103" s="270">
        <f>Data!G79</f>
        <v>249723</v>
      </c>
      <c r="L103" s="270">
        <f>Data!H79</f>
        <v>0</v>
      </c>
      <c r="M103" s="270" t="str">
        <f>Data!I79</f>
        <v/>
      </c>
      <c r="N103" s="270" t="str">
        <f>Data!J79</f>
        <v/>
      </c>
      <c r="O103" s="270" t="str">
        <f>Data!K79</f>
        <v/>
      </c>
      <c r="P103" s="270" t="str">
        <f>Data!L79</f>
        <v/>
      </c>
      <c r="Q103" s="270" t="str">
        <f>Data!M79</f>
        <v/>
      </c>
    </row>
    <row r="104" spans="1:17" ht="15.75" customHeight="1">
      <c r="A104" s="10"/>
      <c r="B104" s="25" t="s">
        <v>28</v>
      </c>
      <c r="C104" s="280">
        <f>BS!G27</f>
        <v>293783</v>
      </c>
      <c r="D104" s="25"/>
      <c r="E104" s="238"/>
      <c r="F104" s="25"/>
      <c r="G104" s="270">
        <f>Data!C80</f>
        <v>293783</v>
      </c>
      <c r="H104" s="270">
        <f>Data!D80</f>
        <v>304420</v>
      </c>
      <c r="I104" s="270">
        <f>Data!E80</f>
        <v>295766</v>
      </c>
      <c r="J104" s="270">
        <f>Data!F80</f>
        <v>274123</v>
      </c>
      <c r="K104" s="270">
        <f>Data!G80</f>
        <v>246784</v>
      </c>
      <c r="L104" s="270">
        <f>Data!H80</f>
        <v>0</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2.2515726633488276E-2</v>
      </c>
      <c r="D107" s="25"/>
      <c r="E107" s="238"/>
      <c r="F107" s="25"/>
      <c r="G107" s="91">
        <f t="shared" ref="G107:Q107" si="42">IF(G$4="","",G101/G$4)</f>
        <v>3.1694656955048757E-2</v>
      </c>
      <c r="H107" s="91">
        <f t="shared" si="42"/>
        <v>1.934383195304875E-2</v>
      </c>
      <c r="I107" s="91">
        <f t="shared" si="42"/>
        <v>0.18969964836972256</v>
      </c>
      <c r="J107" s="91">
        <f t="shared" si="42"/>
        <v>1.1374106798083797E-2</v>
      </c>
      <c r="K107" s="91">
        <f t="shared" si="42"/>
        <v>0</v>
      </c>
      <c r="L107" s="91">
        <f t="shared" si="42"/>
        <v>0</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7.2896717936574013E-2</v>
      </c>
      <c r="D108" s="25"/>
      <c r="E108" s="238"/>
      <c r="F108" s="25"/>
      <c r="G108" s="91">
        <f t="shared" ref="G108:Q108" si="43">IF(G$4="","",G102/G$4)</f>
        <v>7.7152362146079137E-2</v>
      </c>
      <c r="H108" s="91">
        <f t="shared" si="43"/>
        <v>5.8730483362802989E-2</v>
      </c>
      <c r="I108" s="91">
        <f t="shared" si="43"/>
        <v>7.1864783683765074E-2</v>
      </c>
      <c r="J108" s="91">
        <f t="shared" si="43"/>
        <v>7.2259987230414546E-2</v>
      </c>
      <c r="K108" s="91">
        <f t="shared" si="43"/>
        <v>0</v>
      </c>
      <c r="L108" s="91">
        <f t="shared" si="43"/>
        <v>0</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0.82062915910465817</v>
      </c>
      <c r="H112" s="251">
        <f>IF(H$4="","",Data!D$22/Data!D15)</f>
        <v>1.3008284818629645</v>
      </c>
      <c r="I112" s="251">
        <f>IF(I$4="","",Data!E$22/Data!E15)</f>
        <v>2.5592724771036677</v>
      </c>
      <c r="J112" s="251">
        <f>IF(J$4="","",Data!F$22/Data!F15)</f>
        <v>5.9662573521824376</v>
      </c>
      <c r="K112" s="251">
        <f>IF(K$4="","",Data!G$22/Data!G15)</f>
        <v>-9.4696664428027759</v>
      </c>
      <c r="L112" s="251">
        <f>IF(L$4="","",Data!H$22/Data!H15)</f>
        <v>0</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-7.6638418079096047</v>
      </c>
      <c r="H113" s="251">
        <f>IF(H$4="","",Data!D$22/H19)</f>
        <v>2.0156477690652972</v>
      </c>
      <c r="I113" s="251">
        <f>IF(I$4="","",Data!E$22/I19)</f>
        <v>3.192159176230827</v>
      </c>
      <c r="J113" s="251">
        <f>IF(J$4="","",Data!F$22/J19)</f>
        <v>5.8598358163575552</v>
      </c>
      <c r="K113" s="251">
        <f>IF(K$4="","",Data!G$22/K19)</f>
        <v>335.72222222222223</v>
      </c>
      <c r="L113" s="251">
        <f>IF(L$4="","",Data!H$22/L19)</f>
        <v>0</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8.9385647831476253E-4</v>
      </c>
      <c r="E116" s="22">
        <f>E119/E117/E118</f>
        <v>3.3662787366748527E-2</v>
      </c>
      <c r="G116" s="22">
        <f t="shared" ref="G116:Q116" si="44">IF(G4="","",G77)</f>
        <v>2.4551499711630643E-3</v>
      </c>
      <c r="H116" s="22">
        <f t="shared" si="44"/>
        <v>3.3655816827304348E-2</v>
      </c>
      <c r="I116" s="22">
        <f t="shared" si="44"/>
        <v>2.4928503072846657E-2</v>
      </c>
      <c r="J116" s="22">
        <f t="shared" si="44"/>
        <v>1.3422401829032838E-2</v>
      </c>
      <c r="K116" s="22">
        <f t="shared" si="44"/>
        <v>2.1154023993476194E-3</v>
      </c>
      <c r="L116" s="22">
        <f t="shared" si="44"/>
        <v>1.8584020959986697E-2</v>
      </c>
      <c r="M116" s="22" t="str">
        <f t="shared" si="44"/>
        <v/>
      </c>
      <c r="N116" s="22" t="str">
        <f t="shared" si="44"/>
        <v/>
      </c>
      <c r="O116" s="22" t="str">
        <f t="shared" si="44"/>
        <v/>
      </c>
      <c r="P116" s="22" t="str">
        <f t="shared" si="44"/>
        <v/>
      </c>
      <c r="Q116" s="22" t="str">
        <f t="shared" si="44"/>
        <v/>
      </c>
    </row>
    <row r="117" spans="1:17" ht="15.75" customHeight="1">
      <c r="B117" s="7" t="s">
        <v>80</v>
      </c>
      <c r="C117" s="452">
        <f>G117</f>
        <v>1.883030950761003</v>
      </c>
      <c r="E117" s="452">
        <f>C117</f>
        <v>1.883030950761003</v>
      </c>
      <c r="G117" s="40">
        <f t="shared" ref="G117:Q117" si="45">IF(G4="","",G4/G100)</f>
        <v>1.883030950761003</v>
      </c>
      <c r="H117" s="40">
        <f t="shared" si="45"/>
        <v>1.6240671367246462</v>
      </c>
      <c r="I117" s="40">
        <f t="shared" si="45"/>
        <v>1.7262232153088117</v>
      </c>
      <c r="J117" s="40">
        <f t="shared" si="45"/>
        <v>1.7576413271734566</v>
      </c>
      <c r="K117" s="40">
        <f t="shared" si="45"/>
        <v>1.9165731802371366</v>
      </c>
      <c r="L117" s="40" t="e">
        <f t="shared" si="45"/>
        <v>#DIV/0!</v>
      </c>
      <c r="M117" s="40" t="str">
        <f t="shared" si="45"/>
        <v/>
      </c>
      <c r="N117" s="40" t="str">
        <f t="shared" si="45"/>
        <v/>
      </c>
      <c r="O117" s="40" t="str">
        <f t="shared" si="45"/>
        <v/>
      </c>
      <c r="P117" s="40" t="str">
        <f t="shared" si="45"/>
        <v/>
      </c>
      <c r="Q117" s="40" t="str">
        <f t="shared" si="45"/>
        <v/>
      </c>
    </row>
    <row r="118" spans="1:17" ht="15.75" customHeight="1">
      <c r="B118" s="7" t="s">
        <v>88</v>
      </c>
      <c r="C118" s="15">
        <f>C100/C104</f>
        <v>2.3663758624563029</v>
      </c>
      <c r="D118" s="11"/>
      <c r="E118" s="15">
        <f>C100/C104</f>
        <v>2.3663758624563029</v>
      </c>
      <c r="F118" s="11"/>
      <c r="G118" s="15">
        <f t="shared" ref="G118:Q118" si="46">IF(G$4="","",G100/G104)</f>
        <v>2.3663758624563029</v>
      </c>
      <c r="H118" s="15">
        <f t="shared" si="46"/>
        <v>2.3438965902371725</v>
      </c>
      <c r="I118" s="15">
        <f t="shared" si="46"/>
        <v>2.1244632581162133</v>
      </c>
      <c r="J118" s="15">
        <f t="shared" si="46"/>
        <v>2.1714704712847883</v>
      </c>
      <c r="K118" s="15">
        <f t="shared" si="46"/>
        <v>2.0119091999481329</v>
      </c>
      <c r="L118" s="15" t="e">
        <f t="shared" si="46"/>
        <v>#DIV/0!</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3.9829878104406342E-3</v>
      </c>
      <c r="D119" s="100"/>
      <c r="E119" s="453">
        <v>0.15</v>
      </c>
      <c r="F119" s="100"/>
      <c r="G119" s="99">
        <f t="shared" ref="G119:Q119" si="47">IF(G$4="","",G11/G104)</f>
        <v>1.0940047586143514E-2</v>
      </c>
      <c r="H119" s="99">
        <f t="shared" si="47"/>
        <v>0.12811576111950596</v>
      </c>
      <c r="I119" s="99">
        <f t="shared" si="47"/>
        <v>9.1420244382383373E-2</v>
      </c>
      <c r="J119" s="99">
        <f t="shared" si="47"/>
        <v>5.1228827934905137E-2</v>
      </c>
      <c r="K119" s="99">
        <f t="shared" si="47"/>
        <v>8.1569307572614113E-3</v>
      </c>
      <c r="L119" s="99" t="e">
        <f t="shared" si="47"/>
        <v>#DIV/0!</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-1.1481804149675905</v>
      </c>
      <c r="D123" s="26"/>
      <c r="E123" s="234"/>
      <c r="F123" s="26"/>
      <c r="G123" s="159">
        <f t="shared" ref="G123:Q123" si="48">IF(G$4="","",G14*$C$3/Common_Shares*Exchange_Rate)</f>
        <v>-0.99780653442157563</v>
      </c>
      <c r="H123" s="159">
        <f t="shared" si="48"/>
        <v>11.605641620298083</v>
      </c>
      <c r="I123" s="159">
        <f t="shared" si="48"/>
        <v>7.5081116387508873</v>
      </c>
      <c r="J123" s="159">
        <f t="shared" si="48"/>
        <v>3.9731061643009231</v>
      </c>
      <c r="K123" s="159">
        <f t="shared" si="48"/>
        <v>5.0735925479063165E-2</v>
      </c>
      <c r="L123" s="159">
        <f t="shared" si="48"/>
        <v>4.9842006792051103</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-1.0215128247042619E-2</v>
      </c>
      <c r="D124" s="26"/>
      <c r="E124" s="234"/>
      <c r="F124" s="26"/>
      <c r="G124" s="74">
        <f t="shared" ref="G124" si="49">IF(G$4="","",G123/Market_Price)</f>
        <v>-8.8772823347115261E-3</v>
      </c>
      <c r="H124" s="74">
        <f t="shared" ref="H124" si="50">IF(H$4="","",H123/Market_Price)</f>
        <v>0.1032530393264954</v>
      </c>
      <c r="I124" s="74">
        <f t="shared" ref="I124" si="51">IF(I$4="","",I123/Market_Price)</f>
        <v>6.6798146252232085E-2</v>
      </c>
      <c r="J124" s="74">
        <f t="shared" ref="J124" si="52">IF(J$4="","",J123/Market_Price)</f>
        <v>3.5347919611218179E-2</v>
      </c>
      <c r="K124" s="74">
        <f t="shared" ref="K124" si="53">IF(K$4="","",K123/Market_Price)</f>
        <v>4.513872373582132E-4</v>
      </c>
      <c r="L124" s="74">
        <f t="shared" ref="L124" si="54">IF(L$4="","",L123/Market_Price)</f>
        <v>4.4343422412856853E-2</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7.3062341985558013E-2</v>
      </c>
      <c r="H125" s="22">
        <f>IF(H$4="","",(Data!D47*$C$3)/(Market_Price*Common_Shares))</f>
        <v>0.14099750207739267</v>
      </c>
      <c r="I125" s="22">
        <f>IF(I$4="","",(Data!E47*$C$3)/(Market_Price*Common_Shares))</f>
        <v>7.342541213197315E-2</v>
      </c>
      <c r="J125" s="22">
        <f>IF(J$4="","",(Data!F47*$C$3)/(Market_Price*Common_Shares))</f>
        <v>3.0595763381818457E-2</v>
      </c>
      <c r="K125" s="22">
        <f>IF(K$4="","",(Data!G47*$C$3)/(Market_Price*Common_Shares))</f>
        <v>-1.4102907339447223E-2</v>
      </c>
      <c r="L125" s="22">
        <f>IF(L$4="","",(Data!H47*$C$3)/(Market_Price*Common_Shares))</f>
        <v>0.15576340707551101</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C21" sqref="C2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-2851.4456160973477</v>
      </c>
      <c r="D4" t="str">
        <f>Reporting_currency</f>
        <v>CNY</v>
      </c>
      <c r="E4" s="135" t="s">
        <v>431</v>
      </c>
      <c r="F4" s="275">
        <f>-BS!G31</f>
        <v>-106603</v>
      </c>
      <c r="G4" t="str">
        <f>Reporting_currency</f>
        <v>CNY</v>
      </c>
      <c r="H4" s="308" t="s">
        <v>394</v>
      </c>
      <c r="I4" s="305">
        <f>Normalized_FCF!C4</f>
        <v>1309085</v>
      </c>
      <c r="J4" s="305"/>
    </row>
    <row r="5" spans="2:15">
      <c r="B5" s="187" t="s">
        <v>105</v>
      </c>
      <c r="C5" s="188">
        <f>Equity_Cost</f>
        <v>7.2499999999999995E-2</v>
      </c>
      <c r="E5" s="135" t="s">
        <v>432</v>
      </c>
      <c r="F5" s="275">
        <f>BS!D66</f>
        <v>40016.783734193319</v>
      </c>
      <c r="G5" t="str">
        <f>Reporting_currency</f>
        <v>CNY</v>
      </c>
      <c r="H5" s="308" t="s">
        <v>395</v>
      </c>
      <c r="I5" s="305">
        <f>Normalized_FCF!C7</f>
        <v>-100156</v>
      </c>
      <c r="J5" s="305"/>
    </row>
    <row r="6" spans="2:15" ht="13.25" customHeight="1">
      <c r="B6" s="136" t="s">
        <v>194</v>
      </c>
      <c r="C6" s="283">
        <f>(C4*(1+Terminal_Growth))/(Equity_Cost-Terminal_Growth)</f>
        <v>-55399.514827034189</v>
      </c>
      <c r="D6" t="str">
        <f>Reporting_currency</f>
        <v>CNY</v>
      </c>
      <c r="E6" s="187" t="s">
        <v>433</v>
      </c>
      <c r="F6" s="284">
        <f>BS!H42</f>
        <v>81748.2</v>
      </c>
      <c r="G6" t="str">
        <f>Reporting_currency</f>
        <v>CNY</v>
      </c>
      <c r="H6" s="308" t="s">
        <v>416</v>
      </c>
      <c r="I6" s="305">
        <f>I7+I8</f>
        <v>-3606.47070240516</v>
      </c>
      <c r="J6" s="305"/>
      <c r="N6" s="135"/>
    </row>
    <row r="7" spans="2:15" ht="12.75" customHeight="1">
      <c r="B7" s="318" t="s">
        <v>430</v>
      </c>
      <c r="C7" s="275">
        <f>F7</f>
        <v>15161.983734193316</v>
      </c>
      <c r="E7" s="140" t="s">
        <v>424</v>
      </c>
      <c r="F7" s="283">
        <f>SUM(F4:F6)</f>
        <v>15161.983734193316</v>
      </c>
      <c r="G7" t="str">
        <f>Reporting_currency</f>
        <v>CNY</v>
      </c>
      <c r="H7" s="312" t="s">
        <v>417</v>
      </c>
      <c r="I7" s="313">
        <f>Normalized_FCF!C9</f>
        <v>0</v>
      </c>
      <c r="J7" s="313"/>
      <c r="N7" s="304"/>
      <c r="O7" s="304"/>
    </row>
    <row r="8" spans="2:15" ht="13.15">
      <c r="B8" s="136" t="s">
        <v>426</v>
      </c>
      <c r="C8" s="283">
        <f>C6+C7</f>
        <v>-40237.531092840873</v>
      </c>
      <c r="D8" t="str">
        <f>Reporting_currency</f>
        <v>CNY</v>
      </c>
      <c r="E8" s="140" t="s">
        <v>464</v>
      </c>
      <c r="F8" s="108">
        <f>FV_adjustments*scaling_factor/Common_Shares*Exchange_Rate</f>
        <v>6.1052164829587294</v>
      </c>
      <c r="G8" s="294" t="str">
        <f>Market_currency</f>
        <v>HKD</v>
      </c>
      <c r="H8" s="314" t="str">
        <f>Normalized_FCF!B10</f>
        <v>Net Interest Income</v>
      </c>
      <c r="I8" s="313">
        <f>Normalized_FCF!C10</f>
        <v>-3606.47070240516</v>
      </c>
      <c r="J8" s="313"/>
      <c r="N8" s="304"/>
      <c r="O8" s="304"/>
    </row>
    <row r="9" spans="2:15" ht="13.15" thickBot="1">
      <c r="B9" s="189" t="str">
        <f>"*"&amp;Thesis!E15</f>
        <v>*CNY/HKD</v>
      </c>
      <c r="C9" s="190">
        <f>Exchange_Rate</f>
        <v>1.1347130000000001</v>
      </c>
      <c r="D9" t="str">
        <f>Thesis!E15</f>
        <v>CNY/HKD</v>
      </c>
      <c r="F9" s="322"/>
      <c r="H9" s="308" t="str">
        <f>Normalized_FCF!B79</f>
        <v>NCI’s Share of Profits</v>
      </c>
      <c r="I9" s="144">
        <f>Normalized_FCF!C79</f>
        <v>2.8485898142850607E-3</v>
      </c>
      <c r="J9" s="306"/>
      <c r="N9" s="304"/>
      <c r="O9" s="304"/>
    </row>
    <row r="10" spans="2:15" ht="13.5" thickTop="1">
      <c r="B10" s="107" t="s">
        <v>427</v>
      </c>
      <c r="C10" s="283">
        <f>C8*Exchange_Rate</f>
        <v>-45658.049618950747</v>
      </c>
      <c r="D10" t="str">
        <f>Market_currency</f>
        <v>HKD</v>
      </c>
      <c r="H10" s="308" t="s">
        <v>397</v>
      </c>
      <c r="I10" s="306">
        <f>Normalized_FCF!C41</f>
        <v>0.25</v>
      </c>
      <c r="N10" s="304"/>
      <c r="O10" s="304"/>
    </row>
    <row r="11" spans="2:15" ht="13.15">
      <c r="B11" s="136" t="s">
        <v>425</v>
      </c>
      <c r="C11" s="108">
        <f>(C10*scaling_factor)/Common_Shares</f>
        <v>-16.202288722125886</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550</v>
      </c>
      <c r="C17" s="306">
        <f>Normalized_FCF!C77</f>
        <v>8.9385647831476253E-4</v>
      </c>
      <c r="E17" s="308" t="s">
        <v>551</v>
      </c>
      <c r="F17" s="311">
        <f>Scenarios!C40</f>
        <v>3.3662787366748527E-2</v>
      </c>
      <c r="H17" s="106" t="s">
        <v>412</v>
      </c>
    </row>
    <row r="18" spans="1:21" ht="13.25" customHeight="1">
      <c r="B18" s="308" t="s">
        <v>423</v>
      </c>
      <c r="C18" s="306">
        <f>Normalized_FCF!C81-Normalized_FCF!C82</f>
        <v>-4.5989803698768747E-4</v>
      </c>
      <c r="E18" s="308" t="s">
        <v>423</v>
      </c>
      <c r="F18" s="144">
        <f>IF(F14="II",C18/2,C18)</f>
        <v>-2.2994901849384373E-4</v>
      </c>
      <c r="H18" s="140" t="s">
        <v>97</v>
      </c>
      <c r="I18" s="129">
        <f>(L52+FV_adjustments)*Exchange_Rate/Common_Shares*scaling_factor</f>
        <v>154.15624603299867</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1340314.4232993748</v>
      </c>
      <c r="D21" s="299">
        <f t="shared" ref="D21:D50" si="1">IF(A21="",0,IF(A21="I",$C$16,$F$16))</f>
        <v>2.38559171477595E-2</v>
      </c>
      <c r="E21" s="299">
        <f>$C$17</f>
        <v>8.9385647831476253E-4</v>
      </c>
      <c r="F21" s="277">
        <f>C21*E21</f>
        <v>1198.048730244861</v>
      </c>
      <c r="G21" s="299">
        <f t="shared" ref="G21:G50" si="2">IF(A21="",0%,IF(A21="I",$C$18,$F$18))</f>
        <v>-4.5989803698768747E-4</v>
      </c>
      <c r="H21" s="277">
        <f>(F21*(1-$I$10)+C21*(G21-$I$9))</f>
        <v>-3535.877438687975</v>
      </c>
      <c r="I21" s="299">
        <f>H21/C4-1</f>
        <v>0.24002976550798816</v>
      </c>
      <c r="J21" s="299">
        <f>H21/C21</f>
        <v>-2.638095492536676E-3</v>
      </c>
      <c r="K21" s="119">
        <f t="shared" ref="K21:K50" si="3">IF($C$15&lt;B21,0,1/(1+Equity_Cost)^B21)</f>
        <v>0.93240093240093236</v>
      </c>
      <c r="L21" s="277">
        <f t="shared" ref="L21:L51" si="4">H21*K21</f>
        <v>-3296.8554206880885</v>
      </c>
    </row>
    <row r="22" spans="1:21">
      <c r="A22" s="302" t="str">
        <f t="shared" si="0"/>
        <v>I</v>
      </c>
      <c r="B22" s="117">
        <v>2</v>
      </c>
      <c r="C22" s="277">
        <f t="shared" ref="C22:C50" si="5">IF(A22="",0,C21*(1+D22))</f>
        <v>1372288.8531335518</v>
      </c>
      <c r="D22" s="299">
        <f t="shared" si="1"/>
        <v>2.38559171477595E-2</v>
      </c>
      <c r="E22" s="299">
        <f t="shared" ref="E22:E50" si="6">IF($C$15&lt;B22,0,IF(B22&gt;=$F$15,$F$17,$C$17))</f>
        <v>8.9385647831476253E-4</v>
      </c>
      <c r="F22" s="277">
        <f t="shared" ref="F22:F50" si="7">IF(A22="", 0,C22*E22)</f>
        <v>1226.6292814925609</v>
      </c>
      <c r="G22" s="299">
        <f t="shared" si="2"/>
        <v>-4.5989803698768747E-4</v>
      </c>
      <c r="H22" s="277">
        <f t="shared" ref="H22:H50" si="8">IF(A22="", 0,F22*(1-$I$10)+C22*(G22-$I$9))</f>
        <v>-3620.2290379099477</v>
      </c>
      <c r="I22" s="299">
        <f t="shared" ref="I22:I50" si="9">IF(A22="", 0,H22/H21-1)</f>
        <v>2.3855917147759698E-2</v>
      </c>
      <c r="J22" s="299">
        <f>IF(A22="", 0,H22/C22)</f>
        <v>-2.638095492536676E-3</v>
      </c>
      <c r="K22" s="119">
        <f t="shared" si="3"/>
        <v>0.86937149874212816</v>
      </c>
      <c r="L22" s="277">
        <f t="shared" si="4"/>
        <v>-3147.323944477544</v>
      </c>
    </row>
    <row r="23" spans="1:21">
      <c r="A23" s="302" t="str">
        <f t="shared" si="0"/>
        <v>I</v>
      </c>
      <c r="B23" s="117">
        <v>3</v>
      </c>
      <c r="C23" s="277">
        <f t="shared" si="5"/>
        <v>1405026.0623166997</v>
      </c>
      <c r="D23" s="299">
        <f t="shared" si="1"/>
        <v>2.38559171477595E-2</v>
      </c>
      <c r="E23" s="299">
        <f t="shared" si="6"/>
        <v>8.9385647831476253E-4</v>
      </c>
      <c r="F23" s="277">
        <f t="shared" si="7"/>
        <v>1255.8916480028631</v>
      </c>
      <c r="G23" s="299">
        <f t="shared" si="2"/>
        <v>-4.5989803698768747E-4</v>
      </c>
      <c r="H23" s="277">
        <f t="shared" si="8"/>
        <v>-3706.5929218942406</v>
      </c>
      <c r="I23" s="299">
        <f t="shared" si="9"/>
        <v>2.3855917147759476E-2</v>
      </c>
      <c r="J23" s="299">
        <f t="shared" ref="J23:J50" si="10">IF(A23="", 0,H23/C23)</f>
        <v>-2.6380954925366764E-3</v>
      </c>
      <c r="K23" s="119">
        <f t="shared" si="3"/>
        <v>0.81060279602995633</v>
      </c>
      <c r="L23" s="277">
        <f t="shared" si="4"/>
        <v>-3004.574586232317</v>
      </c>
      <c r="N23" s="275"/>
      <c r="O23" s="275"/>
      <c r="P23" s="275"/>
      <c r="Q23" s="275"/>
      <c r="R23" s="275"/>
      <c r="S23" s="275"/>
      <c r="T23" s="275"/>
      <c r="U23" s="275"/>
    </row>
    <row r="24" spans="1:21">
      <c r="A24" s="302" t="str">
        <f t="shared" si="0"/>
        <v>I</v>
      </c>
      <c r="B24" s="117">
        <v>4</v>
      </c>
      <c r="C24" s="277">
        <f t="shared" si="5"/>
        <v>1438544.2476497695</v>
      </c>
      <c r="D24" s="299">
        <f t="shared" si="1"/>
        <v>2.38559171477595E-2</v>
      </c>
      <c r="E24" s="299">
        <f t="shared" si="6"/>
        <v>8.9385647831476253E-4</v>
      </c>
      <c r="F24" s="277">
        <f t="shared" si="7"/>
        <v>1285.8520951041826</v>
      </c>
      <c r="G24" s="299">
        <f t="shared" si="2"/>
        <v>-4.5989803698768747E-4</v>
      </c>
      <c r="H24" s="277">
        <f t="shared" si="8"/>
        <v>-3795.0170955394215</v>
      </c>
      <c r="I24" s="299">
        <f t="shared" si="9"/>
        <v>2.3855917147759476E-2</v>
      </c>
      <c r="J24" s="299">
        <f t="shared" si="10"/>
        <v>-2.6380954925366764E-3</v>
      </c>
      <c r="K24" s="119">
        <f t="shared" si="3"/>
        <v>0.75580680282513402</v>
      </c>
      <c r="L24" s="277">
        <f t="shared" si="4"/>
        <v>-2868.2997376463763</v>
      </c>
      <c r="N24" s="275"/>
      <c r="O24" s="275"/>
      <c r="P24" s="275"/>
      <c r="Q24" s="275"/>
      <c r="R24" s="275"/>
      <c r="S24" s="275"/>
      <c r="T24" s="275"/>
      <c r="U24" s="275"/>
    </row>
    <row r="25" spans="1:21">
      <c r="A25" s="302" t="str">
        <f t="shared" si="0"/>
        <v>II</v>
      </c>
      <c r="B25" s="117">
        <v>5</v>
      </c>
      <c r="C25" s="277">
        <f t="shared" si="5"/>
        <v>1472862.0400350883</v>
      </c>
      <c r="D25" s="299">
        <f t="shared" si="1"/>
        <v>2.38559171477595E-2</v>
      </c>
      <c r="E25" s="299">
        <f t="shared" si="6"/>
        <v>3.3662787366748527E-2</v>
      </c>
      <c r="F25" s="277">
        <f t="shared" si="7"/>
        <v>49580.641674256636</v>
      </c>
      <c r="G25" s="299">
        <f t="shared" si="2"/>
        <v>-2.2994901849384373E-4</v>
      </c>
      <c r="H25" s="277">
        <f t="shared" si="8"/>
        <v>32651.218270118497</v>
      </c>
      <c r="I25" s="299">
        <f t="shared" si="9"/>
        <v>-9.6037078221586967</v>
      </c>
      <c r="J25" s="299">
        <f t="shared" si="10"/>
        <v>2.216855169228249E-2</v>
      </c>
      <c r="K25" s="119">
        <f t="shared" si="3"/>
        <v>0.70471496766912267</v>
      </c>
      <c r="L25" s="277">
        <f t="shared" si="4"/>
        <v>23009.802227584023</v>
      </c>
      <c r="N25" s="275"/>
      <c r="O25" s="275"/>
      <c r="P25" s="275"/>
      <c r="Q25" s="275"/>
      <c r="R25" s="275"/>
      <c r="S25" s="275"/>
      <c r="T25" s="275"/>
      <c r="U25" s="275"/>
    </row>
    <row r="26" spans="1:21">
      <c r="A26" s="302" t="str">
        <f t="shared" si="0"/>
        <v>II</v>
      </c>
      <c r="B26" s="117">
        <v>6</v>
      </c>
      <c r="C26" s="277">
        <f t="shared" si="5"/>
        <v>1507998.5148322454</v>
      </c>
      <c r="D26" s="299">
        <f t="shared" si="1"/>
        <v>2.38559171477595E-2</v>
      </c>
      <c r="E26" s="299">
        <f t="shared" si="6"/>
        <v>3.3662787366748527E-2</v>
      </c>
      <c r="F26" s="277">
        <f t="shared" si="7"/>
        <v>50763.433354170455</v>
      </c>
      <c r="G26" s="299">
        <f t="shared" si="2"/>
        <v>-2.2994901849384373E-4</v>
      </c>
      <c r="H26" s="277">
        <f t="shared" si="8"/>
        <v>33430.143027943857</v>
      </c>
      <c r="I26" s="299">
        <f t="shared" si="9"/>
        <v>2.3855917147759476E-2</v>
      </c>
      <c r="J26" s="299">
        <f t="shared" si="10"/>
        <v>2.216855169228249E-2</v>
      </c>
      <c r="K26" s="119">
        <f t="shared" si="3"/>
        <v>0.65707689293158289</v>
      </c>
      <c r="L26" s="277">
        <f t="shared" si="4"/>
        <v>21966.174511059769</v>
      </c>
    </row>
    <row r="27" spans="1:21">
      <c r="A27" s="302" t="str">
        <f t="shared" si="0"/>
        <v>II</v>
      </c>
      <c r="B27" s="117">
        <v>7</v>
      </c>
      <c r="C27" s="277">
        <f t="shared" si="5"/>
        <v>1543973.2024610278</v>
      </c>
      <c r="D27" s="299">
        <f t="shared" si="1"/>
        <v>2.38559171477595E-2</v>
      </c>
      <c r="E27" s="299">
        <f t="shared" si="6"/>
        <v>3.3662787366748527E-2</v>
      </c>
      <c r="F27" s="277">
        <f t="shared" si="7"/>
        <v>51974.441614403353</v>
      </c>
      <c r="G27" s="299">
        <f t="shared" si="2"/>
        <v>-2.2994901849384373E-4</v>
      </c>
      <c r="H27" s="277">
        <f t="shared" si="8"/>
        <v>34227.649750256234</v>
      </c>
      <c r="I27" s="299">
        <f t="shared" si="9"/>
        <v>2.3855917147759476E-2</v>
      </c>
      <c r="J27" s="299">
        <f t="shared" si="10"/>
        <v>2.216855169228249E-2</v>
      </c>
      <c r="K27" s="119">
        <f t="shared" si="3"/>
        <v>0.61265910762851561</v>
      </c>
      <c r="L27" s="277">
        <f t="shared" si="4"/>
        <v>20969.881352213371</v>
      </c>
    </row>
    <row r="28" spans="1:21">
      <c r="A28" s="302" t="str">
        <f t="shared" si="0"/>
        <v>II</v>
      </c>
      <c r="B28" s="117">
        <v>8</v>
      </c>
      <c r="C28" s="277">
        <f t="shared" si="5"/>
        <v>1580806.099257299</v>
      </c>
      <c r="D28" s="299">
        <f t="shared" si="1"/>
        <v>2.38559171477595E-2</v>
      </c>
      <c r="E28" s="299">
        <f t="shared" si="6"/>
        <v>3.3662787366748527E-2</v>
      </c>
      <c r="F28" s="277">
        <f t="shared" si="7"/>
        <v>53214.339587357623</v>
      </c>
      <c r="G28" s="299">
        <f t="shared" si="2"/>
        <v>-2.2994901849384373E-4</v>
      </c>
      <c r="H28" s="277">
        <f t="shared" si="8"/>
        <v>35044.181726860879</v>
      </c>
      <c r="I28" s="299">
        <f t="shared" si="9"/>
        <v>2.3855917147759476E-2</v>
      </c>
      <c r="J28" s="299">
        <f t="shared" si="10"/>
        <v>2.216855169228249E-2</v>
      </c>
      <c r="K28" s="119">
        <f t="shared" si="3"/>
        <v>0.5712439231967511</v>
      </c>
      <c r="L28" s="277">
        <f t="shared" si="4"/>
        <v>20018.775854871903</v>
      </c>
    </row>
    <row r="29" spans="1:21">
      <c r="A29" s="302" t="str">
        <f t="shared" si="0"/>
        <v>II</v>
      </c>
      <c r="B29" s="117">
        <v>9</v>
      </c>
      <c r="C29" s="277">
        <f t="shared" si="5"/>
        <v>1618517.6785878539</v>
      </c>
      <c r="D29" s="299">
        <f t="shared" si="1"/>
        <v>2.38559171477595E-2</v>
      </c>
      <c r="E29" s="299">
        <f t="shared" si="6"/>
        <v>3.3662787366748527E-2</v>
      </c>
      <c r="F29" s="277">
        <f t="shared" si="7"/>
        <v>54483.816463626361</v>
      </c>
      <c r="G29" s="299">
        <f t="shared" si="2"/>
        <v>-2.2994901849384373E-4</v>
      </c>
      <c r="H29" s="277">
        <f t="shared" si="8"/>
        <v>35880.192822647892</v>
      </c>
      <c r="I29" s="299">
        <f t="shared" si="9"/>
        <v>2.3855917147759254E-2</v>
      </c>
      <c r="J29" s="299">
        <f t="shared" si="10"/>
        <v>2.2168551692282486E-2</v>
      </c>
      <c r="K29" s="119">
        <f t="shared" si="3"/>
        <v>0.53262836661701729</v>
      </c>
      <c r="L29" s="277">
        <f t="shared" si="4"/>
        <v>19110.808497030575</v>
      </c>
    </row>
    <row r="30" spans="1:21">
      <c r="A30" s="302" t="str">
        <f t="shared" si="0"/>
        <v>II</v>
      </c>
      <c r="B30" s="117">
        <v>10</v>
      </c>
      <c r="C30" s="277">
        <f t="shared" si="5"/>
        <v>1657128.9022304297</v>
      </c>
      <c r="D30" s="299">
        <f t="shared" si="1"/>
        <v>2.38559171477595E-2</v>
      </c>
      <c r="E30" s="299">
        <f t="shared" si="6"/>
        <v>3.3662787366748527E-2</v>
      </c>
      <c r="F30" s="277">
        <f t="shared" si="7"/>
        <v>55783.577875076364</v>
      </c>
      <c r="G30" s="299">
        <f t="shared" si="2"/>
        <v>-2.2994901849384373E-4</v>
      </c>
      <c r="H30" s="277">
        <f t="shared" si="8"/>
        <v>36736.147729870623</v>
      </c>
      <c r="I30" s="299">
        <f t="shared" si="9"/>
        <v>2.3855917147759698E-2</v>
      </c>
      <c r="J30" s="299">
        <f t="shared" si="10"/>
        <v>2.2168551692282493E-2</v>
      </c>
      <c r="K30" s="119">
        <f t="shared" si="3"/>
        <v>0.49662318565689262</v>
      </c>
      <c r="L30" s="277">
        <f t="shared" si="4"/>
        <v>18244.022714370574</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1690271.4802750384</v>
      </c>
      <c r="D51" s="301">
        <f>Terminal_Growth</f>
        <v>0.02</v>
      </c>
      <c r="E51" s="301">
        <f>F17</f>
        <v>3.3662787366748527E-2</v>
      </c>
      <c r="F51" s="277">
        <f>C51*E51</f>
        <v>56899.249432577897</v>
      </c>
      <c r="G51" s="299">
        <f>F18</f>
        <v>-2.2994901849384373E-4</v>
      </c>
      <c r="H51" s="277">
        <f>(F51*(1-$I$10)+C51*(G51-$I$9))/Equity_Cost</f>
        <v>516839.595647835</v>
      </c>
      <c r="I51" s="415">
        <f>(F51*(1-$I$10)+C51*(G51-$I$9))/VLOOKUP(C15,B21:H50,COLUMN(H20)-1,FALSE)-1</f>
        <v>2.0000000000000018E-2</v>
      </c>
      <c r="J51" s="454"/>
      <c r="K51" s="119">
        <f>1/(1+Equity_Cost)^C15</f>
        <v>0.49662318565689262</v>
      </c>
      <c r="L51" s="277">
        <f t="shared" si="4"/>
        <v>256674.52646424808</v>
      </c>
    </row>
    <row r="52" spans="1:21" ht="13.15">
      <c r="G52" s="111"/>
      <c r="H52" s="111"/>
      <c r="I52" s="111"/>
      <c r="J52" s="469" t="s">
        <v>420</v>
      </c>
      <c r="K52" s="469"/>
      <c r="L52" s="317">
        <f>SUM(L21:L51)</f>
        <v>367676.93793233397</v>
      </c>
    </row>
    <row r="53" spans="1:21">
      <c r="C53" s="111"/>
    </row>
    <row r="54" spans="1:21" ht="13.15">
      <c r="B54" s="115" t="s">
        <v>108</v>
      </c>
      <c r="C54" s="128"/>
      <c r="D54" s="128"/>
      <c r="E54" s="113"/>
      <c r="F54" s="113"/>
      <c r="G54" s="113"/>
      <c r="H54" s="113"/>
      <c r="I54" s="113"/>
      <c r="J54" s="113"/>
      <c r="K54" s="113"/>
      <c r="L54" s="113"/>
    </row>
    <row r="55" spans="1:21" ht="13.15">
      <c r="A55" s="125">
        <f>L52</f>
        <v>367676.93793233397</v>
      </c>
      <c r="B55" s="123">
        <f>C94</f>
        <v>0</v>
      </c>
      <c r="C55" s="123">
        <f>C93</f>
        <v>0.02</v>
      </c>
      <c r="D55" s="123">
        <f>C92</f>
        <v>0.03</v>
      </c>
      <c r="E55" s="123">
        <f>C91</f>
        <v>0.05</v>
      </c>
      <c r="F55" s="123">
        <f>C90</f>
        <v>0.08</v>
      </c>
      <c r="G55" s="123"/>
      <c r="H55" s="123"/>
      <c r="I55" s="123"/>
      <c r="J55" s="123"/>
      <c r="K55" s="123"/>
      <c r="L55" s="123"/>
    </row>
    <row r="56" spans="1:21" ht="13.15">
      <c r="A56" s="131">
        <v>1</v>
      </c>
      <c r="B56" s="118">
        <f t="dataTable" ref="B56:F69" dt2D="1" dtr="1" r1="C16" r2="C15"/>
        <v>377749.37578622886</v>
      </c>
      <c r="C56" s="118">
        <v>385304.36330195353</v>
      </c>
      <c r="D56" s="118">
        <v>389081.85705981584</v>
      </c>
      <c r="E56" s="118">
        <v>396636.84457554028</v>
      </c>
      <c r="F56" s="118">
        <v>407969.32584912714</v>
      </c>
      <c r="G56" s="295"/>
      <c r="H56" s="295"/>
      <c r="I56" s="295"/>
      <c r="J56" s="295"/>
      <c r="K56" s="295"/>
      <c r="L56" s="295"/>
    </row>
    <row r="57" spans="1:21" ht="13.15">
      <c r="A57" s="131">
        <v>2</v>
      </c>
      <c r="B57" s="118">
        <v>377244.78355311404</v>
      </c>
      <c r="C57" s="118">
        <v>392545.4358444736</v>
      </c>
      <c r="D57" s="118">
        <v>400309.81723456952</v>
      </c>
      <c r="E57" s="118">
        <v>416066.69050359365</v>
      </c>
      <c r="F57" s="118">
        <v>440272.27662921051</v>
      </c>
      <c r="G57" s="295"/>
      <c r="H57" s="295"/>
      <c r="I57" s="295"/>
      <c r="J57" s="295"/>
      <c r="K57" s="295"/>
      <c r="L57" s="295"/>
    </row>
    <row r="58" spans="1:21" ht="13.15">
      <c r="A58" s="131">
        <v>3</v>
      </c>
      <c r="B58" s="118">
        <v>376493.62733494164</v>
      </c>
      <c r="C58" s="118">
        <v>399145.76286198222</v>
      </c>
      <c r="D58" s="118">
        <v>410803.75241852761</v>
      </c>
      <c r="E58" s="118">
        <v>434794.20963929273</v>
      </c>
      <c r="F58" s="118">
        <v>472497.99430449714</v>
      </c>
      <c r="G58" s="295"/>
      <c r="H58" s="295"/>
      <c r="I58" s="295"/>
      <c r="J58" s="295"/>
      <c r="K58" s="295"/>
      <c r="L58" s="295"/>
    </row>
    <row r="59" spans="1:21" ht="13.15">
      <c r="A59" s="131">
        <v>4</v>
      </c>
      <c r="B59" s="118">
        <v>376054.94922898494</v>
      </c>
      <c r="C59" s="118">
        <v>405695.27030716056</v>
      </c>
      <c r="D59" s="118">
        <v>421159.48223907512</v>
      </c>
      <c r="E59" s="118">
        <v>453417.36872726004</v>
      </c>
      <c r="F59" s="118">
        <v>505254.31428962143</v>
      </c>
      <c r="G59" s="295"/>
      <c r="H59" s="295"/>
      <c r="I59" s="295"/>
      <c r="J59" s="295"/>
      <c r="K59" s="295"/>
      <c r="L59" s="295"/>
    </row>
    <row r="60" spans="1:21" ht="13.15">
      <c r="A60" s="131">
        <v>5</v>
      </c>
      <c r="B60" s="118">
        <v>347413.9468448835</v>
      </c>
      <c r="C60" s="118">
        <v>382551.62205193425</v>
      </c>
      <c r="D60" s="118">
        <v>401153.53914337035</v>
      </c>
      <c r="E60" s="118">
        <v>440524.07586376066</v>
      </c>
      <c r="F60" s="118">
        <v>505309.91971647181</v>
      </c>
      <c r="G60" s="295"/>
      <c r="H60" s="295"/>
      <c r="I60" s="295"/>
      <c r="J60" s="295"/>
      <c r="K60" s="295"/>
      <c r="L60" s="295"/>
    </row>
    <row r="61" spans="1:21" ht="13.15">
      <c r="A61" s="131">
        <v>6</v>
      </c>
      <c r="B61" s="118">
        <v>347032.57260244252</v>
      </c>
      <c r="C61" s="118">
        <v>388475.61294175859</v>
      </c>
      <c r="D61" s="118">
        <v>410704.79675802699</v>
      </c>
      <c r="E61" s="118">
        <v>458374.0400734609</v>
      </c>
      <c r="F61" s="118">
        <v>538525.97190540703</v>
      </c>
      <c r="G61" s="295"/>
      <c r="H61" s="295"/>
      <c r="I61" s="295"/>
      <c r="J61" s="295"/>
      <c r="K61" s="295"/>
      <c r="L61" s="295"/>
    </row>
    <row r="62" spans="1:21" ht="13.15">
      <c r="A62" s="131">
        <v>7</v>
      </c>
      <c r="B62" s="118">
        <v>320353.45581780444</v>
      </c>
      <c r="C62" s="118">
        <v>366174.8849771464</v>
      </c>
      <c r="D62" s="118">
        <v>391113.1418981679</v>
      </c>
      <c r="E62" s="118">
        <v>445376.76109780348</v>
      </c>
      <c r="F62" s="118">
        <v>538814.24626663351</v>
      </c>
      <c r="G62" s="295"/>
      <c r="H62" s="295"/>
      <c r="I62" s="295"/>
      <c r="J62" s="295"/>
      <c r="K62" s="295"/>
      <c r="L62" s="295"/>
    </row>
    <row r="63" spans="1:21" ht="13.15">
      <c r="A63" s="131">
        <v>8</v>
      </c>
      <c r="B63" s="118">
        <v>320021.89992107189</v>
      </c>
      <c r="C63" s="118">
        <v>371533.09982863994</v>
      </c>
      <c r="D63" s="118">
        <v>399922.42174636631</v>
      </c>
      <c r="E63" s="118">
        <v>462485.63187437563</v>
      </c>
      <c r="F63" s="118">
        <v>572496.48296230379</v>
      </c>
      <c r="G63" s="295"/>
      <c r="H63" s="295"/>
      <c r="I63" s="295"/>
      <c r="J63" s="295"/>
      <c r="K63" s="295"/>
      <c r="L63" s="295"/>
    </row>
    <row r="64" spans="1:21" ht="13.15">
      <c r="A64" s="131">
        <v>9</v>
      </c>
      <c r="B64" s="118">
        <v>295168.67942491791</v>
      </c>
      <c r="C64" s="118">
        <v>350061.72565278166</v>
      </c>
      <c r="D64" s="118">
        <v>380758.04048836778</v>
      </c>
      <c r="E64" s="118">
        <v>449402.0957280696</v>
      </c>
      <c r="F64" s="118">
        <v>573022.31334490713</v>
      </c>
      <c r="G64" s="295"/>
      <c r="H64" s="295"/>
      <c r="I64" s="295"/>
      <c r="J64" s="295"/>
      <c r="K64" s="295"/>
      <c r="L64" s="295"/>
    </row>
    <row r="65" spans="1:21" ht="13.15">
      <c r="A65" s="131">
        <v>10</v>
      </c>
      <c r="B65" s="118">
        <v>294880.43417805876</v>
      </c>
      <c r="C65" s="118">
        <v>354908.19941155845</v>
      </c>
      <c r="D65" s="118">
        <v>388882.98220544495</v>
      </c>
      <c r="E65" s="118">
        <v>465800.64173133695</v>
      </c>
      <c r="F65" s="118">
        <v>607177.2774077669</v>
      </c>
      <c r="G65" s="295"/>
      <c r="H65" s="295"/>
      <c r="I65" s="295"/>
      <c r="J65" s="295"/>
      <c r="K65" s="295"/>
      <c r="L65" s="295"/>
    </row>
    <row r="66" spans="1:21" ht="13.15">
      <c r="A66" s="131">
        <v>15</v>
      </c>
      <c r="B66" s="118">
        <v>229588.1010239711</v>
      </c>
      <c r="C66" s="277">
        <v>303655.42992441438</v>
      </c>
      <c r="D66" s="118">
        <v>348448.4457331805</v>
      </c>
      <c r="E66" s="118">
        <v>456977.6630532202</v>
      </c>
      <c r="F66" s="118">
        <v>679984.92382383277</v>
      </c>
      <c r="G66" s="295"/>
      <c r="H66" s="295"/>
      <c r="I66" s="295"/>
      <c r="J66" s="295"/>
      <c r="K66" s="295"/>
      <c r="L66" s="295"/>
      <c r="M66" s="275"/>
      <c r="N66" s="275"/>
      <c r="O66" s="275"/>
      <c r="P66" s="275"/>
      <c r="Q66" s="275"/>
      <c r="R66" s="275"/>
      <c r="S66" s="275"/>
      <c r="T66" s="275"/>
      <c r="U66" s="275"/>
    </row>
    <row r="67" spans="1:21" ht="13.15">
      <c r="A67" s="132">
        <v>20</v>
      </c>
      <c r="B67" s="118">
        <v>192913.61096359731</v>
      </c>
      <c r="C67" s="277">
        <v>277509.14420445939</v>
      </c>
      <c r="D67" s="118">
        <v>331826.54558597971</v>
      </c>
      <c r="E67" s="118">
        <v>471969.28261391597</v>
      </c>
      <c r="F67" s="118">
        <v>791647.71213160502</v>
      </c>
      <c r="G67" s="295"/>
      <c r="H67" s="295"/>
      <c r="I67" s="295"/>
      <c r="J67" s="295"/>
      <c r="K67" s="295"/>
      <c r="L67" s="295"/>
      <c r="M67" s="275"/>
      <c r="N67" s="275"/>
      <c r="O67" s="275"/>
      <c r="P67" s="275"/>
      <c r="Q67" s="275"/>
      <c r="R67" s="275"/>
      <c r="S67" s="275"/>
      <c r="T67" s="275"/>
      <c r="U67" s="275"/>
    </row>
    <row r="68" spans="1:21" ht="13.15">
      <c r="A68" s="132">
        <v>25</v>
      </c>
      <c r="B68" s="118">
        <v>147145.42485304023</v>
      </c>
      <c r="C68" s="277">
        <v>234022.65966552225</v>
      </c>
      <c r="D68" s="118">
        <v>293403.46064132464</v>
      </c>
      <c r="E68" s="118">
        <v>457070.05097593938</v>
      </c>
      <c r="F68" s="118">
        <v>873439.65511013172</v>
      </c>
      <c r="G68" s="295"/>
      <c r="H68" s="295"/>
      <c r="I68" s="295"/>
      <c r="J68" s="295"/>
      <c r="K68" s="295"/>
      <c r="L68" s="295"/>
      <c r="M68" s="275"/>
      <c r="N68" s="275"/>
      <c r="O68" s="275"/>
      <c r="P68" s="275"/>
      <c r="Q68" s="275"/>
      <c r="R68" s="275"/>
      <c r="S68" s="275"/>
      <c r="T68" s="275"/>
      <c r="U68" s="275"/>
    </row>
    <row r="69" spans="1:21" ht="13.15">
      <c r="A69" s="132">
        <v>30</v>
      </c>
      <c r="B69" s="118">
        <v>121472.52347064091</v>
      </c>
      <c r="C69" s="277">
        <v>210871.47586099186</v>
      </c>
      <c r="D69" s="118">
        <v>275420.85086112854</v>
      </c>
      <c r="E69" s="118">
        <v>464290.46674272371</v>
      </c>
      <c r="F69" s="118">
        <v>995691.47009227215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0.02</v>
      </c>
      <c r="D72" s="124">
        <f>D55</f>
        <v>0.03</v>
      </c>
      <c r="E72" s="124">
        <f>E55</f>
        <v>0.05</v>
      </c>
      <c r="F72" s="124">
        <f>F55</f>
        <v>0.08</v>
      </c>
      <c r="G72" s="124"/>
      <c r="H72" s="124"/>
      <c r="I72" s="124"/>
      <c r="J72" s="124"/>
      <c r="K72" s="124"/>
      <c r="L72" s="124"/>
    </row>
    <row r="73" spans="1:21" ht="13.15">
      <c r="A73" s="131">
        <v>0</v>
      </c>
      <c r="B73" s="119">
        <f>C11</f>
        <v>-16.202288722125886</v>
      </c>
      <c r="C73" s="119">
        <f>C11</f>
        <v>-16.202288722125886</v>
      </c>
      <c r="D73" s="119">
        <f>C11</f>
        <v>-16.202288722125886</v>
      </c>
      <c r="E73" s="119">
        <f>C11</f>
        <v>-16.202288722125886</v>
      </c>
      <c r="F73" s="119">
        <f>C11</f>
        <v>-16.202288722125886</v>
      </c>
      <c r="G73" s="296"/>
      <c r="H73" s="296"/>
      <c r="I73" s="296"/>
      <c r="J73" s="296"/>
      <c r="K73" s="296"/>
      <c r="L73" s="296"/>
    </row>
    <row r="74" spans="1:21" ht="13.15">
      <c r="A74" s="131">
        <v>1</v>
      </c>
      <c r="B74" s="119">
        <f t="shared" ref="B74:F87" si="11">(B56+FV_adjustments)/Common_Shares*scaling_factor*Exchange_Rate</f>
        <v>158.21207505163125</v>
      </c>
      <c r="C74" s="119">
        <f t="shared" si="11"/>
        <v>161.25421222300471</v>
      </c>
      <c r="D74" s="119">
        <f t="shared" si="11"/>
        <v>162.77528080869146</v>
      </c>
      <c r="E74" s="119">
        <f t="shared" si="11"/>
        <v>165.81741798006487</v>
      </c>
      <c r="F74" s="119">
        <f t="shared" si="11"/>
        <v>170.38062373712503</v>
      </c>
      <c r="G74" s="296"/>
      <c r="H74" s="296"/>
      <c r="I74" s="296"/>
      <c r="J74" s="296"/>
      <c r="K74" s="296"/>
      <c r="L74" s="296"/>
    </row>
    <row r="75" spans="1:21" ht="13.15">
      <c r="A75" s="131">
        <v>2</v>
      </c>
      <c r="B75" s="119">
        <f t="shared" si="11"/>
        <v>158.008892877531</v>
      </c>
      <c r="C75" s="119">
        <f t="shared" si="11"/>
        <v>164.16994648416178</v>
      </c>
      <c r="D75" s="119">
        <f t="shared" si="11"/>
        <v>167.29639946510568</v>
      </c>
      <c r="E75" s="119">
        <f t="shared" si="11"/>
        <v>173.64115778225053</v>
      </c>
      <c r="F75" s="119">
        <f t="shared" si="11"/>
        <v>183.3879261461104</v>
      </c>
      <c r="G75" s="296"/>
      <c r="H75" s="296"/>
      <c r="I75" s="296"/>
      <c r="J75" s="296"/>
      <c r="K75" s="296"/>
      <c r="L75" s="296"/>
    </row>
    <row r="76" spans="1:21" ht="13.15">
      <c r="A76" s="131">
        <v>3</v>
      </c>
      <c r="B76" s="119">
        <f t="shared" si="11"/>
        <v>157.70642775127445</v>
      </c>
      <c r="C76" s="119">
        <f t="shared" si="11"/>
        <v>166.82767425954088</v>
      </c>
      <c r="D76" s="119">
        <f t="shared" si="11"/>
        <v>171.52195115935501</v>
      </c>
      <c r="E76" s="119">
        <f t="shared" si="11"/>
        <v>181.18209441142957</v>
      </c>
      <c r="F76" s="119">
        <f t="shared" si="11"/>
        <v>196.36412940390935</v>
      </c>
      <c r="G76" s="296"/>
      <c r="H76" s="296"/>
      <c r="I76" s="296"/>
      <c r="J76" s="296"/>
      <c r="K76" s="296"/>
      <c r="L76" s="296"/>
    </row>
    <row r="77" spans="1:21" ht="13.15">
      <c r="A77" s="131">
        <v>4</v>
      </c>
      <c r="B77" s="119">
        <f t="shared" si="11"/>
        <v>157.52978696005923</v>
      </c>
      <c r="C77" s="119">
        <f t="shared" si="11"/>
        <v>169.46493871718482</v>
      </c>
      <c r="D77" s="119">
        <f t="shared" si="11"/>
        <v>175.691852242344</v>
      </c>
      <c r="E77" s="119">
        <f t="shared" si="11"/>
        <v>188.68100878977756</v>
      </c>
      <c r="F77" s="119">
        <f t="shared" si="11"/>
        <v>209.55398821131899</v>
      </c>
      <c r="G77" s="296"/>
      <c r="H77" s="296"/>
      <c r="I77" s="296"/>
      <c r="J77" s="296"/>
      <c r="K77" s="296"/>
      <c r="L77" s="296"/>
    </row>
    <row r="78" spans="1:21" ht="13.15">
      <c r="A78" s="131">
        <v>5</v>
      </c>
      <c r="B78" s="119">
        <f t="shared" si="11"/>
        <v>145.99702693938113</v>
      </c>
      <c r="C78" s="119">
        <f t="shared" si="11"/>
        <v>160.14577670773392</v>
      </c>
      <c r="D78" s="119">
        <f t="shared" si="11"/>
        <v>167.63613765470865</v>
      </c>
      <c r="E78" s="119">
        <f t="shared" si="11"/>
        <v>183.48931715563279</v>
      </c>
      <c r="F78" s="119">
        <f t="shared" si="11"/>
        <v>209.57637863031036</v>
      </c>
      <c r="G78" s="296"/>
      <c r="H78" s="296"/>
      <c r="I78" s="296"/>
      <c r="J78" s="296"/>
      <c r="K78" s="296"/>
      <c r="L78" s="296"/>
    </row>
    <row r="79" spans="1:21" ht="13.15">
      <c r="A79" s="131">
        <v>6</v>
      </c>
      <c r="B79" s="119">
        <f t="shared" si="11"/>
        <v>145.84346046998334</v>
      </c>
      <c r="C79" s="119">
        <f t="shared" si="11"/>
        <v>162.5311668690417</v>
      </c>
      <c r="D79" s="119">
        <f t="shared" si="11"/>
        <v>171.48210507191936</v>
      </c>
      <c r="E79" s="119">
        <f t="shared" si="11"/>
        <v>190.67689218696054</v>
      </c>
      <c r="F79" s="119">
        <f t="shared" si="11"/>
        <v>222.95135599988564</v>
      </c>
      <c r="G79" s="296"/>
      <c r="H79" s="296"/>
      <c r="I79" s="296"/>
      <c r="J79" s="296"/>
      <c r="K79" s="296"/>
      <c r="L79" s="296"/>
    </row>
    <row r="80" spans="1:21" ht="13.15">
      <c r="A80" s="131">
        <f t="shared" ref="A80" si="12">A62</f>
        <v>7</v>
      </c>
      <c r="B80" s="119">
        <f t="shared" si="11"/>
        <v>135.10068522369269</v>
      </c>
      <c r="C80" s="119">
        <f t="shared" si="11"/>
        <v>153.55142026474465</v>
      </c>
      <c r="D80" s="119">
        <f t="shared" si="11"/>
        <v>163.59321030222623</v>
      </c>
      <c r="E80" s="119">
        <f t="shared" si="11"/>
        <v>185.4433288731546</v>
      </c>
      <c r="F80" s="119">
        <f t="shared" si="11"/>
        <v>223.06743430551035</v>
      </c>
      <c r="G80" s="296"/>
      <c r="H80" s="296"/>
      <c r="I80" s="296"/>
      <c r="J80" s="296"/>
      <c r="K80" s="296"/>
      <c r="L80" s="296"/>
    </row>
    <row r="81" spans="1:12" ht="13.15">
      <c r="A81" s="131">
        <v>8</v>
      </c>
      <c r="B81" s="119">
        <f t="shared" si="11"/>
        <v>134.96717891203582</v>
      </c>
      <c r="C81" s="119">
        <f t="shared" si="11"/>
        <v>155.70899160923818</v>
      </c>
      <c r="D81" s="119">
        <f t="shared" si="11"/>
        <v>167.14040844430886</v>
      </c>
      <c r="E81" s="119">
        <f t="shared" si="11"/>
        <v>192.33249072038544</v>
      </c>
      <c r="F81" s="119">
        <f t="shared" si="11"/>
        <v>236.63012836074606</v>
      </c>
      <c r="G81" s="296"/>
      <c r="H81" s="296"/>
      <c r="I81" s="296"/>
      <c r="J81" s="296"/>
      <c r="K81" s="296"/>
      <c r="L81" s="296"/>
    </row>
    <row r="82" spans="1:12" ht="13.15">
      <c r="A82" s="131">
        <f t="shared" ref="A82" si="13">A64</f>
        <v>9</v>
      </c>
      <c r="B82" s="119">
        <f t="shared" si="11"/>
        <v>124.9596301580073</v>
      </c>
      <c r="C82" s="119">
        <f t="shared" si="11"/>
        <v>147.06319764003641</v>
      </c>
      <c r="D82" s="119">
        <f t="shared" si="11"/>
        <v>159.42356225892655</v>
      </c>
      <c r="E82" s="119">
        <f t="shared" si="11"/>
        <v>187.06419457021391</v>
      </c>
      <c r="F82" s="119">
        <f t="shared" si="11"/>
        <v>236.84186241714602</v>
      </c>
      <c r="G82" s="296"/>
      <c r="H82" s="296"/>
      <c r="I82" s="296"/>
      <c r="J82" s="296"/>
      <c r="K82" s="296"/>
      <c r="L82" s="296"/>
    </row>
    <row r="83" spans="1:12" ht="13.15">
      <c r="A83" s="131">
        <f t="shared" ref="A83:A87" si="14">A65</f>
        <v>10</v>
      </c>
      <c r="B83" s="119">
        <f t="shared" si="11"/>
        <v>124.84356357575065</v>
      </c>
      <c r="C83" s="119">
        <f t="shared" si="11"/>
        <v>149.01470820719143</v>
      </c>
      <c r="D83" s="119">
        <f t="shared" si="11"/>
        <v>162.69520065161987</v>
      </c>
      <c r="E83" s="119">
        <f t="shared" si="11"/>
        <v>193.667332728839</v>
      </c>
      <c r="F83" s="119">
        <f t="shared" si="11"/>
        <v>250.59490774598197</v>
      </c>
      <c r="G83" s="296"/>
      <c r="H83" s="296"/>
      <c r="I83" s="296"/>
      <c r="J83" s="296"/>
      <c r="K83" s="296"/>
      <c r="L83" s="296"/>
    </row>
    <row r="84" spans="1:12" ht="13.15">
      <c r="A84" s="131">
        <f t="shared" si="14"/>
        <v>15</v>
      </c>
      <c r="B84" s="119">
        <f t="shared" si="11"/>
        <v>98.552556041941472</v>
      </c>
      <c r="C84" s="119">
        <f t="shared" si="11"/>
        <v>128.3769566731014</v>
      </c>
      <c r="D84" s="119">
        <f t="shared" si="11"/>
        <v>146.41358454656216</v>
      </c>
      <c r="E84" s="119">
        <f t="shared" si="11"/>
        <v>190.11461853267792</v>
      </c>
      <c r="F84" s="119">
        <f t="shared" si="11"/>
        <v>279.91207697512084</v>
      </c>
      <c r="G84" s="296"/>
      <c r="H84" s="296"/>
      <c r="I84" s="296"/>
      <c r="J84" s="296"/>
      <c r="K84" s="296"/>
      <c r="L84" s="296"/>
    </row>
    <row r="85" spans="1:12" ht="13.15">
      <c r="A85" s="132">
        <f t="shared" si="14"/>
        <v>20</v>
      </c>
      <c r="B85" s="119">
        <f t="shared" si="11"/>
        <v>83.784983068244898</v>
      </c>
      <c r="C85" s="119">
        <f t="shared" si="11"/>
        <v>117.84873442038766</v>
      </c>
      <c r="D85" s="119">
        <f t="shared" si="11"/>
        <v>139.72050925141289</v>
      </c>
      <c r="E85" s="119">
        <f t="shared" si="11"/>
        <v>196.15123514253452</v>
      </c>
      <c r="F85" s="119">
        <f t="shared" si="11"/>
        <v>324.87489369232355</v>
      </c>
      <c r="G85" s="296"/>
      <c r="H85" s="296"/>
      <c r="I85" s="296"/>
      <c r="J85" s="296"/>
      <c r="K85" s="296"/>
      <c r="L85" s="296"/>
    </row>
    <row r="86" spans="1:12" ht="13.15">
      <c r="A86" s="132">
        <f t="shared" si="14"/>
        <v>25</v>
      </c>
      <c r="B86" s="119">
        <f t="shared" si="11"/>
        <v>65.355687196680464</v>
      </c>
      <c r="C86" s="119">
        <f t="shared" si="11"/>
        <v>100.33820236551509</v>
      </c>
      <c r="D86" s="119">
        <f t="shared" si="11"/>
        <v>124.24883643849437</v>
      </c>
      <c r="E86" s="119">
        <f t="shared" si="11"/>
        <v>190.15182001491797</v>
      </c>
      <c r="F86" s="119">
        <f t="shared" si="11"/>
        <v>357.80973435697683</v>
      </c>
      <c r="G86" s="296"/>
      <c r="H86" s="296"/>
      <c r="I86" s="296"/>
      <c r="J86" s="296"/>
      <c r="K86" s="296"/>
      <c r="L86" s="296"/>
    </row>
    <row r="87" spans="1:12" ht="13.15">
      <c r="A87" s="132">
        <f t="shared" si="14"/>
        <v>30</v>
      </c>
      <c r="B87" s="119">
        <f t="shared" si="11"/>
        <v>55.01808075724594</v>
      </c>
      <c r="C87" s="119">
        <f t="shared" si="11"/>
        <v>91.016006046001195</v>
      </c>
      <c r="D87" s="119">
        <f t="shared" si="11"/>
        <v>117.00784953589833</v>
      </c>
      <c r="E87" s="119">
        <f t="shared" si="11"/>
        <v>193.0592364932626</v>
      </c>
      <c r="F87" s="119">
        <f t="shared" si="11"/>
        <v>407.03639288566006</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0.08</v>
      </c>
      <c r="D90" s="133">
        <f>Scenarios!D29</f>
        <v>10</v>
      </c>
      <c r="E90" s="127">
        <f>INDEX(B$73:F$87, MATCH(D90, A$73:A$87, 0), MATCH(C90, B$72:F$72, 0))</f>
        <v>250.59490774598197</v>
      </c>
      <c r="F90" s="130">
        <f>Scenarios!F29</f>
        <v>0.15</v>
      </c>
      <c r="G90" s="297"/>
      <c r="H90" s="297"/>
      <c r="I90" s="297"/>
      <c r="J90" s="297"/>
      <c r="K90" s="297"/>
      <c r="L90" s="297"/>
    </row>
    <row r="91" spans="1:12">
      <c r="B91" s="120" t="str">
        <f>Scenarios!B22</f>
        <v>Optimistic</v>
      </c>
      <c r="C91" s="130">
        <f>Scenarios!C22</f>
        <v>0.05</v>
      </c>
      <c r="D91" s="133">
        <f>Scenarios!D22</f>
        <v>10</v>
      </c>
      <c r="E91" s="127">
        <f>INDEX(B$73:F$87, MATCH(D91, A$73:A$87, 0), MATCH(C91, B$72:F$72, 0))</f>
        <v>193.667332728839</v>
      </c>
      <c r="F91" s="130">
        <f>Scenarios!F22*(1-F$90-F$94)</f>
        <v>0.15999999999999995</v>
      </c>
      <c r="G91" s="297"/>
      <c r="H91" s="297"/>
      <c r="I91" s="297"/>
      <c r="J91" s="297"/>
      <c r="K91" s="297"/>
      <c r="L91" s="297"/>
    </row>
    <row r="92" spans="1:12">
      <c r="B92" s="120" t="str">
        <f>Scenarios!B23</f>
        <v>Base</v>
      </c>
      <c r="C92" s="130">
        <f>Scenarios!C23</f>
        <v>0.03</v>
      </c>
      <c r="D92" s="133">
        <f>Scenarios!D23</f>
        <v>10</v>
      </c>
      <c r="E92" s="127">
        <f>INDEX(B$73:F$87, MATCH(D92, A$73:A$87, 0), MATCH(C92, B$72:F$72, 0))</f>
        <v>162.69520065161987</v>
      </c>
      <c r="F92" s="130">
        <f>Scenarios!F23*(1-F$90-F$94)</f>
        <v>0.44</v>
      </c>
      <c r="G92" s="297"/>
      <c r="H92" s="297"/>
      <c r="I92" s="297"/>
      <c r="J92" s="297"/>
      <c r="K92" s="297"/>
      <c r="L92" s="297"/>
    </row>
    <row r="93" spans="1:12">
      <c r="B93" s="120" t="str">
        <f>Scenarios!B24</f>
        <v>Pessimistic</v>
      </c>
      <c r="C93" s="130">
        <f>Scenarios!C24</f>
        <v>0.02</v>
      </c>
      <c r="D93" s="133">
        <f>Scenarios!D24</f>
        <v>10</v>
      </c>
      <c r="E93" s="127">
        <f>INDEX(B$73:F$87, MATCH(D93, A$73:A$87, 0), MATCH(C93, B$72:F$72, 0))</f>
        <v>149.01470820719143</v>
      </c>
      <c r="F93" s="130">
        <f>Scenarios!F24*(1-F$90-F$94)</f>
        <v>0.19999999999999998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124.84356357575065</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6" zoomScaleNormal="100" workbookViewId="0">
      <selection activeCell="D35" sqref="D35"/>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70"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9618.HK – 京东集团: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70"/>
      <c r="F4" s="470"/>
      <c r="G4" s="470"/>
    </row>
    <row r="5" spans="2:7">
      <c r="C5" s="445"/>
      <c r="D5" s="470"/>
      <c r="E5" s="470"/>
      <c r="F5" s="470"/>
      <c r="G5" s="470"/>
    </row>
    <row r="6" spans="2:7" ht="13.15">
      <c r="B6" s="145" t="s">
        <v>91</v>
      </c>
      <c r="C6" s="446" t="str">
        <f>DCF!C3&amp;" "&amp;Reporting_currency</f>
        <v>1000000 CNY</v>
      </c>
      <c r="D6" s="470"/>
      <c r="E6" s="470"/>
      <c r="F6" s="470"/>
      <c r="G6" s="470"/>
    </row>
    <row r="7" spans="2:7" ht="12.75" customHeight="1">
      <c r="B7" s="97" t="s">
        <v>232</v>
      </c>
      <c r="C7" s="447">
        <f>Normalized_FCF!G8</f>
        <v>3690</v>
      </c>
      <c r="D7" s="470"/>
      <c r="E7" s="470"/>
      <c r="F7" s="470"/>
      <c r="G7" s="470"/>
    </row>
    <row r="8" spans="2:7">
      <c r="B8" s="97" t="s">
        <v>63</v>
      </c>
      <c r="C8" s="447">
        <f>Normalized_FCF!G19</f>
        <v>-2478</v>
      </c>
      <c r="D8" s="470"/>
      <c r="E8" s="470"/>
      <c r="F8" s="470"/>
      <c r="G8" s="470"/>
    </row>
    <row r="9" spans="2:7">
      <c r="B9" s="97" t="s">
        <v>54</v>
      </c>
      <c r="C9" s="447">
        <f>Normalized_FCF!C19</f>
        <v>-2851.4456160973477</v>
      </c>
      <c r="D9" s="470"/>
      <c r="E9" s="470"/>
      <c r="F9" s="470"/>
      <c r="G9" s="470"/>
    </row>
    <row r="10" spans="2:7">
      <c r="C10" s="448"/>
      <c r="D10" s="470"/>
      <c r="E10" s="470"/>
      <c r="F10" s="470"/>
      <c r="G10" s="470"/>
    </row>
    <row r="11" spans="2:7" ht="13.15">
      <c r="B11" s="145" t="s">
        <v>321</v>
      </c>
      <c r="C11" s="448"/>
      <c r="D11" s="470"/>
      <c r="E11" s="470"/>
      <c r="F11" s="470"/>
      <c r="G11" s="470"/>
    </row>
    <row r="12" spans="2:7">
      <c r="B12" s="114" t="s">
        <v>121</v>
      </c>
      <c r="C12" s="249">
        <f ca="1">(Normalized_FCF!G4/OFFSET(Normalized_FCF!G4, 0, $C$4))^(1/$C$4) - 1</f>
        <v>9.8592704391528896E-2</v>
      </c>
      <c r="D12" s="470"/>
      <c r="E12" s="470"/>
      <c r="F12" s="470"/>
      <c r="G12" s="470"/>
    </row>
    <row r="13" spans="2:7">
      <c r="B13" s="135" t="s">
        <v>127</v>
      </c>
      <c r="C13" s="249">
        <f ca="1">(Normalized_FCF!G8/OFFSET(Normalized_FCF!G8, 0, $C$4))^(1/$C$4) - 1</f>
        <v>-0.64273609799444253</v>
      </c>
      <c r="D13" s="470"/>
      <c r="E13" s="470"/>
      <c r="F13" s="470"/>
      <c r="G13" s="470"/>
    </row>
    <row r="14" spans="2:7">
      <c r="B14" s="97" t="s">
        <v>63</v>
      </c>
      <c r="C14" s="249" t="e">
        <f ca="1">(Normalized_FCF!G19/OFFSET(Normalized_FCF!G19, 0, $C$4))^(1/$C$4) - 1</f>
        <v>#NUM!</v>
      </c>
      <c r="D14" s="470"/>
      <c r="E14" s="470"/>
      <c r="F14" s="470"/>
      <c r="G14" s="470"/>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0.05</v>
      </c>
      <c r="D22" s="325">
        <f>C18</f>
        <v>10</v>
      </c>
      <c r="E22" s="326">
        <f>DCF!E91</f>
        <v>193.667332728839</v>
      </c>
      <c r="F22" s="328">
        <f>1-F23-F24</f>
        <v>0.19999999999999996</v>
      </c>
      <c r="G22" s="328">
        <f>F22*(1-F$29-F$30)</f>
        <v>0.15999999999999995</v>
      </c>
    </row>
    <row r="23" spans="2:7">
      <c r="B23" s="302" t="s">
        <v>437</v>
      </c>
      <c r="C23" s="324">
        <v>0.03</v>
      </c>
      <c r="D23" s="325">
        <f>C18</f>
        <v>10</v>
      </c>
      <c r="E23" s="326">
        <f>DCF!E92</f>
        <v>162.69520065161987</v>
      </c>
      <c r="F23" s="327">
        <v>0.55000000000000004</v>
      </c>
      <c r="G23" s="328">
        <f t="shared" ref="G23:G24" si="0">F23*(1-F$29-F$30)</f>
        <v>0.44</v>
      </c>
    </row>
    <row r="24" spans="2:7">
      <c r="B24" s="302" t="s">
        <v>446</v>
      </c>
      <c r="C24" s="324">
        <v>0.02</v>
      </c>
      <c r="D24" s="325">
        <f>C18</f>
        <v>10</v>
      </c>
      <c r="E24" s="326">
        <f>DCF!E93</f>
        <v>149.01470820719143</v>
      </c>
      <c r="F24" s="327">
        <v>0.25</v>
      </c>
      <c r="G24" s="328">
        <f t="shared" si="0"/>
        <v>0.19999999999999998</v>
      </c>
    </row>
    <row r="25" spans="2:7">
      <c r="B25" s="141" t="s">
        <v>451</v>
      </c>
      <c r="C25" s="441">
        <f>E23*F23+E24*F24+E22*F22</f>
        <v>165.46950395595658</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0.08</v>
      </c>
      <c r="D29" s="325">
        <f>C18</f>
        <v>10</v>
      </c>
      <c r="E29" s="326">
        <f>DCF!E90</f>
        <v>250.59490774598197</v>
      </c>
      <c r="F29" s="327">
        <v>0.15</v>
      </c>
      <c r="G29" s="328">
        <f>F29</f>
        <v>0.15</v>
      </c>
    </row>
    <row r="30" spans="2:7">
      <c r="B30" s="315" t="s">
        <v>447</v>
      </c>
      <c r="C30" s="324">
        <v>0</v>
      </c>
      <c r="D30" s="325">
        <f>C18</f>
        <v>10</v>
      </c>
      <c r="E30" s="326">
        <f>DCF!E94</f>
        <v>124.84356357575065</v>
      </c>
      <c r="F30" s="327">
        <v>0.05</v>
      </c>
      <c r="G30" s="328">
        <f>F30</f>
        <v>0.05</v>
      </c>
    </row>
    <row r="31" spans="2:7">
      <c r="E31" s="329"/>
      <c r="F31" s="329"/>
    </row>
    <row r="32" spans="2:7" ht="13.15">
      <c r="B32" s="145" t="s">
        <v>456</v>
      </c>
    </row>
    <row r="33" spans="2:7">
      <c r="B33" s="97" t="s">
        <v>458</v>
      </c>
      <c r="C33" s="155">
        <f>Normalized_FCF!C88*(1-dividend_tax_rate)</f>
        <v>3.51</v>
      </c>
      <c r="D33" t="str">
        <f>Market_currency</f>
        <v>HKD</v>
      </c>
      <c r="E33" s="97" t="s">
        <v>455</v>
      </c>
      <c r="F33" s="219">
        <f>Holding_Period</f>
        <v>3</v>
      </c>
    </row>
    <row r="34" spans="2:7">
      <c r="B34" s="97" t="s">
        <v>233</v>
      </c>
      <c r="C34" s="146">
        <f>Market_Price</f>
        <v>112.4</v>
      </c>
      <c r="D34" t="str">
        <f>Market_currency</f>
        <v>HKD</v>
      </c>
      <c r="E34" s="97" t="s">
        <v>454</v>
      </c>
      <c r="F34" s="330">
        <f>RATE(Holding_Period,$C$33,-C34,$C$36)</f>
        <v>0.18882315142641323</v>
      </c>
    </row>
    <row r="35" spans="2:7">
      <c r="B35" s="97" t="s">
        <v>434</v>
      </c>
      <c r="C35" s="320">
        <f>DCF!C11</f>
        <v>-16.202288722125886</v>
      </c>
      <c r="D35" s="97" t="str">
        <f>Market_currency</f>
        <v>HKD</v>
      </c>
      <c r="E35" s="97" t="s">
        <v>454</v>
      </c>
      <c r="F35" s="330" t="e">
        <f>RATE(Holding_Period,$C$33,-C35,$C$36)</f>
        <v>#NUM!</v>
      </c>
    </row>
    <row r="36" spans="2:7">
      <c r="B36" s="97" t="s">
        <v>435</v>
      </c>
      <c r="C36" s="321">
        <f>E22*G22+E23*G23+E24*G24+E30*G30+E29*G29</f>
        <v>176.2070175054501</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3.3662787366748527E-2</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2.38559171477595E-2</v>
      </c>
      <c r="D46" s="138"/>
      <c r="E46" s="221" t="s">
        <v>252</v>
      </c>
    </row>
    <row r="47" spans="2:7">
      <c r="B47" s="97" t="s">
        <v>96</v>
      </c>
      <c r="C47" s="146">
        <f>DCF!I18</f>
        <v>154.15624603299867</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3.4647975826331071E-2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3.51</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6.3745562130177529</v>
      </c>
      <c r="D62" s="119">
        <f>C36/(1+F62)^Holding_Period</f>
        <v>80.20346723051891</v>
      </c>
      <c r="E62" s="332">
        <f>C62+D62</f>
        <v>86.578023443536665</v>
      </c>
      <c r="F62" s="301">
        <f>Thesis!E22</f>
        <v>0.3</v>
      </c>
      <c r="G62" s="440">
        <f>(1-E62/C36)</f>
        <v>0.50865734708404109</v>
      </c>
    </row>
    <row r="63" spans="2:7" ht="13.15">
      <c r="B63" s="302" t="s">
        <v>313</v>
      </c>
      <c r="C63" s="119">
        <f>PV(F63, Holding_Period, -C58, 0)</f>
        <v>7.3937499999999998</v>
      </c>
      <c r="D63" s="119">
        <f>C36/(1+F63)^Holding_Period</f>
        <v>101.97165364898733</v>
      </c>
      <c r="E63" s="332">
        <f>C63+D63</f>
        <v>109.36540364898732</v>
      </c>
      <c r="F63" s="301">
        <f>Thesis!E23</f>
        <v>0.2</v>
      </c>
      <c r="G63" s="440">
        <f>(1-E63/C36)</f>
        <v>0.37933570866095245</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8.4682369720446573</v>
      </c>
      <c r="D66" s="119">
        <f>C36/(1+F66)^Holding_Period</f>
        <v>126.29821111917262</v>
      </c>
      <c r="E66" s="332">
        <f>C66+D66</f>
        <v>134.76644809121728</v>
      </c>
      <c r="F66" s="301">
        <f>Thesis!E24</f>
        <v>0.1174</v>
      </c>
      <c r="G66" s="440">
        <f>(1-E66/C36)</f>
        <v>0.23518115226569258</v>
      </c>
    </row>
    <row r="67" spans="2:7" ht="13.15">
      <c r="B67" s="302" t="s">
        <v>314</v>
      </c>
      <c r="C67" s="119">
        <f>PV(F67, Holding_Period, -C58, 0)</f>
        <v>9.1694370473772864</v>
      </c>
      <c r="D67" s="119">
        <f>C36/(1+F67)^Holding_Period</f>
        <v>142.8339010700173</v>
      </c>
      <c r="E67" s="332">
        <f>C67+D67</f>
        <v>152.00333811739461</v>
      </c>
      <c r="F67" s="301">
        <f>Thesis!E25</f>
        <v>7.2499999999999995E-2</v>
      </c>
      <c r="G67" s="440">
        <f>(1-E67/C36)</f>
        <v>0.13735933863875127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46045</v>
      </c>
    </row>
    <row r="4" spans="1:10">
      <c r="B4" s="422" t="s">
        <v>534</v>
      </c>
      <c r="C4" s="423" t="str">
        <f>Thesis!C4</f>
        <v>京东集团</v>
      </c>
      <c r="D4" s="349"/>
      <c r="E4" s="434" t="s">
        <v>540</v>
      </c>
      <c r="F4" s="437" t="str">
        <f>Thesis!F4</f>
        <v>INT</v>
      </c>
    </row>
    <row r="5" spans="1:10">
      <c r="B5" s="343" t="s">
        <v>364</v>
      </c>
      <c r="C5" s="355" t="str">
        <f>Thesis!C5</f>
        <v>9618.HK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112.4</v>
      </c>
    </row>
    <row r="9" spans="1:10">
      <c r="B9" s="351" t="s">
        <v>361</v>
      </c>
      <c r="C9" s="353">
        <f>Common_Shares</f>
        <v>2818000000</v>
      </c>
    </row>
    <row r="10" spans="1:10">
      <c r="B10" s="351" t="s">
        <v>367</v>
      </c>
      <c r="C10" s="357">
        <f>投资主题!C8*Common_Shares/1000000</f>
        <v>316743.2</v>
      </c>
      <c r="D10" s="343" t="s">
        <v>529</v>
      </c>
      <c r="E10" s="360">
        <f>Scenarios!F34</f>
        <v>0.18882315142641323</v>
      </c>
    </row>
    <row r="11" spans="1:10">
      <c r="D11" s="349"/>
      <c r="E11" s="349"/>
    </row>
    <row r="12" spans="1:10" ht="24.5" customHeight="1">
      <c r="B12" s="472" t="s">
        <v>498</v>
      </c>
      <c r="C12" s="472"/>
      <c r="D12" s="472"/>
      <c r="E12" s="472"/>
      <c r="F12" s="472"/>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1.1347130000000001</v>
      </c>
    </row>
    <row r="17" spans="1:6">
      <c r="B17" s="343" t="s">
        <v>535</v>
      </c>
      <c r="C17" s="424">
        <f>Terminal_Growth</f>
        <v>0.02</v>
      </c>
      <c r="D17" s="351" t="s">
        <v>339</v>
      </c>
      <c r="E17" s="344" t="str">
        <f>Reporting_currency</f>
        <v>CNY</v>
      </c>
    </row>
    <row r="18" spans="1:6">
      <c r="B18" s="343" t="str">
        <f>"预期股权价值 ("&amp;C7&amp;") :"</f>
        <v>预期股权价值 (HKD) :</v>
      </c>
      <c r="C18" s="359">
        <f>C125</f>
        <v>176.2070175054501</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46265</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86.578023443536665</v>
      </c>
      <c r="D22" s="365" t="s">
        <v>440</v>
      </c>
      <c r="E22" s="366">
        <f>Thesis!E22</f>
        <v>0.3</v>
      </c>
    </row>
    <row r="23" spans="1:6">
      <c r="B23" s="343" t="s">
        <v>341</v>
      </c>
      <c r="C23" s="367">
        <f>E141</f>
        <v>109.36540364898732</v>
      </c>
      <c r="D23" s="365" t="s">
        <v>441</v>
      </c>
      <c r="E23" s="368">
        <f>Thesis!E23</f>
        <v>0.2</v>
      </c>
    </row>
    <row r="24" spans="1:6">
      <c r="B24" s="343" t="s">
        <v>343</v>
      </c>
      <c r="C24" s="367">
        <f>E144</f>
        <v>134.76644809121728</v>
      </c>
      <c r="D24" s="365" t="s">
        <v>443</v>
      </c>
      <c r="E24" s="368">
        <f>Thesis!E24</f>
        <v>0.1174</v>
      </c>
    </row>
    <row r="25" spans="1:6">
      <c r="B25" s="343" t="s">
        <v>342</v>
      </c>
      <c r="C25" s="367">
        <f>E145</f>
        <v>152.00333811739461</v>
      </c>
      <c r="D25" s="365" t="s">
        <v>442</v>
      </c>
      <c r="E25" s="368">
        <f>Thesis!E25</f>
        <v>7.2499999999999995E-2</v>
      </c>
    </row>
    <row r="27" spans="1:6" ht="13.9">
      <c r="A27" s="345" t="s">
        <v>345</v>
      </c>
      <c r="B27" s="345"/>
      <c r="C27" s="345"/>
      <c r="D27" s="345"/>
      <c r="E27" s="345"/>
      <c r="F27" s="345"/>
    </row>
    <row r="29" spans="1:6">
      <c r="B29" s="472" t="s">
        <v>499</v>
      </c>
      <c r="C29" s="472"/>
      <c r="D29" s="472"/>
      <c r="E29" s="472"/>
      <c r="F29" s="472"/>
    </row>
    <row r="30" spans="1:6" ht="24.5" customHeight="1">
      <c r="B30" s="473" t="s">
        <v>500</v>
      </c>
      <c r="C30" s="473"/>
      <c r="D30" s="473"/>
      <c r="E30" s="473"/>
      <c r="F30" s="473"/>
    </row>
    <row r="32" spans="1:6">
      <c r="B32" s="369" t="s">
        <v>371</v>
      </c>
      <c r="C32" s="370">
        <f>scaling_factor</f>
        <v>1000000</v>
      </c>
    </row>
    <row r="33" spans="2:6">
      <c r="B33" s="471" t="s">
        <v>501</v>
      </c>
      <c r="C33" s="471"/>
      <c r="D33" s="471"/>
      <c r="E33" s="471"/>
      <c r="F33" s="471"/>
    </row>
    <row r="34" spans="2:6">
      <c r="B34" s="372" t="s">
        <v>197</v>
      </c>
      <c r="C34" s="373">
        <f>Normalized_FCF!C8</f>
        <v>4776.6048103198409</v>
      </c>
      <c r="D34" s="343" t="str">
        <f>Reporting_currency</f>
        <v>CNY</v>
      </c>
    </row>
    <row r="35" spans="2:6">
      <c r="B35" s="372"/>
      <c r="C35" s="374"/>
    </row>
    <row r="36" spans="2:6" ht="24.5" customHeight="1">
      <c r="B36" s="471" t="s">
        <v>502</v>
      </c>
      <c r="C36" s="471"/>
      <c r="D36" s="471"/>
      <c r="E36" s="471"/>
      <c r="F36" s="471"/>
    </row>
    <row r="37" spans="2:6">
      <c r="B37" s="372" t="s">
        <v>199</v>
      </c>
      <c r="C37" s="373">
        <f>Normalized_FCF!C15</f>
        <v>8904</v>
      </c>
      <c r="D37" s="343" t="str">
        <f>Reporting_currency</f>
        <v>CNY</v>
      </c>
    </row>
    <row r="38" spans="2:6">
      <c r="B38" s="375" t="s">
        <v>200</v>
      </c>
      <c r="C38" s="373">
        <f>Normalized_FCF!C16</f>
        <v>-9506.0456217500268</v>
      </c>
      <c r="D38" s="343" t="str">
        <f>Reporting_currency</f>
        <v>CNY</v>
      </c>
    </row>
    <row r="40" spans="2:6">
      <c r="B40" s="471" t="s">
        <v>503</v>
      </c>
      <c r="C40" s="471"/>
      <c r="D40" s="471"/>
      <c r="E40" s="471"/>
      <c r="F40" s="471"/>
    </row>
    <row r="41" spans="2:6">
      <c r="B41" s="372" t="s">
        <v>202</v>
      </c>
      <c r="C41" s="373">
        <f>Normalized_FCF!C9</f>
        <v>0</v>
      </c>
      <c r="D41" s="343" t="str">
        <f>Reporting_currency</f>
        <v>CNY</v>
      </c>
    </row>
    <row r="43" spans="2:6">
      <c r="B43" s="471" t="s">
        <v>504</v>
      </c>
      <c r="C43" s="471"/>
      <c r="D43" s="471"/>
      <c r="E43" s="471"/>
      <c r="F43" s="471"/>
    </row>
    <row r="44" spans="2:6">
      <c r="B44" s="372" t="s">
        <v>267</v>
      </c>
      <c r="C44" s="376">
        <f>Normalized_FCF!C46</f>
        <v>657.64929759484005</v>
      </c>
      <c r="D44" s="343" t="str">
        <f>Reporting_currency</f>
        <v>CNY</v>
      </c>
      <c r="E44" s="371"/>
      <c r="F44" s="371"/>
    </row>
    <row r="45" spans="2:6">
      <c r="B45" s="372" t="s">
        <v>268</v>
      </c>
      <c r="C45" s="376">
        <f>Normalized_FCF!C45</f>
        <v>-4264.12</v>
      </c>
      <c r="D45" s="343" t="str">
        <f>Reporting_currency</f>
        <v>CNY</v>
      </c>
      <c r="E45" s="371"/>
      <c r="F45" s="371"/>
    </row>
    <row r="46" spans="2:6">
      <c r="B46" s="372" t="s">
        <v>203</v>
      </c>
      <c r="C46" s="373">
        <f>Normalized_FCF!C10</f>
        <v>-3606.47070240516</v>
      </c>
      <c r="D46" s="343" t="str">
        <f>Reporting_currency</f>
        <v>CNY</v>
      </c>
    </row>
    <row r="48" spans="2:6">
      <c r="B48" s="343" t="s">
        <v>505</v>
      </c>
    </row>
    <row r="49" spans="2:6">
      <c r="B49" s="372" t="s">
        <v>223</v>
      </c>
      <c r="C49" s="373">
        <f>Normalized_FCF!C13</f>
        <v>-3729.0461970333586</v>
      </c>
      <c r="D49" s="343" t="str">
        <f>Reporting_currency</f>
        <v>CNY</v>
      </c>
    </row>
    <row r="51" spans="2:6">
      <c r="B51" s="471" t="s">
        <v>506</v>
      </c>
      <c r="C51" s="471"/>
      <c r="D51" s="471"/>
      <c r="E51" s="471"/>
      <c r="F51" s="471"/>
    </row>
    <row r="52" spans="2:6">
      <c r="B52" s="372" t="s">
        <v>496</v>
      </c>
      <c r="C52" s="373">
        <f>Normalized_FCF!C12</f>
        <v>-292.53352697867024</v>
      </c>
      <c r="D52" s="343" t="str">
        <f>Reporting_currency</f>
        <v>CNY</v>
      </c>
    </row>
    <row r="54" spans="2:6">
      <c r="B54" s="471" t="s">
        <v>507</v>
      </c>
      <c r="C54" s="474"/>
      <c r="D54" s="474"/>
      <c r="E54" s="474"/>
      <c r="F54" s="474"/>
    </row>
    <row r="55" spans="2:6">
      <c r="B55" s="372" t="s">
        <v>207</v>
      </c>
      <c r="C55" s="373">
        <f>Normalized_FCF!C17</f>
        <v>0</v>
      </c>
      <c r="D55" s="343" t="str">
        <f>Reporting_currency</f>
        <v>CNY</v>
      </c>
    </row>
    <row r="57" spans="2:6">
      <c r="B57" s="472" t="s">
        <v>508</v>
      </c>
      <c r="C57" s="472"/>
      <c r="D57" s="472"/>
      <c r="E57" s="472"/>
      <c r="F57" s="472"/>
    </row>
    <row r="58" spans="2:6">
      <c r="B58" s="472" t="s">
        <v>509</v>
      </c>
      <c r="C58" s="472"/>
      <c r="D58" s="472"/>
      <c r="E58" s="472"/>
      <c r="F58" s="472"/>
    </row>
    <row r="60" spans="2:6">
      <c r="B60" s="372" t="s">
        <v>372</v>
      </c>
      <c r="C60" s="373">
        <f>Normalized_FCF!G19</f>
        <v>-2478</v>
      </c>
      <c r="D60" s="343" t="str">
        <f>Reporting_currency</f>
        <v>CNY</v>
      </c>
    </row>
    <row r="61" spans="2:6">
      <c r="B61" s="372" t="s">
        <v>213</v>
      </c>
      <c r="C61" s="373">
        <f>Normalized_FCF!C19</f>
        <v>-2851.4456160973477</v>
      </c>
      <c r="D61" s="343" t="str">
        <f>Reporting_currency</f>
        <v>CNY</v>
      </c>
    </row>
    <row r="62" spans="2:6">
      <c r="B62" s="377" t="s">
        <v>302</v>
      </c>
      <c r="C62" s="378">
        <f>Normalized_FCF!C124</f>
        <v>-1.0215128247042619E-2</v>
      </c>
      <c r="F62" s="379"/>
    </row>
    <row r="63" spans="2:6">
      <c r="B63" s="377" t="s">
        <v>332</v>
      </c>
      <c r="C63" s="378">
        <f>Normalized_FCF!C92</f>
        <v>3.1227758007117433E-2</v>
      </c>
      <c r="E63" s="372" t="s">
        <v>373</v>
      </c>
      <c r="F63" s="380">
        <f>Normalized_FCF!C90</f>
        <v>-3.8542555179578768</v>
      </c>
    </row>
    <row r="65" spans="1:6">
      <c r="B65" s="369" t="s">
        <v>376</v>
      </c>
      <c r="C65" s="381" t="s">
        <v>327</v>
      </c>
      <c r="D65" s="381" t="s">
        <v>374</v>
      </c>
    </row>
    <row r="66" spans="1:6">
      <c r="B66" s="372" t="s">
        <v>326</v>
      </c>
      <c r="C66" s="378">
        <f>Normalized_FCF!E119</f>
        <v>0.15</v>
      </c>
      <c r="D66" s="378">
        <f>Normalized_FCF!G119</f>
        <v>1.0940047586143514E-2</v>
      </c>
    </row>
    <row r="67" spans="1:6">
      <c r="B67" s="382" t="str">
        <f>Normalized_FCF!B116</f>
        <v>Pre-tax Profit/Sales</v>
      </c>
      <c r="C67" s="383">
        <f>Normalized_FCF!E116</f>
        <v>3.3662787366748527E-2</v>
      </c>
      <c r="D67" s="383">
        <f>Normalized_FCF!G116</f>
        <v>2.4551499711630643E-3</v>
      </c>
    </row>
    <row r="68" spans="1:6">
      <c r="B68" s="382" t="str">
        <f>Normalized_FCF!B117</f>
        <v>Sales/Total Assets</v>
      </c>
      <c r="C68" s="384">
        <f>Normalized_FCF!E117</f>
        <v>1.883030950761003</v>
      </c>
      <c r="D68" s="384">
        <f>Normalized_FCF!G117</f>
        <v>1.883030950761003</v>
      </c>
    </row>
    <row r="69" spans="1:6">
      <c r="B69" s="382" t="str">
        <f>Normalized_FCF!B118</f>
        <v>Total Assets/Equity</v>
      </c>
      <c r="C69" s="384">
        <f>Normalized_FCF!E118</f>
        <v>2.3663758624563029</v>
      </c>
      <c r="D69" s="384">
        <f>Normalized_FCF!G118</f>
        <v>2.3663758624563029</v>
      </c>
    </row>
    <row r="71" spans="1:6" ht="13.9">
      <c r="A71" s="345" t="s">
        <v>476</v>
      </c>
      <c r="B71" s="345"/>
      <c r="C71" s="345"/>
      <c r="D71" s="345"/>
      <c r="E71" s="345"/>
      <c r="F71" s="345"/>
    </row>
    <row r="72" spans="1:6">
      <c r="A72" s="385"/>
    </row>
    <row r="73" spans="1:6">
      <c r="A73" s="386"/>
      <c r="B73" s="472" t="s">
        <v>510</v>
      </c>
      <c r="C73" s="472"/>
      <c r="D73" s="472"/>
      <c r="E73" s="472"/>
      <c r="F73" s="472"/>
    </row>
    <row r="74" spans="1:6">
      <c r="B74" s="473" t="s">
        <v>479</v>
      </c>
      <c r="C74" s="473"/>
      <c r="D74" s="473"/>
      <c r="E74" s="473"/>
      <c r="F74" s="473"/>
    </row>
    <row r="76" spans="1:6">
      <c r="B76" s="369" t="s">
        <v>371</v>
      </c>
    </row>
    <row r="77" spans="1:6">
      <c r="B77" s="472" t="s">
        <v>511</v>
      </c>
      <c r="C77" s="472"/>
      <c r="D77" s="472"/>
      <c r="E77" s="472"/>
      <c r="F77" s="472"/>
    </row>
    <row r="78" spans="1:6">
      <c r="B78" s="343" t="s">
        <v>215</v>
      </c>
      <c r="C78" s="373">
        <f>DCF!F4</f>
        <v>-106603</v>
      </c>
      <c r="D78" s="343" t="str">
        <f>Reporting_currency</f>
        <v>CNY</v>
      </c>
    </row>
    <row r="79" spans="1:6">
      <c r="B79" s="372" t="s">
        <v>234</v>
      </c>
      <c r="C79" s="387">
        <f>C78*scaling_factor*Exchange_Rate/Common_Shares</f>
        <v>-42.925411617814056</v>
      </c>
      <c r="D79" s="343" t="str">
        <f>Market_currency</f>
        <v>HKD</v>
      </c>
    </row>
    <row r="80" spans="1:6">
      <c r="B80" s="382" t="s">
        <v>309</v>
      </c>
      <c r="C80" s="388">
        <f>IF(BS!G31/BS!G27&gt;300%,"nm",BS!G31/BS!G27)</f>
        <v>0.36286306559603515</v>
      </c>
    </row>
    <row r="81" spans="1:6">
      <c r="B81" s="382" t="s">
        <v>311</v>
      </c>
      <c r="C81" s="389">
        <f>IF(BS!C50&gt;30,"nm",BS!C50)</f>
        <v>22.317734925377231</v>
      </c>
    </row>
    <row r="83" spans="1:6">
      <c r="B83" s="343" t="s">
        <v>512</v>
      </c>
    </row>
    <row r="84" spans="1:6">
      <c r="B84" s="343" t="s">
        <v>224</v>
      </c>
      <c r="C84" s="373">
        <f>DCF!F5</f>
        <v>40016.783734193319</v>
      </c>
      <c r="D84" s="343" t="str">
        <f>Reporting_currency</f>
        <v>CNY</v>
      </c>
    </row>
    <row r="85" spans="1:6">
      <c r="B85" s="382" t="s">
        <v>481</v>
      </c>
      <c r="C85" s="390">
        <f>BS!C66</f>
        <v>149625</v>
      </c>
      <c r="D85" s="391" t="str">
        <f>Reporting_currency</f>
        <v>CNY</v>
      </c>
    </row>
    <row r="86" spans="1:6">
      <c r="B86" s="372" t="s">
        <v>235</v>
      </c>
      <c r="C86" s="387">
        <f>C84*scaling_factor*Exchange_Rate/Common_Shares</f>
        <v>16.113401249601743</v>
      </c>
      <c r="D86" s="343" t="str">
        <f>Market_currency</f>
        <v>HKD</v>
      </c>
    </row>
    <row r="88" spans="1:6">
      <c r="B88" s="343" t="s">
        <v>513</v>
      </c>
    </row>
    <row r="89" spans="1:6">
      <c r="B89" s="343" t="s">
        <v>217</v>
      </c>
      <c r="C89" s="373">
        <f>DCF!F6</f>
        <v>81748.2</v>
      </c>
      <c r="D89" s="343" t="str">
        <f>Reporting_currency</f>
        <v>CNY</v>
      </c>
    </row>
    <row r="90" spans="1:6">
      <c r="B90" s="372" t="s">
        <v>236</v>
      </c>
      <c r="C90" s="387">
        <f>C89*scaling_factor*Exchange_Rate/Common_Shares</f>
        <v>32.917226851171044</v>
      </c>
      <c r="D90" s="343" t="str">
        <f>Market_currency</f>
        <v>HKD</v>
      </c>
    </row>
    <row r="92" spans="1:6">
      <c r="B92" s="372" t="s">
        <v>480</v>
      </c>
      <c r="C92" s="387">
        <f>DCF!F8</f>
        <v>6.1052164829587294</v>
      </c>
      <c r="D92" s="343" t="str">
        <f>Market_currency</f>
        <v>HKD</v>
      </c>
    </row>
    <row r="94" spans="1:6" ht="13.9">
      <c r="A94" s="345" t="s">
        <v>482</v>
      </c>
      <c r="B94" s="345"/>
      <c r="C94" s="345"/>
      <c r="D94" s="345"/>
      <c r="E94" s="345"/>
      <c r="F94" s="345"/>
    </row>
    <row r="95" spans="1:6">
      <c r="A95" s="385"/>
    </row>
    <row r="96" spans="1:6">
      <c r="A96" s="385"/>
      <c r="B96" s="472" t="s">
        <v>514</v>
      </c>
      <c r="C96" s="472"/>
      <c r="D96" s="472"/>
      <c r="E96" s="472"/>
      <c r="F96" s="472"/>
    </row>
    <row r="97" spans="1:6">
      <c r="A97" s="385"/>
      <c r="B97" s="473" t="s">
        <v>515</v>
      </c>
      <c r="C97" s="473"/>
      <c r="D97" s="473"/>
      <c r="E97" s="473"/>
      <c r="F97" s="473"/>
    </row>
    <row r="98" spans="1:6">
      <c r="A98" s="385"/>
      <c r="B98" s="473" t="s">
        <v>516</v>
      </c>
      <c r="C98" s="473"/>
      <c r="D98" s="473"/>
      <c r="E98" s="473"/>
      <c r="F98" s="473"/>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2" t="s">
        <v>517</v>
      </c>
      <c r="C107" s="472"/>
      <c r="D107" s="472"/>
      <c r="E107" s="472"/>
      <c r="F107" s="472"/>
    </row>
    <row r="108" spans="1:6">
      <c r="A108" s="385"/>
      <c r="B108" s="472" t="s">
        <v>536</v>
      </c>
      <c r="C108" s="472"/>
      <c r="D108" s="472"/>
      <c r="E108" s="472"/>
      <c r="F108" s="472"/>
    </row>
    <row r="109" spans="1:6">
      <c r="A109" s="385"/>
    </row>
    <row r="110" spans="1:6">
      <c r="A110" s="385"/>
      <c r="B110" s="369" t="s">
        <v>489</v>
      </c>
    </row>
    <row r="111" spans="1:6">
      <c r="A111" s="385"/>
      <c r="B111" s="375" t="s">
        <v>486</v>
      </c>
      <c r="C111" s="394">
        <f>BS!D47</f>
        <v>-67.068081623722534</v>
      </c>
      <c r="D111" s="343" t="str">
        <f>Market_currency</f>
        <v>HKD</v>
      </c>
    </row>
    <row r="112" spans="1:6">
      <c r="A112" s="385"/>
      <c r="B112" s="372" t="s">
        <v>377</v>
      </c>
      <c r="C112" s="394">
        <f>DCF!C11</f>
        <v>-16.202288722125886</v>
      </c>
      <c r="D112" s="343" t="str">
        <f>Market_currency</f>
        <v>HKD</v>
      </c>
    </row>
    <row r="113" spans="1:6">
      <c r="A113" s="385"/>
    </row>
    <row r="114" spans="1:6">
      <c r="A114" s="385"/>
      <c r="B114" s="472" t="s">
        <v>518</v>
      </c>
      <c r="C114" s="472"/>
      <c r="D114" s="472"/>
      <c r="E114" s="472"/>
      <c r="F114" s="472"/>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0.08</v>
      </c>
      <c r="D118" s="397">
        <f>DCF!D90</f>
        <v>10</v>
      </c>
      <c r="E118" s="398" t="str">
        <f>ROUND(DCF!E90,2)&amp;" "&amp;Market_currency</f>
        <v>250.59 HKD</v>
      </c>
      <c r="F118" s="399">
        <f>DCF!F90</f>
        <v>0.15</v>
      </c>
    </row>
    <row r="119" spans="1:6">
      <c r="A119" s="385"/>
      <c r="B119" s="400" t="str">
        <f>DCF!B91</f>
        <v>Optimistic</v>
      </c>
      <c r="C119" s="401">
        <f>DCF!C91</f>
        <v>0.05</v>
      </c>
      <c r="D119" s="402">
        <f>DCF!D91</f>
        <v>10</v>
      </c>
      <c r="E119" s="398" t="str">
        <f>ROUND(DCF!E91,2)&amp;" "&amp;Market_currency</f>
        <v>193.67 HKD</v>
      </c>
      <c r="F119" s="403">
        <f>DCF!F91</f>
        <v>0.15999999999999995</v>
      </c>
    </row>
    <row r="120" spans="1:6">
      <c r="B120" s="400" t="str">
        <f>DCF!B92</f>
        <v>Base</v>
      </c>
      <c r="C120" s="401">
        <f>DCF!C92</f>
        <v>0.03</v>
      </c>
      <c r="D120" s="402">
        <f>DCF!D92</f>
        <v>10</v>
      </c>
      <c r="E120" s="398" t="str">
        <f>ROUND(DCF!E92,2)&amp;" "&amp;Market_currency</f>
        <v>162.7 HKD</v>
      </c>
      <c r="F120" s="403">
        <f>DCF!F92</f>
        <v>0.44</v>
      </c>
    </row>
    <row r="121" spans="1:6">
      <c r="B121" s="400" t="str">
        <f>DCF!B93</f>
        <v>Pessimistic</v>
      </c>
      <c r="C121" s="401">
        <f>DCF!C93</f>
        <v>0.02</v>
      </c>
      <c r="D121" s="402">
        <f>DCF!D93</f>
        <v>10</v>
      </c>
      <c r="E121" s="398" t="str">
        <f>ROUND(DCF!E93,2)&amp;" "&amp;Market_currency</f>
        <v>149.01 HKD</v>
      </c>
      <c r="F121" s="403">
        <f>DCF!F93</f>
        <v>0.19999999999999998</v>
      </c>
    </row>
    <row r="122" spans="1:6">
      <c r="B122" s="400" t="str">
        <f>DCF!B94</f>
        <v>Devil's advocate</v>
      </c>
      <c r="C122" s="401">
        <f>DCF!C94</f>
        <v>0</v>
      </c>
      <c r="D122" s="402">
        <f>DCF!D94</f>
        <v>10</v>
      </c>
      <c r="E122" s="398" t="str">
        <f>ROUND(DCF!E94,2)&amp;" "&amp;Market_currency</f>
        <v>124.84 HKD</v>
      </c>
      <c r="F122" s="403">
        <f>DCF!F94</f>
        <v>0.05</v>
      </c>
    </row>
    <row r="124" spans="1:6">
      <c r="B124" s="471" t="s">
        <v>519</v>
      </c>
      <c r="C124" s="471"/>
      <c r="D124" s="471"/>
      <c r="E124" s="471"/>
      <c r="F124" s="471"/>
    </row>
    <row r="125" spans="1:6">
      <c r="B125" s="372" t="s">
        <v>218</v>
      </c>
      <c r="C125" s="404">
        <f>Scenarios!C36</f>
        <v>176.2070175054501</v>
      </c>
      <c r="D125" s="343" t="str">
        <f>Market_currency</f>
        <v>HKD</v>
      </c>
    </row>
    <row r="127" spans="1:6">
      <c r="B127" s="476" t="s">
        <v>520</v>
      </c>
      <c r="C127" s="476"/>
      <c r="D127" s="476"/>
      <c r="E127" s="476"/>
      <c r="F127" s="476"/>
    </row>
    <row r="129" spans="1:6" ht="13.9">
      <c r="A129" s="345" t="s">
        <v>492</v>
      </c>
      <c r="B129" s="345"/>
      <c r="C129" s="345"/>
      <c r="D129" s="345"/>
      <c r="E129" s="345"/>
      <c r="F129" s="345"/>
    </row>
    <row r="131" spans="1:6">
      <c r="B131" s="477" t="s">
        <v>521</v>
      </c>
      <c r="C131" s="477"/>
      <c r="D131" s="477"/>
      <c r="E131" s="477"/>
      <c r="F131" s="477"/>
    </row>
    <row r="132" spans="1:6" ht="24.5" customHeight="1">
      <c r="B132" s="472" t="s">
        <v>522</v>
      </c>
      <c r="C132" s="472"/>
      <c r="D132" s="472"/>
      <c r="E132" s="472"/>
      <c r="F132" s="472"/>
    </row>
    <row r="134" spans="1:6">
      <c r="B134" s="369" t="s">
        <v>371</v>
      </c>
    </row>
    <row r="135" spans="1:6">
      <c r="B135" s="343" t="s">
        <v>382</v>
      </c>
      <c r="C135" s="405">
        <f>E21</f>
        <v>3</v>
      </c>
    </row>
    <row r="136" spans="1:6">
      <c r="B136" s="343" t="s">
        <v>383</v>
      </c>
      <c r="C136" s="406">
        <f>Scenarios!C58</f>
        <v>3.51</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6.3745562130177529</v>
      </c>
      <c r="D140" s="409">
        <f>Scenarios!D62</f>
        <v>80.20346723051891</v>
      </c>
      <c r="E140" s="410">
        <f>Scenarios!E62</f>
        <v>86.578023443536665</v>
      </c>
      <c r="F140" s="411">
        <f>E22</f>
        <v>0.3</v>
      </c>
    </row>
    <row r="141" spans="1:6">
      <c r="B141" s="408" t="s">
        <v>313</v>
      </c>
      <c r="C141" s="409">
        <f>Scenarios!C63</f>
        <v>7.3937499999999998</v>
      </c>
      <c r="D141" s="409">
        <f>Scenarios!D63</f>
        <v>101.97165364898733</v>
      </c>
      <c r="E141" s="410">
        <f>Scenarios!E63</f>
        <v>109.36540364898732</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8.4682369720446573</v>
      </c>
      <c r="D144" s="409">
        <f>Scenarios!D66</f>
        <v>126.29821111917262</v>
      </c>
      <c r="E144" s="410">
        <f>Scenarios!E66</f>
        <v>134.76644809121728</v>
      </c>
      <c r="F144" s="411">
        <f>E24</f>
        <v>0.1174</v>
      </c>
    </row>
    <row r="145" spans="1:6">
      <c r="B145" s="408" t="s">
        <v>314</v>
      </c>
      <c r="C145" s="409">
        <f>Scenarios!C67</f>
        <v>9.1694370473772864</v>
      </c>
      <c r="D145" s="409">
        <f>Scenarios!D67</f>
        <v>142.8339010700173</v>
      </c>
      <c r="E145" s="410">
        <f>Scenarios!E67</f>
        <v>152.00333811739461</v>
      </c>
      <c r="F145" s="411">
        <f>Scenarios!F67</f>
        <v>7.2499999999999995E-2</v>
      </c>
    </row>
    <row r="147" spans="1:6" ht="13.9">
      <c r="A147" s="345" t="s">
        <v>475</v>
      </c>
      <c r="B147" s="345"/>
      <c r="C147" s="345"/>
      <c r="D147" s="345"/>
      <c r="E147" s="345"/>
      <c r="F147" s="345"/>
    </row>
    <row r="149" spans="1:6">
      <c r="B149" s="478" t="s">
        <v>523</v>
      </c>
      <c r="C149" s="472"/>
      <c r="D149" s="472"/>
      <c r="E149" s="472"/>
      <c r="F149" s="472"/>
    </row>
    <row r="151" spans="1:6">
      <c r="B151" s="369" t="s">
        <v>384</v>
      </c>
    </row>
    <row r="152" spans="1:6">
      <c r="B152" s="474" t="s">
        <v>524</v>
      </c>
      <c r="C152" s="474"/>
      <c r="D152" s="474"/>
      <c r="E152" s="474"/>
      <c r="F152" s="474"/>
    </row>
    <row r="153" spans="1:6">
      <c r="B153" s="412" t="s">
        <v>385</v>
      </c>
    </row>
    <row r="154" spans="1:6">
      <c r="B154" s="412" t="s">
        <v>386</v>
      </c>
    </row>
    <row r="155" spans="1:6">
      <c r="B155" s="412" t="s">
        <v>387</v>
      </c>
    </row>
    <row r="157" spans="1:6">
      <c r="B157" s="343" t="s">
        <v>525</v>
      </c>
    </row>
    <row r="158" spans="1:6" ht="24.5" customHeight="1">
      <c r="B158" s="471" t="s">
        <v>439</v>
      </c>
      <c r="C158" s="471"/>
      <c r="D158" s="471"/>
      <c r="E158" s="471"/>
      <c r="F158" s="471"/>
    </row>
    <row r="160" spans="1:6">
      <c r="B160" s="343" t="s">
        <v>526</v>
      </c>
    </row>
    <row r="161" spans="2:6">
      <c r="B161" s="475" t="s">
        <v>388</v>
      </c>
      <c r="C161" s="475"/>
      <c r="D161" s="475"/>
      <c r="E161" s="475"/>
      <c r="F161" s="475"/>
    </row>
    <row r="162" spans="2:6">
      <c r="B162" s="475" t="s">
        <v>389</v>
      </c>
      <c r="C162" s="475"/>
      <c r="D162" s="475"/>
      <c r="E162" s="475"/>
      <c r="F162" s="475"/>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2026-03-25T08:56:02Z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