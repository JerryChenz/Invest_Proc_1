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6C5CD7-499E-4B5F-9F10-8415C1A62134}"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<sst xmlns="http://schemas.openxmlformats.org/spreadsheetml/2006/main" count="768" uniqueCount="559">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</sst>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108.6</v>
      </c>
      <c r="E8" s="32"/>
    </row>
    <row r="9" spans="1:9">
      <c r="B9" s="4" t="s">
        <v>346</v>
      </c>
      <c r="C9" s="48">
        <v>2818000000</v>
      </c>
    </row>
    <row r="10" spans="1:9">
      <c r="B10" s="4" t="s">
        <v>352</v>
      </c>
      <c r="C10" s="33">
        <f>Thesis!C8*Common_Shares/1000000</f>
        <v>306034.8</v>
      </c>
      <c r="D10" s="1" t="s">
        <v>528</v>
      </c>
      <c r="E10" s="303">
        <f>Scenarios!F34</f>
        <v>0.20453888280005972</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1.1396112205505371</v>
      </c>
    </row>
    <row r="17" spans="1:6">
      <c r="B17" s="1" t="s">
        <v>532</v>
      </c>
      <c r="C17" s="456">
        <v>0.02</v>
      </c>
      <c r="D17" s="4" t="s">
        <v>274</v>
      </c>
      <c r="E17" s="224" t="s">
        <v>558</v>
      </c>
    </row>
    <row r="18" spans="1:6">
      <c r="B18" s="1" t="str">
        <f>"Expected Equity Value ("&amp;C7&amp;") :"</f>
        <v>Expected Equity Value (HKD) :</v>
      </c>
      <c r="C18" s="252">
        <f>C125</f>
        <v>176.96765110557101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87.974691984022584</v>
      </c>
      <c r="D22" s="38" t="s">
        <v>406</v>
      </c>
      <c r="E22" s="79">
        <v>0.29465259038036606</v>
      </c>
    </row>
    <row r="23" spans="1:6">
      <c r="B23" s="1" t="s">
        <v>313</v>
      </c>
      <c r="C23" s="256">
        <f>E141</f>
        <v>109.60463572094829</v>
      </c>
      <c r="D23" s="38" t="s">
        <v>407</v>
      </c>
      <c r="E23" s="443">
        <v>0.20075184365903009</v>
      </c>
    </row>
    <row r="24" spans="1:6">
      <c r="B24" s="1" t="s">
        <v>315</v>
      </c>
      <c r="C24" s="256">
        <f>E144</f>
        <v>135.31164012938021</v>
      </c>
      <c r="D24" s="38" t="s">
        <v>408</v>
      </c>
      <c r="E24" s="443">
        <v>0.1174</v>
      </c>
    </row>
    <row r="25" spans="1:6">
      <c r="B25" s="1" t="s">
        <v>314</v>
      </c>
      <c r="C25" s="256">
        <f>E145</f>
        <v>152.61990984040693</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-1.0618202305405061E-2</v>
      </c>
      <c r="F62" s="257"/>
    </row>
    <row r="63" spans="2:6">
      <c r="B63" s="204" t="s">
        <v>332</v>
      </c>
      <c r="C63" s="89">
        <f>Normalized_FCF!C92</f>
        <v>3.2320441988950274E-2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-43.110707929151495</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16.182958038974782</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33.059320787725127</v>
      </c>
      <c r="D90" s="1" t="str">
        <f>Market_currency</f>
        <v>HKD</v>
      </c>
    </row>
    <row r="91" spans="1:6">
      <c r="A91" s="191"/>
    </row>
    <row r="92" spans="1:6">
      <c r="A92" s="191"/>
      <c r="B92" s="44" t="s">
        <v>469</v>
      </c>
      <c r="C92" s="216">
        <f>DCF!F8</f>
        <v>6.1315708975484151</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-67.35759470385328</v>
      </c>
      <c r="D111" s="1" t="str">
        <f>Market_currency</f>
        <v>HKD</v>
      </c>
    </row>
    <row r="112" spans="2:6">
      <c r="B112" s="44" t="s">
        <v>323</v>
      </c>
      <c r="C112" s="216">
        <f>DCF!C11</f>
        <v>-16.272229212438813</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251.68 HKD</v>
      </c>
      <c r="E118" s="208">
        <f>DCF!F90</f>
        <v>0.15</v>
      </c>
      <c r="F118" s="208">
        <f>RATE(Holding_Period,Scenarios!C$58,-DCF!E90,C$18)</f>
        <v>-9.5029895097454825E-2</v>
      </c>
    </row>
    <row r="119" spans="2:6">
      <c r="B119" s="205" t="str">
        <f>DCF!B91&amp;" ("&amp;DCF!D91&amp;"yrs)"</f>
        <v>Optimistic (10yrs)</v>
      </c>
      <c r="C119" s="198">
        <f>DCF!C91</f>
        <v>0.05</v>
      </c>
      <c r="D119" s="207" t="str">
        <f>ROUND(DCF!E91,2)&amp;" "&amp;Market_currency</f>
        <v>194.5 HKD</v>
      </c>
      <c r="E119" s="199">
        <f>DCF!F91</f>
        <v>0.15999999999999995</v>
      </c>
      <c r="F119" s="208">
        <f>RATE(Holding_Period,Scenarios!C$58,-DCF!E91,C$18)</f>
        <v>-1.2381285096508474E-2</v>
      </c>
    </row>
    <row r="120" spans="2:6">
      <c r="B120" s="205" t="str">
        <f>DCF!B92&amp;" ("&amp;DCF!D92&amp;"yrs)"</f>
        <v>Base (10yrs)</v>
      </c>
      <c r="C120" s="198">
        <f>DCF!C92</f>
        <v>0.03</v>
      </c>
      <c r="D120" s="207" t="str">
        <f>ROUND(DCF!E92,2)&amp;" "&amp;Market_currency</f>
        <v>163.4 HKD</v>
      </c>
      <c r="E120" s="199">
        <f>DCF!F92</f>
        <v>0.44</v>
      </c>
      <c r="F120" s="208">
        <f>RATE(Holding_Period,Scenarios!C$58,-DCF!E92,C$18)</f>
        <v>4.7880473150503283E-2</v>
      </c>
    </row>
    <row r="121" spans="2:6">
      <c r="B121" s="205" t="str">
        <f>DCF!B93&amp;" ("&amp;DCF!D93&amp;"yrs)"</f>
        <v>Pessimistic (10yrs)</v>
      </c>
      <c r="C121" s="198">
        <f>DCF!C93</f>
        <v>0.02</v>
      </c>
      <c r="D121" s="207" t="str">
        <f>ROUND(DCF!E93,2)&amp;" "&amp;Market_currency</f>
        <v>149.66 HKD</v>
      </c>
      <c r="E121" s="199">
        <f>DCF!F93</f>
        <v>0.19999999999999998</v>
      </c>
      <c r="F121" s="208">
        <f>RATE(Holding_Period,Scenarios!C$58,-DCF!E93,C$18)</f>
        <v>7.9681105218030582E-2</v>
      </c>
    </row>
    <row r="122" spans="2:6">
      <c r="B122" s="205" t="str">
        <f>DCF!B94&amp;" ("&amp;DCF!D94&amp;"yrs)"</f>
        <v>Devil's advocate (10yrs)</v>
      </c>
      <c r="C122" s="198">
        <f>DCF!C94</f>
        <v>0</v>
      </c>
      <c r="D122" s="207" t="str">
        <f>ROUND(DCF!E94,2)&amp;" "&amp;Market_currency</f>
        <v>125.38 HKD</v>
      </c>
      <c r="E122" s="199">
        <f>DCF!F94</f>
        <v>0.05</v>
      </c>
      <c r="F122" s="208">
        <f>RATE(Holding_Period,Scenarios!C$58,-DCF!E94,C$18)</f>
        <v>0.14683198485275545</v>
      </c>
    </row>
    <row r="124" spans="2:6">
      <c r="B124" s="464" t="s">
        <v>357</v>
      </c>
      <c r="C124" s="464"/>
      <c r="D124" s="464"/>
      <c r="E124" s="464"/>
      <c r="F124" s="464"/>
    </row>
    <row r="125" spans="2:6">
      <c r="B125" s="193" t="s">
        <v>218</v>
      </c>
      <c r="C125" s="197">
        <f>Scenarios!C36</f>
        <v>176.96765110557101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81.551912951876062</v>
      </c>
      <c r="E140" s="334">
        <f>Scenarios!E62</f>
        <v>87.974691984022584</v>
      </c>
      <c r="F140" s="335">
        <f>E22</f>
        <v>0.29465259038036606</v>
      </c>
    </row>
    <row r="141" spans="1:6">
      <c r="B141" s="336" t="s">
        <v>313</v>
      </c>
      <c r="C141" s="333">
        <f>Scenarios!C63</f>
        <v>7.3850538549144646</v>
      </c>
      <c r="D141" s="333">
        <f>Scenarios!D63</f>
        <v>102.21958186603383</v>
      </c>
      <c r="E141" s="334">
        <f>Scenarios!E63</f>
        <v>109.60463572094829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126.84340315733554</v>
      </c>
      <c r="E144" s="334">
        <f>Scenarios!E66</f>
        <v>135.31164012938021</v>
      </c>
      <c r="F144" s="335">
        <f>E24</f>
        <v>0.1174</v>
      </c>
    </row>
    <row r="145" spans="1:6">
      <c r="B145" s="336" t="s">
        <v>314</v>
      </c>
      <c r="C145" s="333">
        <f>Scenarios!C67</f>
        <v>9.1694370473772864</v>
      </c>
      <c r="D145" s="333">
        <f>Scenarios!D67</f>
        <v>143.45047279302966</v>
      </c>
      <c r="E145" s="334">
        <f>Scenarios!E67</f>
        <v>152.61990984040693</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91.007135937790238</v>
      </c>
      <c r="D47" s="134">
        <f>D46*H1/Common_Shares*Exchange_Rate</f>
        <v>-67.35759470385328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-121485.97494434891</v>
      </c>
      <c r="D86" s="201">
        <f>C86*scaling_factor/Common_Shares</f>
        <v>-43.110707929151495</v>
      </c>
      <c r="E86" s="214" t="str">
        <f>Market_currency</f>
        <v>HKD</v>
      </c>
    </row>
    <row r="87" spans="2:8" ht="15" customHeight="1">
      <c r="B87" s="212" t="s">
        <v>240</v>
      </c>
      <c r="C87" s="73">
        <f>DCF!F5*Exchange_Rate</f>
        <v>45603.575753830926</v>
      </c>
      <c r="D87" s="201">
        <f>C87*scaling_factor/Common_Shares</f>
        <v>16.182958038974778</v>
      </c>
      <c r="E87" s="214" t="str">
        <f>Market_currency</f>
        <v>HKD</v>
      </c>
    </row>
    <row r="88" spans="2:8" ht="15" customHeight="1">
      <c r="B88" s="213" t="s">
        <v>159</v>
      </c>
      <c r="C88" s="73">
        <f>DCF!F6*Exchange_Rate</f>
        <v>93161.165979809419</v>
      </c>
      <c r="D88" s="201">
        <f>C88*scaling_factor/Common_Shares</f>
        <v>33.059320787725127</v>
      </c>
      <c r="E88" s="214" t="str">
        <f>Market_currency</f>
        <v>HKD</v>
      </c>
    </row>
    <row r="89" spans="2:8" ht="15" customHeight="1">
      <c r="B89" s="77" t="s">
        <v>244</v>
      </c>
      <c r="C89" s="162">
        <f>SUM(C86:C88)</f>
        <v>17278.766789291432</v>
      </c>
      <c r="D89" s="216">
        <f>SUM(D86:D88)</f>
        <v>6.1315708975484107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3.2320441988950274E-2</v>
      </c>
      <c r="E92" s="237"/>
      <c r="G92" s="22">
        <f t="shared" ref="G92:Q92" si="38">IF(G$4="","",(G88*(1-dividend_tax_rate))/Market_Price)</f>
        <v>3.2320441988950274E-2</v>
      </c>
      <c r="H92" s="22">
        <f t="shared" si="38"/>
        <v>3.2320441988950274E-2</v>
      </c>
      <c r="I92" s="22">
        <f t="shared" si="38"/>
        <v>2.4563535911602211E-2</v>
      </c>
      <c r="J92" s="22">
        <f t="shared" si="38"/>
        <v>2.0038674033149174E-2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-1.1531367703669897</v>
      </c>
      <c r="D123" s="26"/>
      <c r="E123" s="234"/>
      <c r="F123" s="26"/>
      <c r="G123" s="159">
        <f t="shared" ref="G123:Q123" si="48">IF(G$4="","",G14*$C$3/Common_Shares*Exchange_Rate)</f>
        <v>-1.0021137702357101</v>
      </c>
      <c r="H123" s="159">
        <f t="shared" si="48"/>
        <v>11.655739744041014</v>
      </c>
      <c r="I123" s="159">
        <f t="shared" si="48"/>
        <v>7.5405219369713681</v>
      </c>
      <c r="J123" s="159">
        <f t="shared" si="48"/>
        <v>3.9902568889894074</v>
      </c>
      <c r="K123" s="159">
        <f t="shared" si="48"/>
        <v>5.0954937469612376E-2</v>
      </c>
      <c r="L123" s="159">
        <f t="shared" si="48"/>
        <v>5.0057159999909677</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-1.0618202305405061E-2</v>
      </c>
      <c r="D124" s="26"/>
      <c r="E124" s="234"/>
      <c r="F124" s="26"/>
      <c r="G124" s="74">
        <f t="shared" ref="G124" si="49">IF(G$4="","",G123/Market_Price)</f>
        <v>-9.2275669450802046E-3</v>
      </c>
      <c r="H124" s="74">
        <f t="shared" ref="H124" si="50">IF(H$4="","",H123/Market_Price)</f>
        <v>0.1073272536283703</v>
      </c>
      <c r="I124" s="74">
        <f t="shared" ref="I124" si="51">IF(I$4="","",I123/Market_Price)</f>
        <v>6.9433903655353305E-2</v>
      </c>
      <c r="J124" s="74">
        <f t="shared" ref="J124" si="52">IF(J$4="","",J123/Market_Price)</f>
        <v>3.6742696952020329E-2</v>
      </c>
      <c r="K124" s="74">
        <f t="shared" ref="K124" si="53">IF(K$4="","",K123/Market_Price)</f>
        <v>4.691983192413663E-4</v>
      </c>
      <c r="L124" s="74">
        <f t="shared" ref="L124" si="54">IF(L$4="","",L123/Market_Price)</f>
        <v>4.609314917118755E-2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7.5618851189472563E-2</v>
      </c>
      <c r="H125" s="22">
        <f>IF(H$4="","",(Data!D47*$C$3)/(Market_Price*Common_Shares))</f>
        <v>0.14593111633056111</v>
      </c>
      <c r="I125" s="22">
        <f>IF(I$4="","",(Data!E47*$C$3)/(Market_Price*Common_Shares))</f>
        <v>7.5994625447824884E-2</v>
      </c>
      <c r="J125" s="22">
        <f>IF(J$4="","",(Data!F47*$C$3)/(Market_Price*Common_Shares))</f>
        <v>3.1666333371237518E-2</v>
      </c>
      <c r="K125" s="22">
        <f>IF(K$4="","",(Data!G47*$C$3)/(Market_Price*Common_Shares))</f>
        <v>-1.4596379235302652E-2</v>
      </c>
      <c r="L125" s="22">
        <f>IF(L$4="","",(Data!H47*$C$3)/(Market_Price*Common_Shares))</f>
        <v>0.16121369203763755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6.1315708975484151</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-45855.141920652575</v>
      </c>
      <c r="D10" t="str">
        <f>Market_currency</f>
        <v>HKD</v>
      </c>
      <c r="H10" s="308" t="s">
        <v>397</v>
      </c>
      <c r="I10" s="306">
        <f>Normalized_FCF!C41</f>
        <v>0.25</v>
      </c>
      <c r="N10" s="304"/>
      <c r="O10" s="304"/>
    </row>
    <row r="11" spans="2:15" ht="13.15">
      <c r="B11" s="136" t="s">
        <v>425</v>
      </c>
      <c r="C11" s="108">
        <f>(C10*scaling_factor)/Common_Shares</f>
        <v>-16.272229212438813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154.82169297183913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-16.272229212438813</v>
      </c>
      <c r="C73" s="119">
        <f>C11</f>
        <v>-16.272229212438813</v>
      </c>
      <c r="D73" s="119">
        <f>C11</f>
        <v>-16.272229212438813</v>
      </c>
      <c r="E73" s="119">
        <f>C11</f>
        <v>-16.272229212438813</v>
      </c>
      <c r="F73" s="119">
        <f>C11</f>
        <v>-16.272229212438813</v>
      </c>
      <c r="G73" s="296"/>
      <c r="H73" s="296"/>
      <c r="I73" s="296"/>
      <c r="J73" s="296"/>
      <c r="K73" s="296"/>
      <c r="L73" s="296"/>
    </row>
    <row r="74" spans="1:21" ht="13.15">
      <c r="A74" s="131">
        <v>1</v>
      </c>
      <c r="B74" s="119">
        <f t="shared" ref="B74:F87" si="11">(B56+FV_adjustments)/Common_Shares*scaling_factor*Exchange_Rate</f>
        <v>158.89502980526586</v>
      </c>
      <c r="C74" s="119">
        <f t="shared" si="11"/>
        <v>161.95029898342025</v>
      </c>
      <c r="D74" s="119">
        <f t="shared" si="11"/>
        <v>163.47793357249742</v>
      </c>
      <c r="E74" s="119">
        <f t="shared" si="11"/>
        <v>166.53320275065175</v>
      </c>
      <c r="F74" s="119">
        <f t="shared" si="11"/>
        <v>171.11610651788325</v>
      </c>
      <c r="G74" s="296"/>
      <c r="H74" s="296"/>
      <c r="I74" s="296"/>
      <c r="J74" s="296"/>
      <c r="K74" s="296"/>
      <c r="L74" s="296"/>
    </row>
    <row r="75" spans="1:21" ht="13.15">
      <c r="A75" s="131">
        <v>2</v>
      </c>
      <c r="B75" s="119">
        <f t="shared" si="11"/>
        <v>158.69097055378953</v>
      </c>
      <c r="C75" s="119">
        <f t="shared" si="11"/>
        <v>164.87861960736498</v>
      </c>
      <c r="D75" s="119">
        <f t="shared" si="11"/>
        <v>168.0185685615123</v>
      </c>
      <c r="E75" s="119">
        <f t="shared" si="11"/>
        <v>174.39071532452604</v>
      </c>
      <c r="F75" s="119">
        <f t="shared" si="11"/>
        <v>184.17955760584448</v>
      </c>
      <c r="G75" s="296"/>
      <c r="H75" s="296"/>
      <c r="I75" s="296"/>
      <c r="J75" s="296"/>
      <c r="K75" s="296"/>
      <c r="L75" s="296"/>
    </row>
    <row r="76" spans="1:21" ht="13.15">
      <c r="A76" s="131">
        <v>3</v>
      </c>
      <c r="B76" s="119">
        <f t="shared" si="11"/>
        <v>158.38719977500475</v>
      </c>
      <c r="C76" s="119">
        <f t="shared" si="11"/>
        <v>167.5478200078106</v>
      </c>
      <c r="D76" s="119">
        <f t="shared" si="11"/>
        <v>172.26236071316902</v>
      </c>
      <c r="E76" s="119">
        <f t="shared" si="11"/>
        <v>181.96420394770473</v>
      </c>
      <c r="F76" s="119">
        <f t="shared" si="11"/>
        <v>197.21177529677789</v>
      </c>
      <c r="G76" s="296"/>
      <c r="H76" s="296"/>
      <c r="I76" s="296"/>
      <c r="J76" s="296"/>
      <c r="K76" s="296"/>
      <c r="L76" s="296"/>
    </row>
    <row r="77" spans="1:21" ht="13.15">
      <c r="A77" s="131">
        <v>4</v>
      </c>
      <c r="B77" s="119">
        <f t="shared" si="11"/>
        <v>158.20979647771654</v>
      </c>
      <c r="C77" s="119">
        <f t="shared" si="11"/>
        <v>170.19646875642823</v>
      </c>
      <c r="D77" s="119">
        <f t="shared" si="11"/>
        <v>176.45026202632934</v>
      </c>
      <c r="E77" s="119">
        <f t="shared" si="11"/>
        <v>189.49548892241918</v>
      </c>
      <c r="F77" s="119">
        <f t="shared" si="11"/>
        <v>210.4585708251638</v>
      </c>
      <c r="G77" s="296"/>
      <c r="H77" s="296"/>
      <c r="I77" s="296"/>
      <c r="J77" s="296"/>
      <c r="K77" s="296"/>
      <c r="L77" s="296"/>
    </row>
    <row r="78" spans="1:21" ht="13.15">
      <c r="A78" s="131">
        <v>5</v>
      </c>
      <c r="B78" s="119">
        <f t="shared" si="11"/>
        <v>146.6272529416141</v>
      </c>
      <c r="C78" s="119">
        <f t="shared" si="11"/>
        <v>160.83707867973169</v>
      </c>
      <c r="D78" s="119">
        <f t="shared" si="11"/>
        <v>168.35977330043841</v>
      </c>
      <c r="E78" s="119">
        <f t="shared" si="11"/>
        <v>184.28138629037937</v>
      </c>
      <c r="F78" s="119">
        <f t="shared" si="11"/>
        <v>210.48105789697436</v>
      </c>
      <c r="G78" s="296"/>
      <c r="H78" s="296"/>
      <c r="I78" s="296"/>
      <c r="J78" s="296"/>
      <c r="K78" s="296"/>
      <c r="L78" s="296"/>
    </row>
    <row r="79" spans="1:21" ht="13.15">
      <c r="A79" s="131">
        <v>6</v>
      </c>
      <c r="B79" s="119">
        <f t="shared" si="11"/>
        <v>146.47302357116885</v>
      </c>
      <c r="C79" s="119">
        <f t="shared" si="11"/>
        <v>163.23276586514089</v>
      </c>
      <c r="D79" s="119">
        <f t="shared" si="11"/>
        <v>172.22234262195414</v>
      </c>
      <c r="E79" s="119">
        <f t="shared" si="11"/>
        <v>191.49998795815793</v>
      </c>
      <c r="F79" s="119">
        <f t="shared" si="11"/>
        <v>223.91377108962971</v>
      </c>
      <c r="G79" s="296"/>
      <c r="H79" s="296"/>
      <c r="I79" s="296"/>
      <c r="J79" s="296"/>
      <c r="K79" s="296"/>
      <c r="L79" s="296"/>
    </row>
    <row r="80" spans="1:21" ht="13.15">
      <c r="A80" s="131">
        <f t="shared" ref="A80" si="12">A62</f>
        <v>7</v>
      </c>
      <c r="B80" s="119">
        <f t="shared" si="11"/>
        <v>135.68387494017108</v>
      </c>
      <c r="C80" s="119">
        <f t="shared" si="11"/>
        <v>154.21425634955634</v>
      </c>
      <c r="D80" s="119">
        <f t="shared" si="11"/>
        <v>164.2993938258403</v>
      </c>
      <c r="E80" s="119">
        <f t="shared" si="11"/>
        <v>186.24383289879498</v>
      </c>
      <c r="F80" s="119">
        <f t="shared" si="11"/>
        <v>224.030350470982</v>
      </c>
      <c r="G80" s="296"/>
      <c r="H80" s="296"/>
      <c r="I80" s="296"/>
      <c r="J80" s="296"/>
      <c r="K80" s="296"/>
      <c r="L80" s="296"/>
    </row>
    <row r="81" spans="1:12" ht="13.15">
      <c r="A81" s="131">
        <v>8</v>
      </c>
      <c r="B81" s="119">
        <f t="shared" si="11"/>
        <v>135.54979232123705</v>
      </c>
      <c r="C81" s="119">
        <f t="shared" si="11"/>
        <v>156.38114129167221</v>
      </c>
      <c r="D81" s="119">
        <f t="shared" si="11"/>
        <v>167.8619041735964</v>
      </c>
      <c r="E81" s="119">
        <f t="shared" si="11"/>
        <v>193.16273322098476</v>
      </c>
      <c r="F81" s="119">
        <f t="shared" si="11"/>
        <v>237.65159066673252</v>
      </c>
      <c r="G81" s="296"/>
      <c r="H81" s="296"/>
      <c r="I81" s="296"/>
      <c r="J81" s="296"/>
      <c r="K81" s="296"/>
      <c r="L81" s="296"/>
    </row>
    <row r="82" spans="1:12" ht="13.15">
      <c r="A82" s="131">
        <f t="shared" ref="A82" si="13">A64</f>
        <v>9</v>
      </c>
      <c r="B82" s="119">
        <f t="shared" si="11"/>
        <v>125.49904393790359</v>
      </c>
      <c r="C82" s="119">
        <f t="shared" si="11"/>
        <v>147.69802598597775</v>
      </c>
      <c r="D82" s="119">
        <f t="shared" si="11"/>
        <v>160.11174664466682</v>
      </c>
      <c r="E82" s="119">
        <f t="shared" si="11"/>
        <v>187.87169539387017</v>
      </c>
      <c r="F82" s="119">
        <f t="shared" si="11"/>
        <v>237.86423871645616</v>
      </c>
      <c r="G82" s="296"/>
      <c r="H82" s="296"/>
      <c r="I82" s="296"/>
      <c r="J82" s="296"/>
      <c r="K82" s="296"/>
      <c r="L82" s="296"/>
    </row>
    <row r="83" spans="1:12" ht="13.15">
      <c r="A83" s="131">
        <f t="shared" ref="A83:A87" si="14">A65</f>
        <v>10</v>
      </c>
      <c r="B83" s="119">
        <f t="shared" si="11"/>
        <v>125.38247633052566</v>
      </c>
      <c r="C83" s="119">
        <f t="shared" si="11"/>
        <v>149.65796064729986</v>
      </c>
      <c r="D83" s="119">
        <f t="shared" si="11"/>
        <v>163.39750773306295</v>
      </c>
      <c r="E83" s="119">
        <f t="shared" si="11"/>
        <v>194.50333734775154</v>
      </c>
      <c r="F83" s="119">
        <f t="shared" si="11"/>
        <v>251.67665187597896</v>
      </c>
      <c r="G83" s="296"/>
      <c r="H83" s="296"/>
      <c r="I83" s="296"/>
      <c r="J83" s="296"/>
      <c r="K83" s="296"/>
      <c r="L83" s="296"/>
    </row>
    <row r="84" spans="1:12" ht="13.15">
      <c r="A84" s="131">
        <f t="shared" si="14"/>
        <v>15</v>
      </c>
      <c r="B84" s="119">
        <f t="shared" si="11"/>
        <v>98.977978289957122</v>
      </c>
      <c r="C84" s="119">
        <f t="shared" si="11"/>
        <v>128.93112204125316</v>
      </c>
      <c r="D84" s="119">
        <f t="shared" si="11"/>
        <v>147.0456087048328</v>
      </c>
      <c r="E84" s="119">
        <f t="shared" si="11"/>
        <v>190.93528713474228</v>
      </c>
      <c r="F84" s="119">
        <f t="shared" si="11"/>
        <v>281.12037465725109</v>
      </c>
      <c r="G84" s="296"/>
      <c r="H84" s="296"/>
      <c r="I84" s="296"/>
      <c r="J84" s="296"/>
      <c r="K84" s="296"/>
      <c r="L84" s="296"/>
    </row>
    <row r="85" spans="1:12" ht="13.15">
      <c r="A85" s="132">
        <f t="shared" si="14"/>
        <v>20</v>
      </c>
      <c r="B85" s="119">
        <f t="shared" si="11"/>
        <v>84.146658069669286</v>
      </c>
      <c r="C85" s="119">
        <f t="shared" si="11"/>
        <v>118.35745256567438</v>
      </c>
      <c r="D85" s="119">
        <f t="shared" si="11"/>
        <v>140.32364138239822</v>
      </c>
      <c r="E85" s="119">
        <f t="shared" si="11"/>
        <v>196.99796203381749</v>
      </c>
      <c r="F85" s="119">
        <f t="shared" si="11"/>
        <v>326.27728256125982</v>
      </c>
      <c r="G85" s="296"/>
      <c r="H85" s="296"/>
      <c r="I85" s="296"/>
      <c r="J85" s="296"/>
      <c r="K85" s="296"/>
      <c r="L85" s="296"/>
    </row>
    <row r="86" spans="1:12" ht="13.15">
      <c r="A86" s="132">
        <f t="shared" si="14"/>
        <v>25</v>
      </c>
      <c r="B86" s="119">
        <f t="shared" si="11"/>
        <v>65.637808376327868</v>
      </c>
      <c r="C86" s="119">
        <f t="shared" si="11"/>
        <v>100.77133272079497</v>
      </c>
      <c r="D86" s="119">
        <f t="shared" si="11"/>
        <v>124.78518193204502</v>
      </c>
      <c r="E86" s="119">
        <f t="shared" si="11"/>
        <v>190.97264920478281</v>
      </c>
      <c r="F86" s="119">
        <f t="shared" si="11"/>
        <v>359.35429319609256</v>
      </c>
      <c r="G86" s="296"/>
      <c r="H86" s="296"/>
      <c r="I86" s="296"/>
      <c r="J86" s="296"/>
      <c r="K86" s="296"/>
      <c r="L86" s="296"/>
    </row>
    <row r="87" spans="1:12" ht="13.15">
      <c r="A87" s="132">
        <f t="shared" si="14"/>
        <v>30</v>
      </c>
      <c r="B87" s="119">
        <f t="shared" si="11"/>
        <v>55.255577546139918</v>
      </c>
      <c r="C87" s="119">
        <f t="shared" si="11"/>
        <v>91.40889523581599</v>
      </c>
      <c r="D87" s="119">
        <f t="shared" si="11"/>
        <v>117.51293782974081</v>
      </c>
      <c r="E87" s="119">
        <f t="shared" si="11"/>
        <v>193.89261614050579</v>
      </c>
      <c r="F87" s="119">
        <f t="shared" si="11"/>
        <v>408.79344865610511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251.67665187597896</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194.50333734775154</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163.39750773306295</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149.65796064729986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125.38247633052566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194.50333734775154</v>
      </c>
      <c r="F22" s="328">
        <f>1-F23-F24</f>
        <v>0.19999999999999996</v>
      </c>
      <c r="G22" s="328">
        <f>F22*(1-F$29-F$30)</f>
        <v>0.15999999999999995</v>
      </c>
    </row>
    <row r="23" spans="2:7">
      <c r="B23" s="302" t="s">
        <v>437</v>
      </c>
      <c r="C23" s="324">
        <v>0.03</v>
      </c>
      <c r="D23" s="325">
        <f>C18</f>
        <v>10</v>
      </c>
      <c r="E23" s="326">
        <f>DCF!E92</f>
        <v>163.39750773306295</v>
      </c>
      <c r="F23" s="327">
        <v>0.55000000000000004</v>
      </c>
      <c r="G23" s="328">
        <f t="shared" ref="G23:G24" si="0">F23*(1-F$29-F$30)</f>
        <v>0.44</v>
      </c>
    </row>
    <row r="24" spans="2:7">
      <c r="B24" s="302" t="s">
        <v>446</v>
      </c>
      <c r="C24" s="324">
        <v>0.02</v>
      </c>
      <c r="D24" s="325">
        <f>C18</f>
        <v>10</v>
      </c>
      <c r="E24" s="326">
        <f>DCF!E93</f>
        <v>149.65796064729986</v>
      </c>
      <c r="F24" s="327">
        <v>0.25</v>
      </c>
      <c r="G24" s="328">
        <f t="shared" si="0"/>
        <v>0.19999999999999998</v>
      </c>
    </row>
    <row r="25" spans="2:7">
      <c r="B25" s="141" t="s">
        <v>451</v>
      </c>
      <c r="C25" s="441">
        <f>E23*F23+E24*F24+E22*F22</f>
        <v>166.18378688455988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251.67665187597896</v>
      </c>
      <c r="F29" s="327">
        <v>0.15</v>
      </c>
      <c r="G29" s="328">
        <f>F29</f>
        <v>0.15</v>
      </c>
    </row>
    <row r="30" spans="2:7">
      <c r="B30" s="315" t="s">
        <v>447</v>
      </c>
      <c r="C30" s="324">
        <v>0</v>
      </c>
      <c r="D30" s="325">
        <f>C18</f>
        <v>10</v>
      </c>
      <c r="E30" s="326">
        <f>DCF!E94</f>
        <v>125.38247633052566</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108.6</v>
      </c>
      <c r="D34" t="str">
        <f>Market_currency</f>
        <v>HKD</v>
      </c>
      <c r="E34" s="97" t="s">
        <v>454</v>
      </c>
      <c r="F34" s="330">
        <f>RATE(Holding_Period,$C$33,-C34,$C$36)</f>
        <v>0.20453888280005972</v>
      </c>
    </row>
    <row r="35" spans="2:7">
      <c r="B35" s="97" t="s">
        <v>434</v>
      </c>
      <c r="C35" s="320">
        <f>DCF!C11</f>
        <v>-16.272229212438813</v>
      </c>
      <c r="D35" s="97" t="str">
        <f>Market_currency</f>
        <v>HKD</v>
      </c>
      <c r="E35" s="97" t="s">
        <v>454</v>
      </c>
      <c r="F35" s="330" t="e">
        <f>RATE(Holding_Period,$C$33,-C35,$C$36)</f>
        <v>#NUM!</v>
      </c>
    </row>
    <row r="36" spans="2:7">
      <c r="B36" s="97" t="s">
        <v>435</v>
      </c>
      <c r="C36" s="321">
        <f>E22*G22+E23*G23+E24*G24+E30*G30+E29*G29</f>
        <v>176.96765110557101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154.82169297183913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3.4647975826331043E-2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81.551912951876062</v>
      </c>
      <c r="E62" s="332">
        <f>C62+D62</f>
        <v>87.974691984022584</v>
      </c>
      <c r="F62" s="301">
        <f>Thesis!E22</f>
        <v>0.29465259038036606</v>
      </c>
      <c r="G62" s="440">
        <f>(1-E62/C36)</f>
        <v>0.50287698664463365</v>
      </c>
    </row>
    <row r="63" spans="2:7" ht="13.15">
      <c r="B63" s="302" t="s">
        <v>313</v>
      </c>
      <c r="C63" s="119">
        <f>PV(F63, Holding_Period, -C58, 0)</f>
        <v>7.3850538549144646</v>
      </c>
      <c r="D63" s="119">
        <f>C36/(1+F63)^Holding_Period</f>
        <v>102.21958186603383</v>
      </c>
      <c r="E63" s="332">
        <f>C63+D63</f>
        <v>109.60463572094829</v>
      </c>
      <c r="F63" s="301">
        <f>Thesis!E23</f>
        <v>0.20075184365903009</v>
      </c>
      <c r="G63" s="440">
        <f>(1-E63/C36)</f>
        <v>0.38065157651008741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126.84340315733554</v>
      </c>
      <c r="E66" s="332">
        <f>C66+D66</f>
        <v>135.31164012938021</v>
      </c>
      <c r="F66" s="301">
        <f>Thesis!E24</f>
        <v>0.1174</v>
      </c>
      <c r="G66" s="440">
        <f>(1-E66/C36)</f>
        <v>0.23538771473742781</v>
      </c>
    </row>
    <row r="67" spans="2:7" ht="13.15">
      <c r="B67" s="302" t="s">
        <v>314</v>
      </c>
      <c r="C67" s="119">
        <f>PV(F67, Holding_Period, -C58, 0)</f>
        <v>9.1694370473772864</v>
      </c>
      <c r="D67" s="119">
        <f>C36/(1+F67)^Holding_Period</f>
        <v>143.45047279302966</v>
      </c>
      <c r="E67" s="332">
        <f>C67+D67</f>
        <v>152.61990984040693</v>
      </c>
      <c r="F67" s="301">
        <f>Thesis!E25</f>
        <v>7.2499999999999995E-2</v>
      </c>
      <c r="G67" s="440">
        <f>(1-E67/C36)</f>
        <v>0.13758300521624311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108.6</v>
      </c>
    </row>
    <row r="9" spans="1:10">
      <c r="B9" s="351" t="s">
        <v>361</v>
      </c>
      <c r="C9" s="353">
        <f>Common_Shares</f>
        <v>2818000000</v>
      </c>
    </row>
    <row r="10" spans="1:10">
      <c r="B10" s="351" t="s">
        <v>367</v>
      </c>
      <c r="C10" s="357">
        <f>投资主题!C8*Common_Shares/1000000</f>
        <v>306034.8</v>
      </c>
      <c r="D10" s="343" t="s">
        <v>529</v>
      </c>
      <c r="E10" s="360">
        <f>Scenarios!F34</f>
        <v>0.20453888280005972</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535</v>
      </c>
      <c r="C17" s="424">
        <f>Terminal_Growth</f>
        <v>0.02</v>
      </c>
      <c r="D17" s="351" t="s">
        <v>339</v>
      </c>
      <c r="E17" s="344" t="str">
        <f>Reporting_currency</f>
        <v>CNY</v>
      </c>
    </row>
    <row r="18" spans="1:6">
      <c r="B18" s="343" t="str">
        <f>"预期股权价值 ("&amp;C7&amp;") :"</f>
        <v>预期股权价值 (HKD) :</v>
      </c>
      <c r="C18" s="359">
        <f>C125</f>
        <v>176.96765110557101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87.974691984022584</v>
      </c>
      <c r="D22" s="365" t="s">
        <v>440</v>
      </c>
      <c r="E22" s="366">
        <f>Thesis!E22</f>
        <v>0.29465259038036606</v>
      </c>
    </row>
    <row r="23" spans="1:6">
      <c r="B23" s="343" t="s">
        <v>341</v>
      </c>
      <c r="C23" s="367">
        <f>E141</f>
        <v>109.60463572094829</v>
      </c>
      <c r="D23" s="365" t="s">
        <v>441</v>
      </c>
      <c r="E23" s="368">
        <f>Thesis!E23</f>
        <v>0.20075184365903009</v>
      </c>
    </row>
    <row r="24" spans="1:6">
      <c r="B24" s="343" t="s">
        <v>343</v>
      </c>
      <c r="C24" s="367">
        <f>E144</f>
        <v>135.31164012938021</v>
      </c>
      <c r="D24" s="365" t="s">
        <v>443</v>
      </c>
      <c r="E24" s="368">
        <f>Thesis!E24</f>
        <v>0.1174</v>
      </c>
    </row>
    <row r="25" spans="1:6">
      <c r="B25" s="343" t="s">
        <v>342</v>
      </c>
      <c r="C25" s="367">
        <f>E145</f>
        <v>152.61990984040693</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-1.0618202305405061E-2</v>
      </c>
      <c r="F62" s="379"/>
    </row>
    <row r="63" spans="2:6">
      <c r="B63" s="377" t="s">
        <v>332</v>
      </c>
      <c r="C63" s="378">
        <f>Normalized_FCF!C92</f>
        <v>3.2320441988950274E-2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-43.110707929151495</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16.182958038974782</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33.059320787725127</v>
      </c>
      <c r="D90" s="343" t="str">
        <f>Market_currency</f>
        <v>HKD</v>
      </c>
    </row>
    <row r="92" spans="1:6">
      <c r="B92" s="372" t="s">
        <v>480</v>
      </c>
      <c r="C92" s="387">
        <f>DCF!F8</f>
        <v>6.1315708975484151</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-67.35759470385328</v>
      </c>
      <c r="D111" s="343" t="str">
        <f>Market_currency</f>
        <v>HKD</v>
      </c>
    </row>
    <row r="112" spans="1:6">
      <c r="A112" s="385"/>
      <c r="B112" s="372" t="s">
        <v>377</v>
      </c>
      <c r="C112" s="394">
        <f>DCF!C11</f>
        <v>-16.272229212438813</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251.68 HKD</v>
      </c>
      <c r="F118" s="399">
        <f>DCF!F90</f>
        <v>0.15</v>
      </c>
    </row>
    <row r="119" spans="1:6">
      <c r="A119" s="385"/>
      <c r="B119" s="400" t="str">
        <f>DCF!B91</f>
        <v>Optimistic</v>
      </c>
      <c r="C119" s="401">
        <f>DCF!C91</f>
        <v>0.05</v>
      </c>
      <c r="D119" s="402">
        <f>DCF!D91</f>
        <v>10</v>
      </c>
      <c r="E119" s="398" t="str">
        <f>ROUND(DCF!E91,2)&amp;" "&amp;Market_currency</f>
        <v>194.5 HKD</v>
      </c>
      <c r="F119" s="403">
        <f>DCF!F91</f>
        <v>0.15999999999999995</v>
      </c>
    </row>
    <row r="120" spans="1:6">
      <c r="B120" s="400" t="str">
        <f>DCF!B92</f>
        <v>Base</v>
      </c>
      <c r="C120" s="401">
        <f>DCF!C92</f>
        <v>0.03</v>
      </c>
      <c r="D120" s="402">
        <f>DCF!D92</f>
        <v>10</v>
      </c>
      <c r="E120" s="398" t="str">
        <f>ROUND(DCF!E92,2)&amp;" "&amp;Market_currency</f>
        <v>163.4 HKD</v>
      </c>
      <c r="F120" s="403">
        <f>DCF!F92</f>
        <v>0.44</v>
      </c>
    </row>
    <row r="121" spans="1:6">
      <c r="B121" s="400" t="str">
        <f>DCF!B93</f>
        <v>Pessimistic</v>
      </c>
      <c r="C121" s="401">
        <f>DCF!C93</f>
        <v>0.02</v>
      </c>
      <c r="D121" s="402">
        <f>DCF!D93</f>
        <v>10</v>
      </c>
      <c r="E121" s="398" t="str">
        <f>ROUND(DCF!E93,2)&amp;" "&amp;Market_currency</f>
        <v>149.66 HKD</v>
      </c>
      <c r="F121" s="403">
        <f>DCF!F93</f>
        <v>0.19999999999999998</v>
      </c>
    </row>
    <row r="122" spans="1:6">
      <c r="B122" s="400" t="str">
        <f>DCF!B94</f>
        <v>Devil's advocate</v>
      </c>
      <c r="C122" s="401">
        <f>DCF!C94</f>
        <v>0</v>
      </c>
      <c r="D122" s="402">
        <f>DCF!D94</f>
        <v>10</v>
      </c>
      <c r="E122" s="398" t="str">
        <f>ROUND(DCF!E94,2)&amp;" "&amp;Market_currency</f>
        <v>125.38 HKD</v>
      </c>
      <c r="F122" s="403">
        <f>DCF!F94</f>
        <v>0.05</v>
      </c>
    </row>
    <row r="124" spans="1:6">
      <c r="B124" s="471" t="s">
        <v>519</v>
      </c>
      <c r="C124" s="471"/>
      <c r="D124" s="471"/>
      <c r="E124" s="471"/>
      <c r="F124" s="471"/>
    </row>
    <row r="125" spans="1:6">
      <c r="B125" s="372" t="s">
        <v>218</v>
      </c>
      <c r="C125" s="404">
        <f>Scenarios!C36</f>
        <v>176.96765110557101</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81.551912951876062</v>
      </c>
      <c r="E140" s="410">
        <f>Scenarios!E62</f>
        <v>87.974691984022584</v>
      </c>
      <c r="F140" s="411">
        <f>E22</f>
        <v>0.29465259038036606</v>
      </c>
    </row>
    <row r="141" spans="1:6">
      <c r="B141" s="408" t="s">
        <v>313</v>
      </c>
      <c r="C141" s="409">
        <f>Scenarios!C63</f>
        <v>7.3850538549144646</v>
      </c>
      <c r="D141" s="409">
        <f>Scenarios!D63</f>
        <v>102.21958186603383</v>
      </c>
      <c r="E141" s="410">
        <f>Scenarios!E63</f>
        <v>109.60463572094829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126.84340315733554</v>
      </c>
      <c r="E144" s="410">
        <f>Scenarios!E66</f>
        <v>135.31164012938021</v>
      </c>
      <c r="F144" s="411">
        <f>E24</f>
        <v>0.1174</v>
      </c>
    </row>
    <row r="145" spans="1:6">
      <c r="B145" s="408" t="s">
        <v>314</v>
      </c>
      <c r="C145" s="409">
        <f>Scenarios!C67</f>
        <v>9.1694370473772864</v>
      </c>
      <c r="D145" s="409">
        <f>Scenarios!D67</f>
        <v>143.45047279302966</v>
      </c>
      <c r="E145" s="410">
        <f>Scenarios!E67</f>
        <v>152.61990984040693</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