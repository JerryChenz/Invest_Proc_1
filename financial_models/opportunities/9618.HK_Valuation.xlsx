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0A981BE-63F4-46A4-B180-14F6B60F6BA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36" i="3"/>
  <c r="C27" i="3"/>
  <c r="C23" i="3"/>
  <c r="C19" i="3"/>
  <c r="G4" i="3"/>
  <c r="C9" i="3"/>
  <c r="C4" i="3"/>
  <c r="C29" i="2"/>
  <c r="C6" i="4"/>
  <c r="C5" i="4"/>
  <c r="C7" i="4"/>
  <c r="E28" i="4"/>
  <c r="F30" i="4"/>
  <c r="G30" i="4"/>
  <c r="E83" i="2"/>
  <c r="E84" i="2"/>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B74"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<sst xmlns="http://schemas.openxmlformats.org/spreadsheetml/2006/main" count="768" uniqueCount="559">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</sst>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103.7</v>
      </c>
      <c r="E8" s="32"/>
    </row>
    <row r="9" spans="1:9">
      <c r="B9" s="4" t="s">
        <v>346</v>
      </c>
      <c r="C9" s="48">
        <v>2818000000</v>
      </c>
    </row>
    <row r="10" spans="1:9">
      <c r="B10" s="4" t="s">
        <v>352</v>
      </c>
      <c r="C10" s="33">
        <f>Thesis!C8*Common_Shares/1000000</f>
        <v>292226.59999999998</v>
      </c>
      <c r="D10" s="1" t="s">
        <v>528</v>
      </c>
      <c r="E10" s="303">
        <f>Scenarios!F34</f>
        <v>0.22009541234569296</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1.1290652091503142</v>
      </c>
    </row>
    <row r="17" spans="1:6">
      <c r="B17" s="1" t="s">
        <v>532</v>
      </c>
      <c r="C17" s="456">
        <v>0.02</v>
      </c>
      <c r="D17" s="4" t="s">
        <v>274</v>
      </c>
      <c r="E17" s="224" t="s">
        <v>558</v>
      </c>
    </row>
    <row r="18" spans="1:6">
      <c r="B18" s="1" t="str">
        <f>"Expected Equity Value ("&amp;C7&amp;") :"</f>
        <v>Expected Equity Value (HKD) :</v>
      </c>
      <c r="C18" s="252">
        <f>C125</f>
        <v>175.32998482747979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87.220007063243216</v>
      </c>
      <c r="D22" s="38" t="s">
        <v>406</v>
      </c>
      <c r="E22" s="79">
        <v>0.29465259038036606</v>
      </c>
    </row>
    <row r="23" spans="1:6">
      <c r="B23" s="1" t="s">
        <v>313</v>
      </c>
      <c r="C23" s="256">
        <f>E141</f>
        <v>108.65869130039019</v>
      </c>
      <c r="D23" s="38" t="s">
        <v>407</v>
      </c>
      <c r="E23" s="443">
        <v>0.20075184365903009</v>
      </c>
    </row>
    <row r="24" spans="1:6">
      <c r="B24" s="1" t="s">
        <v>315</v>
      </c>
      <c r="C24" s="256">
        <f>E144</f>
        <v>134.13782580426846</v>
      </c>
      <c r="D24" s="38" t="s">
        <v>408</v>
      </c>
      <c r="E24" s="443">
        <v>0.1174</v>
      </c>
    </row>
    <row r="25" spans="1:6">
      <c r="B25" s="1" t="s">
        <v>314</v>
      </c>
      <c r="C25" s="256">
        <f>E145</f>
        <v>151.29241297642221</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4776.6048103198409</v>
      </c>
      <c r="D34" s="1" t="str">
        <f>Reporting_currency</f>
        <v>CNY</v>
      </c>
    </row>
    <row r="35" spans="2:6">
      <c r="B35" s="44"/>
      <c r="C35" s="73"/>
    </row>
    <row r="36" spans="2:6" ht="24.5" customHeight="1">
      <c r="B36" s="462" t="s">
        <v>198</v>
      </c>
      <c r="C36" s="462"/>
      <c r="D36" s="462"/>
      <c r="E36" s="462"/>
      <c r="F36" s="462"/>
    </row>
    <row r="37" spans="2:6">
      <c r="B37" s="44" t="s">
        <v>199</v>
      </c>
      <c r="C37" s="285">
        <f>Normalized_FCF!C15</f>
        <v>8904</v>
      </c>
      <c r="D37" s="1" t="str">
        <f>Reporting_currency</f>
        <v>CNY</v>
      </c>
    </row>
    <row r="38" spans="2:6">
      <c r="B38" s="49" t="s">
        <v>200</v>
      </c>
      <c r="C38" s="285">
        <f>Normalized_FCF!C16</f>
        <v>-9506.0456217500268</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657.64929759484005</v>
      </c>
      <c r="D44" s="1" t="str">
        <f>Reporting_currency</f>
        <v>CNY</v>
      </c>
      <c r="E44" s="244"/>
      <c r="F44" s="244"/>
    </row>
    <row r="45" spans="2:6">
      <c r="B45" s="44" t="s">
        <v>268</v>
      </c>
      <c r="C45" s="286">
        <f>Normalized_FCF!C45</f>
        <v>-4264.12</v>
      </c>
      <c r="D45" s="1" t="str">
        <f>Reporting_currency</f>
        <v>CNY</v>
      </c>
      <c r="E45" s="244"/>
      <c r="F45" s="244"/>
    </row>
    <row r="46" spans="2:6">
      <c r="B46" s="44" t="s">
        <v>203</v>
      </c>
      <c r="C46" s="285">
        <f>Normalized_FCF!C10</f>
        <v>-3606.47070240516</v>
      </c>
      <c r="D46" s="1" t="str">
        <f>Reporting_currency</f>
        <v>CNY</v>
      </c>
    </row>
    <row r="48" spans="2:6">
      <c r="B48" s="1" t="s">
        <v>211</v>
      </c>
    </row>
    <row r="49" spans="2:6">
      <c r="B49" s="44" t="s">
        <v>223</v>
      </c>
      <c r="C49" s="285">
        <f>Normalized_FCF!C13</f>
        <v>-3729.0461970333586</v>
      </c>
      <c r="D49" s="1" t="str">
        <f>Reporting_currency</f>
        <v>CNY</v>
      </c>
    </row>
    <row r="51" spans="2:6">
      <c r="B51" s="462" t="s">
        <v>206</v>
      </c>
      <c r="C51" s="462"/>
      <c r="D51" s="462"/>
      <c r="E51" s="462"/>
      <c r="F51" s="462"/>
    </row>
    <row r="52" spans="2:6">
      <c r="B52" s="44" t="s">
        <v>204</v>
      </c>
      <c r="C52" s="285">
        <f>Normalized_FCF!C12</f>
        <v>-292.53352697867024</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-2478</v>
      </c>
      <c r="D60" s="1" t="str">
        <f>Reporting_currency</f>
        <v>CNY</v>
      </c>
    </row>
    <row r="61" spans="2:6">
      <c r="B61" s="44" t="s">
        <v>213</v>
      </c>
      <c r="C61" s="285">
        <f>Normalized_FCF!C19</f>
        <v>-2851.4456160973477</v>
      </c>
      <c r="D61" s="1" t="str">
        <f>Reporting_currency</f>
        <v>CNY</v>
      </c>
    </row>
    <row r="62" spans="2:6">
      <c r="B62" s="204" t="s">
        <v>302</v>
      </c>
      <c r="C62" s="89">
        <f>Normalized_FCF!C124</f>
        <v>-1.1017025968613736E-2</v>
      </c>
      <c r="F62" s="257"/>
    </row>
    <row r="63" spans="2:6">
      <c r="B63" s="204" t="s">
        <v>332</v>
      </c>
      <c r="C63" s="89">
        <f>Normalized_FCF!C92</f>
        <v>3.3847637415621981E-2</v>
      </c>
      <c r="E63" s="44" t="s">
        <v>322</v>
      </c>
      <c r="F63" s="258">
        <f>Normalized_FCF!C90</f>
        <v>-3.8542555179578768</v>
      </c>
    </row>
    <row r="65" spans="1:6">
      <c r="B65" s="192" t="s">
        <v>325</v>
      </c>
      <c r="C65" s="264" t="s">
        <v>327</v>
      </c>
      <c r="D65" s="264" t="s">
        <v>328</v>
      </c>
    </row>
    <row r="66" spans="1:6">
      <c r="B66" s="44" t="s">
        <v>326</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-106603</v>
      </c>
      <c r="D78" s="1" t="str">
        <f>Reporting_currency</f>
        <v>CNY</v>
      </c>
    </row>
    <row r="79" spans="1:6">
      <c r="A79" s="191"/>
      <c r="B79" s="44" t="s">
        <v>234</v>
      </c>
      <c r="C79" s="201">
        <f>C78*scaling_factor*Exchange_Rate/Common_Shares</f>
        <v>-42.71175957808763</v>
      </c>
      <c r="D79" s="1" t="str">
        <f>Market_currency</f>
        <v>HKD</v>
      </c>
    </row>
    <row r="80" spans="1:6">
      <c r="A80" s="191"/>
      <c r="B80" s="229" t="s">
        <v>309</v>
      </c>
      <c r="C80" s="337">
        <f>IF(BS!G31/BS!G27&gt;300%,"nm",BS!G31/BS!G27)</f>
        <v>0.36286306559603515</v>
      </c>
    </row>
    <row r="81" spans="1:6">
      <c r="A81" s="191"/>
      <c r="B81" s="229" t="s">
        <v>311</v>
      </c>
      <c r="C81" s="338">
        <f>IF(BS!C50&gt;30,"nm",BS!C50)</f>
        <v>22.317734925377231</v>
      </c>
    </row>
    <row r="82" spans="1:6">
      <c r="A82" s="191"/>
    </row>
    <row r="83" spans="1:6">
      <c r="A83" s="191"/>
      <c r="B83" s="1" t="s">
        <v>466</v>
      </c>
    </row>
    <row r="84" spans="1:6">
      <c r="A84" s="191"/>
      <c r="B84" s="1" t="s">
        <v>224</v>
      </c>
      <c r="C84" s="285">
        <f>DCF!F5</f>
        <v>40016.783734193319</v>
      </c>
      <c r="D84" s="1" t="str">
        <f>Reporting_currency</f>
        <v>CNY</v>
      </c>
    </row>
    <row r="85" spans="1:6">
      <c r="A85" s="191"/>
      <c r="B85" s="229" t="s">
        <v>222</v>
      </c>
      <c r="C85" s="291">
        <f>BS!C66</f>
        <v>149625</v>
      </c>
      <c r="D85" s="339" t="str">
        <f>Reporting_currency</f>
        <v>CNY</v>
      </c>
    </row>
    <row r="86" spans="1:6">
      <c r="A86" s="191"/>
      <c r="B86" s="44" t="s">
        <v>235</v>
      </c>
      <c r="C86" s="201">
        <f>C84*scaling_factor*Exchange_Rate/Common_Shares</f>
        <v>16.03320024711493</v>
      </c>
      <c r="D86" s="1" t="str">
        <f>Market_currency</f>
        <v>HKD</v>
      </c>
    </row>
    <row r="87" spans="1:6">
      <c r="A87" s="191"/>
    </row>
    <row r="88" spans="1:6">
      <c r="A88" s="191"/>
      <c r="B88" s="1" t="s">
        <v>216</v>
      </c>
    </row>
    <row r="89" spans="1:6">
      <c r="A89" s="191"/>
      <c r="B89" s="1" t="s">
        <v>217</v>
      </c>
      <c r="C89" s="285">
        <f>DCF!F6</f>
        <v>81748.2</v>
      </c>
      <c r="D89" s="1" t="str">
        <f>Reporting_currency</f>
        <v>CNY</v>
      </c>
    </row>
    <row r="90" spans="1:6">
      <c r="A90" s="191"/>
      <c r="B90" s="44" t="s">
        <v>236</v>
      </c>
      <c r="C90" s="201">
        <f>C89*scaling_factor*Exchange_Rate/Common_Shares</f>
        <v>32.753388406906211</v>
      </c>
      <c r="D90" s="1" t="str">
        <f>Market_currency</f>
        <v>HKD</v>
      </c>
    </row>
    <row r="91" spans="1:6">
      <c r="A91" s="191"/>
    </row>
    <row r="92" spans="1:6">
      <c r="A92" s="191"/>
      <c r="B92" s="44" t="s">
        <v>469</v>
      </c>
      <c r="C92" s="216">
        <f>DCF!F8</f>
        <v>6.0748290759335122</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-66.734264616514139</v>
      </c>
      <c r="D111" s="1" t="str">
        <f>Market_currency</f>
        <v>HKD</v>
      </c>
    </row>
    <row r="112" spans="2:6">
      <c r="B112" s="44" t="s">
        <v>323</v>
      </c>
      <c r="C112" s="216">
        <f>DCF!C11</f>
        <v>-16.121645301288378</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0.08</v>
      </c>
      <c r="D118" s="207" t="str">
        <f>ROUND(DCF!E90,2)&amp;" "&amp;Market_currency</f>
        <v>249.35 HKD</v>
      </c>
      <c r="E118" s="208">
        <f>DCF!F90</f>
        <v>0.15</v>
      </c>
      <c r="F118" s="208">
        <f>RATE(Holding_Period,Scenarios!C$58,-DCF!E90,C$18)</f>
        <v>-9.4883131303035162E-2</v>
      </c>
    </row>
    <row r="119" spans="2:6">
      <c r="B119" s="205" t="str">
        <f>DCF!B91&amp;" ("&amp;DCF!D91&amp;"yrs)"</f>
        <v>Optimistic (10yrs)</v>
      </c>
      <c r="C119" s="198">
        <f>DCF!C91</f>
        <v>0.05</v>
      </c>
      <c r="D119" s="207" t="str">
        <f>ROUND(DCF!E91,2)&amp;" "&amp;Market_currency</f>
        <v>192.7 HKD</v>
      </c>
      <c r="E119" s="199">
        <f>DCF!F91</f>
        <v>0.15999999999999995</v>
      </c>
      <c r="F119" s="208">
        <f>RATE(Holding_Period,Scenarios!C$58,-DCF!E91,C$18)</f>
        <v>-1.2207415547441898E-2</v>
      </c>
    </row>
    <row r="120" spans="2:6">
      <c r="B120" s="205" t="str">
        <f>DCF!B92&amp;" ("&amp;DCF!D92&amp;"yrs)"</f>
        <v>Base (10yrs)</v>
      </c>
      <c r="C120" s="198">
        <f>DCF!C92</f>
        <v>0.03</v>
      </c>
      <c r="D120" s="207" t="str">
        <f>ROUND(DCF!E92,2)&amp;" "&amp;Market_currency</f>
        <v>161.89 HKD</v>
      </c>
      <c r="E120" s="199">
        <f>DCF!F92</f>
        <v>0.44</v>
      </c>
      <c r="F120" s="208">
        <f>RATE(Holding_Period,Scenarios!C$58,-DCF!E92,C$18)</f>
        <v>4.8076039547412644E-2</v>
      </c>
    </row>
    <row r="121" spans="2:6">
      <c r="B121" s="205" t="str">
        <f>DCF!B93&amp;" ("&amp;DCF!D93&amp;"yrs)"</f>
        <v>Pessimistic (10yrs)</v>
      </c>
      <c r="C121" s="198">
        <f>DCF!C93</f>
        <v>0.02</v>
      </c>
      <c r="D121" s="207" t="str">
        <f>ROUND(DCF!E93,2)&amp;" "&amp;Market_currency</f>
        <v>148.27 HKD</v>
      </c>
      <c r="E121" s="199">
        <f>DCF!F93</f>
        <v>0.19999999999999998</v>
      </c>
      <c r="F121" s="208">
        <f>RATE(Holding_Period,Scenarios!C$58,-DCF!E93,C$18)</f>
        <v>7.9888804669229499E-2</v>
      </c>
    </row>
    <row r="122" spans="2:6">
      <c r="B122" s="205" t="str">
        <f>DCF!B94&amp;" ("&amp;DCF!D94&amp;"yrs)"</f>
        <v>Devil's advocate (10yrs)</v>
      </c>
      <c r="C122" s="198">
        <f>DCF!C94</f>
        <v>0</v>
      </c>
      <c r="D122" s="207" t="str">
        <f>ROUND(DCF!E94,2)&amp;" "&amp;Market_currency</f>
        <v>124.22 HKD</v>
      </c>
      <c r="E122" s="199">
        <f>DCF!F94</f>
        <v>0.05</v>
      </c>
      <c r="F122" s="208">
        <f>RATE(Holding_Period,Scenarios!C$58,-DCF!E94,C$18)</f>
        <v>0.14706690951238025</v>
      </c>
    </row>
    <row r="124" spans="2:6">
      <c r="B124" s="462" t="s">
        <v>357</v>
      </c>
      <c r="C124" s="462"/>
      <c r="D124" s="462"/>
      <c r="E124" s="462"/>
      <c r="F124" s="462"/>
    </row>
    <row r="125" spans="2:6">
      <c r="B125" s="193" t="s">
        <v>218</v>
      </c>
      <c r="C125" s="197">
        <f>Scenarios!C36</f>
        <v>175.32998482747979</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80.797228031096694</v>
      </c>
      <c r="E140" s="334">
        <f>Scenarios!E62</f>
        <v>87.220007063243216</v>
      </c>
      <c r="F140" s="335">
        <f>E22</f>
        <v>0.29465259038036606</v>
      </c>
    </row>
    <row r="141" spans="1:6">
      <c r="B141" s="336" t="s">
        <v>313</v>
      </c>
      <c r="C141" s="333">
        <f>Scenarios!C63</f>
        <v>7.3850538549144646</v>
      </c>
      <c r="D141" s="333">
        <f>Scenarios!D63</f>
        <v>101.27363744547573</v>
      </c>
      <c r="E141" s="334">
        <f>Scenarios!E63</f>
        <v>108.65869130039019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125.66958883222379</v>
      </c>
      <c r="E144" s="334">
        <f>Scenarios!E66</f>
        <v>134.13782580426846</v>
      </c>
      <c r="F144" s="335">
        <f>E24</f>
        <v>0.1174</v>
      </c>
    </row>
    <row r="145" spans="1:6">
      <c r="B145" s="336" t="s">
        <v>314</v>
      </c>
      <c r="C145" s="333">
        <f>Scenarios!C67</f>
        <v>9.1694370473772864</v>
      </c>
      <c r="D145" s="333">
        <f>Scenarios!D67</f>
        <v>142.12297592904494</v>
      </c>
      <c r="E145" s="334">
        <f>Scenarios!E67</f>
        <v>151.29241297642221</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7" activePane="bottomRight" state="frozen"/>
      <selection pane="topRight" activeCell="C1" sqref="C1"/>
      <selection pane="bottomLeft" activeCell="A2" sqref="A2"/>
      <selection pane="bottomRight" activeCell="G70" sqref="G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40</v>
      </c>
      <c r="C5" s="287">
        <f>1099057</f>
        <v>1099057</v>
      </c>
      <c r="D5" s="287">
        <v>974951</v>
      </c>
      <c r="E5" s="287">
        <v>924958</v>
      </c>
      <c r="F5" s="287">
        <v>899163</v>
      </c>
      <c r="G5" s="287">
        <v>822526</v>
      </c>
      <c r="H5" s="287">
        <v>636694</v>
      </c>
      <c r="I5" s="287"/>
      <c r="J5" s="287"/>
      <c r="K5" s="287"/>
      <c r="L5" s="287"/>
      <c r="M5" s="287"/>
    </row>
    <row r="6" spans="2:13">
      <c r="B6" s="38" t="s">
        <v>51</v>
      </c>
      <c r="C6" s="287">
        <f>11980+88176+C7</f>
        <v>184109</v>
      </c>
      <c r="D6" s="287">
        <v>127267</v>
      </c>
      <c r="E6" s="287">
        <v>114401</v>
      </c>
      <c r="F6" s="287">
        <v>111836</v>
      </c>
      <c r="G6" s="287">
        <v>109360</v>
      </c>
      <c r="H6" s="287">
        <v>82265</v>
      </c>
      <c r="I6" s="287"/>
      <c r="J6" s="287"/>
      <c r="K6" s="287"/>
      <c r="L6" s="287"/>
      <c r="M6" s="287"/>
    </row>
    <row r="7" spans="2:13">
      <c r="B7" s="66" t="s">
        <v>58</v>
      </c>
      <c r="C7" s="288">
        <f>83953</f>
        <v>83953</v>
      </c>
      <c r="D7" s="288">
        <v>47953</v>
      </c>
      <c r="E7" s="288">
        <v>40133</v>
      </c>
      <c r="F7" s="288">
        <v>37772</v>
      </c>
      <c r="G7" s="288">
        <v>38743</v>
      </c>
      <c r="H7" s="288">
        <v>27156</v>
      </c>
      <c r="I7" s="288"/>
      <c r="J7" s="288"/>
      <c r="K7" s="288"/>
      <c r="L7" s="288"/>
      <c r="M7" s="288"/>
    </row>
    <row r="8" spans="2:13">
      <c r="B8" s="38" t="s">
        <v>46</v>
      </c>
      <c r="C8" s="287">
        <v>22229</v>
      </c>
      <c r="D8" s="287">
        <v>17031</v>
      </c>
      <c r="E8" s="287">
        <v>16393</v>
      </c>
      <c r="F8" s="287">
        <v>16893</v>
      </c>
      <c r="G8" s="287">
        <v>11562</v>
      </c>
      <c r="H8" s="287">
        <v>16149</v>
      </c>
      <c r="I8" s="287"/>
      <c r="J8" s="287"/>
      <c r="K8" s="287"/>
      <c r="L8" s="287"/>
      <c r="M8" s="287"/>
    </row>
    <row r="9" spans="2:13">
      <c r="B9" s="38" t="s">
        <v>134</v>
      </c>
      <c r="C9" s="287">
        <v>2327</v>
      </c>
      <c r="D9" s="287">
        <v>2327</v>
      </c>
      <c r="E9" s="287">
        <v>1010</v>
      </c>
      <c r="F9" s="287">
        <v>-2195</v>
      </c>
      <c r="G9" s="287">
        <v>-4918</v>
      </c>
      <c r="H9" s="287">
        <v>4291</v>
      </c>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2803</v>
      </c>
      <c r="D12" s="287">
        <v>2896</v>
      </c>
      <c r="E12" s="287">
        <v>2881</v>
      </c>
      <c r="F12" s="287">
        <v>2106</v>
      </c>
      <c r="G12" s="287">
        <v>1213</v>
      </c>
      <c r="H12" s="287">
        <v>1125</v>
      </c>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2181</v>
      </c>
      <c r="D14" s="287">
        <v>6878</v>
      </c>
      <c r="E14" s="287">
        <v>8393</v>
      </c>
      <c r="F14" s="287">
        <v>4176</v>
      </c>
      <c r="G14" s="287">
        <v>1887</v>
      </c>
      <c r="H14" s="287">
        <v>1482</v>
      </c>
      <c r="I14" s="287"/>
      <c r="J14" s="287"/>
      <c r="K14" s="287"/>
      <c r="L14" s="287"/>
      <c r="M14" s="287"/>
    </row>
    <row r="15" spans="2:13">
      <c r="B15" s="41" t="s">
        <v>39</v>
      </c>
      <c r="C15" s="289">
        <v>23142</v>
      </c>
      <c r="D15" s="289">
        <v>44660</v>
      </c>
      <c r="E15" s="289">
        <v>23257</v>
      </c>
      <c r="F15" s="289">
        <v>9691</v>
      </c>
      <c r="G15" s="289">
        <v>-4467</v>
      </c>
      <c r="H15" s="289">
        <v>49337</v>
      </c>
      <c r="I15" s="289"/>
      <c r="J15" s="289"/>
      <c r="K15" s="289"/>
      <c r="L15" s="289"/>
      <c r="M15" s="289"/>
    </row>
    <row r="16" spans="2:13">
      <c r="B16" s="27" t="s">
        <v>41</v>
      </c>
      <c r="C16" s="287">
        <v>3511</v>
      </c>
      <c r="D16" s="287">
        <v>3301</v>
      </c>
      <c r="E16" s="287">
        <v>-910</v>
      </c>
      <c r="F16" s="287">
        <v>-697</v>
      </c>
      <c r="G16" s="287">
        <v>-923</v>
      </c>
      <c r="H16" s="287">
        <v>-75</v>
      </c>
      <c r="I16" s="287"/>
      <c r="J16" s="287"/>
      <c r="K16" s="287"/>
      <c r="L16" s="287"/>
      <c r="M16" s="287"/>
    </row>
    <row r="18" spans="2:13">
      <c r="B18" s="16" t="s">
        <v>48</v>
      </c>
      <c r="C18" s="9"/>
    </row>
    <row r="19" spans="2:13">
      <c r="B19" s="26" t="s">
        <v>44</v>
      </c>
      <c r="C19" s="287">
        <v>8904</v>
      </c>
      <c r="D19" s="287">
        <v>8904</v>
      </c>
      <c r="E19" s="287">
        <v>8292</v>
      </c>
      <c r="F19" s="287">
        <v>7236</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18991</v>
      </c>
      <c r="D22" s="287">
        <v>58095</v>
      </c>
      <c r="E22" s="287">
        <v>59521</v>
      </c>
      <c r="F22" s="287">
        <v>57819</v>
      </c>
      <c r="G22" s="287">
        <v>42301</v>
      </c>
      <c r="H22" s="287"/>
      <c r="I22" s="287"/>
      <c r="J22" s="287"/>
      <c r="K22" s="287"/>
      <c r="L22" s="287"/>
      <c r="M22" s="287"/>
    </row>
    <row r="23" spans="2:13">
      <c r="B23" s="26" t="s">
        <v>288</v>
      </c>
      <c r="C23" s="287">
        <v>-871</v>
      </c>
      <c r="D23" s="287">
        <v>-871</v>
      </c>
      <c r="E23" s="287">
        <v>-59543</v>
      </c>
      <c r="F23" s="287">
        <v>-54026</v>
      </c>
      <c r="G23" s="287">
        <v>-74248</v>
      </c>
      <c r="H23" s="287"/>
      <c r="I23" s="287"/>
      <c r="J23" s="287"/>
      <c r="K23" s="287"/>
      <c r="L23" s="287"/>
      <c r="M23" s="287"/>
    </row>
    <row r="24" spans="2:13">
      <c r="B24" s="26" t="s">
        <v>287</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26</v>
      </c>
      <c r="C27" s="94" t="s">
        <v>547</v>
      </c>
    </row>
    <row r="28" spans="2:13">
      <c r="B28" s="25" t="s">
        <v>22</v>
      </c>
      <c r="C28" s="270">
        <f>BS!C4</f>
        <v>29475</v>
      </c>
      <c r="D28" s="287">
        <v>41491</v>
      </c>
      <c r="E28" s="287">
        <f>20302+2114</f>
        <v>22416</v>
      </c>
      <c r="F28" s="287">
        <v>205760</v>
      </c>
      <c r="G28" s="287">
        <v>11900</v>
      </c>
      <c r="H28" s="287"/>
      <c r="I28" s="287"/>
      <c r="J28" s="287"/>
      <c r="K28" s="287"/>
      <c r="L28" s="287"/>
      <c r="M28" s="287"/>
    </row>
    <row r="29" spans="2:13">
      <c r="B29" s="25" t="s">
        <v>30</v>
      </c>
      <c r="C29" s="270">
        <f>BS!C6</f>
        <v>95428</v>
      </c>
      <c r="D29" s="287">
        <v>100999</v>
      </c>
      <c r="E29" s="287">
        <v>68058</v>
      </c>
      <c r="F29" s="287">
        <v>77949</v>
      </c>
      <c r="G29" s="287">
        <v>75601</v>
      </c>
      <c r="H29" s="287"/>
      <c r="I29" s="287"/>
      <c r="J29" s="287"/>
      <c r="K29" s="287"/>
      <c r="L29" s="287"/>
      <c r="M29" s="287"/>
    </row>
    <row r="30" spans="2:13">
      <c r="B30" s="28" t="s">
        <v>38</v>
      </c>
      <c r="C30" s="271">
        <f>BS!C33+BS!C42</f>
        <v>401418</v>
      </c>
      <c r="D30" s="289">
        <v>409109</v>
      </c>
      <c r="E30" s="289">
        <v>332578</v>
      </c>
      <c r="F30" s="289">
        <f>266561+54566</f>
        <v>321127</v>
      </c>
      <c r="G30" s="289">
        <f>221636+28087</f>
        <v>249723</v>
      </c>
      <c r="H30" s="289"/>
      <c r="I30" s="289"/>
      <c r="J30" s="289"/>
      <c r="K30" s="289"/>
      <c r="L30" s="289"/>
      <c r="M30" s="289"/>
    </row>
    <row r="31" spans="2:13">
      <c r="B31" s="28" t="s">
        <v>28</v>
      </c>
      <c r="C31" s="271">
        <f>BS!G27</f>
        <v>293783</v>
      </c>
      <c r="D31" s="289">
        <v>304420</v>
      </c>
      <c r="E31" s="289">
        <v>295766</v>
      </c>
      <c r="F31" s="289">
        <v>274123</v>
      </c>
      <c r="G31" s="289">
        <v>246784</v>
      </c>
      <c r="H31" s="289"/>
      <c r="I31" s="289"/>
      <c r="J31" s="289"/>
      <c r="K31" s="289"/>
      <c r="L31" s="289"/>
      <c r="M31" s="289"/>
    </row>
    <row r="32" spans="2:13">
      <c r="B32" s="25" t="s">
        <v>143</v>
      </c>
      <c r="C32" s="270">
        <f>BS!G28</f>
        <v>68743</v>
      </c>
      <c r="D32" s="287">
        <v>72487</v>
      </c>
      <c r="E32" s="460">
        <v>63908</v>
      </c>
      <c r="F32" s="287">
        <v>60167</v>
      </c>
      <c r="G32" s="287">
        <v>36661</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40</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55</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58</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61</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46</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127</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65</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47</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39</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41</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135</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305</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82</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83</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38</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28</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H13" sqref="H1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27333+2142</f>
        <v>29475</v>
      </c>
      <c r="D4" s="231">
        <v>0.6</v>
      </c>
      <c r="E4" s="24"/>
      <c r="F4" s="4" t="s">
        <v>74</v>
      </c>
      <c r="G4" s="18">
        <f>137488</f>
        <v>137488</v>
      </c>
      <c r="H4" s="231">
        <v>0.9</v>
      </c>
    </row>
    <row r="5" spans="2:8" ht="15" customHeight="1">
      <c r="B5" s="1" t="s">
        <v>31</v>
      </c>
      <c r="C5" s="18">
        <v>0</v>
      </c>
      <c r="D5" s="231">
        <v>0.6</v>
      </c>
      <c r="E5" s="24"/>
      <c r="F5" s="1" t="s">
        <v>27</v>
      </c>
      <c r="G5" s="18">
        <v>12137</v>
      </c>
      <c r="H5" s="231">
        <v>0.7</v>
      </c>
    </row>
    <row r="6" spans="2:8" ht="15" customHeight="1">
      <c r="B6" s="4" t="s">
        <v>8</v>
      </c>
      <c r="C6" s="18">
        <v>95428</v>
      </c>
      <c r="D6" s="231">
        <v>0.5</v>
      </c>
      <c r="E6" s="24"/>
      <c r="F6" s="4" t="s">
        <v>147</v>
      </c>
      <c r="G6" s="18">
        <v>0</v>
      </c>
      <c r="H6" s="231">
        <v>0.6</v>
      </c>
    </row>
    <row r="7" spans="2:8" ht="15" customHeight="1">
      <c r="B7" s="1" t="s">
        <v>66</v>
      </c>
      <c r="C7" s="18">
        <v>0</v>
      </c>
      <c r="D7" s="231">
        <v>0.6</v>
      </c>
      <c r="E7" s="24"/>
      <c r="F7" s="4" t="s">
        <v>148</v>
      </c>
      <c r="G7" s="18">
        <v>75744</v>
      </c>
      <c r="H7" s="231">
        <v>0.6</v>
      </c>
    </row>
    <row r="8" spans="2:8" ht="15" customHeight="1">
      <c r="B8" s="1" t="s">
        <v>144</v>
      </c>
      <c r="C8" s="18">
        <v>0</v>
      </c>
      <c r="D8" s="231">
        <v>0.6</v>
      </c>
      <c r="E8" s="24"/>
      <c r="F8" s="1" t="s">
        <v>149</v>
      </c>
      <c r="G8" s="18">
        <v>0</v>
      </c>
      <c r="H8" s="231">
        <v>0.6</v>
      </c>
    </row>
    <row r="9" spans="2:8" ht="15" customHeight="1">
      <c r="B9" s="4" t="s">
        <v>23</v>
      </c>
      <c r="C9" s="18">
        <f>17898+5856</f>
        <v>23754</v>
      </c>
      <c r="D9" s="231">
        <v>0.1</v>
      </c>
      <c r="E9" s="24"/>
      <c r="F9" s="4" t="s">
        <v>150</v>
      </c>
      <c r="G9" s="18">
        <v>0</v>
      </c>
      <c r="H9" s="231">
        <v>0.6</v>
      </c>
    </row>
    <row r="10" spans="2:8" ht="15" customHeight="1">
      <c r="B10" s="4" t="s">
        <v>9</v>
      </c>
      <c r="C10" s="18">
        <v>0</v>
      </c>
      <c r="D10" s="231">
        <v>0.9</v>
      </c>
      <c r="F10" s="1" t="s">
        <v>402</v>
      </c>
      <c r="G10" s="18">
        <v>395</v>
      </c>
      <c r="H10" s="231">
        <v>0.4</v>
      </c>
    </row>
    <row r="11" spans="2:8" ht="15" customHeight="1">
      <c r="B11" s="4" t="s">
        <v>10</v>
      </c>
      <c r="C11" s="18">
        <v>0</v>
      </c>
      <c r="D11" s="231">
        <v>0.05</v>
      </c>
      <c r="H11" s="232"/>
    </row>
    <row r="12" spans="2:8" ht="15" customHeight="1">
      <c r="B12" s="77" t="s">
        <v>69</v>
      </c>
      <c r="C12" s="78">
        <f>SUM(C4:C11)</f>
        <v>148657</v>
      </c>
      <c r="D12" s="19">
        <f>C4*D4+C5*D5+C9*D9+C6*D6+C8*D8+C7*D7+C10*D10+C11*D11</f>
        <v>67774.399999999994</v>
      </c>
      <c r="F12" s="77" t="s">
        <v>67</v>
      </c>
      <c r="G12" s="78">
        <f>SUM(G4:G10)</f>
        <v>225764</v>
      </c>
      <c r="H12" s="19">
        <f>G4*H4+G5*H5+G6*H6+G7*H7+G8*H8+G9*H9+G10*H10</f>
        <v>177839.5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51840</v>
      </c>
      <c r="H17" s="231">
        <v>0.6</v>
      </c>
    </row>
    <row r="18" spans="2:8" ht="15" customHeight="1">
      <c r="B18" s="4" t="s">
        <v>144</v>
      </c>
      <c r="C18" s="18">
        <v>0</v>
      </c>
      <c r="D18" s="231">
        <v>0.6</v>
      </c>
      <c r="F18" s="4" t="s">
        <v>151</v>
      </c>
      <c r="G18" s="18">
        <v>0</v>
      </c>
      <c r="H18" s="231">
        <v>0.1</v>
      </c>
    </row>
    <row r="19" spans="2:8" ht="15" customHeight="1">
      <c r="B19" s="4" t="s">
        <v>24</v>
      </c>
      <c r="C19" s="18">
        <f>91349+6503+36878+31128</f>
        <v>165858</v>
      </c>
      <c r="D19" s="231">
        <v>0.1</v>
      </c>
      <c r="F19" s="4" t="s">
        <v>152</v>
      </c>
      <c r="G19" s="18">
        <v>51978</v>
      </c>
      <c r="H19" s="231">
        <v>0.1</v>
      </c>
    </row>
    <row r="20" spans="2:8" ht="15" customHeight="1">
      <c r="B20" s="4" t="s">
        <v>16</v>
      </c>
      <c r="C20" s="18">
        <v>0</v>
      </c>
      <c r="D20" s="231">
        <v>0.05</v>
      </c>
      <c r="F20" s="4" t="s">
        <v>149</v>
      </c>
      <c r="G20" s="18">
        <v>0</v>
      </c>
      <c r="H20" s="231">
        <v>0.2</v>
      </c>
    </row>
    <row r="21" spans="2:8" ht="15" customHeight="1">
      <c r="B21" s="4" t="s">
        <v>17</v>
      </c>
      <c r="C21" s="18">
        <v>7723</v>
      </c>
      <c r="D21" s="231">
        <v>0.05</v>
      </c>
      <c r="F21" s="1" t="s">
        <v>150</v>
      </c>
      <c r="G21" s="18">
        <v>0</v>
      </c>
      <c r="H21" s="231">
        <v>0.1</v>
      </c>
    </row>
    <row r="22" spans="2:8" ht="15" customHeight="1">
      <c r="B22" s="4" t="s">
        <v>18</v>
      </c>
      <c r="C22" s="18">
        <v>5237</v>
      </c>
      <c r="D22" s="231">
        <v>0.9</v>
      </c>
      <c r="H22" s="232"/>
    </row>
    <row r="23" spans="2:8" ht="15" customHeight="1">
      <c r="B23" s="4" t="s">
        <v>19</v>
      </c>
      <c r="C23" s="18">
        <f>26291+11853</f>
        <v>38144</v>
      </c>
      <c r="D23" s="231">
        <v>0</v>
      </c>
      <c r="H23" s="232"/>
    </row>
    <row r="24" spans="2:8" ht="15" customHeight="1">
      <c r="B24" s="77" t="s">
        <v>70</v>
      </c>
      <c r="C24" s="78">
        <f>SUM(C15:C23)</f>
        <v>216962</v>
      </c>
      <c r="D24" s="19">
        <f>C15*D15+C16*D16+C18*D18+C17*D17+C19*D19+C20*D20+C21*D21+C22*D22+C23*D23</f>
        <v>21685.25</v>
      </c>
      <c r="F24" s="77" t="s">
        <v>68</v>
      </c>
      <c r="G24" s="78">
        <f>SUM(G15:G21)</f>
        <v>103818</v>
      </c>
      <c r="H24" s="19">
        <f>G15*H15+G16*H16+G17*H17+G18*H18+G19*H19+G20*H20+G21*H21</f>
        <v>36301.800000000003</v>
      </c>
    </row>
    <row r="26" spans="2:8" ht="15" customHeight="1">
      <c r="B26" s="16" t="s">
        <v>169</v>
      </c>
      <c r="C26" s="164" t="s">
        <v>113</v>
      </c>
      <c r="F26" s="166" t="s">
        <v>165</v>
      </c>
      <c r="G26" s="167" t="s">
        <v>113</v>
      </c>
      <c r="H26" s="168" t="s">
        <v>33</v>
      </c>
    </row>
    <row r="27" spans="2:8" ht="15" customHeight="1">
      <c r="B27" s="4" t="s">
        <v>3</v>
      </c>
      <c r="C27" s="18">
        <f>8014+3511</f>
        <v>11525</v>
      </c>
      <c r="F27" s="169" t="s">
        <v>28</v>
      </c>
      <c r="G27" s="82">
        <f>G32-G30</f>
        <v>293783</v>
      </c>
      <c r="H27" s="170">
        <f>H32-G30</f>
        <v>-97817.050000000047</v>
      </c>
    </row>
    <row r="28" spans="2:8" ht="15" customHeight="1">
      <c r="B28" s="4" t="s">
        <v>4</v>
      </c>
      <c r="C28" s="18">
        <v>8897</v>
      </c>
      <c r="F28" s="171" t="s">
        <v>209</v>
      </c>
      <c r="G28" s="287">
        <v>68743</v>
      </c>
      <c r="H28" s="170"/>
    </row>
    <row r="29" spans="2:8" ht="15" customHeight="1">
      <c r="B29" s="4" t="s">
        <v>5</v>
      </c>
      <c r="C29" s="18">
        <v>0</v>
      </c>
      <c r="F29" s="172" t="s">
        <v>72</v>
      </c>
      <c r="G29" s="14">
        <f>G27-G28</f>
        <v>225040</v>
      </c>
      <c r="H29" s="170">
        <f>H27-G28</f>
        <v>-166560.05000000005</v>
      </c>
    </row>
    <row r="30" spans="2:8" ht="15" customHeight="1">
      <c r="B30" s="2" t="s">
        <v>6</v>
      </c>
      <c r="C30" s="18">
        <v>0</v>
      </c>
      <c r="F30" s="169" t="s">
        <v>21</v>
      </c>
      <c r="G30" s="82">
        <f>C33+C42</f>
        <v>401418</v>
      </c>
      <c r="H30" s="170"/>
    </row>
    <row r="31" spans="2:8" ht="15" customHeight="1">
      <c r="B31" s="77" t="s">
        <v>172</v>
      </c>
      <c r="C31" s="78">
        <f>SUM(C27:C30)</f>
        <v>20422</v>
      </c>
      <c r="F31" s="172" t="s">
        <v>73</v>
      </c>
      <c r="G31" s="173">
        <f>C31+C40</f>
        <v>106603</v>
      </c>
      <c r="H31" s="170"/>
    </row>
    <row r="32" spans="2:8" ht="15" customHeight="1">
      <c r="B32" s="4" t="s">
        <v>7</v>
      </c>
      <c r="C32" s="20">
        <f>C33-C31</f>
        <v>285650</v>
      </c>
      <c r="F32" s="174" t="s">
        <v>71</v>
      </c>
      <c r="G32" s="175">
        <f>G35+G40</f>
        <v>695201</v>
      </c>
      <c r="H32" s="170">
        <f>H35+H40</f>
        <v>303600.94999999995</v>
      </c>
    </row>
    <row r="33" spans="2:8" ht="15" customHeight="1">
      <c r="B33" s="80" t="s">
        <v>2</v>
      </c>
      <c r="C33" s="81">
        <v>306072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365619</v>
      </c>
      <c r="H35" s="182">
        <f>D12+D24</f>
        <v>89459.65</v>
      </c>
    </row>
    <row r="36" spans="2:8" ht="15" customHeight="1">
      <c r="B36" s="4" t="s">
        <v>11</v>
      </c>
      <c r="C36" s="18">
        <f>20798+41675</f>
        <v>62473</v>
      </c>
      <c r="F36" s="172" t="s">
        <v>166</v>
      </c>
      <c r="G36" s="173">
        <f>C4+C15</f>
        <v>29475</v>
      </c>
      <c r="H36" s="177"/>
    </row>
    <row r="37" spans="2:8" ht="15" customHeight="1">
      <c r="B37" s="4" t="s">
        <v>12</v>
      </c>
      <c r="C37" s="18">
        <v>23708</v>
      </c>
      <c r="F37" s="172" t="s">
        <v>167</v>
      </c>
      <c r="G37" s="173">
        <f>C6</f>
        <v>95428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165858</v>
      </c>
      <c r="H39" s="170">
        <f>C7*D7+C17*D17+C19*D19+C20*D20</f>
        <v>16585.8</v>
      </c>
    </row>
    <row r="40" spans="2:8" ht="15" customHeight="1">
      <c r="B40" s="77" t="s">
        <v>173</v>
      </c>
      <c r="C40" s="78">
        <f>SUM(C36:C39)</f>
        <v>86181</v>
      </c>
      <c r="F40" s="181" t="s">
        <v>115</v>
      </c>
      <c r="G40" s="175">
        <f>G12+G24</f>
        <v>329582</v>
      </c>
      <c r="H40" s="182">
        <f>H12+H24</f>
        <v>214141.3</v>
      </c>
    </row>
    <row r="41" spans="2:8" ht="15" customHeight="1">
      <c r="B41" s="4" t="s">
        <v>15</v>
      </c>
      <c r="C41" s="20">
        <f>C42-C40</f>
        <v>9165</v>
      </c>
      <c r="F41" s="172" t="s">
        <v>160</v>
      </c>
      <c r="G41" s="173">
        <f>C70</f>
        <v>149625</v>
      </c>
      <c r="H41" s="182">
        <f>H40-H42</f>
        <v>132393.09999999998</v>
      </c>
    </row>
    <row r="42" spans="2:8" ht="15" customHeight="1">
      <c r="B42" s="80" t="s">
        <v>20</v>
      </c>
      <c r="C42" s="81">
        <v>95346</v>
      </c>
      <c r="F42" s="183" t="s">
        <v>161</v>
      </c>
      <c r="G42" s="184">
        <f>C82</f>
        <v>179562</v>
      </c>
      <c r="H42" s="185">
        <f>D82</f>
        <v>81748.2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225040</v>
      </c>
      <c r="D46" s="73">
        <f>H29</f>
        <v>-166560.05000000005</v>
      </c>
      <c r="F46" s="223"/>
    </row>
    <row r="47" spans="2:8" ht="15" customHeight="1">
      <c r="B47" s="1" t="str">
        <f>"Equity per share ("&amp;Market_currency&amp;")"</f>
        <v>Equity per share (HKD)</v>
      </c>
      <c r="C47" s="134">
        <f>C46*H1/Common_Shares*Exchange_Rate</f>
        <v>90.164951975580806</v>
      </c>
      <c r="D47" s="134">
        <f>D46*H1/Common_Shares*Exchange_Rate</f>
        <v>-66.734264616514139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22.317734925377231</v>
      </c>
      <c r="D50" s="92">
        <f>G31/Normalized_FCF!G8</f>
        <v>28.88970189701897</v>
      </c>
      <c r="F50" s="223"/>
    </row>
    <row r="51" spans="2:8" ht="15" customHeight="1">
      <c r="B51" s="1" t="s">
        <v>146</v>
      </c>
      <c r="C51" s="163"/>
      <c r="D51" s="89">
        <f>G29/G32</f>
        <v>0.32370494288702117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1.3064432675325519E-2</v>
      </c>
      <c r="D54" s="89">
        <f>Normalized_FCF!G8/G35</f>
        <v>1.0092473312382562E-2</v>
      </c>
      <c r="F54" s="223"/>
    </row>
    <row r="55" spans="2:8" ht="15" customHeight="1">
      <c r="B55" s="1" t="s">
        <v>118</v>
      </c>
      <c r="C55" s="89">
        <f>Normalized_FCF!C9/G40</f>
        <v>0</v>
      </c>
      <c r="D55" s="89">
        <f>Normalized_FCF!G9/G40</f>
        <v>7.0604583988203243E-3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5.368447708280577E-2</v>
      </c>
      <c r="F58" s="5"/>
    </row>
    <row r="59" spans="2:8" ht="15" customHeight="1">
      <c r="B59" s="1" t="s">
        <v>89</v>
      </c>
      <c r="C59" s="95"/>
      <c r="D59" s="89">
        <f>G39/G32</f>
        <v>0.23857560619159063</v>
      </c>
      <c r="F59" s="223"/>
    </row>
    <row r="60" spans="2:8" ht="15" customHeight="1">
      <c r="F60" s="223"/>
    </row>
    <row r="61" spans="2:8" ht="15" customHeight="1">
      <c r="B61" s="143" t="s">
        <v>231</v>
      </c>
      <c r="C61" s="210" t="s">
        <v>114</v>
      </c>
      <c r="D61" s="179" t="s">
        <v>91</v>
      </c>
      <c r="F61" s="223"/>
    </row>
    <row r="62" spans="2:8" ht="15" customHeight="1">
      <c r="B62" s="1" t="s">
        <v>210</v>
      </c>
      <c r="C62" s="89">
        <f>IF(G28&lt;=0,0,G28/G29)</f>
        <v>0.30547013864201922</v>
      </c>
      <c r="D62" s="89">
        <f>G28/G29</f>
        <v>0.30547013864201922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149625</v>
      </c>
      <c r="D66" s="73">
        <f>C66-D75</f>
        <v>40016.783734193319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149625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-109698.76666666666</v>
      </c>
      <c r="D73" s="285">
        <f>(Normalized_FCF!C26+Normalized_FCF!C35-Normalized_FCF!C89)/12</f>
        <v>-109608.21626580668</v>
      </c>
      <c r="F73" s="1" t="s">
        <v>278</v>
      </c>
    </row>
    <row r="74" spans="2:6" ht="15" customHeight="1">
      <c r="B74" s="227" t="s">
        <v>259</v>
      </c>
      <c r="C74" s="228">
        <f>-$C$66/C73</f>
        <v>1.363962463266831</v>
      </c>
      <c r="D74" s="228">
        <f>-$C$66/D73</f>
        <v>1.3650892706542195</v>
      </c>
      <c r="F74" s="223" t="s">
        <v>257</v>
      </c>
    </row>
    <row r="75" spans="2:6" ht="15" customHeight="1">
      <c r="B75" s="77" t="s">
        <v>258</v>
      </c>
      <c r="C75" s="261"/>
      <c r="D75" s="262">
        <f>MAX(-D73*D76,G5)</f>
        <v>109608.21626580668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127584</v>
      </c>
      <c r="D79" s="73">
        <f>G7*H7+G17*H17</f>
        <v>76550.399999999994</v>
      </c>
      <c r="F79" s="223"/>
    </row>
    <row r="80" spans="2:6" ht="15" customHeight="1">
      <c r="B80" s="102" t="s">
        <v>152</v>
      </c>
      <c r="C80" s="19">
        <f>G19</f>
        <v>51978</v>
      </c>
      <c r="D80" s="73">
        <f>G19*H19</f>
        <v>5197.8</v>
      </c>
      <c r="F80" s="223"/>
    </row>
    <row r="81" spans="2:8" ht="15" customHeight="1">
      <c r="B81" s="102" t="s">
        <v>150</v>
      </c>
      <c r="C81" s="19">
        <f>G9+G21</f>
        <v>0</v>
      </c>
      <c r="D81" s="73">
        <f>G9*H9+G21*H21</f>
        <v>0</v>
      </c>
      <c r="F81" s="223"/>
    </row>
    <row r="82" spans="2:8" ht="15" customHeight="1">
      <c r="B82" s="77" t="s">
        <v>159</v>
      </c>
      <c r="C82" s="78">
        <f>SUM(C79:C81)</f>
        <v>179562</v>
      </c>
      <c r="D82" s="78">
        <f>SUM(D79:D81)</f>
        <v>81748.2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-120361.73849105094</v>
      </c>
      <c r="D86" s="201">
        <f>C86*scaling_factor/Common_Shares</f>
        <v>-42.71175957808763</v>
      </c>
      <c r="E86" s="214" t="str">
        <f>Market_currency</f>
        <v>HKD</v>
      </c>
    </row>
    <row r="87" spans="2:8" ht="15" customHeight="1">
      <c r="B87" s="212" t="s">
        <v>240</v>
      </c>
      <c r="C87" s="73">
        <f>DCF!F5*Exchange_Rate</f>
        <v>45181.558296369869</v>
      </c>
      <c r="D87" s="201">
        <f>C87*scaling_factor/Common_Shares</f>
        <v>16.033200247114927</v>
      </c>
      <c r="E87" s="214" t="str">
        <f>Market_currency</f>
        <v>HKD</v>
      </c>
    </row>
    <row r="88" spans="2:8" ht="15" customHeight="1">
      <c r="B88" s="213" t="s">
        <v>159</v>
      </c>
      <c r="C88" s="73">
        <f>DCF!F6*Exchange_Rate</f>
        <v>92299.048530661705</v>
      </c>
      <c r="D88" s="201">
        <f>C88*scaling_factor/Common_Shares</f>
        <v>32.753388406906211</v>
      </c>
      <c r="E88" s="214" t="str">
        <f>Market_currency</f>
        <v>HKD</v>
      </c>
    </row>
    <row r="89" spans="2:8" ht="15" customHeight="1">
      <c r="B89" s="77" t="s">
        <v>244</v>
      </c>
      <c r="C89" s="162">
        <f>SUM(C86:C88)</f>
        <v>17118.868335980631</v>
      </c>
      <c r="D89" s="216">
        <f>SUM(D86:D88)</f>
        <v>6.0748290759335077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9" activePane="bottomRight" state="frozen"/>
      <selection activeCell="C17" sqref="C17"/>
      <selection pane="topRight" activeCell="C17" sqref="C17"/>
      <selection pane="bottomLeft" activeCell="C17" sqref="C17"/>
      <selection pane="bottomRight" activeCell="C35" sqref="C3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43</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45</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42</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127</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65</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60</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208</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129</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59</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46</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43</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43</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272</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65</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87</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45</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42</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127</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65</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137</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60</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129</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62</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7.2615954057605328E-3</v>
      </c>
      <c r="D82" s="26"/>
      <c r="E82" s="235" t="s">
        <v>548</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3.3847637415621981E-2</v>
      </c>
      <c r="E92" s="237"/>
      <c r="G92" s="22">
        <f t="shared" ref="G92:Q92" si="38">IF(G$4="","",(G88*(1-dividend_tax_rate))/Market_Price)</f>
        <v>3.3847637415621981E-2</v>
      </c>
      <c r="H92" s="22">
        <f t="shared" si="38"/>
        <v>3.3847637415621981E-2</v>
      </c>
      <c r="I92" s="22">
        <f t="shared" si="38"/>
        <v>2.572420443587271E-2</v>
      </c>
      <c r="J92" s="22">
        <f t="shared" si="38"/>
        <v>2.0985535197685631E-2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28</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80</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88</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-1.1424655929452443</v>
      </c>
      <c r="D123" s="26"/>
      <c r="E123" s="234"/>
      <c r="F123" s="26"/>
      <c r="G123" s="159">
        <f t="shared" ref="G123:Q123" si="48">IF(G$4="","",G14*$C$3/Common_Shares*Exchange_Rate)</f>
        <v>-0.99284016617263249</v>
      </c>
      <c r="H123" s="159">
        <f t="shared" si="48"/>
        <v>11.547877025596293</v>
      </c>
      <c r="I123" s="159">
        <f t="shared" si="48"/>
        <v>7.4707416216525049</v>
      </c>
      <c r="J123" s="159">
        <f t="shared" si="48"/>
        <v>3.9533308795905429</v>
      </c>
      <c r="K123" s="159">
        <f t="shared" si="48"/>
        <v>5.0483398279964363E-2</v>
      </c>
      <c r="L123" s="159">
        <f t="shared" si="48"/>
        <v>4.9593928881698321</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-1.1017025968613736E-2</v>
      </c>
      <c r="D124" s="26"/>
      <c r="E124" s="234"/>
      <c r="F124" s="26"/>
      <c r="G124" s="74">
        <f t="shared" ref="G124" si="49">IF(G$4="","",G123/Market_Price)</f>
        <v>-9.5741578223011801E-3</v>
      </c>
      <c r="H124" s="74">
        <f t="shared" ref="H124" si="50">IF(H$4="","",H123/Market_Price)</f>
        <v>0.11135850555059106</v>
      </c>
      <c r="I124" s="74">
        <f t="shared" ref="I124" si="51">IF(I$4="","",I123/Market_Price)</f>
        <v>7.2041867132618176E-2</v>
      </c>
      <c r="J124" s="74">
        <f t="shared" ref="J124" si="52">IF(J$4="","",J123/Market_Price)</f>
        <v>3.8122766437710155E-2</v>
      </c>
      <c r="K124" s="74">
        <f t="shared" ref="K124" si="53">IF(K$4="","",K123/Market_Price)</f>
        <v>4.868215841848058E-4</v>
      </c>
      <c r="L124" s="74">
        <f t="shared" ref="L124" si="54">IF(L$4="","",L123/Market_Price)</f>
        <v>4.7824425151107346E-2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7.9191969519544075E-2</v>
      </c>
      <c r="H125" s="22">
        <f>IF(H$4="","",(Data!D47*$C$3)/(Market_Price*Common_Shares))</f>
        <v>0.1528266078447342</v>
      </c>
      <c r="I125" s="22">
        <f>IF(I$4="","",(Data!E47*$C$3)/(Market_Price*Common_Shares))</f>
        <v>7.9585499745745247E-2</v>
      </c>
      <c r="J125" s="22">
        <f>IF(J$4="","",(Data!F47*$C$3)/(Market_Price*Common_Shares))</f>
        <v>3.3162621061874585E-2</v>
      </c>
      <c r="K125" s="22">
        <f>IF(K$4="","",(Data!G47*$C$3)/(Market_Price*Common_Shares))</f>
        <v>-1.5286082786440386E-2</v>
      </c>
      <c r="L125" s="22">
        <f>IF(L$4="","",(Data!H47*$C$3)/(Market_Price*Common_Shares))</f>
        <v>0.1688313110442376</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-2851.4456160973477</v>
      </c>
      <c r="D4" t="str">
        <f>Reporting_currency</f>
        <v>CNY</v>
      </c>
      <c r="E4" s="135" t="s">
        <v>431</v>
      </c>
      <c r="F4" s="275">
        <f>-BS!G31</f>
        <v>-106603</v>
      </c>
      <c r="G4" t="str">
        <f>Reporting_currency</f>
        <v>CNY</v>
      </c>
      <c r="H4" s="308" t="s">
        <v>394</v>
      </c>
      <c r="I4" s="305">
        <f>Normalized_FCF!C4</f>
        <v>1309085</v>
      </c>
      <c r="J4" s="305"/>
    </row>
    <row r="5" spans="2:15">
      <c r="B5" s="187" t="s">
        <v>105</v>
      </c>
      <c r="C5" s="188">
        <f>Equity_Cost</f>
        <v>7.2499999999999995E-2</v>
      </c>
      <c r="E5" s="135" t="s">
        <v>432</v>
      </c>
      <c r="F5" s="275">
        <f>BS!D66</f>
        <v>40016.783734193319</v>
      </c>
      <c r="G5" t="str">
        <f>Reporting_currency</f>
        <v>CNY</v>
      </c>
      <c r="H5" s="308" t="s">
        <v>395</v>
      </c>
      <c r="I5" s="305">
        <f>Normalized_FCF!C7</f>
        <v>-100156</v>
      </c>
      <c r="J5" s="305"/>
    </row>
    <row r="6" spans="2:15" ht="13.25" customHeight="1">
      <c r="B6" s="136" t="s">
        <v>194</v>
      </c>
      <c r="C6" s="283">
        <f>(C4*(1+Terminal_Growth))/(Equity_Cost-Terminal_Growth)</f>
        <v>-55399.514827034189</v>
      </c>
      <c r="D6" t="str">
        <f>Reporting_currency</f>
        <v>CNY</v>
      </c>
      <c r="E6" s="187" t="s">
        <v>433</v>
      </c>
      <c r="F6" s="284">
        <f>BS!H42</f>
        <v>81748.2</v>
      </c>
      <c r="G6" t="str">
        <f>Reporting_currency</f>
        <v>CNY</v>
      </c>
      <c r="H6" s="308" t="s">
        <v>416</v>
      </c>
      <c r="I6" s="305">
        <f>I7+I8</f>
        <v>-3606.47070240516</v>
      </c>
      <c r="J6" s="305"/>
      <c r="N6" s="135"/>
    </row>
    <row r="7" spans="2:15" ht="12.75" customHeight="1">
      <c r="B7" s="318" t="s">
        <v>430</v>
      </c>
      <c r="C7" s="275">
        <f>F7</f>
        <v>15161.983734193316</v>
      </c>
      <c r="E7" s="140" t="s">
        <v>424</v>
      </c>
      <c r="F7" s="283">
        <f>SUM(F4:F6)</f>
        <v>15161.983734193316</v>
      </c>
      <c r="G7" t="str">
        <f>Reporting_currency</f>
        <v>CNY</v>
      </c>
      <c r="H7" s="312" t="s">
        <v>417</v>
      </c>
      <c r="I7" s="313">
        <f>Normalized_FCF!C9</f>
        <v>0</v>
      </c>
      <c r="J7" s="313"/>
      <c r="N7" s="304"/>
      <c r="O7" s="304"/>
    </row>
    <row r="8" spans="2:15" ht="13.15">
      <c r="B8" s="136" t="s">
        <v>426</v>
      </c>
      <c r="C8" s="283">
        <f>C6+C7</f>
        <v>-40237.531092840873</v>
      </c>
      <c r="D8" t="str">
        <f>Reporting_currency</f>
        <v>CNY</v>
      </c>
      <c r="E8" s="140" t="s">
        <v>464</v>
      </c>
      <c r="F8" s="108">
        <f>FV_adjustments*scaling_factor/Common_Shares*Exchange_Rate</f>
        <v>6.0748290759335122</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1.1290652091503142</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-45430.796459030651</v>
      </c>
      <c r="D10" t="str">
        <f>Market_currency</f>
        <v>HKD</v>
      </c>
      <c r="H10" s="308" t="s">
        <v>397</v>
      </c>
      <c r="I10" s="306">
        <f>Normalized_FCF!C41</f>
        <v>0.25</v>
      </c>
      <c r="N10" s="304"/>
      <c r="O10" s="304"/>
    </row>
    <row r="11" spans="2:15" ht="13.15">
      <c r="B11" s="136" t="s">
        <v>425</v>
      </c>
      <c r="C11" s="108">
        <f>(C10*scaling_factor)/Common_Shares</f>
        <v>-16.121645301288378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8.9385647831476253E-4</v>
      </c>
      <c r="E17" s="308" t="s">
        <v>551</v>
      </c>
      <c r="F17" s="311">
        <f>Scenarios!C40</f>
        <v>3.3662787366748527E-2</v>
      </c>
      <c r="H17" s="106" t="s">
        <v>412</v>
      </c>
    </row>
    <row r="18" spans="1:21" ht="13.25" customHeight="1">
      <c r="B18" s="308" t="s">
        <v>423</v>
      </c>
      <c r="C18" s="306">
        <f>Normalized_FCF!C81-Normalized_FCF!C82</f>
        <v>-4.5989803698768747E-4</v>
      </c>
      <c r="E18" s="308" t="s">
        <v>423</v>
      </c>
      <c r="F18" s="144">
        <f>IF(F14="II",C18/2,C18)</f>
        <v>-2.2994901849384373E-4</v>
      </c>
      <c r="H18" s="140" t="s">
        <v>97</v>
      </c>
      <c r="I18" s="129">
        <f>(L52+FV_adjustments)*Exchange_Rate/Common_Shares*scaling_factor</f>
        <v>153.38896634574107</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9" t="s">
        <v>420</v>
      </c>
      <c r="K52" s="469"/>
      <c r="L52" s="317">
        <f>SUM(L21:L51)</f>
        <v>367676.93793233397</v>
      </c>
    </row>
    <row r="53" spans="1:21">
      <c r="C53" s="111"/>
    </row>
    <row r="54" spans="1:21" ht="13.15">
      <c r="B54" s="115" t="s">
        <v>108</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-16.121645301288378</v>
      </c>
      <c r="C73" s="119">
        <f>C11</f>
        <v>-16.121645301288378</v>
      </c>
      <c r="D73" s="119">
        <f>C11</f>
        <v>-16.121645301288378</v>
      </c>
      <c r="E73" s="119">
        <f>C11</f>
        <v>-16.121645301288378</v>
      </c>
      <c r="F73" s="119">
        <f>C11</f>
        <v>-16.121645301288378</v>
      </c>
      <c r="G73" s="296"/>
      <c r="H73" s="296"/>
      <c r="I73" s="296"/>
      <c r="J73" s="296"/>
      <c r="K73" s="296"/>
      <c r="L73" s="296"/>
    </row>
    <row r="74" spans="1:21" ht="13.15">
      <c r="A74" s="131">
        <v>1</v>
      </c>
      <c r="B74" s="119">
        <f t="shared" ref="B74:F87" si="11">(B56+FV_adjustments)/Common_Shares*scaling_factor*Exchange_Rate</f>
        <v>157.4246083443789</v>
      </c>
      <c r="C74" s="119">
        <f t="shared" si="11"/>
        <v>160.45160392974785</v>
      </c>
      <c r="D74" s="119">
        <f t="shared" si="11"/>
        <v>161.96510172243231</v>
      </c>
      <c r="E74" s="119">
        <f t="shared" si="11"/>
        <v>164.99209730780117</v>
      </c>
      <c r="F74" s="119">
        <f t="shared" si="11"/>
        <v>169.53259068585453</v>
      </c>
      <c r="G74" s="296"/>
      <c r="H74" s="296"/>
      <c r="I74" s="296"/>
      <c r="J74" s="296"/>
      <c r="K74" s="296"/>
      <c r="L74" s="296"/>
    </row>
    <row r="75" spans="1:21" ht="13.15">
      <c r="A75" s="131">
        <v>2</v>
      </c>
      <c r="B75" s="119">
        <f t="shared" si="11"/>
        <v>157.22243746601927</v>
      </c>
      <c r="C75" s="119">
        <f t="shared" si="11"/>
        <v>163.35282574830464</v>
      </c>
      <c r="D75" s="119">
        <f t="shared" si="11"/>
        <v>166.46371747936618</v>
      </c>
      <c r="E75" s="119">
        <f t="shared" si="11"/>
        <v>172.77689612132707</v>
      </c>
      <c r="F75" s="119">
        <f t="shared" si="11"/>
        <v>182.47515203386274</v>
      </c>
      <c r="G75" s="296"/>
      <c r="H75" s="296"/>
      <c r="I75" s="296"/>
      <c r="J75" s="296"/>
      <c r="K75" s="296"/>
      <c r="L75" s="296"/>
    </row>
    <row r="76" spans="1:21" ht="13.15">
      <c r="A76" s="131">
        <v>3</v>
      </c>
      <c r="B76" s="119">
        <f t="shared" si="11"/>
        <v>156.92147779512669</v>
      </c>
      <c r="C76" s="119">
        <f t="shared" si="11"/>
        <v>165.99732525308954</v>
      </c>
      <c r="D76" s="119">
        <f t="shared" si="11"/>
        <v>170.66823739536528</v>
      </c>
      <c r="E76" s="119">
        <f t="shared" si="11"/>
        <v>180.28029935405047</v>
      </c>
      <c r="F76" s="119">
        <f t="shared" si="11"/>
        <v>195.3867690200467</v>
      </c>
      <c r="G76" s="296"/>
      <c r="H76" s="296"/>
      <c r="I76" s="296"/>
      <c r="J76" s="296"/>
      <c r="K76" s="296"/>
      <c r="L76" s="296"/>
    </row>
    <row r="77" spans="1:21" ht="13.15">
      <c r="A77" s="131">
        <v>4</v>
      </c>
      <c r="B77" s="119">
        <f t="shared" si="11"/>
        <v>156.74571619560516</v>
      </c>
      <c r="C77" s="119">
        <f t="shared" si="11"/>
        <v>168.62146329191916</v>
      </c>
      <c r="D77" s="119">
        <f t="shared" si="11"/>
        <v>174.81738368909865</v>
      </c>
      <c r="E77" s="119">
        <f t="shared" si="11"/>
        <v>187.74188949269328</v>
      </c>
      <c r="F77" s="119">
        <f t="shared" si="11"/>
        <v>208.51097813111804</v>
      </c>
      <c r="G77" s="296"/>
      <c r="H77" s="296"/>
      <c r="I77" s="296"/>
      <c r="J77" s="296"/>
      <c r="K77" s="296"/>
      <c r="L77" s="296"/>
    </row>
    <row r="78" spans="1:21" ht="13.15">
      <c r="A78" s="131">
        <v>5</v>
      </c>
      <c r="B78" s="119">
        <f t="shared" si="11"/>
        <v>145.27035801708132</v>
      </c>
      <c r="C78" s="119">
        <f t="shared" si="11"/>
        <v>159.34868541477633</v>
      </c>
      <c r="D78" s="119">
        <f t="shared" si="11"/>
        <v>166.80176469491798</v>
      </c>
      <c r="E78" s="119">
        <f t="shared" si="11"/>
        <v>182.57603839135786</v>
      </c>
      <c r="F78" s="119">
        <f t="shared" si="11"/>
        <v>208.53325710659593</v>
      </c>
      <c r="G78" s="296"/>
      <c r="H78" s="296"/>
      <c r="I78" s="296"/>
      <c r="J78" s="296"/>
      <c r="K78" s="296"/>
      <c r="L78" s="296"/>
    </row>
    <row r="79" spans="1:21" ht="13.15">
      <c r="A79" s="131">
        <v>6</v>
      </c>
      <c r="B79" s="119">
        <f t="shared" si="11"/>
        <v>145.11755589188394</v>
      </c>
      <c r="C79" s="119">
        <f t="shared" si="11"/>
        <v>161.7222028076167</v>
      </c>
      <c r="D79" s="119">
        <f t="shared" si="11"/>
        <v>170.62858963329296</v>
      </c>
      <c r="E79" s="119">
        <f t="shared" si="11"/>
        <v>189.72783880787696</v>
      </c>
      <c r="F79" s="119">
        <f t="shared" si="11"/>
        <v>221.84166339185063</v>
      </c>
      <c r="G79" s="296"/>
      <c r="H79" s="296"/>
      <c r="I79" s="296"/>
      <c r="J79" s="296"/>
      <c r="K79" s="296"/>
      <c r="L79" s="296"/>
    </row>
    <row r="80" spans="1:21" ht="13.15">
      <c r="A80" s="131">
        <f t="shared" ref="A80" si="12">A62</f>
        <v>7</v>
      </c>
      <c r="B80" s="119">
        <f t="shared" si="11"/>
        <v>134.42825050778421</v>
      </c>
      <c r="C80" s="119">
        <f t="shared" si="11"/>
        <v>152.787150968167</v>
      </c>
      <c r="D80" s="119">
        <f t="shared" si="11"/>
        <v>162.7789601471512</v>
      </c>
      <c r="E80" s="119">
        <f t="shared" si="11"/>
        <v>184.52032443419506</v>
      </c>
      <c r="F80" s="119">
        <f t="shared" si="11"/>
        <v>221.95716394257843</v>
      </c>
      <c r="G80" s="296"/>
      <c r="H80" s="296"/>
      <c r="I80" s="296"/>
      <c r="J80" s="296"/>
      <c r="K80" s="296"/>
      <c r="L80" s="296"/>
    </row>
    <row r="81" spans="1:12" ht="13.15">
      <c r="A81" s="131">
        <v>8</v>
      </c>
      <c r="B81" s="119">
        <f t="shared" si="11"/>
        <v>134.29540869519042</v>
      </c>
      <c r="C81" s="119">
        <f t="shared" si="11"/>
        <v>154.93398346354454</v>
      </c>
      <c r="D81" s="119">
        <f t="shared" si="11"/>
        <v>166.3085028704549</v>
      </c>
      <c r="E81" s="119">
        <f t="shared" si="11"/>
        <v>191.37519695430723</v>
      </c>
      <c r="F81" s="119">
        <f t="shared" si="11"/>
        <v>235.45235259390824</v>
      </c>
      <c r="G81" s="296"/>
      <c r="H81" s="296"/>
      <c r="I81" s="296"/>
      <c r="J81" s="296"/>
      <c r="K81" s="296"/>
      <c r="L81" s="296"/>
    </row>
    <row r="82" spans="1:12" ht="13.15">
      <c r="A82" s="131">
        <f t="shared" ref="A82" si="13">A64</f>
        <v>9</v>
      </c>
      <c r="B82" s="119">
        <f t="shared" si="11"/>
        <v>124.33767037100695</v>
      </c>
      <c r="C82" s="119">
        <f t="shared" si="11"/>
        <v>146.331222081497</v>
      </c>
      <c r="D82" s="119">
        <f t="shared" si="11"/>
        <v>158.6300656336563</v>
      </c>
      <c r="E82" s="119">
        <f t="shared" si="11"/>
        <v>186.13312261951137</v>
      </c>
      <c r="F82" s="119">
        <f t="shared" si="11"/>
        <v>235.66303278940566</v>
      </c>
      <c r="G82" s="296"/>
      <c r="H82" s="296"/>
      <c r="I82" s="296"/>
      <c r="J82" s="296"/>
      <c r="K82" s="296"/>
      <c r="L82" s="296"/>
    </row>
    <row r="83" spans="1:12" ht="13.15">
      <c r="A83" s="131">
        <f t="shared" ref="A83:A87" si="14">A65</f>
        <v>10</v>
      </c>
      <c r="B83" s="119">
        <f t="shared" si="11"/>
        <v>124.22218148529667</v>
      </c>
      <c r="C83" s="119">
        <f t="shared" si="11"/>
        <v>148.27301942290748</v>
      </c>
      <c r="D83" s="119">
        <f t="shared" si="11"/>
        <v>161.8854201471857</v>
      </c>
      <c r="E83" s="119">
        <f t="shared" si="11"/>
        <v>192.70339507264839</v>
      </c>
      <c r="F83" s="119">
        <f t="shared" si="11"/>
        <v>249.34762528165342</v>
      </c>
      <c r="G83" s="296"/>
      <c r="H83" s="296"/>
      <c r="I83" s="296"/>
      <c r="J83" s="296"/>
      <c r="K83" s="296"/>
      <c r="L83" s="296"/>
    </row>
    <row r="84" spans="1:12" ht="13.15">
      <c r="A84" s="131">
        <f t="shared" si="14"/>
        <v>15</v>
      </c>
      <c r="B84" s="119">
        <f t="shared" si="11"/>
        <v>98.062031808741679</v>
      </c>
      <c r="C84" s="119">
        <f t="shared" si="11"/>
        <v>127.73798787552099</v>
      </c>
      <c r="D84" s="119">
        <f t="shared" si="11"/>
        <v>145.68484229801842</v>
      </c>
      <c r="E84" s="119">
        <f t="shared" si="11"/>
        <v>189.1683637502436</v>
      </c>
      <c r="F84" s="119">
        <f t="shared" si="11"/>
        <v>278.51887458204288</v>
      </c>
      <c r="G84" s="296"/>
      <c r="H84" s="296"/>
      <c r="I84" s="296"/>
      <c r="J84" s="296"/>
      <c r="K84" s="296"/>
      <c r="L84" s="296"/>
    </row>
    <row r="85" spans="1:12" ht="13.15">
      <c r="A85" s="132">
        <f t="shared" si="14"/>
        <v>20</v>
      </c>
      <c r="B85" s="119">
        <f t="shared" si="11"/>
        <v>83.367961265627031</v>
      </c>
      <c r="C85" s="119">
        <f t="shared" si="11"/>
        <v>117.26216759343977</v>
      </c>
      <c r="D85" s="119">
        <f t="shared" si="11"/>
        <v>139.02508035118561</v>
      </c>
      <c r="E85" s="119">
        <f t="shared" si="11"/>
        <v>195.17493439424609</v>
      </c>
      <c r="F85" s="119">
        <f t="shared" si="11"/>
        <v>323.25789851214302</v>
      </c>
      <c r="G85" s="296"/>
      <c r="H85" s="296"/>
      <c r="I85" s="296"/>
      <c r="J85" s="296"/>
      <c r="K85" s="296"/>
      <c r="L85" s="296"/>
    </row>
    <row r="86" spans="1:12" ht="13.15">
      <c r="A86" s="132">
        <f t="shared" si="14"/>
        <v>25</v>
      </c>
      <c r="B86" s="119">
        <f t="shared" si="11"/>
        <v>65.030393265858876</v>
      </c>
      <c r="C86" s="119">
        <f t="shared" si="11"/>
        <v>99.838790460307436</v>
      </c>
      <c r="D86" s="119">
        <f t="shared" si="11"/>
        <v>123.63041447494813</v>
      </c>
      <c r="E86" s="119">
        <f t="shared" si="11"/>
        <v>189.20538007007607</v>
      </c>
      <c r="F86" s="119">
        <f t="shared" si="11"/>
        <v>356.02881306354857</v>
      </c>
      <c r="G86" s="296"/>
      <c r="H86" s="296"/>
      <c r="I86" s="296"/>
      <c r="J86" s="296"/>
      <c r="K86" s="296"/>
      <c r="L86" s="296"/>
    </row>
    <row r="87" spans="1:12" ht="13.15">
      <c r="A87" s="132">
        <f t="shared" si="14"/>
        <v>30</v>
      </c>
      <c r="B87" s="119">
        <f t="shared" si="11"/>
        <v>54.744240047684976</v>
      </c>
      <c r="C87" s="119">
        <f t="shared" si="11"/>
        <v>90.562993375729889</v>
      </c>
      <c r="D87" s="119">
        <f t="shared" si="11"/>
        <v>116.42546803330669</v>
      </c>
      <c r="E87" s="119">
        <f t="shared" si="11"/>
        <v>192.09832550580234</v>
      </c>
      <c r="F87" s="119">
        <f t="shared" si="11"/>
        <v>405.01045644602402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249.34762528165342</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192.70339507264839</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161.8854201471857</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148.27301942290748</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124.22218148529667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3690</v>
      </c>
      <c r="D7" s="470"/>
      <c r="E7" s="470"/>
      <c r="F7" s="470"/>
      <c r="G7" s="470"/>
    </row>
    <row r="8" spans="2:7">
      <c r="B8" s="97" t="s">
        <v>63</v>
      </c>
      <c r="C8" s="447">
        <f>Normalized_FCF!G19</f>
        <v>-2478</v>
      </c>
      <c r="D8" s="470"/>
      <c r="E8" s="470"/>
      <c r="F8" s="470"/>
      <c r="G8" s="470"/>
    </row>
    <row r="9" spans="2:7">
      <c r="B9" s="97" t="s">
        <v>54</v>
      </c>
      <c r="C9" s="447">
        <f>Normalized_FCF!C19</f>
        <v>-2851.4456160973477</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9.8592704391528896E-2</v>
      </c>
      <c r="D12" s="470"/>
      <c r="E12" s="470"/>
      <c r="F12" s="470"/>
      <c r="G12" s="470"/>
    </row>
    <row r="13" spans="2:7">
      <c r="B13" s="135" t="s">
        <v>127</v>
      </c>
      <c r="C13" s="249">
        <f ca="1">(Normalized_FCF!G8/OFFSET(Normalized_FCF!G8, 0, $C$4))^(1/$C$4) - 1</f>
        <v>-0.64273609799444253</v>
      </c>
      <c r="D13" s="470"/>
      <c r="E13" s="470"/>
      <c r="F13" s="470"/>
      <c r="G13" s="470"/>
    </row>
    <row r="14" spans="2:7">
      <c r="B14" s="97" t="s">
        <v>63</v>
      </c>
      <c r="C14" s="249" t="e">
        <f ca="1">(Normalized_FCF!G19/OFFSET(Normalized_FCF!G19, 0, $C$4))^(1/$C$4) - 1</f>
        <v>#NUM!</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10</v>
      </c>
      <c r="E22" s="326">
        <f>DCF!E91</f>
        <v>192.70339507264839</v>
      </c>
      <c r="F22" s="328">
        <f>1-F23-F24</f>
        <v>0.19999999999999996</v>
      </c>
      <c r="G22" s="328">
        <f>F22*(1-F$29-F$30)</f>
        <v>0.15999999999999995</v>
      </c>
    </row>
    <row r="23" spans="2:7">
      <c r="B23" s="302" t="s">
        <v>437</v>
      </c>
      <c r="C23" s="324">
        <v>0.03</v>
      </c>
      <c r="D23" s="325">
        <f>C18</f>
        <v>10</v>
      </c>
      <c r="E23" s="326">
        <f>DCF!E92</f>
        <v>161.8854201471857</v>
      </c>
      <c r="F23" s="327">
        <v>0.55000000000000004</v>
      </c>
      <c r="G23" s="328">
        <f t="shared" ref="G23:G24" si="0">F23*(1-F$29-F$30)</f>
        <v>0.44</v>
      </c>
    </row>
    <row r="24" spans="2:7">
      <c r="B24" s="302" t="s">
        <v>446</v>
      </c>
      <c r="C24" s="324">
        <v>0.02</v>
      </c>
      <c r="D24" s="325">
        <f>C18</f>
        <v>10</v>
      </c>
      <c r="E24" s="326">
        <f>DCF!E93</f>
        <v>148.27301942290748</v>
      </c>
      <c r="F24" s="327">
        <v>0.25</v>
      </c>
      <c r="G24" s="328">
        <f t="shared" si="0"/>
        <v>0.19999999999999998</v>
      </c>
    </row>
    <row r="25" spans="2:7">
      <c r="B25" s="141" t="s">
        <v>451</v>
      </c>
      <c r="C25" s="441">
        <f>E23*F23+E24*F24+E22*F22</f>
        <v>164.64591495120868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10</v>
      </c>
      <c r="E29" s="326">
        <f>DCF!E90</f>
        <v>249.34762528165342</v>
      </c>
      <c r="F29" s="327">
        <v>0.15</v>
      </c>
      <c r="G29" s="328">
        <f>F29</f>
        <v>0.15</v>
      </c>
    </row>
    <row r="30" spans="2:7">
      <c r="B30" s="315" t="s">
        <v>447</v>
      </c>
      <c r="C30" s="324">
        <v>0</v>
      </c>
      <c r="D30" s="325">
        <f>C18</f>
        <v>10</v>
      </c>
      <c r="E30" s="326">
        <f>DCF!E94</f>
        <v>124.22218148529667</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103.7</v>
      </c>
      <c r="D34" t="str">
        <f>Market_currency</f>
        <v>HKD</v>
      </c>
      <c r="E34" s="97" t="s">
        <v>454</v>
      </c>
      <c r="F34" s="330">
        <f>RATE(Holding_Period,$C$33,-C34,$C$36)</f>
        <v>0.22009541234569296</v>
      </c>
    </row>
    <row r="35" spans="2:7">
      <c r="B35" s="97" t="s">
        <v>434</v>
      </c>
      <c r="C35" s="320">
        <f>DCF!C11</f>
        <v>-16.121645301288378</v>
      </c>
      <c r="D35" s="97" t="str">
        <f>Market_currency</f>
        <v>HKD</v>
      </c>
      <c r="E35" s="97" t="s">
        <v>454</v>
      </c>
      <c r="F35" s="330" t="e">
        <f>RATE(Holding_Period,$C$33,-C35,$C$36)</f>
        <v>#NUM!</v>
      </c>
    </row>
    <row r="36" spans="2:7">
      <c r="B36" s="97" t="s">
        <v>435</v>
      </c>
      <c r="C36" s="321">
        <f>E22*G22+E23*G23+E24*G24+E30*G30+E29*G29</f>
        <v>175.32998482747979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3.3662787366748527E-2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153.38896634574107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3.4647975826331043E-2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80.797228031096694</v>
      </c>
      <c r="E62" s="332">
        <f>C62+D62</f>
        <v>87.220007063243216</v>
      </c>
      <c r="F62" s="301">
        <f>Thesis!E22</f>
        <v>0.29465259038036606</v>
      </c>
      <c r="G62" s="440">
        <f>(1-E62/C36)</f>
        <v>0.50253798773173075</v>
      </c>
    </row>
    <row r="63" spans="2:7" ht="13.15">
      <c r="B63" s="302" t="s">
        <v>313</v>
      </c>
      <c r="C63" s="119">
        <f>PV(F63, Holding_Period, -C58, 0)</f>
        <v>7.3850538549144646</v>
      </c>
      <c r="D63" s="119">
        <f>C36/(1+F63)^Holding_Period</f>
        <v>101.27363744547573</v>
      </c>
      <c r="E63" s="332">
        <f>C63+D63</f>
        <v>108.65869130039019</v>
      </c>
      <c r="F63" s="301">
        <f>Thesis!E23</f>
        <v>0.20075184365903009</v>
      </c>
      <c r="G63" s="440">
        <f>(1-E63/C36)</f>
        <v>0.38026178803752508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125.66958883222379</v>
      </c>
      <c r="E66" s="332">
        <f>C66+D66</f>
        <v>134.13782580426846</v>
      </c>
      <c r="F66" s="301">
        <f>Thesis!E24</f>
        <v>0.1174</v>
      </c>
      <c r="G66" s="440">
        <f>(1-E66/C36)</f>
        <v>0.23494075507816514</v>
      </c>
    </row>
    <row r="67" spans="2:7" ht="13.15">
      <c r="B67" s="302" t="s">
        <v>314</v>
      </c>
      <c r="C67" s="119">
        <f>PV(F67, Holding_Period, -C58, 0)</f>
        <v>9.1694370473772864</v>
      </c>
      <c r="D67" s="119">
        <f>C36/(1+F67)^Holding_Period</f>
        <v>142.12297592904494</v>
      </c>
      <c r="E67" s="332">
        <f>C67+D67</f>
        <v>151.29241297642221</v>
      </c>
      <c r="F67" s="301">
        <f>Thesis!E25</f>
        <v>7.2499999999999995E-2</v>
      </c>
      <c r="G67" s="440">
        <f>(1-E67/C36)</f>
        <v>0.13709903571091919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103.7</v>
      </c>
    </row>
    <row r="9" spans="1:10">
      <c r="B9" s="351" t="s">
        <v>361</v>
      </c>
      <c r="C9" s="353">
        <f>Common_Shares</f>
        <v>2818000000</v>
      </c>
    </row>
    <row r="10" spans="1:10">
      <c r="B10" s="351" t="s">
        <v>367</v>
      </c>
      <c r="C10" s="357">
        <f>投资主题!C8*Common_Shares/1000000</f>
        <v>292226.59999999998</v>
      </c>
      <c r="D10" s="343" t="s">
        <v>529</v>
      </c>
      <c r="E10" s="360">
        <f>Scenarios!F34</f>
        <v>0.22009541234569296</v>
      </c>
    </row>
    <row r="11" spans="1:10">
      <c r="D11" s="349"/>
      <c r="E11" s="349"/>
    </row>
    <row r="12" spans="1:10" ht="24.5" customHeight="1">
      <c r="B12" s="472" t="s">
        <v>498</v>
      </c>
      <c r="C12" s="472"/>
      <c r="D12" s="472"/>
      <c r="E12" s="472"/>
      <c r="F12" s="472"/>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1.1290652091503142</v>
      </c>
    </row>
    <row r="17" spans="1:6">
      <c r="B17" s="343" t="s">
        <v>535</v>
      </c>
      <c r="C17" s="424">
        <f>Terminal_Growth</f>
        <v>0.02</v>
      </c>
      <c r="D17" s="351" t="s">
        <v>339</v>
      </c>
      <c r="E17" s="344" t="str">
        <f>Reporting_currency</f>
        <v>CNY</v>
      </c>
    </row>
    <row r="18" spans="1:6">
      <c r="B18" s="343" t="str">
        <f>"预期股权价值 ("&amp;C7&amp;") :"</f>
        <v>预期股权价值 (HKD) :</v>
      </c>
      <c r="C18" s="359">
        <f>C125</f>
        <v>175.32998482747979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87.220007063243216</v>
      </c>
      <c r="D22" s="365" t="s">
        <v>440</v>
      </c>
      <c r="E22" s="366">
        <f>Thesis!E22</f>
        <v>0.29465259038036606</v>
      </c>
    </row>
    <row r="23" spans="1:6">
      <c r="B23" s="343" t="s">
        <v>341</v>
      </c>
      <c r="C23" s="367">
        <f>E141</f>
        <v>108.65869130039019</v>
      </c>
      <c r="D23" s="365" t="s">
        <v>441</v>
      </c>
      <c r="E23" s="368">
        <f>Thesis!E23</f>
        <v>0.20075184365903009</v>
      </c>
    </row>
    <row r="24" spans="1:6">
      <c r="B24" s="343" t="s">
        <v>343</v>
      </c>
      <c r="C24" s="367">
        <f>E144</f>
        <v>134.13782580426846</v>
      </c>
      <c r="D24" s="365" t="s">
        <v>443</v>
      </c>
      <c r="E24" s="368">
        <f>Thesis!E24</f>
        <v>0.1174</v>
      </c>
    </row>
    <row r="25" spans="1:6">
      <c r="B25" s="343" t="s">
        <v>342</v>
      </c>
      <c r="C25" s="367">
        <f>E145</f>
        <v>151.29241297642221</v>
      </c>
      <c r="D25" s="365" t="s">
        <v>442</v>
      </c>
      <c r="E25" s="368">
        <f>Thesis!E25</f>
        <v>7.2499999999999995E-2</v>
      </c>
    </row>
    <row r="27" spans="1:6" ht="13.9">
      <c r="A27" s="345" t="s">
        <v>345</v>
      </c>
      <c r="B27" s="345"/>
      <c r="C27" s="345"/>
      <c r="D27" s="345"/>
      <c r="E27" s="345"/>
      <c r="F27" s="345"/>
    </row>
    <row r="29" spans="1:6">
      <c r="B29" s="472" t="s">
        <v>499</v>
      </c>
      <c r="C29" s="472"/>
      <c r="D29" s="472"/>
      <c r="E29" s="472"/>
      <c r="F29" s="472"/>
    </row>
    <row r="30" spans="1:6" ht="24.5" customHeight="1">
      <c r="B30" s="473" t="s">
        <v>500</v>
      </c>
      <c r="C30" s="473"/>
      <c r="D30" s="473"/>
      <c r="E30" s="473"/>
      <c r="F30" s="473"/>
    </row>
    <row r="32" spans="1:6">
      <c r="B32" s="369" t="s">
        <v>371</v>
      </c>
      <c r="C32" s="370">
        <f>scaling_factor</f>
        <v>1000000</v>
      </c>
    </row>
    <row r="33" spans="2:6">
      <c r="B33" s="471" t="s">
        <v>501</v>
      </c>
      <c r="C33" s="471"/>
      <c r="D33" s="471"/>
      <c r="E33" s="471"/>
      <c r="F33" s="471"/>
    </row>
    <row r="34" spans="2:6">
      <c r="B34" s="372" t="s">
        <v>197</v>
      </c>
      <c r="C34" s="373">
        <f>Normalized_FCF!C8</f>
        <v>4776.6048103198409</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-9506.0456217500268</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657.64929759484005</v>
      </c>
      <c r="D44" s="343" t="str">
        <f>Reporting_currency</f>
        <v>CNY</v>
      </c>
      <c r="E44" s="371"/>
      <c r="F44" s="371"/>
    </row>
    <row r="45" spans="2:6">
      <c r="B45" s="372" t="s">
        <v>268</v>
      </c>
      <c r="C45" s="376">
        <f>Normalized_FCF!C45</f>
        <v>-4264.12</v>
      </c>
      <c r="D45" s="343" t="str">
        <f>Reporting_currency</f>
        <v>CNY</v>
      </c>
      <c r="E45" s="371"/>
      <c r="F45" s="371"/>
    </row>
    <row r="46" spans="2:6">
      <c r="B46" s="372" t="s">
        <v>203</v>
      </c>
      <c r="C46" s="373">
        <f>Normalized_FCF!C10</f>
        <v>-3606.47070240516</v>
      </c>
      <c r="D46" s="343" t="str">
        <f>Reporting_currency</f>
        <v>CNY</v>
      </c>
    </row>
    <row r="48" spans="2:6">
      <c r="B48" s="343" t="s">
        <v>505</v>
      </c>
    </row>
    <row r="49" spans="2:6">
      <c r="B49" s="372" t="s">
        <v>223</v>
      </c>
      <c r="C49" s="373">
        <f>Normalized_FCF!C13</f>
        <v>-3729.0461970333586</v>
      </c>
      <c r="D49" s="343" t="str">
        <f>Reporting_currency</f>
        <v>CNY</v>
      </c>
    </row>
    <row r="51" spans="2:6">
      <c r="B51" s="471" t="s">
        <v>506</v>
      </c>
      <c r="C51" s="471"/>
      <c r="D51" s="471"/>
      <c r="E51" s="471"/>
      <c r="F51" s="471"/>
    </row>
    <row r="52" spans="2:6">
      <c r="B52" s="372" t="s">
        <v>496</v>
      </c>
      <c r="C52" s="373">
        <f>Normalized_FCF!C12</f>
        <v>-292.53352697867024</v>
      </c>
      <c r="D52" s="343" t="str">
        <f>Reporting_currency</f>
        <v>CNY</v>
      </c>
    </row>
    <row r="54" spans="2:6">
      <c r="B54" s="471" t="s">
        <v>507</v>
      </c>
      <c r="C54" s="474"/>
      <c r="D54" s="474"/>
      <c r="E54" s="474"/>
      <c r="F54" s="474"/>
    </row>
    <row r="55" spans="2:6">
      <c r="B55" s="372" t="s">
        <v>207</v>
      </c>
      <c r="C55" s="373">
        <f>Normalized_FCF!C17</f>
        <v>0</v>
      </c>
      <c r="D55" s="343" t="str">
        <f>Reporting_currency</f>
        <v>CNY</v>
      </c>
    </row>
    <row r="57" spans="2:6">
      <c r="B57" s="472" t="s">
        <v>508</v>
      </c>
      <c r="C57" s="472"/>
      <c r="D57" s="472"/>
      <c r="E57" s="472"/>
      <c r="F57" s="472"/>
    </row>
    <row r="58" spans="2:6">
      <c r="B58" s="472" t="s">
        <v>509</v>
      </c>
      <c r="C58" s="472"/>
      <c r="D58" s="472"/>
      <c r="E58" s="472"/>
      <c r="F58" s="472"/>
    </row>
    <row r="60" spans="2:6">
      <c r="B60" s="372" t="s">
        <v>372</v>
      </c>
      <c r="C60" s="373">
        <f>Normalized_FCF!G19</f>
        <v>-2478</v>
      </c>
      <c r="D60" s="343" t="str">
        <f>Reporting_currency</f>
        <v>CNY</v>
      </c>
    </row>
    <row r="61" spans="2:6">
      <c r="B61" s="372" t="s">
        <v>213</v>
      </c>
      <c r="C61" s="373">
        <f>Normalized_FCF!C19</f>
        <v>-2851.4456160973477</v>
      </c>
      <c r="D61" s="343" t="str">
        <f>Reporting_currency</f>
        <v>CNY</v>
      </c>
    </row>
    <row r="62" spans="2:6">
      <c r="B62" s="377" t="s">
        <v>302</v>
      </c>
      <c r="C62" s="378">
        <f>Normalized_FCF!C124</f>
        <v>-1.1017025968613736E-2</v>
      </c>
      <c r="F62" s="379"/>
    </row>
    <row r="63" spans="2:6">
      <c r="B63" s="377" t="s">
        <v>332</v>
      </c>
      <c r="C63" s="378">
        <f>Normalized_FCF!C92</f>
        <v>3.3847637415621981E-2</v>
      </c>
      <c r="E63" s="372" t="s">
        <v>373</v>
      </c>
      <c r="F63" s="380">
        <f>Normalized_FCF!C90</f>
        <v>-3.8542555179578768</v>
      </c>
    </row>
    <row r="65" spans="1:6">
      <c r="B65" s="369" t="s">
        <v>376</v>
      </c>
      <c r="C65" s="381" t="s">
        <v>327</v>
      </c>
      <c r="D65" s="381" t="s">
        <v>374</v>
      </c>
    </row>
    <row r="66" spans="1:6">
      <c r="B66" s="372" t="s">
        <v>326</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476</v>
      </c>
      <c r="B71" s="345"/>
      <c r="C71" s="345"/>
      <c r="D71" s="345"/>
      <c r="E71" s="345"/>
      <c r="F71" s="345"/>
    </row>
    <row r="72" spans="1:6">
      <c r="A72" s="385"/>
    </row>
    <row r="73" spans="1:6">
      <c r="A73" s="386"/>
      <c r="B73" s="472" t="s">
        <v>510</v>
      </c>
      <c r="C73" s="472"/>
      <c r="D73" s="472"/>
      <c r="E73" s="472"/>
      <c r="F73" s="472"/>
    </row>
    <row r="74" spans="1:6">
      <c r="B74" s="473" t="s">
        <v>479</v>
      </c>
      <c r="C74" s="473"/>
      <c r="D74" s="473"/>
      <c r="E74" s="473"/>
      <c r="F74" s="473"/>
    </row>
    <row r="76" spans="1:6">
      <c r="B76" s="369" t="s">
        <v>371</v>
      </c>
    </row>
    <row r="77" spans="1:6">
      <c r="B77" s="472" t="s">
        <v>511</v>
      </c>
      <c r="C77" s="472"/>
      <c r="D77" s="472"/>
      <c r="E77" s="472"/>
      <c r="F77" s="472"/>
    </row>
    <row r="78" spans="1:6">
      <c r="B78" s="343" t="s">
        <v>215</v>
      </c>
      <c r="C78" s="373">
        <f>DCF!F4</f>
        <v>-106603</v>
      </c>
      <c r="D78" s="343" t="str">
        <f>Reporting_currency</f>
        <v>CNY</v>
      </c>
    </row>
    <row r="79" spans="1:6">
      <c r="B79" s="372" t="s">
        <v>234</v>
      </c>
      <c r="C79" s="387">
        <f>C78*scaling_factor*Exchange_Rate/Common_Shares</f>
        <v>-42.71175957808763</v>
      </c>
      <c r="D79" s="343" t="str">
        <f>Market_currency</f>
        <v>HKD</v>
      </c>
    </row>
    <row r="80" spans="1:6">
      <c r="B80" s="382" t="s">
        <v>309</v>
      </c>
      <c r="C80" s="388">
        <f>IF(BS!G31/BS!G27&gt;300%,"nm",BS!G31/BS!G27)</f>
        <v>0.36286306559603515</v>
      </c>
    </row>
    <row r="81" spans="1:6">
      <c r="B81" s="382" t="s">
        <v>311</v>
      </c>
      <c r="C81" s="389">
        <f>IF(BS!C50&gt;30,"nm",BS!C50)</f>
        <v>22.317734925377231</v>
      </c>
    </row>
    <row r="83" spans="1:6">
      <c r="B83" s="343" t="s">
        <v>512</v>
      </c>
    </row>
    <row r="84" spans="1:6">
      <c r="B84" s="343" t="s">
        <v>224</v>
      </c>
      <c r="C84" s="373">
        <f>DCF!F5</f>
        <v>40016.783734193319</v>
      </c>
      <c r="D84" s="343" t="str">
        <f>Reporting_currency</f>
        <v>CNY</v>
      </c>
    </row>
    <row r="85" spans="1:6">
      <c r="B85" s="382" t="s">
        <v>481</v>
      </c>
      <c r="C85" s="390">
        <f>BS!C66</f>
        <v>149625</v>
      </c>
      <c r="D85" s="391" t="str">
        <f>Reporting_currency</f>
        <v>CNY</v>
      </c>
    </row>
    <row r="86" spans="1:6">
      <c r="B86" s="372" t="s">
        <v>235</v>
      </c>
      <c r="C86" s="387">
        <f>C84*scaling_factor*Exchange_Rate/Common_Shares</f>
        <v>16.03320024711493</v>
      </c>
      <c r="D86" s="343" t="str">
        <f>Market_currency</f>
        <v>HKD</v>
      </c>
    </row>
    <row r="88" spans="1:6">
      <c r="B88" s="343" t="s">
        <v>513</v>
      </c>
    </row>
    <row r="89" spans="1:6">
      <c r="B89" s="343" t="s">
        <v>217</v>
      </c>
      <c r="C89" s="373">
        <f>DCF!F6</f>
        <v>81748.2</v>
      </c>
      <c r="D89" s="343" t="str">
        <f>Reporting_currency</f>
        <v>CNY</v>
      </c>
    </row>
    <row r="90" spans="1:6">
      <c r="B90" s="372" t="s">
        <v>236</v>
      </c>
      <c r="C90" s="387">
        <f>C89*scaling_factor*Exchange_Rate/Common_Shares</f>
        <v>32.753388406906211</v>
      </c>
      <c r="D90" s="343" t="str">
        <f>Market_currency</f>
        <v>HKD</v>
      </c>
    </row>
    <row r="92" spans="1:6">
      <c r="B92" s="372" t="s">
        <v>480</v>
      </c>
      <c r="C92" s="387">
        <f>DCF!F8</f>
        <v>6.0748290759335122</v>
      </c>
      <c r="D92" s="343" t="str">
        <f>Market_currency</f>
        <v>HKD</v>
      </c>
    </row>
    <row r="94" spans="1:6" ht="13.9">
      <c r="A94" s="345" t="s">
        <v>482</v>
      </c>
      <c r="B94" s="345"/>
      <c r="C94" s="345"/>
      <c r="D94" s="345"/>
      <c r="E94" s="345"/>
      <c r="F94" s="345"/>
    </row>
    <row r="95" spans="1:6">
      <c r="A95" s="385"/>
    </row>
    <row r="96" spans="1:6">
      <c r="A96" s="385"/>
      <c r="B96" s="472" t="s">
        <v>514</v>
      </c>
      <c r="C96" s="472"/>
      <c r="D96" s="472"/>
      <c r="E96" s="472"/>
      <c r="F96" s="472"/>
    </row>
    <row r="97" spans="1:6">
      <c r="A97" s="385"/>
      <c r="B97" s="473" t="s">
        <v>515</v>
      </c>
      <c r="C97" s="473"/>
      <c r="D97" s="473"/>
      <c r="E97" s="473"/>
      <c r="F97" s="473"/>
    </row>
    <row r="98" spans="1:6">
      <c r="A98" s="385"/>
      <c r="B98" s="473" t="s">
        <v>516</v>
      </c>
      <c r="C98" s="473"/>
      <c r="D98" s="473"/>
      <c r="E98" s="473"/>
      <c r="F98" s="473"/>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2" t="s">
        <v>517</v>
      </c>
      <c r="C107" s="472"/>
      <c r="D107" s="472"/>
      <c r="E107" s="472"/>
      <c r="F107" s="472"/>
    </row>
    <row r="108" spans="1:6">
      <c r="A108" s="385"/>
      <c r="B108" s="472" t="s">
        <v>536</v>
      </c>
      <c r="C108" s="472"/>
      <c r="D108" s="472"/>
      <c r="E108" s="472"/>
      <c r="F108" s="472"/>
    </row>
    <row r="109" spans="1:6">
      <c r="A109" s="385"/>
    </row>
    <row r="110" spans="1:6">
      <c r="A110" s="385"/>
      <c r="B110" s="369" t="s">
        <v>489</v>
      </c>
    </row>
    <row r="111" spans="1:6">
      <c r="A111" s="385"/>
      <c r="B111" s="375" t="s">
        <v>486</v>
      </c>
      <c r="C111" s="394">
        <f>BS!D47</f>
        <v>-66.734264616514139</v>
      </c>
      <c r="D111" s="343" t="str">
        <f>Market_currency</f>
        <v>HKD</v>
      </c>
    </row>
    <row r="112" spans="1:6">
      <c r="A112" s="385"/>
      <c r="B112" s="372" t="s">
        <v>377</v>
      </c>
      <c r="C112" s="394">
        <f>DCF!C11</f>
        <v>-16.121645301288378</v>
      </c>
      <c r="D112" s="343" t="str">
        <f>Market_currency</f>
        <v>HKD</v>
      </c>
    </row>
    <row r="113" spans="1:6">
      <c r="A113" s="385"/>
    </row>
    <row r="114" spans="1:6">
      <c r="A114" s="385"/>
      <c r="B114" s="472" t="s">
        <v>518</v>
      </c>
      <c r="C114" s="472"/>
      <c r="D114" s="472"/>
      <c r="E114" s="472"/>
      <c r="F114" s="472"/>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10</v>
      </c>
      <c r="E118" s="398" t="str">
        <f>ROUND(DCF!E90,2)&amp;" "&amp;Market_currency</f>
        <v>249.35 HKD</v>
      </c>
      <c r="F118" s="399">
        <f>DCF!F90</f>
        <v>0.15</v>
      </c>
    </row>
    <row r="119" spans="1:6">
      <c r="A119" s="385"/>
      <c r="B119" s="400" t="str">
        <f>DCF!B91</f>
        <v>Optimistic</v>
      </c>
      <c r="C119" s="401">
        <f>DCF!C91</f>
        <v>0.05</v>
      </c>
      <c r="D119" s="402">
        <f>DCF!D91</f>
        <v>10</v>
      </c>
      <c r="E119" s="398" t="str">
        <f>ROUND(DCF!E91,2)&amp;" "&amp;Market_currency</f>
        <v>192.7 HKD</v>
      </c>
      <c r="F119" s="403">
        <f>DCF!F91</f>
        <v>0.15999999999999995</v>
      </c>
    </row>
    <row r="120" spans="1:6">
      <c r="B120" s="400" t="str">
        <f>DCF!B92</f>
        <v>Base</v>
      </c>
      <c r="C120" s="401">
        <f>DCF!C92</f>
        <v>0.03</v>
      </c>
      <c r="D120" s="402">
        <f>DCF!D92</f>
        <v>10</v>
      </c>
      <c r="E120" s="398" t="str">
        <f>ROUND(DCF!E92,2)&amp;" "&amp;Market_currency</f>
        <v>161.89 HKD</v>
      </c>
      <c r="F120" s="403">
        <f>DCF!F92</f>
        <v>0.44</v>
      </c>
    </row>
    <row r="121" spans="1:6">
      <c r="B121" s="400" t="str">
        <f>DCF!B93</f>
        <v>Pessimistic</v>
      </c>
      <c r="C121" s="401">
        <f>DCF!C93</f>
        <v>0.02</v>
      </c>
      <c r="D121" s="402">
        <f>DCF!D93</f>
        <v>10</v>
      </c>
      <c r="E121" s="398" t="str">
        <f>ROUND(DCF!E93,2)&amp;" "&amp;Market_currency</f>
        <v>148.27 HKD</v>
      </c>
      <c r="F121" s="403">
        <f>DCF!F93</f>
        <v>0.19999999999999998</v>
      </c>
    </row>
    <row r="122" spans="1:6">
      <c r="B122" s="400" t="str">
        <f>DCF!B94</f>
        <v>Devil's advocate</v>
      </c>
      <c r="C122" s="401">
        <f>DCF!C94</f>
        <v>0</v>
      </c>
      <c r="D122" s="402">
        <f>DCF!D94</f>
        <v>10</v>
      </c>
      <c r="E122" s="398" t="str">
        <f>ROUND(DCF!E94,2)&amp;" "&amp;Market_currency</f>
        <v>124.22 HKD</v>
      </c>
      <c r="F122" s="403">
        <f>DCF!F94</f>
        <v>0.05</v>
      </c>
    </row>
    <row r="124" spans="1:6">
      <c r="B124" s="471" t="s">
        <v>519</v>
      </c>
      <c r="C124" s="471"/>
      <c r="D124" s="471"/>
      <c r="E124" s="471"/>
      <c r="F124" s="471"/>
    </row>
    <row r="125" spans="1:6">
      <c r="B125" s="372" t="s">
        <v>218</v>
      </c>
      <c r="C125" s="404">
        <f>Scenarios!C36</f>
        <v>175.32998482747979</v>
      </c>
      <c r="D125" s="343" t="str">
        <f>Market_currency</f>
        <v>HKD</v>
      </c>
    </row>
    <row r="127" spans="1:6">
      <c r="B127" s="476" t="s">
        <v>520</v>
      </c>
      <c r="C127" s="476"/>
      <c r="D127" s="476"/>
      <c r="E127" s="476"/>
      <c r="F127" s="476"/>
    </row>
    <row r="129" spans="1:6" ht="13.9">
      <c r="A129" s="345" t="s">
        <v>492</v>
      </c>
      <c r="B129" s="345"/>
      <c r="C129" s="345"/>
      <c r="D129" s="345"/>
      <c r="E129" s="345"/>
      <c r="F129" s="345"/>
    </row>
    <row r="131" spans="1:6">
      <c r="B131" s="477" t="s">
        <v>521</v>
      </c>
      <c r="C131" s="477"/>
      <c r="D131" s="477"/>
      <c r="E131" s="477"/>
      <c r="F131" s="477"/>
    </row>
    <row r="132" spans="1:6" ht="24.5" customHeight="1">
      <c r="B132" s="472" t="s">
        <v>522</v>
      </c>
      <c r="C132" s="472"/>
      <c r="D132" s="472"/>
      <c r="E132" s="472"/>
      <c r="F132" s="472"/>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80.797228031096694</v>
      </c>
      <c r="E140" s="410">
        <f>Scenarios!E62</f>
        <v>87.220007063243216</v>
      </c>
      <c r="F140" s="411">
        <f>E22</f>
        <v>0.29465259038036606</v>
      </c>
    </row>
    <row r="141" spans="1:6">
      <c r="B141" s="408" t="s">
        <v>313</v>
      </c>
      <c r="C141" s="409">
        <f>Scenarios!C63</f>
        <v>7.3850538549144646</v>
      </c>
      <c r="D141" s="409">
        <f>Scenarios!D63</f>
        <v>101.27363744547573</v>
      </c>
      <c r="E141" s="410">
        <f>Scenarios!E63</f>
        <v>108.65869130039019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125.66958883222379</v>
      </c>
      <c r="E144" s="410">
        <f>Scenarios!E66</f>
        <v>134.13782580426846</v>
      </c>
      <c r="F144" s="411">
        <f>E24</f>
        <v>0.1174</v>
      </c>
    </row>
    <row r="145" spans="1:6">
      <c r="B145" s="408" t="s">
        <v>314</v>
      </c>
      <c r="C145" s="409">
        <f>Scenarios!C67</f>
        <v>9.1694370473772864</v>
      </c>
      <c r="D145" s="409">
        <f>Scenarios!D67</f>
        <v>142.12297592904494</v>
      </c>
      <c r="E145" s="410">
        <f>Scenarios!E67</f>
        <v>151.29241297642221</v>
      </c>
      <c r="F145" s="411">
        <f>Scenarios!F67</f>
        <v>7.2499999999999995E-2</v>
      </c>
    </row>
    <row r="147" spans="1:6" ht="13.9">
      <c r="A147" s="345" t="s">
        <v>475</v>
      </c>
      <c r="B147" s="345"/>
      <c r="C147" s="345"/>
      <c r="D147" s="345"/>
      <c r="E147" s="345"/>
      <c r="F147" s="345"/>
    </row>
    <row r="149" spans="1:6">
      <c r="B149" s="478" t="s">
        <v>523</v>
      </c>
      <c r="C149" s="472"/>
      <c r="D149" s="472"/>
      <c r="E149" s="472"/>
      <c r="F149" s="472"/>
    </row>
    <row r="151" spans="1:6">
      <c r="B151" s="369" t="s">
        <v>384</v>
      </c>
    </row>
    <row r="152" spans="1:6">
      <c r="B152" s="474" t="s">
        <v>524</v>
      </c>
      <c r="C152" s="474"/>
      <c r="D152" s="474"/>
      <c r="E152" s="474"/>
      <c r="F152" s="474"/>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5" t="s">
        <v>388</v>
      </c>
      <c r="C161" s="475"/>
      <c r="D161" s="475"/>
      <c r="E161" s="475"/>
      <c r="F161" s="475"/>
    </row>
    <row r="162" spans="2:6">
      <c r="B162" s="475" t="s">
        <v>389</v>
      </c>
      <c r="C162" s="475"/>
      <c r="D162" s="475"/>
      <c r="E162" s="475"/>
      <c r="F162" s="475"/>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