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F2BA1D-1397-4300-9AF6-76A65CD20F9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<sst xmlns="http://schemas.openxmlformats.org/spreadsheetml/2006/main" count="768" uniqueCount="559">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</sst>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112.1</v>
      </c>
      <c r="E8" s="32"/>
    </row>
    <row r="9" spans="1:9">
      <c r="B9" s="4" t="s">
        <v>346</v>
      </c>
      <c r="C9" s="48">
        <v>2818000000</v>
      </c>
    </row>
    <row r="10" spans="1:9">
      <c r="B10" s="4" t="s">
        <v>352</v>
      </c>
      <c r="C10" s="33">
        <f>Thesis!C8*Common_Shares/1000000</f>
        <v>315897.8</v>
      </c>
      <c r="D10" s="1" t="s">
        <v>528</v>
      </c>
      <c r="E10" s="303">
        <f>Scenarios!F34</f>
        <v>0.19087453488483108</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1.1375999450683594</v>
      </c>
    </row>
    <row r="17" spans="1:6">
      <c r="B17" s="1" t="s">
        <v>532</v>
      </c>
      <c r="C17" s="456">
        <v>0.02</v>
      </c>
      <c r="D17" s="4" t="s">
        <v>274</v>
      </c>
      <c r="E17" s="224" t="s">
        <v>558</v>
      </c>
    </row>
    <row r="18" spans="1:6">
      <c r="B18" s="1" t="str">
        <f>"Expected Equity Value ("&amp;C7&amp;") :"</f>
        <v>Expected Equity Value (HKD) :</v>
      </c>
      <c r="C18" s="252">
        <f>C125</f>
        <v>176.6553246810951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86.782077688254461</v>
      </c>
      <c r="D22" s="38" t="s">
        <v>406</v>
      </c>
      <c r="E22" s="79">
        <v>0.3</v>
      </c>
    </row>
    <row r="23" spans="1:6">
      <c r="B23" s="1" t="s">
        <v>313</v>
      </c>
      <c r="C23" s="256">
        <f>E141</f>
        <v>109.62484067193003</v>
      </c>
      <c r="D23" s="38" t="s">
        <v>407</v>
      </c>
      <c r="E23" s="443">
        <v>0.2</v>
      </c>
    </row>
    <row r="24" spans="1:6">
      <c r="B24" s="1" t="s">
        <v>315</v>
      </c>
      <c r="C24" s="256">
        <f>E144</f>
        <v>135.08777691862394</v>
      </c>
      <c r="D24" s="38" t="s">
        <v>408</v>
      </c>
      <c r="E24" s="443">
        <v>0.1174</v>
      </c>
    </row>
    <row r="25" spans="1:6">
      <c r="B25" s="1" t="s">
        <v>314</v>
      </c>
      <c r="C25" s="256">
        <f>E145</f>
        <v>152.36673716745275</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4776.6048103198409</v>
      </c>
      <c r="D34" s="1" t="str">
        <f>Reporting_currency</f>
        <v>CNY</v>
      </c>
    </row>
    <row r="35" spans="2:6">
      <c r="B35" s="44"/>
      <c r="C35" s="73"/>
    </row>
    <row r="36" spans="2:6" ht="24.5" customHeight="1">
      <c r="B36" s="464" t="s">
        <v>198</v>
      </c>
      <c r="C36" s="464"/>
      <c r="D36" s="464"/>
      <c r="E36" s="464"/>
      <c r="F36" s="464"/>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4" t="s">
        <v>206</v>
      </c>
      <c r="C51" s="464"/>
      <c r="D51" s="464"/>
      <c r="E51" s="464"/>
      <c r="F51" s="464"/>
    </row>
    <row r="52" spans="2:6">
      <c r="B52" s="44" t="s">
        <v>204</v>
      </c>
      <c r="C52" s="285">
        <f>Normalized_FCF!C12</f>
        <v>-292.53352697867024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-1.0268524745147821E-2</v>
      </c>
      <c r="F62" s="257"/>
    </row>
    <row r="63" spans="2:6">
      <c r="B63" s="204" t="s">
        <v>332</v>
      </c>
      <c r="C63" s="89">
        <f>Normalized_FCF!C92</f>
        <v>3.1311329170383588E-2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-106603</v>
      </c>
      <c r="D78" s="1" t="str">
        <f>Reporting_currency</f>
        <v>CNY</v>
      </c>
    </row>
    <row r="79" spans="1:6">
      <c r="A79" s="191"/>
      <c r="B79" s="44" t="s">
        <v>234</v>
      </c>
      <c r="C79" s="201">
        <f>C78*scaling_factor*Exchange_Rate/Common_Shares</f>
        <v>-43.034622762286133</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16.154397082267828</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33.00097509916155</v>
      </c>
      <c r="D90" s="1" t="str">
        <f>Market_currency</f>
        <v>HKD</v>
      </c>
    </row>
    <row r="91" spans="1:6">
      <c r="A91" s="191"/>
    </row>
    <row r="92" spans="1:6">
      <c r="A92" s="191"/>
      <c r="B92" s="44" t="s">
        <v>469</v>
      </c>
      <c r="C92" s="216">
        <f>DCF!F8</f>
        <v>6.1207494191432481</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-67.238716724834376</v>
      </c>
      <c r="D111" s="1" t="str">
        <f>Market_currency</f>
        <v>HKD</v>
      </c>
    </row>
    <row r="112" spans="2:6">
      <c r="B112" s="44" t="s">
        <v>323</v>
      </c>
      <c r="C112" s="216">
        <f>DCF!C11</f>
        <v>-16.243510702946125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251.23 HKD</v>
      </c>
      <c r="E118" s="208">
        <f>DCF!F90</f>
        <v>0.15</v>
      </c>
      <c r="F118" s="208">
        <f>RATE(Holding_Period,Scenarios!C$58,-DCF!E90,C$18)</f>
        <v>-9.500211484812611E-2</v>
      </c>
    </row>
    <row r="119" spans="2:6">
      <c r="B119" s="205" t="str">
        <f>DCF!B91&amp;" ("&amp;DCF!D91&amp;"yrs)"</f>
        <v>Optimistic (10yrs)</v>
      </c>
      <c r="C119" s="198">
        <f>DCF!C91</f>
        <v>0.05</v>
      </c>
      <c r="D119" s="207" t="str">
        <f>ROUND(DCF!E91,2)&amp;" "&amp;Market_currency</f>
        <v>194.16 HKD</v>
      </c>
      <c r="E119" s="199">
        <f>DCF!F91</f>
        <v>0.15999999999999995</v>
      </c>
      <c r="F119" s="208">
        <f>RATE(Holding_Period,Scenarios!C$58,-DCF!E91,C$18)</f>
        <v>-1.2348374359928813E-2</v>
      </c>
    </row>
    <row r="120" spans="2:6">
      <c r="B120" s="205" t="str">
        <f>DCF!B92&amp;" ("&amp;DCF!D92&amp;"yrs)"</f>
        <v>Base (10yrs)</v>
      </c>
      <c r="C120" s="198">
        <f>DCF!C92</f>
        <v>0.03</v>
      </c>
      <c r="D120" s="207" t="str">
        <f>ROUND(DCF!E92,2)&amp;" "&amp;Market_currency</f>
        <v>163.11 HKD</v>
      </c>
      <c r="E120" s="199">
        <f>DCF!F92</f>
        <v>0.44</v>
      </c>
      <c r="F120" s="208">
        <f>RATE(Holding_Period,Scenarios!C$58,-DCF!E92,C$18)</f>
        <v>4.7917490546769345E-2</v>
      </c>
    </row>
    <row r="121" spans="2:6">
      <c r="B121" s="205" t="str">
        <f>DCF!B93&amp;" ("&amp;DCF!D93&amp;"yrs)"</f>
        <v>Pessimistic (10yrs)</v>
      </c>
      <c r="C121" s="198">
        <f>DCF!C93</f>
        <v>0.02</v>
      </c>
      <c r="D121" s="207" t="str">
        <f>ROUND(DCF!E93,2)&amp;" "&amp;Market_currency</f>
        <v>149.39 HKD</v>
      </c>
      <c r="E121" s="199">
        <f>DCF!F93</f>
        <v>0.19999999999999998</v>
      </c>
      <c r="F121" s="208">
        <f>RATE(Holding_Period,Scenarios!C$58,-DCF!E93,C$18)</f>
        <v>7.9720419073973967E-2</v>
      </c>
    </row>
    <row r="122" spans="2:6">
      <c r="B122" s="205" t="str">
        <f>DCF!B94&amp;" ("&amp;DCF!D94&amp;"yrs)"</f>
        <v>Devil's advocate (10yrs)</v>
      </c>
      <c r="C122" s="198">
        <f>DCF!C94</f>
        <v>0</v>
      </c>
      <c r="D122" s="207" t="str">
        <f>ROUND(DCF!E94,2)&amp;" "&amp;Market_currency</f>
        <v>125.16 HKD</v>
      </c>
      <c r="E122" s="199">
        <f>DCF!F94</f>
        <v>0.05</v>
      </c>
      <c r="F122" s="208">
        <f>RATE(Holding_Period,Scenarios!C$58,-DCF!E94,C$18)</f>
        <v>0.14687645166030289</v>
      </c>
    </row>
    <row r="124" spans="2:6">
      <c r="B124" s="464" t="s">
        <v>357</v>
      </c>
      <c r="C124" s="464"/>
      <c r="D124" s="464"/>
      <c r="E124" s="464"/>
      <c r="F124" s="464"/>
    </row>
    <row r="125" spans="2:6">
      <c r="B125" s="193" t="s">
        <v>218</v>
      </c>
      <c r="C125" s="197">
        <f>Scenarios!C36</f>
        <v>176.6553246810951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6.3745562130177529</v>
      </c>
      <c r="D140" s="333">
        <f>Scenarios!D62</f>
        <v>80.407521475236706</v>
      </c>
      <c r="E140" s="334">
        <f>Scenarios!E62</f>
        <v>86.782077688254461</v>
      </c>
      <c r="F140" s="335">
        <f>E22</f>
        <v>0.3</v>
      </c>
    </row>
    <row r="141" spans="1:6">
      <c r="B141" s="336" t="s">
        <v>313</v>
      </c>
      <c r="C141" s="333">
        <f>Scenarios!C63</f>
        <v>7.3937499999999998</v>
      </c>
      <c r="D141" s="333">
        <f>Scenarios!D63</f>
        <v>102.23109067193003</v>
      </c>
      <c r="E141" s="334">
        <f>Scenarios!E63</f>
        <v>109.62484067193003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126.61953994657928</v>
      </c>
      <c r="E144" s="334">
        <f>Scenarios!E66</f>
        <v>135.08777691862394</v>
      </c>
      <c r="F144" s="335">
        <f>E24</f>
        <v>0.1174</v>
      </c>
    </row>
    <row r="145" spans="1:6">
      <c r="B145" s="336" t="s">
        <v>314</v>
      </c>
      <c r="C145" s="333">
        <f>Scenarios!C67</f>
        <v>9.1694370473772864</v>
      </c>
      <c r="D145" s="333">
        <f>Scenarios!D67</f>
        <v>143.19730012007545</v>
      </c>
      <c r="E145" s="334">
        <f>Scenarios!E67</f>
        <v>152.36673716745275</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90.846519388993471</v>
      </c>
      <c r="D47" s="134">
        <f>D46*H1/Common_Shares*Exchange_Rate</f>
        <v>-67.238716724834376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-121271.56694412231</v>
      </c>
      <c r="D86" s="201">
        <f>C86*scaling_factor/Common_Shares</f>
        <v>-43.034622762286133</v>
      </c>
      <c r="E86" s="214" t="str">
        <f>Market_currency</f>
        <v>HKD</v>
      </c>
    </row>
    <row r="87" spans="2:8" ht="15" customHeight="1">
      <c r="B87" s="212" t="s">
        <v>240</v>
      </c>
      <c r="C87" s="73">
        <f>DCF!F5*Exchange_Rate</f>
        <v>45523.09097783074</v>
      </c>
      <c r="D87" s="201">
        <f>C87*scaling_factor/Common_Shares</f>
        <v>16.154397082267828</v>
      </c>
      <c r="E87" s="214" t="str">
        <f>Market_currency</f>
        <v>HKD</v>
      </c>
    </row>
    <row r="88" spans="2:8" ht="15" customHeight="1">
      <c r="B88" s="213" t="s">
        <v>159</v>
      </c>
      <c r="C88" s="73">
        <f>DCF!F6*Exchange_Rate</f>
        <v>92996.747829437256</v>
      </c>
      <c r="D88" s="201">
        <f>C88*scaling_factor/Common_Shares</f>
        <v>33.00097509916155</v>
      </c>
      <c r="E88" s="214" t="str">
        <f>Market_currency</f>
        <v>HKD</v>
      </c>
    </row>
    <row r="89" spans="2:8" ht="15" customHeight="1">
      <c r="B89" s="77" t="s">
        <v>244</v>
      </c>
      <c r="C89" s="162">
        <f>SUM(C86:C88)</f>
        <v>17248.271863145681</v>
      </c>
      <c r="D89" s="216">
        <f>SUM(D86:D88)</f>
        <v>6.1207494191432446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3.1311329170383588E-2</v>
      </c>
      <c r="E92" s="237"/>
      <c r="G92" s="22">
        <f t="shared" ref="G92:Q92" si="38">IF(G$4="","",(G88*(1-dividend_tax_rate))/Market_Price)</f>
        <v>3.1311329170383588E-2</v>
      </c>
      <c r="H92" s="22">
        <f t="shared" si="38"/>
        <v>3.1311329170383588E-2</v>
      </c>
      <c r="I92" s="22">
        <f t="shared" si="38"/>
        <v>2.3796610169491528E-2</v>
      </c>
      <c r="J92" s="22">
        <f t="shared" si="38"/>
        <v>1.9413024085637824E-2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-1.1511016239310705</v>
      </c>
      <c r="D123" s="26"/>
      <c r="E123" s="234"/>
      <c r="F123" s="26"/>
      <c r="G123" s="159">
        <f t="shared" ref="G123:Q123" si="48">IF(G$4="","",G14*$C$3/Common_Shares*Exchange_Rate)</f>
        <v>-1.0003451610643699</v>
      </c>
      <c r="H123" s="159">
        <f t="shared" si="48"/>
        <v>11.63516877812642</v>
      </c>
      <c r="I123" s="159">
        <f t="shared" si="48"/>
        <v>7.5272138309952554</v>
      </c>
      <c r="J123" s="159">
        <f t="shared" si="48"/>
        <v>3.9832145699040109</v>
      </c>
      <c r="K123" s="159">
        <f t="shared" si="48"/>
        <v>5.0865008189713727E-2</v>
      </c>
      <c r="L123" s="159">
        <f t="shared" si="48"/>
        <v>4.9968815188275908</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-1.0268524745147821E-2</v>
      </c>
      <c r="D124" s="26"/>
      <c r="E124" s="234"/>
      <c r="F124" s="26"/>
      <c r="G124" s="74">
        <f t="shared" ref="G124" si="49">IF(G$4="","",G123/Market_Price)</f>
        <v>-8.923685647318198E-3</v>
      </c>
      <c r="H124" s="74">
        <f t="shared" ref="H124" si="50">IF(H$4="","",H123/Market_Price)</f>
        <v>0.10379276340879948</v>
      </c>
      <c r="I124" s="74">
        <f t="shared" ref="I124" si="51">IF(I$4="","",I123/Market_Price)</f>
        <v>6.7147313389788188E-2</v>
      </c>
      <c r="J124" s="74">
        <f t="shared" ref="J124" si="52">IF(J$4="","",J123/Market_Price)</f>
        <v>3.5532690186476458E-2</v>
      </c>
      <c r="K124" s="74">
        <f t="shared" ref="K124" si="53">IF(K$4="","",K123/Market_Price)</f>
        <v>4.537467278297389E-4</v>
      </c>
      <c r="L124" s="74">
        <f t="shared" ref="L124" si="54">IF(L$4="","",L123/Market_Price)</f>
        <v>4.4575214262511965E-2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7.3257870108623738E-2</v>
      </c>
      <c r="H125" s="22">
        <f>IF(H$4="","",(Data!D47*$C$3)/(Market_Price*Common_Shares))</f>
        <v>0.14137483705173001</v>
      </c>
      <c r="I125" s="22">
        <f>IF(I$4="","",(Data!E47*$C$3)/(Market_Price*Common_Shares))</f>
        <v>7.3621911896822323E-2</v>
      </c>
      <c r="J125" s="22">
        <f>IF(J$4="","",(Data!F47*$C$3)/(Market_Price*Common_Shares))</f>
        <v>3.0677643212456689E-2</v>
      </c>
      <c r="K125" s="22">
        <f>IF(K$4="","",(Data!G47*$C$3)/(Market_Price*Common_Shares))</f>
        <v>-1.4140649285939947E-2</v>
      </c>
      <c r="L125" s="22">
        <f>IF(L$4="","",(Data!H47*$C$3)/(Market_Price*Common_Shares))</f>
        <v>0.15618025829872825</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6.1207494191432481</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1.1375999450683594</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-45774.213160902182</v>
      </c>
      <c r="D10" t="str">
        <f>Market_currency</f>
        <v>HKD</v>
      </c>
      <c r="H10" s="308" t="s">
        <v>397</v>
      </c>
      <c r="I10" s="306">
        <f>Normalized_FCF!C41</f>
        <v>0.25</v>
      </c>
      <c r="N10" s="304"/>
      <c r="O10" s="304"/>
    </row>
    <row r="11" spans="2:15" ht="13.15">
      <c r="B11" s="136" t="s">
        <v>425</v>
      </c>
      <c r="C11" s="108">
        <f>(C10*scaling_factor)/Common_Shares</f>
        <v>-16.243510702946125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154.54845147546888</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-16.243510702946125</v>
      </c>
      <c r="C73" s="119">
        <f>C11</f>
        <v>-16.243510702946125</v>
      </c>
      <c r="D73" s="119">
        <f>C11</f>
        <v>-16.243510702946125</v>
      </c>
      <c r="E73" s="119">
        <f>C11</f>
        <v>-16.243510702946125</v>
      </c>
      <c r="F73" s="119">
        <f>C11</f>
        <v>-16.243510702946125</v>
      </c>
      <c r="G73" s="296"/>
      <c r="H73" s="296"/>
      <c r="I73" s="296"/>
      <c r="J73" s="296"/>
      <c r="K73" s="296"/>
      <c r="L73" s="296"/>
    </row>
    <row r="74" spans="1:21" ht="13.15">
      <c r="A74" s="131">
        <v>1</v>
      </c>
      <c r="B74" s="119">
        <f t="shared" ref="B74:F87" si="11">(B56+FV_adjustments)/Common_Shares*scaling_factor*Exchange_Rate</f>
        <v>158.61459936379228</v>
      </c>
      <c r="C74" s="119">
        <f t="shared" si="11"/>
        <v>161.66447636268529</v>
      </c>
      <c r="D74" s="119">
        <f t="shared" si="11"/>
        <v>163.1894148621318</v>
      </c>
      <c r="E74" s="119">
        <f t="shared" si="11"/>
        <v>166.23929186102475</v>
      </c>
      <c r="F74" s="119">
        <f t="shared" si="11"/>
        <v>170.81410735936421</v>
      </c>
      <c r="G74" s="296"/>
      <c r="H74" s="296"/>
      <c r="I74" s="296"/>
      <c r="J74" s="296"/>
      <c r="K74" s="296"/>
      <c r="L74" s="296"/>
    </row>
    <row r="75" spans="1:21" ht="13.15">
      <c r="A75" s="131">
        <v>2</v>
      </c>
      <c r="B75" s="119">
        <f t="shared" si="11"/>
        <v>158.41090025212679</v>
      </c>
      <c r="C75" s="119">
        <f t="shared" si="11"/>
        <v>164.58762885615829</v>
      </c>
      <c r="D75" s="119">
        <f t="shared" si="11"/>
        <v>167.72203618151772</v>
      </c>
      <c r="E75" s="119">
        <f t="shared" si="11"/>
        <v>174.08293687892402</v>
      </c>
      <c r="F75" s="119">
        <f t="shared" si="11"/>
        <v>183.854503041752</v>
      </c>
      <c r="G75" s="296"/>
      <c r="H75" s="296"/>
      <c r="I75" s="296"/>
      <c r="J75" s="296"/>
      <c r="K75" s="296"/>
      <c r="L75" s="296"/>
    </row>
    <row r="76" spans="1:21" ht="13.15">
      <c r="A76" s="131">
        <v>3</v>
      </c>
      <c r="B76" s="119">
        <f t="shared" si="11"/>
        <v>158.10766559189591</v>
      </c>
      <c r="C76" s="119">
        <f t="shared" si="11"/>
        <v>167.25211844187547</v>
      </c>
      <c r="D76" s="119">
        <f t="shared" si="11"/>
        <v>171.9583385551237</v>
      </c>
      <c r="E76" s="119">
        <f t="shared" si="11"/>
        <v>181.64305921392682</v>
      </c>
      <c r="F76" s="119">
        <f t="shared" si="11"/>
        <v>196.8637204502667</v>
      </c>
      <c r="G76" s="296"/>
      <c r="H76" s="296"/>
      <c r="I76" s="296"/>
      <c r="J76" s="296"/>
      <c r="K76" s="296"/>
      <c r="L76" s="296"/>
    </row>
    <row r="77" spans="1:21" ht="13.15">
      <c r="A77" s="131">
        <v>4</v>
      </c>
      <c r="B77" s="119">
        <f t="shared" si="11"/>
        <v>157.93057538989481</v>
      </c>
      <c r="C77" s="119">
        <f t="shared" si="11"/>
        <v>169.8960926469357</v>
      </c>
      <c r="D77" s="119">
        <f t="shared" si="11"/>
        <v>176.13884873077936</v>
      </c>
      <c r="E77" s="119">
        <f t="shared" si="11"/>
        <v>189.16105238478241</v>
      </c>
      <c r="F77" s="119">
        <f t="shared" si="11"/>
        <v>210.08713699239553</v>
      </c>
      <c r="G77" s="296"/>
      <c r="H77" s="296"/>
      <c r="I77" s="296"/>
      <c r="J77" s="296"/>
      <c r="K77" s="296"/>
      <c r="L77" s="296"/>
    </row>
    <row r="78" spans="1:21" ht="13.15">
      <c r="A78" s="131">
        <v>5</v>
      </c>
      <c r="B78" s="119">
        <f t="shared" si="11"/>
        <v>146.36847363728427</v>
      </c>
      <c r="C78" s="119">
        <f t="shared" si="11"/>
        <v>160.55322075771392</v>
      </c>
      <c r="D78" s="119">
        <f t="shared" si="11"/>
        <v>168.06263873549389</v>
      </c>
      <c r="E78" s="119">
        <f t="shared" si="11"/>
        <v>183.9561520110183</v>
      </c>
      <c r="F78" s="119">
        <f t="shared" si="11"/>
        <v>210.10958437725375</v>
      </c>
      <c r="G78" s="296"/>
      <c r="H78" s="296"/>
      <c r="I78" s="296"/>
      <c r="J78" s="296"/>
      <c r="K78" s="296"/>
      <c r="L78" s="296"/>
    </row>
    <row r="79" spans="1:21" ht="13.15">
      <c r="A79" s="131">
        <v>6</v>
      </c>
      <c r="B79" s="119">
        <f t="shared" si="11"/>
        <v>146.21451646295802</v>
      </c>
      <c r="C79" s="119">
        <f t="shared" si="11"/>
        <v>162.94467984602113</v>
      </c>
      <c r="D79" s="119">
        <f t="shared" si="11"/>
        <v>171.91839109098254</v>
      </c>
      <c r="E79" s="119">
        <f t="shared" si="11"/>
        <v>191.16201372302228</v>
      </c>
      <c r="F79" s="119">
        <f t="shared" si="11"/>
        <v>223.51859046154061</v>
      </c>
      <c r="G79" s="296"/>
      <c r="H79" s="296"/>
      <c r="I79" s="296"/>
      <c r="J79" s="296"/>
      <c r="K79" s="296"/>
      <c r="L79" s="296"/>
    </row>
    <row r="80" spans="1:21" ht="13.15">
      <c r="A80" s="131">
        <f t="shared" ref="A80" si="12">A62</f>
        <v>7</v>
      </c>
      <c r="B80" s="119">
        <f t="shared" si="11"/>
        <v>135.44440936974416</v>
      </c>
      <c r="C80" s="119">
        <f t="shared" si="11"/>
        <v>153.94208690509586</v>
      </c>
      <c r="D80" s="119">
        <f t="shared" si="11"/>
        <v>164.00942533783353</v>
      </c>
      <c r="E80" s="119">
        <f t="shared" si="11"/>
        <v>185.91513513936508</v>
      </c>
      <c r="F80" s="119">
        <f t="shared" si="11"/>
        <v>223.63496409443482</v>
      </c>
      <c r="G80" s="296"/>
      <c r="H80" s="296"/>
      <c r="I80" s="296"/>
      <c r="J80" s="296"/>
      <c r="K80" s="296"/>
      <c r="L80" s="296"/>
    </row>
    <row r="81" spans="1:12" ht="13.15">
      <c r="A81" s="131">
        <v>8</v>
      </c>
      <c r="B81" s="119">
        <f t="shared" si="11"/>
        <v>135.31056339035808</v>
      </c>
      <c r="C81" s="119">
        <f t="shared" si="11"/>
        <v>156.10514755829797</v>
      </c>
      <c r="D81" s="119">
        <f t="shared" si="11"/>
        <v>167.56564828723111</v>
      </c>
      <c r="E81" s="119">
        <f t="shared" si="11"/>
        <v>192.82182444227851</v>
      </c>
      <c r="F81" s="119">
        <f t="shared" si="11"/>
        <v>237.23216445453917</v>
      </c>
      <c r="G81" s="296"/>
      <c r="H81" s="296"/>
      <c r="I81" s="296"/>
      <c r="J81" s="296"/>
      <c r="K81" s="296"/>
      <c r="L81" s="296"/>
    </row>
    <row r="82" spans="1:12" ht="13.15">
      <c r="A82" s="131">
        <f t="shared" ref="A82" si="13">A64</f>
        <v>9</v>
      </c>
      <c r="B82" s="119">
        <f t="shared" si="11"/>
        <v>125.2775533579959</v>
      </c>
      <c r="C82" s="119">
        <f t="shared" si="11"/>
        <v>147.43735689719136</v>
      </c>
      <c r="D82" s="119">
        <f t="shared" si="11"/>
        <v>159.82916884565262</v>
      </c>
      <c r="E82" s="119">
        <f t="shared" si="11"/>
        <v>187.54012465472081</v>
      </c>
      <c r="F82" s="119">
        <f t="shared" si="11"/>
        <v>237.44443720626555</v>
      </c>
      <c r="G82" s="296"/>
      <c r="H82" s="296"/>
      <c r="I82" s="296"/>
      <c r="J82" s="296"/>
      <c r="K82" s="296"/>
      <c r="L82" s="296"/>
    </row>
    <row r="83" spans="1:12" ht="13.15">
      <c r="A83" s="131">
        <f t="shared" ref="A83:A87" si="14">A65</f>
        <v>10</v>
      </c>
      <c r="B83" s="119">
        <f t="shared" si="11"/>
        <v>125.16119147829642</v>
      </c>
      <c r="C83" s="119">
        <f t="shared" si="11"/>
        <v>149.39383251172637</v>
      </c>
      <c r="D83" s="119">
        <f t="shared" si="11"/>
        <v>163.10913096454212</v>
      </c>
      <c r="E83" s="119">
        <f t="shared" si="11"/>
        <v>194.16006256547948</v>
      </c>
      <c r="F83" s="119">
        <f t="shared" si="11"/>
        <v>251.23247313306504</v>
      </c>
      <c r="G83" s="296"/>
      <c r="H83" s="296"/>
      <c r="I83" s="296"/>
      <c r="J83" s="296"/>
      <c r="K83" s="296"/>
      <c r="L83" s="296"/>
    </row>
    <row r="84" spans="1:12" ht="13.15">
      <c r="A84" s="131">
        <f t="shared" si="14"/>
        <v>15</v>
      </c>
      <c r="B84" s="119">
        <f t="shared" si="11"/>
        <v>98.803294171882243</v>
      </c>
      <c r="C84" s="119">
        <f t="shared" si="11"/>
        <v>128.70357426006692</v>
      </c>
      <c r="D84" s="119">
        <f t="shared" si="11"/>
        <v>146.78609105335948</v>
      </c>
      <c r="E84" s="119">
        <f t="shared" si="11"/>
        <v>190.59830952801852</v>
      </c>
      <c r="F84" s="119">
        <f t="shared" si="11"/>
        <v>280.6242313174061</v>
      </c>
      <c r="G84" s="296"/>
      <c r="H84" s="296"/>
      <c r="I84" s="296"/>
      <c r="J84" s="296"/>
      <c r="K84" s="296"/>
      <c r="L84" s="296"/>
    </row>
    <row r="85" spans="1:12" ht="13.15">
      <c r="A85" s="132">
        <f t="shared" si="14"/>
        <v>20</v>
      </c>
      <c r="B85" s="119">
        <f t="shared" si="11"/>
        <v>83.998149431608525</v>
      </c>
      <c r="C85" s="119">
        <f t="shared" si="11"/>
        <v>118.14856602771685</v>
      </c>
      <c r="D85" s="119">
        <f t="shared" si="11"/>
        <v>140.07598718735969</v>
      </c>
      <c r="E85" s="119">
        <f t="shared" si="11"/>
        <v>196.65028454176348</v>
      </c>
      <c r="F85" s="119">
        <f t="shared" si="11"/>
        <v>325.70144275995455</v>
      </c>
      <c r="G85" s="296"/>
      <c r="H85" s="296"/>
      <c r="I85" s="296"/>
      <c r="J85" s="296"/>
      <c r="K85" s="296"/>
      <c r="L85" s="296"/>
    </row>
    <row r="86" spans="1:12" ht="13.15">
      <c r="A86" s="132">
        <f t="shared" si="14"/>
        <v>25</v>
      </c>
      <c r="B86" s="119">
        <f t="shared" si="11"/>
        <v>65.521965611435277</v>
      </c>
      <c r="C86" s="119">
        <f t="shared" si="11"/>
        <v>100.59348354982086</v>
      </c>
      <c r="D86" s="119">
        <f t="shared" si="11"/>
        <v>124.56495123193156</v>
      </c>
      <c r="E86" s="119">
        <f t="shared" si="11"/>
        <v>190.6356056585403</v>
      </c>
      <c r="F86" s="119">
        <f t="shared" si="11"/>
        <v>358.72007648579074</v>
      </c>
      <c r="G86" s="296"/>
      <c r="H86" s="296"/>
      <c r="I86" s="296"/>
      <c r="J86" s="296"/>
      <c r="K86" s="296"/>
      <c r="L86" s="296"/>
    </row>
    <row r="87" spans="1:12" ht="13.15">
      <c r="A87" s="132">
        <f t="shared" si="14"/>
        <v>30</v>
      </c>
      <c r="B87" s="119">
        <f t="shared" si="11"/>
        <v>55.15805815850311</v>
      </c>
      <c r="C87" s="119">
        <f t="shared" si="11"/>
        <v>91.24756963062238</v>
      </c>
      <c r="D87" s="119">
        <f t="shared" si="11"/>
        <v>117.30554175778791</v>
      </c>
      <c r="E87" s="119">
        <f t="shared" si="11"/>
        <v>193.55041920703729</v>
      </c>
      <c r="F87" s="119">
        <f t="shared" si="11"/>
        <v>408.07197783717118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251.23247313306504</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194.16006256547948</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163.10913096454212</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149.39383251172637</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125.16119147829642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194.16006256547948</v>
      </c>
      <c r="F22" s="328">
        <f>1-F23-F24</f>
        <v>0.19999999999999996</v>
      </c>
      <c r="G22" s="328">
        <f>F22*(1-F$29-F$30)</f>
        <v>0.15999999999999995</v>
      </c>
    </row>
    <row r="23" spans="2:7">
      <c r="B23" s="302" t="s">
        <v>437</v>
      </c>
      <c r="C23" s="324">
        <v>0.03</v>
      </c>
      <c r="D23" s="325">
        <f>C18</f>
        <v>10</v>
      </c>
      <c r="E23" s="326">
        <f>DCF!E92</f>
        <v>163.10913096454212</v>
      </c>
      <c r="F23" s="327">
        <v>0.55000000000000004</v>
      </c>
      <c r="G23" s="328">
        <f t="shared" ref="G23:G24" si="0">F23*(1-F$29-F$30)</f>
        <v>0.44</v>
      </c>
    </row>
    <row r="24" spans="2:7">
      <c r="B24" s="302" t="s">
        <v>446</v>
      </c>
      <c r="C24" s="324">
        <v>0.02</v>
      </c>
      <c r="D24" s="325">
        <f>C18</f>
        <v>10</v>
      </c>
      <c r="E24" s="326">
        <f>DCF!E93</f>
        <v>149.39383251172637</v>
      </c>
      <c r="F24" s="327">
        <v>0.25</v>
      </c>
      <c r="G24" s="328">
        <f t="shared" si="0"/>
        <v>0.19999999999999998</v>
      </c>
    </row>
    <row r="25" spans="2:7">
      <c r="B25" s="141" t="s">
        <v>451</v>
      </c>
      <c r="C25" s="441">
        <f>E23*F23+E24*F24+E22*F22</f>
        <v>165.89049267152564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251.23247313306504</v>
      </c>
      <c r="F29" s="327">
        <v>0.15</v>
      </c>
      <c r="G29" s="328">
        <f>F29</f>
        <v>0.15</v>
      </c>
    </row>
    <row r="30" spans="2:7">
      <c r="B30" s="315" t="s">
        <v>447</v>
      </c>
      <c r="C30" s="324">
        <v>0</v>
      </c>
      <c r="D30" s="325">
        <f>C18</f>
        <v>10</v>
      </c>
      <c r="E30" s="326">
        <f>DCF!E94</f>
        <v>125.16119147829642</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112.1</v>
      </c>
      <c r="D34" t="str">
        <f>Market_currency</f>
        <v>HKD</v>
      </c>
      <c r="E34" s="97" t="s">
        <v>454</v>
      </c>
      <c r="F34" s="330">
        <f>RATE(Holding_Period,$C$33,-C34,$C$36)</f>
        <v>0.19087453488483108</v>
      </c>
    </row>
    <row r="35" spans="2:7">
      <c r="B35" s="97" t="s">
        <v>434</v>
      </c>
      <c r="C35" s="320">
        <f>DCF!C11</f>
        <v>-16.243510702946125</v>
      </c>
      <c r="D35" s="97" t="str">
        <f>Market_currency</f>
        <v>HKD</v>
      </c>
      <c r="E35" s="97" t="s">
        <v>454</v>
      </c>
      <c r="F35" s="330" t="e">
        <f>RATE(Holding_Period,$C$33,-C35,$C$36)</f>
        <v>#NUM!</v>
      </c>
    </row>
    <row r="36" spans="2:7">
      <c r="B36" s="97" t="s">
        <v>435</v>
      </c>
      <c r="C36" s="321">
        <f>E22*G22+E23*G23+E24*G24+E30*G30+E29*G29</f>
        <v>176.6553246810951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154.54845147546888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3.4647975826331043E-2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6.3745562130177529</v>
      </c>
      <c r="D62" s="119">
        <f>C36/(1+F62)^Holding_Period</f>
        <v>80.407521475236706</v>
      </c>
      <c r="E62" s="332">
        <f>C62+D62</f>
        <v>86.782077688254461</v>
      </c>
      <c r="F62" s="301">
        <f>Thesis!E22</f>
        <v>0.3</v>
      </c>
      <c r="G62" s="440">
        <f>(1-E62/C36)</f>
        <v>0.50874915406644683</v>
      </c>
    </row>
    <row r="63" spans="2:7" ht="13.15">
      <c r="B63" s="302" t="s">
        <v>313</v>
      </c>
      <c r="C63" s="119">
        <f>PV(F63, Holding_Period, -C58, 0)</f>
        <v>7.3937499999999998</v>
      </c>
      <c r="D63" s="119">
        <f>C36/(1+F63)^Holding_Period</f>
        <v>102.23109067193003</v>
      </c>
      <c r="E63" s="332">
        <f>C63+D63</f>
        <v>109.62484067193003</v>
      </c>
      <c r="F63" s="301">
        <f>Thesis!E23</f>
        <v>0.2</v>
      </c>
      <c r="G63" s="440">
        <f>(1-E63/C36)</f>
        <v>0.37944219417201852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126.61953994657928</v>
      </c>
      <c r="E66" s="332">
        <f>C66+D66</f>
        <v>135.08777691862394</v>
      </c>
      <c r="F66" s="301">
        <f>Thesis!E24</f>
        <v>0.1174</v>
      </c>
      <c r="G66" s="440">
        <f>(1-E66/C36)</f>
        <v>0.2353031126432813</v>
      </c>
    </row>
    <row r="67" spans="2:7" ht="13.15">
      <c r="B67" s="302" t="s">
        <v>314</v>
      </c>
      <c r="C67" s="119">
        <f>PV(F67, Holding_Period, -C58, 0)</f>
        <v>9.1694370473772864</v>
      </c>
      <c r="D67" s="119">
        <f>C36/(1+F67)^Holding_Period</f>
        <v>143.19730012007545</v>
      </c>
      <c r="E67" s="332">
        <f>C67+D67</f>
        <v>152.36673716745275</v>
      </c>
      <c r="F67" s="301">
        <f>Thesis!E25</f>
        <v>7.2499999999999995E-2</v>
      </c>
      <c r="G67" s="440">
        <f>(1-E67/C36)</f>
        <v>0.13749139776844554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112.1</v>
      </c>
    </row>
    <row r="9" spans="1:10">
      <c r="B9" s="351" t="s">
        <v>361</v>
      </c>
      <c r="C9" s="353">
        <f>Common_Shares</f>
        <v>2818000000</v>
      </c>
    </row>
    <row r="10" spans="1:10">
      <c r="B10" s="351" t="s">
        <v>367</v>
      </c>
      <c r="C10" s="357">
        <f>投资主题!C8*Common_Shares/1000000</f>
        <v>315897.8</v>
      </c>
      <c r="D10" s="343" t="s">
        <v>529</v>
      </c>
      <c r="E10" s="360">
        <f>Scenarios!F34</f>
        <v>0.19087453488483108</v>
      </c>
    </row>
    <row r="11" spans="1:10">
      <c r="D11" s="349"/>
      <c r="E11" s="349"/>
    </row>
    <row r="12" spans="1:10" ht="24.5" customHeight="1">
      <c r="B12" s="475" t="s">
        <v>498</v>
      </c>
      <c r="C12" s="475"/>
      <c r="D12" s="475"/>
      <c r="E12" s="475"/>
      <c r="F12" s="475"/>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1.1375999450683594</v>
      </c>
    </row>
    <row r="17" spans="1:6">
      <c r="B17" s="343" t="s">
        <v>535</v>
      </c>
      <c r="C17" s="424">
        <f>Terminal_Growth</f>
        <v>0.02</v>
      </c>
      <c r="D17" s="351" t="s">
        <v>339</v>
      </c>
      <c r="E17" s="344" t="str">
        <f>Reporting_currency</f>
        <v>CNY</v>
      </c>
    </row>
    <row r="18" spans="1:6">
      <c r="B18" s="343" t="str">
        <f>"预期股权价值 ("&amp;C7&amp;") :"</f>
        <v>预期股权价值 (HKD) :</v>
      </c>
      <c r="C18" s="359">
        <f>C125</f>
        <v>176.6553246810951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86.782077688254461</v>
      </c>
      <c r="D22" s="365" t="s">
        <v>440</v>
      </c>
      <c r="E22" s="366">
        <f>Thesis!E22</f>
        <v>0.3</v>
      </c>
    </row>
    <row r="23" spans="1:6">
      <c r="B23" s="343" t="s">
        <v>341</v>
      </c>
      <c r="C23" s="367">
        <f>E141</f>
        <v>109.62484067193003</v>
      </c>
      <c r="D23" s="365" t="s">
        <v>441</v>
      </c>
      <c r="E23" s="368">
        <f>Thesis!E23</f>
        <v>0.2</v>
      </c>
    </row>
    <row r="24" spans="1:6">
      <c r="B24" s="343" t="s">
        <v>343</v>
      </c>
      <c r="C24" s="367">
        <f>E144</f>
        <v>135.08777691862394</v>
      </c>
      <c r="D24" s="365" t="s">
        <v>443</v>
      </c>
      <c r="E24" s="368">
        <f>Thesis!E24</f>
        <v>0.1174</v>
      </c>
    </row>
    <row r="25" spans="1:6">
      <c r="B25" s="343" t="s">
        <v>342</v>
      </c>
      <c r="C25" s="367">
        <f>E145</f>
        <v>152.36673716745275</v>
      </c>
      <c r="D25" s="365" t="s">
        <v>442</v>
      </c>
      <c r="E25" s="368">
        <f>Thesis!E25</f>
        <v>7.2499999999999995E-2</v>
      </c>
    </row>
    <row r="27" spans="1:6" ht="13.9">
      <c r="A27" s="345" t="s">
        <v>345</v>
      </c>
      <c r="B27" s="345"/>
      <c r="C27" s="345"/>
      <c r="D27" s="345"/>
      <c r="E27" s="345"/>
      <c r="F27" s="345"/>
    </row>
    <row r="29" spans="1:6">
      <c r="B29" s="475" t="s">
        <v>499</v>
      </c>
      <c r="C29" s="475"/>
      <c r="D29" s="475"/>
      <c r="E29" s="475"/>
      <c r="F29" s="475"/>
    </row>
    <row r="30" spans="1:6" ht="24.5" customHeight="1">
      <c r="B30" s="478" t="s">
        <v>500</v>
      </c>
      <c r="C30" s="478"/>
      <c r="D30" s="478"/>
      <c r="E30" s="478"/>
      <c r="F30" s="478"/>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7"/>
      <c r="D54" s="477"/>
      <c r="E54" s="477"/>
      <c r="F54" s="477"/>
    </row>
    <row r="55" spans="2:6">
      <c r="B55" s="372" t="s">
        <v>207</v>
      </c>
      <c r="C55" s="373">
        <f>Normalized_FCF!C17</f>
        <v>0</v>
      </c>
      <c r="D55" s="343" t="str">
        <f>Reporting_currency</f>
        <v>CNY</v>
      </c>
    </row>
    <row r="57" spans="2:6">
      <c r="B57" s="475" t="s">
        <v>508</v>
      </c>
      <c r="C57" s="475"/>
      <c r="D57" s="475"/>
      <c r="E57" s="475"/>
      <c r="F57" s="475"/>
    </row>
    <row r="58" spans="2:6">
      <c r="B58" s="475" t="s">
        <v>509</v>
      </c>
      <c r="C58" s="475"/>
      <c r="D58" s="475"/>
      <c r="E58" s="475"/>
      <c r="F58" s="475"/>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-1.0268524745147821E-2</v>
      </c>
      <c r="F62" s="379"/>
    </row>
    <row r="63" spans="2:6">
      <c r="B63" s="377" t="s">
        <v>332</v>
      </c>
      <c r="C63" s="378">
        <f>Normalized_FCF!C92</f>
        <v>3.1311329170383588E-2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5" t="s">
        <v>510</v>
      </c>
      <c r="C73" s="475"/>
      <c r="D73" s="475"/>
      <c r="E73" s="475"/>
      <c r="F73" s="475"/>
    </row>
    <row r="74" spans="1:6">
      <c r="B74" s="478" t="s">
        <v>479</v>
      </c>
      <c r="C74" s="478"/>
      <c r="D74" s="478"/>
      <c r="E74" s="478"/>
      <c r="F74" s="478"/>
    </row>
    <row r="76" spans="1:6">
      <c r="B76" s="369" t="s">
        <v>371</v>
      </c>
    </row>
    <row r="77" spans="1:6">
      <c r="B77" s="475" t="s">
        <v>511</v>
      </c>
      <c r="C77" s="475"/>
      <c r="D77" s="475"/>
      <c r="E77" s="475"/>
      <c r="F77" s="475"/>
    </row>
    <row r="78" spans="1:6">
      <c r="B78" s="343" t="s">
        <v>215</v>
      </c>
      <c r="C78" s="373">
        <f>DCF!F4</f>
        <v>-106603</v>
      </c>
      <c r="D78" s="343" t="str">
        <f>Reporting_currency</f>
        <v>CNY</v>
      </c>
    </row>
    <row r="79" spans="1:6">
      <c r="B79" s="372" t="s">
        <v>234</v>
      </c>
      <c r="C79" s="387">
        <f>C78*scaling_factor*Exchange_Rate/Common_Shares</f>
        <v>-43.034622762286133</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16.154397082267828</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33.00097509916155</v>
      </c>
      <c r="D90" s="343" t="str">
        <f>Market_currency</f>
        <v>HKD</v>
      </c>
    </row>
    <row r="92" spans="1:6">
      <c r="B92" s="372" t="s">
        <v>480</v>
      </c>
      <c r="C92" s="387">
        <f>DCF!F8</f>
        <v>6.1207494191432481</v>
      </c>
      <c r="D92" s="343" t="str">
        <f>Market_currency</f>
        <v>HKD</v>
      </c>
    </row>
    <row r="94" spans="1:6" ht="13.9">
      <c r="A94" s="345" t="s">
        <v>482</v>
      </c>
      <c r="B94" s="345"/>
      <c r="C94" s="345"/>
      <c r="D94" s="345"/>
      <c r="E94" s="345"/>
      <c r="F94" s="345"/>
    </row>
    <row r="95" spans="1:6">
      <c r="A95" s="385"/>
    </row>
    <row r="96" spans="1:6">
      <c r="A96" s="385"/>
      <c r="B96" s="475" t="s">
        <v>514</v>
      </c>
      <c r="C96" s="475"/>
      <c r="D96" s="475"/>
      <c r="E96" s="475"/>
      <c r="F96" s="475"/>
    </row>
    <row r="97" spans="1:6">
      <c r="A97" s="385"/>
      <c r="B97" s="478" t="s">
        <v>515</v>
      </c>
      <c r="C97" s="478"/>
      <c r="D97" s="478"/>
      <c r="E97" s="478"/>
      <c r="F97" s="478"/>
    </row>
    <row r="98" spans="1:6">
      <c r="A98" s="385"/>
      <c r="B98" s="478" t="s">
        <v>516</v>
      </c>
      <c r="C98" s="478"/>
      <c r="D98" s="478"/>
      <c r="E98" s="478"/>
      <c r="F98" s="478"/>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5" t="s">
        <v>517</v>
      </c>
      <c r="C107" s="475"/>
      <c r="D107" s="475"/>
      <c r="E107" s="475"/>
      <c r="F107" s="475"/>
    </row>
    <row r="108" spans="1:6">
      <c r="A108" s="385"/>
      <c r="B108" s="475" t="s">
        <v>536</v>
      </c>
      <c r="C108" s="475"/>
      <c r="D108" s="475"/>
      <c r="E108" s="475"/>
      <c r="F108" s="475"/>
    </row>
    <row r="109" spans="1:6">
      <c r="A109" s="385"/>
    </row>
    <row r="110" spans="1:6">
      <c r="A110" s="385"/>
      <c r="B110" s="369" t="s">
        <v>489</v>
      </c>
    </row>
    <row r="111" spans="1:6">
      <c r="A111" s="385"/>
      <c r="B111" s="375" t="s">
        <v>486</v>
      </c>
      <c r="C111" s="394">
        <f>BS!D47</f>
        <v>-67.238716724834376</v>
      </c>
      <c r="D111" s="343" t="str">
        <f>Market_currency</f>
        <v>HKD</v>
      </c>
    </row>
    <row r="112" spans="1:6">
      <c r="A112" s="385"/>
      <c r="B112" s="372" t="s">
        <v>377</v>
      </c>
      <c r="C112" s="394">
        <f>DCF!C11</f>
        <v>-16.243510702946125</v>
      </c>
      <c r="D112" s="343" t="str">
        <f>Market_currency</f>
        <v>HKD</v>
      </c>
    </row>
    <row r="113" spans="1:6">
      <c r="A113" s="385"/>
    </row>
    <row r="114" spans="1:6">
      <c r="A114" s="385"/>
      <c r="B114" s="475" t="s">
        <v>518</v>
      </c>
      <c r="C114" s="475"/>
      <c r="D114" s="475"/>
      <c r="E114" s="475"/>
      <c r="F114" s="475"/>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251.23 HKD</v>
      </c>
      <c r="F118" s="399">
        <f>DCF!F90</f>
        <v>0.15</v>
      </c>
    </row>
    <row r="119" spans="1:6">
      <c r="A119" s="385"/>
      <c r="B119" s="400" t="str">
        <f>DCF!B91</f>
        <v>Optimistic</v>
      </c>
      <c r="C119" s="401">
        <f>DCF!C91</f>
        <v>0.05</v>
      </c>
      <c r="D119" s="402">
        <f>DCF!D91</f>
        <v>10</v>
      </c>
      <c r="E119" s="398" t="str">
        <f>ROUND(DCF!E91,2)&amp;" "&amp;Market_currency</f>
        <v>194.16 HKD</v>
      </c>
      <c r="F119" s="403">
        <f>DCF!F91</f>
        <v>0.15999999999999995</v>
      </c>
    </row>
    <row r="120" spans="1:6">
      <c r="B120" s="400" t="str">
        <f>DCF!B92</f>
        <v>Base</v>
      </c>
      <c r="C120" s="401">
        <f>DCF!C92</f>
        <v>0.03</v>
      </c>
      <c r="D120" s="402">
        <f>DCF!D92</f>
        <v>10</v>
      </c>
      <c r="E120" s="398" t="str">
        <f>ROUND(DCF!E92,2)&amp;" "&amp;Market_currency</f>
        <v>163.11 HKD</v>
      </c>
      <c r="F120" s="403">
        <f>DCF!F92</f>
        <v>0.44</v>
      </c>
    </row>
    <row r="121" spans="1:6">
      <c r="B121" s="400" t="str">
        <f>DCF!B93</f>
        <v>Pessimistic</v>
      </c>
      <c r="C121" s="401">
        <f>DCF!C93</f>
        <v>0.02</v>
      </c>
      <c r="D121" s="402">
        <f>DCF!D93</f>
        <v>10</v>
      </c>
      <c r="E121" s="398" t="str">
        <f>ROUND(DCF!E93,2)&amp;" "&amp;Market_currency</f>
        <v>149.39 HKD</v>
      </c>
      <c r="F121" s="403">
        <f>DCF!F93</f>
        <v>0.19999999999999998</v>
      </c>
    </row>
    <row r="122" spans="1:6">
      <c r="B122" s="400" t="str">
        <f>DCF!B94</f>
        <v>Devil's advocate</v>
      </c>
      <c r="C122" s="401">
        <f>DCF!C94</f>
        <v>0</v>
      </c>
      <c r="D122" s="402">
        <f>DCF!D94</f>
        <v>10</v>
      </c>
      <c r="E122" s="398" t="str">
        <f>ROUND(DCF!E94,2)&amp;" "&amp;Market_currency</f>
        <v>125.16 HKD</v>
      </c>
      <c r="F122" s="403">
        <f>DCF!F94</f>
        <v>0.05</v>
      </c>
    </row>
    <row r="124" spans="1:6">
      <c r="B124" s="471" t="s">
        <v>519</v>
      </c>
      <c r="C124" s="471"/>
      <c r="D124" s="471"/>
      <c r="E124" s="471"/>
      <c r="F124" s="471"/>
    </row>
    <row r="125" spans="1:6">
      <c r="B125" s="372" t="s">
        <v>218</v>
      </c>
      <c r="C125" s="404">
        <f>Scenarios!C36</f>
        <v>176.6553246810951</v>
      </c>
      <c r="D125" s="343" t="str">
        <f>Market_currency</f>
        <v>HKD</v>
      </c>
    </row>
    <row r="127" spans="1:6">
      <c r="B127" s="473" t="s">
        <v>520</v>
      </c>
      <c r="C127" s="473"/>
      <c r="D127" s="473"/>
      <c r="E127" s="473"/>
      <c r="F127" s="473"/>
    </row>
    <row r="129" spans="1:6" ht="13.9">
      <c r="A129" s="345" t="s">
        <v>492</v>
      </c>
      <c r="B129" s="345"/>
      <c r="C129" s="345"/>
      <c r="D129" s="345"/>
      <c r="E129" s="345"/>
      <c r="F129" s="345"/>
    </row>
    <row r="131" spans="1:6">
      <c r="B131" s="474" t="s">
        <v>521</v>
      </c>
      <c r="C131" s="474"/>
      <c r="D131" s="474"/>
      <c r="E131" s="474"/>
      <c r="F131" s="474"/>
    </row>
    <row r="132" spans="1:6" ht="24.5" customHeight="1">
      <c r="B132" s="475" t="s">
        <v>522</v>
      </c>
      <c r="C132" s="475"/>
      <c r="D132" s="475"/>
      <c r="E132" s="475"/>
      <c r="F132" s="475"/>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6.3745562130177529</v>
      </c>
      <c r="D140" s="409">
        <f>Scenarios!D62</f>
        <v>80.407521475236706</v>
      </c>
      <c r="E140" s="410">
        <f>Scenarios!E62</f>
        <v>86.782077688254461</v>
      </c>
      <c r="F140" s="411">
        <f>E22</f>
        <v>0.3</v>
      </c>
    </row>
    <row r="141" spans="1:6">
      <c r="B141" s="408" t="s">
        <v>313</v>
      </c>
      <c r="C141" s="409">
        <f>Scenarios!C63</f>
        <v>7.3937499999999998</v>
      </c>
      <c r="D141" s="409">
        <f>Scenarios!D63</f>
        <v>102.23109067193003</v>
      </c>
      <c r="E141" s="410">
        <f>Scenarios!E63</f>
        <v>109.62484067193003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126.61953994657928</v>
      </c>
      <c r="E144" s="410">
        <f>Scenarios!E66</f>
        <v>135.08777691862394</v>
      </c>
      <c r="F144" s="411">
        <f>E24</f>
        <v>0.1174</v>
      </c>
    </row>
    <row r="145" spans="1:6">
      <c r="B145" s="408" t="s">
        <v>314</v>
      </c>
      <c r="C145" s="409">
        <f>Scenarios!C67</f>
        <v>9.1694370473772864</v>
      </c>
      <c r="D145" s="409">
        <f>Scenarios!D67</f>
        <v>143.19730012007545</v>
      </c>
      <c r="E145" s="410">
        <f>Scenarios!E67</f>
        <v>152.36673716745275</v>
      </c>
      <c r="F145" s="411">
        <f>Scenarios!F67</f>
        <v>7.2499999999999995E-2</v>
      </c>
    </row>
    <row r="147" spans="1:6" ht="13.9">
      <c r="A147" s="345" t="s">
        <v>475</v>
      </c>
      <c r="B147" s="345"/>
      <c r="C147" s="345"/>
      <c r="D147" s="345"/>
      <c r="E147" s="345"/>
      <c r="F147" s="345"/>
    </row>
    <row r="149" spans="1:6">
      <c r="B149" s="476" t="s">
        <v>523</v>
      </c>
      <c r="C149" s="475"/>
      <c r="D149" s="475"/>
      <c r="E149" s="475"/>
      <c r="F149" s="475"/>
    </row>
    <row r="151" spans="1:6">
      <c r="B151" s="369" t="s">
        <v>384</v>
      </c>
    </row>
    <row r="152" spans="1:6">
      <c r="B152" s="477" t="s">
        <v>524</v>
      </c>
      <c r="C152" s="477"/>
      <c r="D152" s="477"/>
      <c r="E152" s="477"/>
      <c r="F152" s="477"/>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2" t="s">
        <v>388</v>
      </c>
      <c r="C161" s="472"/>
      <c r="D161" s="472"/>
      <c r="E161" s="472"/>
      <c r="F161" s="472"/>
    </row>
    <row r="162" spans="2:6">
      <c r="B162" s="472" t="s">
        <v>389</v>
      </c>
      <c r="C162" s="472"/>
      <c r="D162" s="472"/>
      <c r="E162" s="472"/>
      <c r="F162" s="472"/>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