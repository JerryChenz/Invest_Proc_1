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5D3832-DA62-4074-AB88-0B995CDBCD9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<sst xmlns="http://schemas.openxmlformats.org/spreadsheetml/2006/main" count="768" uniqueCount="559">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</sst>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112.2</v>
      </c>
      <c r="E8" s="32"/>
    </row>
    <row r="9" spans="1:9">
      <c r="B9" s="4" t="s">
        <v>345</v>
      </c>
      <c r="C9" s="48">
        <v>2818000000</v>
      </c>
    </row>
    <row r="10" spans="1:9">
      <c r="B10" s="4" t="s">
        <v>351</v>
      </c>
      <c r="C10" s="33">
        <f>Thesis!C8*Common_Shares/1000000</f>
        <v>316179.59999999998</v>
      </c>
      <c r="D10" s="1" t="s">
        <v>527</v>
      </c>
      <c r="E10" s="303">
        <f>Scenarios!F34</f>
        <v>0.19319694992377784</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1.1456630000000001</v>
      </c>
    </row>
    <row r="17" spans="1:6">
      <c r="B17" s="1" t="s">
        <v>531</v>
      </c>
      <c r="C17" s="456">
        <v>0.02</v>
      </c>
      <c r="D17" s="4" t="s">
        <v>273</v>
      </c>
      <c r="E17" s="224" t="s">
        <v>558</v>
      </c>
    </row>
    <row r="18" spans="1:6">
      <c r="B18" s="1" t="str">
        <f>"Expected Equity Value ("&amp;C7&amp;") :"</f>
        <v>Expected Equity Value (HKD) :</v>
      </c>
      <c r="C18" s="252">
        <f>C125</f>
        <v>177.90741826025302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87.351988284138827</v>
      </c>
      <c r="D22" s="38" t="s">
        <v>405</v>
      </c>
      <c r="E22" s="79">
        <v>0.3</v>
      </c>
    </row>
    <row r="23" spans="1:6">
      <c r="B23" s="1" t="s">
        <v>312</v>
      </c>
      <c r="C23" s="256">
        <f>E141</f>
        <v>110.34943186357235</v>
      </c>
      <c r="D23" s="38" t="s">
        <v>406</v>
      </c>
      <c r="E23" s="443">
        <v>0.2</v>
      </c>
    </row>
    <row r="24" spans="1:6">
      <c r="B24" s="1" t="s">
        <v>314</v>
      </c>
      <c r="C24" s="256">
        <f>E144</f>
        <v>135.98522800451249</v>
      </c>
      <c r="D24" s="38" t="s">
        <v>407</v>
      </c>
      <c r="E24" s="443">
        <v>0.1174</v>
      </c>
    </row>
    <row r="25" spans="1:6">
      <c r="B25" s="1" t="s">
        <v>313</v>
      </c>
      <c r="C25" s="256">
        <f>E145</f>
        <v>153.38168772360928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4776.6048103198409</v>
      </c>
      <c r="D34" s="1" t="str">
        <f>Reporting_currency</f>
        <v>CNY</v>
      </c>
    </row>
    <row r="35" spans="2:6">
      <c r="B35" s="44"/>
      <c r="C35" s="73"/>
    </row>
    <row r="36" spans="2:6" ht="24.5" customHeight="1">
      <c r="B36" s="461" t="s">
        <v>197</v>
      </c>
      <c r="C36" s="461"/>
      <c r="D36" s="461"/>
      <c r="E36" s="461"/>
      <c r="F36" s="461"/>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1" t="s">
        <v>205</v>
      </c>
      <c r="C51" s="461"/>
      <c r="D51" s="461"/>
      <c r="E51" s="461"/>
      <c r="F51" s="461"/>
    </row>
    <row r="52" spans="2:6">
      <c r="B52" s="44" t="s">
        <v>203</v>
      </c>
      <c r="C52" s="285">
        <f>Normalized_FCF!C12</f>
        <v>-292.53352697867024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-1.0332088910463976E-2</v>
      </c>
      <c r="F62" s="257"/>
    </row>
    <row r="63" spans="2:6">
      <c r="B63" s="204" t="s">
        <v>331</v>
      </c>
      <c r="C63" s="89">
        <f>Normalized_FCF!C92</f>
        <v>3.1283422459893045E-2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-106603</v>
      </c>
      <c r="D78" s="1" t="str">
        <f>Reporting_currency</f>
        <v>CNY</v>
      </c>
    </row>
    <row r="79" spans="1:6">
      <c r="A79" s="191"/>
      <c r="B79" s="44" t="s">
        <v>233</v>
      </c>
      <c r="C79" s="201">
        <f>C78*scaling_factor*Exchange_Rate/Common_Shares</f>
        <v>-43.339642579489002</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16.268895849278611</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33.234878657416608</v>
      </c>
      <c r="D90" s="1" t="str">
        <f>Market_currency</f>
        <v>HKD</v>
      </c>
    </row>
    <row r="91" spans="1:6">
      <c r="A91" s="191"/>
    </row>
    <row r="92" spans="1:6">
      <c r="A92" s="191"/>
      <c r="B92" s="44" t="s">
        <v>468</v>
      </c>
      <c r="C92" s="216">
        <f>DCF!F8</f>
        <v>6.1641319272062161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-67.715289766909194</v>
      </c>
      <c r="D111" s="1" t="str">
        <f>Market_currency</f>
        <v>HKD</v>
      </c>
    </row>
    <row r="112" spans="2:6">
      <c r="B112" s="44" t="s">
        <v>322</v>
      </c>
      <c r="C112" s="216">
        <f>DCF!C11</f>
        <v>-16.35864108744406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253.01 HKD</v>
      </c>
      <c r="E118" s="208">
        <f>DCF!F90</f>
        <v>0.15</v>
      </c>
      <c r="F118" s="208">
        <f>RATE(Holding_Period,Scenarios!C$58,-DCF!E90,C$18)</f>
        <v>-9.5112896315256504E-2</v>
      </c>
    </row>
    <row r="119" spans="2:6">
      <c r="B119" s="205" t="str">
        <f>DCF!B91&amp;" ("&amp;DCF!D91&amp;"yrs)"</f>
        <v>Optimistic (10yrs)</v>
      </c>
      <c r="C119" s="198">
        <f>DCF!C91</f>
        <v>0.05</v>
      </c>
      <c r="D119" s="207" t="str">
        <f>ROUND(DCF!E91,2)&amp;" "&amp;Market_currency</f>
        <v>195.54 HKD</v>
      </c>
      <c r="E119" s="199">
        <f>DCF!F91</f>
        <v>0.15999999999999995</v>
      </c>
      <c r="F119" s="208">
        <f>RATE(Holding_Period,Scenarios!C$58,-DCF!E91,C$18)</f>
        <v>-1.2479614410689307E-2</v>
      </c>
    </row>
    <row r="120" spans="2:6">
      <c r="B120" s="205" t="str">
        <f>DCF!B92&amp;" ("&amp;DCF!D92&amp;"yrs)"</f>
        <v>Base (10yrs)</v>
      </c>
      <c r="C120" s="198">
        <f>DCF!C92</f>
        <v>0.03</v>
      </c>
      <c r="D120" s="207" t="str">
        <f>ROUND(DCF!E92,2)&amp;" "&amp;Market_currency</f>
        <v>164.27 HKD</v>
      </c>
      <c r="E120" s="199">
        <f>DCF!F92</f>
        <v>0.44</v>
      </c>
      <c r="F120" s="208">
        <f>RATE(Holding_Period,Scenarios!C$58,-DCF!E92,C$18)</f>
        <v>4.7769874710143836E-2</v>
      </c>
    </row>
    <row r="121" spans="2:6">
      <c r="B121" s="205" t="str">
        <f>DCF!B93&amp;" ("&amp;DCF!D93&amp;"yrs)"</f>
        <v>Pessimistic (10yrs)</v>
      </c>
      <c r="C121" s="198">
        <f>DCF!C93</f>
        <v>0.02</v>
      </c>
      <c r="D121" s="207" t="str">
        <f>ROUND(DCF!E93,2)&amp;" "&amp;Market_currency</f>
        <v>150.45 HKD</v>
      </c>
      <c r="E121" s="199">
        <f>DCF!F93</f>
        <v>0.19999999999999998</v>
      </c>
      <c r="F121" s="208">
        <f>RATE(Holding_Period,Scenarios!C$58,-DCF!E93,C$18)</f>
        <v>7.9563645885609838E-2</v>
      </c>
    </row>
    <row r="122" spans="2:6">
      <c r="B122" s="205" t="str">
        <f>DCF!B94&amp;" ("&amp;DCF!D94&amp;"yrs)"</f>
        <v>Devil's advocate (10yrs)</v>
      </c>
      <c r="C122" s="198">
        <f>DCF!C94</f>
        <v>0</v>
      </c>
      <c r="D122" s="207" t="str">
        <f>ROUND(DCF!E94,2)&amp;" "&amp;Market_currency</f>
        <v>126.05 HKD</v>
      </c>
      <c r="E122" s="199">
        <f>DCF!F94</f>
        <v>0.05</v>
      </c>
      <c r="F122" s="208">
        <f>RATE(Holding_Period,Scenarios!C$58,-DCF!E94,C$18)</f>
        <v>0.14669913071304216</v>
      </c>
    </row>
    <row r="124" spans="2:6">
      <c r="B124" s="461" t="s">
        <v>356</v>
      </c>
      <c r="C124" s="461"/>
      <c r="D124" s="461"/>
      <c r="E124" s="461"/>
      <c r="F124" s="461"/>
    </row>
    <row r="125" spans="2:6">
      <c r="B125" s="193" t="s">
        <v>217</v>
      </c>
      <c r="C125" s="197">
        <f>Scenarios!C36</f>
        <v>177.90741826025302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80.977432071121072</v>
      </c>
      <c r="E140" s="334">
        <f>Scenarios!E62</f>
        <v>87.351988284138827</v>
      </c>
      <c r="F140" s="335">
        <f>E22</f>
        <v>0.3</v>
      </c>
    </row>
    <row r="141" spans="1:6">
      <c r="B141" s="336" t="s">
        <v>312</v>
      </c>
      <c r="C141" s="333">
        <f>Scenarios!C63</f>
        <v>7.3937499999999998</v>
      </c>
      <c r="D141" s="333">
        <f>Scenarios!D63</f>
        <v>102.95568186357235</v>
      </c>
      <c r="E141" s="334">
        <f>Scenarios!E63</f>
        <v>110.34943186357235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127.51699103246783</v>
      </c>
      <c r="E144" s="334">
        <f>Scenarios!E66</f>
        <v>135.98522800451249</v>
      </c>
      <c r="F144" s="335">
        <f>E24</f>
        <v>0.1174</v>
      </c>
    </row>
    <row r="145" spans="1:6">
      <c r="B145" s="336" t="s">
        <v>313</v>
      </c>
      <c r="C145" s="333">
        <f>Scenarios!C67</f>
        <v>9.1694370473772864</v>
      </c>
      <c r="D145" s="333">
        <f>Scenarios!D67</f>
        <v>144.212250676232</v>
      </c>
      <c r="E145" s="334">
        <f>Scenarios!E67</f>
        <v>153.38168772360928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91.490419276082349</v>
      </c>
      <c r="D47" s="134">
        <f>D46*H1/Common_Shares*Exchange_Rate</f>
        <v>-67.715289766909194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-122131.11278900001</v>
      </c>
      <c r="D86" s="201">
        <f>C86*scaling_factor/Common_Shares</f>
        <v>-43.339642579489002</v>
      </c>
      <c r="E86" s="214" t="str">
        <f>Market_currency</f>
        <v>HKD</v>
      </c>
    </row>
    <row r="87" spans="2:8" ht="15" customHeight="1">
      <c r="B87" s="212" t="s">
        <v>239</v>
      </c>
      <c r="C87" s="73">
        <f>DCF!F5*Exchange_Rate</f>
        <v>45845.748503267125</v>
      </c>
      <c r="D87" s="201">
        <f>C87*scaling_factor/Common_Shares</f>
        <v>16.268895849278611</v>
      </c>
      <c r="E87" s="214" t="str">
        <f>Market_currency</f>
        <v>HKD</v>
      </c>
    </row>
    <row r="88" spans="2:8" ht="15" customHeight="1">
      <c r="B88" s="213" t="s">
        <v>158</v>
      </c>
      <c r="C88" s="73">
        <f>DCF!F6*Exchange_Rate</f>
        <v>93655.888056600001</v>
      </c>
      <c r="D88" s="201">
        <f>C88*scaling_factor/Common_Shares</f>
        <v>33.234878657416608</v>
      </c>
      <c r="E88" s="214" t="str">
        <f>Market_currency</f>
        <v>HKD</v>
      </c>
    </row>
    <row r="89" spans="2:8" ht="15" customHeight="1">
      <c r="B89" s="77" t="s">
        <v>243</v>
      </c>
      <c r="C89" s="162">
        <f>SUM(C86:C88)</f>
        <v>17370.523770867119</v>
      </c>
      <c r="D89" s="216">
        <f>SUM(D86:D88)</f>
        <v>6.1641319272062169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3.1283422459893045E-2</v>
      </c>
      <c r="E92" s="237"/>
      <c r="G92" s="22">
        <f t="shared" ref="G92:Q92" si="38">IF(G$4="","",(G88*(1-dividend_tax_rate))/Market_Price)</f>
        <v>3.1283422459893045E-2</v>
      </c>
      <c r="H92" s="22">
        <f t="shared" si="38"/>
        <v>3.1283422459893045E-2</v>
      </c>
      <c r="I92" s="22">
        <f t="shared" si="38"/>
        <v>2.3775401069518719E-2</v>
      </c>
      <c r="J92" s="22">
        <f t="shared" si="38"/>
        <v>1.939572192513369E-2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-1.1592603757540583</v>
      </c>
      <c r="D123" s="26"/>
      <c r="E123" s="234"/>
      <c r="F123" s="26"/>
      <c r="G123" s="159">
        <f t="shared" ref="G123:Q123" si="48">IF(G$4="","",G14*$C$3/Common_Shares*Exchange_Rate)</f>
        <v>-1.0074353846699788</v>
      </c>
      <c r="H123" s="159">
        <f t="shared" si="48"/>
        <v>11.717636261887865</v>
      </c>
      <c r="I123" s="159">
        <f t="shared" si="48"/>
        <v>7.5805650454222855</v>
      </c>
      <c r="J123" s="159">
        <f t="shared" si="48"/>
        <v>4.0114467072391768</v>
      </c>
      <c r="K123" s="159">
        <f t="shared" si="48"/>
        <v>5.1225528034066714E-2</v>
      </c>
      <c r="L123" s="159">
        <f t="shared" si="48"/>
        <v>5.0322983016323635</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-1.0332088910463976E-2</v>
      </c>
      <c r="D124" s="26"/>
      <c r="E124" s="234"/>
      <c r="F124" s="26"/>
      <c r="G124" s="74">
        <f t="shared" ref="G124" si="49">IF(G$4="","",G123/Market_Price)</f>
        <v>-8.9789249970586345E-3</v>
      </c>
      <c r="H124" s="74">
        <f t="shared" ref="H124" si="50">IF(H$4="","",H123/Market_Price)</f>
        <v>0.10443526080113961</v>
      </c>
      <c r="I124" s="74">
        <f t="shared" ref="I124" si="51">IF(I$4="","",I123/Market_Price)</f>
        <v>6.7562968319271707E-2</v>
      </c>
      <c r="J124" s="74">
        <f t="shared" ref="J124" si="52">IF(J$4="","",J123/Market_Price)</f>
        <v>3.5752644449547032E-2</v>
      </c>
      <c r="K124" s="74">
        <f t="shared" ref="K124" si="53">IF(K$4="","",K123/Market_Price)</f>
        <v>4.5655550832501525E-4</v>
      </c>
      <c r="L124" s="74">
        <f t="shared" ref="L124" si="54">IF(L$4="","",L123/Market_Price)</f>
        <v>4.4851143508309835E-2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7.3192577889275592E-2</v>
      </c>
      <c r="H125" s="22">
        <f>IF(H$4="","",(Data!D47*$C$3)/(Market_Price*Common_Shares))</f>
        <v>0.14124883452316342</v>
      </c>
      <c r="I125" s="22">
        <f>IF(I$4="","",(Data!E47*$C$3)/(Market_Price*Common_Shares))</f>
        <v>7.3556295219552426E-2</v>
      </c>
      <c r="J125" s="22">
        <f>IF(J$4="","",(Data!F47*$C$3)/(Market_Price*Common_Shares))</f>
        <v>3.0650301284459846E-2</v>
      </c>
      <c r="K125" s="22">
        <f>IF(K$4="","",(Data!G47*$C$3)/(Market_Price*Common_Shares))</f>
        <v>-1.4128046211710054E-2</v>
      </c>
      <c r="L125" s="22">
        <f>IF(L$4="","",(Data!H47*$C$3)/(Market_Price*Common_Shares))</f>
        <v>0.15604106020755293</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6.1641319272062161</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-46098.650584417359</v>
      </c>
      <c r="D10" t="str">
        <f>Market_currency</f>
        <v>HKD</v>
      </c>
      <c r="H10" s="308" t="s">
        <v>396</v>
      </c>
      <c r="I10" s="306">
        <f>Normalized_FCF!C41</f>
        <v>0.25</v>
      </c>
      <c r="N10" s="304"/>
      <c r="O10" s="304"/>
    </row>
    <row r="11" spans="2:15" ht="13.15">
      <c r="B11" s="136" t="s">
        <v>424</v>
      </c>
      <c r="C11" s="108">
        <f>(C10*scaling_factor)/Common_Shares</f>
        <v>-16.35864108744406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155.64385646317911</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-16.35864108744406</v>
      </c>
      <c r="C73" s="119">
        <f>C11</f>
        <v>-16.35864108744406</v>
      </c>
      <c r="D73" s="119">
        <f>C11</f>
        <v>-16.35864108744406</v>
      </c>
      <c r="E73" s="119">
        <f>C11</f>
        <v>-16.35864108744406</v>
      </c>
      <c r="F73" s="119">
        <f>C11</f>
        <v>-16.35864108744406</v>
      </c>
      <c r="G73" s="296"/>
      <c r="H73" s="296"/>
      <c r="I73" s="296"/>
      <c r="J73" s="296"/>
      <c r="K73" s="296"/>
      <c r="L73" s="296"/>
    </row>
    <row r="74" spans="1:21" ht="13.15">
      <c r="A74" s="131">
        <v>1</v>
      </c>
      <c r="B74" s="119">
        <f t="shared" ref="B74:F87" si="11">(B56+FV_adjustments)/Common_Shares*scaling_factor*Exchange_Rate</f>
        <v>159.73882430171946</v>
      </c>
      <c r="C74" s="119">
        <f t="shared" si="11"/>
        <v>162.81031814920976</v>
      </c>
      <c r="D74" s="119">
        <f t="shared" si="11"/>
        <v>164.3460650729549</v>
      </c>
      <c r="E74" s="119">
        <f t="shared" si="11"/>
        <v>167.41755892044515</v>
      </c>
      <c r="F74" s="119">
        <f t="shared" si="11"/>
        <v>172.02479969168053</v>
      </c>
      <c r="G74" s="296"/>
      <c r="H74" s="296"/>
      <c r="I74" s="296"/>
      <c r="J74" s="296"/>
      <c r="K74" s="296"/>
      <c r="L74" s="296"/>
    </row>
    <row r="75" spans="1:21" ht="13.15">
      <c r="A75" s="131">
        <v>2</v>
      </c>
      <c r="B75" s="119">
        <f t="shared" si="11"/>
        <v>159.53368141613853</v>
      </c>
      <c r="C75" s="119">
        <f t="shared" si="11"/>
        <v>165.75418929622225</v>
      </c>
      <c r="D75" s="119">
        <f t="shared" si="11"/>
        <v>168.91081260229799</v>
      </c>
      <c r="E75" s="119">
        <f t="shared" si="11"/>
        <v>175.31679794651731</v>
      </c>
      <c r="F75" s="119">
        <f t="shared" si="11"/>
        <v>185.15762279301575</v>
      </c>
      <c r="G75" s="296"/>
      <c r="H75" s="296"/>
      <c r="I75" s="296"/>
      <c r="J75" s="296"/>
      <c r="K75" s="296"/>
      <c r="L75" s="296"/>
    </row>
    <row r="76" spans="1:21" ht="13.15">
      <c r="A76" s="131">
        <v>3</v>
      </c>
      <c r="B76" s="119">
        <f t="shared" si="11"/>
        <v>159.22829749620243</v>
      </c>
      <c r="C76" s="119">
        <f t="shared" si="11"/>
        <v>168.43756419042381</v>
      </c>
      <c r="D76" s="119">
        <f t="shared" si="11"/>
        <v>173.17714094319899</v>
      </c>
      <c r="E76" s="119">
        <f t="shared" si="11"/>
        <v>182.93050474409091</v>
      </c>
      <c r="F76" s="119">
        <f t="shared" si="11"/>
        <v>198.2590466358198</v>
      </c>
      <c r="G76" s="296"/>
      <c r="H76" s="296"/>
      <c r="I76" s="296"/>
      <c r="J76" s="296"/>
      <c r="K76" s="296"/>
      <c r="L76" s="296"/>
    </row>
    <row r="77" spans="1:21" ht="13.15">
      <c r="A77" s="131">
        <v>4</v>
      </c>
      <c r="B77" s="119">
        <f t="shared" si="11"/>
        <v>159.04995211830862</v>
      </c>
      <c r="C77" s="119">
        <f t="shared" si="11"/>
        <v>171.10027829552155</v>
      </c>
      <c r="D77" s="119">
        <f t="shared" si="11"/>
        <v>177.38728164348214</v>
      </c>
      <c r="E77" s="119">
        <f t="shared" si="11"/>
        <v>190.50178377538899</v>
      </c>
      <c r="F77" s="119">
        <f t="shared" si="11"/>
        <v>211.57618780796938</v>
      </c>
      <c r="G77" s="296"/>
      <c r="H77" s="296"/>
      <c r="I77" s="296"/>
      <c r="J77" s="296"/>
      <c r="K77" s="296"/>
      <c r="L77" s="296"/>
    </row>
    <row r="78" spans="1:21" ht="13.15">
      <c r="A78" s="131">
        <v>5</v>
      </c>
      <c r="B78" s="119">
        <f t="shared" si="11"/>
        <v>147.40590076473276</v>
      </c>
      <c r="C78" s="119">
        <f t="shared" si="11"/>
        <v>161.69118621211931</v>
      </c>
      <c r="D78" s="119">
        <f t="shared" si="11"/>
        <v>169.25382927128402</v>
      </c>
      <c r="E78" s="119">
        <f t="shared" si="11"/>
        <v>185.25999222752688</v>
      </c>
      <c r="F78" s="119">
        <f t="shared" si="11"/>
        <v>211.59879429488979</v>
      </c>
      <c r="G78" s="296"/>
      <c r="H78" s="296"/>
      <c r="I78" s="296"/>
      <c r="J78" s="296"/>
      <c r="K78" s="296"/>
      <c r="L78" s="296"/>
    </row>
    <row r="79" spans="1:21" ht="13.15">
      <c r="A79" s="131">
        <v>6</v>
      </c>
      <c r="B79" s="119">
        <f t="shared" si="11"/>
        <v>147.2508523762595</v>
      </c>
      <c r="C79" s="119">
        <f t="shared" si="11"/>
        <v>164.09959542958168</v>
      </c>
      <c r="D79" s="119">
        <f t="shared" si="11"/>
        <v>173.13691034033306</v>
      </c>
      <c r="E79" s="119">
        <f t="shared" si="11"/>
        <v>192.51692748174187</v>
      </c>
      <c r="F79" s="119">
        <f t="shared" si="11"/>
        <v>225.10284042651929</v>
      </c>
      <c r="G79" s="296"/>
      <c r="H79" s="296"/>
      <c r="I79" s="296"/>
      <c r="J79" s="296"/>
      <c r="K79" s="296"/>
      <c r="L79" s="296"/>
    </row>
    <row r="80" spans="1:21" ht="13.15">
      <c r="A80" s="131">
        <f t="shared" ref="A80" si="12">A62</f>
        <v>7</v>
      </c>
      <c r="B80" s="119">
        <f t="shared" si="11"/>
        <v>136.40440916375459</v>
      </c>
      <c r="C80" s="119">
        <f t="shared" si="11"/>
        <v>155.03319411584087</v>
      </c>
      <c r="D80" s="119">
        <f t="shared" si="11"/>
        <v>165.17188760019442</v>
      </c>
      <c r="E80" s="119">
        <f t="shared" si="11"/>
        <v>187.23286019178852</v>
      </c>
      <c r="F80" s="119">
        <f t="shared" si="11"/>
        <v>225.22003888979319</v>
      </c>
      <c r="G80" s="296"/>
      <c r="H80" s="296"/>
      <c r="I80" s="296"/>
      <c r="J80" s="296"/>
      <c r="K80" s="296"/>
      <c r="L80" s="296"/>
    </row>
    <row r="81" spans="1:12" ht="13.15">
      <c r="A81" s="131">
        <v>8</v>
      </c>
      <c r="B81" s="119">
        <f t="shared" si="11"/>
        <v>136.26961451389005</v>
      </c>
      <c r="C81" s="119">
        <f t="shared" si="11"/>
        <v>157.21158606098163</v>
      </c>
      <c r="D81" s="119">
        <f t="shared" si="11"/>
        <v>168.75331626546293</v>
      </c>
      <c r="E81" s="119">
        <f t="shared" si="11"/>
        <v>194.18850256953866</v>
      </c>
      <c r="F81" s="119">
        <f t="shared" si="11"/>
        <v>238.91361317633394</v>
      </c>
      <c r="G81" s="296"/>
      <c r="H81" s="296"/>
      <c r="I81" s="296"/>
      <c r="J81" s="296"/>
      <c r="K81" s="296"/>
      <c r="L81" s="296"/>
    </row>
    <row r="82" spans="1:12" ht="13.15">
      <c r="A82" s="131">
        <f t="shared" ref="A82" si="13">A64</f>
        <v>9</v>
      </c>
      <c r="B82" s="119">
        <f t="shared" si="11"/>
        <v>126.16549274196481</v>
      </c>
      <c r="C82" s="119">
        <f t="shared" si="11"/>
        <v>148.48236003101846</v>
      </c>
      <c r="D82" s="119">
        <f t="shared" si="11"/>
        <v>160.96200238143794</v>
      </c>
      <c r="E82" s="119">
        <f t="shared" si="11"/>
        <v>188.86936727075039</v>
      </c>
      <c r="F82" s="119">
        <f t="shared" si="11"/>
        <v>239.12739047002611</v>
      </c>
      <c r="G82" s="296"/>
      <c r="H82" s="296"/>
      <c r="I82" s="296"/>
      <c r="J82" s="296"/>
      <c r="K82" s="296"/>
      <c r="L82" s="296"/>
    </row>
    <row r="83" spans="1:12" ht="13.15">
      <c r="A83" s="131">
        <f t="shared" ref="A83:A87" si="14">A65</f>
        <v>10</v>
      </c>
      <c r="B83" s="119">
        <f t="shared" si="11"/>
        <v>126.04830611518967</v>
      </c>
      <c r="C83" s="119">
        <f t="shared" si="11"/>
        <v>150.45270270876915</v>
      </c>
      <c r="D83" s="119">
        <f t="shared" si="11"/>
        <v>164.2652121409879</v>
      </c>
      <c r="E83" s="119">
        <f t="shared" si="11"/>
        <v>195.53622582637186</v>
      </c>
      <c r="F83" s="119">
        <f t="shared" si="11"/>
        <v>253.01315292323693</v>
      </c>
      <c r="G83" s="296"/>
      <c r="H83" s="296"/>
      <c r="I83" s="296"/>
      <c r="J83" s="296"/>
      <c r="K83" s="296"/>
      <c r="L83" s="296"/>
    </row>
    <row r="84" spans="1:12" ht="13.15">
      <c r="A84" s="131">
        <f t="shared" si="14"/>
        <v>15</v>
      </c>
      <c r="B84" s="119">
        <f t="shared" si="11"/>
        <v>99.503589905710768</v>
      </c>
      <c r="C84" s="119">
        <f t="shared" si="11"/>
        <v>129.6157965168068</v>
      </c>
      <c r="D84" s="119">
        <f t="shared" si="11"/>
        <v>147.82647815999997</v>
      </c>
      <c r="E84" s="119">
        <f t="shared" si="11"/>
        <v>191.94922787700801</v>
      </c>
      <c r="F84" s="119">
        <f t="shared" si="11"/>
        <v>282.61323334054327</v>
      </c>
      <c r="G84" s="296"/>
      <c r="H84" s="296"/>
      <c r="I84" s="296"/>
      <c r="J84" s="296"/>
      <c r="K84" s="296"/>
      <c r="L84" s="296"/>
    </row>
    <row r="85" spans="1:12" ht="13.15">
      <c r="A85" s="132">
        <f t="shared" si="14"/>
        <v>20</v>
      </c>
      <c r="B85" s="119">
        <f t="shared" si="11"/>
        <v>84.593509598387129</v>
      </c>
      <c r="C85" s="119">
        <f t="shared" si="11"/>
        <v>118.98597673796334</v>
      </c>
      <c r="D85" s="119">
        <f t="shared" si="11"/>
        <v>141.06881457293733</v>
      </c>
      <c r="E85" s="119">
        <f t="shared" si="11"/>
        <v>198.04409794115475</v>
      </c>
      <c r="F85" s="119">
        <f t="shared" si="11"/>
        <v>328.00994201373254</v>
      </c>
      <c r="G85" s="296"/>
      <c r="H85" s="296"/>
      <c r="I85" s="296"/>
      <c r="J85" s="296"/>
      <c r="K85" s="296"/>
      <c r="L85" s="296"/>
    </row>
    <row r="86" spans="1:12" ht="13.15">
      <c r="A86" s="132">
        <f t="shared" si="14"/>
        <v>25</v>
      </c>
      <c r="B86" s="119">
        <f t="shared" si="11"/>
        <v>65.986370704143269</v>
      </c>
      <c r="C86" s="119">
        <f t="shared" si="11"/>
        <v>101.30646774707182</v>
      </c>
      <c r="D86" s="119">
        <f t="shared" si="11"/>
        <v>125.4478398508123</v>
      </c>
      <c r="E86" s="119">
        <f t="shared" si="11"/>
        <v>191.98678835419261</v>
      </c>
      <c r="F86" s="119">
        <f t="shared" si="11"/>
        <v>361.26260445823493</v>
      </c>
      <c r="G86" s="296"/>
      <c r="H86" s="296"/>
      <c r="I86" s="296"/>
      <c r="J86" s="296"/>
      <c r="K86" s="296"/>
      <c r="L86" s="296"/>
    </row>
    <row r="87" spans="1:12" ht="13.15">
      <c r="A87" s="132">
        <f t="shared" si="14"/>
        <v>30</v>
      </c>
      <c r="B87" s="119">
        <f t="shared" si="11"/>
        <v>55.549006184461319</v>
      </c>
      <c r="C87" s="119">
        <f t="shared" si="11"/>
        <v>91.894312072462256</v>
      </c>
      <c r="D87" s="119">
        <f t="shared" si="11"/>
        <v>118.13697729985105</v>
      </c>
      <c r="E87" s="119">
        <f t="shared" si="11"/>
        <v>194.92226145164523</v>
      </c>
      <c r="F87" s="119">
        <f t="shared" si="11"/>
        <v>410.96430108984737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253.01315292323693</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195.53622582637186</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164.2652121409879</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150.45270270876915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126.04830611518967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195.53622582637186</v>
      </c>
      <c r="F22" s="328">
        <f>1-F23-F24</f>
        <v>0.19999999999999996</v>
      </c>
      <c r="G22" s="328">
        <f>F22*(1-F$29-F$30)</f>
        <v>0.15999999999999995</v>
      </c>
    </row>
    <row r="23" spans="2:7">
      <c r="B23" s="302" t="s">
        <v>436</v>
      </c>
      <c r="C23" s="324">
        <v>0.03</v>
      </c>
      <c r="D23" s="325">
        <f>C18</f>
        <v>10</v>
      </c>
      <c r="E23" s="326">
        <f>DCF!E92</f>
        <v>164.2652121409879</v>
      </c>
      <c r="F23" s="327">
        <v>0.55000000000000004</v>
      </c>
      <c r="G23" s="328">
        <f t="shared" ref="G23:G24" si="0">F23*(1-F$29-F$30)</f>
        <v>0.44</v>
      </c>
    </row>
    <row r="24" spans="2:7">
      <c r="B24" s="302" t="s">
        <v>445</v>
      </c>
      <c r="C24" s="324">
        <v>0.02</v>
      </c>
      <c r="D24" s="325">
        <f>C18</f>
        <v>10</v>
      </c>
      <c r="E24" s="326">
        <f>DCF!E93</f>
        <v>150.45270270876915</v>
      </c>
      <c r="F24" s="327">
        <v>0.25</v>
      </c>
      <c r="G24" s="328">
        <f t="shared" si="0"/>
        <v>0.19999999999999998</v>
      </c>
    </row>
    <row r="25" spans="2:7">
      <c r="B25" s="141" t="s">
        <v>450</v>
      </c>
      <c r="C25" s="441">
        <f>E23*F23+E24*F24+E22*F22</f>
        <v>167.06628752001001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253.01315292323693</v>
      </c>
      <c r="F29" s="327">
        <v>0.15</v>
      </c>
      <c r="G29" s="328">
        <f>F29</f>
        <v>0.15</v>
      </c>
    </row>
    <row r="30" spans="2:7">
      <c r="B30" s="315" t="s">
        <v>446</v>
      </c>
      <c r="C30" s="324">
        <v>0</v>
      </c>
      <c r="D30" s="325">
        <f>C18</f>
        <v>10</v>
      </c>
      <c r="E30" s="326">
        <f>DCF!E94</f>
        <v>126.04830611518967</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112.2</v>
      </c>
      <c r="D34" t="str">
        <f>Market_currency</f>
        <v>HKD</v>
      </c>
      <c r="E34" s="97" t="s">
        <v>453</v>
      </c>
      <c r="F34" s="330">
        <f>RATE(Holding_Period,$C$33,-C34,$C$36)</f>
        <v>0.19319694992377784</v>
      </c>
    </row>
    <row r="35" spans="2:7">
      <c r="B35" s="97" t="s">
        <v>433</v>
      </c>
      <c r="C35" s="320">
        <f>DCF!C11</f>
        <v>-16.35864108744406</v>
      </c>
      <c r="D35" s="97" t="str">
        <f>Market_currency</f>
        <v>HKD</v>
      </c>
      <c r="E35" s="97" t="s">
        <v>453</v>
      </c>
      <c r="F35" s="330" t="e">
        <f>RATE(Holding_Period,$C$33,-C35,$C$36)</f>
        <v>#NUM!</v>
      </c>
    </row>
    <row r="36" spans="2:7">
      <c r="B36" s="97" t="s">
        <v>434</v>
      </c>
      <c r="C36" s="321">
        <f>E22*G22+E23*G23+E24*G24+E30*G30+E29*G29</f>
        <v>177.90741826025302</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155.64385646317911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3.4647975826331064E-2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80.977432071121072</v>
      </c>
      <c r="E62" s="332">
        <f>C62+D62</f>
        <v>87.351988284138827</v>
      </c>
      <c r="F62" s="301">
        <f>Thesis!E22</f>
        <v>0.3</v>
      </c>
      <c r="G62" s="440">
        <f>(1-E62/C36)</f>
        <v>0.50900311443812085</v>
      </c>
    </row>
    <row r="63" spans="2:7" ht="13.15">
      <c r="B63" s="302" t="s">
        <v>312</v>
      </c>
      <c r="C63" s="119">
        <f>PV(F63, Holding_Period, -C58, 0)</f>
        <v>7.3937499999999998</v>
      </c>
      <c r="D63" s="119">
        <f>C36/(1+F63)^Holding_Period</f>
        <v>102.95568186357235</v>
      </c>
      <c r="E63" s="332">
        <f>C63+D63</f>
        <v>110.34943186357235</v>
      </c>
      <c r="F63" s="301">
        <f>Thesis!E23</f>
        <v>0.2</v>
      </c>
      <c r="G63" s="440">
        <f>(1-E63/C36)</f>
        <v>0.37973675891273428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127.51699103246783</v>
      </c>
      <c r="E66" s="332">
        <f>C66+D66</f>
        <v>135.98522800451249</v>
      </c>
      <c r="F66" s="301">
        <f>Thesis!E24</f>
        <v>0.1174</v>
      </c>
      <c r="G66" s="440">
        <f>(1-E66/C36)</f>
        <v>0.23564048461663578</v>
      </c>
    </row>
    <row r="67" spans="2:7" ht="13.15">
      <c r="B67" s="302" t="s">
        <v>313</v>
      </c>
      <c r="C67" s="119">
        <f>PV(F67, Holding_Period, -C58, 0)</f>
        <v>9.1694370473772864</v>
      </c>
      <c r="D67" s="119">
        <f>C36/(1+F67)^Holding_Period</f>
        <v>144.212250676232</v>
      </c>
      <c r="E67" s="332">
        <f>C67+D67</f>
        <v>153.38168772360928</v>
      </c>
      <c r="F67" s="301">
        <f>Thesis!E25</f>
        <v>7.2499999999999995E-2</v>
      </c>
      <c r="G67" s="440">
        <f>(1-E67/C36)</f>
        <v>0.13785670533853811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112.2</v>
      </c>
    </row>
    <row r="9" spans="1:10">
      <c r="B9" s="351" t="s">
        <v>360</v>
      </c>
      <c r="C9" s="353">
        <f>Common_Shares</f>
        <v>2818000000</v>
      </c>
    </row>
    <row r="10" spans="1:10">
      <c r="B10" s="351" t="s">
        <v>366</v>
      </c>
      <c r="C10" s="357">
        <f>投资主题!C8*Common_Shares/1000000</f>
        <v>316179.59999999998</v>
      </c>
      <c r="D10" s="343" t="s">
        <v>528</v>
      </c>
      <c r="E10" s="360">
        <f>Scenarios!F34</f>
        <v>0.19319694992377784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177.90741826025302</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87.351988284138827</v>
      </c>
      <c r="D22" s="365" t="s">
        <v>439</v>
      </c>
      <c r="E22" s="366">
        <f>Thesis!E22</f>
        <v>0.3</v>
      </c>
    </row>
    <row r="23" spans="1:6">
      <c r="B23" s="343" t="s">
        <v>340</v>
      </c>
      <c r="C23" s="367">
        <f>E141</f>
        <v>110.34943186357235</v>
      </c>
      <c r="D23" s="365" t="s">
        <v>440</v>
      </c>
      <c r="E23" s="368">
        <f>Thesis!E23</f>
        <v>0.2</v>
      </c>
    </row>
    <row r="24" spans="1:6">
      <c r="B24" s="343" t="s">
        <v>342</v>
      </c>
      <c r="C24" s="367">
        <f>E144</f>
        <v>135.98522800451249</v>
      </c>
      <c r="D24" s="365" t="s">
        <v>442</v>
      </c>
      <c r="E24" s="368">
        <f>Thesis!E24</f>
        <v>0.1174</v>
      </c>
    </row>
    <row r="25" spans="1:6">
      <c r="B25" s="343" t="s">
        <v>341</v>
      </c>
      <c r="C25" s="367">
        <f>E145</f>
        <v>153.38168772360928</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-1.0332088910463976E-2</v>
      </c>
      <c r="F62" s="379"/>
    </row>
    <row r="63" spans="2:6">
      <c r="B63" s="377" t="s">
        <v>331</v>
      </c>
      <c r="C63" s="378">
        <f>Normalized_FCF!C92</f>
        <v>3.1283422459893045E-2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-106603</v>
      </c>
      <c r="D78" s="343" t="str">
        <f>Reporting_currency</f>
        <v>CNY</v>
      </c>
    </row>
    <row r="79" spans="1:6">
      <c r="B79" s="372" t="s">
        <v>233</v>
      </c>
      <c r="C79" s="387">
        <f>C78*scaling_factor*Exchange_Rate/Common_Shares</f>
        <v>-43.339642579489002</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16.268895849278611</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33.234878657416608</v>
      </c>
      <c r="D90" s="343" t="str">
        <f>Market_currency</f>
        <v>HKD</v>
      </c>
    </row>
    <row r="92" spans="1:6">
      <c r="B92" s="372" t="s">
        <v>479</v>
      </c>
      <c r="C92" s="387">
        <f>DCF!F8</f>
        <v>6.1641319272062161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-67.715289766909194</v>
      </c>
      <c r="D111" s="343" t="str">
        <f>Market_currency</f>
        <v>HKD</v>
      </c>
    </row>
    <row r="112" spans="1:6">
      <c r="A112" s="385"/>
      <c r="B112" s="372" t="s">
        <v>376</v>
      </c>
      <c r="C112" s="394">
        <f>DCF!C11</f>
        <v>-16.35864108744406</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253.01 HKD</v>
      </c>
      <c r="F118" s="399">
        <f>DCF!F90</f>
        <v>0.15</v>
      </c>
    </row>
    <row r="119" spans="1:6">
      <c r="A119" s="385"/>
      <c r="B119" s="400" t="str">
        <f>DCF!B91</f>
        <v>Optimistic</v>
      </c>
      <c r="C119" s="401">
        <f>DCF!C91</f>
        <v>0.05</v>
      </c>
      <c r="D119" s="402">
        <f>DCF!D91</f>
        <v>10</v>
      </c>
      <c r="E119" s="398" t="str">
        <f>ROUND(DCF!E91,2)&amp;" "&amp;Market_currency</f>
        <v>195.54 HKD</v>
      </c>
      <c r="F119" s="403">
        <f>DCF!F91</f>
        <v>0.15999999999999995</v>
      </c>
    </row>
    <row r="120" spans="1:6">
      <c r="B120" s="400" t="str">
        <f>DCF!B92</f>
        <v>Base</v>
      </c>
      <c r="C120" s="401">
        <f>DCF!C92</f>
        <v>0.03</v>
      </c>
      <c r="D120" s="402">
        <f>DCF!D92</f>
        <v>10</v>
      </c>
      <c r="E120" s="398" t="str">
        <f>ROUND(DCF!E92,2)&amp;" "&amp;Market_currency</f>
        <v>164.27 HKD</v>
      </c>
      <c r="F120" s="403">
        <f>DCF!F92</f>
        <v>0.44</v>
      </c>
    </row>
    <row r="121" spans="1:6">
      <c r="B121" s="400" t="str">
        <f>DCF!B93</f>
        <v>Pessimistic</v>
      </c>
      <c r="C121" s="401">
        <f>DCF!C93</f>
        <v>0.02</v>
      </c>
      <c r="D121" s="402">
        <f>DCF!D93</f>
        <v>10</v>
      </c>
      <c r="E121" s="398" t="str">
        <f>ROUND(DCF!E93,2)&amp;" "&amp;Market_currency</f>
        <v>150.45 HKD</v>
      </c>
      <c r="F121" s="403">
        <f>DCF!F93</f>
        <v>0.19999999999999998</v>
      </c>
    </row>
    <row r="122" spans="1:6">
      <c r="B122" s="400" t="str">
        <f>DCF!B94</f>
        <v>Devil's advocate</v>
      </c>
      <c r="C122" s="401">
        <f>DCF!C94</f>
        <v>0</v>
      </c>
      <c r="D122" s="402">
        <f>DCF!D94</f>
        <v>10</v>
      </c>
      <c r="E122" s="398" t="str">
        <f>ROUND(DCF!E94,2)&amp;" "&amp;Market_currency</f>
        <v>126.05 HKD</v>
      </c>
      <c r="F122" s="403">
        <f>DCF!F94</f>
        <v>0.05</v>
      </c>
    </row>
    <row r="124" spans="1:6">
      <c r="B124" s="470" t="s">
        <v>518</v>
      </c>
      <c r="C124" s="470"/>
      <c r="D124" s="470"/>
      <c r="E124" s="470"/>
      <c r="F124" s="470"/>
    </row>
    <row r="125" spans="1:6">
      <c r="B125" s="372" t="s">
        <v>217</v>
      </c>
      <c r="C125" s="404">
        <f>Scenarios!C36</f>
        <v>177.90741826025302</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80.977432071121072</v>
      </c>
      <c r="E140" s="410">
        <f>Scenarios!E62</f>
        <v>87.351988284138827</v>
      </c>
      <c r="F140" s="411">
        <f>E22</f>
        <v>0.3</v>
      </c>
    </row>
    <row r="141" spans="1:6">
      <c r="B141" s="408" t="s">
        <v>312</v>
      </c>
      <c r="C141" s="409">
        <f>Scenarios!C63</f>
        <v>7.3937499999999998</v>
      </c>
      <c r="D141" s="409">
        <f>Scenarios!D63</f>
        <v>102.95568186357235</v>
      </c>
      <c r="E141" s="410">
        <f>Scenarios!E63</f>
        <v>110.34943186357235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127.51699103246783</v>
      </c>
      <c r="E144" s="410">
        <f>Scenarios!E66</f>
        <v>135.98522800451249</v>
      </c>
      <c r="F144" s="411">
        <f>E24</f>
        <v>0.1174</v>
      </c>
    </row>
    <row r="145" spans="1:6">
      <c r="B145" s="408" t="s">
        <v>313</v>
      </c>
      <c r="C145" s="409">
        <f>Scenarios!C67</f>
        <v>9.1694370473772864</v>
      </c>
      <c r="D145" s="409">
        <f>Scenarios!D67</f>
        <v>144.212250676232</v>
      </c>
      <c r="E145" s="410">
        <f>Scenarios!E67</f>
        <v>153.38168772360928</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