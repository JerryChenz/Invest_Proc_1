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F1E87B-D7CA-4894-A27A-9FBB1E0B212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<sst xmlns="http://schemas.openxmlformats.org/spreadsheetml/2006/main" count="768" uniqueCount="559">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</sst>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113</v>
      </c>
      <c r="E8" s="32"/>
    </row>
    <row r="9" spans="1:9">
      <c r="B9" s="4" t="s">
        <v>346</v>
      </c>
      <c r="C9" s="48">
        <v>2818000000</v>
      </c>
    </row>
    <row r="10" spans="1:9">
      <c r="B10" s="4" t="s">
        <v>352</v>
      </c>
      <c r="C10" s="33">
        <f>Thesis!C8*Common_Shares/1000000</f>
        <v>318434</v>
      </c>
      <c r="D10" s="1" t="s">
        <v>528</v>
      </c>
      <c r="E10" s="303">
        <f>Scenarios!F34</f>
        <v>0.18581009333609719</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1.1321619999999999</v>
      </c>
    </row>
    <row r="17" spans="1:6">
      <c r="B17" s="1" t="s">
        <v>532</v>
      </c>
      <c r="C17" s="456">
        <v>0.02</v>
      </c>
      <c r="D17" s="4" t="s">
        <v>274</v>
      </c>
      <c r="E17" s="224" t="s">
        <v>558</v>
      </c>
    </row>
    <row r="18" spans="1:6">
      <c r="B18" s="1" t="str">
        <f>"Expected Equity Value ("&amp;C7&amp;") :"</f>
        <v>Expected Equity Value (HKD) :</v>
      </c>
      <c r="C18" s="252">
        <f>C125</f>
        <v>175.81087848029006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86.397714374278578</v>
      </c>
      <c r="D22" s="38" t="s">
        <v>406</v>
      </c>
      <c r="E22" s="79">
        <v>0.3</v>
      </c>
    </row>
    <row r="23" spans="1:6">
      <c r="B23" s="1" t="s">
        <v>313</v>
      </c>
      <c r="C23" s="256">
        <f>E141</f>
        <v>109.13615652794563</v>
      </c>
      <c r="D23" s="38" t="s">
        <v>407</v>
      </c>
      <c r="E23" s="443">
        <v>0.2</v>
      </c>
    </row>
    <row r="24" spans="1:6">
      <c r="B24" s="1" t="s">
        <v>315</v>
      </c>
      <c r="C24" s="256">
        <f>E144</f>
        <v>134.48251132785506</v>
      </c>
      <c r="D24" s="38" t="s">
        <v>408</v>
      </c>
      <c r="E24" s="443">
        <v>0.1174</v>
      </c>
    </row>
    <row r="25" spans="1:6">
      <c r="B25" s="1" t="s">
        <v>314</v>
      </c>
      <c r="C25" s="256">
        <f>E145</f>
        <v>151.68222671598329</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4776.6048103198409</v>
      </c>
      <c r="D34" s="1" t="str">
        <f>Reporting_currency</f>
        <v>CNY</v>
      </c>
    </row>
    <row r="35" spans="2:6">
      <c r="B35" s="44"/>
      <c r="C35" s="73"/>
    </row>
    <row r="36" spans="2:6" ht="24.5" customHeight="1">
      <c r="B36" s="464" t="s">
        <v>198</v>
      </c>
      <c r="C36" s="464"/>
      <c r="D36" s="464"/>
      <c r="E36" s="464"/>
      <c r="F36" s="464"/>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4" t="s">
        <v>206</v>
      </c>
      <c r="C51" s="464"/>
      <c r="D51" s="464"/>
      <c r="E51" s="464"/>
      <c r="F51" s="464"/>
    </row>
    <row r="52" spans="2:6">
      <c r="B52" s="44" t="s">
        <v>204</v>
      </c>
      <c r="C52" s="285">
        <f>Normalized_FCF!C12</f>
        <v>-292.53352697867024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-1.0138045471312753E-2</v>
      </c>
      <c r="F62" s="257"/>
    </row>
    <row r="63" spans="2:6">
      <c r="B63" s="204" t="s">
        <v>332</v>
      </c>
      <c r="C63" s="89">
        <f>Normalized_FCF!C92</f>
        <v>3.1061946902654864E-2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-106603</v>
      </c>
      <c r="D78" s="1" t="str">
        <f>Reporting_currency</f>
        <v>CNY</v>
      </c>
    </row>
    <row r="79" spans="1:6">
      <c r="A79" s="191"/>
      <c r="B79" s="44" t="s">
        <v>234</v>
      </c>
      <c r="C79" s="201">
        <f>C78*scaling_factor*Exchange_Rate/Common_Shares</f>
        <v>-42.828909044002835</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16.077175978024052</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32.843224133569905</v>
      </c>
      <c r="D90" s="1" t="str">
        <f>Market_currency</f>
        <v>HKD</v>
      </c>
    </row>
    <row r="91" spans="1:6">
      <c r="A91" s="191"/>
    </row>
    <row r="92" spans="1:6">
      <c r="A92" s="191"/>
      <c r="B92" s="44" t="s">
        <v>469</v>
      </c>
      <c r="C92" s="216">
        <f>DCF!F8</f>
        <v>6.091491067591118</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-66.917302813378299</v>
      </c>
      <c r="D111" s="1" t="str">
        <f>Market_currency</f>
        <v>HKD</v>
      </c>
    </row>
    <row r="112" spans="2:6">
      <c r="B112" s="44" t="s">
        <v>323</v>
      </c>
      <c r="C112" s="216">
        <f>DCF!C11</f>
        <v>-16.165863618570938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250.03 HKD</v>
      </c>
      <c r="E118" s="208">
        <f>DCF!F90</f>
        <v>0.15</v>
      </c>
      <c r="F118" s="208">
        <f>RATE(Holding_Period,Scenarios!C$58,-DCF!E90,C$18)</f>
        <v>-9.4926511035639122E-2</v>
      </c>
    </row>
    <row r="119" spans="2:6">
      <c r="B119" s="205" t="str">
        <f>DCF!B91&amp;" ("&amp;DCF!D91&amp;"yrs)"</f>
        <v>Optimistic (10yrs)</v>
      </c>
      <c r="C119" s="198">
        <f>DCF!C91</f>
        <v>0.05</v>
      </c>
      <c r="D119" s="207" t="str">
        <f>ROUND(DCF!E91,2)&amp;" "&amp;Market_currency</f>
        <v>193.23 HKD</v>
      </c>
      <c r="E119" s="199">
        <f>DCF!F91</f>
        <v>0.15999999999999995</v>
      </c>
      <c r="F119" s="208">
        <f>RATE(Holding_Period,Scenarios!C$58,-DCF!E91,C$18)</f>
        <v>-1.225880739005502E-2</v>
      </c>
    </row>
    <row r="120" spans="2:6">
      <c r="B120" s="205" t="str">
        <f>DCF!B92&amp;" ("&amp;DCF!D92&amp;"yrs)"</f>
        <v>Base (10yrs)</v>
      </c>
      <c r="C120" s="198">
        <f>DCF!C92</f>
        <v>0.03</v>
      </c>
      <c r="D120" s="207" t="str">
        <f>ROUND(DCF!E92,2)&amp;" "&amp;Market_currency</f>
        <v>162.33 HKD</v>
      </c>
      <c r="E120" s="199">
        <f>DCF!F92</f>
        <v>0.44</v>
      </c>
      <c r="F120" s="208">
        <f>RATE(Holding_Period,Scenarios!C$58,-DCF!E92,C$18)</f>
        <v>4.8018234332948377E-2</v>
      </c>
    </row>
    <row r="121" spans="2:6">
      <c r="B121" s="205" t="str">
        <f>DCF!B93&amp;" ("&amp;DCF!D93&amp;"yrs)"</f>
        <v>Pessimistic (10yrs)</v>
      </c>
      <c r="C121" s="198">
        <f>DCF!C93</f>
        <v>0.02</v>
      </c>
      <c r="D121" s="207" t="str">
        <f>ROUND(DCF!E93,2)&amp;" "&amp;Market_currency</f>
        <v>148.68 HKD</v>
      </c>
      <c r="E121" s="199">
        <f>DCF!F93</f>
        <v>0.19999999999999998</v>
      </c>
      <c r="F121" s="208">
        <f>RATE(Holding_Period,Scenarios!C$58,-DCF!E93,C$18)</f>
        <v>7.982741302060517E-2</v>
      </c>
    </row>
    <row r="122" spans="2:6">
      <c r="B122" s="205" t="str">
        <f>DCF!B94&amp;" ("&amp;DCF!D94&amp;"yrs)"</f>
        <v>Devil's advocate (10yrs)</v>
      </c>
      <c r="C122" s="198">
        <f>DCF!C94</f>
        <v>0</v>
      </c>
      <c r="D122" s="207" t="str">
        <f>ROUND(DCF!E94,2)&amp;" "&amp;Market_currency</f>
        <v>124.56 HKD</v>
      </c>
      <c r="E122" s="199">
        <f>DCF!F94</f>
        <v>0.05</v>
      </c>
      <c r="F122" s="208">
        <f>RATE(Holding_Period,Scenarios!C$58,-DCF!E94,C$18)</f>
        <v>0.1469974702473982</v>
      </c>
    </row>
    <row r="124" spans="2:6">
      <c r="B124" s="464" t="s">
        <v>357</v>
      </c>
      <c r="C124" s="464"/>
      <c r="D124" s="464"/>
      <c r="E124" s="464"/>
      <c r="F124" s="464"/>
    </row>
    <row r="125" spans="2:6">
      <c r="B125" s="193" t="s">
        <v>218</v>
      </c>
      <c r="C125" s="197">
        <f>Scenarios!C36</f>
        <v>175.81087848029006</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80.023158161260824</v>
      </c>
      <c r="E140" s="334">
        <f>Scenarios!E62</f>
        <v>86.397714374278578</v>
      </c>
      <c r="F140" s="335">
        <f>E22</f>
        <v>0.3</v>
      </c>
    </row>
    <row r="141" spans="1:6">
      <c r="B141" s="336" t="s">
        <v>313</v>
      </c>
      <c r="C141" s="333">
        <f>Scenarios!C63</f>
        <v>7.3937499999999998</v>
      </c>
      <c r="D141" s="333">
        <f>Scenarios!D63</f>
        <v>101.74240652794563</v>
      </c>
      <c r="E141" s="334">
        <f>Scenarios!E63</f>
        <v>109.13615652794563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126.0142743558104</v>
      </c>
      <c r="E144" s="334">
        <f>Scenarios!E66</f>
        <v>134.48251132785506</v>
      </c>
      <c r="F144" s="335">
        <f>E24</f>
        <v>0.1174</v>
      </c>
    </row>
    <row r="145" spans="1:6">
      <c r="B145" s="336" t="s">
        <v>314</v>
      </c>
      <c r="C145" s="333">
        <f>Scenarios!C67</f>
        <v>9.1694370473772864</v>
      </c>
      <c r="D145" s="333">
        <f>Scenarios!D67</f>
        <v>142.51278966860599</v>
      </c>
      <c r="E145" s="334">
        <f>Scenarios!E67</f>
        <v>151.68222671598329</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90.412255670688424</v>
      </c>
      <c r="D47" s="134">
        <f>D46*H1/Common_Shares*Exchange_Rate</f>
        <v>-66.917302813378299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-120691.86568599999</v>
      </c>
      <c r="D86" s="201">
        <f>C86*scaling_factor/Common_Shares</f>
        <v>-42.828909044002835</v>
      </c>
      <c r="E86" s="214" t="str">
        <f>Market_currency</f>
        <v>HKD</v>
      </c>
    </row>
    <row r="87" spans="2:8" ht="15" customHeight="1">
      <c r="B87" s="212" t="s">
        <v>240</v>
      </c>
      <c r="C87" s="73">
        <f>DCF!F5*Exchange_Rate</f>
        <v>45305.481906071771</v>
      </c>
      <c r="D87" s="201">
        <f>C87*scaling_factor/Common_Shares</f>
        <v>16.077175978024048</v>
      </c>
      <c r="E87" s="214" t="str">
        <f>Market_currency</f>
        <v>HKD</v>
      </c>
    </row>
    <row r="88" spans="2:8" ht="15" customHeight="1">
      <c r="B88" s="213" t="s">
        <v>159</v>
      </c>
      <c r="C88" s="73">
        <f>DCF!F6*Exchange_Rate</f>
        <v>92552.205608399992</v>
      </c>
      <c r="D88" s="201">
        <f>C88*scaling_factor/Common_Shares</f>
        <v>32.843224133569905</v>
      </c>
      <c r="E88" s="214" t="str">
        <f>Market_currency</f>
        <v>HKD</v>
      </c>
    </row>
    <row r="89" spans="2:8" ht="15" customHeight="1">
      <c r="B89" s="77" t="s">
        <v>244</v>
      </c>
      <c r="C89" s="162">
        <f>SUM(C86:C88)</f>
        <v>17165.821828471773</v>
      </c>
      <c r="D89" s="216">
        <f>SUM(D86:D88)</f>
        <v>6.091491067591118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3.1061946902654864E-2</v>
      </c>
      <c r="E92" s="237"/>
      <c r="G92" s="22">
        <f t="shared" ref="G92:Q92" si="38">IF(G$4="","",(G88*(1-dividend_tax_rate))/Market_Price)</f>
        <v>3.1061946902654864E-2</v>
      </c>
      <c r="H92" s="22">
        <f t="shared" si="38"/>
        <v>3.1061946902654864E-2</v>
      </c>
      <c r="I92" s="22">
        <f t="shared" si="38"/>
        <v>2.3607079646017701E-2</v>
      </c>
      <c r="J92" s="22">
        <f t="shared" si="38"/>
        <v>1.9258407079646017E-2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-1.145599138258341</v>
      </c>
      <c r="D123" s="26"/>
      <c r="E123" s="234"/>
      <c r="F123" s="26"/>
      <c r="G123" s="159">
        <f t="shared" ref="G123:Q123" si="48">IF(G$4="","",G14*$C$3/Common_Shares*Exchange_Rate)</f>
        <v>-0.99556332008516668</v>
      </c>
      <c r="H123" s="159">
        <f t="shared" si="48"/>
        <v>11.579550448545065</v>
      </c>
      <c r="I123" s="159">
        <f t="shared" si="48"/>
        <v>7.4912323108587646</v>
      </c>
      <c r="J123" s="159">
        <f t="shared" si="48"/>
        <v>3.9641740432931152</v>
      </c>
      <c r="K123" s="159">
        <f t="shared" si="48"/>
        <v>5.0621863733144069E-2</v>
      </c>
      <c r="L123" s="159">
        <f t="shared" si="48"/>
        <v>4.9729954705464863</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-1.0138045471312753E-2</v>
      </c>
      <c r="D124" s="26"/>
      <c r="E124" s="234"/>
      <c r="F124" s="26"/>
      <c r="G124" s="74">
        <f t="shared" ref="G124" si="49">IF(G$4="","",G123/Market_Price)</f>
        <v>-8.8102948680103248E-3</v>
      </c>
      <c r="H124" s="74">
        <f t="shared" ref="H124" si="50">IF(H$4="","",H123/Market_Price)</f>
        <v>0.10247389777473509</v>
      </c>
      <c r="I124" s="74">
        <f t="shared" ref="I124" si="51">IF(I$4="","",I123/Market_Price)</f>
        <v>6.6294091246537734E-2</v>
      </c>
      <c r="J124" s="74">
        <f t="shared" ref="J124" si="52">IF(J$4="","",J123/Market_Price)</f>
        <v>3.5081186223832876E-2</v>
      </c>
      <c r="K124" s="74">
        <f t="shared" ref="K124" si="53">IF(K$4="","",K123/Market_Price)</f>
        <v>4.4798109498357582E-4</v>
      </c>
      <c r="L124" s="74">
        <f t="shared" ref="L124" si="54">IF(L$4="","",L123/Market_Price)</f>
        <v>4.4008809473862709E-2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7.2674400346696644E-2</v>
      </c>
      <c r="H125" s="22">
        <f>IF(H$4="","",(Data!D47*$C$3)/(Market_Price*Common_Shares))</f>
        <v>0.14024884277432687</v>
      </c>
      <c r="I125" s="22">
        <f>IF(I$4="","",(Data!E47*$C$3)/(Market_Price*Common_Shares))</f>
        <v>7.3035542687024627E-2</v>
      </c>
      <c r="J125" s="22">
        <f>IF(J$4="","",(Data!F47*$C$3)/(Market_Price*Common_Shares))</f>
        <v>3.043330800103004E-2</v>
      </c>
      <c r="K125" s="22">
        <f>IF(K$4="","",(Data!G47*$C$3)/(Market_Price*Common_Shares))</f>
        <v>-1.4028024645609451E-2</v>
      </c>
      <c r="L125" s="22">
        <f>IF(L$4="","",(Data!H47*$C$3)/(Market_Price*Common_Shares))</f>
        <v>0.15493634473705697</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6.091491067591118</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-45555.403677132905</v>
      </c>
      <c r="D10" t="str">
        <f>Market_currency</f>
        <v>HKD</v>
      </c>
      <c r="H10" s="308" t="s">
        <v>397</v>
      </c>
      <c r="I10" s="306">
        <f>Normalized_FCF!C41</f>
        <v>0.25</v>
      </c>
      <c r="N10" s="304"/>
      <c r="O10" s="304"/>
    </row>
    <row r="11" spans="2:15" ht="13.15">
      <c r="B11" s="136" t="s">
        <v>425</v>
      </c>
      <c r="C11" s="108">
        <f>(C10*scaling_factor)/Common_Shares</f>
        <v>-16.165863618570938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153.80968035195843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-16.165863618570938</v>
      </c>
      <c r="C73" s="119">
        <f>C11</f>
        <v>-16.165863618570938</v>
      </c>
      <c r="D73" s="119">
        <f>C11</f>
        <v>-16.165863618570938</v>
      </c>
      <c r="E73" s="119">
        <f>C11</f>
        <v>-16.165863618570938</v>
      </c>
      <c r="F73" s="119">
        <f>C11</f>
        <v>-16.165863618570938</v>
      </c>
      <c r="G73" s="296"/>
      <c r="H73" s="296"/>
      <c r="I73" s="296"/>
      <c r="J73" s="296"/>
      <c r="K73" s="296"/>
      <c r="L73" s="296"/>
    </row>
    <row r="74" spans="1:21" ht="13.15">
      <c r="A74" s="131">
        <v>1</v>
      </c>
      <c r="B74" s="119">
        <f t="shared" ref="B74:F87" si="11">(B56+FV_adjustments)/Common_Shares*scaling_factor*Exchange_Rate</f>
        <v>157.85639127656501</v>
      </c>
      <c r="C74" s="119">
        <f t="shared" si="11"/>
        <v>160.89168928074452</v>
      </c>
      <c r="D74" s="119">
        <f t="shared" si="11"/>
        <v>162.40933828283426</v>
      </c>
      <c r="E74" s="119">
        <f t="shared" si="11"/>
        <v>165.44463628701371</v>
      </c>
      <c r="F74" s="119">
        <f t="shared" si="11"/>
        <v>169.9975832932829</v>
      </c>
      <c r="G74" s="296"/>
      <c r="H74" s="296"/>
      <c r="I74" s="296"/>
      <c r="J74" s="296"/>
      <c r="K74" s="296"/>
      <c r="L74" s="296"/>
    </row>
    <row r="75" spans="1:21" ht="13.15">
      <c r="A75" s="131">
        <v>2</v>
      </c>
      <c r="B75" s="119">
        <f t="shared" si="11"/>
        <v>157.65366588556861</v>
      </c>
      <c r="C75" s="119">
        <f t="shared" si="11"/>
        <v>163.80086854684976</v>
      </c>
      <c r="D75" s="119">
        <f t="shared" si="11"/>
        <v>166.92029280638624</v>
      </c>
      <c r="E75" s="119">
        <f t="shared" si="11"/>
        <v>173.25078718325102</v>
      </c>
      <c r="F75" s="119">
        <f t="shared" si="11"/>
        <v>182.97564339302767</v>
      </c>
      <c r="G75" s="296"/>
      <c r="H75" s="296"/>
      <c r="I75" s="296"/>
      <c r="J75" s="296"/>
      <c r="K75" s="296"/>
      <c r="L75" s="296"/>
    </row>
    <row r="76" spans="1:21" ht="13.15">
      <c r="A76" s="131">
        <v>3</v>
      </c>
      <c r="B76" s="119">
        <f t="shared" si="11"/>
        <v>157.35188074494462</v>
      </c>
      <c r="C76" s="119">
        <f t="shared" si="11"/>
        <v>166.45262136331414</v>
      </c>
      <c r="D76" s="119">
        <f t="shared" si="11"/>
        <v>171.13634484532886</v>
      </c>
      <c r="E76" s="119">
        <f t="shared" si="11"/>
        <v>180.77477068918122</v>
      </c>
      <c r="F76" s="119">
        <f t="shared" si="11"/>
        <v>195.92267425700487</v>
      </c>
      <c r="G76" s="296"/>
      <c r="H76" s="296"/>
      <c r="I76" s="296"/>
      <c r="J76" s="296"/>
      <c r="K76" s="296"/>
      <c r="L76" s="296"/>
    </row>
    <row r="77" spans="1:21" ht="13.15">
      <c r="A77" s="131">
        <v>4</v>
      </c>
      <c r="B77" s="119">
        <f t="shared" si="11"/>
        <v>157.17563706794101</v>
      </c>
      <c r="C77" s="119">
        <f t="shared" si="11"/>
        <v>169.08395686656041</v>
      </c>
      <c r="D77" s="119">
        <f t="shared" si="11"/>
        <v>175.29687138368612</v>
      </c>
      <c r="E77" s="119">
        <f t="shared" si="11"/>
        <v>188.25682641641731</v>
      </c>
      <c r="F77" s="119">
        <f t="shared" si="11"/>
        <v>209.08288034181621</v>
      </c>
      <c r="G77" s="296"/>
      <c r="H77" s="296"/>
      <c r="I77" s="296"/>
      <c r="J77" s="296"/>
      <c r="K77" s="296"/>
      <c r="L77" s="296"/>
    </row>
    <row r="78" spans="1:21" ht="13.15">
      <c r="A78" s="131">
        <v>5</v>
      </c>
      <c r="B78" s="119">
        <f t="shared" si="11"/>
        <v>145.66880437057088</v>
      </c>
      <c r="C78" s="119">
        <f t="shared" si="11"/>
        <v>159.78574568986289</v>
      </c>
      <c r="D78" s="119">
        <f t="shared" si="11"/>
        <v>167.25926721508455</v>
      </c>
      <c r="E78" s="119">
        <f t="shared" si="11"/>
        <v>183.07680646080152</v>
      </c>
      <c r="F78" s="119">
        <f t="shared" si="11"/>
        <v>209.10522042388641</v>
      </c>
      <c r="G78" s="296"/>
      <c r="H78" s="296"/>
      <c r="I78" s="296"/>
      <c r="J78" s="296"/>
      <c r="K78" s="296"/>
      <c r="L78" s="296"/>
    </row>
    <row r="79" spans="1:21" ht="13.15">
      <c r="A79" s="131">
        <v>6</v>
      </c>
      <c r="B79" s="119">
        <f t="shared" si="11"/>
        <v>145.51558314095041</v>
      </c>
      <c r="C79" s="119">
        <f t="shared" si="11"/>
        <v>162.1657731468556</v>
      </c>
      <c r="D79" s="119">
        <f t="shared" si="11"/>
        <v>171.09658833769802</v>
      </c>
      <c r="E79" s="119">
        <f t="shared" si="11"/>
        <v>190.24822277718999</v>
      </c>
      <c r="F79" s="119">
        <f t="shared" si="11"/>
        <v>222.45012889738859</v>
      </c>
      <c r="G79" s="296"/>
      <c r="H79" s="296"/>
      <c r="I79" s="296"/>
      <c r="J79" s="296"/>
      <c r="K79" s="296"/>
      <c r="L79" s="296"/>
    </row>
    <row r="80" spans="1:21" ht="13.15">
      <c r="A80" s="131">
        <f t="shared" ref="A80" si="12">A62</f>
        <v>7</v>
      </c>
      <c r="B80" s="119">
        <f t="shared" si="11"/>
        <v>134.79695921719974</v>
      </c>
      <c r="C80" s="119">
        <f t="shared" si="11"/>
        <v>153.20621432007371</v>
      </c>
      <c r="D80" s="119">
        <f t="shared" si="11"/>
        <v>163.22542895180456</v>
      </c>
      <c r="E80" s="119">
        <f t="shared" si="11"/>
        <v>185.02642527554406</v>
      </c>
      <c r="F80" s="119">
        <f t="shared" si="11"/>
        <v>222.56594624208515</v>
      </c>
      <c r="G80" s="296"/>
      <c r="H80" s="296"/>
      <c r="I80" s="296"/>
      <c r="J80" s="296"/>
      <c r="K80" s="296"/>
      <c r="L80" s="296"/>
    </row>
    <row r="81" spans="1:12" ht="13.15">
      <c r="A81" s="131">
        <v>8</v>
      </c>
      <c r="B81" s="119">
        <f t="shared" si="11"/>
        <v>134.66375304716547</v>
      </c>
      <c r="C81" s="119">
        <f t="shared" si="11"/>
        <v>155.3589351301151</v>
      </c>
      <c r="D81" s="119">
        <f t="shared" si="11"/>
        <v>166.76465247611119</v>
      </c>
      <c r="E81" s="119">
        <f t="shared" si="11"/>
        <v>191.90009928411234</v>
      </c>
      <c r="F81" s="119">
        <f t="shared" si="11"/>
        <v>236.09814938681316</v>
      </c>
      <c r="G81" s="296"/>
      <c r="H81" s="296"/>
      <c r="I81" s="296"/>
      <c r="J81" s="296"/>
      <c r="K81" s="296"/>
      <c r="L81" s="296"/>
    </row>
    <row r="82" spans="1:12" ht="13.15">
      <c r="A82" s="131">
        <f t="shared" ref="A82" si="13">A64</f>
        <v>9</v>
      </c>
      <c r="B82" s="119">
        <f t="shared" si="11"/>
        <v>124.67870271949809</v>
      </c>
      <c r="C82" s="119">
        <f t="shared" si="11"/>
        <v>146.73257816429253</v>
      </c>
      <c r="D82" s="119">
        <f t="shared" si="11"/>
        <v>159.06515488426658</v>
      </c>
      <c r="E82" s="119">
        <f t="shared" si="11"/>
        <v>186.64364703057291</v>
      </c>
      <c r="F82" s="119">
        <f t="shared" si="11"/>
        <v>236.30940743423298</v>
      </c>
      <c r="G82" s="296"/>
      <c r="H82" s="296"/>
      <c r="I82" s="296"/>
      <c r="J82" s="296"/>
      <c r="K82" s="296"/>
      <c r="L82" s="296"/>
    </row>
    <row r="83" spans="1:12" ht="13.15">
      <c r="A83" s="131">
        <f t="shared" ref="A83:A87" si="14">A65</f>
        <v>10</v>
      </c>
      <c r="B83" s="119">
        <f t="shared" si="11"/>
        <v>124.56289707181374</v>
      </c>
      <c r="C83" s="119">
        <f t="shared" si="11"/>
        <v>148.67970145161837</v>
      </c>
      <c r="D83" s="119">
        <f t="shared" si="11"/>
        <v>162.32943815761274</v>
      </c>
      <c r="E83" s="119">
        <f t="shared" si="11"/>
        <v>193.23194037342287</v>
      </c>
      <c r="F83" s="119">
        <f t="shared" si="11"/>
        <v>250.03153391518947</v>
      </c>
      <c r="G83" s="296"/>
      <c r="H83" s="296"/>
      <c r="I83" s="296"/>
      <c r="J83" s="296"/>
      <c r="K83" s="296"/>
      <c r="L83" s="296"/>
    </row>
    <row r="84" spans="1:12" ht="13.15">
      <c r="A84" s="131">
        <f t="shared" si="14"/>
        <v>15</v>
      </c>
      <c r="B84" s="119">
        <f t="shared" si="11"/>
        <v>98.330995550025875</v>
      </c>
      <c r="C84" s="119">
        <f t="shared" si="11"/>
        <v>128.0883465871386</v>
      </c>
      <c r="D84" s="119">
        <f t="shared" si="11"/>
        <v>146.0844254956142</v>
      </c>
      <c r="E84" s="119">
        <f t="shared" si="11"/>
        <v>189.6872131959303</v>
      </c>
      <c r="F84" s="119">
        <f t="shared" si="11"/>
        <v>279.2827938803087</v>
      </c>
      <c r="G84" s="296"/>
      <c r="H84" s="296"/>
      <c r="I84" s="296"/>
      <c r="J84" s="296"/>
      <c r="K84" s="296"/>
      <c r="L84" s="296"/>
    </row>
    <row r="85" spans="1:12" ht="13.15">
      <c r="A85" s="132">
        <f t="shared" si="14"/>
        <v>20</v>
      </c>
      <c r="B85" s="119">
        <f t="shared" si="11"/>
        <v>83.596622230035493</v>
      </c>
      <c r="C85" s="119">
        <f t="shared" si="11"/>
        <v>117.58379331060357</v>
      </c>
      <c r="D85" s="119">
        <f t="shared" si="11"/>
        <v>139.40639720801479</v>
      </c>
      <c r="E85" s="119">
        <f t="shared" si="11"/>
        <v>195.71025861291983</v>
      </c>
      <c r="F85" s="119">
        <f t="shared" si="11"/>
        <v>324.14452764045916</v>
      </c>
      <c r="G85" s="296"/>
      <c r="H85" s="296"/>
      <c r="I85" s="296"/>
      <c r="J85" s="296"/>
      <c r="K85" s="296"/>
      <c r="L85" s="296"/>
    </row>
    <row r="86" spans="1:12" ht="13.15">
      <c r="A86" s="132">
        <f t="shared" si="14"/>
        <v>25</v>
      </c>
      <c r="B86" s="119">
        <f t="shared" si="11"/>
        <v>65.208758098275183</v>
      </c>
      <c r="C86" s="119">
        <f t="shared" si="11"/>
        <v>100.11262748073413</v>
      </c>
      <c r="D86" s="119">
        <f t="shared" si="11"/>
        <v>123.96950696773425</v>
      </c>
      <c r="E86" s="119">
        <f t="shared" si="11"/>
        <v>189.72433104382301</v>
      </c>
      <c r="F86" s="119">
        <f t="shared" si="11"/>
        <v>357.00532598909462</v>
      </c>
      <c r="G86" s="296"/>
      <c r="H86" s="296"/>
      <c r="I86" s="296"/>
      <c r="J86" s="296"/>
      <c r="K86" s="296"/>
      <c r="L86" s="296"/>
    </row>
    <row r="87" spans="1:12" ht="13.15">
      <c r="A87" s="132">
        <f t="shared" si="14"/>
        <v>30</v>
      </c>
      <c r="B87" s="119">
        <f t="shared" si="11"/>
        <v>54.894392102923888</v>
      </c>
      <c r="C87" s="119">
        <f t="shared" si="11"/>
        <v>90.811388815544362</v>
      </c>
      <c r="D87" s="119">
        <f t="shared" si="11"/>
        <v>116.7447988577391</v>
      </c>
      <c r="E87" s="119">
        <f t="shared" si="11"/>
        <v>192.62521122670236</v>
      </c>
      <c r="F87" s="119">
        <f t="shared" si="11"/>
        <v>406.12131582366169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250.03153391518947</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193.23194037342287</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162.32943815761274</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148.67970145161837</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124.56289707181374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193.23194037342287</v>
      </c>
      <c r="F22" s="328">
        <f>1-F23-F24</f>
        <v>0.19999999999999996</v>
      </c>
      <c r="G22" s="328">
        <f>F22*(1-F$29-F$30)</f>
        <v>0.15999999999999995</v>
      </c>
    </row>
    <row r="23" spans="2:7">
      <c r="B23" s="302" t="s">
        <v>437</v>
      </c>
      <c r="C23" s="324">
        <v>0.03</v>
      </c>
      <c r="D23" s="325">
        <f>C18</f>
        <v>10</v>
      </c>
      <c r="E23" s="326">
        <f>DCF!E92</f>
        <v>162.32943815761274</v>
      </c>
      <c r="F23" s="327">
        <v>0.55000000000000004</v>
      </c>
      <c r="G23" s="328">
        <f t="shared" ref="G23:G24" si="0">F23*(1-F$29-F$30)</f>
        <v>0.44</v>
      </c>
    </row>
    <row r="24" spans="2:7">
      <c r="B24" s="302" t="s">
        <v>446</v>
      </c>
      <c r="C24" s="324">
        <v>0.02</v>
      </c>
      <c r="D24" s="325">
        <f>C18</f>
        <v>10</v>
      </c>
      <c r="E24" s="326">
        <f>DCF!E93</f>
        <v>148.67970145161837</v>
      </c>
      <c r="F24" s="327">
        <v>0.25</v>
      </c>
      <c r="G24" s="328">
        <f t="shared" si="0"/>
        <v>0.19999999999999998</v>
      </c>
    </row>
    <row r="25" spans="2:7">
      <c r="B25" s="141" t="s">
        <v>451</v>
      </c>
      <c r="C25" s="441">
        <f>E23*F23+E24*F24+E22*F22</f>
        <v>165.09750442427617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250.03153391518947</v>
      </c>
      <c r="F29" s="327">
        <v>0.15</v>
      </c>
      <c r="G29" s="328">
        <f>F29</f>
        <v>0.15</v>
      </c>
    </row>
    <row r="30" spans="2:7">
      <c r="B30" s="315" t="s">
        <v>447</v>
      </c>
      <c r="C30" s="324">
        <v>0</v>
      </c>
      <c r="D30" s="325">
        <f>C18</f>
        <v>10</v>
      </c>
      <c r="E30" s="326">
        <f>DCF!E94</f>
        <v>124.56289707181374</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113</v>
      </c>
      <c r="D34" t="str">
        <f>Market_currency</f>
        <v>HKD</v>
      </c>
      <c r="E34" s="97" t="s">
        <v>454</v>
      </c>
      <c r="F34" s="330">
        <f>RATE(Holding_Period,$C$33,-C34,$C$36)</f>
        <v>0.18581009333609719</v>
      </c>
    </row>
    <row r="35" spans="2:7">
      <c r="B35" s="97" t="s">
        <v>434</v>
      </c>
      <c r="C35" s="320">
        <f>DCF!C11</f>
        <v>-16.165863618570938</v>
      </c>
      <c r="D35" s="97" t="str">
        <f>Market_currency</f>
        <v>HKD</v>
      </c>
      <c r="E35" s="97" t="s">
        <v>454</v>
      </c>
      <c r="F35" s="330" t="e">
        <f>RATE(Holding_Period,$C$33,-C35,$C$36)</f>
        <v>#NUM!</v>
      </c>
    </row>
    <row r="36" spans="2:7">
      <c r="B36" s="97" t="s">
        <v>435</v>
      </c>
      <c r="C36" s="321">
        <f>E22*G22+E23*G23+E24*G24+E30*G30+E29*G29</f>
        <v>175.81087848029006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153.80968035195843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3.4647975826331064E-2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80.023158161260824</v>
      </c>
      <c r="E62" s="332">
        <f>C62+D62</f>
        <v>86.397714374278578</v>
      </c>
      <c r="F62" s="301">
        <f>Thesis!E22</f>
        <v>0.3</v>
      </c>
      <c r="G62" s="440">
        <f>(1-E62/C36)</f>
        <v>0.50857583375328774</v>
      </c>
    </row>
    <row r="63" spans="2:7" ht="13.15">
      <c r="B63" s="302" t="s">
        <v>313</v>
      </c>
      <c r="C63" s="119">
        <f>PV(F63, Holding_Period, -C58, 0)</f>
        <v>7.3937499999999998</v>
      </c>
      <c r="D63" s="119">
        <f>C36/(1+F63)^Holding_Period</f>
        <v>101.74240652794563</v>
      </c>
      <c r="E63" s="332">
        <f>C63+D63</f>
        <v>109.13615652794563</v>
      </c>
      <c r="F63" s="301">
        <f>Thesis!E23</f>
        <v>0.2</v>
      </c>
      <c r="G63" s="440">
        <f>(1-E63/C36)</f>
        <v>0.37924116259858887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126.0142743558104</v>
      </c>
      <c r="E66" s="332">
        <f>C66+D66</f>
        <v>134.48251132785506</v>
      </c>
      <c r="F66" s="301">
        <f>Thesis!E24</f>
        <v>0.1174</v>
      </c>
      <c r="G66" s="440">
        <f>(1-E66/C36)</f>
        <v>0.23507286642144998</v>
      </c>
    </row>
    <row r="67" spans="2:7" ht="13.15">
      <c r="B67" s="302" t="s">
        <v>314</v>
      </c>
      <c r="C67" s="119">
        <f>PV(F67, Holding_Period, -C58, 0)</f>
        <v>9.1694370473772864</v>
      </c>
      <c r="D67" s="119">
        <f>C36/(1+F67)^Holding_Period</f>
        <v>142.51278966860599</v>
      </c>
      <c r="E67" s="332">
        <f>C67+D67</f>
        <v>151.68222671598329</v>
      </c>
      <c r="F67" s="301">
        <f>Thesis!E25</f>
        <v>7.2499999999999995E-2</v>
      </c>
      <c r="G67" s="440">
        <f>(1-E67/C36)</f>
        <v>0.1372420863422954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113</v>
      </c>
    </row>
    <row r="9" spans="1:10">
      <c r="B9" s="351" t="s">
        <v>361</v>
      </c>
      <c r="C9" s="353">
        <f>Common_Shares</f>
        <v>2818000000</v>
      </c>
    </row>
    <row r="10" spans="1:10">
      <c r="B10" s="351" t="s">
        <v>367</v>
      </c>
      <c r="C10" s="357">
        <f>投资主题!C8*Common_Shares/1000000</f>
        <v>318434</v>
      </c>
      <c r="D10" s="343" t="s">
        <v>529</v>
      </c>
      <c r="E10" s="360">
        <f>Scenarios!F34</f>
        <v>0.18581009333609719</v>
      </c>
    </row>
    <row r="11" spans="1:10">
      <c r="D11" s="349"/>
      <c r="E11" s="349"/>
    </row>
    <row r="12" spans="1:10" ht="24.5" customHeight="1">
      <c r="B12" s="475" t="s">
        <v>498</v>
      </c>
      <c r="C12" s="475"/>
      <c r="D12" s="475"/>
      <c r="E12" s="475"/>
      <c r="F12" s="475"/>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535</v>
      </c>
      <c r="C17" s="424">
        <f>Terminal_Growth</f>
        <v>0.02</v>
      </c>
      <c r="D17" s="351" t="s">
        <v>339</v>
      </c>
      <c r="E17" s="344" t="str">
        <f>Reporting_currency</f>
        <v>CNY</v>
      </c>
    </row>
    <row r="18" spans="1:6">
      <c r="B18" s="343" t="str">
        <f>"预期股权价值 ("&amp;C7&amp;") :"</f>
        <v>预期股权价值 (HKD) :</v>
      </c>
      <c r="C18" s="359">
        <f>C125</f>
        <v>175.81087848029006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86.397714374278578</v>
      </c>
      <c r="D22" s="365" t="s">
        <v>440</v>
      </c>
      <c r="E22" s="366">
        <f>Thesis!E22</f>
        <v>0.3</v>
      </c>
    </row>
    <row r="23" spans="1:6">
      <c r="B23" s="343" t="s">
        <v>341</v>
      </c>
      <c r="C23" s="367">
        <f>E141</f>
        <v>109.13615652794563</v>
      </c>
      <c r="D23" s="365" t="s">
        <v>441</v>
      </c>
      <c r="E23" s="368">
        <f>Thesis!E23</f>
        <v>0.2</v>
      </c>
    </row>
    <row r="24" spans="1:6">
      <c r="B24" s="343" t="s">
        <v>343</v>
      </c>
      <c r="C24" s="367">
        <f>E144</f>
        <v>134.48251132785506</v>
      </c>
      <c r="D24" s="365" t="s">
        <v>443</v>
      </c>
      <c r="E24" s="368">
        <f>Thesis!E24</f>
        <v>0.1174</v>
      </c>
    </row>
    <row r="25" spans="1:6">
      <c r="B25" s="343" t="s">
        <v>342</v>
      </c>
      <c r="C25" s="367">
        <f>E145</f>
        <v>151.68222671598329</v>
      </c>
      <c r="D25" s="365" t="s">
        <v>442</v>
      </c>
      <c r="E25" s="368">
        <f>Thesis!E25</f>
        <v>7.2499999999999995E-2</v>
      </c>
    </row>
    <row r="27" spans="1:6" ht="13.9">
      <c r="A27" s="345" t="s">
        <v>345</v>
      </c>
      <c r="B27" s="345"/>
      <c r="C27" s="345"/>
      <c r="D27" s="345"/>
      <c r="E27" s="345"/>
      <c r="F27" s="345"/>
    </row>
    <row r="29" spans="1:6">
      <c r="B29" s="475" t="s">
        <v>499</v>
      </c>
      <c r="C29" s="475"/>
      <c r="D29" s="475"/>
      <c r="E29" s="475"/>
      <c r="F29" s="475"/>
    </row>
    <row r="30" spans="1:6" ht="24.5" customHeight="1">
      <c r="B30" s="478" t="s">
        <v>500</v>
      </c>
      <c r="C30" s="478"/>
      <c r="D30" s="478"/>
      <c r="E30" s="478"/>
      <c r="F30" s="478"/>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7"/>
      <c r="D54" s="477"/>
      <c r="E54" s="477"/>
      <c r="F54" s="477"/>
    </row>
    <row r="55" spans="2:6">
      <c r="B55" s="372" t="s">
        <v>207</v>
      </c>
      <c r="C55" s="373">
        <f>Normalized_FCF!C17</f>
        <v>0</v>
      </c>
      <c r="D55" s="343" t="str">
        <f>Reporting_currency</f>
        <v>CNY</v>
      </c>
    </row>
    <row r="57" spans="2:6">
      <c r="B57" s="475" t="s">
        <v>508</v>
      </c>
      <c r="C57" s="475"/>
      <c r="D57" s="475"/>
      <c r="E57" s="475"/>
      <c r="F57" s="475"/>
    </row>
    <row r="58" spans="2:6">
      <c r="B58" s="475" t="s">
        <v>509</v>
      </c>
      <c r="C58" s="475"/>
      <c r="D58" s="475"/>
      <c r="E58" s="475"/>
      <c r="F58" s="475"/>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-1.0138045471312753E-2</v>
      </c>
      <c r="F62" s="379"/>
    </row>
    <row r="63" spans="2:6">
      <c r="B63" s="377" t="s">
        <v>332</v>
      </c>
      <c r="C63" s="378">
        <f>Normalized_FCF!C92</f>
        <v>3.1061946902654864E-2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5" t="s">
        <v>510</v>
      </c>
      <c r="C73" s="475"/>
      <c r="D73" s="475"/>
      <c r="E73" s="475"/>
      <c r="F73" s="475"/>
    </row>
    <row r="74" spans="1:6">
      <c r="B74" s="478" t="s">
        <v>479</v>
      </c>
      <c r="C74" s="478"/>
      <c r="D74" s="478"/>
      <c r="E74" s="478"/>
      <c r="F74" s="478"/>
    </row>
    <row r="76" spans="1:6">
      <c r="B76" s="369" t="s">
        <v>371</v>
      </c>
    </row>
    <row r="77" spans="1:6">
      <c r="B77" s="475" t="s">
        <v>511</v>
      </c>
      <c r="C77" s="475"/>
      <c r="D77" s="475"/>
      <c r="E77" s="475"/>
      <c r="F77" s="475"/>
    </row>
    <row r="78" spans="1:6">
      <c r="B78" s="343" t="s">
        <v>215</v>
      </c>
      <c r="C78" s="373">
        <f>DCF!F4</f>
        <v>-106603</v>
      </c>
      <c r="D78" s="343" t="str">
        <f>Reporting_currency</f>
        <v>CNY</v>
      </c>
    </row>
    <row r="79" spans="1:6">
      <c r="B79" s="372" t="s">
        <v>234</v>
      </c>
      <c r="C79" s="387">
        <f>C78*scaling_factor*Exchange_Rate/Common_Shares</f>
        <v>-42.828909044002835</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16.077175978024052</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32.843224133569905</v>
      </c>
      <c r="D90" s="343" t="str">
        <f>Market_currency</f>
        <v>HKD</v>
      </c>
    </row>
    <row r="92" spans="1:6">
      <c r="B92" s="372" t="s">
        <v>480</v>
      </c>
      <c r="C92" s="387">
        <f>DCF!F8</f>
        <v>6.091491067591118</v>
      </c>
      <c r="D92" s="343" t="str">
        <f>Market_currency</f>
        <v>HKD</v>
      </c>
    </row>
    <row r="94" spans="1:6" ht="13.9">
      <c r="A94" s="345" t="s">
        <v>482</v>
      </c>
      <c r="B94" s="345"/>
      <c r="C94" s="345"/>
      <c r="D94" s="345"/>
      <c r="E94" s="345"/>
      <c r="F94" s="345"/>
    </row>
    <row r="95" spans="1:6">
      <c r="A95" s="385"/>
    </row>
    <row r="96" spans="1:6">
      <c r="A96" s="385"/>
      <c r="B96" s="475" t="s">
        <v>514</v>
      </c>
      <c r="C96" s="475"/>
      <c r="D96" s="475"/>
      <c r="E96" s="475"/>
      <c r="F96" s="475"/>
    </row>
    <row r="97" spans="1:6">
      <c r="A97" s="385"/>
      <c r="B97" s="478" t="s">
        <v>515</v>
      </c>
      <c r="C97" s="478"/>
      <c r="D97" s="478"/>
      <c r="E97" s="478"/>
      <c r="F97" s="478"/>
    </row>
    <row r="98" spans="1:6">
      <c r="A98" s="385"/>
      <c r="B98" s="478" t="s">
        <v>516</v>
      </c>
      <c r="C98" s="478"/>
      <c r="D98" s="478"/>
      <c r="E98" s="478"/>
      <c r="F98" s="478"/>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5" t="s">
        <v>517</v>
      </c>
      <c r="C107" s="475"/>
      <c r="D107" s="475"/>
      <c r="E107" s="475"/>
      <c r="F107" s="475"/>
    </row>
    <row r="108" spans="1:6">
      <c r="A108" s="385"/>
      <c r="B108" s="475" t="s">
        <v>536</v>
      </c>
      <c r="C108" s="475"/>
      <c r="D108" s="475"/>
      <c r="E108" s="475"/>
      <c r="F108" s="475"/>
    </row>
    <row r="109" spans="1:6">
      <c r="A109" s="385"/>
    </row>
    <row r="110" spans="1:6">
      <c r="A110" s="385"/>
      <c r="B110" s="369" t="s">
        <v>489</v>
      </c>
    </row>
    <row r="111" spans="1:6">
      <c r="A111" s="385"/>
      <c r="B111" s="375" t="s">
        <v>486</v>
      </c>
      <c r="C111" s="394">
        <f>BS!D47</f>
        <v>-66.917302813378299</v>
      </c>
      <c r="D111" s="343" t="str">
        <f>Market_currency</f>
        <v>HKD</v>
      </c>
    </row>
    <row r="112" spans="1:6">
      <c r="A112" s="385"/>
      <c r="B112" s="372" t="s">
        <v>377</v>
      </c>
      <c r="C112" s="394">
        <f>DCF!C11</f>
        <v>-16.165863618570938</v>
      </c>
      <c r="D112" s="343" t="str">
        <f>Market_currency</f>
        <v>HKD</v>
      </c>
    </row>
    <row r="113" spans="1:6">
      <c r="A113" s="385"/>
    </row>
    <row r="114" spans="1:6">
      <c r="A114" s="385"/>
      <c r="B114" s="475" t="s">
        <v>518</v>
      </c>
      <c r="C114" s="475"/>
      <c r="D114" s="475"/>
      <c r="E114" s="475"/>
      <c r="F114" s="475"/>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250.03 HKD</v>
      </c>
      <c r="F118" s="399">
        <f>DCF!F90</f>
        <v>0.15</v>
      </c>
    </row>
    <row r="119" spans="1:6">
      <c r="A119" s="385"/>
      <c r="B119" s="400" t="str">
        <f>DCF!B91</f>
        <v>Optimistic</v>
      </c>
      <c r="C119" s="401">
        <f>DCF!C91</f>
        <v>0.05</v>
      </c>
      <c r="D119" s="402">
        <f>DCF!D91</f>
        <v>10</v>
      </c>
      <c r="E119" s="398" t="str">
        <f>ROUND(DCF!E91,2)&amp;" "&amp;Market_currency</f>
        <v>193.23 HKD</v>
      </c>
      <c r="F119" s="403">
        <f>DCF!F91</f>
        <v>0.15999999999999995</v>
      </c>
    </row>
    <row r="120" spans="1:6">
      <c r="B120" s="400" t="str">
        <f>DCF!B92</f>
        <v>Base</v>
      </c>
      <c r="C120" s="401">
        <f>DCF!C92</f>
        <v>0.03</v>
      </c>
      <c r="D120" s="402">
        <f>DCF!D92</f>
        <v>10</v>
      </c>
      <c r="E120" s="398" t="str">
        <f>ROUND(DCF!E92,2)&amp;" "&amp;Market_currency</f>
        <v>162.33 HKD</v>
      </c>
      <c r="F120" s="403">
        <f>DCF!F92</f>
        <v>0.44</v>
      </c>
    </row>
    <row r="121" spans="1:6">
      <c r="B121" s="400" t="str">
        <f>DCF!B93</f>
        <v>Pessimistic</v>
      </c>
      <c r="C121" s="401">
        <f>DCF!C93</f>
        <v>0.02</v>
      </c>
      <c r="D121" s="402">
        <f>DCF!D93</f>
        <v>10</v>
      </c>
      <c r="E121" s="398" t="str">
        <f>ROUND(DCF!E93,2)&amp;" "&amp;Market_currency</f>
        <v>148.68 HKD</v>
      </c>
      <c r="F121" s="403">
        <f>DCF!F93</f>
        <v>0.19999999999999998</v>
      </c>
    </row>
    <row r="122" spans="1:6">
      <c r="B122" s="400" t="str">
        <f>DCF!B94</f>
        <v>Devil's advocate</v>
      </c>
      <c r="C122" s="401">
        <f>DCF!C94</f>
        <v>0</v>
      </c>
      <c r="D122" s="402">
        <f>DCF!D94</f>
        <v>10</v>
      </c>
      <c r="E122" s="398" t="str">
        <f>ROUND(DCF!E94,2)&amp;" "&amp;Market_currency</f>
        <v>124.56 HKD</v>
      </c>
      <c r="F122" s="403">
        <f>DCF!F94</f>
        <v>0.05</v>
      </c>
    </row>
    <row r="124" spans="1:6">
      <c r="B124" s="471" t="s">
        <v>519</v>
      </c>
      <c r="C124" s="471"/>
      <c r="D124" s="471"/>
      <c r="E124" s="471"/>
      <c r="F124" s="471"/>
    </row>
    <row r="125" spans="1:6">
      <c r="B125" s="372" t="s">
        <v>218</v>
      </c>
      <c r="C125" s="404">
        <f>Scenarios!C36</f>
        <v>175.81087848029006</v>
      </c>
      <c r="D125" s="343" t="str">
        <f>Market_currency</f>
        <v>HKD</v>
      </c>
    </row>
    <row r="127" spans="1:6">
      <c r="B127" s="473" t="s">
        <v>520</v>
      </c>
      <c r="C127" s="473"/>
      <c r="D127" s="473"/>
      <c r="E127" s="473"/>
      <c r="F127" s="473"/>
    </row>
    <row r="129" spans="1:6" ht="13.9">
      <c r="A129" s="345" t="s">
        <v>492</v>
      </c>
      <c r="B129" s="345"/>
      <c r="C129" s="345"/>
      <c r="D129" s="345"/>
      <c r="E129" s="345"/>
      <c r="F129" s="345"/>
    </row>
    <row r="131" spans="1:6">
      <c r="B131" s="474" t="s">
        <v>521</v>
      </c>
      <c r="C131" s="474"/>
      <c r="D131" s="474"/>
      <c r="E131" s="474"/>
      <c r="F131" s="474"/>
    </row>
    <row r="132" spans="1:6" ht="24.5" customHeight="1">
      <c r="B132" s="475" t="s">
        <v>522</v>
      </c>
      <c r="C132" s="475"/>
      <c r="D132" s="475"/>
      <c r="E132" s="475"/>
      <c r="F132" s="475"/>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80.023158161260824</v>
      </c>
      <c r="E140" s="410">
        <f>Scenarios!E62</f>
        <v>86.397714374278578</v>
      </c>
      <c r="F140" s="411">
        <f>E22</f>
        <v>0.3</v>
      </c>
    </row>
    <row r="141" spans="1:6">
      <c r="B141" s="408" t="s">
        <v>313</v>
      </c>
      <c r="C141" s="409">
        <f>Scenarios!C63</f>
        <v>7.3937499999999998</v>
      </c>
      <c r="D141" s="409">
        <f>Scenarios!D63</f>
        <v>101.74240652794563</v>
      </c>
      <c r="E141" s="410">
        <f>Scenarios!E63</f>
        <v>109.13615652794563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126.0142743558104</v>
      </c>
      <c r="E144" s="410">
        <f>Scenarios!E66</f>
        <v>134.48251132785506</v>
      </c>
      <c r="F144" s="411">
        <f>E24</f>
        <v>0.1174</v>
      </c>
    </row>
    <row r="145" spans="1:6">
      <c r="B145" s="408" t="s">
        <v>314</v>
      </c>
      <c r="C145" s="409">
        <f>Scenarios!C67</f>
        <v>9.1694370473772864</v>
      </c>
      <c r="D145" s="409">
        <f>Scenarios!D67</f>
        <v>142.51278966860599</v>
      </c>
      <c r="E145" s="410">
        <f>Scenarios!E67</f>
        <v>151.68222671598329</v>
      </c>
      <c r="F145" s="411">
        <f>Scenarios!F67</f>
        <v>7.2499999999999995E-2</v>
      </c>
    </row>
    <row r="147" spans="1:6" ht="13.9">
      <c r="A147" s="345" t="s">
        <v>475</v>
      </c>
      <c r="B147" s="345"/>
      <c r="C147" s="345"/>
      <c r="D147" s="345"/>
      <c r="E147" s="345"/>
      <c r="F147" s="345"/>
    </row>
    <row r="149" spans="1:6">
      <c r="B149" s="476" t="s">
        <v>523</v>
      </c>
      <c r="C149" s="475"/>
      <c r="D149" s="475"/>
      <c r="E149" s="475"/>
      <c r="F149" s="475"/>
    </row>
    <row r="151" spans="1:6">
      <c r="B151" s="369" t="s">
        <v>384</v>
      </c>
    </row>
    <row r="152" spans="1:6">
      <c r="B152" s="477" t="s">
        <v>524</v>
      </c>
      <c r="C152" s="477"/>
      <c r="D152" s="477"/>
      <c r="E152" s="477"/>
      <c r="F152" s="477"/>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2" t="s">
        <v>388</v>
      </c>
      <c r="C161" s="472"/>
      <c r="D161" s="472"/>
      <c r="E161" s="472"/>
      <c r="F161" s="472"/>
    </row>
    <row r="162" spans="2:6">
      <c r="B162" s="472" t="s">
        <v>389</v>
      </c>
      <c r="C162" s="472"/>
      <c r="D162" s="472"/>
      <c r="E162" s="472"/>
      <c r="F162" s="472"/>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