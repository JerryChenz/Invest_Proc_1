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D25164-C00E-498D-800D-72B5D540E6C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<sst xmlns="http://schemas.openxmlformats.org/spreadsheetml/2006/main" count="836" uniqueCount="561">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</sst>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5.57</v>
      </c>
      <c r="D12" s="50"/>
      <c r="E12" s="48"/>
    </row>
    <row r="13" spans="1:10">
      <c r="B13" s="1" t="s">
        <v>485</v>
      </c>
      <c r="C13" s="32" t="str">
        <f>Market_currency</f>
        <v>CNY</v>
      </c>
      <c r="D13" s="48"/>
      <c r="E13" s="5"/>
    </row>
    <row r="14" spans="1:10">
      <c r="B14" s="4" t="s">
        <v>486</v>
      </c>
      <c r="C14" s="35">
        <f>投资主题!C12*Common_Shares/1000000</f>
        <v>24626.946236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6.3408396767668407E-2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5.57</v>
      </c>
      <c r="D12" s="50"/>
      <c r="E12" s="48"/>
    </row>
    <row r="13" spans="1:10">
      <c r="B13" s="1" t="s">
        <v>464</v>
      </c>
      <c r="C13" s="48" t="s">
        <v>394</v>
      </c>
      <c r="D13" s="48"/>
      <c r="E13" s="5"/>
    </row>
    <row r="14" spans="1:10">
      <c r="B14" s="4" t="s">
        <v>465</v>
      </c>
      <c r="C14" s="35">
        <f>Thesis!C12*Common_Shares/1000000</f>
        <v>24626.946236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6.3408396767668407E-2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375</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-5.57</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5.57</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5.57</v>
      </c>
      <c r="D86" t="str">
        <f>Market_currency</f>
        <v>CNY</v>
      </c>
    </row>
    <row r="87" spans="2:8" ht="13.15">
      <c r="B87" s="100" t="s">
        <v>293</v>
      </c>
      <c r="C87" s="237">
        <f ca="1">IRR(OFFSET($I$3, 0, 0, $C$76 + 1, 1))</f>
        <v>6.3408396767668407E-2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