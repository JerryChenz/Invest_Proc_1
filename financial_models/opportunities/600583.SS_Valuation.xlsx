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9C4BB80-7D6D-41C5-B427-1D218C041FB3}"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4" i="3"/>
  <c r="C6" i="3"/>
  <c r="C9" i="3"/>
  <c r="C25" i="4"/>
  <c r="D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O94" i="2"/>
  <c r="J94" i="2"/>
  <c r="Q92" i="2"/>
  <c r="Q94" i="2"/>
  <c r="K94" i="2"/>
  <c r="P94" i="2"/>
  <c r="L94" i="2"/>
  <c r="M94" i="2"/>
  <c r="H94" i="2"/>
  <c r="C147" i="6"/>
  <c r="C147" i="12"/>
  <c r="C163" i="6"/>
  <c r="C163" i="12"/>
  <c r="C171" i="6"/>
  <c r="C171" i="12"/>
  <c r="C155" i="6"/>
  <c r="C155" i="12"/>
  <c r="L119" i="2"/>
  <c r="H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<sst xmlns="http://schemas.openxmlformats.org/spreadsheetml/2006/main" count="836" uniqueCount="561">
  <si>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</si>
  <si>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</si>
  <si>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</si>
  <si>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</si>
  <si>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</si>
  <si>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</si>
  <si>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</si>
  <si>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</si>
  <si>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</si>
  <si>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</si>
  <si>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</si>
  <si>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</si>
  <si>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</si>
  <si>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</si>
  <si>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</si>
  <si>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</si>
  <si>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</si>
  <si>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</si>
  <si>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</si>
  <si>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</si>
  <si>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</si>
  <si>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</si>
  <si>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</si>
  <si>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</si>
  <si>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</si>
  <si>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</si>
  <si>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</si>
  <si>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</si>
  <si>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</si>
  <si>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</si>
  <si>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</si>
  <si>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</si>
  <si>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</si>
  <si>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</si>
  <si>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</si>
  <si>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</si>
  <si>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</si>
  <si>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</si>
  <si>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</si>
  <si>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</si>
  <si>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</si>
  <si>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</si>
  <si>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</si>
  <si>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</si>
  <si>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</si>
  <si>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</si>
  <si>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</si>
  <si>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</si>
  <si>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</si>
  <si>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</si>
  <si>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</si>
  <si>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</si>
  <si>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</si>
  <si>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</si>
  <si>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</si>
  <si>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</si>
  <si>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</si>
  <si>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</si>
  <si>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</si>
  <si>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</si>
  <si>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</si>
  <si>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</si>
  <si>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</si>
  <si>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</si>
  <si>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</si>
  <si>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</si>
  <si>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</si>
  <si>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</si>
  <si>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</si>
  <si>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</si>
  <si>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</si>
  <si>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</si>
  <si>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</si>
  <si>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</si>
  <si>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</si>
  <si>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</si>
  <si>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</si>
  <si>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</si>
  <si>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</si>
  <si>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</si>
  <si>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</si>
  <si>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</si>
  <si>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</si>
  <si>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</si>
  <si>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</si>
  <si>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</si>
  <si>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</si>
  <si>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</si>
  <si>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</si>
  <si>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</si>
  <si>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</si>
  <si>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</si>
  <si>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</si>
  <si>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</si>
  <si>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</si>
  <si>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</si>
  <si>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</si>
  <si>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</si>
  <si>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</si>
  <si>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</si>
  <si>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</si>
  <si>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</si>
  <si>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</si>
  <si>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</si>
  <si>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</si>
  <si>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</si>
  <si>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</si>
  <si>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</si>
  <si>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</si>
  <si>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</si>
  <si>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</si>
  <si>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</si>
  <si>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</si>
  <si>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</si>
  <si>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</si>
  <si>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</si>
  <si>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</si>
  <si>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</si>
  <si>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</si>
  <si>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</si>
  <si>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</si>
  <si>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</si>
  <si>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</si>
  <si>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</si>
  <si>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</si>
  <si>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</si>
  <si>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</si>
  <si>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</si>
  <si>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</si>
  <si>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</si>
  <si>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</si>
  <si>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</si>
  <si>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</si>
  <si>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</si>
  <si>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</si>
  <si>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</si>
  <si>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</si>
  <si>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</si>
  <si>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</si>
  <si>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</si>
  <si>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</si>
  <si>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</si>
  <si>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</si>
  <si>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</si>
  <si>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</si>
  <si>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</si>
  <si>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</si>
  <si>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</si>
  <si>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</si>
  <si>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</si>
  <si>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</si>
  <si>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</si>
  <si>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</si>
  <si>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</si>
  <si>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</si>
  <si>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</si>
  <si>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</si>
  <si>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</si>
  <si>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</si>
  <si>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</si>
  <si>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</si>
  <si>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</si>
  <si>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</si>
  <si>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</si>
  <si>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</si>
  <si>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</si>
  <si>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</si>
  <si>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</si>
  <si>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</si>
  <si>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</si>
  <si>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</si>
  <si>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</si>
  <si>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</si>
  <si>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</si>
  <si>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</si>
  <si>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</si>
  <si>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</si>
  <si>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</si>
  <si>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</si>
  <si>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</si>
  <si>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</si>
  <si>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</si>
  <si>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</si>
  <si>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</si>
  <si>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</si>
  <si>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</si>
  <si>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</si>
  <si>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</si>
  <si>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</si>
  <si>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</si>
  <si>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</si>
  <si>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</si>
  <si>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</si>
  <si>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</si>
  <si>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</si>
  <si>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</si>
  <si>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</si>
  <si>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</si>
  <si>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</si>
  <si>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</si>
  <si>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</si>
  <si>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</si>
  <si>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</si>
  <si>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</si>
  <si>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</si>
  <si>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</si>
  <si>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</si>
  <si>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</si>
  <si>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</si>
  <si>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</si>
  <si>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</si>
  <si>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</si>
  <si>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</si>
  <si>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</si>
  <si>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</si>
  <si>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</si>
  <si>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</si>
  <si>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</si>
  <si>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</si>
  <si>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</si>
  <si>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</si>
  <si>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</si>
  <si>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</si>
  <si>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</si>
  <si>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</si>
  <si>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</si>
  <si>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</si>
  <si>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</si>
  <si>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</si>
  <si>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</si>
  <si>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</si>
  <si>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</si>
  <si>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</si>
  <si>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</si>
  <si>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</si>
  <si>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</si>
  <si>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</si>
  <si>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</si>
  <si>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</si>
  <si>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</si>
  <si>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</si>
  <si>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</si>
  <si>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</si>
  <si>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</si>
  <si>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</si>
  <si>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</si>
  <si>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</si>
  <si>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</si>
  <si>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</si>
  <si>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</si>
  <si>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</si>
  <si>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</si>
  <si>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</si>
  <si>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</si>
  <si>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</si>
  <si>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</si>
  <si>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</si>
  <si>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</si>
  <si>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</si>
  <si>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</si>
  <si>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</si>
  <si>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</si>
  <si>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</si>
  <si>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</si>
  <si>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</si>
  <si>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</si>
  <si>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</si>
  <si>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</si>
  <si>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</si>
  <si>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</si>
  <si>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</si>
  <si>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</si>
  <si>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</si>
  <si>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</si>
  <si>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</si>
  <si>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</si>
  <si>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</si>
  <si>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</si>
  <si>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</si>
  <si>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</si>
  <si>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</si>
  <si>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</si>
  <si>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</si>
  <si>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</si>
  <si>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</si>
  <si>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</si>
  <si>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</si>
  <si>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</si>
  <si>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</si>
  <si>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</si>
  <si>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</si>
  <si>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</si>
  <si>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</si>
  <si>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</si>
  <si>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</si>
  <si>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</si>
  <si>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</si>
  <si>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</si>
  <si>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</si>
  <si>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</si>
  <si>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</si>
  <si>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</si>
  <si>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</si>
  <si>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</si>
  <si>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</si>
  <si>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</si>
  <si>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</si>
  <si>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</si>
  <si>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</si>
  <si>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</si>
  <si>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</si>
  <si>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</si>
  <si>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</si>
  <si>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</si>
  <si>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</si>
  <si>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</si>
  <si>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</si>
  <si>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</si>
  <si>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</si>
  <si>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</si>
  <si>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</si>
  <si>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</si>
  <si>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</si>
  <si>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</si>
  <si>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</si>
  <si>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</si>
  <si>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</si>
  <si>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</si>
  <si>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</si>
  <si>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</si>
  <si>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</si>
  <si>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</si>
  <si>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</si>
  <si>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</si>
  <si>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</si>
  <si>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</si>
  <si>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</si>
  <si>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</si>
  <si>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</si>
  <si>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</si>
  <si>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</si>
  <si>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</si>
  <si>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</si>
  <si>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</si>
  <si>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</si>
  <si>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</si>
  <si>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</si>
  <si>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</si>
  <si>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</si>
  <si>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</si>
  <si>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</si>
  <si>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</si>
  <si>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</si>
  <si>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</si>
  <si>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</si>
  <si>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</si>
  <si>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</si>
  <si>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</si>
  <si>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</si>
  <si>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</si>
  <si>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</si>
  <si>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</si>
  <si>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</si>
  <si>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</si>
  <si>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</si>
  <si>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</si>
  <si>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</si>
  <si>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</si>
  <si>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</si>
  <si>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</si>
  <si>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</si>
  <si>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</si>
  <si>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</si>
  <si>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</si>
  <si>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</si>
  <si>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</si>
  <si>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</si>
  <si>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</si>
  <si>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</si>
  <si>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</si>
  <si>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</si>
  <si>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</si>
  <si>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</si>
  <si>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</si>
  <si>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</si>
  <si>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</si>
  <si>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</si>
  <si>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</si>
  <si>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</si>
  <si>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</si>
  <si>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</si>
  <si>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</si>
  <si>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</si>
  <si>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</si>
  <si>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</si>
  <si>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</si>
  <si>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</si>
  <si>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</si>
  <si>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</si>
  <si>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</si>
  <si>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</si>
  <si>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</si>
  <si>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</si>
  <si>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</si>
  <si>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</si>
  <si>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</si>
  <si>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</si>
  <si>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</si>
  <si>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</si>
  <si>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</si>
  <si>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</si>
  <si>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</si>
  <si>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</si>
  <si>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</si>
  <si>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</si>
  <si>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</si>
  <si>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</si>
  <si>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</si>
  <si>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</si>
  <si>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</si>
  <si>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</si>
  <si>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</si>
  <si>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</si>
  <si>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</si>
  <si>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</si>
  <si>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</si>
  <si>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</si>
  <si>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</si>
  <si>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</si>
  <si>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</si>
  <si>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</si>
  <si>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</si>
  <si>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</si>
  <si>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</si>
  <si>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</si>
  <si>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</si>
  <si>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</si>
  <si>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</si>
  <si>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</si>
  <si>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</si>
  <si>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</si>
  <si>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</si>
  <si>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</si>
  <si>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</si>
  <si>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</si>
  <si>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</si>
  <si>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</si>
  <si>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</si>
  <si>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</si>
  <si>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</si>
  <si>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</si>
  <si>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</si>
  <si>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</si>
  <si>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</si>
  <si>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</si>
  <si>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</si>
  <si>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</si>
  <si>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</si>
  <si>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</si>
  <si>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</si>
  <si>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</si>
  <si>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</si>
  <si>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</si>
  <si>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</si>
  <si>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</si>
  <si>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</si>
  <si>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</si>
  <si>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</si>
  <si>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</si>
  <si>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</si>
  <si>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</si>
  <si>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</si>
  <si>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</si>
  <si>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</si>
  <si>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</si>
  <si>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</si>
  <si>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</si>
  <si>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</si>
  <si>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</si>
  <si>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</si>
  <si>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</si>
  <si>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</si>
  <si>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</si>
  <si>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</si>
  <si>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</si>
  <si>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</si>
  <si>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</si>
  <si>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</si>
  <si>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</si>
  <si>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</si>
  <si>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</si>
  <si>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</si>
  <si>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</si>
  <si>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</si>
  <si>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</si>
  <si>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</si>
  <si>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</si>
  <si>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</si>
  <si>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</si>
  <si>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</si>
  <si>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</si>
  <si>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</si>
  <si>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</si>
  <si>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</si>
  <si>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</si>
  <si>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</si>
  <si>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</si>
  <si>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</si>
  <si>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</si>
  <si>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</si>
  <si>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</si>
  <si>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</si>
  <si>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</si>
  <si>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</si>
  <si>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</si>
  <si>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</si>
  <si>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</si>
  <si>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</si>
  <si>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</si>
  <si>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</si>
  <si>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</si>
  <si>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</si>
  <si>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</si>
  <si>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</si>
  <si>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</si>
  <si>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</si>
  <si>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</si>
  <si>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</si>
  <si>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</si>
  <si>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</si>
  <si>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</si>
  <si>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</si>
  <si>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</si>
  <si>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</si>
  <si>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</si>
  <si>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</si>
  <si>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</si>
  <si>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</si>
  <si>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</si>
  <si>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</si>
  <si>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</si>
  <si>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</si>
  <si>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</si>
  <si>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</si>
  <si>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</si>
  <si>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</si>
  <si>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</si>
  <si>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</si>
  <si>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</si>
  <si>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</si>
  <si>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</si>
  <si>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</si>
  <si>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</si>
  <si>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海油工程</t>
  </si>
  <si>
    <t>600583.SS</t>
  </si>
  <si>
    <t/>
  </si>
  <si>
    <t>ENG_03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</si>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</sst>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EB80B664-A1C9-4D68-94AD-C780D6CF2C5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0583.SS_Valuation_backup.xlsx" TargetMode="External"/><Relationship Id="rId1" Type="http://schemas.openxmlformats.org/officeDocument/2006/relationships/externalLinkPath" Target="600583.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4421354800</v>
          </cell>
        </row>
        <row r="12">
          <cell r="C12">
            <v>5.57</v>
          </cell>
        </row>
        <row r="13">
          <cell r="C13" t="str">
            <v>CNY</v>
          </cell>
        </row>
        <row r="16">
          <cell r="C16">
            <v>1</v>
          </cell>
        </row>
        <row r="21">
          <cell r="E21" t="str">
            <v>DCF</v>
          </cell>
        </row>
        <row r="25">
          <cell r="C25" t="str">
            <v>CNY</v>
          </cell>
        </row>
        <row r="86">
          <cell r="C86">
            <v>7.4999999999999997E-2</v>
          </cell>
        </row>
        <row r="92">
          <cell r="C92">
            <v>0</v>
          </cell>
        </row>
      </sheetData>
      <sheetData sheetId="2">
        <row r="3">
          <cell r="C3">
            <v>10000</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4421354800</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5.68</v>
      </c>
      <c r="D12" s="50"/>
      <c r="E12" s="48"/>
    </row>
    <row r="13" spans="1:10">
      <c r="B13" s="1" t="s">
        <v>464</v>
      </c>
      <c r="C13" s="48" t="s">
        <v>394</v>
      </c>
      <c r="D13" s="48"/>
      <c r="E13" s="5"/>
    </row>
    <row r="14" spans="1:10">
      <c r="B14" s="4" t="s">
        <v>465</v>
      </c>
      <c r="C14" s="35">
        <f>Thesis!C12*Common_Shares/1000000</f>
        <v>25113.295264</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2" t="s">
        <v>468</v>
      </c>
      <c r="C18" s="372"/>
      <c r="D18" s="372"/>
      <c r="E18" s="372"/>
      <c r="F18" s="372"/>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6.1203199055974453</v>
      </c>
      <c r="D26" s="1" t="s">
        <v>380</v>
      </c>
      <c r="E26" s="301">
        <f ca="1">Scenarios!C87</f>
        <v>5.6287543176100963E-2</v>
      </c>
    </row>
    <row r="27" spans="2:6">
      <c r="D27" s="5"/>
      <c r="E27" s="5"/>
    </row>
    <row r="28" spans="2:6">
      <c r="B28" s="45" t="s">
        <v>410</v>
      </c>
      <c r="C28" s="309" t="str">
        <f>C145&amp;" ("&amp;Market_currency&amp;")"</f>
        <v>600583.SS (CNY)</v>
      </c>
      <c r="D28" s="309" t="str">
        <f>IF(D11="","",D145&amp;" ("&amp;D13&amp;")")</f>
        <v/>
      </c>
      <c r="E28" s="305" t="s">
        <v>406</v>
      </c>
      <c r="F28" s="303">
        <v>3</v>
      </c>
    </row>
    <row r="29" spans="2:6">
      <c r="B29" s="1" t="s">
        <v>402</v>
      </c>
      <c r="C29" s="310">
        <f>C149</f>
        <v>2.2777045899700505</v>
      </c>
      <c r="D29" s="310" t="str">
        <f>D149</f>
        <v/>
      </c>
      <c r="E29" s="306" t="s">
        <v>401</v>
      </c>
      <c r="F29" s="302">
        <v>0.45</v>
      </c>
    </row>
    <row r="30" spans="2:6">
      <c r="B30" s="1" t="s">
        <v>403</v>
      </c>
      <c r="C30" s="311">
        <f>C157</f>
        <v>3.1142971805177257</v>
      </c>
      <c r="D30" s="311" t="str">
        <f>D157</f>
        <v/>
      </c>
      <c r="E30" s="307" t="s">
        <v>414</v>
      </c>
      <c r="F30" s="312">
        <v>0.3</v>
      </c>
    </row>
    <row r="31" spans="2:6">
      <c r="B31" s="1" t="s">
        <v>404</v>
      </c>
      <c r="C31" s="311">
        <f>C165</f>
        <v>5.3970513031335168</v>
      </c>
      <c r="D31" s="311" t="str">
        <f>D165</f>
        <v/>
      </c>
      <c r="E31" s="307" t="s">
        <v>413</v>
      </c>
      <c r="F31" s="312">
        <v>7.4999999999999997E-2</v>
      </c>
    </row>
    <row r="32" spans="2:6">
      <c r="B32" s="1" t="s">
        <v>405</v>
      </c>
      <c r="C32" s="311">
        <f>C173</f>
        <v>5.225618425612172</v>
      </c>
      <c r="D32" s="311" t="str">
        <f>D173</f>
        <v/>
      </c>
      <c r="E32" s="307" t="s">
        <v>415</v>
      </c>
      <c r="F32" s="312">
        <v>8.6999999999999994E-2</v>
      </c>
    </row>
    <row r="33" spans="1:6">
      <c r="D33" s="5"/>
      <c r="E33" s="5"/>
    </row>
    <row r="34" spans="1:6" ht="13.9">
      <c r="A34" s="222" t="s">
        <v>345</v>
      </c>
      <c r="B34" s="36"/>
      <c r="C34" s="36"/>
      <c r="D34" s="36"/>
      <c r="E34" s="36"/>
      <c r="F34" s="36"/>
    </row>
    <row r="36" spans="1:6">
      <c r="B36" s="372" t="s">
        <v>469</v>
      </c>
      <c r="C36" s="372"/>
      <c r="D36" s="372"/>
      <c r="E36" s="372"/>
      <c r="F36" s="372"/>
    </row>
    <row r="37" spans="1:6" ht="24.6" customHeight="1">
      <c r="B37" s="375" t="s">
        <v>330</v>
      </c>
      <c r="C37" s="375"/>
      <c r="D37" s="375"/>
      <c r="E37" s="375"/>
      <c r="F37" s="375"/>
    </row>
    <row r="39" spans="1:6">
      <c r="B39" s="210" t="s">
        <v>226</v>
      </c>
      <c r="C39" s="108">
        <f>scaling_factor</f>
        <v>10000</v>
      </c>
    </row>
    <row r="40" spans="1:6" ht="24.6" customHeight="1">
      <c r="B40" s="373" t="s">
        <v>227</v>
      </c>
      <c r="C40" s="373"/>
      <c r="D40" s="373"/>
      <c r="E40" s="373"/>
      <c r="F40" s="373"/>
    </row>
    <row r="41" spans="1:6">
      <c r="B41" s="47" t="s">
        <v>228</v>
      </c>
      <c r="C41" s="349">
        <f>Normalized_FCF!C8</f>
        <v>135997.4245838768</v>
      </c>
      <c r="D41" s="1" t="str">
        <f>Reporting_currency</f>
        <v>CNY</v>
      </c>
    </row>
    <row r="42" spans="1:6">
      <c r="B42" s="47"/>
      <c r="C42" s="76"/>
    </row>
    <row r="43" spans="1:6" ht="24.6" customHeight="1">
      <c r="B43" s="373" t="s">
        <v>229</v>
      </c>
      <c r="C43" s="373"/>
      <c r="D43" s="373"/>
      <c r="E43" s="373"/>
      <c r="F43" s="373"/>
    </row>
    <row r="44" spans="1:6">
      <c r="B44" s="47" t="s">
        <v>230</v>
      </c>
      <c r="C44" s="349">
        <f>Normalized_FCF!C9</f>
        <v>154945.9</v>
      </c>
      <c r="D44" s="1" t="str">
        <f>Reporting_currency</f>
        <v>CNY</v>
      </c>
    </row>
    <row r="45" spans="1:6">
      <c r="B45" s="52" t="s">
        <v>231</v>
      </c>
      <c r="C45" s="349">
        <f>Normalized_FCF!C10</f>
        <v>-154945.9</v>
      </c>
      <c r="D45" s="1" t="str">
        <f>Reporting_currency</f>
        <v>CNY</v>
      </c>
    </row>
    <row r="47" spans="1:6">
      <c r="B47" s="373" t="s">
        <v>232</v>
      </c>
      <c r="C47" s="373"/>
      <c r="D47" s="373"/>
      <c r="E47" s="373"/>
      <c r="F47" s="373"/>
    </row>
    <row r="48" spans="1:6">
      <c r="B48" s="47" t="s">
        <v>233</v>
      </c>
      <c r="C48" s="349">
        <f>Normalized_FCF!C11</f>
        <v>0</v>
      </c>
      <c r="D48" s="1" t="str">
        <f>Reporting_currency</f>
        <v>CNY</v>
      </c>
    </row>
    <row r="50" spans="2:6">
      <c r="B50" s="373" t="s">
        <v>236</v>
      </c>
      <c r="C50" s="373"/>
      <c r="D50" s="373"/>
      <c r="E50" s="373"/>
      <c r="F50" s="373"/>
    </row>
    <row r="51" spans="2:6">
      <c r="B51" s="47" t="s">
        <v>331</v>
      </c>
      <c r="C51" s="350">
        <f>Normalized_FCF!C48</f>
        <v>4618.7267156970447</v>
      </c>
      <c r="D51" s="1" t="str">
        <f>Reporting_currency</f>
        <v>CNY</v>
      </c>
      <c r="E51" s="286"/>
      <c r="F51" s="286"/>
    </row>
    <row r="52" spans="2:6">
      <c r="B52" s="47" t="s">
        <v>332</v>
      </c>
      <c r="C52" s="350">
        <f>Normalized_FCF!C47</f>
        <v>-1984.19</v>
      </c>
      <c r="D52" s="1" t="str">
        <f>Reporting_currency</f>
        <v>CNY</v>
      </c>
      <c r="E52" s="286"/>
      <c r="F52" s="286"/>
    </row>
    <row r="53" spans="2:6">
      <c r="B53" s="47" t="s">
        <v>234</v>
      </c>
      <c r="C53" s="349">
        <f>Normalized_FCF!C12</f>
        <v>2634.5367156970447</v>
      </c>
      <c r="D53" s="1" t="str">
        <f>Reporting_currency</f>
        <v>CNY</v>
      </c>
    </row>
    <row r="55" spans="2:6">
      <c r="B55" s="1" t="s">
        <v>242</v>
      </c>
    </row>
    <row r="56" spans="2:6">
      <c r="B56" s="47" t="s">
        <v>261</v>
      </c>
      <c r="C56" s="349">
        <f>Normalized_FCF!C15</f>
        <v>-2282.7677664801586</v>
      </c>
      <c r="D56" s="1" t="str">
        <f>Reporting_currency</f>
        <v>CNY</v>
      </c>
    </row>
    <row r="58" spans="2:6">
      <c r="B58" s="373" t="s">
        <v>237</v>
      </c>
      <c r="C58" s="373"/>
      <c r="D58" s="373"/>
      <c r="E58" s="373"/>
      <c r="F58" s="373"/>
    </row>
    <row r="59" spans="2:6">
      <c r="B59" s="47" t="s">
        <v>235</v>
      </c>
      <c r="C59" s="349">
        <f>Normalized_FCF!C14</f>
        <v>-34657.990324893457</v>
      </c>
      <c r="D59" s="1" t="str">
        <f>Reporting_currency</f>
        <v>CNY</v>
      </c>
    </row>
    <row r="61" spans="2:6">
      <c r="B61" s="373" t="s">
        <v>329</v>
      </c>
      <c r="C61" s="374"/>
      <c r="D61" s="374"/>
      <c r="E61" s="374"/>
      <c r="F61" s="374"/>
    </row>
    <row r="62" spans="2:6">
      <c r="B62" s="47" t="s">
        <v>238</v>
      </c>
      <c r="C62" s="349">
        <f>Normalized_FCF!C17</f>
        <v>0</v>
      </c>
      <c r="D62" s="1" t="str">
        <f>Reporting_currency</f>
        <v>CNY</v>
      </c>
    </row>
    <row r="64" spans="2:6" ht="24.6" customHeight="1">
      <c r="B64" s="372" t="s">
        <v>334</v>
      </c>
      <c r="C64" s="372"/>
      <c r="D64" s="372"/>
      <c r="E64" s="372"/>
      <c r="F64" s="372"/>
    </row>
    <row r="65" spans="1:6" ht="24.6" customHeight="1">
      <c r="B65" s="372" t="s">
        <v>348</v>
      </c>
      <c r="C65" s="372"/>
      <c r="D65" s="372"/>
      <c r="E65" s="372"/>
      <c r="F65" s="372"/>
    </row>
    <row r="67" spans="1:6">
      <c r="B67" s="47" t="s">
        <v>265</v>
      </c>
      <c r="C67" s="349">
        <f>Normalized_FCF!G19</f>
        <v>142780.44671569683</v>
      </c>
      <c r="D67" s="1" t="str">
        <f>Reporting_currency</f>
        <v>CNY</v>
      </c>
    </row>
    <row r="68" spans="1:6">
      <c r="B68" s="47" t="s">
        <v>244</v>
      </c>
      <c r="C68" s="349">
        <f>Normalized_FCF!C19</f>
        <v>101691.20320820018</v>
      </c>
      <c r="D68" s="1" t="str">
        <f>Reporting_currency</f>
        <v>CNY</v>
      </c>
    </row>
    <row r="69" spans="1:6">
      <c r="B69" s="227" t="s">
        <v>371</v>
      </c>
      <c r="C69" s="92">
        <f>Normalized_FCF!C126</f>
        <v>4.0492974792509566E-2</v>
      </c>
      <c r="F69" s="314"/>
    </row>
    <row r="70" spans="1:6">
      <c r="B70" s="227" t="s">
        <v>434</v>
      </c>
      <c r="C70" s="92">
        <f>Normalized_FCF!C94</f>
        <v>3.1848591549295771E-2</v>
      </c>
      <c r="E70" s="47" t="s">
        <v>425</v>
      </c>
      <c r="F70" s="315">
        <f>Normalized_FCF!C92</f>
        <v>0.87391267559349473</v>
      </c>
    </row>
    <row r="72" spans="1:6">
      <c r="B72" s="210" t="s">
        <v>427</v>
      </c>
      <c r="C72" s="323" t="s">
        <v>429</v>
      </c>
      <c r="D72" s="323" t="s">
        <v>430</v>
      </c>
    </row>
    <row r="73" spans="1:6">
      <c r="B73" s="47" t="s">
        <v>428</v>
      </c>
      <c r="C73" s="92">
        <f>Normalized_FCF!C121</f>
        <v>4.9029562887232557E-2</v>
      </c>
      <c r="D73" s="92">
        <f>Normalized_FCF!G121</f>
        <v>6.8755155989910458E-2</v>
      </c>
    </row>
    <row r="74" spans="1:6">
      <c r="B74" s="259" t="str">
        <f>Normalized_FCF!B118</f>
        <v>Pre-tax Profit/Sales</v>
      </c>
      <c r="C74" s="322">
        <f>Normalized_FCF!C118</f>
        <v>5.0475725130946753E-2</v>
      </c>
      <c r="D74" s="322">
        <f>Normalized_FCF!G118</f>
        <v>6.490075699179193E-2</v>
      </c>
    </row>
    <row r="75" spans="1:6">
      <c r="B75" s="259" t="str">
        <f>Normalized_FCF!B119</f>
        <v>Sales/Total Assets</v>
      </c>
      <c r="C75" s="324">
        <f>Normalized_FCF!C119</f>
        <v>0.56944999111533989</v>
      </c>
      <c r="D75" s="324">
        <f>Normalized_FCF!G119</f>
        <v>0.62106298336522048</v>
      </c>
    </row>
    <row r="76" spans="1:6">
      <c r="B76" s="259" t="str">
        <f>Normalized_FCF!B120</f>
        <v>Total Assets/Equity</v>
      </c>
      <c r="C76" s="324">
        <f>Normalized_FCF!C120</f>
        <v>1.7057676125178334</v>
      </c>
      <c r="D76" s="324">
        <f>Normalized_FCF!G120</f>
        <v>1.7057676125178334</v>
      </c>
    </row>
    <row r="78" spans="1:6" ht="13.9">
      <c r="A78" s="222" t="s">
        <v>470</v>
      </c>
      <c r="B78" s="36"/>
      <c r="C78" s="36"/>
      <c r="D78" s="36"/>
      <c r="E78" s="36"/>
      <c r="F78" s="36"/>
    </row>
    <row r="79" spans="1:6">
      <c r="A79" s="209"/>
    </row>
    <row r="80" spans="1:6">
      <c r="A80" s="17"/>
      <c r="B80" s="372" t="s">
        <v>471</v>
      </c>
      <c r="C80" s="372"/>
      <c r="D80" s="372"/>
      <c r="E80" s="372"/>
      <c r="F80" s="372"/>
    </row>
    <row r="81" spans="1:6">
      <c r="B81" s="375" t="s">
        <v>248</v>
      </c>
      <c r="C81" s="375"/>
      <c r="D81" s="375"/>
      <c r="E81" s="375"/>
      <c r="F81" s="375"/>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2" t="s">
        <v>349</v>
      </c>
      <c r="C89" s="372"/>
      <c r="D89" s="372"/>
      <c r="E89" s="372"/>
      <c r="F89" s="372"/>
    </row>
    <row r="90" spans="1:6" ht="24.6" customHeight="1">
      <c r="B90" s="372" t="s">
        <v>350</v>
      </c>
      <c r="C90" s="372"/>
      <c r="D90" s="372"/>
      <c r="E90" s="372"/>
      <c r="F90" s="372"/>
    </row>
    <row r="92" spans="1:6">
      <c r="B92" s="47" t="s">
        <v>247</v>
      </c>
      <c r="C92" s="236">
        <v>0</v>
      </c>
    </row>
    <row r="93" spans="1:6">
      <c r="B93" s="47" t="s">
        <v>275</v>
      </c>
      <c r="C93" s="223">
        <f>DCF!C6*scaling_factor*Exchange_Rate/Common_Shares</f>
        <v>3.0666679576193911</v>
      </c>
      <c r="D93" s="1" t="str">
        <f>Market_currency</f>
        <v>CNY</v>
      </c>
    </row>
    <row r="95" spans="1:6" ht="13.9">
      <c r="A95" s="222" t="s">
        <v>347</v>
      </c>
      <c r="B95" s="36"/>
      <c r="C95" s="36"/>
      <c r="D95" s="36"/>
      <c r="E95" s="36"/>
      <c r="F95" s="36"/>
    </row>
    <row r="96" spans="1:6">
      <c r="A96" s="209"/>
    </row>
    <row r="97" spans="2:6">
      <c r="B97" s="372" t="s">
        <v>351</v>
      </c>
      <c r="C97" s="372"/>
      <c r="D97" s="372"/>
      <c r="E97" s="372"/>
      <c r="F97" s="372"/>
    </row>
    <row r="98" spans="2:6">
      <c r="B98" s="1" t="s">
        <v>249</v>
      </c>
    </row>
    <row r="100" spans="2:6">
      <c r="B100" s="210" t="s">
        <v>226</v>
      </c>
    </row>
    <row r="101" spans="2:6" ht="24.6" customHeight="1">
      <c r="B101" s="372" t="s">
        <v>335</v>
      </c>
      <c r="C101" s="372"/>
      <c r="D101" s="372"/>
      <c r="E101" s="372"/>
      <c r="F101" s="372"/>
    </row>
    <row r="102" spans="2:6">
      <c r="B102" s="47" t="s">
        <v>251</v>
      </c>
      <c r="C102" s="349">
        <f>DCF!C7</f>
        <v>72651.94</v>
      </c>
      <c r="D102" s="1" t="str">
        <f>Reporting_currency</f>
        <v>CNY</v>
      </c>
    </row>
    <row r="103" spans="2:6">
      <c r="B103" s="47" t="s">
        <v>276</v>
      </c>
      <c r="C103" s="223">
        <f>C102*scaling_factor*Exchange_Rate/Common_Shares</f>
        <v>0.16432053813007724</v>
      </c>
      <c r="D103" s="1" t="str">
        <f>Market_currency</f>
        <v>CNY</v>
      </c>
    </row>
    <row r="104" spans="2:6">
      <c r="B104" s="296" t="s">
        <v>384</v>
      </c>
      <c r="C104" s="325">
        <f>IF(BS!G31/BS!G27&gt;300%,"nm",BS!G31/BS!G27)</f>
        <v>2.5694600492681609E-2</v>
      </c>
    </row>
    <row r="105" spans="2:6">
      <c r="B105" s="296" t="s">
        <v>386</v>
      </c>
      <c r="C105" s="326">
        <f>IF(BS!C50&gt;30,"nm",BS!C50)</f>
        <v>0.53421555755411909</v>
      </c>
    </row>
    <row r="107" spans="2:6">
      <c r="B107" s="1" t="s">
        <v>250</v>
      </c>
    </row>
    <row r="108" spans="2:6">
      <c r="B108" s="47" t="s">
        <v>260</v>
      </c>
      <c r="C108" s="349">
        <f>BS!C66</f>
        <v>606704.22</v>
      </c>
      <c r="D108" s="1" t="str">
        <f>Reporting_currency</f>
        <v>CNY</v>
      </c>
    </row>
    <row r="109" spans="2:6">
      <c r="B109" s="47" t="s">
        <v>262</v>
      </c>
      <c r="C109" s="349">
        <f>DCF!C8</f>
        <v>381755.93838365644</v>
      </c>
      <c r="D109" s="1" t="str">
        <f>Reporting_currency</f>
        <v>CNY</v>
      </c>
    </row>
    <row r="110" spans="2:6">
      <c r="B110" s="47" t="s">
        <v>277</v>
      </c>
      <c r="C110" s="223">
        <f>C109*scaling_factor*Exchange_Rate/Common_Shares</f>
        <v>0.86343656108226474</v>
      </c>
      <c r="D110" s="1" t="str">
        <f>Market_currency</f>
        <v>CNY</v>
      </c>
    </row>
    <row r="112" spans="2:6">
      <c r="B112" s="1" t="s">
        <v>252</v>
      </c>
    </row>
    <row r="113" spans="1:6">
      <c r="B113" s="47" t="s">
        <v>253</v>
      </c>
      <c r="C113" s="349">
        <f>DCF!C9</f>
        <v>749715.90599999996</v>
      </c>
      <c r="D113" s="1" t="str">
        <f>Reporting_currency</f>
        <v>CNY</v>
      </c>
    </row>
    <row r="114" spans="1:6">
      <c r="B114" s="47" t="s">
        <v>278</v>
      </c>
      <c r="C114" s="223">
        <f>C113*scaling_factor*Exchange_Rate/Common_Shares</f>
        <v>1.6956700828442901</v>
      </c>
      <c r="D114" s="1" t="str">
        <f>Market_currency</f>
        <v>CNY</v>
      </c>
    </row>
    <row r="116" spans="1:6" ht="24.6" customHeight="1">
      <c r="B116" s="372" t="s">
        <v>352</v>
      </c>
      <c r="C116" s="372"/>
      <c r="D116" s="372"/>
      <c r="E116" s="372"/>
      <c r="F116" s="372"/>
    </row>
    <row r="118" spans="1:6">
      <c r="B118" s="47" t="s">
        <v>426</v>
      </c>
      <c r="C118" s="223">
        <f>IF(valuation_method="DCF",DCF!C12,DDM!C7)</f>
        <v>5.4614540634158688</v>
      </c>
      <c r="D118" s="1" t="str">
        <f>Market_currency</f>
        <v>CNY</v>
      </c>
    </row>
    <row r="119" spans="1:6">
      <c r="B119" s="296" t="s">
        <v>549</v>
      </c>
      <c r="C119" s="223">
        <f>BS!D47</f>
        <v>-0.36074239393771346</v>
      </c>
      <c r="D119" s="1" t="str">
        <f>Market_currency</f>
        <v>CNY</v>
      </c>
    </row>
    <row r="121" spans="1:6" ht="13.9">
      <c r="A121" s="222" t="s">
        <v>472</v>
      </c>
      <c r="B121" s="36"/>
      <c r="C121" s="36"/>
      <c r="D121" s="36"/>
      <c r="E121" s="36"/>
      <c r="F121" s="36"/>
    </row>
    <row r="123" spans="1:6">
      <c r="B123" s="373" t="s">
        <v>473</v>
      </c>
      <c r="C123" s="373"/>
      <c r="D123" s="373"/>
      <c r="E123" s="373"/>
      <c r="F123" s="373"/>
    </row>
    <row r="125" spans="1:6" ht="12.4">
      <c r="B125" s="233" t="s">
        <v>113</v>
      </c>
      <c r="C125" s="233" t="s">
        <v>128</v>
      </c>
      <c r="D125" s="233" t="s">
        <v>108</v>
      </c>
      <c r="E125" s="233" t="s">
        <v>255</v>
      </c>
      <c r="F125" s="233" t="s">
        <v>143</v>
      </c>
    </row>
    <row r="126" spans="1:6">
      <c r="B126" s="228" t="str">
        <f>DCF!B74</f>
        <v>Snowball Scenario</v>
      </c>
      <c r="C126" s="229">
        <f>DCF!C74</f>
        <v>0.1</v>
      </c>
      <c r="D126" s="230">
        <f>DCF!D74</f>
        <v>15</v>
      </c>
      <c r="E126" s="231" t="str">
        <f>ROUND(IF(valuation_method="DCF",DCF!E74,DDM!E69),2)&amp;" "&amp;Market_currency</f>
        <v>7.7 CNY</v>
      </c>
      <c r="F126" s="232">
        <f>DCF!F74</f>
        <v>0.1</v>
      </c>
    </row>
    <row r="127" spans="1:6">
      <c r="B127" s="218" t="str">
        <f>DCF!B75</f>
        <v>Optimistic</v>
      </c>
      <c r="C127" s="219">
        <f>DCF!C75</f>
        <v>0.08</v>
      </c>
      <c r="D127" s="220">
        <f>DCF!D75</f>
        <v>10</v>
      </c>
      <c r="E127" s="231" t="str">
        <f>ROUND(IF(valuation_method="DCF",DCF!E75,DDM!E70),2)&amp;" "&amp;Market_currency</f>
        <v>6.36 CNY</v>
      </c>
      <c r="F127" s="221">
        <f>DCF!F75</f>
        <v>0.17</v>
      </c>
    </row>
    <row r="128" spans="1:6">
      <c r="B128" s="218" t="str">
        <f>DCF!B76</f>
        <v>Base</v>
      </c>
      <c r="C128" s="219">
        <f>DCF!C76</f>
        <v>0.05</v>
      </c>
      <c r="D128" s="220">
        <f>DCF!D76</f>
        <v>10</v>
      </c>
      <c r="E128" s="231" t="str">
        <f>ROUND(IF(valuation_method="DCF",DCF!E76,DDM!E71),2)&amp;" "&amp;Market_currency</f>
        <v>5.98 CNY</v>
      </c>
      <c r="F128" s="221">
        <f>DCF!F76</f>
        <v>0.51</v>
      </c>
    </row>
    <row r="129" spans="1:6">
      <c r="B129" s="218" t="str">
        <f>DCF!B77</f>
        <v>Pessimistic</v>
      </c>
      <c r="C129" s="219">
        <f>DCF!C77</f>
        <v>0.01</v>
      </c>
      <c r="D129" s="220">
        <f>DCF!D77</f>
        <v>10</v>
      </c>
      <c r="E129" s="231" t="str">
        <f>ROUND(IF(valuation_method="DCF",DCF!E77,DDM!E72),2)&amp;" "&amp;Market_currency</f>
        <v>5.56 CNY</v>
      </c>
      <c r="F129" s="221">
        <f>DCF!F77</f>
        <v>0.17</v>
      </c>
    </row>
    <row r="130" spans="1:6">
      <c r="B130" s="218" t="str">
        <f>DCF!B78</f>
        <v>Devil's advocate</v>
      </c>
      <c r="C130" s="219">
        <f>DCF!C78</f>
        <v>0</v>
      </c>
      <c r="D130" s="220">
        <f>DCF!D78</f>
        <v>15</v>
      </c>
      <c r="E130" s="231" t="str">
        <f>ROUND(IF(valuation_method="DCF",DCF!E78,DDM!E73),2)&amp;" "&amp;Market_currency</f>
        <v>5.46 CNY</v>
      </c>
      <c r="F130" s="221">
        <f>DCF!F78</f>
        <v>0.05</v>
      </c>
    </row>
    <row r="132" spans="1:6">
      <c r="B132" s="211" t="s">
        <v>254</v>
      </c>
      <c r="C132" s="217">
        <f>Scenarios!C60</f>
        <v>6.1203199055974453</v>
      </c>
      <c r="D132" s="212" t="str">
        <f>Market_currency</f>
        <v>CNY</v>
      </c>
    </row>
    <row r="134" spans="1:6" ht="24.6" customHeight="1">
      <c r="B134" s="376" t="s">
        <v>474</v>
      </c>
      <c r="C134" s="376"/>
      <c r="D134" s="376"/>
      <c r="E134" s="376"/>
      <c r="F134" s="376"/>
    </row>
    <row r="136" spans="1:6" ht="13.9">
      <c r="A136" s="222" t="s">
        <v>475</v>
      </c>
      <c r="B136" s="36"/>
      <c r="C136" s="36"/>
      <c r="D136" s="36"/>
      <c r="E136" s="36"/>
      <c r="F136" s="36"/>
    </row>
    <row r="138" spans="1:6">
      <c r="B138" s="377" t="s">
        <v>353</v>
      </c>
      <c r="C138" s="377"/>
      <c r="D138" s="377"/>
      <c r="E138" s="377"/>
      <c r="F138" s="377"/>
    </row>
    <row r="139" spans="1:6">
      <c r="B139" s="372" t="s">
        <v>476</v>
      </c>
      <c r="C139" s="372"/>
      <c r="D139" s="372"/>
      <c r="E139" s="372"/>
      <c r="F139" s="372"/>
    </row>
    <row r="140" spans="1:6">
      <c r="B140" s="210" t="s">
        <v>226</v>
      </c>
    </row>
    <row r="141" spans="1:6">
      <c r="B141" s="1" t="s">
        <v>259</v>
      </c>
      <c r="C141" s="225">
        <f>F28</f>
        <v>3</v>
      </c>
    </row>
    <row r="142" spans="1:6">
      <c r="B142" s="1" t="s">
        <v>271</v>
      </c>
      <c r="C142" s="224">
        <f>F29</f>
        <v>0.45</v>
      </c>
    </row>
    <row r="143" spans="1:6">
      <c r="B143" s="212" t="s">
        <v>257</v>
      </c>
      <c r="C143" s="213">
        <f>Scenarios!C77</f>
        <v>0.18089999999999998</v>
      </c>
      <c r="D143" s="212" t="str">
        <f>Market_currency</f>
        <v>CNY</v>
      </c>
    </row>
    <row r="145" spans="2:4">
      <c r="B145" s="210" t="s">
        <v>388</v>
      </c>
      <c r="C145" s="241" t="str">
        <f>C11</f>
        <v>600583.SS</v>
      </c>
      <c r="D145" s="241" t="str">
        <f>IF(D11="","",D11)</f>
        <v/>
      </c>
    </row>
    <row r="146" spans="2:4">
      <c r="B146" s="1" t="s">
        <v>387</v>
      </c>
      <c r="C146" s="297">
        <f>F29</f>
        <v>0.45</v>
      </c>
    </row>
    <row r="147" spans="2:4">
      <c r="B147" s="212" t="str">
        <f>"PV("&amp;C141&amp;" yrs of Dividends)"</f>
        <v>PV(3 yrs of Dividends)</v>
      </c>
      <c r="C147" s="216">
        <f>Scenarios!C81</f>
        <v>0.27013727500102497</v>
      </c>
    </row>
    <row r="148" spans="2:4">
      <c r="B148" s="212" t="str">
        <f>"+ PV(Equity Value realized at year "&amp;C141&amp;")"</f>
        <v>+ PV(Equity Value realized at year 3)</v>
      </c>
      <c r="C148" s="216">
        <f>Scenarios!C82</f>
        <v>2.0075673149690254</v>
      </c>
    </row>
    <row r="149" spans="2:4">
      <c r="B149" s="80" t="s">
        <v>256</v>
      </c>
      <c r="C149" s="215">
        <f>Scenarios!C83</f>
        <v>2.2777045899700505</v>
      </c>
      <c r="D149" s="300" t="str">
        <f>IF($D$11="","",C149*$E$25)</f>
        <v/>
      </c>
    </row>
    <row r="150" spans="2:4">
      <c r="B150" s="259" t="s">
        <v>396</v>
      </c>
      <c r="C150" s="298" t="str">
        <f>Market_currency</f>
        <v>CNY</v>
      </c>
      <c r="D150" s="298" t="str">
        <f>IF($D$11="","",D$13)</f>
        <v/>
      </c>
    </row>
    <row r="151" spans="2:4">
      <c r="B151" s="214" t="s">
        <v>258</v>
      </c>
      <c r="C151" s="92">
        <f>Scenarios!F83</f>
        <v>0.62784550070872336</v>
      </c>
    </row>
    <row r="153" spans="2:4">
      <c r="B153" s="210" t="s">
        <v>391</v>
      </c>
    </row>
    <row r="154" spans="2:4">
      <c r="B154" s="1" t="s">
        <v>390</v>
      </c>
      <c r="C154" s="297">
        <f>Scenarios!C90</f>
        <v>0.3</v>
      </c>
    </row>
    <row r="155" spans="2:4">
      <c r="B155" s="212" t="str">
        <f>"PV("&amp;C141&amp;" yrs of Dividends)"</f>
        <v>PV(3 yrs of Dividends)</v>
      </c>
      <c r="C155" s="216">
        <f>Scenarios!C91</f>
        <v>0.32853482020937647</v>
      </c>
    </row>
    <row r="156" spans="2:4">
      <c r="B156" s="212" t="str">
        <f>"+ PV(Equity Value realized at year "&amp;C141&amp;")"</f>
        <v>+ PV(Equity Value realized at year 3)</v>
      </c>
      <c r="C156" s="216">
        <f>Scenarios!C92</f>
        <v>2.7857623603083495</v>
      </c>
    </row>
    <row r="157" spans="2:4">
      <c r="B157" s="80" t="s">
        <v>256</v>
      </c>
      <c r="C157" s="215">
        <f>Scenarios!C93</f>
        <v>3.1142971805177257</v>
      </c>
      <c r="D157" s="300" t="str">
        <f>IF($D$11="","",C157*$E$25)</f>
        <v/>
      </c>
    </row>
    <row r="158" spans="2:4">
      <c r="B158" s="259" t="s">
        <v>396</v>
      </c>
      <c r="C158" s="298" t="str">
        <f>Market_currency</f>
        <v>CNY</v>
      </c>
      <c r="D158" s="298" t="str">
        <f>IF($D$11="","",D$13)</f>
        <v/>
      </c>
    </row>
    <row r="159" spans="2:4">
      <c r="B159" s="214" t="s">
        <v>258</v>
      </c>
      <c r="C159" s="92">
        <f>Scenarios!F93</f>
        <v>0.49115451013116307</v>
      </c>
    </row>
    <row r="161" spans="2:4">
      <c r="B161" s="210" t="s">
        <v>381</v>
      </c>
    </row>
    <row r="162" spans="2:4">
      <c r="B162" s="1" t="s">
        <v>389</v>
      </c>
      <c r="C162" s="92">
        <f>Scenarios!C96</f>
        <v>7.4999999999999997E-2</v>
      </c>
    </row>
    <row r="163" spans="2:4">
      <c r="B163" s="212" t="str">
        <f>"PV("&amp;C141&amp;" yrs of Dividends)"</f>
        <v>PV(3 yrs of Dividends)</v>
      </c>
      <c r="C163" s="216">
        <f>Scenarios!C97</f>
        <v>0.47043510634283742</v>
      </c>
    </row>
    <row r="164" spans="2:4">
      <c r="B164" s="212" t="str">
        <f>"+ PV(Equity Value realized at year "&amp;C141&amp;")"</f>
        <v>+ PV(Equity Value realized at year 3)</v>
      </c>
      <c r="C164" s="216">
        <f>Scenarios!C98</f>
        <v>4.926616196790679</v>
      </c>
    </row>
    <row r="165" spans="2:4">
      <c r="B165" s="80" t="s">
        <v>382</v>
      </c>
      <c r="C165" s="215">
        <f>Scenarios!C99</f>
        <v>5.3970513031335168</v>
      </c>
      <c r="D165" s="300" t="str">
        <f>IF($D$11="","",C165*$E$25)</f>
        <v/>
      </c>
    </row>
    <row r="166" spans="2:4">
      <c r="B166" s="259" t="s">
        <v>396</v>
      </c>
      <c r="C166" s="298" t="str">
        <f>Market_currency</f>
        <v>CNY</v>
      </c>
      <c r="D166" s="298" t="str">
        <f>IF($D$11="","",D$13)</f>
        <v/>
      </c>
    </row>
    <row r="167" spans="2:4">
      <c r="B167" s="214" t="s">
        <v>258</v>
      </c>
      <c r="C167" s="92">
        <f>Scenarios!F99</f>
        <v>0.11817496693309293</v>
      </c>
    </row>
    <row r="169" spans="2:4">
      <c r="B169" s="210" t="s">
        <v>409</v>
      </c>
    </row>
    <row r="170" spans="2:4">
      <c r="B170" s="1" t="s">
        <v>400</v>
      </c>
      <c r="C170" s="92">
        <f>F32</f>
        <v>8.6999999999999994E-2</v>
      </c>
    </row>
    <row r="171" spans="2:4">
      <c r="B171" s="212" t="str">
        <f>"PV("&amp;C141&amp;" yrs of Dividends)"</f>
        <v>PV(3 yrs of Dividends)</v>
      </c>
      <c r="C171" s="216">
        <f>Scenarios!C103</f>
        <v>0.46037061157348735</v>
      </c>
    </row>
    <row r="172" spans="2:4">
      <c r="B172" s="212" t="str">
        <f>"+ PV(Equity Value realized at year "&amp;C141&amp;")"</f>
        <v>+ PV(Equity Value realized at year 3)</v>
      </c>
      <c r="C172" s="216">
        <f>Scenarios!C104</f>
        <v>4.7652478140386849</v>
      </c>
    </row>
    <row r="173" spans="2:4">
      <c r="B173" s="80" t="s">
        <v>382</v>
      </c>
      <c r="C173" s="215">
        <f>Scenarios!C105</f>
        <v>5.225618425612172</v>
      </c>
      <c r="D173" s="300" t="str">
        <f>IF($D$11="","",C173*$E$25)</f>
        <v/>
      </c>
    </row>
    <row r="174" spans="2:4">
      <c r="B174" s="259" t="s">
        <v>396</v>
      </c>
      <c r="C174" s="298" t="str">
        <f>Market_currency</f>
        <v>CNY</v>
      </c>
      <c r="D174" s="298" t="str">
        <f>IF($D$11="","",D$13)</f>
        <v/>
      </c>
    </row>
    <row r="175" spans="2:4">
      <c r="B175" s="214" t="s">
        <v>258</v>
      </c>
      <c r="C175" s="92">
        <f>Scenarios!F105</f>
        <v>0.14605011159067327</v>
      </c>
    </row>
    <row r="177" spans="1:6" ht="13.9">
      <c r="A177" s="222" t="s">
        <v>357</v>
      </c>
      <c r="B177" s="36"/>
      <c r="C177" s="36"/>
      <c r="D177" s="36"/>
      <c r="E177" s="36"/>
      <c r="F177" s="36"/>
    </row>
    <row r="179" spans="1:6">
      <c r="B179" s="371" t="s">
        <v>477</v>
      </c>
      <c r="C179" s="372"/>
      <c r="D179" s="372"/>
      <c r="E179" s="372"/>
      <c r="F179" s="372"/>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3" t="s">
        <v>478</v>
      </c>
      <c r="C188" s="373"/>
      <c r="D188" s="373"/>
      <c r="E188" s="373"/>
      <c r="F188" s="373"/>
    </row>
    <row r="190" spans="1:6">
      <c r="B190" s="1" t="s">
        <v>366</v>
      </c>
    </row>
    <row r="191" spans="1:6" ht="24.6" customHeight="1">
      <c r="B191" s="370" t="s">
        <v>363</v>
      </c>
      <c r="C191" s="370"/>
      <c r="D191" s="370"/>
      <c r="E191" s="370"/>
      <c r="F191" s="370"/>
    </row>
    <row r="192" spans="1:6" ht="24.6" customHeight="1">
      <c r="B192" s="370" t="s">
        <v>364</v>
      </c>
      <c r="C192" s="370"/>
      <c r="D192" s="370"/>
      <c r="E192" s="370"/>
      <c r="F192" s="370"/>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v>
      </c>
    </row>
    <row r="4" spans="2:13">
      <c r="B4" s="32" t="s">
        <v>0</v>
      </c>
      <c r="C4" s="351">
        <v>2995441.59</v>
      </c>
      <c r="D4" s="351">
        <v>3075203.75</v>
      </c>
      <c r="E4" s="351">
        <v>2935836.83</v>
      </c>
      <c r="F4" s="351">
        <v>1979548.12</v>
      </c>
      <c r="G4" s="351">
        <v>1786257.6311000001</v>
      </c>
      <c r="H4" s="351">
        <v>1471039.433</v>
      </c>
      <c r="I4" s="351">
        <v>1105212.1177999999</v>
      </c>
      <c r="J4" s="351">
        <v>1025253.7178</v>
      </c>
      <c r="K4" s="351">
        <v>1199168.3252999999</v>
      </c>
      <c r="L4" s="351">
        <v>1620150.6739000001</v>
      </c>
      <c r="M4" s="351"/>
    </row>
    <row r="5" spans="2:13">
      <c r="B5" s="40" t="s">
        <v>41</v>
      </c>
      <c r="C5" s="351">
        <v>2641432.41</v>
      </c>
      <c r="D5" s="351">
        <v>2758839.14</v>
      </c>
      <c r="E5" s="351">
        <v>2689414.23</v>
      </c>
      <c r="F5" s="351">
        <v>1778435.69</v>
      </c>
      <c r="G5" s="351">
        <v>1616645.7855</v>
      </c>
      <c r="H5" s="351">
        <v>1299577.5874999999</v>
      </c>
      <c r="I5" s="351">
        <v>1012363.7751</v>
      </c>
      <c r="J5" s="351">
        <v>821183.37919999997</v>
      </c>
      <c r="K5" s="351">
        <v>1018326.6461</v>
      </c>
      <c r="L5" s="351">
        <v>1144690.3533000001</v>
      </c>
      <c r="M5" s="351"/>
    </row>
    <row r="6" spans="2:13">
      <c r="B6" s="40" t="s">
        <v>52</v>
      </c>
      <c r="C6" s="351">
        <v>39503.56</v>
      </c>
      <c r="D6" s="351">
        <v>34325.129999999997</v>
      </c>
      <c r="E6" s="351">
        <v>26009.279999999999</v>
      </c>
      <c r="F6" s="351">
        <v>26199.42</v>
      </c>
      <c r="G6" s="351">
        <v>25803.239300000001</v>
      </c>
      <c r="H6" s="351">
        <v>27496.749400000001</v>
      </c>
      <c r="I6" s="351">
        <v>30895.564999999999</v>
      </c>
      <c r="J6" s="351">
        <v>89269.041400000002</v>
      </c>
      <c r="K6" s="351">
        <v>96270.753700000001</v>
      </c>
      <c r="L6" s="351">
        <v>122434.7022</v>
      </c>
      <c r="M6" s="351"/>
    </row>
    <row r="7" spans="2:13">
      <c r="B7" s="69" t="s">
        <v>59</v>
      </c>
      <c r="C7" s="352">
        <v>3443.84</v>
      </c>
      <c r="D7" s="352">
        <v>2062.65</v>
      </c>
      <c r="E7" s="352">
        <v>1799.32</v>
      </c>
      <c r="F7" s="352">
        <v>2220.02</v>
      </c>
      <c r="G7" s="352">
        <v>2555.1316999999999</v>
      </c>
      <c r="H7" s="352">
        <v>3583.8836999999999</v>
      </c>
      <c r="I7" s="352">
        <v>1563.145</v>
      </c>
      <c r="J7" s="352">
        <v>1398.3924</v>
      </c>
      <c r="K7" s="352">
        <v>1304.7493999999999</v>
      </c>
      <c r="L7" s="352">
        <v>1267.4317000000001</v>
      </c>
      <c r="M7" s="352"/>
    </row>
    <row r="8" spans="2:13">
      <c r="B8" s="40" t="s">
        <v>47</v>
      </c>
      <c r="C8" s="351">
        <v>122733.73</v>
      </c>
      <c r="D8" s="351">
        <v>118628.34</v>
      </c>
      <c r="E8" s="351">
        <v>112193.53</v>
      </c>
      <c r="F8" s="351">
        <v>92881.87</v>
      </c>
      <c r="G8" s="351">
        <v>98270.921900000001</v>
      </c>
      <c r="H8" s="351">
        <v>87435.0962</v>
      </c>
      <c r="I8" s="351">
        <v>66949.809200000003</v>
      </c>
      <c r="J8" s="351">
        <v>0</v>
      </c>
      <c r="K8" s="351">
        <v>0</v>
      </c>
      <c r="L8" s="351">
        <v>0</v>
      </c>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1984.19</v>
      </c>
      <c r="D12" s="351">
        <v>1109.03</v>
      </c>
      <c r="E12" s="351">
        <v>1176.71</v>
      </c>
      <c r="F12" s="351">
        <v>1802.32</v>
      </c>
      <c r="G12" s="351">
        <v>493.37110000000001</v>
      </c>
      <c r="H12" s="351">
        <v>97.840299999999999</v>
      </c>
      <c r="I12" s="351">
        <v>87.729200000000006</v>
      </c>
      <c r="J12" s="351"/>
      <c r="K12" s="351"/>
      <c r="L12" s="351"/>
      <c r="M12" s="351"/>
    </row>
    <row r="13" spans="2:13">
      <c r="B13" s="40" t="s">
        <v>65</v>
      </c>
      <c r="C13" s="351">
        <v>12457.09</v>
      </c>
      <c r="D13" s="351">
        <v>5931.66</v>
      </c>
      <c r="E13" s="351">
        <v>2216.44</v>
      </c>
      <c r="F13" s="351">
        <v>2037.26</v>
      </c>
      <c r="G13" s="351">
        <v>1480.8308</v>
      </c>
      <c r="H13" s="351">
        <v>1809.4933000000001</v>
      </c>
      <c r="I13" s="351">
        <v>5012.4776000000002</v>
      </c>
      <c r="J13" s="351"/>
      <c r="K13" s="351"/>
      <c r="L13" s="351"/>
      <c r="M13" s="351"/>
    </row>
    <row r="14" spans="2:13">
      <c r="B14" s="40" t="s">
        <v>48</v>
      </c>
      <c r="C14" s="351">
        <v>49136.31</v>
      </c>
      <c r="D14" s="351">
        <v>28159.86</v>
      </c>
      <c r="E14" s="351">
        <v>31269.46</v>
      </c>
      <c r="F14" s="351">
        <v>20051.47</v>
      </c>
      <c r="G14" s="351">
        <v>17391.0854</v>
      </c>
      <c r="H14" s="351">
        <v>18009.5527</v>
      </c>
      <c r="I14" s="351">
        <v>4894.3321999999998</v>
      </c>
      <c r="J14" s="351">
        <v>13704.1828</v>
      </c>
      <c r="K14" s="351">
        <v>30445.290099999998</v>
      </c>
      <c r="L14" s="351">
        <v>60216.000999999997</v>
      </c>
      <c r="M14" s="351"/>
    </row>
    <row r="15" spans="2:13">
      <c r="B15" s="43" t="s">
        <v>40</v>
      </c>
      <c r="C15" s="353">
        <v>218629.33</v>
      </c>
      <c r="D15" s="353">
        <v>163033.85999999999</v>
      </c>
      <c r="E15" s="353">
        <v>144968.98000000001</v>
      </c>
      <c r="F15" s="353">
        <v>37199.29</v>
      </c>
      <c r="G15" s="353">
        <v>36553.127500000002</v>
      </c>
      <c r="H15" s="353">
        <v>2864.6253999999999</v>
      </c>
      <c r="I15" s="353">
        <v>7983.8873999999996</v>
      </c>
      <c r="J15" s="353">
        <v>48963.2163</v>
      </c>
      <c r="K15" s="353">
        <v>131291.13870000001</v>
      </c>
      <c r="L15" s="353">
        <v>341026.96950000001</v>
      </c>
      <c r="M15" s="353"/>
    </row>
    <row r="16" spans="2:13">
      <c r="B16" s="28" t="s">
        <v>42</v>
      </c>
      <c r="C16" s="351">
        <v>2489.67</v>
      </c>
      <c r="D16" s="351">
        <v>983.23</v>
      </c>
      <c r="E16" s="351">
        <v>-771.93</v>
      </c>
      <c r="F16" s="351">
        <v>219.4</v>
      </c>
      <c r="G16" s="351">
        <v>223.20849999999999</v>
      </c>
      <c r="H16" s="351">
        <v>71.949200000000005</v>
      </c>
      <c r="I16" s="351">
        <v>6.0865999999999998</v>
      </c>
      <c r="J16" s="351">
        <v>-142.3349</v>
      </c>
      <c r="K16" s="351">
        <v>-239.5761</v>
      </c>
      <c r="L16" s="351">
        <v>32.409500000000001</v>
      </c>
      <c r="M16" s="351"/>
    </row>
    <row r="18" spans="2:13">
      <c r="B18" s="16" t="s">
        <v>49</v>
      </c>
      <c r="C18" s="9"/>
    </row>
    <row r="19" spans="2:13">
      <c r="B19" s="27" t="s">
        <v>45</v>
      </c>
      <c r="C19" s="351">
        <v>154945.9</v>
      </c>
      <c r="D19" s="351">
        <v>143078.04</v>
      </c>
      <c r="E19" s="351">
        <v>115739.41</v>
      </c>
      <c r="F19" s="351">
        <v>108539.45</v>
      </c>
      <c r="G19" s="351">
        <v>99339.8367</v>
      </c>
      <c r="H19" s="351">
        <v>102341.4463</v>
      </c>
      <c r="I19" s="351">
        <v>102108.7965</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385024.86</v>
      </c>
      <c r="D22" s="351">
        <v>512492.41</v>
      </c>
      <c r="E22" s="351">
        <v>331348.71000000002</v>
      </c>
      <c r="F22" s="351">
        <v>303321.95</v>
      </c>
      <c r="G22" s="351">
        <v>202079.4627</v>
      </c>
      <c r="H22" s="351">
        <v>-7480.7105000000001</v>
      </c>
      <c r="I22" s="351">
        <v>37645.5429</v>
      </c>
      <c r="J22" s="351">
        <v>53137.414700000001</v>
      </c>
      <c r="K22" s="351">
        <v>328799.14020000002</v>
      </c>
      <c r="L22" s="351">
        <v>362565.82380000001</v>
      </c>
      <c r="M22" s="351"/>
    </row>
    <row r="23" spans="2:13">
      <c r="B23" s="27" t="s">
        <v>356</v>
      </c>
      <c r="C23" s="351">
        <v>-310465.5</v>
      </c>
      <c r="D23" s="351">
        <v>-194997.95</v>
      </c>
      <c r="E23" s="351">
        <v>-181817.58</v>
      </c>
      <c r="F23" s="351">
        <v>-294554.96999999997</v>
      </c>
      <c r="G23" s="351">
        <v>-232655.17739999999</v>
      </c>
      <c r="H23" s="351">
        <v>8162.0361000000003</v>
      </c>
      <c r="I23" s="351">
        <v>-296170.36139999999</v>
      </c>
      <c r="J23" s="351">
        <v>-64063.495300000002</v>
      </c>
      <c r="K23" s="351">
        <v>-53824.304799999998</v>
      </c>
      <c r="L23" s="351">
        <v>-51725.055200000003</v>
      </c>
      <c r="M23" s="351"/>
    </row>
    <row r="24" spans="2:13">
      <c r="B24" s="27" t="s">
        <v>355</v>
      </c>
      <c r="C24" s="351">
        <v>-77562.899999999994</v>
      </c>
      <c r="D24" s="351">
        <v>-105176.84</v>
      </c>
      <c r="E24" s="351">
        <v>-60642.84</v>
      </c>
      <c r="F24" s="351">
        <v>-46882.06</v>
      </c>
      <c r="G24" s="351">
        <v>19076.583299999998</v>
      </c>
      <c r="H24" s="351">
        <v>-22204.614300000001</v>
      </c>
      <c r="I24" s="351">
        <v>-9192.5170999999991</v>
      </c>
      <c r="J24" s="351">
        <v>-162161.08549999999</v>
      </c>
      <c r="K24" s="351">
        <v>-117457.87</v>
      </c>
      <c r="L24" s="351">
        <v>-173284.31940000001</v>
      </c>
      <c r="M24" s="351"/>
    </row>
    <row r="25" spans="2:13">
      <c r="B25" s="24" t="str">
        <f>"Dividend per share ("&amp;Market_currency&amp;")"</f>
        <v>Dividend per share (CNY)</v>
      </c>
      <c r="C25" s="39">
        <f>2.01/10</f>
        <v>0.20099999999999998</v>
      </c>
      <c r="D25" s="39">
        <f>1.47/10</f>
        <v>0.14699999999999999</v>
      </c>
      <c r="E25" s="39"/>
      <c r="F25" s="39"/>
      <c r="G25" s="39"/>
      <c r="H25" s="39"/>
      <c r="I25" s="39"/>
      <c r="J25" s="39"/>
      <c r="K25" s="39"/>
      <c r="L25" s="39"/>
      <c r="M25" s="39"/>
    </row>
    <row r="27" spans="2:13">
      <c r="B27" s="16" t="s">
        <v>26</v>
      </c>
      <c r="C27" s="97" t="s">
        <v>559</v>
      </c>
    </row>
    <row r="28" spans="2:13">
      <c r="B28" s="26" t="s">
        <v>22</v>
      </c>
      <c r="C28" s="333">
        <f>BS!C4</f>
        <v>779805.94000000006</v>
      </c>
      <c r="D28" s="351">
        <v>614740.03</v>
      </c>
      <c r="E28" s="351">
        <v>627070.1</v>
      </c>
      <c r="F28" s="351">
        <v>565721.97</v>
      </c>
      <c r="G28" s="351">
        <v>737082.00840000005</v>
      </c>
      <c r="H28" s="351">
        <v>483752.78779999999</v>
      </c>
      <c r="I28" s="351">
        <v>418633.2475</v>
      </c>
      <c r="J28" s="351">
        <v>282078.32010000001</v>
      </c>
      <c r="K28" s="351">
        <v>199277.88070000001</v>
      </c>
      <c r="L28" s="351">
        <v>475355.28210000001</v>
      </c>
      <c r="M28" s="351"/>
    </row>
    <row r="29" spans="2:13">
      <c r="B29" s="26" t="s">
        <v>30</v>
      </c>
      <c r="C29" s="333">
        <f>BS!C6</f>
        <v>75410.259999999995</v>
      </c>
      <c r="D29" s="351">
        <v>98279.37</v>
      </c>
      <c r="E29" s="351">
        <v>130107.73</v>
      </c>
      <c r="F29" s="351">
        <v>115109.66</v>
      </c>
      <c r="G29" s="351">
        <v>101122.2853</v>
      </c>
      <c r="H29" s="351">
        <v>512937.82659999997</v>
      </c>
      <c r="I29" s="351">
        <v>289811.61910000001</v>
      </c>
      <c r="J29" s="351">
        <v>169498.82380000001</v>
      </c>
      <c r="K29" s="351">
        <v>161116.17800000001</v>
      </c>
      <c r="L29" s="351">
        <v>169013.54149999999</v>
      </c>
      <c r="M29" s="351"/>
    </row>
    <row r="30" spans="2:13">
      <c r="B30" s="29" t="s">
        <v>38</v>
      </c>
      <c r="C30" s="334">
        <f>BS!C33+BS!C42</f>
        <v>1995570.48</v>
      </c>
      <c r="D30" s="353">
        <v>1647330.89</v>
      </c>
      <c r="E30" s="353">
        <v>1695609.48</v>
      </c>
      <c r="F30" s="353">
        <v>1189596.92</v>
      </c>
      <c r="G30" s="353">
        <v>1061667.9129999999</v>
      </c>
      <c r="H30" s="353">
        <v>918370.71239999996</v>
      </c>
      <c r="I30" s="353">
        <v>724476.08160000003</v>
      </c>
      <c r="J30" s="353">
        <v>526758.79269999999</v>
      </c>
      <c r="K30" s="353">
        <v>664276.83160000003</v>
      </c>
      <c r="L30" s="353">
        <v>845128.23759999999</v>
      </c>
      <c r="M30" s="353"/>
    </row>
    <row r="31" spans="2:13">
      <c r="B31" s="29" t="s">
        <v>28</v>
      </c>
      <c r="C31" s="334">
        <f>BS!G27</f>
        <v>2827517.7899999996</v>
      </c>
      <c r="D31" s="353">
        <v>2677835.46</v>
      </c>
      <c r="E31" s="353">
        <v>2568258.0099999998</v>
      </c>
      <c r="F31" s="353">
        <v>2275829.46</v>
      </c>
      <c r="G31" s="353">
        <v>2266521.7039999999</v>
      </c>
      <c r="H31" s="353">
        <v>2267283.5811000001</v>
      </c>
      <c r="I31" s="353">
        <v>2290443.9753999999</v>
      </c>
      <c r="J31" s="353">
        <v>2312836.8300999999</v>
      </c>
      <c r="K31" s="353">
        <v>2316842.9693999998</v>
      </c>
      <c r="L31" s="353">
        <v>2299154.9539000001</v>
      </c>
      <c r="M31" s="353"/>
    </row>
    <row r="32" spans="2:13">
      <c r="B32" s="26" t="s">
        <v>168</v>
      </c>
      <c r="C32" s="333">
        <f>BS!G28</f>
        <v>200865.76</v>
      </c>
      <c r="D32" s="351">
        <v>198376.09</v>
      </c>
      <c r="E32" s="351">
        <v>197959.04000000001</v>
      </c>
      <c r="F32" s="351">
        <v>1622.36</v>
      </c>
      <c r="G32" s="351">
        <v>1415.6996999999999</v>
      </c>
      <c r="H32" s="351">
        <v>1219.5377000000001</v>
      </c>
      <c r="I32" s="351">
        <v>1149.8104000000001</v>
      </c>
      <c r="J32" s="351">
        <v>1128.896</v>
      </c>
      <c r="K32" s="351">
        <v>1297.8493000000001</v>
      </c>
      <c r="L32" s="351">
        <v>1509.1383000000001</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2995441.59</v>
      </c>
      <c r="D36" s="333">
        <f t="shared" si="1"/>
        <v>3075203.75</v>
      </c>
      <c r="E36" s="333">
        <f t="shared" si="1"/>
        <v>2935836.83</v>
      </c>
      <c r="F36" s="333">
        <f t="shared" si="1"/>
        <v>1979548.12</v>
      </c>
      <c r="G36" s="333">
        <f t="shared" si="1"/>
        <v>1786257.6311000001</v>
      </c>
      <c r="H36" s="333">
        <f t="shared" si="1"/>
        <v>1471039.433</v>
      </c>
      <c r="I36" s="333">
        <f t="shared" si="1"/>
        <v>1105212.1177999999</v>
      </c>
      <c r="J36" s="333">
        <f t="shared" si="1"/>
        <v>1025253.7178</v>
      </c>
      <c r="K36" s="333">
        <f t="shared" si="1"/>
        <v>1199168.3252999999</v>
      </c>
      <c r="L36" s="333">
        <f t="shared" si="1"/>
        <v>1620150.6739000001</v>
      </c>
      <c r="M36" s="333" t="str">
        <f t="shared" si="1"/>
        <v/>
      </c>
    </row>
    <row r="37" spans="2:13">
      <c r="B37" s="40" t="s">
        <v>41</v>
      </c>
      <c r="C37" s="333">
        <f t="shared" ref="C37:M37" si="2">IF(C$4="","",-C5)</f>
        <v>-2641432.41</v>
      </c>
      <c r="D37" s="333">
        <f t="shared" si="2"/>
        <v>-2758839.14</v>
      </c>
      <c r="E37" s="333">
        <f t="shared" si="2"/>
        <v>-2689414.23</v>
      </c>
      <c r="F37" s="333">
        <f t="shared" si="2"/>
        <v>-1778435.69</v>
      </c>
      <c r="G37" s="333">
        <f t="shared" si="2"/>
        <v>-1616645.7855</v>
      </c>
      <c r="H37" s="333">
        <f t="shared" si="2"/>
        <v>-1299577.5874999999</v>
      </c>
      <c r="I37" s="333">
        <f t="shared" si="2"/>
        <v>-1012363.7751</v>
      </c>
      <c r="J37" s="333">
        <f t="shared" si="2"/>
        <v>-821183.37919999997</v>
      </c>
      <c r="K37" s="333">
        <f t="shared" si="2"/>
        <v>-1018326.6461</v>
      </c>
      <c r="L37" s="333">
        <f t="shared" si="2"/>
        <v>-1144690.3533000001</v>
      </c>
      <c r="M37" s="333" t="str">
        <f t="shared" si="2"/>
        <v/>
      </c>
    </row>
    <row r="38" spans="2:13">
      <c r="B38" s="31" t="s">
        <v>56</v>
      </c>
      <c r="C38" s="329">
        <f>IF(C36="","",C36+C37)</f>
        <v>354009.1799999997</v>
      </c>
      <c r="D38" s="329">
        <f t="shared" ref="D38" si="3">IF(D36="","",D36+D37)</f>
        <v>316364.60999999987</v>
      </c>
      <c r="E38" s="329">
        <f t="shared" ref="E38" si="4">IF(E36="","",E36+E37)</f>
        <v>246422.60000000009</v>
      </c>
      <c r="F38" s="329">
        <f t="shared" ref="F38" si="5">IF(F36="","",F36+F37)</f>
        <v>201112.43000000017</v>
      </c>
      <c r="G38" s="329">
        <f t="shared" ref="G38" si="6">IF(G36="","",G36+G37)</f>
        <v>169611.84560000012</v>
      </c>
      <c r="H38" s="329">
        <f t="shared" ref="H38" si="7">IF(H36="","",H36+H37)</f>
        <v>171461.84550000005</v>
      </c>
      <c r="I38" s="329">
        <f t="shared" ref="I38" si="8">IF(I36="","",I36+I37)</f>
        <v>92848.342699999921</v>
      </c>
      <c r="J38" s="329">
        <f t="shared" ref="J38" si="9">IF(J36="","",J36+J37)</f>
        <v>204070.33860000002</v>
      </c>
      <c r="K38" s="329">
        <f t="shared" ref="K38" si="10">IF(K36="","",K36+K37)</f>
        <v>180841.6791999999</v>
      </c>
      <c r="L38" s="329">
        <f t="shared" ref="L38" si="11">IF(L36="","",L36+L37)</f>
        <v>475460.32059999998</v>
      </c>
      <c r="M38" s="329" t="str">
        <f t="shared" ref="M38" si="12">IF(M36="","",M36+M37)</f>
        <v/>
      </c>
    </row>
    <row r="39" spans="2:13">
      <c r="B39" s="40" t="s">
        <v>52</v>
      </c>
      <c r="C39" s="333">
        <f t="shared" ref="C39:M39" si="13">IF(C$4="","",-C6)</f>
        <v>-39503.56</v>
      </c>
      <c r="D39" s="333">
        <f t="shared" si="13"/>
        <v>-34325.129999999997</v>
      </c>
      <c r="E39" s="333">
        <f t="shared" si="13"/>
        <v>-26009.279999999999</v>
      </c>
      <c r="F39" s="333">
        <f t="shared" si="13"/>
        <v>-26199.42</v>
      </c>
      <c r="G39" s="333">
        <f t="shared" si="13"/>
        <v>-25803.239300000001</v>
      </c>
      <c r="H39" s="333">
        <f t="shared" si="13"/>
        <v>-27496.749400000001</v>
      </c>
      <c r="I39" s="333">
        <f t="shared" si="13"/>
        <v>-30895.564999999999</v>
      </c>
      <c r="J39" s="333">
        <f t="shared" si="13"/>
        <v>-89269.041400000002</v>
      </c>
      <c r="K39" s="333">
        <f t="shared" si="13"/>
        <v>-96270.753700000001</v>
      </c>
      <c r="L39" s="333">
        <f t="shared" si="13"/>
        <v>-122434.7022</v>
      </c>
      <c r="M39" s="333" t="str">
        <f t="shared" si="13"/>
        <v/>
      </c>
    </row>
    <row r="40" spans="2:13">
      <c r="B40" s="69" t="s">
        <v>59</v>
      </c>
      <c r="C40" s="346">
        <f t="shared" ref="C40:M40" si="14">IF(C$4="","",-C7)</f>
        <v>-3443.84</v>
      </c>
      <c r="D40" s="346">
        <f t="shared" si="14"/>
        <v>-2062.65</v>
      </c>
      <c r="E40" s="346">
        <f t="shared" si="14"/>
        <v>-1799.32</v>
      </c>
      <c r="F40" s="346">
        <f t="shared" si="14"/>
        <v>-2220.02</v>
      </c>
      <c r="G40" s="346">
        <f t="shared" si="14"/>
        <v>-2555.1316999999999</v>
      </c>
      <c r="H40" s="346">
        <f t="shared" si="14"/>
        <v>-3583.8836999999999</v>
      </c>
      <c r="I40" s="346">
        <f t="shared" si="14"/>
        <v>-1563.145</v>
      </c>
      <c r="J40" s="346">
        <f t="shared" si="14"/>
        <v>-1398.3924</v>
      </c>
      <c r="K40" s="346">
        <f t="shared" si="14"/>
        <v>-1304.7493999999999</v>
      </c>
      <c r="L40" s="346">
        <f t="shared" si="14"/>
        <v>-1267.4317000000001</v>
      </c>
      <c r="M40" s="346" t="str">
        <f t="shared" si="14"/>
        <v/>
      </c>
    </row>
    <row r="41" spans="2:13">
      <c r="B41" s="69" t="s">
        <v>62</v>
      </c>
      <c r="C41" s="346">
        <f>IF(C$4="","",C39-C40)</f>
        <v>-36059.72</v>
      </c>
      <c r="D41" s="346">
        <f t="shared" ref="D41:M41" si="15">IF(D$4="","",D39-D40)</f>
        <v>-32262.479999999996</v>
      </c>
      <c r="E41" s="346">
        <f t="shared" si="15"/>
        <v>-24209.96</v>
      </c>
      <c r="F41" s="346">
        <f t="shared" si="15"/>
        <v>-23979.399999999998</v>
      </c>
      <c r="G41" s="346">
        <f t="shared" si="15"/>
        <v>-23248.107600000003</v>
      </c>
      <c r="H41" s="346">
        <f t="shared" si="15"/>
        <v>-23912.865700000002</v>
      </c>
      <c r="I41" s="346">
        <f t="shared" si="15"/>
        <v>-29332.42</v>
      </c>
      <c r="J41" s="346">
        <f t="shared" si="15"/>
        <v>-87870.649000000005</v>
      </c>
      <c r="K41" s="346">
        <f t="shared" si="15"/>
        <v>-94966.004300000001</v>
      </c>
      <c r="L41" s="346">
        <f t="shared" si="15"/>
        <v>-121167.2705</v>
      </c>
      <c r="M41" s="346" t="str">
        <f t="shared" si="15"/>
        <v/>
      </c>
    </row>
    <row r="42" spans="2:13">
      <c r="B42" s="40" t="s">
        <v>47</v>
      </c>
      <c r="C42" s="333">
        <f t="shared" ref="C42:M42" si="16">IF(C$4="","",-C8)</f>
        <v>-122733.73</v>
      </c>
      <c r="D42" s="333">
        <f t="shared" si="16"/>
        <v>-118628.34</v>
      </c>
      <c r="E42" s="333">
        <f t="shared" si="16"/>
        <v>-112193.53</v>
      </c>
      <c r="F42" s="333">
        <f t="shared" si="16"/>
        <v>-92881.87</v>
      </c>
      <c r="G42" s="333">
        <f t="shared" si="16"/>
        <v>-98270.921900000001</v>
      </c>
      <c r="H42" s="333">
        <f t="shared" si="16"/>
        <v>-87435.0962</v>
      </c>
      <c r="I42" s="333">
        <f t="shared" si="16"/>
        <v>-66949.809200000003</v>
      </c>
      <c r="J42" s="333">
        <f t="shared" si="16"/>
        <v>0</v>
      </c>
      <c r="K42" s="333">
        <f t="shared" si="16"/>
        <v>0</v>
      </c>
      <c r="L42" s="333">
        <f t="shared" si="16"/>
        <v>0</v>
      </c>
      <c r="M42" s="333" t="str">
        <f t="shared" si="16"/>
        <v/>
      </c>
    </row>
    <row r="43" spans="2:13">
      <c r="B43" s="43" t="s">
        <v>148</v>
      </c>
      <c r="C43" s="334">
        <f>IF(C$4="","",C38+C39+C42)</f>
        <v>191771.88999999972</v>
      </c>
      <c r="D43" s="334">
        <f t="shared" ref="D43:M43" si="17">IF(D$4="","",D38+D39+D42)</f>
        <v>163411.13999999987</v>
      </c>
      <c r="E43" s="334">
        <f t="shared" si="17"/>
        <v>108219.7900000001</v>
      </c>
      <c r="F43" s="334">
        <f t="shared" si="17"/>
        <v>82031.140000000189</v>
      </c>
      <c r="G43" s="334">
        <f t="shared" si="17"/>
        <v>45537.6844000001</v>
      </c>
      <c r="H43" s="334">
        <f t="shared" si="17"/>
        <v>56529.999900000053</v>
      </c>
      <c r="I43" s="334">
        <f t="shared" si="17"/>
        <v>-4997.0315000000846</v>
      </c>
      <c r="J43" s="334">
        <f t="shared" si="17"/>
        <v>114801.29720000002</v>
      </c>
      <c r="K43" s="334">
        <f t="shared" si="17"/>
        <v>84570.925499999896</v>
      </c>
      <c r="L43" s="334">
        <f t="shared" si="17"/>
        <v>353025.61839999998</v>
      </c>
      <c r="M43" s="334" t="str">
        <f t="shared" si="17"/>
        <v/>
      </c>
    </row>
    <row r="44" spans="2:13">
      <c r="B44" s="43" t="s">
        <v>164</v>
      </c>
      <c r="C44" s="354">
        <f t="shared" ref="C44:M44" si="18">IF(C$4="","",C47-C46-C45-C43)</f>
        <v>65520.850000000297</v>
      </c>
      <c r="D44" s="354">
        <f t="shared" si="18"/>
        <v>22959.950000000099</v>
      </c>
      <c r="E44" s="354">
        <f t="shared" si="18"/>
        <v>66978.919999999896</v>
      </c>
      <c r="F44" s="354">
        <f t="shared" si="18"/>
        <v>-25015.320000000189</v>
      </c>
      <c r="G44" s="354">
        <f t="shared" si="18"/>
        <v>7419.0687999998991</v>
      </c>
      <c r="H44" s="354">
        <f t="shared" si="18"/>
        <v>-37367.474800000055</v>
      </c>
      <c r="I44" s="354">
        <f t="shared" si="18"/>
        <v>12950.502700000085</v>
      </c>
      <c r="J44" s="354">
        <f t="shared" si="18"/>
        <v>-52133.898100000013</v>
      </c>
      <c r="K44" s="354">
        <f t="shared" si="18"/>
        <v>77165.503300000099</v>
      </c>
      <c r="L44" s="354">
        <f t="shared" si="18"/>
        <v>48217.352100000018</v>
      </c>
      <c r="M44" s="354" t="str">
        <f t="shared" si="18"/>
        <v/>
      </c>
    </row>
    <row r="45" spans="2:13">
      <c r="B45" s="40" t="s">
        <v>66</v>
      </c>
      <c r="C45" s="349">
        <f t="shared" ref="C45:M45" si="19">IF(C$4="","",C51+C52)</f>
        <v>10472.9</v>
      </c>
      <c r="D45" s="349">
        <f t="shared" si="19"/>
        <v>4822.63</v>
      </c>
      <c r="E45" s="349">
        <f t="shared" si="19"/>
        <v>1039.73</v>
      </c>
      <c r="F45" s="349">
        <f t="shared" si="19"/>
        <v>234.94000000000005</v>
      </c>
      <c r="G45" s="349">
        <f t="shared" si="19"/>
        <v>987.45969999999988</v>
      </c>
      <c r="H45" s="349">
        <f t="shared" si="19"/>
        <v>1711.653</v>
      </c>
      <c r="I45" s="349">
        <f t="shared" si="19"/>
        <v>4924.7484000000004</v>
      </c>
      <c r="J45" s="349">
        <f t="shared" si="19"/>
        <v>0</v>
      </c>
      <c r="K45" s="349">
        <f t="shared" si="19"/>
        <v>0</v>
      </c>
      <c r="L45" s="349">
        <f t="shared" si="19"/>
        <v>0</v>
      </c>
      <c r="M45" s="349" t="str">
        <f t="shared" si="19"/>
        <v/>
      </c>
    </row>
    <row r="46" spans="2:13">
      <c r="B46" s="40" t="s">
        <v>48</v>
      </c>
      <c r="C46" s="333">
        <f t="shared" ref="C46:M46" si="20">IF(C$4="","",-C14)</f>
        <v>-49136.31</v>
      </c>
      <c r="D46" s="333">
        <f t="shared" si="20"/>
        <v>-28159.86</v>
      </c>
      <c r="E46" s="333">
        <f t="shared" si="20"/>
        <v>-31269.46</v>
      </c>
      <c r="F46" s="333">
        <f t="shared" si="20"/>
        <v>-20051.47</v>
      </c>
      <c r="G46" s="333">
        <f t="shared" si="20"/>
        <v>-17391.0854</v>
      </c>
      <c r="H46" s="333">
        <f t="shared" si="20"/>
        <v>-18009.5527</v>
      </c>
      <c r="I46" s="333">
        <f t="shared" si="20"/>
        <v>-4894.3321999999998</v>
      </c>
      <c r="J46" s="333">
        <f t="shared" si="20"/>
        <v>-13704.1828</v>
      </c>
      <c r="K46" s="333">
        <f t="shared" si="20"/>
        <v>-30445.290099999998</v>
      </c>
      <c r="L46" s="333">
        <f t="shared" si="20"/>
        <v>-60216.000999999997</v>
      </c>
      <c r="M46" s="333" t="str">
        <f t="shared" si="20"/>
        <v/>
      </c>
    </row>
    <row r="47" spans="2:13">
      <c r="B47" s="43" t="s">
        <v>40</v>
      </c>
      <c r="C47" s="334">
        <f t="shared" ref="C47:M47" si="21">IF(C$4="","",C15)</f>
        <v>218629.33</v>
      </c>
      <c r="D47" s="334">
        <f t="shared" si="21"/>
        <v>163033.85999999999</v>
      </c>
      <c r="E47" s="334">
        <f t="shared" si="21"/>
        <v>144968.98000000001</v>
      </c>
      <c r="F47" s="334">
        <f t="shared" si="21"/>
        <v>37199.29</v>
      </c>
      <c r="G47" s="334">
        <f t="shared" si="21"/>
        <v>36553.127500000002</v>
      </c>
      <c r="H47" s="334">
        <f t="shared" si="21"/>
        <v>2864.6253999999999</v>
      </c>
      <c r="I47" s="334">
        <f t="shared" si="21"/>
        <v>7983.8873999999996</v>
      </c>
      <c r="J47" s="334">
        <f t="shared" si="21"/>
        <v>48963.2163</v>
      </c>
      <c r="K47" s="334">
        <f t="shared" si="21"/>
        <v>131291.13870000001</v>
      </c>
      <c r="L47" s="334">
        <f t="shared" si="21"/>
        <v>341026.96950000001</v>
      </c>
      <c r="M47" s="334" t="str">
        <f t="shared" si="21"/>
        <v/>
      </c>
    </row>
    <row r="48" spans="2:13">
      <c r="B48" s="28" t="s">
        <v>42</v>
      </c>
      <c r="C48" s="333">
        <f t="shared" ref="C48:M48" si="22">IF(C$4="","",MIN(-C16,0))</f>
        <v>-2489.67</v>
      </c>
      <c r="D48" s="333">
        <f t="shared" si="22"/>
        <v>-983.23</v>
      </c>
      <c r="E48" s="333">
        <f t="shared" si="22"/>
        <v>0</v>
      </c>
      <c r="F48" s="333">
        <f t="shared" si="22"/>
        <v>-219.4</v>
      </c>
      <c r="G48" s="333">
        <f t="shared" si="22"/>
        <v>-223.20849999999999</v>
      </c>
      <c r="H48" s="333">
        <f t="shared" si="22"/>
        <v>-71.949200000000005</v>
      </c>
      <c r="I48" s="333">
        <f t="shared" si="22"/>
        <v>-6.0865999999999998</v>
      </c>
      <c r="J48" s="333">
        <f t="shared" si="22"/>
        <v>0</v>
      </c>
      <c r="K48" s="333">
        <f t="shared" si="22"/>
        <v>0</v>
      </c>
      <c r="L48" s="333">
        <f t="shared" si="22"/>
        <v>-32.409500000000001</v>
      </c>
      <c r="M48" s="333" t="str">
        <f t="shared" si="22"/>
        <v/>
      </c>
    </row>
    <row r="50" spans="2:13">
      <c r="B50" s="16" t="s">
        <v>66</v>
      </c>
    </row>
    <row r="51" spans="2:13">
      <c r="B51" s="40" t="s">
        <v>37</v>
      </c>
      <c r="C51" s="333">
        <f t="shared" ref="C51:M51" si="23">IF(C$4="","",-C12)</f>
        <v>-1984.19</v>
      </c>
      <c r="D51" s="333">
        <f t="shared" si="23"/>
        <v>-1109.03</v>
      </c>
      <c r="E51" s="333">
        <f t="shared" si="23"/>
        <v>-1176.71</v>
      </c>
      <c r="F51" s="333">
        <f t="shared" si="23"/>
        <v>-1802.32</v>
      </c>
      <c r="G51" s="333">
        <f t="shared" si="23"/>
        <v>-493.37110000000001</v>
      </c>
      <c r="H51" s="333">
        <f t="shared" si="23"/>
        <v>-97.840299999999999</v>
      </c>
      <c r="I51" s="333">
        <f t="shared" si="23"/>
        <v>-87.729200000000006</v>
      </c>
      <c r="J51" s="333">
        <f t="shared" si="23"/>
        <v>0</v>
      </c>
      <c r="K51" s="333">
        <f t="shared" si="23"/>
        <v>0</v>
      </c>
      <c r="L51" s="333">
        <f t="shared" si="23"/>
        <v>0</v>
      </c>
      <c r="M51" s="333" t="str">
        <f t="shared" si="23"/>
        <v/>
      </c>
    </row>
    <row r="52" spans="2:13">
      <c r="B52" s="40" t="s">
        <v>65</v>
      </c>
      <c r="C52" s="333">
        <f t="shared" ref="C52:M52" si="24">IF(C$4="","",C13)</f>
        <v>12457.09</v>
      </c>
      <c r="D52" s="333">
        <f t="shared" si="24"/>
        <v>5931.66</v>
      </c>
      <c r="E52" s="333">
        <f t="shared" si="24"/>
        <v>2216.44</v>
      </c>
      <c r="F52" s="333">
        <f t="shared" si="24"/>
        <v>2037.26</v>
      </c>
      <c r="G52" s="333">
        <f t="shared" si="24"/>
        <v>1480.8308</v>
      </c>
      <c r="H52" s="333">
        <f t="shared" si="24"/>
        <v>1809.4933000000001</v>
      </c>
      <c r="I52" s="333">
        <f t="shared" si="24"/>
        <v>5012.4776000000002</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65520.850000000297</v>
      </c>
      <c r="D58" s="349">
        <f t="shared" ref="D58:M58" si="28">IF(D$4="","",D44-D55-D56-D57)</f>
        <v>22959.950000000099</v>
      </c>
      <c r="E58" s="349">
        <f t="shared" si="28"/>
        <v>66978.919999999896</v>
      </c>
      <c r="F58" s="349">
        <f t="shared" si="28"/>
        <v>-25015.320000000189</v>
      </c>
      <c r="G58" s="349">
        <f t="shared" si="28"/>
        <v>7419.0687999998991</v>
      </c>
      <c r="H58" s="349">
        <f t="shared" si="28"/>
        <v>-37367.474800000055</v>
      </c>
      <c r="I58" s="349">
        <f t="shared" si="28"/>
        <v>12950.502700000085</v>
      </c>
      <c r="J58" s="349">
        <f t="shared" si="28"/>
        <v>-52133.898100000013</v>
      </c>
      <c r="K58" s="349">
        <f t="shared" si="28"/>
        <v>77165.503300000099</v>
      </c>
      <c r="L58" s="349">
        <f t="shared" si="28"/>
        <v>48217.352100000018</v>
      </c>
      <c r="M58" s="349" t="str">
        <f t="shared" si="28"/>
        <v/>
      </c>
    </row>
    <row r="60" spans="2:13">
      <c r="B60" s="16" t="s">
        <v>49</v>
      </c>
      <c r="C60" s="9"/>
    </row>
    <row r="61" spans="2:13">
      <c r="B61" s="27" t="s">
        <v>45</v>
      </c>
      <c r="C61" s="333">
        <f>IF(C$4="","",-C19)</f>
        <v>-154945.9</v>
      </c>
      <c r="D61" s="333">
        <f t="shared" ref="D61:M61" si="29">IF(D$4="","",-D19)</f>
        <v>-143078.04</v>
      </c>
      <c r="E61" s="333">
        <f t="shared" si="29"/>
        <v>-115739.41</v>
      </c>
      <c r="F61" s="333">
        <f t="shared" si="29"/>
        <v>-108539.45</v>
      </c>
      <c r="G61" s="333">
        <f t="shared" si="29"/>
        <v>-99339.8367</v>
      </c>
      <c r="H61" s="333">
        <f t="shared" si="29"/>
        <v>-102341.4463</v>
      </c>
      <c r="I61" s="333">
        <f t="shared" si="29"/>
        <v>-102108.7965</v>
      </c>
      <c r="J61" s="333">
        <f t="shared" si="29"/>
        <v>0</v>
      </c>
      <c r="K61" s="333">
        <f t="shared" si="29"/>
        <v>0</v>
      </c>
      <c r="L61" s="333">
        <f t="shared" si="29"/>
        <v>0</v>
      </c>
      <c r="M61" s="333" t="str">
        <f t="shared" si="29"/>
        <v/>
      </c>
    </row>
    <row r="62" spans="2:13">
      <c r="B62" s="27" t="s">
        <v>51</v>
      </c>
      <c r="C62" s="333">
        <f>IF(C$4="","",IF(C20=0,C61,-C20))</f>
        <v>-154945.9</v>
      </c>
      <c r="D62" s="333">
        <f t="shared" ref="D62:M62" si="30">IF(D$4="","",IF(D20=0,D61,-D20))</f>
        <v>-143078.04</v>
      </c>
      <c r="E62" s="333">
        <f t="shared" si="30"/>
        <v>-115739.41</v>
      </c>
      <c r="F62" s="333">
        <f t="shared" si="30"/>
        <v>-108539.45</v>
      </c>
      <c r="G62" s="333">
        <f t="shared" si="30"/>
        <v>-99339.8367</v>
      </c>
      <c r="H62" s="333">
        <f t="shared" si="30"/>
        <v>-102341.4463</v>
      </c>
      <c r="I62" s="333">
        <f t="shared" si="30"/>
        <v>-102108.7965</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-3003.5400000000081</v>
      </c>
      <c r="D64" s="333">
        <f t="shared" ref="D64:M64" si="32">IF(D$4="","",D22+D23+D24)</f>
        <v>212317.61999999997</v>
      </c>
      <c r="E64" s="333">
        <f t="shared" si="32"/>
        <v>88888.290000000037</v>
      </c>
      <c r="F64" s="333">
        <f t="shared" si="32"/>
        <v>-38115.079999999958</v>
      </c>
      <c r="G64" s="333">
        <f t="shared" si="32"/>
        <v>-11499.131399999984</v>
      </c>
      <c r="H64" s="333">
        <f t="shared" si="32"/>
        <v>-21523.288700000001</v>
      </c>
      <c r="I64" s="333">
        <f t="shared" si="32"/>
        <v>-267717.33559999999</v>
      </c>
      <c r="J64" s="333">
        <f t="shared" si="32"/>
        <v>-173087.16609999997</v>
      </c>
      <c r="K64" s="333">
        <f t="shared" si="32"/>
        <v>157516.96540000004</v>
      </c>
      <c r="L64" s="333">
        <f t="shared" si="32"/>
        <v>137556.4492</v>
      </c>
      <c r="M64" s="333" t="str">
        <f t="shared" si="32"/>
        <v/>
      </c>
    </row>
    <row r="65" spans="2:13">
      <c r="B65" s="24" t="s">
        <v>34</v>
      </c>
      <c r="C65" s="73">
        <f>IF(C$4="","",C25)</f>
        <v>0.20099999999999998</v>
      </c>
      <c r="D65" s="73">
        <f t="shared" ref="D65:M65" si="33">IF(D$4="","",D25)</f>
        <v>0.14699999999999999</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-2.5937195218365683E-2</v>
      </c>
      <c r="D68" s="92">
        <f t="shared" si="34"/>
        <v>4.7470935229053657E-2</v>
      </c>
      <c r="E68" s="92">
        <f t="shared" si="34"/>
        <v>0.48308434654268462</v>
      </c>
      <c r="F68" s="92">
        <f t="shared" si="34"/>
        <v>0.1082097484341995</v>
      </c>
      <c r="G68" s="92">
        <f t="shared" si="34"/>
        <v>0.21428262970296608</v>
      </c>
      <c r="H68" s="92">
        <f t="shared" si="34"/>
        <v>0.33100190389533934</v>
      </c>
      <c r="I68" s="92">
        <f t="shared" si="34"/>
        <v>7.798889056610836E-2</v>
      </c>
      <c r="J68" s="92">
        <f t="shared" si="34"/>
        <v>-0.14502935395370053</v>
      </c>
      <c r="K68" s="92">
        <f t="shared" si="34"/>
        <v>-0.25984147979682559</v>
      </c>
      <c r="L68" s="92" t="str">
        <f t="shared" si="34"/>
        <v/>
      </c>
      <c r="M68" s="92" t="str">
        <f t="shared" si="34"/>
        <v/>
      </c>
    </row>
    <row r="69" spans="2:13">
      <c r="B69" s="31" t="s">
        <v>56</v>
      </c>
      <c r="C69" s="92">
        <f>IF(D$36="","",C38/D38-1)</f>
        <v>0.11899109069121172</v>
      </c>
      <c r="D69" s="92">
        <f t="shared" ref="D69:M69" si="35">IF(E$36="","",D38/E38-1)</f>
        <v>0.28382952699955188</v>
      </c>
      <c r="E69" s="92">
        <f t="shared" si="35"/>
        <v>0.22529771034042945</v>
      </c>
      <c r="F69" s="92">
        <f t="shared" si="35"/>
        <v>0.1857216062272482</v>
      </c>
      <c r="G69" s="92">
        <f t="shared" si="35"/>
        <v>-1.0789571840925549E-2</v>
      </c>
      <c r="H69" s="92">
        <f t="shared" si="35"/>
        <v>0.84668719455775698</v>
      </c>
      <c r="I69" s="92">
        <f t="shared" si="35"/>
        <v>-0.54501794167160789</v>
      </c>
      <c r="J69" s="92">
        <f t="shared" si="35"/>
        <v>0.12844748789525795</v>
      </c>
      <c r="K69" s="92">
        <f t="shared" si="35"/>
        <v>-0.61964927173777729</v>
      </c>
      <c r="L69" s="92" t="str">
        <f t="shared" si="35"/>
        <v/>
      </c>
      <c r="M69" s="92" t="str">
        <f t="shared" si="35"/>
        <v/>
      </c>
    </row>
    <row r="70" spans="2:13">
      <c r="B70" s="80" t="str">
        <f>B43</f>
        <v>Operating EBIT</v>
      </c>
      <c r="C70" s="101">
        <f>IF(D$36="","",C43/D43-1)</f>
        <v>0.1735545691682947</v>
      </c>
      <c r="D70" s="101">
        <f t="shared" ref="D70:M70" si="36">IF(E$36="","",D43/E43-1)</f>
        <v>0.50999313526666179</v>
      </c>
      <c r="E70" s="101">
        <f t="shared" si="36"/>
        <v>0.31925254238816936</v>
      </c>
      <c r="F70" s="101">
        <f t="shared" si="36"/>
        <v>0.80139023494132711</v>
      </c>
      <c r="G70" s="101">
        <f t="shared" si="36"/>
        <v>-0.19445100865814691</v>
      </c>
      <c r="H70" s="101">
        <f t="shared" si="36"/>
        <v>-12.312716339690693</v>
      </c>
      <c r="I70" s="101">
        <f t="shared" si="36"/>
        <v>-1.0435276571073457</v>
      </c>
      <c r="J70" s="101">
        <f t="shared" si="36"/>
        <v>0.35745584574453027</v>
      </c>
      <c r="K70" s="101">
        <f t="shared" si="36"/>
        <v>-0.76043969306449655</v>
      </c>
      <c r="L70" s="101" t="str">
        <f t="shared" si="36"/>
        <v/>
      </c>
      <c r="M70" s="101" t="str">
        <f t="shared" si="36"/>
        <v/>
      </c>
    </row>
    <row r="71" spans="2:13">
      <c r="B71" s="43" t="s">
        <v>164</v>
      </c>
      <c r="C71" s="101">
        <f>IF(D$36="","",C44/D44-1)</f>
        <v>1.8537017719986331</v>
      </c>
      <c r="D71" s="101">
        <f t="shared" ref="D71:M71" si="37">IF(E$36="","",D44/E44-1)</f>
        <v>-0.65720632700556925</v>
      </c>
      <c r="E71" s="101">
        <f t="shared" si="37"/>
        <v>-3.6775160181840323</v>
      </c>
      <c r="F71" s="101">
        <f t="shared" si="37"/>
        <v>-4.3717600785695003</v>
      </c>
      <c r="G71" s="101">
        <f t="shared" si="37"/>
        <v>-1.1985434884136161</v>
      </c>
      <c r="H71" s="101">
        <f t="shared" si="37"/>
        <v>-3.8854072822979924</v>
      </c>
      <c r="I71" s="101">
        <f t="shared" si="37"/>
        <v>-1.2484084860709865</v>
      </c>
      <c r="J71" s="101">
        <f t="shared" si="37"/>
        <v>-1.6756114568101306</v>
      </c>
      <c r="K71" s="101">
        <f t="shared" si="37"/>
        <v>0.60036791609716089</v>
      </c>
      <c r="L71" s="101" t="str">
        <f t="shared" si="37"/>
        <v/>
      </c>
      <c r="M71" s="101" t="str">
        <f t="shared" si="37"/>
        <v/>
      </c>
    </row>
    <row r="72" spans="2:13">
      <c r="B72" s="80" t="str">
        <f>B47</f>
        <v>Reported Net Income</v>
      </c>
      <c r="C72" s="101">
        <f>IF(D$36="","",C47/D47-1)</f>
        <v>0.34100566593957837</v>
      </c>
      <c r="D72" s="101">
        <f t="shared" ref="D72:M72" si="38">IF(E$36="","",D47/E47-1)</f>
        <v>0.12461203769247731</v>
      </c>
      <c r="E72" s="101">
        <f t="shared" si="38"/>
        <v>2.8970899713408511</v>
      </c>
      <c r="F72" s="101">
        <f t="shared" si="38"/>
        <v>1.7677351958460985E-2</v>
      </c>
      <c r="G72" s="101">
        <f t="shared" si="38"/>
        <v>11.760177124729818</v>
      </c>
      <c r="H72" s="101">
        <f t="shared" si="38"/>
        <v>-0.64119917322481279</v>
      </c>
      <c r="I72" s="101">
        <f t="shared" si="38"/>
        <v>-0.83694111614150646</v>
      </c>
      <c r="J72" s="101">
        <f t="shared" si="38"/>
        <v>-0.62706381569375491</v>
      </c>
      <c r="K72" s="101">
        <f t="shared" si="38"/>
        <v>-0.6150124463983192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4823088.2699999996</v>
      </c>
      <c r="D76" s="349">
        <f t="shared" ref="D76:M76" si="39">IF(D$4="","",D79+D80)</f>
        <v>4325166.3499999996</v>
      </c>
      <c r="E76" s="349">
        <f t="shared" si="39"/>
        <v>4263867.49</v>
      </c>
      <c r="F76" s="349">
        <f t="shared" si="39"/>
        <v>3465426.38</v>
      </c>
      <c r="G76" s="349">
        <f t="shared" si="39"/>
        <v>3328189.6169999996</v>
      </c>
      <c r="H76" s="349">
        <f t="shared" si="39"/>
        <v>3185654.2935000001</v>
      </c>
      <c r="I76" s="349">
        <f t="shared" si="39"/>
        <v>3014920.057</v>
      </c>
      <c r="J76" s="349">
        <f t="shared" si="39"/>
        <v>2839595.6228</v>
      </c>
      <c r="K76" s="349">
        <f t="shared" si="39"/>
        <v>2981119.801</v>
      </c>
      <c r="L76" s="349">
        <f t="shared" si="39"/>
        <v>3144283.1915000002</v>
      </c>
      <c r="M76" s="349" t="str">
        <f t="shared" si="39"/>
        <v/>
      </c>
    </row>
    <row r="77" spans="2:13">
      <c r="B77" s="93" t="s">
        <v>83</v>
      </c>
      <c r="C77" s="318">
        <f t="shared" ref="C77:H78" si="40">IF(C$4="","",C28)</f>
        <v>779805.94000000006</v>
      </c>
      <c r="D77" s="346">
        <f t="shared" si="40"/>
        <v>614740.03</v>
      </c>
      <c r="E77" s="346">
        <f t="shared" si="40"/>
        <v>627070.1</v>
      </c>
      <c r="F77" s="346">
        <f t="shared" si="40"/>
        <v>565721.97</v>
      </c>
      <c r="G77" s="346">
        <f t="shared" si="40"/>
        <v>737082.00840000005</v>
      </c>
      <c r="H77" s="346">
        <f t="shared" si="40"/>
        <v>483752.78779999999</v>
      </c>
      <c r="I77" s="355"/>
      <c r="J77" s="355"/>
      <c r="K77" s="355"/>
      <c r="L77" s="355"/>
      <c r="M77" s="355"/>
    </row>
    <row r="78" spans="2:13">
      <c r="B78" s="93" t="s">
        <v>84</v>
      </c>
      <c r="C78" s="318">
        <f t="shared" si="40"/>
        <v>75410.259999999995</v>
      </c>
      <c r="D78" s="346">
        <f t="shared" si="40"/>
        <v>98279.37</v>
      </c>
      <c r="E78" s="346">
        <f t="shared" si="40"/>
        <v>130107.73</v>
      </c>
      <c r="F78" s="346">
        <f t="shared" si="40"/>
        <v>115109.66</v>
      </c>
      <c r="G78" s="346">
        <f t="shared" si="40"/>
        <v>101122.2853</v>
      </c>
      <c r="H78" s="346">
        <f t="shared" si="40"/>
        <v>512937.82659999997</v>
      </c>
      <c r="I78" s="355"/>
      <c r="J78" s="355"/>
      <c r="K78" s="355"/>
      <c r="L78" s="355"/>
      <c r="M78" s="355"/>
    </row>
    <row r="79" spans="2:13">
      <c r="B79" s="26" t="s">
        <v>38</v>
      </c>
      <c r="C79" s="317">
        <f t="shared" ref="C79:M79" si="41">IF(C$4="","",C30)</f>
        <v>1995570.48</v>
      </c>
      <c r="D79" s="333">
        <f t="shared" si="41"/>
        <v>1647330.89</v>
      </c>
      <c r="E79" s="333">
        <f t="shared" si="41"/>
        <v>1695609.48</v>
      </c>
      <c r="F79" s="333">
        <f t="shared" si="41"/>
        <v>1189596.92</v>
      </c>
      <c r="G79" s="333">
        <f t="shared" si="41"/>
        <v>1061667.9129999999</v>
      </c>
      <c r="H79" s="333">
        <f t="shared" si="41"/>
        <v>918370.71239999996</v>
      </c>
      <c r="I79" s="333">
        <f t="shared" si="41"/>
        <v>724476.08160000003</v>
      </c>
      <c r="J79" s="333">
        <f t="shared" si="41"/>
        <v>526758.79269999999</v>
      </c>
      <c r="K79" s="333">
        <f t="shared" si="41"/>
        <v>664276.83160000003</v>
      </c>
      <c r="L79" s="333">
        <f t="shared" si="41"/>
        <v>845128.23759999999</v>
      </c>
      <c r="M79" s="333" t="str">
        <f t="shared" si="41"/>
        <v/>
      </c>
    </row>
    <row r="80" spans="2:13">
      <c r="B80" s="26" t="s">
        <v>28</v>
      </c>
      <c r="C80" s="317">
        <f t="shared" ref="C80:M80" si="42">IF(C$4="","",C31)</f>
        <v>2827517.7899999996</v>
      </c>
      <c r="D80" s="333">
        <f t="shared" si="42"/>
        <v>2677835.46</v>
      </c>
      <c r="E80" s="333">
        <f t="shared" si="42"/>
        <v>2568258.0099999998</v>
      </c>
      <c r="F80" s="333">
        <f t="shared" si="42"/>
        <v>2275829.46</v>
      </c>
      <c r="G80" s="333">
        <f t="shared" si="42"/>
        <v>2266521.7039999999</v>
      </c>
      <c r="H80" s="333">
        <f t="shared" si="42"/>
        <v>2267283.5811000001</v>
      </c>
      <c r="I80" s="333">
        <f t="shared" si="42"/>
        <v>2290443.9753999999</v>
      </c>
      <c r="J80" s="333">
        <f t="shared" si="42"/>
        <v>2312836.8300999999</v>
      </c>
      <c r="K80" s="333">
        <f t="shared" si="42"/>
        <v>2316842.9693999998</v>
      </c>
      <c r="L80" s="333">
        <f t="shared" si="42"/>
        <v>2299154.9539000001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893.55+755681.84+23230.55</f>
        <v>779805.94000000006</v>
      </c>
      <c r="D4" s="261">
        <v>0.6</v>
      </c>
      <c r="E4" s="25"/>
      <c r="F4" s="4" t="s">
        <v>75</v>
      </c>
      <c r="G4" s="19">
        <v>606704.22</v>
      </c>
      <c r="H4" s="261">
        <v>0.9</v>
      </c>
    </row>
    <row r="5" spans="2:8" ht="15" customHeight="1">
      <c r="B5" s="1" t="s">
        <v>31</v>
      </c>
      <c r="C5" s="19">
        <v>0</v>
      </c>
      <c r="D5" s="261">
        <v>0.6</v>
      </c>
      <c r="E5" s="25"/>
      <c r="F5" s="1" t="s">
        <v>27</v>
      </c>
      <c r="G5" s="19">
        <v>0</v>
      </c>
      <c r="H5" s="261">
        <v>0.7</v>
      </c>
    </row>
    <row r="6" spans="2:8" ht="15" customHeight="1">
      <c r="B6" s="4" t="s">
        <v>8</v>
      </c>
      <c r="C6" s="19">
        <f>75410.26</f>
        <v>75410.259999999995</v>
      </c>
      <c r="D6" s="261">
        <v>0.5</v>
      </c>
      <c r="E6" s="25"/>
      <c r="F6" s="4" t="s">
        <v>173</v>
      </c>
      <c r="G6" s="19">
        <v>0</v>
      </c>
      <c r="H6" s="261">
        <v>0.6</v>
      </c>
    </row>
    <row r="7" spans="2:8" ht="15" customHeight="1">
      <c r="B7" s="1" t="s">
        <v>67</v>
      </c>
      <c r="C7" s="19">
        <v>0</v>
      </c>
      <c r="D7" s="261">
        <v>0.6</v>
      </c>
      <c r="E7" s="25"/>
      <c r="F7" s="4" t="s">
        <v>174</v>
      </c>
      <c r="G7" s="19">
        <v>1010697.32</v>
      </c>
      <c r="H7" s="261">
        <v>0.6</v>
      </c>
    </row>
    <row r="8" spans="2:8" ht="15" customHeight="1">
      <c r="B8" s="1" t="s">
        <v>169</v>
      </c>
      <c r="C8" s="19">
        <v>0</v>
      </c>
      <c r="D8" s="261">
        <v>0.6</v>
      </c>
      <c r="E8" s="25"/>
      <c r="F8" s="1" t="s">
        <v>175</v>
      </c>
      <c r="G8" s="19">
        <v>0</v>
      </c>
      <c r="H8" s="261">
        <v>0.6</v>
      </c>
    </row>
    <row r="9" spans="2:8" ht="15" customHeight="1">
      <c r="B9" s="4" t="s">
        <v>23</v>
      </c>
      <c r="C9" s="19">
        <f>95845.25+290054.08</f>
        <v>385899.33</v>
      </c>
      <c r="D9" s="261">
        <v>0.1</v>
      </c>
      <c r="E9" s="25"/>
      <c r="F9" s="4" t="s">
        <v>176</v>
      </c>
      <c r="G9" s="19">
        <v>0</v>
      </c>
      <c r="H9" s="261">
        <v>0.6</v>
      </c>
    </row>
    <row r="10" spans="2:8" ht="15" customHeight="1">
      <c r="B10" s="4" t="s">
        <v>9</v>
      </c>
      <c r="C10" s="19">
        <v>0</v>
      </c>
      <c r="D10" s="261">
        <v>0.9</v>
      </c>
      <c r="H10" s="262"/>
    </row>
    <row r="11" spans="2:8" ht="15" customHeight="1">
      <c r="B11" s="4" t="s">
        <v>10</v>
      </c>
      <c r="C11" s="19">
        <v>43448.160000000003</v>
      </c>
      <c r="D11" s="261">
        <v>0.05</v>
      </c>
      <c r="H11" s="262"/>
    </row>
    <row r="12" spans="2:8" ht="15" customHeight="1">
      <c r="B12" s="80" t="s">
        <v>70</v>
      </c>
      <c r="C12" s="81">
        <f>SUM(C4:C11)</f>
        <v>1284563.69</v>
      </c>
      <c r="D12" s="20">
        <f>C4*D4+C5*D5+C9*D9+C6*D6+C8*D8+C7*D7+C10*D10+C11*D11</f>
        <v>546351.03500000003</v>
      </c>
      <c r="F12" s="80" t="s">
        <v>68</v>
      </c>
      <c r="G12" s="81">
        <f>SUM(G4:G9)</f>
        <v>1617401.54</v>
      </c>
      <c r="H12" s="20">
        <f>G4*H4+G5*H5+G6*H6+G7*H7+G8*H8+G9*H9</f>
        <v>1152452.19</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7067.14</v>
      </c>
      <c r="D16" s="261">
        <v>0.5</v>
      </c>
      <c r="F16" s="4" t="s">
        <v>173</v>
      </c>
      <c r="G16" s="19">
        <v>0</v>
      </c>
      <c r="H16" s="261">
        <v>0.6</v>
      </c>
    </row>
    <row r="17" spans="2:8" ht="15" customHeight="1">
      <c r="B17" s="1" t="s">
        <v>67</v>
      </c>
      <c r="C17" s="19">
        <v>0</v>
      </c>
      <c r="D17" s="261">
        <v>0.6</v>
      </c>
      <c r="F17" s="4" t="s">
        <v>174</v>
      </c>
      <c r="G17" s="19">
        <v>238829.19</v>
      </c>
      <c r="H17" s="261">
        <v>0.6</v>
      </c>
    </row>
    <row r="18" spans="2:8" ht="15" customHeight="1">
      <c r="B18" s="4" t="s">
        <v>169</v>
      </c>
      <c r="C18" s="19">
        <v>0</v>
      </c>
      <c r="D18" s="261">
        <v>0.6</v>
      </c>
      <c r="F18" s="4" t="s">
        <v>177</v>
      </c>
      <c r="G18" s="19">
        <v>0</v>
      </c>
      <c r="H18" s="261">
        <v>0.1</v>
      </c>
    </row>
    <row r="19" spans="2:8" ht="15" customHeight="1">
      <c r="B19" s="4" t="s">
        <v>24</v>
      </c>
      <c r="C19" s="19">
        <f>1244686.85+59330.27+85754.97</f>
        <v>1389772.09</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217211.59</v>
      </c>
      <c r="D21" s="261">
        <v>0.05</v>
      </c>
      <c r="F21" s="1" t="s">
        <v>176</v>
      </c>
      <c r="G21" s="19">
        <v>0</v>
      </c>
      <c r="H21" s="261">
        <v>0.1</v>
      </c>
    </row>
    <row r="22" spans="2:8" ht="15" customHeight="1">
      <c r="B22" s="4" t="s">
        <v>18</v>
      </c>
      <c r="C22" s="19">
        <v>46074.59</v>
      </c>
      <c r="D22" s="261">
        <v>0.9</v>
      </c>
      <c r="H22" s="262"/>
    </row>
    <row r="23" spans="2:8" ht="15" customHeight="1">
      <c r="B23" s="4" t="s">
        <v>19</v>
      </c>
      <c r="C23" s="19">
        <v>22168.44</v>
      </c>
      <c r="D23" s="261">
        <v>0</v>
      </c>
      <c r="H23" s="262"/>
    </row>
    <row r="24" spans="2:8" ht="15" customHeight="1">
      <c r="B24" s="80" t="s">
        <v>71</v>
      </c>
      <c r="C24" s="81">
        <f>SUM(C15:C23)</f>
        <v>1682293.85</v>
      </c>
      <c r="D24" s="20">
        <f>C15*D15+C16*D16+C18*D18+C17*D17+C19*D19+C20*D20+C21*D21+C22*D22+C23*D23</f>
        <v>194838.4895</v>
      </c>
      <c r="F24" s="80" t="s">
        <v>69</v>
      </c>
      <c r="G24" s="81">
        <f>SUM(G15:G21)</f>
        <v>238829.19</v>
      </c>
      <c r="H24" s="20">
        <f>G15*H15+G16*H16+G17*H17+G18*H18+G19*H19+G20*H20+G21*H21</f>
        <v>143297.514</v>
      </c>
    </row>
    <row r="26" spans="2:8" ht="15" customHeight="1">
      <c r="B26" s="16" t="s">
        <v>196</v>
      </c>
      <c r="C26" s="182" t="s">
        <v>132</v>
      </c>
      <c r="F26" s="184" t="s">
        <v>192</v>
      </c>
      <c r="G26" s="185" t="s">
        <v>132</v>
      </c>
      <c r="H26" s="186" t="s">
        <v>33</v>
      </c>
    </row>
    <row r="27" spans="2:8" ht="15" customHeight="1">
      <c r="B27" s="4" t="s">
        <v>3</v>
      </c>
      <c r="C27" s="19">
        <v>0</v>
      </c>
      <c r="F27" s="187" t="s">
        <v>28</v>
      </c>
      <c r="G27" s="85">
        <f>G32-G30</f>
        <v>2827517.7899999996</v>
      </c>
      <c r="H27" s="188">
        <f>H32-G30</f>
        <v>41368.748499999987</v>
      </c>
    </row>
    <row r="28" spans="2:8" ht="15" customHeight="1">
      <c r="B28" s="4" t="s">
        <v>4</v>
      </c>
      <c r="C28" s="19">
        <v>0</v>
      </c>
      <c r="F28" s="189" t="s">
        <v>240</v>
      </c>
      <c r="G28" s="12">
        <v>200865.76</v>
      </c>
      <c r="H28" s="188"/>
    </row>
    <row r="29" spans="2:8" ht="15" customHeight="1">
      <c r="B29" s="4" t="s">
        <v>5</v>
      </c>
      <c r="C29" s="19">
        <v>0</v>
      </c>
      <c r="F29" s="190" t="s">
        <v>73</v>
      </c>
      <c r="G29" s="14">
        <f>G27-G28</f>
        <v>2626652.0299999993</v>
      </c>
      <c r="H29" s="188">
        <f>H27-G28</f>
        <v>-159497.01150000002</v>
      </c>
    </row>
    <row r="30" spans="2:8" ht="15" customHeight="1">
      <c r="B30" s="2" t="s">
        <v>6</v>
      </c>
      <c r="C30" s="19">
        <v>0</v>
      </c>
      <c r="F30" s="187" t="s">
        <v>21</v>
      </c>
      <c r="G30" s="85">
        <f>C33+C42</f>
        <v>1995570.48</v>
      </c>
      <c r="H30" s="188"/>
    </row>
    <row r="31" spans="2:8" ht="15" customHeight="1">
      <c r="B31" s="80" t="s">
        <v>199</v>
      </c>
      <c r="C31" s="81">
        <f>SUM(C27:C30)</f>
        <v>0</v>
      </c>
      <c r="F31" s="190" t="s">
        <v>74</v>
      </c>
      <c r="G31" s="191">
        <f>C31+C40</f>
        <v>72651.94</v>
      </c>
      <c r="H31" s="188"/>
    </row>
    <row r="32" spans="2:8" ht="15" customHeight="1">
      <c r="B32" s="4" t="s">
        <v>7</v>
      </c>
      <c r="C32" s="21">
        <f>C33-C31</f>
        <v>1842478.74</v>
      </c>
      <c r="F32" s="192" t="s">
        <v>72</v>
      </c>
      <c r="G32" s="193">
        <f>G35+G40</f>
        <v>4823088.2699999996</v>
      </c>
      <c r="H32" s="188">
        <f>H35+H40</f>
        <v>2036939.2285</v>
      </c>
    </row>
    <row r="33" spans="2:8" ht="15" customHeight="1">
      <c r="B33" s="83" t="s">
        <v>2</v>
      </c>
      <c r="C33" s="84">
        <v>1842478.74</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2966857.54</v>
      </c>
      <c r="H35" s="200">
        <f>D12+D24</f>
        <v>741189.52450000006</v>
      </c>
    </row>
    <row r="36" spans="2:8" ht="15" customHeight="1">
      <c r="B36" s="4" t="s">
        <v>11</v>
      </c>
      <c r="C36" s="19">
        <v>13000.4</v>
      </c>
      <c r="F36" s="190" t="s">
        <v>193</v>
      </c>
      <c r="G36" s="191">
        <f>C4+C15</f>
        <v>779805.94000000006</v>
      </c>
      <c r="H36" s="195"/>
    </row>
    <row r="37" spans="2:8" ht="15" customHeight="1">
      <c r="B37" s="4" t="s">
        <v>12</v>
      </c>
      <c r="C37" s="19">
        <v>59651.54</v>
      </c>
      <c r="F37" s="190" t="s">
        <v>194</v>
      </c>
      <c r="G37" s="191">
        <f>C6</f>
        <v>75410.259999999995</v>
      </c>
      <c r="H37" s="195"/>
    </row>
    <row r="38" spans="2:8" ht="15" customHeight="1">
      <c r="B38" s="4" t="s">
        <v>13</v>
      </c>
      <c r="C38" s="19">
        <v>0</v>
      </c>
      <c r="F38" s="190" t="s">
        <v>195</v>
      </c>
      <c r="G38" s="191">
        <f>C7+C17</f>
        <v>0</v>
      </c>
      <c r="H38" s="195"/>
    </row>
    <row r="39" spans="2:8" ht="15" customHeight="1">
      <c r="B39" s="2" t="s">
        <v>14</v>
      </c>
      <c r="C39" s="19">
        <v>0</v>
      </c>
      <c r="F39" s="190" t="s">
        <v>77</v>
      </c>
      <c r="G39" s="191">
        <f>C7+C17+C19+C20</f>
        <v>1389772.09</v>
      </c>
      <c r="H39" s="188">
        <f>C7*D7+C17*D17+C19*D19+C20*D20</f>
        <v>138977.209</v>
      </c>
    </row>
    <row r="40" spans="2:8" ht="15" customHeight="1">
      <c r="B40" s="80" t="s">
        <v>200</v>
      </c>
      <c r="C40" s="81">
        <f>SUM(C36:C39)</f>
        <v>72651.94</v>
      </c>
      <c r="F40" s="199" t="s">
        <v>134</v>
      </c>
      <c r="G40" s="193">
        <f>G12+G24</f>
        <v>1856230.73</v>
      </c>
      <c r="H40" s="200">
        <f>H12+H24</f>
        <v>1295749.7039999999</v>
      </c>
    </row>
    <row r="41" spans="2:8" ht="15" customHeight="1">
      <c r="B41" s="4" t="s">
        <v>15</v>
      </c>
      <c r="C41" s="21">
        <f>C42-C40</f>
        <v>80439.799999999988</v>
      </c>
      <c r="F41" s="190" t="s">
        <v>187</v>
      </c>
      <c r="G41" s="191">
        <f>C70</f>
        <v>606704.22</v>
      </c>
      <c r="H41" s="200">
        <f>H40-H42</f>
        <v>546033.79799999995</v>
      </c>
    </row>
    <row r="42" spans="2:8" ht="15" customHeight="1">
      <c r="B42" s="83" t="s">
        <v>20</v>
      </c>
      <c r="C42" s="84">
        <v>153091.74</v>
      </c>
      <c r="F42" s="201" t="s">
        <v>188</v>
      </c>
      <c r="G42" s="202">
        <f>C82</f>
        <v>1249526.51</v>
      </c>
      <c r="H42" s="203">
        <f>D82</f>
        <v>749715.90599999996</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2626652.0299999993</v>
      </c>
      <c r="D46" s="76">
        <f>H29</f>
        <v>-159497.01150000002</v>
      </c>
      <c r="F46" s="253"/>
    </row>
    <row r="47" spans="2:8" ht="15" customHeight="1">
      <c r="B47" s="1" t="str">
        <f>"Equity per share ("&amp;Market_currency&amp;")"</f>
        <v>Equity per share (CNY)</v>
      </c>
      <c r="C47" s="147">
        <f>C46*H1/Common_Shares*Exchange_Rate</f>
        <v>5.9408306928907839</v>
      </c>
      <c r="D47" s="147">
        <f>D46*H1/Common_Shares*Exchange_Rate</f>
        <v>-0.36074239393771346</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0.53421555755411909</v>
      </c>
      <c r="D50" s="95">
        <f>G31/Normalized_FCF!G8</f>
        <v>0.37884561705054931</v>
      </c>
      <c r="F50" s="253"/>
    </row>
    <row r="51" spans="2:8" ht="15" customHeight="1">
      <c r="B51" s="1" t="s">
        <v>172</v>
      </c>
      <c r="C51" s="181"/>
      <c r="D51" s="92">
        <f>G29/G32</f>
        <v>0.54459961811978186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4.5838879268829603E-2</v>
      </c>
      <c r="D54" s="92">
        <f>Normalized_FCF!G8/G35</f>
        <v>6.4638051343712255E-2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0.11149015087790401</v>
      </c>
      <c r="F58" s="5"/>
    </row>
    <row r="59" spans="2:8" ht="15" customHeight="1">
      <c r="B59" s="1" t="s">
        <v>90</v>
      </c>
      <c r="C59" s="98"/>
      <c r="D59" s="92">
        <f>G39/G32</f>
        <v>0.28814983516774828</v>
      </c>
      <c r="F59" s="253"/>
    </row>
    <row r="60" spans="2:8" ht="15" customHeight="1">
      <c r="F60" s="253"/>
    </row>
    <row r="61" spans="2:8" ht="15" customHeight="1">
      <c r="B61" s="157" t="s">
        <v>269</v>
      </c>
      <c r="C61" s="235" t="s">
        <v>133</v>
      </c>
      <c r="D61" s="197" t="s">
        <v>92</v>
      </c>
      <c r="F61" s="253"/>
    </row>
    <row r="62" spans="2:8" ht="15" customHeight="1">
      <c r="B62" s="1" t="s">
        <v>241</v>
      </c>
      <c r="C62" s="92">
        <f>IF(G28&lt;=0,0,G28/G29)</f>
        <v>7.6472162169116883E-2</v>
      </c>
      <c r="D62" s="92">
        <f>G28/G29</f>
        <v>7.6472162169116883E-2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606704.22</v>
      </c>
      <c r="D66" s="76">
        <f>C66-D75</f>
        <v>381755.93838365644</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606704.22</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-241044.91095666669</v>
      </c>
      <c r="D73" s="349">
        <f>(Normalized_FCF!C25+Normalized_FCF!C35-Normalized_FCF!C91)/12</f>
        <v>-224948.28161634356</v>
      </c>
      <c r="F73" s="1" t="s">
        <v>342</v>
      </c>
    </row>
    <row r="74" spans="2:6" ht="15" customHeight="1">
      <c r="B74" s="257" t="s">
        <v>312</v>
      </c>
      <c r="C74" s="258">
        <f>-$C$66/C73</f>
        <v>2.5169758514796809</v>
      </c>
      <c r="D74" s="258">
        <f>-$C$66/D73</f>
        <v>2.6970831501382762</v>
      </c>
      <c r="F74" s="253" t="s">
        <v>310</v>
      </c>
    </row>
    <row r="75" spans="2:6" ht="15" customHeight="1">
      <c r="B75" s="80" t="s">
        <v>311</v>
      </c>
      <c r="C75" s="320"/>
      <c r="D75" s="321">
        <f>MAX(-D73*D76,G5)</f>
        <v>224948.28161634356</v>
      </c>
      <c r="F75" s="253" t="s">
        <v>343</v>
      </c>
    </row>
    <row r="76" spans="2:6" ht="15" customHeight="1">
      <c r="B76" s="259" t="s">
        <v>313</v>
      </c>
      <c r="C76" s="260"/>
      <c r="D76" s="290">
        <f>IF(valuation_method="DCF",IF(D74&lt;=3,1,IF(D74&gt;18,6,2)),-C66/D73)</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1249526.51</v>
      </c>
      <c r="D79" s="76">
        <f>G7*H7+G17*H17</f>
        <v>749715.90599999996</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1249526.51</v>
      </c>
      <c r="D82" s="81">
        <f>SUM(D79:D81)</f>
        <v>749715.90599999996</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-72651.94</v>
      </c>
      <c r="D86" s="223">
        <f>C86*scaling_factor/Common_Shares</f>
        <v>-0.16432053813007724</v>
      </c>
      <c r="E86" s="240" t="str">
        <f>Market_currency</f>
        <v>CNY</v>
      </c>
    </row>
    <row r="87" spans="2:8" ht="15" customHeight="1">
      <c r="B87" s="238" t="s">
        <v>282</v>
      </c>
      <c r="C87" s="76">
        <f>DCF!C8*Exchange_Rate</f>
        <v>381755.93838365644</v>
      </c>
      <c r="D87" s="223">
        <f>C87*scaling_factor/Common_Shares</f>
        <v>0.86343656108226474</v>
      </c>
      <c r="E87" s="240" t="str">
        <f>Market_currency</f>
        <v>CNY</v>
      </c>
    </row>
    <row r="88" spans="2:8" ht="15" customHeight="1">
      <c r="B88" s="239" t="s">
        <v>185</v>
      </c>
      <c r="C88" s="76">
        <f>DCF!C9*Exchange_Rate</f>
        <v>749715.90599999996</v>
      </c>
      <c r="D88" s="223">
        <f>C88*scaling_factor/Common_Shares</f>
        <v>1.6956700828442901</v>
      </c>
      <c r="E88" s="240" t="str">
        <f>Market_currency</f>
        <v>CNY</v>
      </c>
    </row>
    <row r="89" spans="2:8" ht="15" customHeight="1">
      <c r="B89" s="80" t="s">
        <v>286</v>
      </c>
      <c r="C89" s="180">
        <f>SUM(C86:C88)</f>
        <v>1058819.9043836563</v>
      </c>
      <c r="D89" s="242">
        <f>SUM(D86:D88)</f>
        <v>2.3947861057964777</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v>
      </c>
      <c r="D3" s="9"/>
      <c r="E3" s="268"/>
      <c r="F3" s="9"/>
      <c r="G3" s="9"/>
    </row>
    <row r="4" spans="1:17" ht="15.75" customHeight="1">
      <c r="A4" s="10"/>
      <c r="B4" s="26" t="s">
        <v>0</v>
      </c>
      <c r="C4" s="327">
        <f>AVERAGE(G4:J4)</f>
        <v>2746507.5724999998</v>
      </c>
      <c r="D4" s="57"/>
      <c r="E4" s="266"/>
      <c r="F4" s="57"/>
      <c r="G4" s="333">
        <f>Data!C36</f>
        <v>2995441.59</v>
      </c>
      <c r="H4" s="333">
        <f>Data!D36</f>
        <v>3075203.75</v>
      </c>
      <c r="I4" s="333">
        <f>Data!E36</f>
        <v>2935836.83</v>
      </c>
      <c r="J4" s="333">
        <f>Data!F36</f>
        <v>1979548.12</v>
      </c>
      <c r="K4" s="333">
        <f>Data!G36</f>
        <v>1786257.6311000001</v>
      </c>
      <c r="L4" s="333">
        <f>Data!H36</f>
        <v>1471039.433</v>
      </c>
      <c r="M4" s="333">
        <f>Data!I36</f>
        <v>1105212.1177999999</v>
      </c>
      <c r="N4" s="333">
        <f>Data!J36</f>
        <v>1025253.7178</v>
      </c>
      <c r="O4" s="333">
        <f>Data!K36</f>
        <v>1199168.3252999999</v>
      </c>
      <c r="P4" s="333">
        <f>Data!L36</f>
        <v>1620150.6739000001</v>
      </c>
      <c r="Q4" s="333" t="str">
        <f>Data!M36</f>
        <v/>
      </c>
    </row>
    <row r="5" spans="1:17" ht="15.75" customHeight="1">
      <c r="A5" s="10"/>
      <c r="B5" s="2" t="s">
        <v>44</v>
      </c>
      <c r="C5" s="328">
        <f>C25</f>
        <v>-2469772.890416123</v>
      </c>
      <c r="E5" s="268"/>
      <c r="G5" s="333">
        <f t="shared" ref="G5:Q5" si="1">G25</f>
        <v>-2644876.25</v>
      </c>
      <c r="H5" s="333">
        <f t="shared" si="1"/>
        <v>-2760901.79</v>
      </c>
      <c r="I5" s="333">
        <f t="shared" si="1"/>
        <v>-2691213.55</v>
      </c>
      <c r="J5" s="333">
        <f t="shared" si="1"/>
        <v>-1780655.71</v>
      </c>
      <c r="K5" s="333">
        <f t="shared" si="1"/>
        <v>-1619200.9172</v>
      </c>
      <c r="L5" s="333">
        <f t="shared" si="1"/>
        <v>-1303161.4711999998</v>
      </c>
      <c r="M5" s="333">
        <f t="shared" si="1"/>
        <v>-1013926.9201</v>
      </c>
      <c r="N5" s="333">
        <f t="shared" si="1"/>
        <v>-822581.77159999998</v>
      </c>
      <c r="O5" s="333">
        <f t="shared" si="1"/>
        <v>-1019631.3955</v>
      </c>
      <c r="P5" s="333">
        <f t="shared" si="1"/>
        <v>-1145957.7850000001</v>
      </c>
      <c r="Q5" s="333" t="str">
        <f t="shared" si="1"/>
        <v/>
      </c>
    </row>
    <row r="6" spans="1:17" ht="15.75" customHeight="1">
      <c r="A6" s="10"/>
      <c r="B6" s="31" t="s">
        <v>46</v>
      </c>
      <c r="C6" s="329">
        <f>C4+C5</f>
        <v>276734.6820838768</v>
      </c>
      <c r="E6" s="268"/>
      <c r="G6" s="329">
        <f>IF(G4="","",G4+G5)</f>
        <v>350565.33999999985</v>
      </c>
      <c r="H6" s="329">
        <f t="shared" ref="H6:Q6" si="2">IF(H4="","",H4+H5)</f>
        <v>314301.95999999996</v>
      </c>
      <c r="I6" s="329">
        <f t="shared" si="2"/>
        <v>244623.28000000026</v>
      </c>
      <c r="J6" s="329">
        <f t="shared" si="2"/>
        <v>198892.41000000015</v>
      </c>
      <c r="K6" s="329">
        <f t="shared" si="2"/>
        <v>167056.71390000009</v>
      </c>
      <c r="L6" s="329">
        <f t="shared" si="2"/>
        <v>167877.96180000016</v>
      </c>
      <c r="M6" s="329">
        <f t="shared" si="2"/>
        <v>91285.197699999902</v>
      </c>
      <c r="N6" s="329">
        <f t="shared" si="2"/>
        <v>202671.94620000001</v>
      </c>
      <c r="O6" s="329">
        <f t="shared" si="2"/>
        <v>179536.92979999993</v>
      </c>
      <c r="P6" s="329">
        <f t="shared" si="2"/>
        <v>474192.8888999999</v>
      </c>
      <c r="Q6" s="329" t="str">
        <f t="shared" si="2"/>
        <v/>
      </c>
    </row>
    <row r="7" spans="1:17" ht="15.75" customHeight="1">
      <c r="A7" s="10"/>
      <c r="B7" s="8" t="s">
        <v>43</v>
      </c>
      <c r="C7" s="328">
        <f>C35</f>
        <v>-140737.25750000001</v>
      </c>
      <c r="E7" s="268"/>
      <c r="G7" s="328">
        <f t="shared" ref="G7:Q7" si="3">G35</f>
        <v>-158793.45000000001</v>
      </c>
      <c r="H7" s="328">
        <f t="shared" si="3"/>
        <v>-150890.82</v>
      </c>
      <c r="I7" s="328">
        <f t="shared" si="3"/>
        <v>-136403.49</v>
      </c>
      <c r="J7" s="328">
        <f t="shared" si="3"/>
        <v>-116861.26999999999</v>
      </c>
      <c r="K7" s="328">
        <f t="shared" si="3"/>
        <v>-121519.0295</v>
      </c>
      <c r="L7" s="328">
        <f t="shared" si="3"/>
        <v>-111347.96189999999</v>
      </c>
      <c r="M7" s="328">
        <f t="shared" si="3"/>
        <v>-96282.229200000002</v>
      </c>
      <c r="N7" s="328">
        <f t="shared" si="3"/>
        <v>-87870.649000000005</v>
      </c>
      <c r="O7" s="328">
        <f t="shared" si="3"/>
        <v>-94966.004300000001</v>
      </c>
      <c r="P7" s="328">
        <f t="shared" si="3"/>
        <v>-121167.2705</v>
      </c>
      <c r="Q7" s="328" t="str">
        <f t="shared" si="3"/>
        <v/>
      </c>
    </row>
    <row r="8" spans="1:17" ht="15.75" customHeight="1">
      <c r="A8" s="10"/>
      <c r="B8" s="29" t="s">
        <v>148</v>
      </c>
      <c r="C8" s="330">
        <f>C6+C7</f>
        <v>135997.4245838768</v>
      </c>
      <c r="D8" s="59"/>
      <c r="E8" s="274"/>
      <c r="F8" s="59"/>
      <c r="G8" s="329">
        <f>IF(G$4="","",G6+G7)</f>
        <v>191771.88999999984</v>
      </c>
      <c r="H8" s="329">
        <f t="shared" ref="H8:Q8" si="4">IF(H$4="","",H6+H7)</f>
        <v>163411.13999999996</v>
      </c>
      <c r="I8" s="329">
        <f t="shared" si="4"/>
        <v>108219.79000000027</v>
      </c>
      <c r="J8" s="329">
        <f t="shared" si="4"/>
        <v>82031.140000000159</v>
      </c>
      <c r="K8" s="329">
        <f t="shared" si="4"/>
        <v>45537.684400000086</v>
      </c>
      <c r="L8" s="329">
        <f t="shared" si="4"/>
        <v>56529.99990000017</v>
      </c>
      <c r="M8" s="329">
        <f t="shared" si="4"/>
        <v>-4997.0315000000992</v>
      </c>
      <c r="N8" s="329">
        <f t="shared" si="4"/>
        <v>114801.2972</v>
      </c>
      <c r="O8" s="329">
        <f t="shared" si="4"/>
        <v>84570.925499999925</v>
      </c>
      <c r="P8" s="329">
        <f t="shared" si="4"/>
        <v>353025.61839999992</v>
      </c>
      <c r="Q8" s="329" t="str">
        <f t="shared" si="4"/>
        <v/>
      </c>
    </row>
    <row r="9" spans="1:17" ht="15.75" customHeight="1">
      <c r="A9" s="10"/>
      <c r="B9" s="2" t="s">
        <v>63</v>
      </c>
      <c r="C9" s="328">
        <f>BS!$G$39*BS!D58</f>
        <v>154945.9</v>
      </c>
      <c r="E9" s="268"/>
      <c r="G9" s="328">
        <f>IF(Data!C61="","",-Data!C61)</f>
        <v>154945.9</v>
      </c>
      <c r="H9" s="328">
        <f>IF(Data!D61="","",-Data!D61)</f>
        <v>143078.04</v>
      </c>
      <c r="I9" s="328">
        <f>IF(Data!E61="","",-Data!E61)</f>
        <v>115739.41</v>
      </c>
      <c r="J9" s="328">
        <f>IF(Data!F61="","",-Data!F61)</f>
        <v>108539.45</v>
      </c>
      <c r="K9" s="328">
        <f>IF(Data!G61="","",-Data!G61)</f>
        <v>99339.8367</v>
      </c>
      <c r="L9" s="328">
        <f>IF(Data!H61="","",-Data!H61)</f>
        <v>102341.4463</v>
      </c>
      <c r="M9" s="328">
        <f>IF(Data!I61="","",-Data!I61)</f>
        <v>102108.7965</v>
      </c>
      <c r="N9" s="328">
        <f>IF(Data!J61="","",-Data!J61)</f>
        <v>0</v>
      </c>
      <c r="O9" s="328">
        <f>IF(Data!K61="","",-Data!K61)</f>
        <v>0</v>
      </c>
      <c r="P9" s="328">
        <f>IF(Data!L61="","",-Data!L61)</f>
        <v>0</v>
      </c>
      <c r="Q9" s="328" t="str">
        <f>IF(Data!M61="","",-Data!M61)</f>
        <v/>
      </c>
    </row>
    <row r="10" spans="1:17" ht="15.75" customHeight="1">
      <c r="A10" s="10"/>
      <c r="B10" s="2" t="s">
        <v>78</v>
      </c>
      <c r="C10" s="328">
        <f>-C4*C78</f>
        <v>-154945.9</v>
      </c>
      <c r="E10" s="268"/>
      <c r="G10" s="328">
        <f>Data!C62</f>
        <v>-154945.9</v>
      </c>
      <c r="H10" s="328">
        <f>Data!D62</f>
        <v>-143078.04</v>
      </c>
      <c r="I10" s="328">
        <f>Data!E62</f>
        <v>-115739.41</v>
      </c>
      <c r="J10" s="328">
        <f>Data!F62</f>
        <v>-108539.45</v>
      </c>
      <c r="K10" s="328">
        <f>Data!G62</f>
        <v>-99339.8367</v>
      </c>
      <c r="L10" s="328">
        <f>Data!H62</f>
        <v>-102341.4463</v>
      </c>
      <c r="M10" s="328">
        <f>Data!I62</f>
        <v>-102108.7965</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2634.5367156970447</v>
      </c>
      <c r="E12" s="268"/>
      <c r="G12" s="328">
        <f>G50</f>
        <v>2634.5367156970447</v>
      </c>
      <c r="H12" s="328">
        <f t="shared" ref="H12:Q12" si="6">H50</f>
        <v>1090.2570333626497</v>
      </c>
      <c r="I12" s="328">
        <f t="shared" si="6"/>
        <v>-354.91850280927906</v>
      </c>
      <c r="J12" s="328">
        <f t="shared" si="6"/>
        <v>-1046.963236195535</v>
      </c>
      <c r="K12" s="328">
        <f t="shared" si="6"/>
        <v>55.677897589888687</v>
      </c>
      <c r="L12" s="328">
        <f t="shared" si="6"/>
        <v>573.06719497553672</v>
      </c>
      <c r="M12" s="328">
        <f t="shared" si="6"/>
        <v>1770.7517295712728</v>
      </c>
      <c r="N12" s="328">
        <f t="shared" si="6"/>
        <v>0</v>
      </c>
      <c r="O12" s="328">
        <f t="shared" si="6"/>
        <v>0</v>
      </c>
      <c r="P12" s="328">
        <f t="shared" si="6"/>
        <v>0</v>
      </c>
      <c r="Q12" s="328" t="str">
        <f t="shared" si="6"/>
        <v/>
      </c>
    </row>
    <row r="13" spans="1:17" ht="15.75" customHeight="1">
      <c r="A13" s="10"/>
      <c r="B13" s="70" t="s">
        <v>160</v>
      </c>
      <c r="C13" s="329">
        <f>SUM(C8:C12)</f>
        <v>138631.9612995738</v>
      </c>
      <c r="E13" s="268"/>
      <c r="G13" s="329">
        <f>IF(G$4="","",SUM(G8:G12))</f>
        <v>194406.42671569684</v>
      </c>
      <c r="H13" s="329">
        <f t="shared" ref="H13:Q13" si="7">IF(H$4="","",SUM(H8:H12))</f>
        <v>164501.39703336256</v>
      </c>
      <c r="I13" s="329">
        <f t="shared" si="7"/>
        <v>107864.87149719099</v>
      </c>
      <c r="J13" s="329">
        <f t="shared" si="7"/>
        <v>80984.176763804615</v>
      </c>
      <c r="K13" s="329">
        <f t="shared" si="7"/>
        <v>45593.362297589956</v>
      </c>
      <c r="L13" s="329">
        <f t="shared" si="7"/>
        <v>57103.067094975719</v>
      </c>
      <c r="M13" s="329">
        <f t="shared" si="7"/>
        <v>-3226.2797704288264</v>
      </c>
      <c r="N13" s="329">
        <f t="shared" si="7"/>
        <v>114801.2972</v>
      </c>
      <c r="O13" s="329">
        <f t="shared" si="7"/>
        <v>84570.925499999925</v>
      </c>
      <c r="P13" s="329">
        <f t="shared" si="7"/>
        <v>353025.61839999992</v>
      </c>
      <c r="Q13" s="329" t="str">
        <f t="shared" si="7"/>
        <v/>
      </c>
    </row>
    <row r="14" spans="1:17" ht="15.75" customHeight="1">
      <c r="A14" s="10"/>
      <c r="B14" s="2" t="s">
        <v>61</v>
      </c>
      <c r="C14" s="328">
        <f>-SUM(C8+C11,C12)*C43</f>
        <v>-34657.990324893457</v>
      </c>
      <c r="E14" s="268"/>
      <c r="G14" s="328">
        <f>Data!C46</f>
        <v>-49136.31</v>
      </c>
      <c r="H14" s="328">
        <f>Data!D46</f>
        <v>-28159.86</v>
      </c>
      <c r="I14" s="328">
        <f>Data!E46</f>
        <v>-31269.46</v>
      </c>
      <c r="J14" s="328">
        <f>Data!F46</f>
        <v>-20051.47</v>
      </c>
      <c r="K14" s="328">
        <f>Data!G46</f>
        <v>-17391.0854</v>
      </c>
      <c r="L14" s="328">
        <f>Data!H46</f>
        <v>-18009.5527</v>
      </c>
      <c r="M14" s="328">
        <f>Data!I46</f>
        <v>-4894.3321999999998</v>
      </c>
      <c r="N14" s="328">
        <f>Data!J46</f>
        <v>-13704.1828</v>
      </c>
      <c r="O14" s="328">
        <f>Data!K46</f>
        <v>-30445.290099999998</v>
      </c>
      <c r="P14" s="328">
        <f>Data!L46</f>
        <v>-60216.000999999997</v>
      </c>
      <c r="Q14" s="328" t="str">
        <f>Data!M46</f>
        <v/>
      </c>
    </row>
    <row r="15" spans="1:17" ht="15.75" customHeight="1">
      <c r="A15" s="10"/>
      <c r="B15" s="40" t="s">
        <v>239</v>
      </c>
      <c r="C15" s="328">
        <f>-C4*C83</f>
        <v>-2282.7677664801586</v>
      </c>
      <c r="D15" s="60"/>
      <c r="E15" s="275"/>
      <c r="F15" s="60"/>
      <c r="G15" s="333">
        <f>Data!C48</f>
        <v>-2489.67</v>
      </c>
      <c r="H15" s="333">
        <f>Data!D48</f>
        <v>-983.23</v>
      </c>
      <c r="I15" s="333">
        <f>Data!E48</f>
        <v>0</v>
      </c>
      <c r="J15" s="333">
        <f>Data!F48</f>
        <v>-219.4</v>
      </c>
      <c r="K15" s="333">
        <f>Data!G48</f>
        <v>-223.20849999999999</v>
      </c>
      <c r="L15" s="333">
        <f>Data!H48</f>
        <v>-71.949200000000005</v>
      </c>
      <c r="M15" s="333">
        <f>Data!I48</f>
        <v>-6.0865999999999998</v>
      </c>
      <c r="N15" s="333">
        <f>Data!J48</f>
        <v>0</v>
      </c>
      <c r="O15" s="333">
        <f>Data!K48</f>
        <v>0</v>
      </c>
      <c r="P15" s="333">
        <f>Data!L48</f>
        <v>-32.409500000000001</v>
      </c>
      <c r="Q15" s="333" t="str">
        <f>Data!M48</f>
        <v/>
      </c>
    </row>
    <row r="16" spans="1:17" ht="15.75" customHeight="1">
      <c r="A16" s="10"/>
      <c r="B16" s="41" t="s">
        <v>150</v>
      </c>
      <c r="C16" s="332">
        <f>SUM(C13:C15)</f>
        <v>101691.20320820018</v>
      </c>
      <c r="D16" s="61"/>
      <c r="E16" s="276"/>
      <c r="F16" s="61"/>
      <c r="G16" s="329">
        <f>IF(G$4="","",SUM(G13:G15))</f>
        <v>142780.44671569683</v>
      </c>
      <c r="H16" s="329">
        <f t="shared" ref="H16:Q16" si="8">IF(H$4="","",SUM(H13:H15))</f>
        <v>135358.30703336254</v>
      </c>
      <c r="I16" s="329">
        <f t="shared" si="8"/>
        <v>76595.411497191002</v>
      </c>
      <c r="J16" s="329">
        <f t="shared" si="8"/>
        <v>60713.306763804612</v>
      </c>
      <c r="K16" s="329">
        <f t="shared" si="8"/>
        <v>27979.068397589956</v>
      </c>
      <c r="L16" s="329">
        <f t="shared" si="8"/>
        <v>39021.565194975716</v>
      </c>
      <c r="M16" s="329">
        <f t="shared" si="8"/>
        <v>-8126.6985704288263</v>
      </c>
      <c r="N16" s="329">
        <f t="shared" si="8"/>
        <v>101097.11440000001</v>
      </c>
      <c r="O16" s="329">
        <f t="shared" si="8"/>
        <v>54125.635399999926</v>
      </c>
      <c r="P16" s="329">
        <f t="shared" si="8"/>
        <v>292777.20789999992</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101691.20320820018</v>
      </c>
      <c r="D19" s="27"/>
      <c r="E19" s="265"/>
      <c r="F19" s="27"/>
      <c r="G19" s="334">
        <f>IF(G$4="","",G16+G17)</f>
        <v>142780.44671569683</v>
      </c>
      <c r="H19" s="334">
        <f t="shared" ref="H19:Q19" si="9">IF(H$4="","",H16+H17)</f>
        <v>135358.30703336254</v>
      </c>
      <c r="I19" s="334">
        <f t="shared" si="9"/>
        <v>76595.411497191002</v>
      </c>
      <c r="J19" s="334">
        <f t="shared" si="9"/>
        <v>60713.306763804612</v>
      </c>
      <c r="K19" s="334">
        <f t="shared" si="9"/>
        <v>27979.068397589956</v>
      </c>
      <c r="L19" s="334">
        <f t="shared" si="9"/>
        <v>39021.565194975716</v>
      </c>
      <c r="M19" s="334">
        <f t="shared" si="9"/>
        <v>-8126.6985704288263</v>
      </c>
      <c r="N19" s="334">
        <f t="shared" si="9"/>
        <v>101097.11440000001</v>
      </c>
      <c r="O19" s="334">
        <f t="shared" si="9"/>
        <v>54125.635399999926</v>
      </c>
      <c r="P19" s="334">
        <f t="shared" si="9"/>
        <v>292777.20789999992</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-2467332.0764988102</v>
      </c>
      <c r="D23" s="58"/>
      <c r="E23" s="267"/>
      <c r="F23" s="58"/>
      <c r="G23" s="333">
        <f>Data!C37</f>
        <v>-2641432.41</v>
      </c>
      <c r="H23" s="333">
        <f>Data!D37</f>
        <v>-2758839.14</v>
      </c>
      <c r="I23" s="333">
        <f>Data!E37</f>
        <v>-2689414.23</v>
      </c>
      <c r="J23" s="333">
        <f>Data!F37</f>
        <v>-1778435.69</v>
      </c>
      <c r="K23" s="333">
        <f>Data!G37</f>
        <v>-1616645.7855</v>
      </c>
      <c r="L23" s="333">
        <f>Data!H37</f>
        <v>-1299577.5874999999</v>
      </c>
      <c r="M23" s="333">
        <f>Data!I37</f>
        <v>-1012363.7751</v>
      </c>
      <c r="N23" s="333">
        <f>Data!J37</f>
        <v>-821183.37919999997</v>
      </c>
      <c r="O23" s="333">
        <f>Data!K37</f>
        <v>-1018326.6461</v>
      </c>
      <c r="P23" s="333">
        <f>Data!L37</f>
        <v>-1144690.3533000001</v>
      </c>
      <c r="Q23" s="333" t="str">
        <f>Data!M37</f>
        <v/>
      </c>
    </row>
    <row r="24" spans="1:17" ht="15.75" customHeight="1">
      <c r="A24" s="10"/>
      <c r="B24" s="68" t="s">
        <v>60</v>
      </c>
      <c r="C24" s="328">
        <f>-C4*C29</f>
        <v>-2440.8139173125619</v>
      </c>
      <c r="D24" s="27"/>
      <c r="E24" s="265"/>
      <c r="F24" s="27"/>
      <c r="G24" s="333">
        <f>Data!C40</f>
        <v>-3443.84</v>
      </c>
      <c r="H24" s="333">
        <f>Data!D40</f>
        <v>-2062.65</v>
      </c>
      <c r="I24" s="333">
        <f>Data!E40</f>
        <v>-1799.32</v>
      </c>
      <c r="J24" s="333">
        <f>Data!F40</f>
        <v>-2220.02</v>
      </c>
      <c r="K24" s="333">
        <f>Data!G40</f>
        <v>-2555.1316999999999</v>
      </c>
      <c r="L24" s="333">
        <f>Data!H40</f>
        <v>-3583.8836999999999</v>
      </c>
      <c r="M24" s="333">
        <f>Data!I40</f>
        <v>-1563.145</v>
      </c>
      <c r="N24" s="333">
        <f>Data!J40</f>
        <v>-1398.3924</v>
      </c>
      <c r="O24" s="333">
        <f>Data!K40</f>
        <v>-1304.7493999999999</v>
      </c>
      <c r="P24" s="333">
        <f>Data!L40</f>
        <v>-1267.4317000000001</v>
      </c>
      <c r="Q24" s="333" t="str">
        <f>Data!M40</f>
        <v/>
      </c>
    </row>
    <row r="25" spans="1:17" ht="15.75" customHeight="1">
      <c r="A25" s="10"/>
      <c r="B25" s="70" t="s">
        <v>44</v>
      </c>
      <c r="C25" s="329">
        <f>C23+C24</f>
        <v>-2469772.890416123</v>
      </c>
      <c r="D25" s="9"/>
      <c r="E25" s="273"/>
      <c r="F25" s="9"/>
      <c r="G25" s="329">
        <f t="shared" ref="G25:Q25" si="10">IF(G$4="","",G23+G24)</f>
        <v>-2644876.25</v>
      </c>
      <c r="H25" s="329">
        <f t="shared" si="10"/>
        <v>-2760901.79</v>
      </c>
      <c r="I25" s="329">
        <f t="shared" si="10"/>
        <v>-2691213.55</v>
      </c>
      <c r="J25" s="329">
        <f t="shared" si="10"/>
        <v>-1780655.71</v>
      </c>
      <c r="K25" s="329">
        <f t="shared" si="10"/>
        <v>-1619200.9172</v>
      </c>
      <c r="L25" s="329">
        <f t="shared" si="10"/>
        <v>-1303161.4711999998</v>
      </c>
      <c r="M25" s="329">
        <f t="shared" si="10"/>
        <v>-1013926.9201</v>
      </c>
      <c r="N25" s="329">
        <f t="shared" si="10"/>
        <v>-822581.77159999998</v>
      </c>
      <c r="O25" s="329">
        <f t="shared" si="10"/>
        <v>-1019631.3955</v>
      </c>
      <c r="P25" s="329">
        <f t="shared" si="10"/>
        <v>-1145957.7850000001</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0.89835254823380262</v>
      </c>
      <c r="D28" s="26"/>
      <c r="E28" s="266" t="s">
        <v>324</v>
      </c>
      <c r="F28" s="26"/>
      <c r="G28" s="13">
        <f t="shared" ref="G28:Q28" si="11">IF(G$4="","",ABS(G23/G$4))</f>
        <v>0.88181736503164476</v>
      </c>
      <c r="H28" s="13">
        <f t="shared" si="11"/>
        <v>0.89712401657938934</v>
      </c>
      <c r="I28" s="13">
        <f t="shared" si="11"/>
        <v>0.91606393193180291</v>
      </c>
      <c r="J28" s="13">
        <f t="shared" si="11"/>
        <v>0.89840487939237357</v>
      </c>
      <c r="K28" s="13">
        <f t="shared" si="11"/>
        <v>0.90504625836332975</v>
      </c>
      <c r="L28" s="13">
        <f t="shared" si="11"/>
        <v>0.88344170682744705</v>
      </c>
      <c r="M28" s="13">
        <f t="shared" si="11"/>
        <v>0.91599047711780357</v>
      </c>
      <c r="N28" s="13">
        <f t="shared" si="11"/>
        <v>0.80095625594228881</v>
      </c>
      <c r="O28" s="13">
        <f t="shared" si="11"/>
        <v>0.84919408277836383</v>
      </c>
      <c r="P28" s="13">
        <f t="shared" si="11"/>
        <v>0.70653326986219145</v>
      </c>
      <c r="Q28" s="13" t="str">
        <f t="shared" si="11"/>
        <v/>
      </c>
    </row>
    <row r="29" spans="1:17" ht="15.75" customHeight="1">
      <c r="A29" s="10"/>
      <c r="B29" s="68" t="str">
        <f>B24</f>
        <v>Selling Expenses</v>
      </c>
      <c r="C29" s="63">
        <f>AVERAGE(G29:J29)</f>
        <v>8.8869731937087602E-4</v>
      </c>
      <c r="D29" s="26"/>
      <c r="E29" s="266" t="s">
        <v>324</v>
      </c>
      <c r="F29" s="26"/>
      <c r="G29" s="13">
        <f t="shared" ref="G29:Q29" si="12">IF(G$4="","",ABS(G24/G$4))</f>
        <v>1.1496935915882773E-3</v>
      </c>
      <c r="H29" s="13">
        <f t="shared" si="12"/>
        <v>6.7073604472549177E-4</v>
      </c>
      <c r="I29" s="13">
        <f t="shared" si="12"/>
        <v>6.1288147270773213E-4</v>
      </c>
      <c r="J29" s="13">
        <f t="shared" si="12"/>
        <v>1.1214781684620023E-3</v>
      </c>
      <c r="K29" s="13">
        <f t="shared" si="12"/>
        <v>1.4304385075889178E-3</v>
      </c>
      <c r="L29" s="13">
        <f t="shared" si="12"/>
        <v>2.4362934259968272E-3</v>
      </c>
      <c r="M29" s="13">
        <f t="shared" si="12"/>
        <v>1.4143393605849587E-3</v>
      </c>
      <c r="N29" s="13">
        <f t="shared" si="12"/>
        <v>1.3639476509294546E-3</v>
      </c>
      <c r="O29" s="13">
        <f t="shared" si="12"/>
        <v>1.088045249755564E-3</v>
      </c>
      <c r="P29" s="13">
        <f t="shared" si="12"/>
        <v>7.8229248700002654E-4</v>
      </c>
      <c r="Q29" s="13" t="str">
        <f t="shared" si="12"/>
        <v/>
      </c>
    </row>
    <row r="30" spans="1:17" ht="15.75" customHeight="1">
      <c r="A30" s="10"/>
      <c r="B30" s="70" t="s">
        <v>44</v>
      </c>
      <c r="C30" s="71">
        <f>ABS(C25/$C$4)</f>
        <v>0.89924124555317353</v>
      </c>
      <c r="E30" s="268"/>
      <c r="G30" s="30">
        <f t="shared" ref="G30:Q30" si="13">IF(G$4="","",ABS(G25/G$4))</f>
        <v>0.88296705862323299</v>
      </c>
      <c r="H30" s="30">
        <f t="shared" si="13"/>
        <v>0.89779475262411479</v>
      </c>
      <c r="I30" s="30">
        <f t="shared" si="13"/>
        <v>0.91667681340451057</v>
      </c>
      <c r="J30" s="30">
        <f t="shared" si="13"/>
        <v>0.89952635756083554</v>
      </c>
      <c r="K30" s="30">
        <f t="shared" si="13"/>
        <v>0.9064766968709187</v>
      </c>
      <c r="L30" s="30">
        <f t="shared" si="13"/>
        <v>0.88587800025344376</v>
      </c>
      <c r="M30" s="30">
        <f t="shared" si="13"/>
        <v>0.91740481647838845</v>
      </c>
      <c r="N30" s="30">
        <f t="shared" si="13"/>
        <v>0.80232020359321832</v>
      </c>
      <c r="O30" s="30">
        <f t="shared" si="13"/>
        <v>0.85028212802811931</v>
      </c>
      <c r="P30" s="30">
        <f t="shared" si="13"/>
        <v>0.70731556234919157</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-29127.89</v>
      </c>
      <c r="E33" s="266" t="s">
        <v>324</v>
      </c>
      <c r="G33" s="328">
        <f>Data!C41</f>
        <v>-36059.72</v>
      </c>
      <c r="H33" s="328">
        <f>Data!D41</f>
        <v>-32262.479999999996</v>
      </c>
      <c r="I33" s="328">
        <f>Data!E41</f>
        <v>-24209.96</v>
      </c>
      <c r="J33" s="328">
        <f>Data!F41</f>
        <v>-23979.399999999998</v>
      </c>
      <c r="K33" s="328">
        <f>Data!G41</f>
        <v>-23248.107600000003</v>
      </c>
      <c r="L33" s="328">
        <f>Data!H41</f>
        <v>-23912.865700000002</v>
      </c>
      <c r="M33" s="328">
        <f>Data!I41</f>
        <v>-29332.42</v>
      </c>
      <c r="N33" s="328">
        <f>Data!J41</f>
        <v>-87870.649000000005</v>
      </c>
      <c r="O33" s="328">
        <f>Data!K41</f>
        <v>-94966.004300000001</v>
      </c>
      <c r="P33" s="328">
        <f>Data!L41</f>
        <v>-121167.2705</v>
      </c>
      <c r="Q33" s="328" t="str">
        <f>Data!M41</f>
        <v/>
      </c>
    </row>
    <row r="34" spans="1:17" ht="15.75" customHeight="1">
      <c r="A34" s="10"/>
      <c r="B34" s="27" t="s">
        <v>47</v>
      </c>
      <c r="C34" s="340">
        <f>AVERAGE(G34:J34)</f>
        <v>-111609.36749999999</v>
      </c>
      <c r="D34" s="58"/>
      <c r="E34" s="266" t="s">
        <v>324</v>
      </c>
      <c r="F34" s="58"/>
      <c r="G34" s="333">
        <f>Data!C42</f>
        <v>-122733.73</v>
      </c>
      <c r="H34" s="333">
        <f>Data!D42</f>
        <v>-118628.34</v>
      </c>
      <c r="I34" s="333">
        <f>Data!E42</f>
        <v>-112193.53</v>
      </c>
      <c r="J34" s="333">
        <f>Data!F42</f>
        <v>-92881.87</v>
      </c>
      <c r="K34" s="333">
        <f>Data!G42</f>
        <v>-98270.921900000001</v>
      </c>
      <c r="L34" s="333">
        <f>Data!H42</f>
        <v>-87435.0962</v>
      </c>
      <c r="M34" s="333">
        <f>Data!I42</f>
        <v>-66949.809200000003</v>
      </c>
      <c r="N34" s="333">
        <f>Data!J42</f>
        <v>0</v>
      </c>
      <c r="O34" s="333">
        <f>Data!K42</f>
        <v>0</v>
      </c>
      <c r="P34" s="333">
        <f>Data!L42</f>
        <v>0</v>
      </c>
      <c r="Q34" s="333" t="str">
        <f>Data!M42</f>
        <v/>
      </c>
    </row>
    <row r="35" spans="1:17" ht="15.75" customHeight="1">
      <c r="A35" s="10"/>
      <c r="B35" s="70" t="s">
        <v>43</v>
      </c>
      <c r="C35" s="329">
        <f>C33+C34</f>
        <v>-140737.25750000001</v>
      </c>
      <c r="D35" s="58"/>
      <c r="E35" s="267"/>
      <c r="F35" s="58"/>
      <c r="G35" s="329">
        <f t="shared" ref="G35:Q35" si="14">IF(G4="","",G33+G34)</f>
        <v>-158793.45000000001</v>
      </c>
      <c r="H35" s="329">
        <f t="shared" si="14"/>
        <v>-150890.82</v>
      </c>
      <c r="I35" s="329">
        <f t="shared" si="14"/>
        <v>-136403.49</v>
      </c>
      <c r="J35" s="329">
        <f t="shared" si="14"/>
        <v>-116861.26999999999</v>
      </c>
      <c r="K35" s="329">
        <f t="shared" si="14"/>
        <v>-121519.0295</v>
      </c>
      <c r="L35" s="329">
        <f t="shared" si="14"/>
        <v>-111347.96189999999</v>
      </c>
      <c r="M35" s="329">
        <f t="shared" si="14"/>
        <v>-96282.229200000002</v>
      </c>
      <c r="N35" s="329">
        <f t="shared" si="14"/>
        <v>-87870.649000000005</v>
      </c>
      <c r="O35" s="329">
        <f t="shared" si="14"/>
        <v>-94966.004300000001</v>
      </c>
      <c r="P35" s="329">
        <f t="shared" si="14"/>
        <v>-121167.2705</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1.060542861474306E-2</v>
      </c>
      <c r="D38" s="27"/>
      <c r="E38" s="265"/>
      <c r="F38" s="27"/>
      <c r="G38" s="13">
        <f t="shared" ref="G38:Q38" si="15">IF(G$4="","",ABS(G33/G$4))</f>
        <v>1.2038198347910367E-2</v>
      </c>
      <c r="H38" s="13">
        <f t="shared" si="15"/>
        <v>1.0491168268118819E-2</v>
      </c>
      <c r="I38" s="13">
        <f t="shared" si="15"/>
        <v>8.2463574789338676E-3</v>
      </c>
      <c r="J38" s="13">
        <f t="shared" si="15"/>
        <v>1.2113572667281256E-2</v>
      </c>
      <c r="K38" s="13">
        <f t="shared" si="15"/>
        <v>1.3014980143532556E-2</v>
      </c>
      <c r="L38" s="13">
        <f t="shared" si="15"/>
        <v>1.6255761173738708E-2</v>
      </c>
      <c r="M38" s="13">
        <f t="shared" si="15"/>
        <v>2.654008178845178E-2</v>
      </c>
      <c r="N38" s="13">
        <f t="shared" si="15"/>
        <v>8.570624760918083E-2</v>
      </c>
      <c r="O38" s="13">
        <f t="shared" si="15"/>
        <v>7.9193222749810402E-2</v>
      </c>
      <c r="P38" s="13">
        <f t="shared" si="15"/>
        <v>7.4787655526092608E-2</v>
      </c>
      <c r="Q38" s="13" t="str">
        <f t="shared" si="15"/>
        <v/>
      </c>
    </row>
    <row r="39" spans="1:17" ht="15.75" customHeight="1">
      <c r="A39" s="10"/>
      <c r="B39" s="27" t="str">
        <f>B34</f>
        <v>R&amp;D</v>
      </c>
      <c r="C39" s="23">
        <f>ABS(C34/$C$4)</f>
        <v>4.0636832251078746E-2</v>
      </c>
      <c r="D39" s="27"/>
      <c r="E39" s="265"/>
      <c r="F39" s="27"/>
      <c r="G39" s="13">
        <f t="shared" ref="G39:Q39" si="16">IF(G$4="","",ABS(G34/G$4))</f>
        <v>4.0973501339413534E-2</v>
      </c>
      <c r="H39" s="13">
        <f t="shared" si="16"/>
        <v>3.8575765914697524E-2</v>
      </c>
      <c r="I39" s="13">
        <f t="shared" si="16"/>
        <v>3.8215179009114073E-2</v>
      </c>
      <c r="J39" s="13">
        <f t="shared" si="16"/>
        <v>4.6920743709933148E-2</v>
      </c>
      <c r="K39" s="13">
        <f t="shared" si="16"/>
        <v>5.5014976669117727E-2</v>
      </c>
      <c r="L39" s="13">
        <f t="shared" si="16"/>
        <v>5.9437629093114869E-2</v>
      </c>
      <c r="M39" s="13">
        <f t="shared" si="16"/>
        <v>6.0576434262472771E-2</v>
      </c>
      <c r="N39" s="13">
        <f t="shared" si="16"/>
        <v>0</v>
      </c>
      <c r="O39" s="13">
        <f t="shared" si="16"/>
        <v>0</v>
      </c>
      <c r="P39" s="13">
        <f t="shared" si="16"/>
        <v>0</v>
      </c>
      <c r="Q39" s="13" t="str">
        <f t="shared" si="16"/>
        <v/>
      </c>
    </row>
    <row r="40" spans="1:17" ht="15.75" customHeight="1">
      <c r="A40" s="10"/>
      <c r="B40" s="70" t="s">
        <v>43</v>
      </c>
      <c r="C40" s="71">
        <f>ABS(C35/$C$4)</f>
        <v>5.1242260865821815E-2</v>
      </c>
      <c r="E40" s="268"/>
      <c r="G40" s="30">
        <f t="shared" ref="G40:Q40" si="17">IF(G$4="","",ABS(G35/G$4))</f>
        <v>5.3011699687323902E-2</v>
      </c>
      <c r="H40" s="30">
        <f t="shared" si="17"/>
        <v>4.9066934182816345E-2</v>
      </c>
      <c r="I40" s="30">
        <f t="shared" si="17"/>
        <v>4.646153648804794E-2</v>
      </c>
      <c r="J40" s="30">
        <f t="shared" si="17"/>
        <v>5.9034316377214402E-2</v>
      </c>
      <c r="K40" s="30">
        <f t="shared" si="17"/>
        <v>6.8029956812650283E-2</v>
      </c>
      <c r="L40" s="30">
        <f t="shared" si="17"/>
        <v>7.5693390266853566E-2</v>
      </c>
      <c r="M40" s="30">
        <f t="shared" si="17"/>
        <v>8.7116516050924547E-2</v>
      </c>
      <c r="N40" s="30">
        <f t="shared" si="17"/>
        <v>8.570624760918083E-2</v>
      </c>
      <c r="O40" s="30">
        <f t="shared" si="17"/>
        <v>7.9193222749810402E-2</v>
      </c>
      <c r="P40" s="30">
        <f t="shared" si="17"/>
        <v>7.4787655526092608E-2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0.25275044055954865</v>
      </c>
      <c r="H43" s="6">
        <f t="shared" si="18"/>
        <v>0.17118310548018562</v>
      </c>
      <c r="I43" s="6">
        <f t="shared" si="18"/>
        <v>0.28989475040365031</v>
      </c>
      <c r="J43" s="6">
        <f t="shared" si="18"/>
        <v>0.24759738014601737</v>
      </c>
      <c r="K43" s="6">
        <f t="shared" si="18"/>
        <v>0.3814389754036473</v>
      </c>
      <c r="L43" s="6">
        <f t="shared" si="18"/>
        <v>0.31538678421679028</v>
      </c>
      <c r="M43" s="6">
        <f t="shared" si="18"/>
        <v>-1.5170203913684341</v>
      </c>
      <c r="N43" s="6">
        <f t="shared" si="18"/>
        <v>0.11937306576009665</v>
      </c>
      <c r="O43" s="6">
        <f t="shared" si="18"/>
        <v>0.35999712572614601</v>
      </c>
      <c r="P43" s="6">
        <f t="shared" si="18"/>
        <v>0.17057119331144838</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-1984.19</v>
      </c>
      <c r="E47" s="268"/>
      <c r="G47" s="328">
        <f>Data!C51</f>
        <v>-1984.19</v>
      </c>
      <c r="H47" s="328">
        <f>Data!D51</f>
        <v>-1109.03</v>
      </c>
      <c r="I47" s="328">
        <f>Data!E51</f>
        <v>-1176.71</v>
      </c>
      <c r="J47" s="328">
        <f>Data!F51</f>
        <v>-1802.32</v>
      </c>
      <c r="K47" s="328">
        <f>Data!G51</f>
        <v>-493.37110000000001</v>
      </c>
      <c r="L47" s="328">
        <f>Data!H51</f>
        <v>-97.840299999999999</v>
      </c>
      <c r="M47" s="328">
        <f>Data!I51</f>
        <v>-87.729200000000006</v>
      </c>
      <c r="N47" s="328">
        <f>Data!J51</f>
        <v>0</v>
      </c>
      <c r="O47" s="328">
        <f>Data!K51</f>
        <v>0</v>
      </c>
      <c r="P47" s="328">
        <f>Data!L51</f>
        <v>0</v>
      </c>
      <c r="Q47" s="328" t="str">
        <f>Data!M51</f>
        <v/>
      </c>
    </row>
    <row r="48" spans="1:17" ht="15.75" customHeight="1">
      <c r="A48" s="10"/>
      <c r="B48" s="2" t="s">
        <v>336</v>
      </c>
      <c r="C48" s="328">
        <f>BS!D75*C53</f>
        <v>4618.7267156970447</v>
      </c>
      <c r="E48" s="268"/>
      <c r="G48" s="337">
        <f>IFERROR(IF(G$4="","",($C$48/$C$49)*G49),0)</f>
        <v>4618.7267156970447</v>
      </c>
      <c r="H48" s="337">
        <f t="shared" ref="H48:Q48" si="19">IFERROR(IF(H$4="","",($C$48/$C$49)*H49),0)</f>
        <v>2199.2870333626497</v>
      </c>
      <c r="I48" s="337">
        <f t="shared" si="19"/>
        <v>821.79149719072097</v>
      </c>
      <c r="J48" s="337">
        <f t="shared" si="19"/>
        <v>755.35676380446489</v>
      </c>
      <c r="K48" s="337">
        <f t="shared" si="19"/>
        <v>549.0489975898887</v>
      </c>
      <c r="L48" s="337">
        <f t="shared" si="19"/>
        <v>670.90749497553668</v>
      </c>
      <c r="M48" s="337">
        <f t="shared" si="19"/>
        <v>1858.4809295712728</v>
      </c>
      <c r="N48" s="337">
        <f t="shared" si="19"/>
        <v>0</v>
      </c>
      <c r="O48" s="337">
        <f t="shared" si="19"/>
        <v>0</v>
      </c>
      <c r="P48" s="337">
        <f t="shared" si="19"/>
        <v>0</v>
      </c>
      <c r="Q48" s="337" t="str">
        <f t="shared" si="19"/>
        <v/>
      </c>
    </row>
    <row r="49" spans="1:17" ht="15.75" customHeight="1">
      <c r="A49" s="10"/>
      <c r="B49" s="287" t="s">
        <v>333</v>
      </c>
      <c r="C49" s="342">
        <f>BS!$C$66*C53</f>
        <v>12457.09</v>
      </c>
      <c r="D49" s="288"/>
      <c r="E49" s="289"/>
      <c r="F49" s="288"/>
      <c r="G49" s="342">
        <f>Data!C52</f>
        <v>12457.09</v>
      </c>
      <c r="H49" s="342">
        <f>Data!D52</f>
        <v>5931.66</v>
      </c>
      <c r="I49" s="342">
        <f>Data!E52</f>
        <v>2216.44</v>
      </c>
      <c r="J49" s="342">
        <f>Data!F52</f>
        <v>2037.26</v>
      </c>
      <c r="K49" s="342">
        <f>Data!G52</f>
        <v>1480.8308</v>
      </c>
      <c r="L49" s="342">
        <f>Data!H52</f>
        <v>1809.4933000000001</v>
      </c>
      <c r="M49" s="342">
        <f>Data!I52</f>
        <v>5012.4776000000002</v>
      </c>
      <c r="N49" s="342">
        <f>Data!J52</f>
        <v>0</v>
      </c>
      <c r="O49" s="342">
        <f>Data!K52</f>
        <v>0</v>
      </c>
      <c r="P49" s="342">
        <f>Data!L52</f>
        <v>0</v>
      </c>
      <c r="Q49" s="342" t="str">
        <f>Data!M52</f>
        <v/>
      </c>
    </row>
    <row r="50" spans="1:17" ht="15.75" customHeight="1">
      <c r="A50" s="10"/>
      <c r="B50" s="70" t="s">
        <v>66</v>
      </c>
      <c r="C50" s="329">
        <f>C47+C48</f>
        <v>2634.5367156970447</v>
      </c>
      <c r="E50" s="268"/>
      <c r="G50" s="329">
        <f>IF(G$4="","",(G47+G48))</f>
        <v>2634.5367156970447</v>
      </c>
      <c r="H50" s="329">
        <f t="shared" ref="H50:Q50" si="20">IF(H$4="","",(H47+H48))</f>
        <v>1090.2570333626497</v>
      </c>
      <c r="I50" s="329">
        <f t="shared" si="20"/>
        <v>-354.91850280927906</v>
      </c>
      <c r="J50" s="329">
        <f t="shared" si="20"/>
        <v>-1046.963236195535</v>
      </c>
      <c r="K50" s="329">
        <f t="shared" si="20"/>
        <v>55.677897589888687</v>
      </c>
      <c r="L50" s="329">
        <f t="shared" si="20"/>
        <v>573.06719497553672</v>
      </c>
      <c r="M50" s="329">
        <f t="shared" si="20"/>
        <v>1770.7517295712728</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2.0532393857421991E-2</v>
      </c>
      <c r="E53" s="265" t="s">
        <v>326</v>
      </c>
      <c r="G53" s="6">
        <f>IF(Normalized_FCF!G4="","",Normalized_FCF!G49/BS!$C$66)</f>
        <v>2.0532393857421991E-2</v>
      </c>
      <c r="H53" s="169"/>
      <c r="I53" s="169"/>
      <c r="J53" s="169"/>
      <c r="K53" s="169"/>
      <c r="L53" s="169"/>
      <c r="M53" s="169"/>
      <c r="N53" s="169"/>
      <c r="O53" s="169"/>
      <c r="P53" s="169"/>
      <c r="Q53" s="169"/>
    </row>
    <row r="54" spans="1:17" ht="15.75" customHeight="1">
      <c r="A54" s="10"/>
      <c r="B54" s="8" t="s">
        <v>85</v>
      </c>
      <c r="C54" s="82">
        <f>G54</f>
        <v>2.731090181487239E-2</v>
      </c>
      <c r="E54" s="265" t="s">
        <v>327</v>
      </c>
      <c r="G54" s="23">
        <f>IFERROR(ABS(Normalized_FCF!G47/BS!$G$31),0)</f>
        <v>2.731090181487239E-2</v>
      </c>
      <c r="H54" s="169"/>
      <c r="I54" s="169"/>
      <c r="J54" s="169"/>
      <c r="K54" s="169"/>
      <c r="L54" s="169"/>
      <c r="M54" s="169"/>
      <c r="N54" s="169"/>
      <c r="O54" s="169"/>
      <c r="P54" s="169"/>
      <c r="Q54" s="169"/>
    </row>
    <row r="55" spans="1:17" ht="15.75" customHeight="1">
      <c r="A55" s="10"/>
      <c r="B55" s="26" t="s">
        <v>88</v>
      </c>
      <c r="C55" s="42">
        <f>-C8/C47</f>
        <v>68.540525143195353</v>
      </c>
      <c r="E55" s="268"/>
      <c r="G55" s="42">
        <f t="shared" ref="G55:Q55" si="21">IF(G4="","",-G8/G47)</f>
        <v>96.649962957176399</v>
      </c>
      <c r="H55" s="42">
        <f t="shared" si="21"/>
        <v>147.34600506749138</v>
      </c>
      <c r="I55" s="42">
        <f t="shared" si="21"/>
        <v>91.96810599043117</v>
      </c>
      <c r="J55" s="42">
        <f t="shared" si="21"/>
        <v>45.514192818145588</v>
      </c>
      <c r="K55" s="42">
        <f t="shared" si="21"/>
        <v>92.299051160475514</v>
      </c>
      <c r="L55" s="42">
        <f t="shared" si="21"/>
        <v>577.77827643619423</v>
      </c>
      <c r="M55" s="42">
        <f t="shared" si="21"/>
        <v>-56.95972948573678</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65520.850000000297</v>
      </c>
      <c r="H62" s="328">
        <f>Data!D58</f>
        <v>22959.950000000099</v>
      </c>
      <c r="I62" s="328">
        <f>Data!E58</f>
        <v>66978.919999999896</v>
      </c>
      <c r="J62" s="328">
        <f>Data!F58</f>
        <v>-25015.320000000189</v>
      </c>
      <c r="K62" s="328">
        <f>Data!G58</f>
        <v>7419.0687999998991</v>
      </c>
      <c r="L62" s="328">
        <f>Data!H58</f>
        <v>-37367.474800000055</v>
      </c>
      <c r="M62" s="328">
        <f>Data!I58</f>
        <v>12950.502700000085</v>
      </c>
      <c r="N62" s="328">
        <f>Data!J58</f>
        <v>-52133.898100000013</v>
      </c>
      <c r="O62" s="328">
        <f>Data!K58</f>
        <v>77165.503300000099</v>
      </c>
      <c r="P62" s="328">
        <f>Data!L58</f>
        <v>48217.352100000018</v>
      </c>
      <c r="Q62" s="328" t="str">
        <f>Data!M58</f>
        <v/>
      </c>
    </row>
    <row r="63" spans="1:17" ht="15.75" customHeight="1">
      <c r="A63" s="10"/>
      <c r="B63" s="31" t="s">
        <v>191</v>
      </c>
      <c r="C63" s="329">
        <f>C61+C62</f>
        <v>0</v>
      </c>
      <c r="E63" s="268"/>
      <c r="G63" s="329">
        <f t="shared" ref="G63:Q63" si="23">IF(G4="","",G61+G62)</f>
        <v>65520.850000000297</v>
      </c>
      <c r="H63" s="329">
        <f t="shared" si="23"/>
        <v>22959.950000000099</v>
      </c>
      <c r="I63" s="329">
        <f t="shared" si="23"/>
        <v>66978.919999999896</v>
      </c>
      <c r="J63" s="329">
        <f t="shared" si="23"/>
        <v>-25015.320000000189</v>
      </c>
      <c r="K63" s="329">
        <f t="shared" si="23"/>
        <v>7419.0687999998991</v>
      </c>
      <c r="L63" s="329">
        <f t="shared" si="23"/>
        <v>-37367.474800000055</v>
      </c>
      <c r="M63" s="329">
        <f t="shared" si="23"/>
        <v>12950.502700000085</v>
      </c>
      <c r="N63" s="329">
        <f t="shared" si="23"/>
        <v>-52133.898100000013</v>
      </c>
      <c r="O63" s="329">
        <f t="shared" si="23"/>
        <v>77165.503300000099</v>
      </c>
      <c r="P63" s="329">
        <f t="shared" si="23"/>
        <v>48217.352100000018</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0.89924124555317353</v>
      </c>
      <c r="D73" s="27"/>
      <c r="E73" s="265"/>
      <c r="F73" s="27"/>
      <c r="G73" s="6">
        <f t="shared" ref="G73:Q73" si="24">IF(G$4="","",ABS(G5/G$4))</f>
        <v>0.88296705862323299</v>
      </c>
      <c r="H73" s="6">
        <f t="shared" si="24"/>
        <v>0.89779475262411479</v>
      </c>
      <c r="I73" s="6">
        <f t="shared" si="24"/>
        <v>0.91667681340451057</v>
      </c>
      <c r="J73" s="6">
        <f t="shared" si="24"/>
        <v>0.89952635756083554</v>
      </c>
      <c r="K73" s="6">
        <f t="shared" si="24"/>
        <v>0.9064766968709187</v>
      </c>
      <c r="L73" s="6">
        <f t="shared" si="24"/>
        <v>0.88587800025344376</v>
      </c>
      <c r="M73" s="6">
        <f t="shared" si="24"/>
        <v>0.91740481647838845</v>
      </c>
      <c r="N73" s="6">
        <f t="shared" si="24"/>
        <v>0.80232020359321832</v>
      </c>
      <c r="O73" s="6">
        <f t="shared" si="24"/>
        <v>0.85028212802811931</v>
      </c>
      <c r="P73" s="6">
        <f t="shared" si="24"/>
        <v>0.70731556234919157</v>
      </c>
      <c r="Q73" s="6" t="str">
        <f t="shared" si="24"/>
        <v/>
      </c>
    </row>
    <row r="74" spans="1:17" ht="15.75" customHeight="1">
      <c r="A74" s="10"/>
      <c r="B74" s="31" t="s">
        <v>46</v>
      </c>
      <c r="C74" s="78">
        <f>ABS(C6/C$4)</f>
        <v>0.10075875444682643</v>
      </c>
      <c r="D74" s="27"/>
      <c r="E74" s="265"/>
      <c r="F74" s="27"/>
      <c r="G74" s="65">
        <f t="shared" ref="G74:Q74" si="25">IF(G$4="","",ABS(G6/G$4))</f>
        <v>0.11703294137676705</v>
      </c>
      <c r="H74" s="65">
        <f t="shared" si="25"/>
        <v>0.10220524737588524</v>
      </c>
      <c r="I74" s="65">
        <f t="shared" si="25"/>
        <v>8.3323186595489457E-2</v>
      </c>
      <c r="J74" s="65">
        <f t="shared" si="25"/>
        <v>0.10047364243916442</v>
      </c>
      <c r="K74" s="65">
        <f t="shared" si="25"/>
        <v>9.3523303129081359E-2</v>
      </c>
      <c r="L74" s="65">
        <f t="shared" si="25"/>
        <v>0.11412199974655619</v>
      </c>
      <c r="M74" s="65">
        <f t="shared" si="25"/>
        <v>8.2595183521611507E-2</v>
      </c>
      <c r="N74" s="65">
        <f t="shared" si="25"/>
        <v>0.19767979640678168</v>
      </c>
      <c r="O74" s="65">
        <f t="shared" si="25"/>
        <v>0.14971787197188066</v>
      </c>
      <c r="P74" s="65">
        <f t="shared" si="25"/>
        <v>0.29268443765080848</v>
      </c>
      <c r="Q74" s="65" t="str">
        <f t="shared" si="25"/>
        <v/>
      </c>
    </row>
    <row r="75" spans="1:17" ht="15.75" customHeight="1">
      <c r="A75" s="10"/>
      <c r="B75" s="8" t="s">
        <v>43</v>
      </c>
      <c r="C75" s="77">
        <f>ABS(C7/C$4)</f>
        <v>5.1242260865821815E-2</v>
      </c>
      <c r="D75" s="27"/>
      <c r="E75" s="265"/>
      <c r="F75" s="27"/>
      <c r="G75" s="6">
        <f t="shared" ref="G75:Q75" si="26">IF(G$4="","",ABS(G7/G$4))</f>
        <v>5.3011699687323902E-2</v>
      </c>
      <c r="H75" s="6">
        <f t="shared" si="26"/>
        <v>4.9066934182816345E-2</v>
      </c>
      <c r="I75" s="6">
        <f t="shared" si="26"/>
        <v>4.646153648804794E-2</v>
      </c>
      <c r="J75" s="6">
        <f t="shared" si="26"/>
        <v>5.9034316377214402E-2</v>
      </c>
      <c r="K75" s="6">
        <f t="shared" si="26"/>
        <v>6.8029956812650283E-2</v>
      </c>
      <c r="L75" s="6">
        <f t="shared" si="26"/>
        <v>7.5693390266853566E-2</v>
      </c>
      <c r="M75" s="6">
        <f t="shared" si="26"/>
        <v>8.7116516050924547E-2</v>
      </c>
      <c r="N75" s="6">
        <f t="shared" si="26"/>
        <v>8.570624760918083E-2</v>
      </c>
      <c r="O75" s="6">
        <f t="shared" si="26"/>
        <v>7.9193222749810402E-2</v>
      </c>
      <c r="P75" s="6">
        <f t="shared" si="26"/>
        <v>7.4787655526092608E-2</v>
      </c>
      <c r="Q75" s="6" t="str">
        <f t="shared" si="26"/>
        <v/>
      </c>
    </row>
    <row r="76" spans="1:17" ht="15.75" customHeight="1">
      <c r="A76" s="10"/>
      <c r="B76" s="29" t="s">
        <v>148</v>
      </c>
      <c r="C76" s="78">
        <f>ABS(C8/C$4)</f>
        <v>4.9516493581004614E-2</v>
      </c>
      <c r="D76" s="27"/>
      <c r="E76" s="265"/>
      <c r="F76" s="27"/>
      <c r="G76" s="65">
        <f t="shared" ref="G76:Q76" si="27">IF(G$4="","",ABS(G8/G$4))</f>
        <v>6.4021241689443148E-2</v>
      </c>
      <c r="H76" s="65">
        <f t="shared" si="27"/>
        <v>5.3138313193068901E-2</v>
      </c>
      <c r="I76" s="65">
        <f t="shared" si="27"/>
        <v>3.6861650107441517E-2</v>
      </c>
      <c r="J76" s="65">
        <f t="shared" si="27"/>
        <v>4.1439326061950013E-2</v>
      </c>
      <c r="K76" s="65">
        <f t="shared" si="27"/>
        <v>2.5493346316431076E-2</v>
      </c>
      <c r="L76" s="65">
        <f t="shared" si="27"/>
        <v>3.842860947970262E-2</v>
      </c>
      <c r="M76" s="65">
        <f t="shared" si="27"/>
        <v>4.5213325293130434E-3</v>
      </c>
      <c r="N76" s="65">
        <f t="shared" si="27"/>
        <v>0.11197354879760087</v>
      </c>
      <c r="O76" s="65">
        <f t="shared" si="27"/>
        <v>7.0524649222070246E-2</v>
      </c>
      <c r="P76" s="65">
        <f t="shared" si="27"/>
        <v>0.21789678212471589</v>
      </c>
      <c r="Q76" s="65" t="str">
        <f t="shared" si="27"/>
        <v/>
      </c>
    </row>
    <row r="77" spans="1:17" ht="15.75" customHeight="1">
      <c r="A77" s="10"/>
      <c r="B77" s="2" t="s">
        <v>63</v>
      </c>
      <c r="C77" s="77">
        <f>ABS(C9/C$4)</f>
        <v>5.6415609973709625E-2</v>
      </c>
      <c r="D77" s="27"/>
      <c r="E77" s="265"/>
      <c r="F77" s="27"/>
      <c r="G77" s="6">
        <f t="shared" ref="G77:Q77" si="28">IF(G$4="","",G9/G$4)</f>
        <v>5.1727231309491167E-2</v>
      </c>
      <c r="H77" s="6">
        <f t="shared" si="28"/>
        <v>4.6526361058190052E-2</v>
      </c>
      <c r="I77" s="6">
        <f t="shared" si="28"/>
        <v>3.9422970928530796E-2</v>
      </c>
      <c r="J77" s="6">
        <f t="shared" si="28"/>
        <v>5.4830417560144985E-2</v>
      </c>
      <c r="K77" s="6">
        <f t="shared" si="28"/>
        <v>5.5613386876799661E-2</v>
      </c>
      <c r="L77" s="6">
        <f t="shared" si="28"/>
        <v>6.9570838146253824E-2</v>
      </c>
      <c r="M77" s="6">
        <f t="shared" si="28"/>
        <v>9.238841563124961E-2</v>
      </c>
      <c r="N77" s="6">
        <f t="shared" si="28"/>
        <v>0</v>
      </c>
      <c r="O77" s="6">
        <f t="shared" si="28"/>
        <v>0</v>
      </c>
      <c r="P77" s="6">
        <f t="shared" si="28"/>
        <v>0</v>
      </c>
      <c r="Q77" s="6" t="str">
        <f t="shared" si="28"/>
        <v/>
      </c>
    </row>
    <row r="78" spans="1:17" ht="15.75" customHeight="1">
      <c r="A78" s="10"/>
      <c r="B78" s="2" t="s">
        <v>78</v>
      </c>
      <c r="C78" s="88">
        <f>MAX(AVERAGE(G78:J78),C77)</f>
        <v>5.6415609973709625E-2</v>
      </c>
      <c r="D78" s="27"/>
      <c r="E78" s="266" t="s">
        <v>560</v>
      </c>
      <c r="F78" s="27"/>
      <c r="G78" s="6">
        <f t="shared" ref="G78:Q78" si="29">IF(G$4="","",-G10/G$4)</f>
        <v>5.1727231309491167E-2</v>
      </c>
      <c r="H78" s="6">
        <f t="shared" si="29"/>
        <v>4.6526361058190052E-2</v>
      </c>
      <c r="I78" s="6">
        <f t="shared" si="29"/>
        <v>3.9422970928530796E-2</v>
      </c>
      <c r="J78" s="6">
        <f t="shared" si="29"/>
        <v>5.4830417560144985E-2</v>
      </c>
      <c r="K78" s="6">
        <f t="shared" si="29"/>
        <v>5.5613386876799661E-2</v>
      </c>
      <c r="L78" s="6">
        <f t="shared" si="29"/>
        <v>6.9570838146253824E-2</v>
      </c>
      <c r="M78" s="6">
        <f t="shared" si="29"/>
        <v>9.238841563124961E-2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9.5923154994215654E-4</v>
      </c>
      <c r="D80" s="27"/>
      <c r="E80" s="265"/>
      <c r="F80" s="27"/>
      <c r="G80" s="6">
        <f t="shared" ref="G80:Q80" si="31">IF(G$4="","",ABS(G12/G$4))</f>
        <v>8.7951530234880819E-4</v>
      </c>
      <c r="H80" s="6">
        <f t="shared" si="31"/>
        <v>3.5453164147665006E-4</v>
      </c>
      <c r="I80" s="6">
        <f t="shared" si="31"/>
        <v>1.2089176727484513E-4</v>
      </c>
      <c r="J80" s="6">
        <f t="shared" si="31"/>
        <v>5.288900156645523E-4</v>
      </c>
      <c r="K80" s="6">
        <f t="shared" si="31"/>
        <v>3.1170138405847724E-5</v>
      </c>
      <c r="L80" s="6">
        <f t="shared" si="31"/>
        <v>3.8956616805766944E-4</v>
      </c>
      <c r="M80" s="6">
        <f t="shared" si="31"/>
        <v>1.6021826951156443E-3</v>
      </c>
      <c r="N80" s="6">
        <f t="shared" si="31"/>
        <v>0</v>
      </c>
      <c r="O80" s="6">
        <f t="shared" si="31"/>
        <v>0</v>
      </c>
      <c r="P80" s="6">
        <f t="shared" si="31"/>
        <v>0</v>
      </c>
      <c r="Q80" s="6" t="str">
        <f t="shared" si="31"/>
        <v/>
      </c>
    </row>
    <row r="81" spans="1:17" ht="15.75" customHeight="1">
      <c r="A81" s="10"/>
      <c r="B81" s="70" t="s">
        <v>160</v>
      </c>
      <c r="C81" s="78">
        <f>C13/C4</f>
        <v>5.0475725130946753E-2</v>
      </c>
      <c r="D81" s="27"/>
      <c r="E81" s="265"/>
      <c r="F81" s="27"/>
      <c r="G81" s="65">
        <f t="shared" ref="G81:Q81" si="32">IF(G$4="","",G13/G$4)</f>
        <v>6.490075699179193E-2</v>
      </c>
      <c r="H81" s="65">
        <f t="shared" si="32"/>
        <v>5.3492844834545535E-2</v>
      </c>
      <c r="I81" s="65">
        <f t="shared" si="32"/>
        <v>3.6740758340166678E-2</v>
      </c>
      <c r="J81" s="65">
        <f t="shared" si="32"/>
        <v>4.0910436046285456E-2</v>
      </c>
      <c r="K81" s="65">
        <f t="shared" si="32"/>
        <v>2.5524516454836912E-2</v>
      </c>
      <c r="L81" s="65">
        <f t="shared" si="32"/>
        <v>3.88181756477603E-2</v>
      </c>
      <c r="M81" s="65">
        <f t="shared" si="32"/>
        <v>-2.9191498341973993E-3</v>
      </c>
      <c r="N81" s="65">
        <f t="shared" si="32"/>
        <v>0.11197354879760087</v>
      </c>
      <c r="O81" s="65">
        <f t="shared" si="32"/>
        <v>7.0524649222070246E-2</v>
      </c>
      <c r="P81" s="65">
        <f t="shared" si="32"/>
        <v>0.21789678212471589</v>
      </c>
      <c r="Q81" s="65" t="str">
        <f t="shared" si="32"/>
        <v/>
      </c>
    </row>
    <row r="82" spans="1:17" ht="15.75" customHeight="1">
      <c r="A82" s="10"/>
      <c r="B82" s="2" t="s">
        <v>61</v>
      </c>
      <c r="C82" s="77">
        <f>ABS(C14/C$4)</f>
        <v>1.2618931282736692E-2</v>
      </c>
      <c r="D82" s="27"/>
      <c r="E82" s="265"/>
      <c r="F82" s="27"/>
      <c r="G82" s="6">
        <f t="shared" ref="G82:Q82" si="33">IF(G$4="","",ABS(G14/G$4))</f>
        <v>1.6403694922323624E-2</v>
      </c>
      <c r="H82" s="6">
        <f t="shared" si="33"/>
        <v>9.1570712997472124E-3</v>
      </c>
      <c r="I82" s="6">
        <f t="shared" si="33"/>
        <v>1.0650952968663452E-2</v>
      </c>
      <c r="J82" s="6">
        <f t="shared" si="33"/>
        <v>1.0129316785691475E-2</v>
      </c>
      <c r="K82" s="6">
        <f t="shared" si="33"/>
        <v>9.7360454042065298E-3</v>
      </c>
      <c r="L82" s="6">
        <f t="shared" si="33"/>
        <v>1.2242739586709638E-2</v>
      </c>
      <c r="M82" s="6">
        <f t="shared" si="33"/>
        <v>4.4284098239372382E-3</v>
      </c>
      <c r="N82" s="6">
        <f t="shared" si="33"/>
        <v>1.3366625804007399E-2</v>
      </c>
      <c r="O82" s="6">
        <f t="shared" si="33"/>
        <v>2.5388671012789969E-2</v>
      </c>
      <c r="P82" s="6">
        <f t="shared" si="33"/>
        <v>3.7166914145737466E-2</v>
      </c>
      <c r="Q82" s="6" t="str">
        <f t="shared" si="33"/>
        <v/>
      </c>
    </row>
    <row r="83" spans="1:17" ht="15.75" customHeight="1">
      <c r="A83" s="10"/>
      <c r="B83" s="40" t="str">
        <f>B15</f>
        <v>NCI’s Share of Profits</v>
      </c>
      <c r="C83" s="264">
        <f>MIN(BS!C62,MAX(G83:K83))</f>
        <v>8.311529119150677E-4</v>
      </c>
      <c r="D83" s="27"/>
      <c r="E83" s="265"/>
      <c r="F83" s="27"/>
      <c r="G83" s="6">
        <f t="shared" ref="G83:Q83" si="34">IF(G$4="","",-G15/G$4)</f>
        <v>8.311529119150677E-4</v>
      </c>
      <c r="H83" s="6">
        <f t="shared" si="34"/>
        <v>3.1972840823961667E-4</v>
      </c>
      <c r="I83" s="6">
        <f t="shared" si="34"/>
        <v>0</v>
      </c>
      <c r="J83" s="6">
        <f t="shared" si="34"/>
        <v>1.1083337544732178E-4</v>
      </c>
      <c r="K83" s="6">
        <f t="shared" si="34"/>
        <v>1.2495873837781472E-4</v>
      </c>
      <c r="L83" s="6">
        <f t="shared" si="34"/>
        <v>4.891044956780571E-5</v>
      </c>
      <c r="M83" s="6">
        <f t="shared" si="34"/>
        <v>5.5071781262367915E-6</v>
      </c>
      <c r="N83" s="6">
        <f t="shared" si="34"/>
        <v>0</v>
      </c>
      <c r="O83" s="6">
        <f t="shared" si="34"/>
        <v>0</v>
      </c>
      <c r="P83" s="6">
        <f t="shared" si="34"/>
        <v>2.0004003653551793E-5</v>
      </c>
      <c r="Q83" s="6" t="str">
        <f t="shared" si="34"/>
        <v/>
      </c>
    </row>
    <row r="84" spans="1:17" ht="15.75" customHeight="1">
      <c r="A84" s="10"/>
      <c r="B84" s="41" t="s">
        <v>150</v>
      </c>
      <c r="C84" s="78">
        <f>ABS(C16/C$4)</f>
        <v>3.7025640936294991E-2</v>
      </c>
      <c r="D84" s="27"/>
      <c r="E84" s="265"/>
      <c r="F84" s="27"/>
      <c r="G84" s="65">
        <f t="shared" ref="G84:Q84" si="35">IF(G$4="","",ABS(G16/G$4))</f>
        <v>4.7665909157553241E-2</v>
      </c>
      <c r="H84" s="65">
        <f t="shared" si="35"/>
        <v>4.4016045126558698E-2</v>
      </c>
      <c r="I84" s="65">
        <f t="shared" si="35"/>
        <v>2.6089805371503225E-2</v>
      </c>
      <c r="J84" s="65">
        <f t="shared" si="35"/>
        <v>3.0670285885146659E-2</v>
      </c>
      <c r="K84" s="65">
        <f t="shared" si="35"/>
        <v>1.5663512312252569E-2</v>
      </c>
      <c r="L84" s="65">
        <f t="shared" si="35"/>
        <v>2.6526525611482856E-2</v>
      </c>
      <c r="M84" s="65">
        <f t="shared" si="35"/>
        <v>7.3530668362608749E-3</v>
      </c>
      <c r="N84" s="65">
        <f t="shared" si="35"/>
        <v>9.8606922993593471E-2</v>
      </c>
      <c r="O84" s="65">
        <f t="shared" si="35"/>
        <v>4.5135978209280281E-2</v>
      </c>
      <c r="P84" s="65">
        <f t="shared" si="35"/>
        <v>0.18070986397532487</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3.7025640936294991E-2</v>
      </c>
      <c r="D87" s="75"/>
      <c r="E87" s="265"/>
      <c r="F87" s="75"/>
      <c r="G87" s="65">
        <f t="shared" ref="G87:Q87" si="36">IF(G$4="","",ABS(G19/G$4))</f>
        <v>4.7665909157553241E-2</v>
      </c>
      <c r="H87" s="65">
        <f t="shared" si="36"/>
        <v>4.4016045126558698E-2</v>
      </c>
      <c r="I87" s="65">
        <f t="shared" si="36"/>
        <v>2.6089805371503225E-2</v>
      </c>
      <c r="J87" s="65">
        <f t="shared" si="36"/>
        <v>3.0670285885146659E-2</v>
      </c>
      <c r="K87" s="65">
        <f t="shared" si="36"/>
        <v>1.5663512312252569E-2</v>
      </c>
      <c r="L87" s="65">
        <f t="shared" si="36"/>
        <v>2.6526525611482856E-2</v>
      </c>
      <c r="M87" s="65">
        <f t="shared" si="36"/>
        <v>7.3530668362608749E-3</v>
      </c>
      <c r="N87" s="65">
        <f t="shared" si="36"/>
        <v>9.8606922993593471E-2</v>
      </c>
      <c r="O87" s="65">
        <f t="shared" si="36"/>
        <v>4.5135978209280281E-2</v>
      </c>
      <c r="P87" s="65">
        <f t="shared" si="36"/>
        <v>0.18070986397532487</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0.20099999999999998</v>
      </c>
      <c r="E90" s="268"/>
      <c r="G90" s="112">
        <f>Data!C65</f>
        <v>0.20099999999999998</v>
      </c>
      <c r="H90" s="112">
        <f>Data!D65</f>
        <v>0.14699999999999999</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88869.231480000002</v>
      </c>
      <c r="E91" s="268"/>
      <c r="G91" s="74">
        <f t="shared" ref="G91:Q91" si="37">IF(G$4="","",G90*Common_Shares/scaling_factor)</f>
        <v>88869.231480000002</v>
      </c>
      <c r="H91" s="74">
        <f t="shared" si="37"/>
        <v>64993.915559999994</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0.87391267559349473</v>
      </c>
      <c r="E92" s="268"/>
      <c r="G92" s="170">
        <f t="shared" ref="G92:Q92" si="38">IF(G$4="","",G90/(G19*scaling_factor/Common_Shares))</f>
        <v>0.62241878019162955</v>
      </c>
      <c r="H92" s="170">
        <f t="shared" si="38"/>
        <v>0.48016200102133794</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3.1848591549295771E-2</v>
      </c>
      <c r="E94" s="268"/>
      <c r="G94" s="23">
        <f t="shared" ref="G94:Q94" si="39">IF(G$4="","",(G90*(1-dividend_tax_rate))/Market_Price)</f>
        <v>3.1848591549295771E-2</v>
      </c>
      <c r="H94" s="23">
        <f t="shared" si="39"/>
        <v>2.3292253521126762E-2</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-8.3104280294111876E-2</v>
      </c>
      <c r="D97" s="27"/>
      <c r="E97" s="265"/>
      <c r="F97" s="27"/>
      <c r="G97" s="6">
        <f t="shared" ref="G97:Q97" si="40">IF(H4="","",G4/H4-1)</f>
        <v>-2.5937195218365683E-2</v>
      </c>
      <c r="H97" s="6">
        <f t="shared" si="40"/>
        <v>4.7470935229053657E-2</v>
      </c>
      <c r="I97" s="6">
        <f t="shared" si="40"/>
        <v>0.48308434654268462</v>
      </c>
      <c r="J97" s="6">
        <f t="shared" si="40"/>
        <v>0.1082097484341995</v>
      </c>
      <c r="K97" s="6">
        <f t="shared" si="40"/>
        <v>0.21428262970296608</v>
      </c>
      <c r="L97" s="6">
        <f t="shared" si="40"/>
        <v>0.33100190389533934</v>
      </c>
      <c r="M97" s="6">
        <f t="shared" si="40"/>
        <v>7.798889056610836E-2</v>
      </c>
      <c r="N97" s="6">
        <f t="shared" si="40"/>
        <v>-0.14502935395370053</v>
      </c>
      <c r="O97" s="6">
        <f t="shared" si="40"/>
        <v>-0.25984147979682559</v>
      </c>
      <c r="P97" s="6" t="str">
        <f t="shared" si="40"/>
        <v/>
      </c>
      <c r="Q97" s="6" t="str">
        <f t="shared" si="40"/>
        <v/>
      </c>
    </row>
    <row r="98" spans="1:17" ht="15.75" customHeight="1">
      <c r="A98" s="10"/>
      <c r="B98" s="70" t="s">
        <v>160</v>
      </c>
      <c r="C98" s="77">
        <f>C13/G13-1</f>
        <v>-0.28689620172736641</v>
      </c>
      <c r="D98" s="27"/>
      <c r="E98" s="265"/>
      <c r="F98" s="27"/>
      <c r="G98" s="6">
        <f t="shared" ref="G98:Q98" si="41">IF(H5="","",G13/H13-1)</f>
        <v>0.18179194962258727</v>
      </c>
      <c r="H98" s="6">
        <f t="shared" si="41"/>
        <v>0.52506923477535028</v>
      </c>
      <c r="I98" s="6">
        <f t="shared" si="41"/>
        <v>0.33192526994236915</v>
      </c>
      <c r="J98" s="6">
        <f t="shared" si="41"/>
        <v>0.77622734281400874</v>
      </c>
      <c r="K98" s="6">
        <f t="shared" si="41"/>
        <v>-0.20156018551932486</v>
      </c>
      <c r="L98" s="6">
        <f t="shared" si="41"/>
        <v>-18.699353793916568</v>
      </c>
      <c r="M98" s="6">
        <f t="shared" si="41"/>
        <v>-1.0281031647648389</v>
      </c>
      <c r="N98" s="6">
        <f t="shared" si="41"/>
        <v>0.3574558457445296</v>
      </c>
      <c r="O98" s="6">
        <f t="shared" si="41"/>
        <v>-0.76043969306449644</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4823088.2699999996</v>
      </c>
      <c r="D102" s="26"/>
      <c r="E102" s="269"/>
      <c r="F102" s="26"/>
      <c r="G102" s="333">
        <f t="shared" ref="G102:Q102" si="42">IF(G$4="","",G106+G105)</f>
        <v>4823088.2699999996</v>
      </c>
      <c r="H102" s="333">
        <f t="shared" si="42"/>
        <v>4325166.3499999996</v>
      </c>
      <c r="I102" s="333">
        <f t="shared" si="42"/>
        <v>4263867.49</v>
      </c>
      <c r="J102" s="333">
        <f t="shared" si="42"/>
        <v>3465426.38</v>
      </c>
      <c r="K102" s="333">
        <f t="shared" si="42"/>
        <v>3328189.6169999996</v>
      </c>
      <c r="L102" s="333">
        <f t="shared" si="42"/>
        <v>3185654.2935000001</v>
      </c>
      <c r="M102" s="333">
        <f t="shared" si="42"/>
        <v>3014920.057</v>
      </c>
      <c r="N102" s="333">
        <f t="shared" si="42"/>
        <v>2839595.6228</v>
      </c>
      <c r="O102" s="333">
        <f t="shared" si="42"/>
        <v>2981119.801</v>
      </c>
      <c r="P102" s="333">
        <f t="shared" si="42"/>
        <v>3144283.1915000002</v>
      </c>
      <c r="Q102" s="333" t="str">
        <f t="shared" si="42"/>
        <v/>
      </c>
    </row>
    <row r="103" spans="1:17" ht="15.75" customHeight="1">
      <c r="A103" s="10"/>
      <c r="B103" s="93" t="s">
        <v>206</v>
      </c>
      <c r="C103" s="345">
        <f>BS!C4</f>
        <v>779805.94000000006</v>
      </c>
      <c r="D103" s="89"/>
      <c r="E103" s="270"/>
      <c r="F103" s="89"/>
      <c r="G103" s="346">
        <f>IF(G$4="","",Data!D77)</f>
        <v>614740.03</v>
      </c>
      <c r="H103" s="346">
        <f>IF(H$4="","",Data!E77)</f>
        <v>627070.1</v>
      </c>
      <c r="I103" s="346">
        <f>IF(I$4="","",Data!F77)</f>
        <v>565721.97</v>
      </c>
      <c r="J103" s="346">
        <f>IF(J$4="","",Data!G77)</f>
        <v>737082.00840000005</v>
      </c>
      <c r="K103" s="346">
        <f>IF(K$4="","",Data!H77)</f>
        <v>483752.78779999999</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75410.259999999995</v>
      </c>
      <c r="D104" s="89"/>
      <c r="E104" s="270"/>
      <c r="F104" s="89"/>
      <c r="G104" s="346">
        <f>IF(G$4="","",Data!D78)</f>
        <v>98279.37</v>
      </c>
      <c r="H104" s="346">
        <f>IF(H$4="","",Data!E78)</f>
        <v>130107.73</v>
      </c>
      <c r="I104" s="346">
        <f>IF(I$4="","",Data!F78)</f>
        <v>115109.66</v>
      </c>
      <c r="J104" s="346">
        <f>IF(J$4="","",Data!G78)</f>
        <v>101122.2853</v>
      </c>
      <c r="K104" s="346">
        <f>IF(K$4="","",Data!H78)</f>
        <v>512937.82659999997</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1995570.48</v>
      </c>
      <c r="D105" s="26"/>
      <c r="E105" s="269"/>
      <c r="F105" s="26"/>
      <c r="G105" s="333">
        <f>Data!C79</f>
        <v>1995570.48</v>
      </c>
      <c r="H105" s="333">
        <f>Data!D79</f>
        <v>1647330.89</v>
      </c>
      <c r="I105" s="333">
        <f>Data!E79</f>
        <v>1695609.48</v>
      </c>
      <c r="J105" s="333">
        <f>Data!F79</f>
        <v>1189596.92</v>
      </c>
      <c r="K105" s="333">
        <f>Data!G79</f>
        <v>1061667.9129999999</v>
      </c>
      <c r="L105" s="333">
        <f>Data!H79</f>
        <v>918370.71239999996</v>
      </c>
      <c r="M105" s="333">
        <f>Data!I79</f>
        <v>724476.08160000003</v>
      </c>
      <c r="N105" s="333">
        <f>Data!J79</f>
        <v>526758.79269999999</v>
      </c>
      <c r="O105" s="333">
        <f>Data!K79</f>
        <v>664276.83160000003</v>
      </c>
      <c r="P105" s="333">
        <f>Data!L79</f>
        <v>845128.23759999999</v>
      </c>
      <c r="Q105" s="333" t="str">
        <f>Data!M79</f>
        <v/>
      </c>
    </row>
    <row r="106" spans="1:17" ht="15.75" customHeight="1">
      <c r="A106" s="10"/>
      <c r="B106" s="26" t="s">
        <v>28</v>
      </c>
      <c r="C106" s="344">
        <f>BS!G27</f>
        <v>2827517.7899999996</v>
      </c>
      <c r="D106" s="26"/>
      <c r="E106" s="269"/>
      <c r="F106" s="26"/>
      <c r="G106" s="333">
        <f>Data!C80</f>
        <v>2827517.7899999996</v>
      </c>
      <c r="H106" s="333">
        <f>Data!D80</f>
        <v>2677835.46</v>
      </c>
      <c r="I106" s="333">
        <f>Data!E80</f>
        <v>2568258.0099999998</v>
      </c>
      <c r="J106" s="333">
        <f>Data!F80</f>
        <v>2275829.46</v>
      </c>
      <c r="K106" s="333">
        <f>Data!G80</f>
        <v>2266521.7039999999</v>
      </c>
      <c r="L106" s="333">
        <f>Data!H80</f>
        <v>2267283.5811000001</v>
      </c>
      <c r="M106" s="333">
        <f>Data!I80</f>
        <v>2290443.9753999999</v>
      </c>
      <c r="N106" s="333">
        <f>Data!J80</f>
        <v>2312836.8300999999</v>
      </c>
      <c r="O106" s="333">
        <f>Data!K80</f>
        <v>2316842.9693999998</v>
      </c>
      <c r="P106" s="333">
        <f>Data!L80</f>
        <v>2299154.9539000001</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0.28392637537503096</v>
      </c>
      <c r="D109" s="26"/>
      <c r="E109" s="269"/>
      <c r="F109" s="26"/>
      <c r="G109" s="94">
        <f t="shared" ref="G109:Q109" si="43">IF(G$4="","",G103/G$4)</f>
        <v>0.20522517683277544</v>
      </c>
      <c r="H109" s="94">
        <f t="shared" si="43"/>
        <v>0.20391172454833276</v>
      </c>
      <c r="I109" s="94">
        <f t="shared" si="43"/>
        <v>0.19269530384629718</v>
      </c>
      <c r="J109" s="94">
        <f t="shared" si="43"/>
        <v>0.37234861883529258</v>
      </c>
      <c r="K109" s="94">
        <f t="shared" si="43"/>
        <v>0.27081915809764734</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2.7456782116700319E-2</v>
      </c>
      <c r="D110" s="26"/>
      <c r="E110" s="269"/>
      <c r="F110" s="26"/>
      <c r="G110" s="94">
        <f t="shared" ref="G110:Q110" si="44">IF(G$4="","",G104/G$4)</f>
        <v>3.2809643268657429E-2</v>
      </c>
      <c r="H110" s="94">
        <f t="shared" si="44"/>
        <v>4.2308653532306596E-2</v>
      </c>
      <c r="I110" s="94">
        <f t="shared" si="44"/>
        <v>3.9208466500503705E-2</v>
      </c>
      <c r="J110" s="94">
        <f t="shared" si="44"/>
        <v>5.1083519657001315E-2</v>
      </c>
      <c r="K110" s="94">
        <f t="shared" si="44"/>
        <v>0.28715780840870436</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1.7610851206468958</v>
      </c>
      <c r="H114" s="295">
        <f>IF(H$4="","",Data!D$22/Data!D15)</f>
        <v>3.1434722210465975</v>
      </c>
      <c r="I114" s="295">
        <f>IF(I$4="","",Data!E$22/Data!E15)</f>
        <v>2.2856524892428709</v>
      </c>
      <c r="J114" s="295">
        <f>IF(J$4="","",Data!F$22/Data!F15)</f>
        <v>8.1539714870902102</v>
      </c>
      <c r="K114" s="295">
        <f>IF(K$4="","",Data!G$22/Data!G15)</f>
        <v>5.5283768180985335</v>
      </c>
      <c r="L114" s="295">
        <f>IF(L$4="","",Data!H$22/Data!H15)</f>
        <v>-2.6114096803023532</v>
      </c>
      <c r="M114" s="295">
        <f>IF(M$4="","",Data!I$22/Data!I15)</f>
        <v>4.7151896080097524</v>
      </c>
      <c r="N114" s="295">
        <f>IF(N$4="","",Data!J$22/Data!J15)</f>
        <v>1.0852517198711884</v>
      </c>
      <c r="O114" s="295">
        <f>IF(O$4="","",Data!K$22/Data!K15)</f>
        <v>2.5043513481233903</v>
      </c>
      <c r="P114" s="295">
        <f>IF(P$4="","",Data!L$22/Data!L15)</f>
        <v>1.06315880040684</v>
      </c>
      <c r="Q114" s="295" t="str">
        <f>IF(Q$4="","",Data!M$22/Data!M15)</f>
        <v/>
      </c>
    </row>
    <row r="115" spans="1:17" ht="15.75" customHeight="1">
      <c r="A115" s="10"/>
      <c r="B115" s="2" t="s">
        <v>373</v>
      </c>
      <c r="C115" s="169"/>
      <c r="E115" s="268"/>
      <c r="G115" s="295">
        <f>IF(G$4="","",Data!C$22/G19)</f>
        <v>2.6966217633893392</v>
      </c>
      <c r="H115" s="295">
        <f>IF(H$4="","",Data!D$22/H19)</f>
        <v>3.7861910453244887</v>
      </c>
      <c r="I115" s="295">
        <f>IF(I$4="","",Data!E$22/I19)</f>
        <v>4.3259603091518297</v>
      </c>
      <c r="J115" s="295">
        <f>IF(J$4="","",Data!F$22/J19)</f>
        <v>4.9959714956726939</v>
      </c>
      <c r="K115" s="295">
        <f>IF(K$4="","",Data!G$22/K19)</f>
        <v>7.2225229170749161</v>
      </c>
      <c r="L115" s="295">
        <f>IF(L$4="","",Data!H$22/L19)</f>
        <v>-0.19170708459852326</v>
      </c>
      <c r="M115" s="295">
        <f>IF(M$4="","",Data!I$22/M19)</f>
        <v>-4.6323291769407335</v>
      </c>
      <c r="N115" s="295">
        <f>IF(N$4="","",Data!J$22/N19)</f>
        <v>0.52560763000373034</v>
      </c>
      <c r="O115" s="295">
        <f>IF(O$4="","",Data!K$22/O19)</f>
        <v>6.074739590031685</v>
      </c>
      <c r="P115" s="295">
        <f>IF(P$4="","",Data!L$22/P19)</f>
        <v>1.2383676530033612</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5.0475725130946753E-2</v>
      </c>
      <c r="E118" s="268"/>
      <c r="G118" s="23">
        <f t="shared" ref="G118:Q118" si="45">IF(G4="","",IF(valuation_method="DDM",G13/(G4+G12),G81))</f>
        <v>6.490075699179193E-2</v>
      </c>
      <c r="H118" s="23">
        <f t="shared" si="45"/>
        <v>5.3492844834545535E-2</v>
      </c>
      <c r="I118" s="23">
        <f t="shared" si="45"/>
        <v>3.6740758340166678E-2</v>
      </c>
      <c r="J118" s="23">
        <f t="shared" si="45"/>
        <v>4.0910436046285456E-2</v>
      </c>
      <c r="K118" s="23">
        <f t="shared" si="45"/>
        <v>2.5524516454836912E-2</v>
      </c>
      <c r="L118" s="23">
        <f t="shared" si="45"/>
        <v>3.88181756477603E-2</v>
      </c>
      <c r="M118" s="23">
        <f t="shared" si="45"/>
        <v>-2.9191498341973993E-3</v>
      </c>
      <c r="N118" s="23">
        <f t="shared" si="45"/>
        <v>0.11197354879760087</v>
      </c>
      <c r="O118" s="23">
        <f t="shared" si="45"/>
        <v>7.0524649222070246E-2</v>
      </c>
      <c r="P118" s="23">
        <f t="shared" si="45"/>
        <v>0.21789678212471589</v>
      </c>
      <c r="Q118" s="23" t="str">
        <f t="shared" si="45"/>
        <v/>
      </c>
    </row>
    <row r="119" spans="1:17" ht="15.75" customHeight="1">
      <c r="B119" s="7" t="s">
        <v>81</v>
      </c>
      <c r="C119" s="42">
        <f>IF(valuation_method="DDM",(C4+C12)/C102,C4/C102)</f>
        <v>0.56944999111533989</v>
      </c>
      <c r="E119" s="268"/>
      <c r="G119" s="42">
        <f t="shared" ref="G119:Q119" si="46">IF(G4="","",IF(valuation_method="DDM",(G4+G12)/G102,G4/G102))</f>
        <v>0.62106298336522048</v>
      </c>
      <c r="H119" s="42">
        <f t="shared" si="46"/>
        <v>0.71100242190684759</v>
      </c>
      <c r="I119" s="42">
        <f t="shared" si="46"/>
        <v>0.68853847754072672</v>
      </c>
      <c r="J119" s="42">
        <f t="shared" si="46"/>
        <v>0.57122786720403518</v>
      </c>
      <c r="K119" s="42">
        <f t="shared" si="46"/>
        <v>0.5367054875647731</v>
      </c>
      <c r="L119" s="42">
        <f t="shared" si="46"/>
        <v>0.4617699528795402</v>
      </c>
      <c r="M119" s="42">
        <f t="shared" si="46"/>
        <v>0.36658090327600346</v>
      </c>
      <c r="N119" s="42">
        <f t="shared" si="46"/>
        <v>0.36105623968705886</v>
      </c>
      <c r="O119" s="42">
        <f t="shared" si="46"/>
        <v>0.40225432231799124</v>
      </c>
      <c r="P119" s="42">
        <f t="shared" si="46"/>
        <v>0.51526868771864565</v>
      </c>
      <c r="Q119" s="42" t="str">
        <f t="shared" si="46"/>
        <v/>
      </c>
    </row>
    <row r="120" spans="1:17" ht="15.75" customHeight="1">
      <c r="B120" s="7" t="s">
        <v>89</v>
      </c>
      <c r="C120" s="15">
        <f>C102/C106</f>
        <v>1.7057676125178334</v>
      </c>
      <c r="D120" s="11"/>
      <c r="E120" s="272"/>
      <c r="F120" s="11"/>
      <c r="G120" s="15">
        <f t="shared" ref="G120:Q120" si="47">IF(G$4="","",G102/G106)</f>
        <v>1.7057676125178334</v>
      </c>
      <c r="H120" s="15">
        <f t="shared" si="47"/>
        <v>1.6151725580629961</v>
      </c>
      <c r="I120" s="15">
        <f t="shared" si="47"/>
        <v>1.6602177325634042</v>
      </c>
      <c r="J120" s="15">
        <f t="shared" si="47"/>
        <v>1.5227091664416716</v>
      </c>
      <c r="K120" s="15">
        <f t="shared" si="47"/>
        <v>1.4684128597252557</v>
      </c>
      <c r="L120" s="15">
        <f t="shared" si="47"/>
        <v>1.4050533069861695</v>
      </c>
      <c r="M120" s="15">
        <f t="shared" si="47"/>
        <v>1.3163037775126016</v>
      </c>
      <c r="N120" s="15">
        <f t="shared" si="47"/>
        <v>1.2277544121766795</v>
      </c>
      <c r="O120" s="15">
        <f t="shared" si="47"/>
        <v>1.2867163810294964</v>
      </c>
      <c r="P120" s="15">
        <f t="shared" si="47"/>
        <v>1.3675821136659057</v>
      </c>
      <c r="Q120" s="15" t="str">
        <f t="shared" si="47"/>
        <v/>
      </c>
    </row>
    <row r="121" spans="1:17" ht="15.75" customHeight="1">
      <c r="A121" s="10"/>
      <c r="B121" s="70" t="s">
        <v>218</v>
      </c>
      <c r="C121" s="102">
        <f>C13/C106</f>
        <v>4.9029562887232557E-2</v>
      </c>
      <c r="D121" s="103"/>
      <c r="E121" s="271"/>
      <c r="F121" s="103"/>
      <c r="G121" s="102">
        <f t="shared" ref="G121:Q121" si="48">IF(G$4="","",G13/G106)</f>
        <v>6.8755155989910458E-2</v>
      </c>
      <c r="H121" s="102">
        <f t="shared" si="48"/>
        <v>6.1430733699135709E-2</v>
      </c>
      <c r="I121" s="102">
        <f t="shared" si="48"/>
        <v>4.1999234920011404E-2</v>
      </c>
      <c r="J121" s="102">
        <f t="shared" si="48"/>
        <v>3.5584466317526542E-2</v>
      </c>
      <c r="K121" s="102">
        <f t="shared" si="48"/>
        <v>2.0116005162062175E-2</v>
      </c>
      <c r="L121" s="102">
        <f t="shared" si="48"/>
        <v>2.518567486263517E-2</v>
      </c>
      <c r="M121" s="102">
        <f t="shared" si="48"/>
        <v>-1.4085827049602441E-3</v>
      </c>
      <c r="N121" s="102">
        <f t="shared" si="48"/>
        <v>4.9636574316847225E-2</v>
      </c>
      <c r="O121" s="102">
        <f t="shared" si="48"/>
        <v>3.6502657546057825E-2</v>
      </c>
      <c r="P121" s="102">
        <f t="shared" si="48"/>
        <v>0.1535458137787413</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0.23000009682145431</v>
      </c>
      <c r="D125" s="27"/>
      <c r="E125" s="265"/>
      <c r="F125" s="27"/>
      <c r="G125" s="177">
        <f t="shared" ref="G125:Q125" si="49">IF(G$4="","",G16*$C$3/Common_Shares*Exchange_Rate)</f>
        <v>0.32293370058357868</v>
      </c>
      <c r="H125" s="177">
        <f t="shared" si="49"/>
        <v>0.30614667484582447</v>
      </c>
      <c r="I125" s="177">
        <f t="shared" si="49"/>
        <v>0.17323968548552357</v>
      </c>
      <c r="J125" s="177">
        <f t="shared" si="49"/>
        <v>0.13731833229897003</v>
      </c>
      <c r="K125" s="177">
        <f t="shared" si="49"/>
        <v>6.3281662891179771E-2</v>
      </c>
      <c r="L125" s="177">
        <f t="shared" si="49"/>
        <v>8.8257031973493091E-2</v>
      </c>
      <c r="M125" s="177">
        <f t="shared" si="49"/>
        <v>-1.8380561927373088E-2</v>
      </c>
      <c r="N125" s="177">
        <f t="shared" si="49"/>
        <v>0.22865641635455269</v>
      </c>
      <c r="O125" s="177">
        <f t="shared" si="49"/>
        <v>0.1224186654280718</v>
      </c>
      <c r="P125" s="177">
        <f t="shared" si="49"/>
        <v>0.66218890169139988</v>
      </c>
      <c r="Q125" s="177" t="str">
        <f t="shared" si="49"/>
        <v/>
      </c>
    </row>
    <row r="126" spans="1:17" ht="15.75" customHeight="1">
      <c r="A126" s="10"/>
      <c r="B126" s="27" t="s">
        <v>264</v>
      </c>
      <c r="C126" s="77">
        <f>C19*Exchange_Rate*$C$3/(Market_Price*Common_Shares)</f>
        <v>4.0492974792509566E-2</v>
      </c>
      <c r="D126" s="27"/>
      <c r="E126" s="265"/>
      <c r="F126" s="27"/>
      <c r="G126" s="77">
        <f t="shared" ref="G126" si="50">IF(G$4="","",G125/Market_Price)</f>
        <v>5.6854524750630055E-2</v>
      </c>
      <c r="H126" s="77">
        <f t="shared" ref="H126" si="51">IF(H$4="","",H125/Market_Price)</f>
        <v>5.3899062472856425E-2</v>
      </c>
      <c r="I126" s="77">
        <f t="shared" ref="I126" si="52">IF(I$4="","",I125/Market_Price)</f>
        <v>3.0499944627733023E-2</v>
      </c>
      <c r="J126" s="77">
        <f t="shared" ref="J126" si="53">IF(J$4="","",J125/Market_Price)</f>
        <v>2.4175762728691909E-2</v>
      </c>
      <c r="K126" s="77">
        <f t="shared" ref="K126" si="54">IF(K$4="","",K125/Market_Price)</f>
        <v>1.1141137832954185E-2</v>
      </c>
      <c r="L126" s="77">
        <f t="shared" ref="L126" si="55">IF(L$4="","",L125/Market_Price)</f>
        <v>1.5538209854488221E-2</v>
      </c>
      <c r="M126" s="77">
        <f t="shared" ref="M126" si="56">IF(M$4="","",M125/Market_Price)</f>
        <v>-3.2360144238332902E-3</v>
      </c>
      <c r="N126" s="77">
        <f t="shared" ref="N126" si="57">IF(N$4="","",N125/Market_Price)</f>
        <v>4.0256411330026887E-2</v>
      </c>
      <c r="O126" s="77">
        <f t="shared" ref="O126" si="58">IF(O$4="","",O125/Market_Price)</f>
        <v>2.1552581941561937E-2</v>
      </c>
      <c r="P126" s="77">
        <f t="shared" ref="P126" si="59">IF(P$4="","",P125/Market_Price)</f>
        <v>0.11658255311468309</v>
      </c>
      <c r="Q126" s="77" t="str">
        <f t="shared" ref="Q126" si="60">IF(Q$4="","",Q125/Market_Price)</f>
        <v/>
      </c>
    </row>
    <row r="127" spans="1:17" ht="15.75" customHeight="1">
      <c r="B127" s="2" t="s">
        <v>375</v>
      </c>
      <c r="C127" s="169"/>
      <c r="G127" s="23">
        <f>IF(G$4="","",(Data!C47*$C$3)/(Market_Price*Common_Shares))</f>
        <v>8.7057205237978441E-2</v>
      </c>
      <c r="H127" s="23">
        <f>IF(H$4="","",(Data!D47*$C$3)/(Market_Price*Common_Shares))</f>
        <v>6.4919341841096267E-2</v>
      </c>
      <c r="I127" s="23">
        <f>IF(I$4="","",(Data!E47*$C$3)/(Market_Price*Common_Shares))</f>
        <v>5.7725988754575575E-2</v>
      </c>
      <c r="J127" s="23">
        <f>IF(J$4="","",(Data!F47*$C$3)/(Market_Price*Common_Shares))</f>
        <v>1.481258815657112E-2</v>
      </c>
      <c r="K127" s="23">
        <f>IF(K$4="","",(Data!G47*$C$3)/(Market_Price*Common_Shares))</f>
        <v>1.4555289186759589E-2</v>
      </c>
      <c r="L127" s="23">
        <f>IF(L$4="","",(Data!H47*$C$3)/(Market_Price*Common_Shares))</f>
        <v>1.1406808106566768E-3</v>
      </c>
      <c r="M127" s="23">
        <f>IF(M$4="","",(Data!I47*$C$3)/(Market_Price*Common_Shares))</f>
        <v>3.1791476650397735E-3</v>
      </c>
      <c r="N127" s="23">
        <f>IF(N$4="","",(Data!J47*$C$3)/(Market_Price*Common_Shares))</f>
        <v>1.9496930126166656E-2</v>
      </c>
      <c r="O127" s="23">
        <f>IF(O$4="","",(Data!K47*$C$3)/(Market_Price*Common_Shares))</f>
        <v>5.2279534533329973E-2</v>
      </c>
      <c r="P127" s="23">
        <f>IF(P$4="","",(Data!L47*$C$3)/(Market_Price*Common_Shares))</f>
        <v>0.13579538882293293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v>
      </c>
      <c r="E3" s="109" t="s">
        <v>120</v>
      </c>
      <c r="H3" s="120"/>
    </row>
    <row r="4" spans="2:8">
      <c r="B4" s="100" t="s">
        <v>124</v>
      </c>
      <c r="C4" s="338">
        <f>Normalized_FCF!C19</f>
        <v>101691.20320820018</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1355882.7094426691</v>
      </c>
      <c r="D6" t="str">
        <f>Reporting_currency</f>
        <v>CNY</v>
      </c>
      <c r="E6" s="378" t="s">
        <v>245</v>
      </c>
      <c r="F6" s="378"/>
      <c r="H6" s="120"/>
    </row>
    <row r="7" spans="2:8">
      <c r="B7" s="148" t="s">
        <v>220</v>
      </c>
      <c r="C7" s="338">
        <f>BS!G31</f>
        <v>72651.94</v>
      </c>
      <c r="D7" t="str">
        <f>Reporting_currency</f>
        <v>CNY</v>
      </c>
      <c r="E7" s="378"/>
      <c r="F7" s="378"/>
      <c r="H7" s="120"/>
    </row>
    <row r="8" spans="2:8">
      <c r="B8" s="148" t="s">
        <v>221</v>
      </c>
      <c r="C8" s="338">
        <f>BS!D66</f>
        <v>381755.93838365644</v>
      </c>
      <c r="D8" t="str">
        <f>Reporting_currency</f>
        <v>CNY</v>
      </c>
      <c r="E8" s="378"/>
      <c r="F8" s="378"/>
      <c r="H8" s="120"/>
    </row>
    <row r="9" spans="2:8">
      <c r="B9" s="205" t="s">
        <v>186</v>
      </c>
      <c r="C9" s="348">
        <f>BS!H42</f>
        <v>749715.90599999996</v>
      </c>
      <c r="D9" t="str">
        <f>Reporting_currency</f>
        <v>CNY</v>
      </c>
      <c r="E9" s="378"/>
      <c r="F9" s="378"/>
      <c r="H9" s="120"/>
    </row>
    <row r="10" spans="2:8" ht="13.15">
      <c r="B10" s="149" t="s">
        <v>223</v>
      </c>
      <c r="C10" s="347">
        <f>C6-C7+C8+C9</f>
        <v>2414702.6138263256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5.4614540634158688</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6.1350776830187602E-2</v>
      </c>
      <c r="H16" s="120"/>
    </row>
    <row r="17" spans="2:17" ht="13.35" customHeight="1">
      <c r="B17" s="118" t="s">
        <v>130</v>
      </c>
      <c r="C17" s="162">
        <f>Scenarios!C64</f>
        <v>10</v>
      </c>
      <c r="H17" s="120"/>
    </row>
    <row r="18" spans="2:17" ht="13.35" customHeight="1">
      <c r="B18" s="153" t="s">
        <v>103</v>
      </c>
      <c r="C18" s="140">
        <f>(F52-C7+C8+C9)*Exchange_Rate/Common_Shares*scaling_factor</f>
        <v>6.1193502060712941</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107930.03752181972</v>
      </c>
      <c r="D21" s="138">
        <f>IF($C$17&lt;B21,0,DCF!$C$16)</f>
        <v>6.1350776830187602E-2</v>
      </c>
      <c r="E21" s="124">
        <f t="shared" ref="E21:E50" si="0">IF($C$17&lt;B21,0,1/(1+Equity_Cost)^B21)</f>
        <v>0.93023255813953487</v>
      </c>
      <c r="F21" s="125">
        <f t="shared" ref="F21:F51" si="1">C21*E21</f>
        <v>100400.03490401834</v>
      </c>
      <c r="H21" s="120"/>
    </row>
    <row r="22" spans="2:17">
      <c r="B22" s="122">
        <v>2</v>
      </c>
      <c r="C22" s="123">
        <f t="shared" ref="C22:C50" si="2">IF(ROW()-ROW($C$21)&lt;$C$17, $C$21*(1+D22)^(ROW()-ROW($C$21)), 0)</f>
        <v>114551.62916709464</v>
      </c>
      <c r="D22" s="138">
        <f>IF($C$17&lt;B22,0,DCF!$C$16)</f>
        <v>6.1350776830187602E-2</v>
      </c>
      <c r="E22" s="124">
        <f t="shared" si="0"/>
        <v>0.86533261222282321</v>
      </c>
      <c r="F22" s="125">
        <f t="shared" si="1"/>
        <v>99125.260501542143</v>
      </c>
      <c r="H22" s="120"/>
    </row>
    <row r="23" spans="2:17">
      <c r="B23" s="122">
        <v>3</v>
      </c>
      <c r="C23" s="123">
        <f t="shared" si="2"/>
        <v>121579.46060365946</v>
      </c>
      <c r="D23" s="138">
        <f>IF($C$17&lt;B23,0,DCF!$C$16)</f>
        <v>6.1350776830187602E-2</v>
      </c>
      <c r="E23" s="124">
        <f t="shared" si="0"/>
        <v>0.80496056950960304</v>
      </c>
      <c r="F23" s="125">
        <f t="shared" si="1"/>
        <v>97866.671848192069</v>
      </c>
      <c r="G23" s="338"/>
      <c r="H23" s="339"/>
      <c r="I23" s="338"/>
      <c r="J23" s="338"/>
      <c r="K23" s="338"/>
      <c r="L23" s="338"/>
      <c r="M23" s="338"/>
      <c r="N23" s="338"/>
      <c r="O23" s="338"/>
      <c r="P23" s="338"/>
      <c r="Q23" s="338"/>
    </row>
    <row r="24" spans="2:17">
      <c r="B24" s="122">
        <v>4</v>
      </c>
      <c r="C24" s="123">
        <f t="shared" si="2"/>
        <v>129038.45495828915</v>
      </c>
      <c r="D24" s="138">
        <f>IF($C$17&lt;B24,0,DCF!$C$16)</f>
        <v>6.1350776830187602E-2</v>
      </c>
      <c r="E24" s="124">
        <f t="shared" si="0"/>
        <v>0.7488005297763749</v>
      </c>
      <c r="F24" s="125">
        <f t="shared" si="1"/>
        <v>96624.063434291806</v>
      </c>
      <c r="G24" s="338"/>
      <c r="H24" s="339"/>
      <c r="I24" s="338"/>
      <c r="J24" s="338"/>
      <c r="K24" s="338"/>
      <c r="L24" s="338"/>
      <c r="M24" s="338"/>
      <c r="N24" s="338"/>
      <c r="O24" s="338"/>
      <c r="P24" s="338"/>
      <c r="Q24" s="338"/>
    </row>
    <row r="25" spans="2:17">
      <c r="B25" s="122">
        <v>5</v>
      </c>
      <c r="C25" s="123">
        <f t="shared" si="2"/>
        <v>136955.06441094732</v>
      </c>
      <c r="D25" s="138">
        <f>IF($C$17&lt;B25,0,DCF!$C$16)</f>
        <v>6.1350776830187602E-2</v>
      </c>
      <c r="E25" s="124">
        <f t="shared" si="0"/>
        <v>0.69655863235011617</v>
      </c>
      <c r="F25" s="125">
        <f t="shared" si="1"/>
        <v>95397.23235951153</v>
      </c>
      <c r="G25" s="338"/>
      <c r="H25" s="339"/>
      <c r="I25" s="338"/>
      <c r="J25" s="338"/>
      <c r="K25" s="338"/>
      <c r="L25" s="338"/>
      <c r="M25" s="338"/>
      <c r="N25" s="338"/>
      <c r="O25" s="338"/>
      <c r="P25" s="338"/>
      <c r="Q25" s="338"/>
    </row>
    <row r="26" spans="2:17">
      <c r="B26" s="122">
        <v>6</v>
      </c>
      <c r="C26" s="123">
        <f t="shared" si="2"/>
        <v>145357.36400338731</v>
      </c>
      <c r="D26" s="138">
        <f>IF($C$17&lt;B26,0,DCF!$C$16)</f>
        <v>6.1350776830187602E-2</v>
      </c>
      <c r="E26" s="124">
        <f t="shared" si="0"/>
        <v>0.64796151846522443</v>
      </c>
      <c r="F26" s="125">
        <f t="shared" si="1"/>
        <v>94185.978299737195</v>
      </c>
      <c r="H26" s="120"/>
    </row>
    <row r="27" spans="2:17">
      <c r="B27" s="122">
        <v>7</v>
      </c>
      <c r="C27" s="123">
        <f t="shared" si="2"/>
        <v>154275.15120298346</v>
      </c>
      <c r="D27" s="138">
        <f>IF($C$17&lt;B27,0,DCF!$C$16)</f>
        <v>6.1350776830187602E-2</v>
      </c>
      <c r="E27" s="124">
        <f t="shared" si="0"/>
        <v>0.60275490089788319</v>
      </c>
      <c r="F27" s="125">
        <f t="shared" si="1"/>
        <v>92990.103474360236</v>
      </c>
      <c r="H27" s="120"/>
    </row>
    <row r="28" spans="2:17">
      <c r="B28" s="122">
        <v>8</v>
      </c>
      <c r="C28" s="123">
        <f t="shared" si="2"/>
        <v>163740.05157488113</v>
      </c>
      <c r="D28" s="138">
        <f>IF($C$17&lt;B28,0,DCF!$C$16)</f>
        <v>6.1350776830187602E-2</v>
      </c>
      <c r="E28" s="124">
        <f t="shared" si="0"/>
        <v>0.56070223339337966</v>
      </c>
      <c r="F28" s="125">
        <f t="shared" si="1"/>
        <v>91809.412613983019</v>
      </c>
      <c r="H28" s="120"/>
    </row>
    <row r="29" spans="2:17">
      <c r="B29" s="122">
        <v>9</v>
      </c>
      <c r="C29" s="123">
        <f t="shared" si="2"/>
        <v>173785.63093721503</v>
      </c>
      <c r="D29" s="138">
        <f>IF($C$17&lt;B29,0,DCF!$C$16)</f>
        <v>6.1350776830187602E-2</v>
      </c>
      <c r="E29" s="124">
        <f t="shared" si="0"/>
        <v>0.52158347292407414</v>
      </c>
      <c r="F29" s="125">
        <f t="shared" si="1"/>
        <v>90643.712928534034</v>
      </c>
      <c r="H29" s="120"/>
    </row>
    <row r="30" spans="2:17">
      <c r="B30" s="122">
        <v>10</v>
      </c>
      <c r="C30" s="123">
        <f t="shared" si="2"/>
        <v>184447.51439713745</v>
      </c>
      <c r="D30" s="138">
        <f>IF($C$17&lt;B30,0,DCF!$C$16)</f>
        <v>6.1350776830187602E-2</v>
      </c>
      <c r="E30" s="124">
        <f t="shared" si="0"/>
        <v>0.48519392830146441</v>
      </c>
      <c r="F30" s="125">
        <f t="shared" si="1"/>
        <v>89492.814075788032</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1439067.1669575963</v>
      </c>
      <c r="D51" s="139">
        <f>Terminal_Growth</f>
        <v>0</v>
      </c>
      <c r="E51" s="124">
        <f>1/(1+Equity_Cost)^C17</f>
        <v>0.48519392830146441</v>
      </c>
      <c r="F51" s="125">
        <f t="shared" si="1"/>
        <v>698226.65182581544</v>
      </c>
      <c r="H51" s="120"/>
    </row>
    <row r="52" spans="1:17">
      <c r="C52" s="114"/>
      <c r="E52" s="127" t="s">
        <v>97</v>
      </c>
      <c r="F52" s="137">
        <f>SUM(F21:F51)</f>
        <v>1646761.9362657736</v>
      </c>
      <c r="H52" s="120"/>
    </row>
    <row r="53" spans="1:17">
      <c r="C53" s="114"/>
      <c r="H53" s="120"/>
    </row>
    <row r="54" spans="1:17" ht="13.15">
      <c r="B54" s="119" t="s">
        <v>125</v>
      </c>
      <c r="C54" s="136"/>
      <c r="D54" s="136"/>
      <c r="E54" s="117"/>
      <c r="F54" s="117"/>
      <c r="H54" s="120"/>
    </row>
    <row r="55" spans="1:17" ht="13.15">
      <c r="A55" s="133">
        <f>F52</f>
        <v>1646761.9362657736</v>
      </c>
      <c r="B55" s="131">
        <f>C78</f>
        <v>0</v>
      </c>
      <c r="C55" s="131">
        <f>C77</f>
        <v>0.01</v>
      </c>
      <c r="D55" s="131">
        <f>C76</f>
        <v>0.05</v>
      </c>
      <c r="E55" s="131">
        <f>C75</f>
        <v>0.08</v>
      </c>
      <c r="F55" s="131">
        <f>C74</f>
        <v>0.1</v>
      </c>
      <c r="H55" s="120"/>
    </row>
    <row r="56" spans="1:17" ht="13.15">
      <c r="A56" s="143">
        <v>5</v>
      </c>
      <c r="B56" s="123">
        <f t="dataTable" ref="B56:F61" dt2D="1" dtr="1" r1="C16" r2="C17"/>
        <v>1355882.7094426691</v>
      </c>
      <c r="C56" s="123">
        <v>1377227.3778092652</v>
      </c>
      <c r="D56" s="123">
        <v>1465737.6878832947</v>
      </c>
      <c r="E56" s="123">
        <v>1535602.8534480981</v>
      </c>
      <c r="F56" s="123">
        <v>1583946.0012884834</v>
      </c>
      <c r="H56" s="120"/>
    </row>
    <row r="57" spans="1:17" ht="13.15">
      <c r="A57" s="143">
        <v>10</v>
      </c>
      <c r="B57" s="123">
        <v>1355882.7094426695</v>
      </c>
      <c r="C57" s="123">
        <v>1397692.2561812825</v>
      </c>
      <c r="D57" s="123">
        <v>1586267.2610946798</v>
      </c>
      <c r="E57" s="123">
        <v>1753787.7887244106</v>
      </c>
      <c r="F57" s="123">
        <v>1880145.645094349</v>
      </c>
      <c r="H57" s="120"/>
    </row>
    <row r="58" spans="1:17" ht="13.15">
      <c r="A58" s="143">
        <v>15</v>
      </c>
      <c r="B58" s="123">
        <v>1355882.7094426693</v>
      </c>
      <c r="C58" s="341">
        <v>1422959.0385313975</v>
      </c>
      <c r="D58" s="123">
        <v>1751328.6343555111</v>
      </c>
      <c r="E58" s="123">
        <v>2078278.3794548714</v>
      </c>
      <c r="F58" s="123">
        <v>2346486.2856683689</v>
      </c>
      <c r="G58" s="338"/>
      <c r="H58" s="339"/>
      <c r="I58" s="338"/>
      <c r="J58" s="338"/>
      <c r="K58" s="338"/>
      <c r="L58" s="338"/>
      <c r="M58" s="338"/>
      <c r="N58" s="338"/>
      <c r="O58" s="338"/>
      <c r="P58" s="338"/>
      <c r="Q58" s="338"/>
    </row>
    <row r="59" spans="1:17" ht="13.15">
      <c r="A59" s="144">
        <v>20</v>
      </c>
      <c r="B59" s="123">
        <v>1355882.7094426695</v>
      </c>
      <c r="C59" s="341">
        <v>1448620.4599971627</v>
      </c>
      <c r="D59" s="123">
        <v>1938406.7120858128</v>
      </c>
      <c r="E59" s="123">
        <v>2480866.4929666566</v>
      </c>
      <c r="F59" s="123">
        <v>2963014.3767434643</v>
      </c>
      <c r="G59" s="338"/>
      <c r="H59" s="339"/>
      <c r="I59" s="338"/>
      <c r="J59" s="338"/>
      <c r="K59" s="338"/>
      <c r="L59" s="338"/>
      <c r="M59" s="338"/>
      <c r="N59" s="338"/>
      <c r="O59" s="338"/>
      <c r="P59" s="338"/>
      <c r="Q59" s="338"/>
    </row>
    <row r="60" spans="1:17" ht="13.15">
      <c r="A60" s="144">
        <v>25</v>
      </c>
      <c r="B60" s="123">
        <v>1355882.7094426695</v>
      </c>
      <c r="C60" s="341">
        <v>1472396.9814872369</v>
      </c>
      <c r="D60" s="123">
        <v>2132817.6215176256</v>
      </c>
      <c r="E60" s="123">
        <v>2941998.5631594639</v>
      </c>
      <c r="F60" s="123">
        <v>3719689.4933723528</v>
      </c>
      <c r="G60" s="338"/>
      <c r="H60" s="339"/>
      <c r="I60" s="338"/>
      <c r="J60" s="338"/>
      <c r="K60" s="338"/>
      <c r="L60" s="338"/>
      <c r="M60" s="338"/>
      <c r="N60" s="338"/>
      <c r="O60" s="338"/>
      <c r="P60" s="338"/>
      <c r="Q60" s="338"/>
    </row>
    <row r="61" spans="1:17" ht="13.15">
      <c r="A61" s="144">
        <v>30</v>
      </c>
      <c r="B61" s="123">
        <v>1355882.7094426693</v>
      </c>
      <c r="C61" s="341">
        <v>1493279.3992441394</v>
      </c>
      <c r="D61" s="123">
        <v>2325221.4882031037</v>
      </c>
      <c r="E61" s="123">
        <v>3448151.6681637811</v>
      </c>
      <c r="F61" s="123">
        <v>4613846.2892309753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0.05</v>
      </c>
      <c r="E64" s="132">
        <f>E55</f>
        <v>0.08</v>
      </c>
      <c r="F64" s="132">
        <f>F55</f>
        <v>0.1</v>
      </c>
      <c r="H64" s="120"/>
    </row>
    <row r="65" spans="1:8" ht="13.15">
      <c r="A65" s="143">
        <v>0</v>
      </c>
      <c r="B65" s="124">
        <f>C12</f>
        <v>5.4614540634158688</v>
      </c>
      <c r="C65" s="124">
        <f>C12</f>
        <v>5.4614540634158688</v>
      </c>
      <c r="D65" s="124">
        <f>C12</f>
        <v>5.4614540634158688</v>
      </c>
      <c r="E65" s="141">
        <f>C12</f>
        <v>5.4614540634158688</v>
      </c>
      <c r="F65" s="124">
        <f>C12</f>
        <v>5.4614540634158688</v>
      </c>
      <c r="H65" s="120"/>
    </row>
    <row r="66" spans="1:8" ht="13.15">
      <c r="A66" s="143">
        <f t="shared" ref="A66:A71" si="3">A56</f>
        <v>5</v>
      </c>
      <c r="B66" s="124">
        <f t="shared" ref="B66:F71" si="4">(B56-$C$7+$C$8+$C$9)/Common_Shares*$C$3*Exchange_Rate</f>
        <v>5.4614540634158688</v>
      </c>
      <c r="C66" s="124">
        <f t="shared" si="4"/>
        <v>5.5097303708648804</v>
      </c>
      <c r="D66" s="124">
        <f t="shared" si="4"/>
        <v>5.7099185803115171</v>
      </c>
      <c r="E66" s="124">
        <f t="shared" si="4"/>
        <v>5.8679361308704623</v>
      </c>
      <c r="F66" s="124">
        <f t="shared" si="4"/>
        <v>5.9772762540390101</v>
      </c>
      <c r="H66" s="120"/>
    </row>
    <row r="67" spans="1:8" ht="13.15">
      <c r="A67" s="143">
        <f t="shared" si="3"/>
        <v>10</v>
      </c>
      <c r="B67" s="124">
        <f t="shared" si="4"/>
        <v>5.4614540634158697</v>
      </c>
      <c r="C67" s="124">
        <f t="shared" si="4"/>
        <v>5.5560168131382239</v>
      </c>
      <c r="D67" s="124">
        <f t="shared" si="4"/>
        <v>5.9825263638157606</v>
      </c>
      <c r="E67" s="124">
        <f t="shared" si="4"/>
        <v>6.3614159467773694</v>
      </c>
      <c r="F67" s="124">
        <f t="shared" si="4"/>
        <v>6.647205850745129</v>
      </c>
      <c r="H67" s="120"/>
    </row>
    <row r="68" spans="1:8" ht="13.15">
      <c r="A68" s="143">
        <f t="shared" si="3"/>
        <v>15</v>
      </c>
      <c r="B68" s="124">
        <f t="shared" si="4"/>
        <v>5.4614540634158688</v>
      </c>
      <c r="C68" s="124">
        <f t="shared" si="4"/>
        <v>5.6131639625823606</v>
      </c>
      <c r="D68" s="124">
        <f t="shared" si="4"/>
        <v>6.3558539539490653</v>
      </c>
      <c r="E68" s="124">
        <f t="shared" si="4"/>
        <v>7.0953325976882198</v>
      </c>
      <c r="F68" s="124">
        <f t="shared" si="4"/>
        <v>7.7019518769496296</v>
      </c>
      <c r="H68" s="120"/>
    </row>
    <row r="69" spans="1:8" ht="13.15">
      <c r="A69" s="144">
        <f t="shared" si="3"/>
        <v>20</v>
      </c>
      <c r="B69" s="124">
        <f t="shared" si="4"/>
        <v>5.4614540634158697</v>
      </c>
      <c r="C69" s="124">
        <f t="shared" si="4"/>
        <v>5.6712036871160381</v>
      </c>
      <c r="D69" s="124">
        <f t="shared" si="4"/>
        <v>6.7789778293057799</v>
      </c>
      <c r="E69" s="124">
        <f t="shared" si="4"/>
        <v>8.0058863345468527</v>
      </c>
      <c r="F69" s="124">
        <f t="shared" si="4"/>
        <v>9.0963843958578501</v>
      </c>
      <c r="H69" s="120"/>
    </row>
    <row r="70" spans="1:8" ht="13.15">
      <c r="A70" s="144">
        <f t="shared" si="3"/>
        <v>25</v>
      </c>
      <c r="B70" s="124">
        <f t="shared" si="4"/>
        <v>5.4614540634158697</v>
      </c>
      <c r="C70" s="124">
        <f t="shared" si="4"/>
        <v>5.7249802387967001</v>
      </c>
      <c r="D70" s="124">
        <f t="shared" si="4"/>
        <v>7.2186867380588469</v>
      </c>
      <c r="E70" s="124">
        <f t="shared" si="4"/>
        <v>9.0488518757714722</v>
      </c>
      <c r="F70" s="124">
        <f t="shared" si="4"/>
        <v>10.80779447457148</v>
      </c>
    </row>
    <row r="71" spans="1:8" ht="13.15">
      <c r="A71" s="144">
        <f t="shared" si="3"/>
        <v>30</v>
      </c>
      <c r="B71" s="124">
        <f t="shared" si="4"/>
        <v>5.4614540634158688</v>
      </c>
      <c r="C71" s="124">
        <f t="shared" si="4"/>
        <v>5.7722110508475728</v>
      </c>
      <c r="D71" s="124">
        <f t="shared" si="4"/>
        <v>7.6538562175258145</v>
      </c>
      <c r="E71" s="124">
        <f t="shared" si="4"/>
        <v>10.193643750434681</v>
      </c>
      <c r="F71" s="124">
        <f t="shared" si="4"/>
        <v>12.830153765571206</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15</v>
      </c>
      <c r="E74" s="135">
        <f>INDEX(B$65:F$71, MATCH(D74, A$65:A$71, 0), MATCH(C74, B$64:F$64, 0))</f>
        <v>7.7019518769496296</v>
      </c>
      <c r="F74" s="142">
        <f>Scenarios!C58</f>
        <v>0.1</v>
      </c>
    </row>
    <row r="75" spans="1:8">
      <c r="B75" s="127" t="str">
        <f>Scenarios!B36</f>
        <v>Optimistic</v>
      </c>
      <c r="C75" s="142">
        <f>Scenarios!C38</f>
        <v>0.08</v>
      </c>
      <c r="D75" s="145">
        <f>Scenarios!C37</f>
        <v>10</v>
      </c>
      <c r="E75" s="135">
        <f>INDEX(B$65:F$71, MATCH(D75, A$65:A$71, 0), MATCH(C75, B$64:F$64, 0))</f>
        <v>6.3614159467773694</v>
      </c>
      <c r="F75" s="142">
        <f>Scenarios!C40*(1-F$74-F$78)</f>
        <v>0.17</v>
      </c>
      <c r="H75" s="120"/>
    </row>
    <row r="76" spans="1:8">
      <c r="B76" s="127" t="str">
        <f>Scenarios!B24</f>
        <v>Base</v>
      </c>
      <c r="C76" s="142">
        <f>Scenarios!C26</f>
        <v>0.05</v>
      </c>
      <c r="D76" s="145">
        <f>Scenarios!C25</f>
        <v>10</v>
      </c>
      <c r="E76" s="135">
        <f>INDEX(B$65:F$71, MATCH(D76, A$65:A$71, 0), MATCH(C76, B$64:F$64, 0))</f>
        <v>5.9825263638157606</v>
      </c>
      <c r="F76" s="142">
        <f>Scenarios!C28*(1-F$74-F$78)</f>
        <v>0.51</v>
      </c>
      <c r="H76" s="120"/>
    </row>
    <row r="77" spans="1:8">
      <c r="B77" s="127" t="str">
        <f>Scenarios!B30</f>
        <v>Pessimistic</v>
      </c>
      <c r="C77" s="142">
        <f>Scenarios!C32</f>
        <v>0.01</v>
      </c>
      <c r="D77" s="145">
        <f>Scenarios!C31</f>
        <v>10</v>
      </c>
      <c r="E77" s="135">
        <f>INDEX(B$65:F$71, MATCH(D77, A$65:A$71, 0), MATCH(C77, B$64:F$64, 0))</f>
        <v>5.5560168131382239</v>
      </c>
      <c r="F77" s="142">
        <f>Scenarios!C34*(1-F$74-F$78)</f>
        <v>0.17</v>
      </c>
      <c r="H77" s="120"/>
    </row>
    <row r="78" spans="1:8">
      <c r="B78" s="127" t="str">
        <f>Scenarios!B48</f>
        <v>Devil's advocate</v>
      </c>
      <c r="C78" s="142">
        <f>Scenarios!C50</f>
        <v>0</v>
      </c>
      <c r="D78" s="145">
        <f>Scenarios!C49</f>
        <v>15</v>
      </c>
      <c r="E78" s="135">
        <f>INDEX(B$65:F$71, MATCH(D78, A$65:A$71, 0), MATCH(C78, B$64:F$64, 0))</f>
        <v>5.4614540634158688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10000</v>
      </c>
      <c r="E3" s="109" t="s">
        <v>120</v>
      </c>
      <c r="H3" s="120"/>
    </row>
    <row r="4" spans="2:8">
      <c r="B4" s="100" t="s">
        <v>417</v>
      </c>
      <c r="C4" s="114">
        <f>Normalized_FCF!C91*(1-dividend_tax_rate)</f>
        <v>79982.308332000001</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1066430.77776</v>
      </c>
      <c r="D6" t="str">
        <f>Reporting_currency</f>
        <v>CNY</v>
      </c>
      <c r="E6" s="378"/>
      <c r="F6" s="378"/>
      <c r="H6" s="120"/>
    </row>
    <row r="7" spans="2:8" ht="13.15">
      <c r="B7" s="149" t="s">
        <v>421</v>
      </c>
      <c r="C7" s="111">
        <f>(C6*scaling_factor)/Common_Shares*Exchange_Rate</f>
        <v>2.4119999999999999</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6.1350776830187602E-2</v>
      </c>
      <c r="H11" s="120"/>
    </row>
    <row r="12" spans="2:8" ht="13.35" customHeight="1">
      <c r="B12" s="118" t="s">
        <v>130</v>
      </c>
      <c r="C12" s="162">
        <f>Scenarios!C64</f>
        <v>10</v>
      </c>
      <c r="H12" s="120"/>
    </row>
    <row r="13" spans="2:8" ht="13.35" customHeight="1">
      <c r="B13" s="153" t="s">
        <v>103</v>
      </c>
      <c r="C13" s="140">
        <f>F47/Common_Shares*scaling_factor</f>
        <v>2.9294494004615776</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84889.285080839778</v>
      </c>
      <c r="D16" s="138">
        <f>IF($C$12&lt;B16,0,DDM!$C$11)</f>
        <v>6.1350776830187602E-2</v>
      </c>
      <c r="E16" s="124">
        <f t="shared" ref="E16:E45" si="0">IF($C$12&lt;B16,0,1/(1+Equity_Cost)^B16)</f>
        <v>0.93023255813953487</v>
      </c>
      <c r="F16" s="125">
        <f t="shared" ref="F16:F46" si="1">C16*E16</f>
        <v>78966.776819385836</v>
      </c>
      <c r="H16" s="120"/>
    </row>
    <row r="17" spans="2:8">
      <c r="B17" s="122">
        <v>2</v>
      </c>
      <c r="C17" s="123">
        <f t="shared" ref="C17:C45" si="2">IF(ROW()-ROW($C$16)&lt;$C$12, $C$16*(1+D17)^(ROW()-ROW($C$16)), 0)</f>
        <v>90097.308665108547</v>
      </c>
      <c r="D17" s="138">
        <f>IF($C$12&lt;B17,0,DDM!$C$11)</f>
        <v>6.1350776830187602E-2</v>
      </c>
      <c r="E17" s="124">
        <f t="shared" si="0"/>
        <v>0.86533261222282321</v>
      </c>
      <c r="F17" s="125">
        <f t="shared" si="1"/>
        <v>77964.139461424376</v>
      </c>
      <c r="H17" s="120"/>
    </row>
    <row r="18" spans="2:8">
      <c r="B18" s="122">
        <v>3</v>
      </c>
      <c r="C18" s="123">
        <f t="shared" si="2"/>
        <v>95624.84854202214</v>
      </c>
      <c r="D18" s="138">
        <f>IF($C$12&lt;B18,0,DDM!$C$11)</f>
        <v>6.1350776830187602E-2</v>
      </c>
      <c r="E18" s="124">
        <f t="shared" si="0"/>
        <v>0.80496056950960304</v>
      </c>
      <c r="F18" s="125">
        <f t="shared" si="1"/>
        <v>76974.232541655671</v>
      </c>
      <c r="H18" s="120"/>
    </row>
    <row r="19" spans="2:8">
      <c r="B19" s="122">
        <v>4</v>
      </c>
      <c r="C19" s="123">
        <f t="shared" si="2"/>
        <v>101491.50728434422</v>
      </c>
      <c r="D19" s="138">
        <f>IF($C$12&lt;B19,0,DDM!$C$11)</f>
        <v>6.1350776830187602E-2</v>
      </c>
      <c r="E19" s="124">
        <f t="shared" si="0"/>
        <v>0.7488005297763749</v>
      </c>
      <c r="F19" s="125">
        <f t="shared" si="1"/>
        <v>75996.894422319761</v>
      </c>
      <c r="H19" s="120"/>
    </row>
    <row r="20" spans="2:8">
      <c r="B20" s="122">
        <v>5</v>
      </c>
      <c r="C20" s="123">
        <f t="shared" si="2"/>
        <v>107718.09009790535</v>
      </c>
      <c r="D20" s="138">
        <f>IF($C$12&lt;B20,0,DDM!$C$11)</f>
        <v>6.1350776830187602E-2</v>
      </c>
      <c r="E20" s="124">
        <f t="shared" si="0"/>
        <v>0.69655863235011617</v>
      </c>
      <c r="F20" s="125">
        <f t="shared" si="1"/>
        <v>75031.965517963545</v>
      </c>
      <c r="H20" s="120"/>
    </row>
    <row r="21" spans="2:8">
      <c r="B21" s="122">
        <v>6</v>
      </c>
      <c r="C21" s="123">
        <f t="shared" si="2"/>
        <v>114326.67860407599</v>
      </c>
      <c r="D21" s="138">
        <f>IF($C$12&lt;B21,0,DDM!$C$11)</f>
        <v>6.1350776830187602E-2</v>
      </c>
      <c r="E21" s="124">
        <f t="shared" si="0"/>
        <v>0.64796151846522443</v>
      </c>
      <c r="F21" s="125">
        <f t="shared" si="1"/>
        <v>74079.288269382771</v>
      </c>
      <c r="H21" s="120"/>
    </row>
    <row r="22" spans="2:8">
      <c r="B22" s="122">
        <v>7</v>
      </c>
      <c r="C22" s="123">
        <f t="shared" si="2"/>
        <v>121340.70914885121</v>
      </c>
      <c r="D22" s="138">
        <f>IF($C$12&lt;B22,0,DDM!$C$11)</f>
        <v>6.1350776830187602E-2</v>
      </c>
      <c r="E22" s="124">
        <f t="shared" si="0"/>
        <v>0.60275490089788319</v>
      </c>
      <c r="F22" s="125">
        <f t="shared" si="1"/>
        <v>73138.707117894679</v>
      </c>
      <c r="H22" s="120"/>
    </row>
    <row r="23" spans="2:8">
      <c r="B23" s="122">
        <v>8</v>
      </c>
      <c r="C23" s="123">
        <f t="shared" si="2"/>
        <v>128785.05591625907</v>
      </c>
      <c r="D23" s="138">
        <f>IF($C$12&lt;B23,0,DDM!$C$11)</f>
        <v>6.1350776830187602E-2</v>
      </c>
      <c r="E23" s="124">
        <f t="shared" si="0"/>
        <v>0.56070223339337966</v>
      </c>
      <c r="F23" s="125">
        <f t="shared" si="1"/>
        <v>72210.068479937734</v>
      </c>
      <c r="H23" s="120"/>
    </row>
    <row r="24" spans="2:8">
      <c r="B24" s="122">
        <v>9</v>
      </c>
      <c r="C24" s="123">
        <f t="shared" si="2"/>
        <v>136686.11914084069</v>
      </c>
      <c r="D24" s="138">
        <f>IF($C$12&lt;B24,0,DDM!$C$11)</f>
        <v>6.1350776830187602E-2</v>
      </c>
      <c r="E24" s="124">
        <f t="shared" si="0"/>
        <v>0.52158347292407414</v>
      </c>
      <c r="F24" s="125">
        <f t="shared" si="1"/>
        <v>71293.22072199345</v>
      </c>
      <c r="H24" s="120"/>
    </row>
    <row r="25" spans="2:8">
      <c r="B25" s="122">
        <v>10</v>
      </c>
      <c r="C25" s="123">
        <f t="shared" si="2"/>
        <v>145071.91873203483</v>
      </c>
      <c r="D25" s="138">
        <f>IF($C$12&lt;B25,0,DDM!$C$11)</f>
        <v>6.1350776830187602E-2</v>
      </c>
      <c r="E25" s="124">
        <f t="shared" si="0"/>
        <v>0.48519392830146441</v>
      </c>
      <c r="F25" s="125">
        <f t="shared" si="1"/>
        <v>70388.014135826772</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1131857.1344111972</v>
      </c>
      <c r="D46" s="139">
        <f>Terminal_Growth</f>
        <v>0</v>
      </c>
      <c r="E46" s="124">
        <f>1/(1+Equity_Cost)^C12</f>
        <v>0.48519392830146441</v>
      </c>
      <c r="F46" s="125">
        <f t="shared" si="1"/>
        <v>549170.20932100737</v>
      </c>
      <c r="H46" s="120"/>
    </row>
    <row r="47" spans="2:8">
      <c r="C47" s="114"/>
      <c r="E47" s="127" t="s">
        <v>97</v>
      </c>
      <c r="F47" s="137">
        <f>SUM(F16:F46)</f>
        <v>1295213.516808792</v>
      </c>
      <c r="H47" s="120"/>
    </row>
    <row r="48" spans="2:8">
      <c r="C48" s="114"/>
      <c r="H48" s="120"/>
    </row>
    <row r="49" spans="1:8" ht="13.15">
      <c r="B49" s="119" t="s">
        <v>125</v>
      </c>
      <c r="C49" s="136"/>
      <c r="D49" s="136"/>
      <c r="E49" s="117"/>
      <c r="F49" s="117"/>
      <c r="H49" s="120"/>
    </row>
    <row r="50" spans="1:8" ht="13.15">
      <c r="A50" s="133">
        <f>F47</f>
        <v>1295213.516808792</v>
      </c>
      <c r="B50" s="131">
        <f>C73</f>
        <v>0</v>
      </c>
      <c r="C50" s="131">
        <f>C72</f>
        <v>0.01</v>
      </c>
      <c r="D50" s="131">
        <f>C71</f>
        <v>0.05</v>
      </c>
      <c r="E50" s="131">
        <f>C70</f>
        <v>0.08</v>
      </c>
      <c r="F50" s="131">
        <f>C69</f>
        <v>0.1</v>
      </c>
      <c r="H50" s="120"/>
    </row>
    <row r="51" spans="1:8" ht="13.15">
      <c r="A51" s="143">
        <v>5</v>
      </c>
      <c r="B51" s="123">
        <f t="dataTable" ref="B51:F56" dt2D="1" dtr="1" r1="C11" r2="C12"/>
        <v>1066430.7777600002</v>
      </c>
      <c r="C51" s="123">
        <v>1083218.8163777171</v>
      </c>
      <c r="D51" s="123">
        <v>1152834.0700826817</v>
      </c>
      <c r="E51" s="123">
        <v>1207784.5184752494</v>
      </c>
      <c r="F51" s="123">
        <v>1245807.4391834722</v>
      </c>
      <c r="H51" s="120"/>
    </row>
    <row r="52" spans="1:8" ht="13.15">
      <c r="A52" s="143">
        <v>10</v>
      </c>
      <c r="B52" s="123">
        <v>1066430.7777600002</v>
      </c>
      <c r="C52" s="123">
        <v>1099314.8813301236</v>
      </c>
      <c r="D52" s="123">
        <v>1247633.1597146548</v>
      </c>
      <c r="E52" s="123">
        <v>1379391.6409806137</v>
      </c>
      <c r="F52" s="123">
        <v>1478774.8000888736</v>
      </c>
      <c r="H52" s="120"/>
    </row>
    <row r="53" spans="1:8" ht="13.15">
      <c r="A53" s="143">
        <v>15</v>
      </c>
      <c r="B53" s="123">
        <v>1066430.77776</v>
      </c>
      <c r="C53" s="123">
        <v>1119187.7465606285</v>
      </c>
      <c r="D53" s="123">
        <v>1377457.4634238132</v>
      </c>
      <c r="E53" s="123">
        <v>1634610.437295767</v>
      </c>
      <c r="F53" s="123">
        <v>1845561.6973366968</v>
      </c>
      <c r="H53" s="120"/>
    </row>
    <row r="54" spans="1:8" ht="13.15">
      <c r="A54" s="144">
        <v>20</v>
      </c>
      <c r="B54" s="123">
        <v>1066430.7777600002</v>
      </c>
      <c r="C54" s="123">
        <v>1139371.0039040397</v>
      </c>
      <c r="D54" s="123">
        <v>1524598.3765325719</v>
      </c>
      <c r="E54" s="123">
        <v>1951254.6071928665</v>
      </c>
      <c r="F54" s="123">
        <v>2330474.2396216849</v>
      </c>
      <c r="H54" s="120"/>
    </row>
    <row r="55" spans="1:8" ht="13.15">
      <c r="A55" s="144">
        <v>25</v>
      </c>
      <c r="B55" s="123">
        <v>1066430.7777600002</v>
      </c>
      <c r="C55" s="123">
        <v>1158071.7470645669</v>
      </c>
      <c r="D55" s="123">
        <v>1677506.7187560801</v>
      </c>
      <c r="E55" s="123">
        <v>2313944.8523306139</v>
      </c>
      <c r="F55" s="123">
        <v>2925615.4177770391</v>
      </c>
      <c r="H55" s="120"/>
    </row>
    <row r="56" spans="1:8" ht="13.15">
      <c r="A56" s="144">
        <v>30</v>
      </c>
      <c r="B56" s="123">
        <v>1066430.7777600002</v>
      </c>
      <c r="C56" s="123">
        <v>1174496.2156818833</v>
      </c>
      <c r="D56" s="123">
        <v>1828836.4788927562</v>
      </c>
      <c r="E56" s="123">
        <v>2712045.1051594634</v>
      </c>
      <c r="F56" s="123">
        <v>3628888.8798590619</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0.05</v>
      </c>
      <c r="E59" s="132">
        <f>E50</f>
        <v>0.08</v>
      </c>
      <c r="F59" s="132">
        <f>F50</f>
        <v>0.1</v>
      </c>
      <c r="H59" s="120"/>
    </row>
    <row r="60" spans="1:8" ht="13.15">
      <c r="A60" s="143">
        <v>0</v>
      </c>
      <c r="B60" s="124">
        <f>C7</f>
        <v>2.4119999999999999</v>
      </c>
      <c r="C60" s="124">
        <f>C7</f>
        <v>2.4119999999999999</v>
      </c>
      <c r="D60" s="124">
        <f>C7</f>
        <v>2.4119999999999999</v>
      </c>
      <c r="E60" s="141">
        <f>C7</f>
        <v>2.4119999999999999</v>
      </c>
      <c r="F60" s="124">
        <f>C7</f>
        <v>2.4119999999999999</v>
      </c>
      <c r="H60" s="120"/>
    </row>
    <row r="61" spans="1:8" ht="13.15">
      <c r="A61" s="143">
        <f t="shared" ref="A61:A66" si="3">A51</f>
        <v>5</v>
      </c>
      <c r="B61" s="124">
        <f t="shared" ref="B61:F66" si="4">B51/Common_Shares*$C$3*Exchange_Rate</f>
        <v>2.4120000000000004</v>
      </c>
      <c r="C61" s="124">
        <f t="shared" si="4"/>
        <v>2.4499703493094853</v>
      </c>
      <c r="D61" s="124">
        <f t="shared" si="4"/>
        <v>2.6074226616752894</v>
      </c>
      <c r="E61" s="124">
        <f t="shared" si="4"/>
        <v>2.7317068480350173</v>
      </c>
      <c r="F61" s="124">
        <f t="shared" si="4"/>
        <v>2.8177051956641712</v>
      </c>
      <c r="H61" s="120"/>
    </row>
    <row r="62" spans="1:8" ht="13.15">
      <c r="A62" s="143">
        <f t="shared" si="3"/>
        <v>10</v>
      </c>
      <c r="B62" s="124">
        <f t="shared" si="4"/>
        <v>2.4120000000000004</v>
      </c>
      <c r="C62" s="124">
        <f t="shared" si="4"/>
        <v>2.486375627059207</v>
      </c>
      <c r="D62" s="124">
        <f t="shared" si="4"/>
        <v>2.8218345193981147</v>
      </c>
      <c r="E62" s="124">
        <f t="shared" si="4"/>
        <v>3.1198392876785501</v>
      </c>
      <c r="F62" s="124">
        <f t="shared" si="4"/>
        <v>3.3446191653492128</v>
      </c>
      <c r="H62" s="120"/>
    </row>
    <row r="63" spans="1:8" ht="13.15">
      <c r="A63" s="143">
        <f t="shared" si="3"/>
        <v>15</v>
      </c>
      <c r="B63" s="124">
        <f t="shared" si="4"/>
        <v>2.4119999999999999</v>
      </c>
      <c r="C63" s="124">
        <f t="shared" si="4"/>
        <v>2.5313230835051477</v>
      </c>
      <c r="D63" s="124">
        <f t="shared" si="4"/>
        <v>3.1154646612477546</v>
      </c>
      <c r="E63" s="124">
        <f t="shared" si="4"/>
        <v>3.6970804453326549</v>
      </c>
      <c r="F63" s="124">
        <f t="shared" si="4"/>
        <v>4.174199494997997</v>
      </c>
      <c r="H63" s="120"/>
    </row>
    <row r="64" spans="1:8" ht="13.15">
      <c r="A64" s="144">
        <f t="shared" si="3"/>
        <v>20</v>
      </c>
      <c r="B64" s="124">
        <f t="shared" si="4"/>
        <v>2.4120000000000004</v>
      </c>
      <c r="C64" s="124">
        <f t="shared" si="4"/>
        <v>2.5769725693672894</v>
      </c>
      <c r="D64" s="124">
        <f t="shared" si="4"/>
        <v>3.4482606474661832</v>
      </c>
      <c r="E64" s="124">
        <f t="shared" si="4"/>
        <v>4.4132504525374587</v>
      </c>
      <c r="F64" s="124">
        <f t="shared" si="4"/>
        <v>5.2709505231782909</v>
      </c>
      <c r="H64" s="120"/>
    </row>
    <row r="65" spans="1:8" ht="13.15">
      <c r="A65" s="144">
        <f t="shared" si="3"/>
        <v>25</v>
      </c>
      <c r="B65" s="124">
        <f t="shared" si="4"/>
        <v>2.4120000000000004</v>
      </c>
      <c r="C65" s="124">
        <f t="shared" si="4"/>
        <v>2.6192689785143841</v>
      </c>
      <c r="D65" s="124">
        <f t="shared" si="4"/>
        <v>3.7941011175038026</v>
      </c>
      <c r="E65" s="124">
        <f t="shared" si="4"/>
        <v>5.2335651785525421</v>
      </c>
      <c r="F65" s="124">
        <f t="shared" si="4"/>
        <v>6.6170111880119622</v>
      </c>
    </row>
    <row r="66" spans="1:8" ht="13.15">
      <c r="A66" s="144">
        <f t="shared" si="3"/>
        <v>30</v>
      </c>
      <c r="B66" s="124">
        <f t="shared" si="4"/>
        <v>2.4120000000000004</v>
      </c>
      <c r="C66" s="124">
        <f t="shared" si="4"/>
        <v>2.6564170233112332</v>
      </c>
      <c r="D66" s="124">
        <f t="shared" si="4"/>
        <v>4.136371229227648</v>
      </c>
      <c r="E66" s="124">
        <f t="shared" si="4"/>
        <v>6.1339684957186957</v>
      </c>
      <c r="F66" s="124">
        <f t="shared" si="4"/>
        <v>8.2076400651199997</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15</v>
      </c>
      <c r="E69" s="135">
        <f>INDEX(B$60:F$66, MATCH(D69, A$60:A$66, 0), MATCH(C69, B$59:F$59, 0))</f>
        <v>4.174199494997997</v>
      </c>
      <c r="F69" s="142">
        <f>Scenarios!C58</f>
        <v>0.1</v>
      </c>
    </row>
    <row r="70" spans="1:8">
      <c r="B70" s="127" t="str">
        <f>Scenarios!B36</f>
        <v>Optimistic</v>
      </c>
      <c r="C70" s="142">
        <f>Scenarios!C38</f>
        <v>0.08</v>
      </c>
      <c r="D70" s="145">
        <f>Scenarios!C37</f>
        <v>10</v>
      </c>
      <c r="E70" s="135">
        <f>INDEX(B$60:F$66, MATCH(D70, A$60:A$66, 0), MATCH(C70, B$59:F$59, 0))</f>
        <v>3.1198392876785501</v>
      </c>
      <c r="F70" s="142">
        <f>Scenarios!C40*(1-F$69-F$73)</f>
        <v>0.17</v>
      </c>
      <c r="H70" s="120"/>
    </row>
    <row r="71" spans="1:8">
      <c r="B71" s="127" t="str">
        <f>Scenarios!B24</f>
        <v>Base</v>
      </c>
      <c r="C71" s="142">
        <f>Scenarios!C26</f>
        <v>0.05</v>
      </c>
      <c r="D71" s="145">
        <f>Scenarios!C25</f>
        <v>10</v>
      </c>
      <c r="E71" s="135">
        <f>INDEX(B$60:F$66, MATCH(D71, A$60:A$66, 0), MATCH(C71, B$59:F$59, 0))</f>
        <v>2.8218345193981147</v>
      </c>
      <c r="F71" s="142">
        <f>Scenarios!C28*(1-F$69-F$73)</f>
        <v>0.51</v>
      </c>
      <c r="H71" s="120"/>
    </row>
    <row r="72" spans="1:8">
      <c r="B72" s="127" t="str">
        <f>Scenarios!B30</f>
        <v>Pessimistic</v>
      </c>
      <c r="C72" s="142">
        <f>Scenarios!C32</f>
        <v>0.01</v>
      </c>
      <c r="D72" s="145">
        <f>Scenarios!C31</f>
        <v>10</v>
      </c>
      <c r="E72" s="135">
        <f>INDEX(B$60:F$66, MATCH(D72, A$60:A$66, 0), MATCH(C72, B$59:F$59, 0))</f>
        <v>2.486375627059207</v>
      </c>
      <c r="F72" s="142">
        <f>Scenarios!C34*(1-F$69-F$73)</f>
        <v>0.17</v>
      </c>
      <c r="H72" s="120"/>
    </row>
    <row r="73" spans="1:8">
      <c r="B73" s="127" t="str">
        <f>Scenarios!B48</f>
        <v>Devil's advocate</v>
      </c>
      <c r="C73" s="142">
        <f>Scenarios!C50</f>
        <v>0</v>
      </c>
      <c r="D73" s="145">
        <f>Scenarios!C49</f>
        <v>15</v>
      </c>
      <c r="E73" s="135">
        <f>INDEX(B$60:F$66, MATCH(D73, A$60:A$66, 0), MATCH(C73, B$59:F$59, 0))</f>
        <v>2.4119999999999999</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-5.68</v>
      </c>
    </row>
    <row r="4" spans="2:9">
      <c r="B4" s="152" t="s">
        <v>142</v>
      </c>
      <c r="C4" s="120">
        <v>3</v>
      </c>
      <c r="D4" s="120"/>
      <c r="E4" s="155" t="s">
        <v>146</v>
      </c>
      <c r="F4" s="155"/>
      <c r="H4" s="247">
        <v>1</v>
      </c>
      <c r="I4" s="124">
        <f t="shared" ref="I4:I13" si="0">IF(ROW()-3 &lt; $C$76, $C$77, IF(ROW()-3 = $C$76, $C$77 + $C$60, ""))</f>
        <v>0.18089999999999998</v>
      </c>
    </row>
    <row r="5" spans="2:9">
      <c r="H5" s="247">
        <v>2</v>
      </c>
      <c r="I5" s="124">
        <f t="shared" si="0"/>
        <v>0.18089999999999998</v>
      </c>
    </row>
    <row r="6" spans="2:9" ht="13.15">
      <c r="B6" s="159" t="s">
        <v>92</v>
      </c>
      <c r="C6" s="107">
        <f>DCF!C3</f>
        <v>10000</v>
      </c>
      <c r="E6" s="100" t="s">
        <v>274</v>
      </c>
      <c r="F6" s="100"/>
      <c r="H6" s="247">
        <v>3</v>
      </c>
      <c r="I6" s="124">
        <f t="shared" si="0"/>
        <v>6.3012199055974456</v>
      </c>
    </row>
    <row r="7" spans="2:9" ht="12.75" customHeight="1">
      <c r="B7" s="100" t="s">
        <v>270</v>
      </c>
      <c r="C7" s="338">
        <f>Normalized_FCF!G8</f>
        <v>191771.88999999984</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海油工程(600583.SS). Each scenario should include the Compound Growth Rate, the Probability Assessment, and the Business Narrative.</v>
      </c>
      <c r="F7" s="380"/>
      <c r="H7" s="247">
        <v>4</v>
      </c>
      <c r="I7" s="124" t="str">
        <f t="shared" si="0"/>
        <v/>
      </c>
    </row>
    <row r="8" spans="2:9">
      <c r="B8" s="100" t="s">
        <v>64</v>
      </c>
      <c r="C8" s="338">
        <f>Normalized_FCF!G19</f>
        <v>142780.44671569683</v>
      </c>
      <c r="D8" t="str">
        <f>Reporting_currency</f>
        <v>CNY</v>
      </c>
      <c r="E8" s="380"/>
      <c r="F8" s="380"/>
      <c r="H8" s="247">
        <v>5</v>
      </c>
      <c r="I8" s="124" t="str">
        <f t="shared" si="0"/>
        <v/>
      </c>
    </row>
    <row r="9" spans="2:9">
      <c r="B9" s="100" t="s">
        <v>55</v>
      </c>
      <c r="C9" s="338">
        <f>Normalized_FCF!C19</f>
        <v>101691.20320820018</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0.14806091180696912</v>
      </c>
      <c r="D12" s="158"/>
      <c r="E12" s="380"/>
      <c r="F12" s="380"/>
      <c r="H12" s="247">
        <v>9</v>
      </c>
      <c r="I12" s="124" t="str">
        <f t="shared" si="0"/>
        <v/>
      </c>
    </row>
    <row r="13" spans="2:9">
      <c r="B13" s="148" t="s">
        <v>148</v>
      </c>
      <c r="C13" s="158">
        <f ca="1">(Normalized_FCF!G8/OFFSET(Normalized_FCF!G8, 0, $C$4))^(1/$C$4) - 1</f>
        <v>0.32719702788845018</v>
      </c>
      <c r="E13" s="380"/>
      <c r="F13" s="380"/>
      <c r="H13" s="247">
        <v>10</v>
      </c>
      <c r="I13" s="124" t="str">
        <f t="shared" si="0"/>
        <v/>
      </c>
    </row>
    <row r="14" spans="2:9">
      <c r="B14" s="100" t="s">
        <v>64</v>
      </c>
      <c r="C14" s="158">
        <f ca="1">(Normalized_FCF!G19/OFFSET(Normalized_FCF!G19, 0, $C$4))^(1/$C$4) - 1</f>
        <v>0.32982639766138688</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5.68</v>
      </c>
      <c r="D21" t="str">
        <f>Market_currency</f>
        <v>CNY</v>
      </c>
      <c r="E21" s="381"/>
      <c r="F21" s="381"/>
    </row>
    <row r="22" spans="2:6">
      <c r="B22" s="100" t="s">
        <v>273</v>
      </c>
      <c r="C22" s="160">
        <f>IF(valuation_method="DCF",DCF!C12,DDM!C7)</f>
        <v>5.4614540634158688</v>
      </c>
      <c r="D22" t="str">
        <f>Market_currency</f>
        <v>CNY</v>
      </c>
      <c r="E22" s="381"/>
      <c r="F22" s="381"/>
    </row>
    <row r="24" spans="2:6" ht="13.15">
      <c r="B24" s="159" t="s">
        <v>111</v>
      </c>
      <c r="E24" s="159" t="s">
        <v>145</v>
      </c>
      <c r="F24" s="159"/>
    </row>
    <row r="25" spans="2:6">
      <c r="B25" s="152" t="s">
        <v>129</v>
      </c>
      <c r="C25" s="166">
        <f>C18</f>
        <v>10</v>
      </c>
      <c r="D25" s="163"/>
      <c r="E25" s="379"/>
      <c r="F25" s="379"/>
    </row>
    <row r="26" spans="2:6">
      <c r="B26" s="118" t="s">
        <v>130</v>
      </c>
      <c r="C26" s="164">
        <v>0.05</v>
      </c>
      <c r="D26" s="164"/>
      <c r="E26" s="379"/>
      <c r="F26" s="379"/>
    </row>
    <row r="27" spans="2:6">
      <c r="B27" s="100" t="s">
        <v>109</v>
      </c>
      <c r="C27" s="160">
        <f>IF(valuation_method="DCF",DCF!E76,DDM!E71)</f>
        <v>5.9825263638157606</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0.01</v>
      </c>
      <c r="D32" s="164"/>
      <c r="E32" s="379"/>
      <c r="F32" s="379"/>
    </row>
    <row r="33" spans="2:6">
      <c r="B33" s="100" t="s">
        <v>109</v>
      </c>
      <c r="C33" s="160">
        <f>IF(valuation_method="DCF",DCF!E77,DDM!E72)</f>
        <v>5.5560168131382239</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0.08</v>
      </c>
      <c r="D38" s="164"/>
      <c r="E38" s="379"/>
      <c r="F38" s="379"/>
    </row>
    <row r="39" spans="2:6">
      <c r="B39" s="100" t="s">
        <v>109</v>
      </c>
      <c r="C39" s="160">
        <f>IF(valuation_method="DCF",DCF!E75,DDM!E70)</f>
        <v>6.3614159467773694</v>
      </c>
      <c r="D39" t="str">
        <f>Market_currency</f>
        <v>CNY</v>
      </c>
      <c r="E39" s="379"/>
      <c r="F39" s="379"/>
    </row>
    <row r="40" spans="2:6">
      <c r="B40" s="100" t="s">
        <v>143</v>
      </c>
      <c r="C40" s="167">
        <f>1-C28-C34</f>
        <v>0.2</v>
      </c>
      <c r="D40" s="165"/>
      <c r="E40" s="379"/>
      <c r="F40" s="379"/>
    </row>
    <row r="42" spans="2:6" ht="13.15">
      <c r="B42" s="100" t="s">
        <v>116</v>
      </c>
      <c r="C42" s="154">
        <f>C27*C28+C33*C34+C39*C40</f>
        <v>5.9730023702725754</v>
      </c>
      <c r="D42" t="str">
        <f>Market_currency</f>
        <v>CNY</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5.4614540634158688</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0.1</v>
      </c>
      <c r="D56" s="164"/>
      <c r="E56" s="379"/>
      <c r="F56" s="379"/>
    </row>
    <row r="57" spans="2:6">
      <c r="B57" s="100" t="s">
        <v>109</v>
      </c>
      <c r="C57" s="160">
        <f>IF(valuation_method="DCF",DCF!E74,DDM!E69)</f>
        <v>7.7019518769496296</v>
      </c>
      <c r="D57" t="str">
        <f>Market_currency</f>
        <v>CNY</v>
      </c>
      <c r="E57" s="379"/>
      <c r="F57" s="379"/>
    </row>
    <row r="58" spans="2:6">
      <c r="B58" s="100" t="s">
        <v>143</v>
      </c>
      <c r="C58" s="165">
        <v>0.1</v>
      </c>
      <c r="D58" s="165"/>
      <c r="E58" s="379"/>
      <c r="F58" s="379"/>
    </row>
    <row r="60" spans="2:6" ht="13.15">
      <c r="B60" s="100" t="s">
        <v>116</v>
      </c>
      <c r="C60" s="154">
        <f>C51*C52+C57*C58+C42*(1-C52-C58)</f>
        <v>6.1203199055974453</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6.1350776830187602E-2</v>
      </c>
      <c r="D65" s="151"/>
      <c r="E65" s="251" t="s">
        <v>304</v>
      </c>
    </row>
    <row r="66" spans="2:6">
      <c r="B66" s="100" t="s">
        <v>99</v>
      </c>
      <c r="C66" s="160">
        <f>IF(valuation_method="DCF",DCF!C18,DDM!C13)</f>
        <v>6.1193502060712941</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0.39128446596497091</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0.18089999999999998</v>
      </c>
      <c r="D77" t="str">
        <f>Market_currency</f>
        <v>CNY</v>
      </c>
    </row>
    <row r="79" spans="2:6" ht="13.15">
      <c r="B79" s="109" t="s">
        <v>296</v>
      </c>
    </row>
    <row r="80" spans="2:6">
      <c r="B80" s="148" t="s">
        <v>294</v>
      </c>
      <c r="C80" s="167">
        <f>Thesis!F29</f>
        <v>0.45</v>
      </c>
    </row>
    <row r="81" spans="2:8">
      <c r="B81" s="100" t="s">
        <v>117</v>
      </c>
      <c r="C81" s="116">
        <f>PV(C80, C76, -C77, 0)</f>
        <v>0.27013727500102497</v>
      </c>
      <c r="D81" s="116"/>
      <c r="E81" s="100"/>
      <c r="F81" s="100"/>
    </row>
    <row r="82" spans="2:8">
      <c r="B82" s="100" t="s">
        <v>118</v>
      </c>
      <c r="C82" s="116">
        <f>C60/(1+C80)^C76</f>
        <v>2.0075673149690254</v>
      </c>
      <c r="D82" s="116"/>
    </row>
    <row r="83" spans="2:8" ht="13.15">
      <c r="B83" s="110" t="s">
        <v>98</v>
      </c>
      <c r="C83" s="111">
        <f>C81+C82</f>
        <v>2.2777045899700505</v>
      </c>
      <c r="D83" t="str">
        <f>Market_currency</f>
        <v>CNY</v>
      </c>
      <c r="E83" s="146" t="s">
        <v>122</v>
      </c>
      <c r="F83" s="291">
        <f>(1-C83/C60)</f>
        <v>0.62784550070872336</v>
      </c>
    </row>
    <row r="84" spans="2:8">
      <c r="E84" s="120"/>
    </row>
    <row r="85" spans="2:8" ht="13.15">
      <c r="B85" s="109" t="s">
        <v>297</v>
      </c>
    </row>
    <row r="86" spans="2:8">
      <c r="B86" s="148" t="s">
        <v>295</v>
      </c>
      <c r="C86" s="116">
        <f>Market_Price</f>
        <v>5.68</v>
      </c>
      <c r="D86" t="str">
        <f>Market_currency</f>
        <v>CNY</v>
      </c>
    </row>
    <row r="87" spans="2:8" ht="13.15">
      <c r="B87" s="100" t="s">
        <v>293</v>
      </c>
      <c r="C87" s="237">
        <f ca="1">IRR(OFFSET($I$3, 0, 0, $C$76 + 1, 1))</f>
        <v>5.6287543176100963E-2</v>
      </c>
    </row>
    <row r="88" spans="2:8">
      <c r="B88" s="100"/>
    </row>
    <row r="89" spans="2:8" ht="13.15">
      <c r="B89" s="109" t="s">
        <v>392</v>
      </c>
    </row>
    <row r="90" spans="2:8">
      <c r="B90" s="148" t="s">
        <v>393</v>
      </c>
      <c r="C90" s="167">
        <f>Thesis!F30</f>
        <v>0.3</v>
      </c>
    </row>
    <row r="91" spans="2:8">
      <c r="B91" s="100" t="s">
        <v>117</v>
      </c>
      <c r="C91" s="116">
        <f>PV(C90, C76, -C77, 0)</f>
        <v>0.32853482020937647</v>
      </c>
      <c r="D91" s="116"/>
      <c r="E91" s="100"/>
      <c r="F91" s="100"/>
    </row>
    <row r="92" spans="2:8">
      <c r="B92" s="100" t="s">
        <v>118</v>
      </c>
      <c r="C92" s="116">
        <f>C60/(1+C90)^C76</f>
        <v>2.7857623603083495</v>
      </c>
      <c r="D92" s="116"/>
    </row>
    <row r="93" spans="2:8" ht="13.15">
      <c r="B93" s="110" t="s">
        <v>98</v>
      </c>
      <c r="C93" s="111">
        <f>C91+C92</f>
        <v>3.1142971805177257</v>
      </c>
      <c r="D93" t="str">
        <f>Market_currency</f>
        <v>CNY</v>
      </c>
      <c r="E93" s="146" t="s">
        <v>122</v>
      </c>
      <c r="F93" s="291">
        <f>(1-C93/C60)</f>
        <v>0.49115451013116307</v>
      </c>
    </row>
    <row r="95" spans="2:8" ht="13.15">
      <c r="B95" s="109" t="s">
        <v>378</v>
      </c>
      <c r="G95" s="2"/>
      <c r="H95" s="281"/>
    </row>
    <row r="96" spans="2:8">
      <c r="B96" s="148" t="s">
        <v>383</v>
      </c>
      <c r="C96" s="134">
        <f>Thesis!F31</f>
        <v>7.4999999999999997E-2</v>
      </c>
      <c r="G96" s="2"/>
      <c r="H96" s="281"/>
    </row>
    <row r="97" spans="2:8">
      <c r="B97" s="100" t="s">
        <v>117</v>
      </c>
      <c r="C97" s="116">
        <f>PV(C96, C76, -C77, 0)</f>
        <v>0.47043510634283742</v>
      </c>
      <c r="D97" s="116"/>
      <c r="G97" s="2"/>
      <c r="H97" s="281"/>
    </row>
    <row r="98" spans="2:8">
      <c r="B98" s="100" t="s">
        <v>118</v>
      </c>
      <c r="C98" s="116">
        <f>C60/(1+C96)^C76</f>
        <v>4.926616196790679</v>
      </c>
      <c r="D98" s="116"/>
      <c r="G98" s="2"/>
      <c r="H98" s="281"/>
    </row>
    <row r="99" spans="2:8" ht="13.15">
      <c r="B99" s="110" t="s">
        <v>379</v>
      </c>
      <c r="C99" s="111">
        <f>C97+C98</f>
        <v>5.3970513031335168</v>
      </c>
      <c r="D99" t="s">
        <v>377</v>
      </c>
      <c r="E99" s="146" t="s">
        <v>122</v>
      </c>
      <c r="F99" s="291">
        <f>(1-C99/C60)</f>
        <v>0.11817496693309293</v>
      </c>
    </row>
    <row r="100" spans="2:8">
      <c r="B100" s="100"/>
    </row>
    <row r="101" spans="2:8" ht="13.15">
      <c r="B101" s="109" t="s">
        <v>399</v>
      </c>
    </row>
    <row r="102" spans="2:8">
      <c r="B102" s="148" t="s">
        <v>398</v>
      </c>
      <c r="C102" s="134">
        <f>Thesis!F32</f>
        <v>8.6999999999999994E-2</v>
      </c>
    </row>
    <row r="103" spans="2:8">
      <c r="B103" s="100" t="s">
        <v>117</v>
      </c>
      <c r="C103" s="116">
        <f>PV(C102, C76, -C77, 0)</f>
        <v>0.46037061157348735</v>
      </c>
      <c r="D103" s="116"/>
    </row>
    <row r="104" spans="2:8">
      <c r="B104" s="100" t="s">
        <v>118</v>
      </c>
      <c r="C104" s="116">
        <f>C60/(1+C102)^C76</f>
        <v>4.7652478140386849</v>
      </c>
      <c r="D104" s="116"/>
    </row>
    <row r="105" spans="2:8" ht="13.15">
      <c r="B105" s="110" t="s">
        <v>379</v>
      </c>
      <c r="C105" s="111">
        <f>C103+C104</f>
        <v>5.225618425612172</v>
      </c>
      <c r="D105" t="s">
        <v>377</v>
      </c>
      <c r="E105" s="146" t="s">
        <v>122</v>
      </c>
      <c r="F105" s="291">
        <f>(1-C105/C66)</f>
        <v>0.14605011159067327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海油工程</v>
      </c>
    </row>
    <row r="6" spans="1:10">
      <c r="B6" s="4" t="s">
        <v>480</v>
      </c>
      <c r="C6" s="34">
        <f>Common_Shares</f>
        <v>4421354800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600583.SS</v>
      </c>
      <c r="D11" s="49"/>
      <c r="E11" s="34"/>
    </row>
    <row r="12" spans="1:10">
      <c r="B12" s="4" t="s">
        <v>484</v>
      </c>
      <c r="C12" s="366">
        <f>Market_Price</f>
        <v>5.68</v>
      </c>
      <c r="D12" s="50"/>
      <c r="E12" s="48"/>
    </row>
    <row r="13" spans="1:10">
      <c r="B13" s="1" t="s">
        <v>485</v>
      </c>
      <c r="C13" s="32" t="str">
        <f>Market_currency</f>
        <v>CNY</v>
      </c>
      <c r="D13" s="48"/>
      <c r="E13" s="5"/>
    </row>
    <row r="14" spans="1:10">
      <c r="B14" s="4" t="s">
        <v>486</v>
      </c>
      <c r="C14" s="35">
        <f>投资主题!C12*Common_Shares/1000000</f>
        <v>25113.295264</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2" t="s">
        <v>489</v>
      </c>
      <c r="C18" s="372"/>
      <c r="D18" s="372"/>
      <c r="E18" s="372"/>
      <c r="F18" s="372"/>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ENG_03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6.1203199055974453</v>
      </c>
      <c r="D26" s="1" t="s">
        <v>446</v>
      </c>
      <c r="E26" s="301">
        <f ca="1">Scenarios!C87</f>
        <v>5.6287543176100963E-2</v>
      </c>
    </row>
    <row r="27" spans="2:6">
      <c r="D27" s="5"/>
      <c r="E27" s="5"/>
    </row>
    <row r="28" spans="2:6">
      <c r="B28" s="45" t="s">
        <v>448</v>
      </c>
      <c r="C28" s="309" t="str">
        <f>C145&amp;" ("&amp;Market_currency&amp;")"</f>
        <v>600583.SS (CNY)</v>
      </c>
      <c r="D28" s="309" t="str">
        <f>IF(D11="","",D145&amp;" ("&amp;D13&amp;")")</f>
        <v/>
      </c>
      <c r="E28" s="305" t="s">
        <v>453</v>
      </c>
      <c r="F28" s="361">
        <f>Thesis!F28</f>
        <v>3</v>
      </c>
    </row>
    <row r="29" spans="2:6">
      <c r="B29" s="1" t="s">
        <v>449</v>
      </c>
      <c r="C29" s="310">
        <f>C149</f>
        <v>2.2777045899700505</v>
      </c>
      <c r="D29" s="310" t="str">
        <f>D149</f>
        <v/>
      </c>
      <c r="E29" s="306" t="s">
        <v>455</v>
      </c>
      <c r="F29" s="362">
        <f>Thesis!F29</f>
        <v>0.45</v>
      </c>
    </row>
    <row r="30" spans="2:6">
      <c r="B30" s="1" t="s">
        <v>450</v>
      </c>
      <c r="C30" s="311">
        <f>C157</f>
        <v>3.1142971805177257</v>
      </c>
      <c r="D30" s="311" t="str">
        <f>D157</f>
        <v/>
      </c>
      <c r="E30" s="307" t="s">
        <v>454</v>
      </c>
      <c r="F30" s="224">
        <f>Thesis!F30</f>
        <v>0.3</v>
      </c>
    </row>
    <row r="31" spans="2:6">
      <c r="B31" s="1" t="s">
        <v>451</v>
      </c>
      <c r="C31" s="311">
        <f>C165</f>
        <v>5.3970513031335168</v>
      </c>
      <c r="D31" s="311" t="str">
        <f>D165</f>
        <v/>
      </c>
      <c r="E31" s="307" t="s">
        <v>491</v>
      </c>
      <c r="F31" s="224">
        <f>Thesis!F31</f>
        <v>7.4999999999999997E-2</v>
      </c>
    </row>
    <row r="32" spans="2:6">
      <c r="B32" s="1" t="s">
        <v>452</v>
      </c>
      <c r="C32" s="311">
        <f>C173</f>
        <v>5.225618425612172</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2" t="s">
        <v>492</v>
      </c>
      <c r="C36" s="372"/>
      <c r="D36" s="372"/>
      <c r="E36" s="372"/>
      <c r="F36" s="372"/>
    </row>
    <row r="37" spans="1:6" ht="24.6" customHeight="1">
      <c r="B37" s="375" t="s">
        <v>330</v>
      </c>
      <c r="C37" s="375"/>
      <c r="D37" s="375"/>
      <c r="E37" s="375"/>
      <c r="F37" s="375"/>
    </row>
    <row r="39" spans="1:6">
      <c r="B39" s="210" t="s">
        <v>493</v>
      </c>
      <c r="C39" s="108">
        <f>scaling_factor</f>
        <v>10000</v>
      </c>
    </row>
    <row r="40" spans="1:6">
      <c r="B40" s="373" t="s">
        <v>494</v>
      </c>
      <c r="C40" s="373"/>
      <c r="D40" s="373"/>
      <c r="E40" s="373"/>
      <c r="F40" s="373"/>
    </row>
    <row r="41" spans="1:6">
      <c r="B41" s="47" t="s">
        <v>228</v>
      </c>
      <c r="C41" s="349">
        <f>Normalized_FCF!C8</f>
        <v>135997.4245838768</v>
      </c>
      <c r="D41" s="1" t="str">
        <f>Reporting_currency</f>
        <v>CNY</v>
      </c>
    </row>
    <row r="42" spans="1:6">
      <c r="B42" s="47"/>
      <c r="C42" s="76"/>
    </row>
    <row r="43" spans="1:6" ht="24.6" customHeight="1">
      <c r="B43" s="373" t="s">
        <v>495</v>
      </c>
      <c r="C43" s="373"/>
      <c r="D43" s="373"/>
      <c r="E43" s="373"/>
      <c r="F43" s="373"/>
    </row>
    <row r="44" spans="1:6">
      <c r="B44" s="47" t="s">
        <v>230</v>
      </c>
      <c r="C44" s="349">
        <f>Normalized_FCF!C9</f>
        <v>154945.9</v>
      </c>
      <c r="D44" s="1" t="str">
        <f>Reporting_currency</f>
        <v>CNY</v>
      </c>
    </row>
    <row r="45" spans="1:6">
      <c r="B45" s="52" t="s">
        <v>231</v>
      </c>
      <c r="C45" s="349">
        <f>Normalized_FCF!C10</f>
        <v>-154945.9</v>
      </c>
      <c r="D45" s="1" t="str">
        <f>Reporting_currency</f>
        <v>CNY</v>
      </c>
    </row>
    <row r="47" spans="1:6">
      <c r="B47" s="373" t="s">
        <v>496</v>
      </c>
      <c r="C47" s="373"/>
      <c r="D47" s="373"/>
      <c r="E47" s="373"/>
      <c r="F47" s="373"/>
    </row>
    <row r="48" spans="1:6">
      <c r="B48" s="47" t="s">
        <v>233</v>
      </c>
      <c r="C48" s="349">
        <f>Normalized_FCF!C11</f>
        <v>0</v>
      </c>
      <c r="D48" s="1" t="str">
        <f>Reporting_currency</f>
        <v>CNY</v>
      </c>
    </row>
    <row r="50" spans="2:6">
      <c r="B50" s="373" t="s">
        <v>497</v>
      </c>
      <c r="C50" s="373"/>
      <c r="D50" s="373"/>
      <c r="E50" s="373"/>
      <c r="F50" s="373"/>
    </row>
    <row r="51" spans="2:6">
      <c r="B51" s="47" t="s">
        <v>331</v>
      </c>
      <c r="C51" s="350">
        <f>Normalized_FCF!C48</f>
        <v>4618.7267156970447</v>
      </c>
      <c r="D51" s="1" t="str">
        <f>Reporting_currency</f>
        <v>CNY</v>
      </c>
      <c r="E51" s="286"/>
      <c r="F51" s="286"/>
    </row>
    <row r="52" spans="2:6">
      <c r="B52" s="47" t="s">
        <v>332</v>
      </c>
      <c r="C52" s="350">
        <f>Normalized_FCF!C47</f>
        <v>-1984.19</v>
      </c>
      <c r="D52" s="1" t="str">
        <f>Reporting_currency</f>
        <v>CNY</v>
      </c>
      <c r="E52" s="286"/>
      <c r="F52" s="286"/>
    </row>
    <row r="53" spans="2:6">
      <c r="B53" s="47" t="s">
        <v>234</v>
      </c>
      <c r="C53" s="349">
        <f>Normalized_FCF!C12</f>
        <v>2634.5367156970447</v>
      </c>
      <c r="D53" s="1" t="str">
        <f>Reporting_currency</f>
        <v>CNY</v>
      </c>
    </row>
    <row r="55" spans="2:6">
      <c r="B55" s="1" t="s">
        <v>498</v>
      </c>
    </row>
    <row r="56" spans="2:6">
      <c r="B56" s="47" t="s">
        <v>261</v>
      </c>
      <c r="C56" s="349">
        <f>Normalized_FCF!C15</f>
        <v>-2282.7677664801586</v>
      </c>
      <c r="D56" s="1" t="str">
        <f>Reporting_currency</f>
        <v>CNY</v>
      </c>
    </row>
    <row r="58" spans="2:6">
      <c r="B58" s="373" t="s">
        <v>237</v>
      </c>
      <c r="C58" s="373"/>
      <c r="D58" s="373"/>
      <c r="E58" s="373"/>
      <c r="F58" s="373"/>
    </row>
    <row r="59" spans="2:6">
      <c r="B59" s="47" t="s">
        <v>235</v>
      </c>
      <c r="C59" s="349">
        <f>Normalized_FCF!C14</f>
        <v>-34657.990324893457</v>
      </c>
      <c r="D59" s="1" t="str">
        <f>Reporting_currency</f>
        <v>CNY</v>
      </c>
    </row>
    <row r="61" spans="2:6">
      <c r="B61" s="373" t="s">
        <v>499</v>
      </c>
      <c r="C61" s="374"/>
      <c r="D61" s="374"/>
      <c r="E61" s="374"/>
      <c r="F61" s="374"/>
    </row>
    <row r="62" spans="2:6">
      <c r="B62" s="47" t="s">
        <v>238</v>
      </c>
      <c r="C62" s="349">
        <f>Normalized_FCF!C17</f>
        <v>0</v>
      </c>
      <c r="D62" s="1" t="str">
        <f>Reporting_currency</f>
        <v>CNY</v>
      </c>
    </row>
    <row r="64" spans="2:6">
      <c r="B64" s="372" t="s">
        <v>500</v>
      </c>
      <c r="C64" s="372"/>
      <c r="D64" s="372"/>
      <c r="E64" s="372"/>
      <c r="F64" s="372"/>
    </row>
    <row r="65" spans="1:6">
      <c r="B65" s="372" t="s">
        <v>501</v>
      </c>
      <c r="C65" s="372"/>
      <c r="D65" s="372"/>
      <c r="E65" s="372"/>
      <c r="F65" s="372"/>
    </row>
    <row r="67" spans="1:6">
      <c r="B67" s="47" t="s">
        <v>502</v>
      </c>
      <c r="C67" s="349">
        <f>Normalized_FCF!G19</f>
        <v>142780.44671569683</v>
      </c>
      <c r="D67" s="1" t="str">
        <f>Reporting_currency</f>
        <v>CNY</v>
      </c>
    </row>
    <row r="68" spans="1:6">
      <c r="B68" s="47" t="s">
        <v>244</v>
      </c>
      <c r="C68" s="349">
        <f>Normalized_FCF!C19</f>
        <v>101691.20320820018</v>
      </c>
      <c r="D68" s="1" t="str">
        <f>Reporting_currency</f>
        <v>CNY</v>
      </c>
    </row>
    <row r="69" spans="1:6">
      <c r="B69" s="227" t="s">
        <v>371</v>
      </c>
      <c r="C69" s="92">
        <f>Normalized_FCF!C126</f>
        <v>4.0492974792509566E-2</v>
      </c>
      <c r="F69" s="314"/>
    </row>
    <row r="70" spans="1:6">
      <c r="B70" s="227" t="s">
        <v>434</v>
      </c>
      <c r="C70" s="92">
        <f>Normalized_FCF!C94</f>
        <v>3.1848591549295771E-2</v>
      </c>
      <c r="E70" s="47" t="s">
        <v>503</v>
      </c>
      <c r="F70" s="315">
        <f>Normalized_FCF!C92</f>
        <v>0.87391267559349473</v>
      </c>
    </row>
    <row r="72" spans="1:6">
      <c r="B72" s="210" t="s">
        <v>513</v>
      </c>
      <c r="C72" s="323" t="s">
        <v>429</v>
      </c>
      <c r="D72" s="323" t="s">
        <v>504</v>
      </c>
    </row>
    <row r="73" spans="1:6">
      <c r="B73" s="47" t="s">
        <v>428</v>
      </c>
      <c r="C73" s="92">
        <f>Normalized_FCF!C121</f>
        <v>4.9029562887232557E-2</v>
      </c>
      <c r="D73" s="92">
        <f>Normalized_FCF!G121</f>
        <v>6.8755155989910458E-2</v>
      </c>
    </row>
    <row r="74" spans="1:6">
      <c r="B74" s="259" t="str">
        <f>Normalized_FCF!B118</f>
        <v>Pre-tax Profit/Sales</v>
      </c>
      <c r="C74" s="322">
        <f>Normalized_FCF!C118</f>
        <v>5.0475725130946753E-2</v>
      </c>
      <c r="D74" s="322">
        <f>Normalized_FCF!G118</f>
        <v>6.490075699179193E-2</v>
      </c>
    </row>
    <row r="75" spans="1:6">
      <c r="B75" s="259" t="str">
        <f>Normalized_FCF!B119</f>
        <v>Sales/Total Assets</v>
      </c>
      <c r="C75" s="324">
        <f>Normalized_FCF!C119</f>
        <v>0.56944999111533989</v>
      </c>
      <c r="D75" s="324">
        <f>Normalized_FCF!G119</f>
        <v>0.62106298336522048</v>
      </c>
    </row>
    <row r="76" spans="1:6">
      <c r="B76" s="259" t="str">
        <f>Normalized_FCF!B120</f>
        <v>Total Assets/Equity</v>
      </c>
      <c r="C76" s="324">
        <f>Normalized_FCF!C120</f>
        <v>1.7057676125178334</v>
      </c>
      <c r="D76" s="324">
        <f>Normalized_FCF!G120</f>
        <v>1.7057676125178334</v>
      </c>
    </row>
    <row r="78" spans="1:6" ht="13.9">
      <c r="A78" s="222" t="s">
        <v>505</v>
      </c>
      <c r="B78" s="36"/>
      <c r="C78" s="36"/>
      <c r="D78" s="36"/>
      <c r="E78" s="36"/>
      <c r="F78" s="36"/>
    </row>
    <row r="79" spans="1:6">
      <c r="A79" s="209"/>
    </row>
    <row r="80" spans="1:6">
      <c r="A80" s="17"/>
      <c r="B80" s="372" t="s">
        <v>506</v>
      </c>
      <c r="C80" s="372"/>
      <c r="D80" s="372"/>
      <c r="E80" s="372"/>
      <c r="F80" s="372"/>
    </row>
    <row r="81" spans="1:6">
      <c r="B81" s="375" t="s">
        <v>248</v>
      </c>
      <c r="C81" s="375"/>
      <c r="D81" s="375"/>
      <c r="E81" s="375"/>
      <c r="F81" s="375"/>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2" t="s">
        <v>507</v>
      </c>
      <c r="C89" s="372"/>
      <c r="D89" s="372"/>
      <c r="E89" s="372"/>
      <c r="F89" s="372"/>
    </row>
    <row r="90" spans="1:6">
      <c r="B90" s="372" t="s">
        <v>508</v>
      </c>
      <c r="C90" s="372"/>
      <c r="D90" s="372"/>
      <c r="E90" s="372"/>
      <c r="F90" s="372"/>
    </row>
    <row r="92" spans="1:6">
      <c r="B92" s="47" t="s">
        <v>247</v>
      </c>
      <c r="C92" s="236">
        <v>0</v>
      </c>
    </row>
    <row r="93" spans="1:6">
      <c r="B93" s="47" t="s">
        <v>275</v>
      </c>
      <c r="C93" s="223">
        <f>DCF!C6*scaling_factor*Exchange_Rate/Common_Shares</f>
        <v>3.0666679576193911</v>
      </c>
      <c r="D93" s="1" t="str">
        <f>Market_currency</f>
        <v>CNY</v>
      </c>
    </row>
    <row r="95" spans="1:6" ht="13.9">
      <c r="A95" s="222" t="s">
        <v>509</v>
      </c>
      <c r="B95" s="36"/>
      <c r="C95" s="36"/>
      <c r="D95" s="36"/>
      <c r="E95" s="36"/>
      <c r="F95" s="36"/>
    </row>
    <row r="96" spans="1:6">
      <c r="A96" s="209"/>
    </row>
    <row r="97" spans="2:6">
      <c r="B97" s="372" t="s">
        <v>510</v>
      </c>
      <c r="C97" s="372"/>
      <c r="D97" s="372"/>
      <c r="E97" s="372"/>
      <c r="F97" s="372"/>
    </row>
    <row r="98" spans="2:6">
      <c r="B98" s="1" t="s">
        <v>249</v>
      </c>
    </row>
    <row r="100" spans="2:6">
      <c r="B100" s="210" t="s">
        <v>493</v>
      </c>
    </row>
    <row r="101" spans="2:6">
      <c r="B101" s="372" t="s">
        <v>511</v>
      </c>
      <c r="C101" s="372"/>
      <c r="D101" s="372"/>
      <c r="E101" s="372"/>
      <c r="F101" s="372"/>
    </row>
    <row r="102" spans="2:6">
      <c r="B102" s="47" t="s">
        <v>251</v>
      </c>
      <c r="C102" s="349">
        <f>DCF!C7</f>
        <v>72651.94</v>
      </c>
      <c r="D102" s="1" t="str">
        <f>Reporting_currency</f>
        <v>CNY</v>
      </c>
    </row>
    <row r="103" spans="2:6">
      <c r="B103" s="47" t="s">
        <v>276</v>
      </c>
      <c r="C103" s="223">
        <f>C102*scaling_factor*Exchange_Rate/Common_Shares</f>
        <v>0.16432053813007724</v>
      </c>
      <c r="D103" s="1" t="str">
        <f>Market_currency</f>
        <v>CNY</v>
      </c>
    </row>
    <row r="104" spans="2:6">
      <c r="B104" s="296" t="s">
        <v>384</v>
      </c>
      <c r="C104" s="325">
        <f>IF(BS!G31/BS!G27&gt;300%,"nm",BS!G31/BS!G27)</f>
        <v>2.5694600492681609E-2</v>
      </c>
    </row>
    <row r="105" spans="2:6">
      <c r="B105" s="296" t="s">
        <v>386</v>
      </c>
      <c r="C105" s="326">
        <f>IF(BS!C50&gt;30,"nm",BS!C50)</f>
        <v>0.53421555755411909</v>
      </c>
    </row>
    <row r="107" spans="2:6">
      <c r="B107" s="1" t="s">
        <v>514</v>
      </c>
    </row>
    <row r="108" spans="2:6">
      <c r="B108" s="47" t="s">
        <v>260</v>
      </c>
      <c r="C108" s="349">
        <f>BS!C66</f>
        <v>606704.22</v>
      </c>
      <c r="D108" s="1" t="str">
        <f>Reporting_currency</f>
        <v>CNY</v>
      </c>
    </row>
    <row r="109" spans="2:6">
      <c r="B109" s="47" t="s">
        <v>262</v>
      </c>
      <c r="C109" s="349">
        <f>DCF!C8</f>
        <v>381755.93838365644</v>
      </c>
      <c r="D109" s="1" t="str">
        <f>Reporting_currency</f>
        <v>CNY</v>
      </c>
    </row>
    <row r="110" spans="2:6">
      <c r="B110" s="47" t="s">
        <v>277</v>
      </c>
      <c r="C110" s="223">
        <f>C109*scaling_factor*Exchange_Rate/Common_Shares</f>
        <v>0.86343656108226474</v>
      </c>
      <c r="D110" s="1" t="str">
        <f>Market_currency</f>
        <v>CNY</v>
      </c>
    </row>
    <row r="112" spans="2:6">
      <c r="B112" s="1" t="s">
        <v>515</v>
      </c>
    </row>
    <row r="113" spans="1:6">
      <c r="B113" s="47" t="s">
        <v>253</v>
      </c>
      <c r="C113" s="349">
        <f>DCF!C9</f>
        <v>749715.90599999996</v>
      </c>
      <c r="D113" s="1" t="str">
        <f>Reporting_currency</f>
        <v>CNY</v>
      </c>
    </row>
    <row r="114" spans="1:6">
      <c r="B114" s="47" t="s">
        <v>278</v>
      </c>
      <c r="C114" s="223">
        <f>C113*scaling_factor*Exchange_Rate/Common_Shares</f>
        <v>1.6956700828442901</v>
      </c>
      <c r="D114" s="1" t="str">
        <f>Market_currency</f>
        <v>CNY</v>
      </c>
    </row>
    <row r="116" spans="1:6">
      <c r="B116" s="372" t="s">
        <v>516</v>
      </c>
      <c r="C116" s="372"/>
      <c r="D116" s="372"/>
      <c r="E116" s="372"/>
      <c r="F116" s="372"/>
    </row>
    <row r="118" spans="1:6">
      <c r="B118" s="47" t="s">
        <v>517</v>
      </c>
      <c r="C118" s="223">
        <f>IF(valuation_method="DCF",DCF!C12,DDM!C7)</f>
        <v>5.4614540634158688</v>
      </c>
      <c r="D118" s="1" t="str">
        <f>Market_currency</f>
        <v>CNY</v>
      </c>
    </row>
    <row r="119" spans="1:6">
      <c r="B119" s="296" t="s">
        <v>550</v>
      </c>
      <c r="C119" s="223">
        <f>BS!D47</f>
        <v>-0.36074239393771346</v>
      </c>
      <c r="D119" s="1" t="str">
        <f>Market_currency</f>
        <v>CNY</v>
      </c>
    </row>
    <row r="121" spans="1:6" ht="13.9">
      <c r="A121" s="222" t="s">
        <v>518</v>
      </c>
      <c r="B121" s="36"/>
      <c r="C121" s="36"/>
      <c r="D121" s="36"/>
      <c r="E121" s="36"/>
      <c r="F121" s="36"/>
    </row>
    <row r="123" spans="1:6">
      <c r="B123" s="373" t="s">
        <v>519</v>
      </c>
      <c r="C123" s="373"/>
      <c r="D123" s="373"/>
      <c r="E123" s="373"/>
      <c r="F123" s="373"/>
    </row>
    <row r="125" spans="1:6" ht="12.4">
      <c r="B125" s="233" t="s">
        <v>520</v>
      </c>
      <c r="C125" s="233" t="s">
        <v>521</v>
      </c>
      <c r="D125" s="233" t="s">
        <v>108</v>
      </c>
      <c r="E125" s="233" t="s">
        <v>522</v>
      </c>
      <c r="F125" s="233" t="s">
        <v>523</v>
      </c>
    </row>
    <row r="126" spans="1:6">
      <c r="B126" s="228" t="str">
        <f>DCF!B74</f>
        <v>Snowball Scenario</v>
      </c>
      <c r="C126" s="229">
        <f>DCF!C74</f>
        <v>0.1</v>
      </c>
      <c r="D126" s="230">
        <f>DCF!D74</f>
        <v>15</v>
      </c>
      <c r="E126" s="231" t="str">
        <f>ROUND(IF(valuation_method="DCF",DCF!E74,DDM!E69),2)&amp;" "&amp;Market_currency</f>
        <v>7.7 CNY</v>
      </c>
      <c r="F126" s="232">
        <f>DCF!F74</f>
        <v>0.1</v>
      </c>
    </row>
    <row r="127" spans="1:6">
      <c r="B127" s="218" t="str">
        <f>DCF!B75</f>
        <v>Optimistic</v>
      </c>
      <c r="C127" s="219">
        <f>DCF!C75</f>
        <v>0.08</v>
      </c>
      <c r="D127" s="220">
        <f>DCF!D75</f>
        <v>10</v>
      </c>
      <c r="E127" s="231" t="str">
        <f>ROUND(IF(valuation_method="DCF",DCF!E75,DDM!E70),2)&amp;" "&amp;Market_currency</f>
        <v>6.36 CNY</v>
      </c>
      <c r="F127" s="221">
        <f>DCF!F75</f>
        <v>0.17</v>
      </c>
    </row>
    <row r="128" spans="1:6">
      <c r="B128" s="218" t="str">
        <f>DCF!B76</f>
        <v>Base</v>
      </c>
      <c r="C128" s="219">
        <f>DCF!C76</f>
        <v>0.05</v>
      </c>
      <c r="D128" s="220">
        <f>DCF!D76</f>
        <v>10</v>
      </c>
      <c r="E128" s="231" t="str">
        <f>ROUND(IF(valuation_method="DCF",DCF!E76,DDM!E71),2)&amp;" "&amp;Market_currency</f>
        <v>5.98 CNY</v>
      </c>
      <c r="F128" s="221">
        <f>DCF!F76</f>
        <v>0.51</v>
      </c>
    </row>
    <row r="129" spans="1:6">
      <c r="B129" s="218" t="str">
        <f>DCF!B77</f>
        <v>Pessimistic</v>
      </c>
      <c r="C129" s="219">
        <f>DCF!C77</f>
        <v>0.01</v>
      </c>
      <c r="D129" s="220">
        <f>DCF!D77</f>
        <v>10</v>
      </c>
      <c r="E129" s="231" t="str">
        <f>ROUND(IF(valuation_method="DCF",DCF!E77,DDM!E72),2)&amp;" "&amp;Market_currency</f>
        <v>5.56 CNY</v>
      </c>
      <c r="F129" s="221">
        <f>DCF!F77</f>
        <v>0.17</v>
      </c>
    </row>
    <row r="130" spans="1:6">
      <c r="B130" s="218" t="str">
        <f>DCF!B78</f>
        <v>Devil's advocate</v>
      </c>
      <c r="C130" s="219">
        <f>DCF!C78</f>
        <v>0</v>
      </c>
      <c r="D130" s="220">
        <f>DCF!D78</f>
        <v>15</v>
      </c>
      <c r="E130" s="231" t="str">
        <f>ROUND(IF(valuation_method="DCF",DCF!E78,DDM!E73),2)&amp;" "&amp;Market_currency</f>
        <v>5.46 CNY</v>
      </c>
      <c r="F130" s="221">
        <f>DCF!F78</f>
        <v>0.05</v>
      </c>
    </row>
    <row r="132" spans="1:6">
      <c r="B132" s="211" t="s">
        <v>254</v>
      </c>
      <c r="C132" s="217">
        <f>Scenarios!C60</f>
        <v>6.1203199055974453</v>
      </c>
      <c r="D132" s="212" t="str">
        <f>Market_currency</f>
        <v>CNY</v>
      </c>
    </row>
    <row r="134" spans="1:6">
      <c r="B134" s="376" t="s">
        <v>524</v>
      </c>
      <c r="C134" s="376"/>
      <c r="D134" s="376"/>
      <c r="E134" s="376"/>
      <c r="F134" s="376"/>
    </row>
    <row r="136" spans="1:6" ht="13.9">
      <c r="A136" s="222" t="s">
        <v>525</v>
      </c>
      <c r="B136" s="36"/>
      <c r="C136" s="36"/>
      <c r="D136" s="36"/>
      <c r="E136" s="36"/>
      <c r="F136" s="36"/>
    </row>
    <row r="138" spans="1:6">
      <c r="B138" s="377" t="s">
        <v>526</v>
      </c>
      <c r="C138" s="377"/>
      <c r="D138" s="377"/>
      <c r="E138" s="377"/>
      <c r="F138" s="377"/>
    </row>
    <row r="139" spans="1:6" ht="24.6" customHeight="1">
      <c r="B139" s="372" t="s">
        <v>527</v>
      </c>
      <c r="C139" s="372"/>
      <c r="D139" s="372"/>
      <c r="E139" s="372"/>
      <c r="F139" s="372"/>
    </row>
    <row r="140" spans="1:6">
      <c r="B140" s="210" t="s">
        <v>493</v>
      </c>
    </row>
    <row r="141" spans="1:6">
      <c r="B141" s="1" t="s">
        <v>528</v>
      </c>
      <c r="C141" s="225">
        <f>F28</f>
        <v>3</v>
      </c>
    </row>
    <row r="142" spans="1:6">
      <c r="B142" s="1" t="s">
        <v>529</v>
      </c>
      <c r="C142" s="224">
        <f>F29</f>
        <v>0.45</v>
      </c>
    </row>
    <row r="143" spans="1:6">
      <c r="B143" s="212" t="s">
        <v>530</v>
      </c>
      <c r="C143" s="213">
        <f>Scenarios!C77</f>
        <v>0.18089999999999998</v>
      </c>
      <c r="D143" s="212" t="str">
        <f>Market_currency</f>
        <v>CNY</v>
      </c>
    </row>
    <row r="145" spans="2:4">
      <c r="B145" s="210" t="s">
        <v>531</v>
      </c>
      <c r="C145" s="241" t="str">
        <f>C11</f>
        <v>600583.SS</v>
      </c>
      <c r="D145" s="241" t="str">
        <f>IF(D11="","",D11)</f>
        <v/>
      </c>
    </row>
    <row r="146" spans="2:4">
      <c r="B146" s="1" t="s">
        <v>387</v>
      </c>
      <c r="C146" s="297">
        <f>F29</f>
        <v>0.45</v>
      </c>
    </row>
    <row r="147" spans="2:4">
      <c r="B147" s="212" t="str">
        <f>"PV("&amp;C141&amp;" yrs of Dividends)"</f>
        <v>PV(3 yrs of Dividends)</v>
      </c>
      <c r="C147" s="216">
        <f>Scenarios!C81</f>
        <v>0.27013727500102497</v>
      </c>
    </row>
    <row r="148" spans="2:4">
      <c r="B148" s="212" t="str">
        <f>"+ PV(Equity Value realized at year "&amp;C141&amp;")"</f>
        <v>+ PV(Equity Value realized at year 3)</v>
      </c>
      <c r="C148" s="216">
        <f>Scenarios!C82</f>
        <v>2.0075673149690254</v>
      </c>
    </row>
    <row r="149" spans="2:4">
      <c r="B149" s="80" t="s">
        <v>256</v>
      </c>
      <c r="C149" s="215">
        <f>Scenarios!C83</f>
        <v>2.2777045899700505</v>
      </c>
      <c r="D149" s="300" t="str">
        <f>IF($D$11="","",C149*$E$25)</f>
        <v/>
      </c>
    </row>
    <row r="150" spans="2:4">
      <c r="B150" s="259" t="s">
        <v>532</v>
      </c>
      <c r="C150" s="298" t="str">
        <f>Market_currency</f>
        <v>CNY</v>
      </c>
      <c r="D150" s="298" t="str">
        <f>IF($D$11="","",D$13)</f>
        <v/>
      </c>
    </row>
    <row r="151" spans="2:4">
      <c r="B151" s="214" t="s">
        <v>533</v>
      </c>
      <c r="C151" s="92">
        <f>Scenarios!F83</f>
        <v>0.62784550070872336</v>
      </c>
    </row>
    <row r="153" spans="2:4">
      <c r="B153" s="210" t="s">
        <v>391</v>
      </c>
    </row>
    <row r="154" spans="2:4">
      <c r="B154" s="1" t="s">
        <v>390</v>
      </c>
      <c r="C154" s="297">
        <f>Scenarios!C90</f>
        <v>0.3</v>
      </c>
    </row>
    <row r="155" spans="2:4">
      <c r="B155" s="212" t="str">
        <f>"PV("&amp;C141&amp;" yrs of Dividends)"</f>
        <v>PV(3 yrs of Dividends)</v>
      </c>
      <c r="C155" s="216">
        <f>Scenarios!C91</f>
        <v>0.32853482020937647</v>
      </c>
    </row>
    <row r="156" spans="2:4">
      <c r="B156" s="212" t="str">
        <f>"+ PV(Equity Value realized at year "&amp;C141&amp;")"</f>
        <v>+ PV(Equity Value realized at year 3)</v>
      </c>
      <c r="C156" s="216">
        <f>Scenarios!C92</f>
        <v>2.7857623603083495</v>
      </c>
    </row>
    <row r="157" spans="2:4">
      <c r="B157" s="80" t="s">
        <v>256</v>
      </c>
      <c r="C157" s="215">
        <f>Scenarios!C93</f>
        <v>3.1142971805177257</v>
      </c>
      <c r="D157" s="300" t="str">
        <f>IF($D$11="","",C157*$E$25)</f>
        <v/>
      </c>
    </row>
    <row r="158" spans="2:4">
      <c r="B158" s="259" t="s">
        <v>532</v>
      </c>
      <c r="C158" s="298" t="str">
        <f>Market_currency</f>
        <v>CNY</v>
      </c>
      <c r="D158" s="298" t="str">
        <f>IF($D$11="","",D$13)</f>
        <v/>
      </c>
    </row>
    <row r="159" spans="2:4">
      <c r="B159" s="214" t="s">
        <v>533</v>
      </c>
      <c r="C159" s="92">
        <f>Scenarios!F93</f>
        <v>0.49115451013116307</v>
      </c>
    </row>
    <row r="161" spans="2:4">
      <c r="B161" s="210" t="s">
        <v>381</v>
      </c>
    </row>
    <row r="162" spans="2:4">
      <c r="B162" s="1" t="s">
        <v>389</v>
      </c>
      <c r="C162" s="92">
        <f>Scenarios!C96</f>
        <v>7.4999999999999997E-2</v>
      </c>
    </row>
    <row r="163" spans="2:4">
      <c r="B163" s="212" t="str">
        <f>"PV("&amp;C141&amp;" yrs of Dividends)"</f>
        <v>PV(3 yrs of Dividends)</v>
      </c>
      <c r="C163" s="216">
        <f>Scenarios!C97</f>
        <v>0.47043510634283742</v>
      </c>
    </row>
    <row r="164" spans="2:4">
      <c r="B164" s="212" t="str">
        <f>"+ PV(Equity Value realized at year "&amp;C141&amp;")"</f>
        <v>+ PV(Equity Value realized at year 3)</v>
      </c>
      <c r="C164" s="216">
        <f>Scenarios!C98</f>
        <v>4.926616196790679</v>
      </c>
    </row>
    <row r="165" spans="2:4">
      <c r="B165" s="80" t="s">
        <v>382</v>
      </c>
      <c r="C165" s="215">
        <f>Scenarios!C99</f>
        <v>5.3970513031335168</v>
      </c>
      <c r="D165" s="300" t="str">
        <f>IF($D$11="","",C165*$E$25)</f>
        <v/>
      </c>
    </row>
    <row r="166" spans="2:4">
      <c r="B166" s="259" t="s">
        <v>532</v>
      </c>
      <c r="C166" s="298" t="str">
        <f>Market_currency</f>
        <v>CNY</v>
      </c>
      <c r="D166" s="298" t="str">
        <f>IF($D$11="","",D$13)</f>
        <v/>
      </c>
    </row>
    <row r="167" spans="2:4">
      <c r="B167" s="214" t="s">
        <v>533</v>
      </c>
      <c r="C167" s="92">
        <f>Scenarios!F99</f>
        <v>0.11817496693309293</v>
      </c>
    </row>
    <row r="169" spans="2:4">
      <c r="B169" s="210" t="s">
        <v>409</v>
      </c>
    </row>
    <row r="170" spans="2:4">
      <c r="B170" s="1" t="s">
        <v>400</v>
      </c>
      <c r="C170" s="92">
        <f>F32</f>
        <v>8.6999999999999994E-2</v>
      </c>
    </row>
    <row r="171" spans="2:4">
      <c r="B171" s="212" t="str">
        <f>"PV("&amp;C141&amp;" yrs of Dividends)"</f>
        <v>PV(3 yrs of Dividends)</v>
      </c>
      <c r="C171" s="216">
        <f>Scenarios!C103</f>
        <v>0.46037061157348735</v>
      </c>
    </row>
    <row r="172" spans="2:4">
      <c r="B172" s="212" t="str">
        <f>"+ PV(Equity Value realized at year "&amp;C141&amp;")"</f>
        <v>+ PV(Equity Value realized at year 3)</v>
      </c>
      <c r="C172" s="216">
        <f>Scenarios!C104</f>
        <v>4.7652478140386849</v>
      </c>
    </row>
    <row r="173" spans="2:4">
      <c r="B173" s="80" t="s">
        <v>382</v>
      </c>
      <c r="C173" s="215">
        <f>Scenarios!C105</f>
        <v>5.225618425612172</v>
      </c>
      <c r="D173" s="300" t="str">
        <f>IF($D$11="","",C173*$E$25)</f>
        <v/>
      </c>
    </row>
    <row r="174" spans="2:4">
      <c r="B174" s="259" t="s">
        <v>532</v>
      </c>
      <c r="C174" s="298" t="str">
        <f>Market_currency</f>
        <v>CNY</v>
      </c>
      <c r="D174" s="298" t="str">
        <f>IF($D$11="","",D$13)</f>
        <v/>
      </c>
    </row>
    <row r="175" spans="2:4">
      <c r="B175" s="214" t="s">
        <v>533</v>
      </c>
      <c r="C175" s="92">
        <f>Scenarios!F105</f>
        <v>0.14605011159067327</v>
      </c>
    </row>
    <row r="177" spans="1:6" ht="13.9">
      <c r="A177" s="222" t="s">
        <v>357</v>
      </c>
      <c r="B177" s="36"/>
      <c r="C177" s="36"/>
      <c r="D177" s="36"/>
      <c r="E177" s="36"/>
      <c r="F177" s="36"/>
    </row>
    <row r="179" spans="1:6">
      <c r="B179" s="371" t="s">
        <v>534</v>
      </c>
      <c r="C179" s="372"/>
      <c r="D179" s="372"/>
      <c r="E179" s="372"/>
      <c r="F179" s="372"/>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3" t="s">
        <v>541</v>
      </c>
      <c r="C188" s="373"/>
      <c r="D188" s="373"/>
      <c r="E188" s="373"/>
      <c r="F188" s="373"/>
    </row>
    <row r="190" spans="1:6">
      <c r="B190" s="1" t="s">
        <v>542</v>
      </c>
    </row>
    <row r="191" spans="1:6">
      <c r="B191" s="370" t="s">
        <v>543</v>
      </c>
      <c r="C191" s="370"/>
      <c r="D191" s="370"/>
      <c r="E191" s="370"/>
      <c r="F191" s="370"/>
    </row>
    <row r="192" spans="1:6">
      <c r="B192" s="370" t="s">
        <v>544</v>
      </c>
      <c r="C192" s="370"/>
      <c r="D192" s="370"/>
      <c r="E192" s="370"/>
      <c r="F192" s="370"/>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B7A733-DA6E-40DE-BA60-CC14B9D1A6FA}">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2025-08-26T09:12:30Z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