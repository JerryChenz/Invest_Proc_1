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8AC6DA-B9FF-4382-A35B-E9111D6727B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<sst xmlns="http://schemas.openxmlformats.org/spreadsheetml/2006/main" count="836" uniqueCount="561">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</sst>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5.57</v>
      </c>
      <c r="D12" s="50"/>
      <c r="E12" s="48"/>
    </row>
    <row r="13" spans="1:10">
      <c r="B13" s="1" t="s">
        <v>464</v>
      </c>
      <c r="C13" s="48" t="s">
        <v>394</v>
      </c>
      <c r="D13" s="48"/>
      <c r="E13" s="5"/>
    </row>
    <row r="14" spans="1:10">
      <c r="B14" s="4" t="s">
        <v>465</v>
      </c>
      <c r="C14" s="35">
        <f>Thesis!C12*Common_Shares/1000000</f>
        <v>24626.946236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6.3408396767668407E-2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v>
      </c>
    </row>
    <row r="40" spans="1:6" ht="24.6" customHeight="1">
      <c r="B40" s="371" t="s">
        <v>227</v>
      </c>
      <c r="C40" s="371"/>
      <c r="D40" s="371"/>
      <c r="E40" s="371"/>
      <c r="F40" s="371"/>
    </row>
    <row r="41" spans="1:6">
      <c r="B41" s="47" t="s">
        <v>228</v>
      </c>
      <c r="C41" s="349">
        <f>Normalized_FCF!C8</f>
        <v>135997.4245838768</v>
      </c>
      <c r="D41" s="1" t="str">
        <f>Reporting_currency</f>
        <v>CNY</v>
      </c>
    </row>
    <row r="42" spans="1:6">
      <c r="B42" s="47"/>
      <c r="C42" s="76"/>
    </row>
    <row r="43" spans="1:6" ht="24.6" customHeight="1">
      <c r="B43" s="371" t="s">
        <v>229</v>
      </c>
      <c r="C43" s="371"/>
      <c r="D43" s="371"/>
      <c r="E43" s="371"/>
      <c r="F43" s="371"/>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1" t="s">
        <v>237</v>
      </c>
      <c r="C58" s="371"/>
      <c r="D58" s="371"/>
      <c r="E58" s="371"/>
      <c r="F58" s="371"/>
    </row>
    <row r="59" spans="2:6">
      <c r="B59" s="47" t="s">
        <v>235</v>
      </c>
      <c r="C59" s="349">
        <f>Normalized_FCF!C14</f>
        <v>-34657.990324893457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0" t="s">
        <v>352</v>
      </c>
      <c r="C116" s="370"/>
      <c r="D116" s="370"/>
      <c r="E116" s="370"/>
      <c r="F116" s="370"/>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375</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-5.57</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5.57</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5.57</v>
      </c>
      <c r="D86" t="str">
        <f>Market_currency</f>
        <v>CNY</v>
      </c>
    </row>
    <row r="87" spans="2:8" ht="13.15">
      <c r="B87" s="100" t="s">
        <v>293</v>
      </c>
      <c r="C87" s="237">
        <f ca="1">IRR(OFFSET($I$3, 0, 0, $C$76 + 1, 1))</f>
        <v>6.3408396767668407E-2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5.57</v>
      </c>
      <c r="D12" s="50"/>
      <c r="E12" s="48"/>
    </row>
    <row r="13" spans="1:10">
      <c r="B13" s="1" t="s">
        <v>485</v>
      </c>
      <c r="C13" s="32" t="str">
        <f>Market_currency</f>
        <v>CNY</v>
      </c>
      <c r="D13" s="48"/>
      <c r="E13" s="5"/>
    </row>
    <row r="14" spans="1:10">
      <c r="B14" s="4" t="s">
        <v>486</v>
      </c>
      <c r="C14" s="35">
        <f>投资主题!C12*Common_Shares/1000000</f>
        <v>24626.946236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6.3408396767668407E-2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v>
      </c>
    </row>
    <row r="40" spans="1:6">
      <c r="B40" s="371" t="s">
        <v>494</v>
      </c>
      <c r="C40" s="371"/>
      <c r="D40" s="371"/>
      <c r="E40" s="371"/>
      <c r="F40" s="371"/>
    </row>
    <row r="41" spans="1:6">
      <c r="B41" s="47" t="s">
        <v>228</v>
      </c>
      <c r="C41" s="349">
        <f>Normalized_FCF!C8</f>
        <v>135997.4245838768</v>
      </c>
      <c r="D41" s="1" t="str">
        <f>Reporting_currency</f>
        <v>CNY</v>
      </c>
    </row>
    <row r="42" spans="1:6">
      <c r="B42" s="47"/>
      <c r="C42" s="76"/>
    </row>
    <row r="43" spans="1:6" ht="24.6" customHeight="1">
      <c r="B43" s="371" t="s">
        <v>495</v>
      </c>
      <c r="C43" s="371"/>
      <c r="D43" s="371"/>
      <c r="E43" s="371"/>
      <c r="F43" s="371"/>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1" t="s">
        <v>237</v>
      </c>
      <c r="C58" s="371"/>
      <c r="D58" s="371"/>
      <c r="E58" s="371"/>
      <c r="F58" s="371"/>
    </row>
    <row r="59" spans="2:6">
      <c r="B59" s="47" t="s">
        <v>235</v>
      </c>
      <c r="C59" s="349">
        <f>Normalized_FCF!C14</f>
        <v>-34657.990324893457</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0" t="s">
        <v>516</v>
      </c>
      <c r="C116" s="370"/>
      <c r="D116" s="370"/>
      <c r="E116" s="370"/>
      <c r="F116" s="370"/>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