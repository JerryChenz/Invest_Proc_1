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233F4E1-B1E4-4480-AD72-180ECCA62FE6}"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L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<sst xmlns="http://schemas.openxmlformats.org/spreadsheetml/2006/main" count="686" uniqueCount="466">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</sst>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4421354800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5.27</v>
      </c>
      <c r="D12" s="50"/>
      <c r="E12" s="48"/>
    </row>
    <row r="13" spans="1:10">
      <c r="B13" s="1" t="s">
        <v>413</v>
      </c>
      <c r="C13" s="48" t="s">
        <v>411</v>
      </c>
      <c r="D13" s="48"/>
      <c r="E13" s="5"/>
    </row>
    <row r="14" spans="1:10">
      <c r="B14" s="4" t="s">
        <v>417</v>
      </c>
      <c r="C14" s="35">
        <f>Thesis!C12*Common_Shares/1000000</f>
        <v>23300.539796000001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6.9895661568976033</v>
      </c>
      <c r="D26" s="1" t="s">
        <v>396</v>
      </c>
      <c r="E26" s="301">
        <f ca="1">Scenarios!C87</f>
        <v>0.13009220438153313</v>
      </c>
    </row>
    <row r="27" spans="2:6">
      <c r="D27" s="5"/>
      <c r="E27" s="5"/>
    </row>
    <row r="28" spans="2:6">
      <c r="B28" s="45" t="s">
        <v>430</v>
      </c>
      <c r="C28" s="309" t="str">
        <f>C145&amp;" ("&amp;Market_currency&amp;")"</f>
        <v>600583.SS (CNY)</v>
      </c>
      <c r="D28" s="309" t="str">
        <f>IF(D11="","",D145&amp;" ("&amp;D13&amp;")")</f>
        <v/>
      </c>
      <c r="E28" s="305" t="s">
        <v>426</v>
      </c>
      <c r="F28" s="303">
        <v>3</v>
      </c>
    </row>
    <row r="29" spans="2:6">
      <c r="B29" s="1" t="s">
        <v>422</v>
      </c>
      <c r="C29" s="310">
        <f>C149</f>
        <v>3.2367222690014161</v>
      </c>
      <c r="D29" s="310" t="str">
        <f>D149</f>
        <v/>
      </c>
      <c r="E29" s="306" t="s">
        <v>421</v>
      </c>
      <c r="F29" s="302">
        <v>0.33700000000000002</v>
      </c>
    </row>
    <row r="30" spans="2:6">
      <c r="B30" s="1" t="s">
        <v>423</v>
      </c>
      <c r="C30" s="311">
        <f>C157</f>
        <v>4.5682049056603367</v>
      </c>
      <c r="D30" s="311" t="str">
        <f>D157</f>
        <v/>
      </c>
      <c r="E30" s="307" t="s">
        <v>434</v>
      </c>
      <c r="F30" s="312">
        <v>0.187</v>
      </c>
    </row>
    <row r="31" spans="2:6">
      <c r="B31" s="1" t="s">
        <v>424</v>
      </c>
      <c r="C31" s="311">
        <f>C165</f>
        <v>6.3521223870188166</v>
      </c>
      <c r="D31" s="311" t="str">
        <f>D165</f>
        <v/>
      </c>
      <c r="E31" s="307" t="s">
        <v>433</v>
      </c>
      <c r="F31" s="312">
        <v>0.06</v>
      </c>
    </row>
    <row r="32" spans="2:6">
      <c r="B32" s="1" t="s">
        <v>425</v>
      </c>
      <c r="C32" s="311">
        <f>C173</f>
        <v>5.902408832447132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v>
      </c>
    </row>
    <row r="40" spans="1:6" ht="24.6" customHeight="1">
      <c r="B40" s="361" t="s">
        <v>230</v>
      </c>
      <c r="C40" s="361"/>
      <c r="D40" s="361"/>
      <c r="E40" s="361"/>
      <c r="F40" s="361"/>
    </row>
    <row r="41" spans="1:6">
      <c r="B41" s="47" t="s">
        <v>231</v>
      </c>
      <c r="C41" s="349">
        <f>Normalized_FCF!C8</f>
        <v>135997.4245838768</v>
      </c>
      <c r="D41" s="1" t="str">
        <f>Reporting_currency</f>
        <v>CNY</v>
      </c>
    </row>
    <row r="42" spans="1:6">
      <c r="B42" s="47"/>
      <c r="C42" s="76"/>
    </row>
    <row r="43" spans="1:6" ht="24.6" customHeight="1">
      <c r="B43" s="361" t="s">
        <v>232</v>
      </c>
      <c r="C43" s="361"/>
      <c r="D43" s="361"/>
      <c r="E43" s="361"/>
      <c r="F43" s="361"/>
    </row>
    <row r="44" spans="1:6">
      <c r="B44" s="47" t="s">
        <v>233</v>
      </c>
      <c r="C44" s="349">
        <f>Normalized_FCF!C9</f>
        <v>154945.9</v>
      </c>
      <c r="D44" s="1" t="str">
        <f>Reporting_currency</f>
        <v>CNY</v>
      </c>
    </row>
    <row r="45" spans="1:6">
      <c r="B45" s="52" t="s">
        <v>234</v>
      </c>
      <c r="C45" s="349">
        <f>Normalized_FCF!C10</f>
        <v>-154945.9</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4618.7267156970447</v>
      </c>
      <c r="D51" s="1" t="str">
        <f>Reporting_currency</f>
        <v>CNY</v>
      </c>
      <c r="E51" s="286"/>
      <c r="F51" s="286"/>
    </row>
    <row r="52" spans="2:6">
      <c r="B52" s="47" t="s">
        <v>338</v>
      </c>
      <c r="C52" s="350">
        <f>Normalized_FCF!C47</f>
        <v>-1984.19</v>
      </c>
      <c r="D52" s="1" t="str">
        <f>Reporting_currency</f>
        <v>CNY</v>
      </c>
      <c r="E52" s="286"/>
      <c r="F52" s="286"/>
    </row>
    <row r="53" spans="2:6">
      <c r="B53" s="47" t="s">
        <v>237</v>
      </c>
      <c r="C53" s="349">
        <f>Normalized_FCF!C12</f>
        <v>2634.5367156970447</v>
      </c>
      <c r="D53" s="1" t="str">
        <f>Reporting_currency</f>
        <v>CNY</v>
      </c>
    </row>
    <row r="55" spans="2:6">
      <c r="B55" s="1" t="s">
        <v>245</v>
      </c>
    </row>
    <row r="56" spans="2:6">
      <c r="B56" s="47" t="s">
        <v>264</v>
      </c>
      <c r="C56" s="349">
        <f>Normalized_FCF!C15</f>
        <v>-2282.7677664801586</v>
      </c>
      <c r="D56" s="1" t="str">
        <f>Reporting_currency</f>
        <v>CNY</v>
      </c>
    </row>
    <row r="58" spans="2:6">
      <c r="B58" s="361" t="s">
        <v>240</v>
      </c>
      <c r="C58" s="361"/>
      <c r="D58" s="361"/>
      <c r="E58" s="361"/>
      <c r="F58" s="361"/>
    </row>
    <row r="59" spans="2:6">
      <c r="B59" s="47" t="s">
        <v>238</v>
      </c>
      <c r="C59" s="349">
        <f>Normalized_FCF!C14</f>
        <v>-34657.990324893457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142780.44671569683</v>
      </c>
      <c r="D67" s="1" t="str">
        <f>Reporting_currency</f>
        <v>CNY</v>
      </c>
    </row>
    <row r="68" spans="1:6">
      <c r="B68" s="47" t="s">
        <v>247</v>
      </c>
      <c r="C68" s="349">
        <f>Normalized_FCF!C19</f>
        <v>101691.20320820018</v>
      </c>
      <c r="D68" s="1" t="str">
        <f>Reporting_currency</f>
        <v>CNY</v>
      </c>
    </row>
    <row r="69" spans="1:6">
      <c r="B69" s="227" t="s">
        <v>387</v>
      </c>
      <c r="C69" s="92">
        <f>Normalized_FCF!C126</f>
        <v>4.3643282129308222E-2</v>
      </c>
      <c r="F69" s="314"/>
    </row>
    <row r="70" spans="1:6">
      <c r="B70" s="227" t="s">
        <v>454</v>
      </c>
      <c r="C70" s="92">
        <f>Normalized_FCF!C94</f>
        <v>3.4326375711574951E-2</v>
      </c>
      <c r="E70" s="47" t="s">
        <v>445</v>
      </c>
      <c r="F70" s="315">
        <f>Normalized_FCF!C92</f>
        <v>0.87391267559349473</v>
      </c>
    </row>
    <row r="72" spans="1:6">
      <c r="B72" s="210" t="s">
        <v>447</v>
      </c>
      <c r="C72" s="323" t="s">
        <v>449</v>
      </c>
      <c r="D72" s="323" t="s">
        <v>450</v>
      </c>
    </row>
    <row r="73" spans="1:6">
      <c r="B73" s="47" t="s">
        <v>448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3.8333349470242393</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72651.94</v>
      </c>
      <c r="D102" s="1" t="str">
        <f>Reporting_currency</f>
        <v>CNY</v>
      </c>
    </row>
    <row r="103" spans="2:6">
      <c r="B103" s="47" t="s">
        <v>280</v>
      </c>
      <c r="C103" s="223">
        <f>C102*scaling_factor*Exchange_Rate/Common_Shares</f>
        <v>0.16432053813007724</v>
      </c>
      <c r="D103" s="1" t="str">
        <f>Market_currency</f>
        <v>CNY</v>
      </c>
    </row>
    <row r="104" spans="2:6">
      <c r="B104" s="296" t="s">
        <v>401</v>
      </c>
      <c r="C104" s="325">
        <f>IF(BS!G31/BS!G27&gt;300%,"nm",BS!G31/BS!G27)</f>
        <v>2.5694600492681609E-2</v>
      </c>
    </row>
    <row r="105" spans="2:6">
      <c r="B105" s="296" t="s">
        <v>403</v>
      </c>
      <c r="C105" s="326">
        <f>IF(BS!C50&gt;30,"nm",BS!C50)</f>
        <v>0.53421555755411909</v>
      </c>
    </row>
    <row r="107" spans="2:6">
      <c r="B107" s="1" t="s">
        <v>253</v>
      </c>
    </row>
    <row r="108" spans="2:6">
      <c r="B108" s="47" t="s">
        <v>263</v>
      </c>
      <c r="C108" s="349">
        <f>BS!C66</f>
        <v>606704.22</v>
      </c>
      <c r="D108" s="1" t="str">
        <f>Reporting_currency</f>
        <v>CNY</v>
      </c>
    </row>
    <row r="109" spans="2:6">
      <c r="B109" s="47" t="s">
        <v>265</v>
      </c>
      <c r="C109" s="349">
        <f>DCF!C8</f>
        <v>381755.93838365644</v>
      </c>
      <c r="D109" s="1" t="str">
        <f>Reporting_currency</f>
        <v>CNY</v>
      </c>
    </row>
    <row r="110" spans="2:6">
      <c r="B110" s="47" t="s">
        <v>281</v>
      </c>
      <c r="C110" s="223">
        <f>C109*scaling_factor*Exchange_Rate/Common_Shares</f>
        <v>0.86343656108226474</v>
      </c>
      <c r="D110" s="1" t="str">
        <f>Market_currency</f>
        <v>CNY</v>
      </c>
    </row>
    <row r="112" spans="2:6">
      <c r="B112" s="1" t="s">
        <v>255</v>
      </c>
    </row>
    <row r="113" spans="1:6">
      <c r="B113" s="47" t="s">
        <v>256</v>
      </c>
      <c r="C113" s="349">
        <f>DCF!C9</f>
        <v>749715.90599999996</v>
      </c>
      <c r="D113" s="1" t="str">
        <f>Reporting_currency</f>
        <v>CNY</v>
      </c>
    </row>
    <row r="114" spans="1:6">
      <c r="B114" s="47" t="s">
        <v>282</v>
      </c>
      <c r="C114" s="223">
        <f>C113*scaling_factor*Exchange_Rate/Common_Shares</f>
        <v>1.6956700828442901</v>
      </c>
      <c r="D114" s="1" t="str">
        <f>Market_currency</f>
        <v>CNY</v>
      </c>
    </row>
    <row r="116" spans="1:6" ht="24.6" customHeight="1">
      <c r="B116" s="360" t="s">
        <v>363</v>
      </c>
      <c r="C116" s="360"/>
      <c r="D116" s="360"/>
      <c r="E116" s="360"/>
      <c r="F116" s="360"/>
    </row>
    <row r="118" spans="1:6">
      <c r="B118" s="47" t="s">
        <v>446</v>
      </c>
      <c r="C118" s="223">
        <f>IF(valuation_method="DCF",DCF!C12,DDM!C7)</f>
        <v>6.2281210528207165</v>
      </c>
      <c r="D118" s="1" t="str">
        <f>Market_currency</f>
        <v>CNY</v>
      </c>
    </row>
    <row r="119" spans="1:6">
      <c r="B119" s="296" t="s">
        <v>402</v>
      </c>
      <c r="C119" s="223">
        <f>BS!D47</f>
        <v>-0.36074239393771346</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257</v>
      </c>
      <c r="C132" s="217">
        <f>Scenarios!C60</f>
        <v>6.9895661568976033</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0.33700000000000002</v>
      </c>
    </row>
    <row r="143" spans="1:6">
      <c r="B143" s="212" t="s">
        <v>260</v>
      </c>
      <c r="C143" s="213">
        <f>Scenarios!C77</f>
        <v>0.18089999999999998</v>
      </c>
      <c r="D143" s="212" t="str">
        <f>Market_currency</f>
        <v>CNY</v>
      </c>
    </row>
    <row r="145" spans="2:4">
      <c r="B145" s="210" t="s">
        <v>405</v>
      </c>
      <c r="C145" s="241" t="str">
        <f>C11</f>
        <v>600583.SS</v>
      </c>
      <c r="D145" s="241" t="str">
        <f>IF(D11="","",D11)</f>
        <v/>
      </c>
    </row>
    <row r="146" spans="2:4">
      <c r="B146" s="1" t="s">
        <v>404</v>
      </c>
      <c r="C146" s="297">
        <f>F29</f>
        <v>0.33700000000000002</v>
      </c>
    </row>
    <row r="147" spans="2:4">
      <c r="B147" s="212" t="str">
        <f>"PV("&amp;C141&amp;" yrs of Dividends)"</f>
        <v>PV(3 yrs of Dividends)</v>
      </c>
      <c r="C147" s="216">
        <f>Scenarios!C81</f>
        <v>0.3121928255515225</v>
      </c>
    </row>
    <row r="148" spans="2:4">
      <c r="B148" s="212" t="str">
        <f>"+ PV(Equity Value realized at year "&amp;C141&amp;")"</f>
        <v>+ PV(Equity Value realized at year 3)</v>
      </c>
      <c r="C148" s="216">
        <f>Scenarios!C82</f>
        <v>2.9245294434498934</v>
      </c>
    </row>
    <row r="149" spans="2:4">
      <c r="B149" s="80" t="s">
        <v>259</v>
      </c>
      <c r="C149" s="215">
        <f>Scenarios!C83</f>
        <v>3.2367222690014161</v>
      </c>
      <c r="D149" s="300" t="str">
        <f>IF($D$11="","",C149*$E$25)</f>
        <v/>
      </c>
    </row>
    <row r="150" spans="2:4">
      <c r="B150" s="259" t="s">
        <v>413</v>
      </c>
      <c r="C150" s="298" t="str">
        <f>Market_currency</f>
        <v>CNY</v>
      </c>
      <c r="D150" s="298" t="str">
        <f>IF($D$11="","",D$13)</f>
        <v/>
      </c>
    </row>
    <row r="151" spans="2:4">
      <c r="B151" s="214" t="s">
        <v>261</v>
      </c>
      <c r="C151" s="92">
        <f>Scenarios!F83</f>
        <v>0.53692086227593971</v>
      </c>
    </row>
    <row r="153" spans="2:4">
      <c r="B153" s="210" t="s">
        <v>408</v>
      </c>
    </row>
    <row r="154" spans="2:4">
      <c r="B154" s="1" t="s">
        <v>407</v>
      </c>
      <c r="C154" s="297">
        <f>Scenarios!C90</f>
        <v>0.187</v>
      </c>
    </row>
    <row r="155" spans="2:4">
      <c r="B155" s="212" t="str">
        <f>"PV("&amp;C141&amp;" yrs of Dividends)"</f>
        <v>PV(3 yrs of Dividends)</v>
      </c>
      <c r="C155" s="216">
        <f>Scenarios!C91</f>
        <v>0.38895767823989019</v>
      </c>
    </row>
    <row r="156" spans="2:4">
      <c r="B156" s="212" t="str">
        <f>"+ PV(Equity Value realized at year "&amp;C141&amp;")"</f>
        <v>+ PV(Equity Value realized at year 3)</v>
      </c>
      <c r="C156" s="216">
        <f>Scenarios!C92</f>
        <v>4.1792472274204462</v>
      </c>
    </row>
    <row r="157" spans="2:4">
      <c r="B157" s="80" t="s">
        <v>259</v>
      </c>
      <c r="C157" s="215">
        <f>Scenarios!C93</f>
        <v>4.5682049056603367</v>
      </c>
      <c r="D157" s="300" t="str">
        <f>IF($D$11="","",C157*$E$25)</f>
        <v/>
      </c>
    </row>
    <row r="158" spans="2:4">
      <c r="B158" s="259" t="s">
        <v>413</v>
      </c>
      <c r="C158" s="298" t="str">
        <f>Market_currency</f>
        <v>CNY</v>
      </c>
      <c r="D158" s="298" t="str">
        <f>IF($D$11="","",D$13)</f>
        <v/>
      </c>
    </row>
    <row r="159" spans="2:4">
      <c r="B159" s="214" t="s">
        <v>261</v>
      </c>
      <c r="C159" s="92">
        <f>Scenarios!F93</f>
        <v>0.34642511378875263</v>
      </c>
    </row>
    <row r="161" spans="2:4">
      <c r="B161" s="210" t="s">
        <v>397</v>
      </c>
    </row>
    <row r="162" spans="2:4">
      <c r="B162" s="1" t="s">
        <v>406</v>
      </c>
      <c r="C162" s="92">
        <f>Scenarios!C96</f>
        <v>0.06</v>
      </c>
    </row>
    <row r="163" spans="2:4">
      <c r="B163" s="212" t="str">
        <f>"PV("&amp;C141&amp;" yrs of Dividends)"</f>
        <v>PV(3 yrs of Dividends)</v>
      </c>
      <c r="C163" s="216">
        <f>Scenarios!C97</f>
        <v>0.4835478616576106</v>
      </c>
    </row>
    <row r="164" spans="2:4">
      <c r="B164" s="212" t="str">
        <f>"+ PV(Equity Value realized at year "&amp;C141&amp;")"</f>
        <v>+ PV(Equity Value realized at year 3)</v>
      </c>
      <c r="C164" s="216">
        <f>Scenarios!C98</f>
        <v>5.8685745253612058</v>
      </c>
    </row>
    <row r="165" spans="2:4">
      <c r="B165" s="80" t="s">
        <v>398</v>
      </c>
      <c r="C165" s="215">
        <f>Scenarios!C99</f>
        <v>6.3521223870188166</v>
      </c>
      <c r="D165" s="300" t="str">
        <f>IF($D$11="","",C165*$E$25)</f>
        <v/>
      </c>
    </row>
    <row r="166" spans="2:4">
      <c r="B166" s="259" t="s">
        <v>413</v>
      </c>
      <c r="C166" s="298" t="str">
        <f>Market_currency</f>
        <v>CNY</v>
      </c>
      <c r="D166" s="298" t="str">
        <f>IF($D$11="","",D$13)</f>
        <v/>
      </c>
    </row>
    <row r="167" spans="2:4">
      <c r="B167" s="214" t="s">
        <v>261</v>
      </c>
      <c r="C167" s="92">
        <f>Scenarios!F99</f>
        <v>9.119933277256842E-2</v>
      </c>
    </row>
    <row r="169" spans="2:4">
      <c r="B169" s="210" t="s">
        <v>429</v>
      </c>
    </row>
    <row r="170" spans="2:4">
      <c r="B170" s="1" t="s">
        <v>420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5.4420382208736449</v>
      </c>
    </row>
    <row r="173" spans="2:4">
      <c r="B173" s="80" t="s">
        <v>398</v>
      </c>
      <c r="C173" s="215">
        <f>Scenarios!C105</f>
        <v>5.902408832447132</v>
      </c>
      <c r="D173" s="300" t="str">
        <f>IF($D$11="","",C173*$E$25)</f>
        <v/>
      </c>
    </row>
    <row r="174" spans="2:4">
      <c r="B174" s="259" t="s">
        <v>413</v>
      </c>
      <c r="C174" s="298" t="str">
        <f>Market_currency</f>
        <v>CNY</v>
      </c>
      <c r="D174" s="298" t="str">
        <f>IF($D$11="","",D$13)</f>
        <v/>
      </c>
    </row>
    <row r="175" spans="2:4">
      <c r="B175" s="214" t="s">
        <v>261</v>
      </c>
      <c r="C175" s="92">
        <f>Scenarios!F105</f>
        <v>0.1547224233415424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370</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369</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464</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171</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151</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167</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167</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176</v>
      </c>
      <c r="G6" s="19">
        <v>0</v>
      </c>
      <c r="H6" s="261">
        <v>0.6</v>
      </c>
    </row>
    <row r="7" spans="2:8" ht="15" customHeight="1">
      <c r="B7" s="1" t="s">
        <v>69</v>
      </c>
      <c r="C7" s="19">
        <v>0</v>
      </c>
      <c r="D7" s="261">
        <v>0.6</v>
      </c>
      <c r="E7" s="25"/>
      <c r="F7" s="4" t="s">
        <v>177</v>
      </c>
      <c r="G7" s="19">
        <v>1010697.32</v>
      </c>
      <c r="H7" s="261">
        <v>0.6</v>
      </c>
    </row>
    <row r="8" spans="2:8" ht="15" customHeight="1">
      <c r="B8" s="1" t="s">
        <v>172</v>
      </c>
      <c r="C8" s="19">
        <v>0</v>
      </c>
      <c r="D8" s="261">
        <v>0.6</v>
      </c>
      <c r="E8" s="25"/>
      <c r="F8" s="1" t="s">
        <v>178</v>
      </c>
      <c r="G8" s="19">
        <v>0</v>
      </c>
      <c r="H8" s="261">
        <v>0.6</v>
      </c>
    </row>
    <row r="9" spans="2:8" ht="15" customHeight="1">
      <c r="B9" s="4" t="s">
        <v>25</v>
      </c>
      <c r="C9" s="19">
        <f>95845.25+290054.08</f>
        <v>385899.33</v>
      </c>
      <c r="D9" s="261">
        <v>0.1</v>
      </c>
      <c r="E9" s="25"/>
      <c r="F9" s="4" t="s">
        <v>179</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7067.14</v>
      </c>
      <c r="D16" s="261">
        <v>0.5</v>
      </c>
      <c r="F16" s="4" t="s">
        <v>176</v>
      </c>
      <c r="G16" s="19">
        <v>0</v>
      </c>
      <c r="H16" s="261">
        <v>0.6</v>
      </c>
    </row>
    <row r="17" spans="2:8" ht="15" customHeight="1">
      <c r="B17" s="1" t="s">
        <v>69</v>
      </c>
      <c r="C17" s="19">
        <v>0</v>
      </c>
      <c r="D17" s="261">
        <v>0.6</v>
      </c>
      <c r="F17" s="4" t="s">
        <v>177</v>
      </c>
      <c r="G17" s="19">
        <v>238829.19</v>
      </c>
      <c r="H17" s="261">
        <v>0.6</v>
      </c>
    </row>
    <row r="18" spans="2:8" ht="15" customHeight="1">
      <c r="B18" s="4" t="s">
        <v>172</v>
      </c>
      <c r="C18" s="19">
        <v>0</v>
      </c>
      <c r="D18" s="261">
        <v>0.6</v>
      </c>
      <c r="F18" s="4" t="s">
        <v>180</v>
      </c>
      <c r="G18" s="19">
        <v>0</v>
      </c>
      <c r="H18" s="261">
        <v>0.1</v>
      </c>
    </row>
    <row r="19" spans="2:8" ht="15" customHeight="1">
      <c r="B19" s="4" t="s">
        <v>26</v>
      </c>
      <c r="C19" s="19">
        <f>1244686.85+59330.27+85754.97</f>
        <v>1389772.09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217211.59</v>
      </c>
      <c r="D21" s="261">
        <v>0.05</v>
      </c>
      <c r="F21" s="1" t="s">
        <v>179</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199</v>
      </c>
      <c r="C26" s="182" t="s">
        <v>135</v>
      </c>
      <c r="F26" s="184" t="s">
        <v>195</v>
      </c>
      <c r="G26" s="185" t="s">
        <v>135</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243</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202</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2966857.54</v>
      </c>
      <c r="H35" s="200">
        <f>D12+D24</f>
        <v>741189.52450000006</v>
      </c>
    </row>
    <row r="36" spans="2:8" ht="15" customHeight="1">
      <c r="B36" s="4" t="s">
        <v>13</v>
      </c>
      <c r="C36" s="19">
        <v>13000.4</v>
      </c>
      <c r="F36" s="190" t="s">
        <v>196</v>
      </c>
      <c r="G36" s="191">
        <f>C4+C15</f>
        <v>779805.94000000006</v>
      </c>
      <c r="H36" s="195"/>
    </row>
    <row r="37" spans="2:8" ht="15" customHeight="1">
      <c r="B37" s="4" t="s">
        <v>14</v>
      </c>
      <c r="C37" s="19">
        <v>59651.54</v>
      </c>
      <c r="F37" s="190" t="s">
        <v>197</v>
      </c>
      <c r="G37" s="191">
        <f>C6</f>
        <v>75410.259999999995</v>
      </c>
      <c r="H37" s="195"/>
    </row>
    <row r="38" spans="2:8" ht="15" customHeight="1">
      <c r="B38" s="4" t="s">
        <v>15</v>
      </c>
      <c r="C38" s="19">
        <v>0</v>
      </c>
      <c r="F38" s="190" t="s">
        <v>198</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203</v>
      </c>
      <c r="C40" s="81">
        <f>SUM(C36:C39)</f>
        <v>72651.94</v>
      </c>
      <c r="F40" s="199" t="s">
        <v>137</v>
      </c>
      <c r="G40" s="193">
        <f>G12+G24</f>
        <v>1856230.73</v>
      </c>
      <c r="H40" s="200">
        <f>H12+H24</f>
        <v>1295749.7039999999</v>
      </c>
    </row>
    <row r="41" spans="2:8" ht="15" customHeight="1">
      <c r="B41" s="4" t="s">
        <v>17</v>
      </c>
      <c r="C41" s="21">
        <f>C42-C40</f>
        <v>80439.799999999988</v>
      </c>
      <c r="F41" s="190" t="s">
        <v>190</v>
      </c>
      <c r="G41" s="191">
        <f>C70</f>
        <v>606704.22</v>
      </c>
      <c r="H41" s="200">
        <f>H40-H42</f>
        <v>546033.79799999995</v>
      </c>
    </row>
    <row r="42" spans="2:8" ht="15" customHeight="1">
      <c r="B42" s="83" t="s">
        <v>22</v>
      </c>
      <c r="C42" s="84">
        <v>153091.74</v>
      </c>
      <c r="F42" s="201" t="s">
        <v>191</v>
      </c>
      <c r="G42" s="202">
        <f>C82</f>
        <v>1249526.51</v>
      </c>
      <c r="H42" s="203">
        <f>D82</f>
        <v>749715.90599999996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175</v>
      </c>
      <c r="C51" s="181"/>
      <c r="D51" s="92">
        <f>G29/G32</f>
        <v>0.54459961811978186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4.5838879268829603E-2</v>
      </c>
      <c r="D54" s="92">
        <f>Normalized_FCF!G8/G35</f>
        <v>6.4638051343712255E-2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273</v>
      </c>
      <c r="C61" s="235" t="s">
        <v>136</v>
      </c>
      <c r="D61" s="197" t="s">
        <v>95</v>
      </c>
      <c r="F61" s="253"/>
    </row>
    <row r="62" spans="2:8" ht="15" customHeight="1">
      <c r="B62" s="1" t="s">
        <v>244</v>
      </c>
      <c r="C62" s="92">
        <f>IF(G28&lt;=0,0,G28/G29)</f>
        <v>7.6472162169116883E-2</v>
      </c>
      <c r="D62" s="92">
        <f>G28/G29</f>
        <v>7.6472162169116883E-2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606704.22</v>
      </c>
      <c r="D66" s="76">
        <f>C66-D75</f>
        <v>381755.93838365644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606704.22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-241044.91095666669</v>
      </c>
      <c r="D73" s="349">
        <f>(Normalized_FCF!C25+Normalized_FCF!C35-Normalized_FCF!C91)/12</f>
        <v>-224948.28161634356</v>
      </c>
      <c r="F73" s="1" t="s">
        <v>348</v>
      </c>
    </row>
    <row r="74" spans="2:6" ht="15" customHeight="1">
      <c r="B74" s="257" t="s">
        <v>318</v>
      </c>
      <c r="C74" s="258">
        <f>-$C$66/C73</f>
        <v>2.5169758514796809</v>
      </c>
      <c r="D74" s="258">
        <f>-$C$66/D73</f>
        <v>2.6970831501382762</v>
      </c>
      <c r="F74" s="253" t="s">
        <v>316</v>
      </c>
    </row>
    <row r="75" spans="2:6" ht="15" customHeight="1">
      <c r="B75" s="80" t="s">
        <v>317</v>
      </c>
      <c r="C75" s="320"/>
      <c r="D75" s="321">
        <f>MAX(-D73*D76,G5)</f>
        <v>224948.28161634356</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1249526.51</v>
      </c>
      <c r="D79" s="76">
        <f>G7*H7+G17*H17</f>
        <v>749715.90599999996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1249526.51</v>
      </c>
      <c r="D82" s="81">
        <f>SUM(D79:D81)</f>
        <v>749715.90599999996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-72651.94</v>
      </c>
      <c r="D86" s="223">
        <f>C86*scaling_factor/Common_Shares</f>
        <v>-0.16432053813007724</v>
      </c>
      <c r="E86" s="240" t="str">
        <f>Market_currency</f>
        <v>CNY</v>
      </c>
    </row>
    <row r="87" spans="2:8" ht="15" customHeight="1">
      <c r="B87" s="238" t="s">
        <v>286</v>
      </c>
      <c r="C87" s="76">
        <f>DCF!C8*Exchange_Rate</f>
        <v>381755.93838365644</v>
      </c>
      <c r="D87" s="223">
        <f>C87*scaling_factor/Common_Shares</f>
        <v>0.86343656108226474</v>
      </c>
      <c r="E87" s="240" t="str">
        <f>Market_currency</f>
        <v>CNY</v>
      </c>
    </row>
    <row r="88" spans="2:8" ht="15" customHeight="1">
      <c r="B88" s="239" t="s">
        <v>188</v>
      </c>
      <c r="C88" s="76">
        <f>DCF!C9*Exchange_Rate</f>
        <v>749715.90599999996</v>
      </c>
      <c r="D88" s="223">
        <f>C88*scaling_factor/Common_Shares</f>
        <v>1.6956700828442901</v>
      </c>
      <c r="E88" s="240" t="str">
        <f>Market_currency</f>
        <v>CNY</v>
      </c>
    </row>
    <row r="89" spans="2:8" ht="15" customHeight="1">
      <c r="B89" s="80" t="s">
        <v>290</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151</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163</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242</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153</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0.89835254823380262</v>
      </c>
      <c r="D28" s="26"/>
      <c r="E28" s="266" t="s">
        <v>330</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330</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-29127.89</v>
      </c>
      <c r="E33" s="266" t="s">
        <v>330</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330</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342</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339</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2.0532393857421991E-2</v>
      </c>
      <c r="E53" s="265" t="s">
        <v>332</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333</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194</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151</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163</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153</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3.4326375711574951E-2</v>
      </c>
      <c r="E94" s="268"/>
      <c r="G94" s="23">
        <f t="shared" ref="G94:Q94" si="39">IF(G$4="","",(G90*(1-dividend_tax_rate))/Market_Price)</f>
        <v>3.4326375711574951E-2</v>
      </c>
      <c r="H94" s="23">
        <f t="shared" si="39"/>
        <v>2.5104364326375715E-2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163</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209</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30</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389</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83</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91</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221</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268</v>
      </c>
      <c r="C126" s="77">
        <f>C19*Exchange_Rate*$C$3/(Market_Price*Common_Shares)</f>
        <v>4.3643282129308222E-2</v>
      </c>
      <c r="D126" s="27"/>
      <c r="E126" s="265"/>
      <c r="F126" s="27"/>
      <c r="G126" s="77">
        <f t="shared" ref="G126" si="50">IF(G$4="","",G125/Market_Price)</f>
        <v>6.1277742046219864E-2</v>
      </c>
      <c r="H126" s="77">
        <f t="shared" ref="H126" si="51">IF(H$4="","",H125/Market_Price)</f>
        <v>5.8092348168088143E-2</v>
      </c>
      <c r="I126" s="77">
        <f t="shared" ref="I126" si="52">IF(I$4="","",I125/Market_Price)</f>
        <v>3.2872805594976011E-2</v>
      </c>
      <c r="J126" s="77">
        <f t="shared" ref="J126" si="53">IF(J$4="","",J125/Market_Price)</f>
        <v>2.6056609544396592E-2</v>
      </c>
      <c r="K126" s="77">
        <f t="shared" ref="K126" si="54">IF(K$4="","",K125/Market_Price)</f>
        <v>1.2007905671950621E-2</v>
      </c>
      <c r="L126" s="77">
        <f t="shared" ref="L126" si="55">IF(L$4="","",L125/Market_Price)</f>
        <v>1.6747064890605901E-2</v>
      </c>
      <c r="M126" s="77">
        <f t="shared" ref="M126" si="56">IF(M$4="","",M125/Market_Price)</f>
        <v>-3.4877726617406242E-3</v>
      </c>
      <c r="N126" s="77">
        <f t="shared" ref="N126" si="57">IF(N$4="","",N125/Market_Price)</f>
        <v>4.3388314298776605E-2</v>
      </c>
      <c r="O126" s="77">
        <f t="shared" ref="O126" si="58">IF(O$4="","",O125/Market_Price)</f>
        <v>2.32293482785715E-2</v>
      </c>
      <c r="P126" s="77">
        <f t="shared" ref="P126" si="59">IF(P$4="","",P125/Market_Price)</f>
        <v>0.1256525430154459</v>
      </c>
      <c r="Q126" s="77" t="str">
        <f t="shared" ref="Q126" si="60">IF(Q$4="","",Q125/Market_Price)</f>
        <v/>
      </c>
    </row>
    <row r="127" spans="1:17" ht="15.75" customHeight="1">
      <c r="B127" s="2" t="s">
        <v>391</v>
      </c>
      <c r="C127" s="169"/>
      <c r="G127" s="23">
        <f>IF(G$4="","",(Data!C47*$C$3)/(Market_Price*Common_Shares))</f>
        <v>9.3830156689130459E-2</v>
      </c>
      <c r="H127" s="23">
        <f>IF(H$4="","",(Data!D47*$C$3)/(Market_Price*Common_Shares))</f>
        <v>6.9969992724369406E-2</v>
      </c>
      <c r="I127" s="23">
        <f>IF(I$4="","",(Data!E47*$C$3)/(Market_Price*Common_Shares))</f>
        <v>6.2217004957493216E-2</v>
      </c>
      <c r="J127" s="23">
        <f>IF(J$4="","",(Data!F47*$C$3)/(Market_Price*Common_Shares))</f>
        <v>1.5964990650725611E-2</v>
      </c>
      <c r="K127" s="23">
        <f>IF(K$4="","",(Data!G47*$C$3)/(Market_Price*Common_Shares))</f>
        <v>1.5687674114002743E-2</v>
      </c>
      <c r="L127" s="23">
        <f>IF(L$4="","",(Data!H47*$C$3)/(Market_Price*Common_Shares))</f>
        <v>1.2294244790379363E-3</v>
      </c>
      <c r="M127" s="23">
        <f>IF(M$4="","",(Data!I47*$C$3)/(Market_Price*Common_Shares))</f>
        <v>3.4264817338569096E-3</v>
      </c>
      <c r="N127" s="23">
        <f>IF(N$4="","",(Data!J47*$C$3)/(Market_Price*Common_Shares))</f>
        <v>2.1013769092339013E-2</v>
      </c>
      <c r="O127" s="23">
        <f>IF(O$4="","",(Data!K47*$C$3)/(Market_Price*Common_Shares))</f>
        <v>5.6346822798731357E-2</v>
      </c>
      <c r="P127" s="23">
        <f>IF(P$4="","",(Data!L47*$C$3)/(Market_Price*Common_Shares))</f>
        <v>0.14636011546760133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v>
      </c>
      <c r="E3" s="109" t="s">
        <v>123</v>
      </c>
      <c r="H3" s="120"/>
    </row>
    <row r="4" spans="2:8">
      <c r="B4" s="100" t="s">
        <v>127</v>
      </c>
      <c r="C4" s="338">
        <f>Normalized_FCF!C19</f>
        <v>101691.20320820018</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1694853.3868033364</v>
      </c>
      <c r="D6" t="str">
        <f>Reporting_currency</f>
        <v>CNY</v>
      </c>
      <c r="E6" s="366" t="s">
        <v>248</v>
      </c>
      <c r="F6" s="366"/>
      <c r="H6" s="120"/>
    </row>
    <row r="7" spans="2:8">
      <c r="B7" s="148" t="s">
        <v>223</v>
      </c>
      <c r="C7" s="338">
        <f>BS!G31</f>
        <v>72651.94</v>
      </c>
      <c r="D7" t="str">
        <f>Reporting_currency</f>
        <v>CNY</v>
      </c>
      <c r="E7" s="366"/>
      <c r="F7" s="366"/>
      <c r="H7" s="120"/>
    </row>
    <row r="8" spans="2:8">
      <c r="B8" s="148" t="s">
        <v>224</v>
      </c>
      <c r="C8" s="338">
        <f>BS!D66</f>
        <v>381755.93838365644</v>
      </c>
      <c r="D8" t="str">
        <f>Reporting_currency</f>
        <v>CNY</v>
      </c>
      <c r="E8" s="366"/>
      <c r="F8" s="366"/>
      <c r="H8" s="120"/>
    </row>
    <row r="9" spans="2:8">
      <c r="B9" s="205" t="s">
        <v>189</v>
      </c>
      <c r="C9" s="348">
        <f>BS!H42</f>
        <v>749715.90599999996</v>
      </c>
      <c r="D9" t="str">
        <f>Reporting_currency</f>
        <v>CNY</v>
      </c>
      <c r="E9" s="366"/>
      <c r="F9" s="366"/>
      <c r="H9" s="120"/>
    </row>
    <row r="10" spans="2:8" ht="13.15">
      <c r="B10" s="149" t="s">
        <v>226</v>
      </c>
      <c r="C10" s="347">
        <f>C6-C7+C8+C9</f>
        <v>2753673.291186993</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6.2281210528207165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6.1350776830187602E-2</v>
      </c>
      <c r="H16" s="120"/>
    </row>
    <row r="17" spans="2:17" ht="13.35" customHeight="1">
      <c r="B17" s="118" t="s">
        <v>133</v>
      </c>
      <c r="C17" s="162">
        <f>Scenarios!C64</f>
        <v>10</v>
      </c>
      <c r="H17" s="120"/>
    </row>
    <row r="18" spans="2:17" ht="13.35" customHeight="1">
      <c r="B18" s="153" t="s">
        <v>106</v>
      </c>
      <c r="C18" s="140">
        <f>(F52-C7+C8+C9)*Exchange_Rate/Common_Shares*scaling_factor</f>
        <v>6.9828054066931156</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1798833.9586969954</v>
      </c>
      <c r="D51" s="139">
        <f>Terminal_Growth</f>
        <v>0</v>
      </c>
      <c r="E51" s="124">
        <f>1/(1+Equity_Cost)^C17</f>
        <v>0.55839477691511785</v>
      </c>
      <c r="F51" s="125">
        <f t="shared" si="1"/>
        <v>1004459.4870739471</v>
      </c>
      <c r="H51" s="120"/>
    </row>
    <row r="52" spans="1:17">
      <c r="C52" s="114"/>
      <c r="E52" s="127" t="s">
        <v>100</v>
      </c>
      <c r="F52" s="137">
        <f>SUM(F21:F51)</f>
        <v>2028526.1158511993</v>
      </c>
      <c r="H52" s="120"/>
    </row>
    <row r="53" spans="1:17">
      <c r="C53" s="114"/>
      <c r="H53" s="120"/>
    </row>
    <row r="54" spans="1:17" ht="13.15">
      <c r="B54" s="119" t="s">
        <v>128</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ht="13.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ht="13.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ht="13.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v>
      </c>
      <c r="E3" s="109" t="s">
        <v>123</v>
      </c>
      <c r="H3" s="120"/>
    </row>
    <row r="4" spans="2:8">
      <c r="B4" s="100" t="s">
        <v>437</v>
      </c>
      <c r="C4" s="114">
        <f>Normalized_FCF!C91*(1-dividend_tax_rate)</f>
        <v>79982.308332000001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1333038.4722</v>
      </c>
      <c r="D6" t="str">
        <f>Reporting_currency</f>
        <v>CNY</v>
      </c>
      <c r="E6" s="366"/>
      <c r="F6" s="366"/>
      <c r="H6" s="120"/>
    </row>
    <row r="7" spans="2:8" ht="13.15">
      <c r="B7" s="149" t="s">
        <v>441</v>
      </c>
      <c r="C7" s="111">
        <f>(C6*scaling_factor)/Common_Shares*Exchange_Rate</f>
        <v>3.0150000000000001</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6.1350776830187602E-2</v>
      </c>
      <c r="H11" s="120"/>
    </row>
    <row r="12" spans="2:8" ht="13.35" customHeight="1">
      <c r="B12" s="118" t="s">
        <v>133</v>
      </c>
      <c r="C12" s="162">
        <f>Scenarios!C64</f>
        <v>10</v>
      </c>
      <c r="H12" s="120"/>
    </row>
    <row r="13" spans="2:8" ht="13.35" customHeight="1">
      <c r="B13" s="153" t="s">
        <v>106</v>
      </c>
      <c r="C13" s="140">
        <f>F47/Common_Shares*scaling_factor</f>
        <v>3.6085754006290576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84889.285080839778</v>
      </c>
      <c r="D16" s="138">
        <f>IF($C$12&lt;B16,0,DDM!$C$11)</f>
        <v>6.1350776830187602E-2</v>
      </c>
      <c r="E16" s="124">
        <f t="shared" ref="E16:E45" si="0">IF($C$12&lt;B16,0,1/(1+Equity_Cost)^B16)</f>
        <v>0.94339622641509424</v>
      </c>
      <c r="F16" s="125">
        <f t="shared" ref="F16:F46" si="1">C16*E16</f>
        <v>80084.231208339406</v>
      </c>
      <c r="H16" s="120"/>
    </row>
    <row r="17" spans="2:8">
      <c r="B17" s="122">
        <v>2</v>
      </c>
      <c r="C17" s="123">
        <f t="shared" ref="C17:C45" si="2">IF(ROW()-ROW($C$16)&lt;$C$12, $C$16*(1+D17)^(ROW()-ROW($C$16)), 0)</f>
        <v>90097.308665108547</v>
      </c>
      <c r="D17" s="138">
        <f>IF($C$12&lt;B17,0,DDM!$C$11)</f>
        <v>6.1350776830187602E-2</v>
      </c>
      <c r="E17" s="124">
        <f t="shared" si="0"/>
        <v>0.88999644001423983</v>
      </c>
      <c r="F17" s="125">
        <f t="shared" si="1"/>
        <v>80186.283966810734</v>
      </c>
      <c r="H17" s="120"/>
    </row>
    <row r="18" spans="2:8">
      <c r="B18" s="122">
        <v>3</v>
      </c>
      <c r="C18" s="123">
        <f t="shared" si="2"/>
        <v>95624.84854202214</v>
      </c>
      <c r="D18" s="138">
        <f>IF($C$12&lt;B18,0,DDM!$C$11)</f>
        <v>6.1350776830187602E-2</v>
      </c>
      <c r="E18" s="124">
        <f t="shared" si="0"/>
        <v>0.8396192830323016</v>
      </c>
      <c r="F18" s="125">
        <f t="shared" si="1"/>
        <v>80288.466772925065</v>
      </c>
      <c r="H18" s="120"/>
    </row>
    <row r="19" spans="2:8">
      <c r="B19" s="122">
        <v>4</v>
      </c>
      <c r="C19" s="123">
        <f t="shared" si="2"/>
        <v>101491.50728434422</v>
      </c>
      <c r="D19" s="138">
        <f>IF($C$12&lt;B19,0,DDM!$C$11)</f>
        <v>6.1350776830187602E-2</v>
      </c>
      <c r="E19" s="124">
        <f t="shared" si="0"/>
        <v>0.79209366323802044</v>
      </c>
      <c r="F19" s="125">
        <f t="shared" si="1"/>
        <v>80390.779792404443</v>
      </c>
      <c r="H19" s="120"/>
    </row>
    <row r="20" spans="2:8">
      <c r="B20" s="122">
        <v>5</v>
      </c>
      <c r="C20" s="123">
        <f t="shared" si="2"/>
        <v>107718.09009790535</v>
      </c>
      <c r="D20" s="138">
        <f>IF($C$12&lt;B20,0,DDM!$C$11)</f>
        <v>6.1350776830187602E-2</v>
      </c>
      <c r="E20" s="124">
        <f t="shared" si="0"/>
        <v>0.74725817286605689</v>
      </c>
      <c r="F20" s="125">
        <f t="shared" si="1"/>
        <v>80493.223191182056</v>
      </c>
      <c r="H20" s="120"/>
    </row>
    <row r="21" spans="2:8">
      <c r="B21" s="122">
        <v>6</v>
      </c>
      <c r="C21" s="123">
        <f t="shared" si="2"/>
        <v>114326.67860407599</v>
      </c>
      <c r="D21" s="138">
        <f>IF($C$12&lt;B21,0,DDM!$C$11)</f>
        <v>6.1350776830187602E-2</v>
      </c>
      <c r="E21" s="124">
        <f t="shared" si="0"/>
        <v>0.70496054043967626</v>
      </c>
      <c r="F21" s="125">
        <f t="shared" si="1"/>
        <v>80595.797135402579</v>
      </c>
      <c r="H21" s="120"/>
    </row>
    <row r="22" spans="2:8">
      <c r="B22" s="122">
        <v>7</v>
      </c>
      <c r="C22" s="123">
        <f t="shared" si="2"/>
        <v>121340.70914885121</v>
      </c>
      <c r="D22" s="138">
        <f>IF($C$12&lt;B22,0,DDM!$C$11)</f>
        <v>6.1350776830187602E-2</v>
      </c>
      <c r="E22" s="124">
        <f t="shared" si="0"/>
        <v>0.66505711362233599</v>
      </c>
      <c r="F22" s="125">
        <f t="shared" si="1"/>
        <v>80698.501791422357</v>
      </c>
      <c r="H22" s="120"/>
    </row>
    <row r="23" spans="2:8">
      <c r="B23" s="122">
        <v>8</v>
      </c>
      <c r="C23" s="123">
        <f t="shared" si="2"/>
        <v>128785.05591625907</v>
      </c>
      <c r="D23" s="138">
        <f>IF($C$12&lt;B23,0,DDM!$C$11)</f>
        <v>6.1350776830187602E-2</v>
      </c>
      <c r="E23" s="124">
        <f t="shared" si="0"/>
        <v>0.62741237134182648</v>
      </c>
      <c r="F23" s="125">
        <f t="shared" si="1"/>
        <v>80801.337325809815</v>
      </c>
      <c r="H23" s="120"/>
    </row>
    <row r="24" spans="2:8">
      <c r="B24" s="122">
        <v>9</v>
      </c>
      <c r="C24" s="123">
        <f t="shared" si="2"/>
        <v>136686.11914084069</v>
      </c>
      <c r="D24" s="138">
        <f>IF($C$12&lt;B24,0,DDM!$C$11)</f>
        <v>6.1350776830187602E-2</v>
      </c>
      <c r="E24" s="124">
        <f t="shared" si="0"/>
        <v>0.59189846353002495</v>
      </c>
      <c r="F24" s="125">
        <f t="shared" si="1"/>
        <v>80904.303905345543</v>
      </c>
      <c r="H24" s="120"/>
    </row>
    <row r="25" spans="2:8">
      <c r="B25" s="122">
        <v>10</v>
      </c>
      <c r="C25" s="123">
        <f t="shared" si="2"/>
        <v>145071.91873203483</v>
      </c>
      <c r="D25" s="138">
        <f>IF($C$12&lt;B25,0,DDM!$C$11)</f>
        <v>6.1350776830187602E-2</v>
      </c>
      <c r="E25" s="124">
        <f t="shared" si="0"/>
        <v>0.55839477691511785</v>
      </c>
      <c r="F25" s="125">
        <f t="shared" si="1"/>
        <v>81007.401697022695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1414821.4180139964</v>
      </c>
      <c r="D46" s="139">
        <f>Terminal_Growth</f>
        <v>0</v>
      </c>
      <c r="E46" s="124">
        <f>1/(1+Equity_Cost)^C12</f>
        <v>0.55839477691511785</v>
      </c>
      <c r="F46" s="125">
        <f t="shared" si="1"/>
        <v>790028.8900866562</v>
      </c>
      <c r="H46" s="120"/>
    </row>
    <row r="47" spans="2:8">
      <c r="C47" s="114"/>
      <c r="E47" s="127" t="s">
        <v>100</v>
      </c>
      <c r="F47" s="137">
        <f>SUM(F16:F46)</f>
        <v>1595479.2168733208</v>
      </c>
      <c r="H47" s="120"/>
    </row>
    <row r="48" spans="2:8">
      <c r="C48" s="114"/>
      <c r="H48" s="120"/>
    </row>
    <row r="49" spans="1:8" ht="13.15">
      <c r="B49" s="119" t="s">
        <v>128</v>
      </c>
      <c r="C49" s="136"/>
      <c r="D49" s="136"/>
      <c r="E49" s="117"/>
      <c r="F49" s="117"/>
      <c r="H49" s="120"/>
    </row>
    <row r="50" spans="1:8" ht="13.15">
      <c r="A50" s="133">
        <f>F47</f>
        <v>1595479.2168733208</v>
      </c>
      <c r="B50" s="131">
        <f>C73</f>
        <v>0</v>
      </c>
      <c r="C50" s="131">
        <f>C72</f>
        <v>0.01</v>
      </c>
      <c r="D50" s="131">
        <f>C71</f>
        <v>0.05</v>
      </c>
      <c r="E50" s="131">
        <f>C70</f>
        <v>0.08</v>
      </c>
      <c r="F50" s="131">
        <f>C69</f>
        <v>0.1</v>
      </c>
      <c r="H50" s="120"/>
    </row>
    <row r="51" spans="1:8" ht="13.15">
      <c r="A51" s="143">
        <v>5</v>
      </c>
      <c r="B51" s="123">
        <f t="dataTable" ref="B51:F56" dt2D="1" dtr="1" r1="C11" r2="C12"/>
        <v>1333038.4721999995</v>
      </c>
      <c r="C51" s="123">
        <v>1352841.0583134475</v>
      </c>
      <c r="D51" s="123">
        <v>1434664.7426463575</v>
      </c>
      <c r="E51" s="123">
        <v>1498939.4398927903</v>
      </c>
      <c r="F51" s="123">
        <v>1543264.1635424129</v>
      </c>
      <c r="H51" s="120"/>
    </row>
    <row r="52" spans="1:8" ht="13.15">
      <c r="A52" s="143">
        <v>10</v>
      </c>
      <c r="B52" s="123">
        <v>1333038.4721999993</v>
      </c>
      <c r="C52" s="123">
        <v>1370894.9940386233</v>
      </c>
      <c r="D52" s="123">
        <v>1541055.2997182389</v>
      </c>
      <c r="E52" s="123">
        <v>1691614.4529217728</v>
      </c>
      <c r="F52" s="123">
        <v>1804910.7025832951</v>
      </c>
      <c r="H52" s="120"/>
    </row>
    <row r="53" spans="1:8" ht="13.15">
      <c r="A53" s="143">
        <v>15</v>
      </c>
      <c r="B53" s="123">
        <v>1333038.472199999</v>
      </c>
      <c r="C53" s="123">
        <v>1394766.6741825927</v>
      </c>
      <c r="D53" s="123">
        <v>1697097.314391847</v>
      </c>
      <c r="E53" s="123">
        <v>1998524.2849361985</v>
      </c>
      <c r="F53" s="123">
        <v>2246135.2868366255</v>
      </c>
      <c r="H53" s="120"/>
    </row>
    <row r="54" spans="1:8" ht="13.15">
      <c r="A54" s="144">
        <v>20</v>
      </c>
      <c r="B54" s="123">
        <v>1333038.4721999993</v>
      </c>
      <c r="C54" s="123">
        <v>1420757.756224094</v>
      </c>
      <c r="D54" s="123">
        <v>1886698.8528084233</v>
      </c>
      <c r="E54" s="123">
        <v>2406759.0314421728</v>
      </c>
      <c r="F54" s="123">
        <v>2871544.2543889983</v>
      </c>
      <c r="H54" s="120"/>
    </row>
    <row r="55" spans="1:8" ht="13.15">
      <c r="A55" s="144">
        <v>25</v>
      </c>
      <c r="B55" s="123">
        <v>1333038.472199999</v>
      </c>
      <c r="C55" s="123">
        <v>1446582.7964726875</v>
      </c>
      <c r="D55" s="123">
        <v>2097999.0817997293</v>
      </c>
      <c r="E55" s="123">
        <v>2908235.4178708652</v>
      </c>
      <c r="F55" s="123">
        <v>3694751.6877911109</v>
      </c>
      <c r="H55" s="120"/>
    </row>
    <row r="56" spans="1:8" ht="13.15">
      <c r="A56" s="144">
        <v>30</v>
      </c>
      <c r="B56" s="123">
        <v>1333038.4721999988</v>
      </c>
      <c r="C56" s="123">
        <v>1470909.523966179</v>
      </c>
      <c r="D56" s="123">
        <v>2322291.3016972309</v>
      </c>
      <c r="E56" s="123">
        <v>3498630.1055491441</v>
      </c>
      <c r="F56" s="123">
        <v>4738172.4357568584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3.0150000000000001</v>
      </c>
      <c r="C60" s="124">
        <f>C7</f>
        <v>3.0150000000000001</v>
      </c>
      <c r="D60" s="124">
        <f>C7</f>
        <v>3.0150000000000001</v>
      </c>
      <c r="E60" s="141">
        <f>C7</f>
        <v>3.0150000000000001</v>
      </c>
      <c r="F60" s="124">
        <f>C7</f>
        <v>3.0150000000000001</v>
      </c>
      <c r="H60" s="120"/>
    </row>
    <row r="61" spans="1:8" ht="13.15">
      <c r="A61" s="143">
        <f t="shared" ref="A61:A66" si="3">A51</f>
        <v>5</v>
      </c>
      <c r="B61" s="124">
        <f t="shared" ref="B61:F66" si="4">B51/Common_Shares*$C$3*Exchange_Rate</f>
        <v>3.0149999999999992</v>
      </c>
      <c r="C61" s="124">
        <f t="shared" si="4"/>
        <v>3.0597885026405196</v>
      </c>
      <c r="D61" s="124">
        <f t="shared" si="4"/>
        <v>3.2448532351358854</v>
      </c>
      <c r="E61" s="124">
        <f t="shared" si="4"/>
        <v>3.3902265429881138</v>
      </c>
      <c r="F61" s="124">
        <f t="shared" si="4"/>
        <v>3.4904779945332884</v>
      </c>
      <c r="H61" s="120"/>
    </row>
    <row r="62" spans="1:8" ht="13.15">
      <c r="A62" s="143">
        <f t="shared" si="3"/>
        <v>10</v>
      </c>
      <c r="B62" s="124">
        <f t="shared" si="4"/>
        <v>3.0149999999999983</v>
      </c>
      <c r="C62" s="124">
        <f t="shared" si="4"/>
        <v>3.1006219949564402</v>
      </c>
      <c r="D62" s="124">
        <f t="shared" si="4"/>
        <v>3.4854820963887332</v>
      </c>
      <c r="E62" s="124">
        <f t="shared" si="4"/>
        <v>3.8260092877454053</v>
      </c>
      <c r="F62" s="124">
        <f t="shared" si="4"/>
        <v>4.0822571004328703</v>
      </c>
      <c r="H62" s="120"/>
    </row>
    <row r="63" spans="1:8" ht="13.15">
      <c r="A63" s="143">
        <f t="shared" si="3"/>
        <v>15</v>
      </c>
      <c r="B63" s="124">
        <f t="shared" si="4"/>
        <v>3.0149999999999979</v>
      </c>
      <c r="C63" s="124">
        <f t="shared" si="4"/>
        <v>3.1546137717393608</v>
      </c>
      <c r="D63" s="124">
        <f t="shared" si="4"/>
        <v>3.8384101506439769</v>
      </c>
      <c r="E63" s="124">
        <f t="shared" si="4"/>
        <v>4.5201626545243521</v>
      </c>
      <c r="F63" s="124">
        <f t="shared" si="4"/>
        <v>5.0801968818169163</v>
      </c>
      <c r="H63" s="120"/>
    </row>
    <row r="64" spans="1:8" ht="13.15">
      <c r="A64" s="144">
        <f t="shared" si="3"/>
        <v>20</v>
      </c>
      <c r="B64" s="124">
        <f t="shared" si="4"/>
        <v>3.0149999999999983</v>
      </c>
      <c r="C64" s="124">
        <f t="shared" si="4"/>
        <v>3.2133991061384486</v>
      </c>
      <c r="D64" s="124">
        <f t="shared" si="4"/>
        <v>4.2672414636536828</v>
      </c>
      <c r="E64" s="124">
        <f t="shared" si="4"/>
        <v>5.4434876645551551</v>
      </c>
      <c r="F64" s="124">
        <f t="shared" si="4"/>
        <v>6.4947157246665617</v>
      </c>
      <c r="H64" s="120"/>
    </row>
    <row r="65" spans="1:8" ht="13.15">
      <c r="A65" s="144">
        <f t="shared" si="3"/>
        <v>25</v>
      </c>
      <c r="B65" s="124">
        <f t="shared" si="4"/>
        <v>3.0149999999999979</v>
      </c>
      <c r="C65" s="124">
        <f t="shared" si="4"/>
        <v>3.2718088954830935</v>
      </c>
      <c r="D65" s="124">
        <f t="shared" si="4"/>
        <v>4.7451497939041882</v>
      </c>
      <c r="E65" s="124">
        <f t="shared" si="4"/>
        <v>6.57770197015373</v>
      </c>
      <c r="F65" s="124">
        <f t="shared" si="4"/>
        <v>8.356605282595984</v>
      </c>
    </row>
    <row r="66" spans="1:8" ht="13.15">
      <c r="A66" s="144">
        <f t="shared" si="3"/>
        <v>30</v>
      </c>
      <c r="B66" s="124">
        <f t="shared" si="4"/>
        <v>3.0149999999999975</v>
      </c>
      <c r="C66" s="124">
        <f t="shared" si="4"/>
        <v>3.3268298756891865</v>
      </c>
      <c r="D66" s="124">
        <f t="shared" si="4"/>
        <v>5.2524427618820164</v>
      </c>
      <c r="E66" s="124">
        <f t="shared" si="4"/>
        <v>7.9130272593123356</v>
      </c>
      <c r="F66" s="124">
        <f t="shared" si="4"/>
        <v>10.716562343643758</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5.0801968818169163</v>
      </c>
      <c r="F69" s="142">
        <f>Scenarios!C58</f>
        <v>0.1</v>
      </c>
    </row>
    <row r="70" spans="1:8">
      <c r="B70" s="127" t="str">
        <f>Scenarios!B36</f>
        <v>Optimistic</v>
      </c>
      <c r="C70" s="142">
        <f>Scenarios!C38</f>
        <v>0.08</v>
      </c>
      <c r="D70" s="145">
        <f>Scenarios!C37</f>
        <v>10</v>
      </c>
      <c r="E70" s="135">
        <f>INDEX(B$60:F$66, MATCH(D70, A$60:A$66, 0), MATCH(C70, B$59:F$59, 0))</f>
        <v>3.8260092877454053</v>
      </c>
      <c r="F70" s="142">
        <f>Scenarios!C40*(1-F$69-F$73)</f>
        <v>0.17</v>
      </c>
      <c r="H70" s="120"/>
    </row>
    <row r="71" spans="1:8">
      <c r="B71" s="127" t="str">
        <f>Scenarios!B24</f>
        <v>Base</v>
      </c>
      <c r="C71" s="142">
        <f>Scenarios!C26</f>
        <v>0.05</v>
      </c>
      <c r="D71" s="145">
        <f>Scenarios!C25</f>
        <v>10</v>
      </c>
      <c r="E71" s="135">
        <f>INDEX(B$60:F$66, MATCH(D71, A$60:A$66, 0), MATCH(C71, B$59:F$59, 0))</f>
        <v>3.4854820963887332</v>
      </c>
      <c r="F71" s="142">
        <f>Scenarios!C28*(1-F$69-F$73)</f>
        <v>0.51</v>
      </c>
      <c r="H71" s="120"/>
    </row>
    <row r="72" spans="1:8">
      <c r="B72" s="127" t="str">
        <f>Scenarios!B30</f>
        <v>Pessimistic</v>
      </c>
      <c r="C72" s="142">
        <f>Scenarios!C32</f>
        <v>0.01</v>
      </c>
      <c r="D72" s="145">
        <f>Scenarios!C31</f>
        <v>10</v>
      </c>
      <c r="E72" s="135">
        <f>INDEX(B$60:F$66, MATCH(D72, A$60:A$66, 0), MATCH(C72, B$59:F$59, 0))</f>
        <v>3.1006219949564402</v>
      </c>
      <c r="F72" s="142">
        <f>Scenarios!C34*(1-F$69-F$73)</f>
        <v>0.17</v>
      </c>
      <c r="H72" s="120"/>
    </row>
    <row r="73" spans="1:8">
      <c r="B73" s="127" t="str">
        <f>Scenarios!B48</f>
        <v>Devil's advocate</v>
      </c>
      <c r="C73" s="142">
        <f>Scenarios!C50</f>
        <v>0</v>
      </c>
      <c r="D73" s="145">
        <f>Scenarios!C49</f>
        <v>15</v>
      </c>
      <c r="E73" s="135">
        <f>INDEX(B$60:F$66, MATCH(D73, A$60:A$66, 0), MATCH(C73, B$59:F$59, 0))</f>
        <v>3.0149999999999979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-5.27</v>
      </c>
    </row>
    <row r="4" spans="2:9">
      <c r="B4" s="152" t="s">
        <v>145</v>
      </c>
      <c r="C4" s="120">
        <v>3</v>
      </c>
      <c r="D4" s="120"/>
      <c r="E4" s="155" t="s">
        <v>149</v>
      </c>
      <c r="F4" s="155"/>
      <c r="H4" s="247">
        <v>1</v>
      </c>
      <c r="I4" s="124">
        <f t="shared" ref="I4:I13" si="0">IF(ROW()-3 &lt; $C$76, $C$77, IF(ROW()-3 = $C$76, $C$77 + $C$60, ""))</f>
        <v>0.18089999999999998</v>
      </c>
    </row>
    <row r="5" spans="2:9">
      <c r="H5" s="247">
        <v>2</v>
      </c>
      <c r="I5" s="124">
        <f t="shared" si="0"/>
        <v>0.18089999999999998</v>
      </c>
    </row>
    <row r="6" spans="2:9" ht="13.15">
      <c r="B6" s="159" t="s">
        <v>95</v>
      </c>
      <c r="C6" s="107">
        <f>DCF!C3</f>
        <v>10000</v>
      </c>
      <c r="E6" s="100" t="s">
        <v>278</v>
      </c>
      <c r="F6" s="100"/>
      <c r="H6" s="247">
        <v>3</v>
      </c>
      <c r="I6" s="124">
        <f t="shared" si="0"/>
        <v>7.1704661568976036</v>
      </c>
    </row>
    <row r="7" spans="2:9" ht="12.75" customHeight="1">
      <c r="B7" s="100" t="s">
        <v>274</v>
      </c>
      <c r="C7" s="338">
        <f>Normalized_FCF!G8</f>
        <v>191771.88999999984</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8"/>
      <c r="H7" s="247">
        <v>4</v>
      </c>
      <c r="I7" s="124" t="str">
        <f t="shared" si="0"/>
        <v/>
      </c>
    </row>
    <row r="8" spans="2:9">
      <c r="B8" s="100" t="s">
        <v>66</v>
      </c>
      <c r="C8" s="338">
        <f>Normalized_FCF!G19</f>
        <v>142780.44671569683</v>
      </c>
      <c r="D8" t="str">
        <f>Reporting_currency</f>
        <v>CNY</v>
      </c>
      <c r="E8" s="368"/>
      <c r="F8" s="368"/>
      <c r="H8" s="247">
        <v>5</v>
      </c>
      <c r="I8" s="124" t="str">
        <f t="shared" si="0"/>
        <v/>
      </c>
    </row>
    <row r="9" spans="2:9">
      <c r="B9" s="100" t="s">
        <v>57</v>
      </c>
      <c r="C9" s="338">
        <f>Normalized_FCF!C19</f>
        <v>101691.20320820018</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0.14806091180696912</v>
      </c>
      <c r="D12" s="158"/>
      <c r="E12" s="368"/>
      <c r="F12" s="368"/>
      <c r="H12" s="247">
        <v>9</v>
      </c>
      <c r="I12" s="124" t="str">
        <f t="shared" si="0"/>
        <v/>
      </c>
    </row>
    <row r="13" spans="2:9">
      <c r="B13" s="148" t="s">
        <v>151</v>
      </c>
      <c r="C13" s="158">
        <f ca="1">(Normalized_FCF!G8/OFFSET(Normalized_FCF!G8, 0, $C$4))^(1/$C$4) - 1</f>
        <v>0.32719702788845018</v>
      </c>
      <c r="E13" s="368"/>
      <c r="F13" s="368"/>
      <c r="H13" s="247">
        <v>10</v>
      </c>
      <c r="I13" s="124" t="str">
        <f t="shared" si="0"/>
        <v/>
      </c>
    </row>
    <row r="14" spans="2:9">
      <c r="B14" s="100" t="s">
        <v>66</v>
      </c>
      <c r="C14" s="158">
        <f ca="1">(Normalized_FCF!G19/OFFSET(Normalized_FCF!G19, 0, $C$4))^(1/$C$4) - 1</f>
        <v>0.32982639766138688</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5.27</v>
      </c>
      <c r="D21" t="str">
        <f>Market_currency</f>
        <v>CNY</v>
      </c>
      <c r="E21" s="369"/>
      <c r="F21" s="369"/>
    </row>
    <row r="22" spans="2:6">
      <c r="B22" s="100" t="s">
        <v>277</v>
      </c>
      <c r="C22" s="160">
        <f>IF(valuation_method="DCF",DCF!C12,DDM!C7)</f>
        <v>6.2281210528207165</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0.05</v>
      </c>
      <c r="D26" s="164"/>
      <c r="E26" s="367"/>
      <c r="F26" s="367"/>
    </row>
    <row r="27" spans="2:6">
      <c r="B27" s="100" t="s">
        <v>112</v>
      </c>
      <c r="C27" s="160">
        <f>IF(valuation_method="DCF",DCF!E76,DDM!E71)</f>
        <v>6.8263019689189441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6.3369826732188761</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7.259255462464397</v>
      </c>
      <c r="D39" t="str">
        <f>Market_currency</f>
        <v>CNY</v>
      </c>
      <c r="E39" s="367"/>
      <c r="F39" s="367"/>
    </row>
    <row r="40" spans="2:6">
      <c r="B40" s="100" t="s">
        <v>146</v>
      </c>
      <c r="C40" s="167">
        <f>1-C28-C34</f>
        <v>0.2</v>
      </c>
      <c r="D40" s="165"/>
      <c r="E40" s="367"/>
      <c r="F40" s="367"/>
    </row>
    <row r="42" spans="2:6" ht="13.15">
      <c r="B42" s="100" t="s">
        <v>119</v>
      </c>
      <c r="C42" s="154">
        <f>C27*C28+C33*C34+C39*C40</f>
        <v>6.8150288084880213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6.2281210528207138</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8.8538561704174903</v>
      </c>
      <c r="D57" t="str">
        <f>Market_currency</f>
        <v>CNY</v>
      </c>
      <c r="E57" s="367"/>
      <c r="F57" s="367"/>
    </row>
    <row r="58" spans="2:6">
      <c r="B58" s="100" t="s">
        <v>146</v>
      </c>
      <c r="C58" s="165">
        <v>0.1</v>
      </c>
      <c r="D58" s="165"/>
      <c r="E58" s="367"/>
      <c r="F58" s="367"/>
    </row>
    <row r="60" spans="2:6" ht="13.15">
      <c r="B60" s="100" t="s">
        <v>119</v>
      </c>
      <c r="C60" s="154">
        <f>C51*C52+C57*C58+C42*(1-C52-C58)</f>
        <v>6.9895661568976033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6.1350776830187602E-2</v>
      </c>
      <c r="D65" s="151"/>
      <c r="E65" s="251" t="s">
        <v>309</v>
      </c>
    </row>
    <row r="66" spans="2:6">
      <c r="B66" s="100" t="s">
        <v>102</v>
      </c>
      <c r="C66" s="160">
        <f>IF(valuation_method="DCF",DCF!C18,DDM!C13)</f>
        <v>6.9828054066931156</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0.34262299719893202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0.18089999999999998</v>
      </c>
      <c r="D77" t="str">
        <f>Market_currency</f>
        <v>CNY</v>
      </c>
    </row>
    <row r="79" spans="2:6" ht="13.15">
      <c r="B79" s="109" t="s">
        <v>300</v>
      </c>
    </row>
    <row r="80" spans="2:6">
      <c r="B80" s="148" t="s">
        <v>298</v>
      </c>
      <c r="C80" s="167">
        <f>Thesis!F29</f>
        <v>0.33700000000000002</v>
      </c>
    </row>
    <row r="81" spans="2:8">
      <c r="B81" s="100" t="s">
        <v>120</v>
      </c>
      <c r="C81" s="116">
        <f>PV(C80, C76, -C77, 0)</f>
        <v>0.3121928255515225</v>
      </c>
      <c r="D81" s="116"/>
      <c r="E81" s="100"/>
      <c r="F81" s="100"/>
    </row>
    <row r="82" spans="2:8">
      <c r="B82" s="100" t="s">
        <v>121</v>
      </c>
      <c r="C82" s="116">
        <f>C60/(1+C80)^C76</f>
        <v>2.9245294434498934</v>
      </c>
      <c r="D82" s="116"/>
    </row>
    <row r="83" spans="2:8" ht="13.15">
      <c r="B83" s="110" t="s">
        <v>101</v>
      </c>
      <c r="C83" s="111">
        <f>C81+C82</f>
        <v>3.2367222690014161</v>
      </c>
      <c r="D83" t="str">
        <f>Market_currency</f>
        <v>CNY</v>
      </c>
      <c r="E83" s="146" t="s">
        <v>125</v>
      </c>
      <c r="F83" s="291">
        <f>(1-C83/C60)</f>
        <v>0.53692086227593971</v>
      </c>
    </row>
    <row r="84" spans="2:8">
      <c r="E84" s="120"/>
    </row>
    <row r="85" spans="2:8" ht="13.15">
      <c r="B85" s="109" t="s">
        <v>301</v>
      </c>
    </row>
    <row r="86" spans="2:8">
      <c r="B86" s="148" t="s">
        <v>299</v>
      </c>
      <c r="C86" s="116">
        <f>Market_Price</f>
        <v>5.27</v>
      </c>
      <c r="D86" t="str">
        <f>Market_currency</f>
        <v>CNY</v>
      </c>
    </row>
    <row r="87" spans="2:8" ht="13.15">
      <c r="B87" s="100" t="s">
        <v>297</v>
      </c>
      <c r="C87" s="237">
        <f ca="1">IRR(OFFSET($I$3, 0, 0, $C$76 + 1, 1))</f>
        <v>0.13009220438153313</v>
      </c>
    </row>
    <row r="88" spans="2:8">
      <c r="B88" s="100"/>
    </row>
    <row r="89" spans="2:8" ht="13.15">
      <c r="B89" s="109" t="s">
        <v>409</v>
      </c>
    </row>
    <row r="90" spans="2:8">
      <c r="B90" s="148" t="s">
        <v>410</v>
      </c>
      <c r="C90" s="167">
        <f>Thesis!F30</f>
        <v>0.187</v>
      </c>
    </row>
    <row r="91" spans="2:8">
      <c r="B91" s="100" t="s">
        <v>120</v>
      </c>
      <c r="C91" s="116">
        <f>PV(C90, C76, -C77, 0)</f>
        <v>0.38895767823989019</v>
      </c>
      <c r="D91" s="116"/>
      <c r="E91" s="100"/>
      <c r="F91" s="100"/>
    </row>
    <row r="92" spans="2:8">
      <c r="B92" s="100" t="s">
        <v>121</v>
      </c>
      <c r="C92" s="116">
        <f>C60/(1+C90)^C76</f>
        <v>4.1792472274204462</v>
      </c>
      <c r="D92" s="116"/>
    </row>
    <row r="93" spans="2:8" ht="13.15">
      <c r="B93" s="110" t="s">
        <v>101</v>
      </c>
      <c r="C93" s="111">
        <f>C91+C92</f>
        <v>4.5682049056603367</v>
      </c>
      <c r="D93" t="str">
        <f>Market_currency</f>
        <v>CNY</v>
      </c>
      <c r="E93" s="146" t="s">
        <v>125</v>
      </c>
      <c r="F93" s="291">
        <f>(1-C93/C60)</f>
        <v>0.34642511378875263</v>
      </c>
    </row>
    <row r="95" spans="2:8" ht="13.15">
      <c r="B95" s="109" t="s">
        <v>394</v>
      </c>
      <c r="G95" s="2"/>
      <c r="H95" s="281"/>
    </row>
    <row r="96" spans="2:8">
      <c r="B96" s="148" t="s">
        <v>400</v>
      </c>
      <c r="C96" s="134">
        <f>Thesis!F31</f>
        <v>0.06</v>
      </c>
      <c r="G96" s="2"/>
      <c r="H96" s="281"/>
    </row>
    <row r="97" spans="2:8">
      <c r="B97" s="100" t="s">
        <v>120</v>
      </c>
      <c r="C97" s="116">
        <f>PV(C96, C76, -C77, 0)</f>
        <v>0.4835478616576106</v>
      </c>
      <c r="D97" s="116"/>
      <c r="G97" s="2"/>
      <c r="H97" s="281"/>
    </row>
    <row r="98" spans="2:8">
      <c r="B98" s="100" t="s">
        <v>121</v>
      </c>
      <c r="C98" s="116">
        <f>C60/(1+C96)^C76</f>
        <v>5.8685745253612058</v>
      </c>
      <c r="D98" s="116"/>
      <c r="G98" s="2"/>
      <c r="H98" s="281"/>
    </row>
    <row r="99" spans="2:8" ht="13.15">
      <c r="B99" s="110" t="s">
        <v>395</v>
      </c>
      <c r="C99" s="111">
        <f>C97+C98</f>
        <v>6.3521223870188166</v>
      </c>
      <c r="D99" t="s">
        <v>393</v>
      </c>
      <c r="E99" s="146" t="s">
        <v>125</v>
      </c>
      <c r="F99" s="291">
        <f>(1-C99/C60)</f>
        <v>9.119933277256842E-2</v>
      </c>
    </row>
    <row r="100" spans="2:8">
      <c r="B100" s="100"/>
    </row>
    <row r="101" spans="2:8" ht="13.15">
      <c r="B101" s="109" t="s">
        <v>419</v>
      </c>
    </row>
    <row r="102" spans="2:8">
      <c r="B102" s="148" t="s">
        <v>418</v>
      </c>
      <c r="C102" s="134">
        <f>Thesis!F32</f>
        <v>8.6999999999999994E-2</v>
      </c>
    </row>
    <row r="103" spans="2:8">
      <c r="B103" s="100" t="s">
        <v>120</v>
      </c>
      <c r="C103" s="116">
        <f>PV(C102, C76, -C77, 0)</f>
        <v>0.46037061157348735</v>
      </c>
      <c r="D103" s="116"/>
    </row>
    <row r="104" spans="2:8">
      <c r="B104" s="100" t="s">
        <v>121</v>
      </c>
      <c r="C104" s="116">
        <f>C60/(1+C102)^C76</f>
        <v>5.4420382208736449</v>
      </c>
      <c r="D104" s="116"/>
    </row>
    <row r="105" spans="2:8" ht="13.15">
      <c r="B105" s="110" t="s">
        <v>395</v>
      </c>
      <c r="C105" s="111">
        <f>C103+C104</f>
        <v>5.902408832447132</v>
      </c>
      <c r="D105" t="s">
        <v>393</v>
      </c>
      <c r="E105" s="146" t="s">
        <v>125</v>
      </c>
      <c r="F105" s="291">
        <f>(1-C105/C66)</f>
        <v>0.1547224233415424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2025-06-11T01:50:24Z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