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AA4F50-DFB5-4A1B-8B9D-BCECDC4E23B4}"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6" i="3"/>
  <c r="C9" i="3"/>
  <c r="C25" i="4"/>
  <c r="D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O118" i="2"/>
  <c r="N118" i="2"/>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8" i="2"/>
  <c r="C29"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<sst xmlns="http://schemas.openxmlformats.org/spreadsheetml/2006/main" count="685" uniqueCount="466">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</sst>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4421354800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5.26</v>
      </c>
      <c r="D12" s="50"/>
      <c r="E12" s="48"/>
    </row>
    <row r="13" spans="1:10">
      <c r="B13" s="1" t="s">
        <v>416</v>
      </c>
      <c r="C13" s="48" t="s">
        <v>414</v>
      </c>
      <c r="D13" s="48"/>
      <c r="E13" s="5"/>
    </row>
    <row r="14" spans="1:10">
      <c r="B14" s="4" t="s">
        <v>420</v>
      </c>
      <c r="C14" s="35">
        <f>Thesis!C12*Common_Shares/1000000</f>
        <v>23256.326248000001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6.9895661568976033</v>
      </c>
      <c r="D26" s="1" t="s">
        <v>399</v>
      </c>
      <c r="E26" s="301">
        <f ca="1">Scenarios!C87</f>
        <v>0.13432867044450703</v>
      </c>
    </row>
    <row r="27" spans="2:6">
      <c r="D27" s="5"/>
      <c r="E27" s="5"/>
    </row>
    <row r="28" spans="2:6">
      <c r="B28" s="45" t="s">
        <v>433</v>
      </c>
      <c r="C28" s="309" t="str">
        <f>C145&amp;" ("&amp;Market_currency&amp;")"</f>
        <v>600583.SS (CNY)</v>
      </c>
      <c r="D28" s="309" t="str">
        <f>IF(D11="","",D145&amp;" ("&amp;D13&amp;")")</f>
        <v/>
      </c>
      <c r="E28" s="305" t="s">
        <v>429</v>
      </c>
      <c r="F28" s="303">
        <v>3</v>
      </c>
    </row>
    <row r="29" spans="2:6">
      <c r="B29" s="1" t="s">
        <v>425</v>
      </c>
      <c r="C29" s="310">
        <f>C149</f>
        <v>3.2714103607293628</v>
      </c>
      <c r="D29" s="310" t="str">
        <f>D149</f>
        <v/>
      </c>
      <c r="E29" s="306" t="s">
        <v>424</v>
      </c>
      <c r="F29" s="302">
        <v>0.33699999999999997</v>
      </c>
    </row>
    <row r="30" spans="2:6">
      <c r="B30" s="1" t="s">
        <v>426</v>
      </c>
      <c r="C30" s="311">
        <f>C157</f>
        <v>4.6114224254647684</v>
      </c>
      <c r="D30" s="311" t="str">
        <f>D157</f>
        <v/>
      </c>
      <c r="E30" s="307" t="s">
        <v>437</v>
      </c>
      <c r="F30" s="312">
        <v>0.187</v>
      </c>
    </row>
    <row r="31" spans="2:6">
      <c r="B31" s="1" t="s">
        <v>427</v>
      </c>
      <c r="C31" s="311">
        <f>C165</f>
        <v>6.4058499272029952</v>
      </c>
      <c r="D31" s="311" t="str">
        <f>D165</f>
        <v/>
      </c>
      <c r="E31" s="307" t="s">
        <v>436</v>
      </c>
      <c r="F31" s="312">
        <v>0.06</v>
      </c>
    </row>
    <row r="32" spans="2:6">
      <c r="B32" s="1" t="s">
        <v>428</v>
      </c>
      <c r="C32" s="311">
        <f>C173</f>
        <v>5.9535611226219638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v>
      </c>
    </row>
    <row r="40" spans="1:6" ht="24.5" customHeight="1">
      <c r="B40" s="359" t="s">
        <v>231</v>
      </c>
      <c r="C40" s="359"/>
      <c r="D40" s="359"/>
      <c r="E40" s="359"/>
      <c r="F40" s="359"/>
    </row>
    <row r="41" spans="1:6">
      <c r="B41" s="47" t="s">
        <v>232</v>
      </c>
      <c r="C41" s="349">
        <f>Normalized_FCF!C8</f>
        <v>135997.4245838768</v>
      </c>
      <c r="D41" s="1" t="str">
        <f>Reporting_currency</f>
        <v>CNY</v>
      </c>
    </row>
    <row r="42" spans="1:6">
      <c r="B42" s="47"/>
      <c r="C42" s="76"/>
    </row>
    <row r="43" spans="1:6" ht="24.5" customHeight="1">
      <c r="B43" s="359" t="s">
        <v>233</v>
      </c>
      <c r="C43" s="359"/>
      <c r="D43" s="359"/>
      <c r="E43" s="359"/>
      <c r="F43" s="359"/>
    </row>
    <row r="44" spans="1:6">
      <c r="B44" s="47" t="s">
        <v>234</v>
      </c>
      <c r="C44" s="349">
        <f>Normalized_FCF!C9</f>
        <v>154945.9</v>
      </c>
      <c r="D44" s="1" t="str">
        <f>Reporting_currency</f>
        <v>CNY</v>
      </c>
    </row>
    <row r="45" spans="1:6">
      <c r="B45" s="52" t="s">
        <v>235</v>
      </c>
      <c r="C45" s="349">
        <f>Normalized_FCF!C10</f>
        <v>-154945.9</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4618.7267156970447</v>
      </c>
      <c r="D51" s="1" t="str">
        <f>Reporting_currency</f>
        <v>CNY</v>
      </c>
      <c r="E51" s="286"/>
      <c r="F51" s="286"/>
    </row>
    <row r="52" spans="2:6">
      <c r="B52" s="47" t="s">
        <v>341</v>
      </c>
      <c r="C52" s="350">
        <f>Normalized_FCF!C47</f>
        <v>-1984.19</v>
      </c>
      <c r="D52" s="1" t="str">
        <f>Reporting_currency</f>
        <v>CNY</v>
      </c>
      <c r="E52" s="286"/>
      <c r="F52" s="286"/>
    </row>
    <row r="53" spans="2:6">
      <c r="B53" s="47" t="s">
        <v>238</v>
      </c>
      <c r="C53" s="349">
        <f>Normalized_FCF!C12</f>
        <v>2634.5367156970447</v>
      </c>
      <c r="D53" s="1" t="str">
        <f>Reporting_currency</f>
        <v>CNY</v>
      </c>
    </row>
    <row r="55" spans="2:6">
      <c r="B55" s="1" t="s">
        <v>246</v>
      </c>
    </row>
    <row r="56" spans="2:6">
      <c r="B56" s="47" t="s">
        <v>265</v>
      </c>
      <c r="C56" s="349">
        <f>Normalized_FCF!C15</f>
        <v>-2282.7677664801586</v>
      </c>
      <c r="D56" s="1" t="str">
        <f>Reporting_currency</f>
        <v>CNY</v>
      </c>
    </row>
    <row r="58" spans="2:6">
      <c r="B58" s="359" t="s">
        <v>241</v>
      </c>
      <c r="C58" s="359"/>
      <c r="D58" s="359"/>
      <c r="E58" s="359"/>
      <c r="F58" s="359"/>
    </row>
    <row r="59" spans="2:6">
      <c r="B59" s="47" t="s">
        <v>239</v>
      </c>
      <c r="C59" s="349">
        <f>Normalized_FCF!C14</f>
        <v>-34657.990324893457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142780.44671569683</v>
      </c>
      <c r="D67" s="1" t="str">
        <f>Reporting_currency</f>
        <v>CNY</v>
      </c>
    </row>
    <row r="68" spans="1:6">
      <c r="B68" s="47" t="s">
        <v>248</v>
      </c>
      <c r="C68" s="349">
        <f>Normalized_FCF!C19</f>
        <v>101691.20320820018</v>
      </c>
      <c r="D68" s="1" t="str">
        <f>Reporting_currency</f>
        <v>CNY</v>
      </c>
    </row>
    <row r="69" spans="1:6">
      <c r="B69" s="227" t="s">
        <v>390</v>
      </c>
      <c r="C69" s="92">
        <f>Normalized_FCF!C125</f>
        <v>4.3726254148565458E-2</v>
      </c>
      <c r="F69" s="314"/>
    </row>
    <row r="70" spans="1:6">
      <c r="B70" s="227" t="s">
        <v>308</v>
      </c>
      <c r="C70" s="92">
        <f>Normalized_FCF!C93</f>
        <v>3.821292775665399E-2</v>
      </c>
      <c r="E70" s="47" t="s">
        <v>448</v>
      </c>
      <c r="F70" s="315">
        <f>Normalized_FCF!C92</f>
        <v>0.87391267559349473</v>
      </c>
    </row>
    <row r="72" spans="1:6">
      <c r="B72" s="210" t="s">
        <v>450</v>
      </c>
      <c r="C72" s="323" t="s">
        <v>452</v>
      </c>
      <c r="D72" s="323" t="s">
        <v>453</v>
      </c>
    </row>
    <row r="73" spans="1:6">
      <c r="B73" s="47" t="s">
        <v>451</v>
      </c>
      <c r="C73" s="92">
        <f>Normalized_FCF!C120</f>
        <v>4.9029562887232557E-2</v>
      </c>
      <c r="D73" s="92">
        <f>Normalized_FCF!G120</f>
        <v>6.8755155989910458E-2</v>
      </c>
    </row>
    <row r="74" spans="1:6">
      <c r="B74" s="259" t="str">
        <f>Normalized_FCF!B117</f>
        <v>Pre-tax Profit/Sales</v>
      </c>
      <c r="C74" s="322">
        <f>Normalized_FCF!C117</f>
        <v>5.0475725130946753E-2</v>
      </c>
      <c r="D74" s="322">
        <f>Normalized_FCF!G117</f>
        <v>6.490075699179193E-2</v>
      </c>
    </row>
    <row r="75" spans="1:6">
      <c r="B75" s="259" t="str">
        <f>Normalized_FCF!B118</f>
        <v>Sales/Total Assets</v>
      </c>
      <c r="C75" s="324">
        <f>Normalized_FCF!C118</f>
        <v>0.56944999111533989</v>
      </c>
      <c r="D75" s="324">
        <f>Normalized_FCF!G118</f>
        <v>0.62106298336522048</v>
      </c>
    </row>
    <row r="76" spans="1:6">
      <c r="B76" s="259" t="str">
        <f>Normalized_FCF!B119</f>
        <v>Total Assets/Equity</v>
      </c>
      <c r="C76" s="324">
        <f>Normalized_FCF!C119</f>
        <v>1.7057676125178334</v>
      </c>
      <c r="D76" s="324">
        <f>Normalized_FCF!G119</f>
        <v>1.7057676125178334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3.8333349470242393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72651.94</v>
      </c>
      <c r="D102" s="1" t="str">
        <f>Reporting_currency</f>
        <v>CNY</v>
      </c>
    </row>
    <row r="103" spans="2:6">
      <c r="B103" s="47" t="s">
        <v>281</v>
      </c>
      <c r="C103" s="223">
        <f>C102*scaling_factor*Exchange_Rate/Common_Shares</f>
        <v>0.16432053813007724</v>
      </c>
      <c r="D103" s="1" t="str">
        <f>Market_currency</f>
        <v>CNY</v>
      </c>
    </row>
    <row r="104" spans="2:6">
      <c r="B104" s="296" t="s">
        <v>404</v>
      </c>
      <c r="C104" s="325">
        <f>IF(BS!G31/BS!G27&gt;300%,"nm",BS!G31/BS!G27)</f>
        <v>2.5694600492681609E-2</v>
      </c>
    </row>
    <row r="105" spans="2:6">
      <c r="B105" s="296" t="s">
        <v>406</v>
      </c>
      <c r="C105" s="326">
        <f>IF(BS!C50&gt;30,"nm",BS!C50)</f>
        <v>0.53421555755411909</v>
      </c>
    </row>
    <row r="107" spans="2:6">
      <c r="B107" s="1" t="s">
        <v>254</v>
      </c>
    </row>
    <row r="108" spans="2:6">
      <c r="B108" s="47" t="s">
        <v>264</v>
      </c>
      <c r="C108" s="349">
        <f>BS!C66</f>
        <v>606704.22</v>
      </c>
      <c r="D108" s="1" t="str">
        <f>Reporting_currency</f>
        <v>CNY</v>
      </c>
    </row>
    <row r="109" spans="2:6">
      <c r="B109" s="47" t="s">
        <v>266</v>
      </c>
      <c r="C109" s="349">
        <f>DCF!C8</f>
        <v>381755.93838365644</v>
      </c>
      <c r="D109" s="1" t="str">
        <f>Reporting_currency</f>
        <v>CNY</v>
      </c>
    </row>
    <row r="110" spans="2:6">
      <c r="B110" s="47" t="s">
        <v>282</v>
      </c>
      <c r="C110" s="223">
        <f>C109*scaling_factor*Exchange_Rate/Common_Shares</f>
        <v>0.86343656108226474</v>
      </c>
      <c r="D110" s="1" t="str">
        <f>Market_currency</f>
        <v>CNY</v>
      </c>
    </row>
    <row r="112" spans="2:6">
      <c r="B112" s="1" t="s">
        <v>256</v>
      </c>
    </row>
    <row r="113" spans="1:6">
      <c r="B113" s="47" t="s">
        <v>257</v>
      </c>
      <c r="C113" s="349">
        <f>DCF!C9</f>
        <v>749715.90599999996</v>
      </c>
      <c r="D113" s="1" t="str">
        <f>Reporting_currency</f>
        <v>CNY</v>
      </c>
    </row>
    <row r="114" spans="1:6">
      <c r="B114" s="47" t="s">
        <v>283</v>
      </c>
      <c r="C114" s="223">
        <f>C113*scaling_factor*Exchange_Rate/Common_Shares</f>
        <v>1.6956700828442901</v>
      </c>
      <c r="D114" s="1" t="str">
        <f>Market_currency</f>
        <v>CNY</v>
      </c>
    </row>
    <row r="116" spans="1:6" ht="24.5" customHeight="1">
      <c r="B116" s="358" t="s">
        <v>366</v>
      </c>
      <c r="C116" s="358"/>
      <c r="D116" s="358"/>
      <c r="E116" s="358"/>
      <c r="F116" s="358"/>
    </row>
    <row r="118" spans="1:6">
      <c r="B118" s="47" t="s">
        <v>449</v>
      </c>
      <c r="C118" s="223">
        <f>IF(valuation_method="DCF",DCF!C12,DDM!C7)</f>
        <v>6.2281210528207165</v>
      </c>
      <c r="D118" s="1" t="str">
        <f>Market_currency</f>
        <v>CNY</v>
      </c>
    </row>
    <row r="119" spans="1:6">
      <c r="B119" s="296" t="s">
        <v>405</v>
      </c>
      <c r="C119" s="223">
        <f>BS!D47</f>
        <v>-0.36074239393771346</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258</v>
      </c>
      <c r="C132" s="217">
        <f>Scenarios!C60</f>
        <v>6.9895661568976033</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0.20099999999999998</v>
      </c>
      <c r="D143" s="212" t="str">
        <f>Market_currency</f>
        <v>CNY</v>
      </c>
    </row>
    <row r="145" spans="2:4">
      <c r="B145" s="210" t="s">
        <v>408</v>
      </c>
      <c r="C145" s="241" t="str">
        <f>C11</f>
        <v>600583.SS</v>
      </c>
      <c r="D145" s="241" t="str">
        <f>IF(D11="","",D11)</f>
        <v/>
      </c>
    </row>
    <row r="146" spans="2:4">
      <c r="B146" s="1" t="s">
        <v>407</v>
      </c>
      <c r="C146" s="297">
        <f>F29</f>
        <v>0.33699999999999997</v>
      </c>
    </row>
    <row r="147" spans="2:4">
      <c r="B147" s="212" t="str">
        <f>"PV("&amp;C141&amp;" yrs of Dividends)"</f>
        <v>PV(3 yrs of Dividends)</v>
      </c>
      <c r="C147" s="216">
        <f>Scenarios!C81</f>
        <v>0.34688091727946951</v>
      </c>
    </row>
    <row r="148" spans="2:4">
      <c r="B148" s="212" t="str">
        <f>"+ PV(Equity Value realized at year "&amp;C141&amp;")"</f>
        <v>+ PV(Equity Value realized at year 3)</v>
      </c>
      <c r="C148" s="216">
        <f>Scenarios!C82</f>
        <v>2.9245294434498934</v>
      </c>
    </row>
    <row r="149" spans="2:4">
      <c r="B149" s="80" t="s">
        <v>260</v>
      </c>
      <c r="C149" s="215">
        <f>Scenarios!C83</f>
        <v>3.2714103607293628</v>
      </c>
      <c r="D149" s="300" t="str">
        <f>IF($D$11="","",C149*$E$25)</f>
        <v/>
      </c>
    </row>
    <row r="150" spans="2:4">
      <c r="B150" s="259" t="s">
        <v>416</v>
      </c>
      <c r="C150" s="298" t="str">
        <f>Market_currency</f>
        <v>CNY</v>
      </c>
      <c r="D150" s="298" t="str">
        <f>IF($D$11="","",D$13)</f>
        <v/>
      </c>
    </row>
    <row r="151" spans="2:4">
      <c r="B151" s="214" t="s">
        <v>262</v>
      </c>
      <c r="C151" s="92">
        <f>Scenarios!F83</f>
        <v>0.53195802324569241</v>
      </c>
    </row>
    <row r="153" spans="2:4">
      <c r="B153" s="210" t="s">
        <v>411</v>
      </c>
    </row>
    <row r="154" spans="2:4">
      <c r="B154" s="1" t="s">
        <v>410</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260</v>
      </c>
      <c r="C157" s="215">
        <f>Scenarios!C93</f>
        <v>4.6114224254647684</v>
      </c>
      <c r="D157" s="300" t="str">
        <f>IF($D$11="","",C157*$E$25)</f>
        <v/>
      </c>
    </row>
    <row r="158" spans="2:4">
      <c r="B158" s="259" t="s">
        <v>416</v>
      </c>
      <c r="C158" s="298" t="str">
        <f>Market_currency</f>
        <v>CNY</v>
      </c>
      <c r="D158" s="298" t="str">
        <f>IF($D$11="","",D$13)</f>
        <v/>
      </c>
    </row>
    <row r="159" spans="2:4">
      <c r="B159" s="214" t="s">
        <v>262</v>
      </c>
      <c r="C159" s="92">
        <f>Scenarios!F93</f>
        <v>0.34024196610342983</v>
      </c>
    </row>
    <row r="161" spans="2:4">
      <c r="B161" s="210" t="s">
        <v>400</v>
      </c>
    </row>
    <row r="162" spans="2:4">
      <c r="B162" s="1" t="s">
        <v>409</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401</v>
      </c>
      <c r="C165" s="215">
        <f>Scenarios!C99</f>
        <v>6.4058499272029952</v>
      </c>
      <c r="D165" s="300" t="str">
        <f>IF($D$11="","",C165*$E$25)</f>
        <v/>
      </c>
    </row>
    <row r="166" spans="2:4">
      <c r="B166" s="259" t="s">
        <v>416</v>
      </c>
      <c r="C166" s="298" t="str">
        <f>Market_currency</f>
        <v>CNY</v>
      </c>
      <c r="D166" s="298" t="str">
        <f>IF($D$11="","",D$13)</f>
        <v/>
      </c>
    </row>
    <row r="167" spans="2:4">
      <c r="B167" s="214" t="s">
        <v>262</v>
      </c>
      <c r="C167" s="92">
        <f>Scenarios!F99</f>
        <v>8.3512512306442965E-2</v>
      </c>
    </row>
    <row r="169" spans="2:4">
      <c r="B169" s="210" t="s">
        <v>432</v>
      </c>
    </row>
    <row r="170" spans="2:4">
      <c r="B170" s="1" t="s">
        <v>423</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401</v>
      </c>
      <c r="C173" s="215">
        <f>Scenarios!C105</f>
        <v>5.9535611226219638</v>
      </c>
      <c r="D173" s="300" t="str">
        <f>IF($D$11="","",C173*$E$25)</f>
        <v/>
      </c>
    </row>
    <row r="174" spans="2:4">
      <c r="B174" s="259" t="s">
        <v>416</v>
      </c>
      <c r="C174" s="298" t="str">
        <f>Market_currency</f>
        <v>CNY</v>
      </c>
      <c r="D174" s="298" t="str">
        <f>IF($D$11="","",D$13)</f>
        <v/>
      </c>
    </row>
    <row r="175" spans="2:4">
      <c r="B175" s="214" t="s">
        <v>262</v>
      </c>
      <c r="C175" s="92">
        <f>Scenarios!F105</f>
        <v>0.14739695926290697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373</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372</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172</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152</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168</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168</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177</v>
      </c>
      <c r="G6" s="19">
        <v>0</v>
      </c>
      <c r="H6" s="261">
        <v>0.6</v>
      </c>
    </row>
    <row r="7" spans="2:8" ht="15" customHeight="1">
      <c r="B7" s="1" t="s">
        <v>69</v>
      </c>
      <c r="C7" s="19">
        <v>0</v>
      </c>
      <c r="D7" s="261">
        <v>0.6</v>
      </c>
      <c r="E7" s="25"/>
      <c r="F7" s="4" t="s">
        <v>178</v>
      </c>
      <c r="G7" s="19">
        <v>1010697.32</v>
      </c>
      <c r="H7" s="261">
        <v>0.6</v>
      </c>
    </row>
    <row r="8" spans="2:8" ht="15" customHeight="1">
      <c r="B8" s="1" t="s">
        <v>173</v>
      </c>
      <c r="C8" s="19">
        <v>0</v>
      </c>
      <c r="D8" s="261">
        <v>0.6</v>
      </c>
      <c r="E8" s="25"/>
      <c r="F8" s="1" t="s">
        <v>179</v>
      </c>
      <c r="G8" s="19">
        <v>0</v>
      </c>
      <c r="H8" s="261">
        <v>0.6</v>
      </c>
    </row>
    <row r="9" spans="2:8" ht="15" customHeight="1">
      <c r="B9" s="4" t="s">
        <v>25</v>
      </c>
      <c r="C9" s="19">
        <f>95845.25+290054.08</f>
        <v>385899.33</v>
      </c>
      <c r="D9" s="261">
        <v>0.1</v>
      </c>
      <c r="E9" s="25"/>
      <c r="F9" s="4" t="s">
        <v>180</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7067.14</v>
      </c>
      <c r="D16" s="261">
        <v>0.5</v>
      </c>
      <c r="F16" s="4" t="s">
        <v>177</v>
      </c>
      <c r="G16" s="19">
        <v>0</v>
      </c>
      <c r="H16" s="261">
        <v>0.6</v>
      </c>
    </row>
    <row r="17" spans="2:8" ht="15" customHeight="1">
      <c r="B17" s="1" t="s">
        <v>69</v>
      </c>
      <c r="C17" s="19">
        <v>0</v>
      </c>
      <c r="D17" s="261">
        <v>0.6</v>
      </c>
      <c r="F17" s="4" t="s">
        <v>178</v>
      </c>
      <c r="G17" s="19">
        <v>238829.19</v>
      </c>
      <c r="H17" s="261">
        <v>0.6</v>
      </c>
    </row>
    <row r="18" spans="2:8" ht="15" customHeight="1">
      <c r="B18" s="4" t="s">
        <v>173</v>
      </c>
      <c r="C18" s="19">
        <v>0</v>
      </c>
      <c r="D18" s="261">
        <v>0.6</v>
      </c>
      <c r="F18" s="4" t="s">
        <v>181</v>
      </c>
      <c r="G18" s="19">
        <v>0</v>
      </c>
      <c r="H18" s="261">
        <v>0.1</v>
      </c>
    </row>
    <row r="19" spans="2:8" ht="15" customHeight="1">
      <c r="B19" s="4" t="s">
        <v>26</v>
      </c>
      <c r="C19" s="19">
        <f>1244686.85+59330.27+85754.97</f>
        <v>1389772.09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217211.59</v>
      </c>
      <c r="D21" s="261">
        <v>0.05</v>
      </c>
      <c r="F21" s="1" t="s">
        <v>180</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200</v>
      </c>
      <c r="C26" s="182" t="s">
        <v>136</v>
      </c>
      <c r="F26" s="184" t="s">
        <v>196</v>
      </c>
      <c r="G26" s="185" t="s">
        <v>136</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244</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203</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2966857.54</v>
      </c>
      <c r="H35" s="200">
        <f>D12+D24</f>
        <v>741189.52450000006</v>
      </c>
    </row>
    <row r="36" spans="2:8" ht="15" customHeight="1">
      <c r="B36" s="4" t="s">
        <v>13</v>
      </c>
      <c r="C36" s="19">
        <v>13000.4</v>
      </c>
      <c r="F36" s="190" t="s">
        <v>197</v>
      </c>
      <c r="G36" s="191">
        <f>C4+C15</f>
        <v>779805.94000000006</v>
      </c>
      <c r="H36" s="195"/>
    </row>
    <row r="37" spans="2:8" ht="15" customHeight="1">
      <c r="B37" s="4" t="s">
        <v>14</v>
      </c>
      <c r="C37" s="19">
        <v>59651.54</v>
      </c>
      <c r="F37" s="190" t="s">
        <v>198</v>
      </c>
      <c r="G37" s="191">
        <f>C6</f>
        <v>75410.259999999995</v>
      </c>
      <c r="H37" s="195"/>
    </row>
    <row r="38" spans="2:8" ht="15" customHeight="1">
      <c r="B38" s="4" t="s">
        <v>15</v>
      </c>
      <c r="C38" s="19">
        <v>0</v>
      </c>
      <c r="F38" s="190" t="s">
        <v>199</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204</v>
      </c>
      <c r="C40" s="81">
        <f>SUM(C36:C39)</f>
        <v>72651.94</v>
      </c>
      <c r="F40" s="199" t="s">
        <v>138</v>
      </c>
      <c r="G40" s="193">
        <f>G12+G24</f>
        <v>1856230.73</v>
      </c>
      <c r="H40" s="200">
        <f>H12+H24</f>
        <v>1295749.7039999999</v>
      </c>
    </row>
    <row r="41" spans="2:8" ht="15" customHeight="1">
      <c r="B41" s="4" t="s">
        <v>17</v>
      </c>
      <c r="C41" s="21">
        <f>C42-C40</f>
        <v>80439.799999999988</v>
      </c>
      <c r="F41" s="190" t="s">
        <v>191</v>
      </c>
      <c r="G41" s="191">
        <f>C70</f>
        <v>606704.22</v>
      </c>
      <c r="H41" s="200">
        <f>H40-H42</f>
        <v>546033.79799999995</v>
      </c>
    </row>
    <row r="42" spans="2:8" ht="15" customHeight="1">
      <c r="B42" s="83" t="s">
        <v>22</v>
      </c>
      <c r="C42" s="84">
        <v>153091.74</v>
      </c>
      <c r="F42" s="201" t="s">
        <v>192</v>
      </c>
      <c r="G42" s="202">
        <f>C82</f>
        <v>1249526.51</v>
      </c>
      <c r="H42" s="203">
        <f>D82</f>
        <v>749715.90599999996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176</v>
      </c>
      <c r="C51" s="181"/>
      <c r="D51" s="92">
        <f>G29/G32</f>
        <v>0.54459961811978186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4.5838879268829603E-2</v>
      </c>
      <c r="D54" s="92">
        <f>Normalized_FCF!G8/G35</f>
        <v>6.4638051343712255E-2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274</v>
      </c>
      <c r="C61" s="235" t="s">
        <v>137</v>
      </c>
      <c r="D61" s="197" t="s">
        <v>95</v>
      </c>
      <c r="F61" s="253"/>
    </row>
    <row r="62" spans="2:8" ht="15" customHeight="1">
      <c r="B62" s="1" t="s">
        <v>245</v>
      </c>
      <c r="C62" s="92">
        <f>IF(G28&lt;=0,0,G28/G29)</f>
        <v>7.6472162169116883E-2</v>
      </c>
      <c r="D62" s="92">
        <f>G28/G29</f>
        <v>7.6472162169116883E-2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606704.22</v>
      </c>
      <c r="D66" s="76">
        <f>C66-D75</f>
        <v>381755.93838365644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606704.22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-241044.91095666669</v>
      </c>
      <c r="D73" s="349">
        <f>(Normalized_FCF!C25+Normalized_FCF!C35-Normalized_FCF!C91)/12</f>
        <v>-224948.28161634356</v>
      </c>
      <c r="F73" s="1" t="s">
        <v>351</v>
      </c>
    </row>
    <row r="74" spans="2:6" ht="15" customHeight="1">
      <c r="B74" s="257" t="s">
        <v>321</v>
      </c>
      <c r="C74" s="258">
        <f>-$C$66/C73</f>
        <v>2.5169758514796809</v>
      </c>
      <c r="D74" s="258">
        <f>-$C$66/D73</f>
        <v>2.6970831501382762</v>
      </c>
      <c r="F74" s="253" t="s">
        <v>319</v>
      </c>
    </row>
    <row r="75" spans="2:6" ht="15" customHeight="1">
      <c r="B75" s="80" t="s">
        <v>320</v>
      </c>
      <c r="C75" s="320"/>
      <c r="D75" s="321">
        <f>MAX(-D73*D76,G5)</f>
        <v>224948.28161634356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1249526.51</v>
      </c>
      <c r="D79" s="76">
        <f>G7*H7+G17*H17</f>
        <v>749715.90599999996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1249526.51</v>
      </c>
      <c r="D82" s="81">
        <f>SUM(D79:D81)</f>
        <v>749715.90599999996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-72651.94</v>
      </c>
      <c r="D86" s="223">
        <f>C86*scaling_factor/Common_Shares</f>
        <v>-0.16432053813007724</v>
      </c>
      <c r="E86" s="240" t="str">
        <f>Market_currency</f>
        <v>CNY</v>
      </c>
    </row>
    <row r="87" spans="2:8" ht="15" customHeight="1">
      <c r="B87" s="238" t="s">
        <v>287</v>
      </c>
      <c r="C87" s="76">
        <f>DCF!C8*Exchange_Rate</f>
        <v>381755.93838365644</v>
      </c>
      <c r="D87" s="223">
        <f>C87*scaling_factor/Common_Shares</f>
        <v>0.86343656108226474</v>
      </c>
      <c r="E87" s="240" t="str">
        <f>Market_currency</f>
        <v>CNY</v>
      </c>
    </row>
    <row r="88" spans="2:8" ht="15" customHeight="1">
      <c r="B88" s="239" t="s">
        <v>189</v>
      </c>
      <c r="C88" s="76">
        <f>DCF!C9*Exchange_Rate</f>
        <v>749715.90599999996</v>
      </c>
      <c r="D88" s="223">
        <f>C88*scaling_factor/Common_Shares</f>
        <v>1.6956700828442901</v>
      </c>
      <c r="E88" s="240" t="str">
        <f>Market_currency</f>
        <v>CNY</v>
      </c>
    </row>
    <row r="89" spans="2:8" ht="15" customHeight="1">
      <c r="B89" s="80" t="s">
        <v>291</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152</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164</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243</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154</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0.89835254823380262</v>
      </c>
      <c r="D28" s="26"/>
      <c r="E28" s="266" t="s">
        <v>333</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333</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-29127.89</v>
      </c>
      <c r="E33" s="266" t="s">
        <v>333</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333</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345</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342</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2.0532393857421991E-2</v>
      </c>
      <c r="E53" s="265" t="s">
        <v>335</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336</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195</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152</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164</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154</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3.821292775665399E-2</v>
      </c>
      <c r="E93" s="268"/>
      <c r="G93" s="23">
        <f t="shared" ref="G93:Q93" si="39">IF(G$4="","",G90/Market_Price)</f>
        <v>3.821292775665399E-2</v>
      </c>
      <c r="H93" s="23">
        <f t="shared" si="39"/>
        <v>2.7946768060836503E-2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164</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4823088.2699999996</v>
      </c>
      <c r="D101" s="26"/>
      <c r="E101" s="269"/>
      <c r="F101" s="26"/>
      <c r="G101" s="333">
        <f t="shared" ref="G101:Q101" si="42">IF(G$4="","",G105+G104)</f>
        <v>4823088.2699999996</v>
      </c>
      <c r="H101" s="333">
        <f t="shared" si="42"/>
        <v>4325166.3499999996</v>
      </c>
      <c r="I101" s="333">
        <f t="shared" si="42"/>
        <v>4263867.49</v>
      </c>
      <c r="J101" s="333">
        <f t="shared" si="42"/>
        <v>3465426.38</v>
      </c>
      <c r="K101" s="333">
        <f t="shared" si="42"/>
        <v>3328189.6169999996</v>
      </c>
      <c r="L101" s="333">
        <f t="shared" si="42"/>
        <v>3185654.2935000001</v>
      </c>
      <c r="M101" s="333">
        <f t="shared" si="42"/>
        <v>3014920.057</v>
      </c>
      <c r="N101" s="333">
        <f t="shared" si="42"/>
        <v>2839595.6228</v>
      </c>
      <c r="O101" s="333">
        <f t="shared" si="42"/>
        <v>2981119.801</v>
      </c>
      <c r="P101" s="333">
        <f t="shared" si="42"/>
        <v>3144283.1915000002</v>
      </c>
      <c r="Q101" s="333" t="str">
        <f t="shared" si="42"/>
        <v/>
      </c>
    </row>
    <row r="102" spans="1:17" ht="15.75" customHeight="1">
      <c r="A102" s="10"/>
      <c r="B102" s="93" t="s">
        <v>210</v>
      </c>
      <c r="C102" s="345">
        <f>BS!C4</f>
        <v>779805.94000000006</v>
      </c>
      <c r="D102" s="89"/>
      <c r="E102" s="270"/>
      <c r="F102" s="89"/>
      <c r="G102" s="346">
        <f>IF(G$4="","",Data!D77)</f>
        <v>614740.03</v>
      </c>
      <c r="H102" s="346">
        <f>IF(H$4="","",Data!E77)</f>
        <v>627070.1</v>
      </c>
      <c r="I102" s="346">
        <f>IF(I$4="","",Data!F77)</f>
        <v>565721.97</v>
      </c>
      <c r="J102" s="346">
        <f>IF(J$4="","",Data!G77)</f>
        <v>737082.00840000005</v>
      </c>
      <c r="K102" s="346">
        <f>IF(K$4="","",Data!H77)</f>
        <v>483752.78779999999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75410.259999999995</v>
      </c>
      <c r="D103" s="89"/>
      <c r="E103" s="270"/>
      <c r="F103" s="89"/>
      <c r="G103" s="346">
        <f>IF(G$4="","",Data!D78)</f>
        <v>98279.37</v>
      </c>
      <c r="H103" s="346">
        <f>IF(H$4="","",Data!E78)</f>
        <v>130107.73</v>
      </c>
      <c r="I103" s="346">
        <f>IF(I$4="","",Data!F78)</f>
        <v>115109.66</v>
      </c>
      <c r="J103" s="346">
        <f>IF(J$4="","",Data!G78)</f>
        <v>101122.2853</v>
      </c>
      <c r="K103" s="346">
        <f>IF(K$4="","",Data!H78)</f>
        <v>512937.82659999997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1995570.48</v>
      </c>
      <c r="D104" s="26"/>
      <c r="E104" s="269"/>
      <c r="F104" s="26"/>
      <c r="G104" s="333">
        <f>Data!C79</f>
        <v>1995570.48</v>
      </c>
      <c r="H104" s="333">
        <f>Data!D79</f>
        <v>1647330.89</v>
      </c>
      <c r="I104" s="333">
        <f>Data!E79</f>
        <v>1695609.48</v>
      </c>
      <c r="J104" s="333">
        <f>Data!F79</f>
        <v>1189596.92</v>
      </c>
      <c r="K104" s="333">
        <f>Data!G79</f>
        <v>1061667.9129999999</v>
      </c>
      <c r="L104" s="333">
        <f>Data!H79</f>
        <v>918370.71239999996</v>
      </c>
      <c r="M104" s="333">
        <f>Data!I79</f>
        <v>724476.08160000003</v>
      </c>
      <c r="N104" s="333">
        <f>Data!J79</f>
        <v>526758.79269999999</v>
      </c>
      <c r="O104" s="333">
        <f>Data!K79</f>
        <v>664276.83160000003</v>
      </c>
      <c r="P104" s="333">
        <f>Data!L79</f>
        <v>845128.23759999999</v>
      </c>
      <c r="Q104" s="333" t="str">
        <f>Data!M79</f>
        <v/>
      </c>
    </row>
    <row r="105" spans="1:17" ht="15.75" customHeight="1">
      <c r="A105" s="10"/>
      <c r="B105" s="26" t="s">
        <v>30</v>
      </c>
      <c r="C105" s="344">
        <f>BS!G27</f>
        <v>2827517.7899999996</v>
      </c>
      <c r="D105" s="26"/>
      <c r="E105" s="269"/>
      <c r="F105" s="26"/>
      <c r="G105" s="333">
        <f>Data!C80</f>
        <v>2827517.7899999996</v>
      </c>
      <c r="H105" s="333">
        <f>Data!D80</f>
        <v>2677835.46</v>
      </c>
      <c r="I105" s="333">
        <f>Data!E80</f>
        <v>2568258.0099999998</v>
      </c>
      <c r="J105" s="333">
        <f>Data!F80</f>
        <v>2275829.46</v>
      </c>
      <c r="K105" s="333">
        <f>Data!G80</f>
        <v>2266521.7039999999</v>
      </c>
      <c r="L105" s="333">
        <f>Data!H80</f>
        <v>2267283.5811000001</v>
      </c>
      <c r="M105" s="333">
        <f>Data!I80</f>
        <v>2290443.9753999999</v>
      </c>
      <c r="N105" s="333">
        <f>Data!J80</f>
        <v>2312836.8300999999</v>
      </c>
      <c r="O105" s="333">
        <f>Data!K80</f>
        <v>2316842.9693999998</v>
      </c>
      <c r="P105" s="333">
        <f>Data!L80</f>
        <v>2299154.9539000001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392</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83</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91</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222</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269</v>
      </c>
      <c r="C125" s="77">
        <f>C19*Exchange_Rate*$C$3/(Market_Price*Common_Shares)</f>
        <v>4.3726254148565458E-2</v>
      </c>
      <c r="D125" s="27"/>
      <c r="E125" s="265"/>
      <c r="F125" s="27"/>
      <c r="G125" s="77">
        <f t="shared" ref="G125" si="50">IF(G$4="","",G124/Market_Price)</f>
        <v>6.1394239654672757E-2</v>
      </c>
      <c r="H125" s="77">
        <f t="shared" ref="H125" si="51">IF(H$4="","",H124/Market_Price)</f>
        <v>5.820278989464344E-2</v>
      </c>
      <c r="I125" s="77">
        <f t="shared" ref="I125" si="52">IF(I$4="","",I124/Market_Price)</f>
        <v>3.2935301423103344E-2</v>
      </c>
      <c r="J125" s="77">
        <f t="shared" ref="J125" si="53">IF(J$4="","",J124/Market_Price)</f>
        <v>2.6106146824899246E-2</v>
      </c>
      <c r="K125" s="77">
        <f t="shared" ref="K125" si="54">IF(K$4="","",K124/Market_Price)</f>
        <v>1.2030734389958131E-2</v>
      </c>
      <c r="L125" s="77">
        <f t="shared" ref="L125" si="55">IF(L$4="","",L124/Market_Price)</f>
        <v>1.6778903417013897E-2</v>
      </c>
      <c r="M125" s="77">
        <f t="shared" ref="M125" si="56">IF(M$4="","",M124/Market_Price)</f>
        <v>-3.4944034082458344E-3</v>
      </c>
      <c r="N125" s="77">
        <f t="shared" ref="N125" si="57">IF(N$4="","",N124/Market_Price)</f>
        <v>4.3470801588318002E-2</v>
      </c>
      <c r="O125" s="77">
        <f t="shared" ref="O125" si="58">IF(O$4="","",O124/Market_Price)</f>
        <v>2.3273510537656236E-2</v>
      </c>
      <c r="P125" s="77">
        <f t="shared" ref="P125" si="59">IF(P$4="","",P124/Market_Price)</f>
        <v>0.12589142617707222</v>
      </c>
      <c r="Q125" s="77" t="str">
        <f t="shared" ref="Q125" si="60">IF(Q$4="","",Q124/Market_Price)</f>
        <v/>
      </c>
    </row>
    <row r="126" spans="1:17" ht="15.75" customHeight="1">
      <c r="B126" s="2" t="s">
        <v>394</v>
      </c>
      <c r="C126" s="169"/>
      <c r="G126" s="23">
        <f>IF(G$4="","",(Data!C47*$C$3)/(Market_Price*Common_Shares))</f>
        <v>9.4008541017436803E-2</v>
      </c>
      <c r="H126" s="23">
        <f>IF(H$4="","",(Data!D47*$C$3)/(Market_Price*Common_Shares))</f>
        <v>7.0103015524225626E-2</v>
      </c>
      <c r="I126" s="23">
        <f>IF(I$4="","",(Data!E47*$C$3)/(Market_Price*Common_Shares))</f>
        <v>6.2335288236880088E-2</v>
      </c>
      <c r="J126" s="23">
        <f>IF(J$4="","",(Data!F47*$C$3)/(Market_Price*Common_Shares))</f>
        <v>1.5995342343977939E-2</v>
      </c>
      <c r="K126" s="23">
        <f>IF(K$4="","",(Data!G47*$C$3)/(Market_Price*Common_Shares))</f>
        <v>1.571749858950465E-2</v>
      </c>
      <c r="L126" s="23">
        <f>IF(L$4="","",(Data!H47*$C$3)/(Market_Price*Common_Shares))</f>
        <v>1.2317617879334455E-3</v>
      </c>
      <c r="M126" s="23">
        <f>IF(M$4="","",(Data!I47*$C$3)/(Market_Price*Common_Shares))</f>
        <v>3.4329959576855349E-3</v>
      </c>
      <c r="N126" s="23">
        <f>IF(N$4="","",(Data!J47*$C$3)/(Market_Price*Common_Shares))</f>
        <v>2.1053719223693271E-2</v>
      </c>
      <c r="O126" s="23">
        <f>IF(O$4="","",(Data!K47*$C$3)/(Market_Price*Common_Shares))</f>
        <v>5.6453946035991298E-2</v>
      </c>
      <c r="P126" s="23">
        <f>IF(P$4="","",(Data!L47*$C$3)/(Market_Price*Common_Shares))</f>
        <v>0.14663836663769184</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v>
      </c>
      <c r="E3" s="109" t="s">
        <v>124</v>
      </c>
      <c r="H3" s="120"/>
    </row>
    <row r="4" spans="2:8">
      <c r="B4" s="100" t="s">
        <v>128</v>
      </c>
      <c r="C4" s="338">
        <f>Normalized_FCF!C19</f>
        <v>101691.20320820018</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1694853.3868033364</v>
      </c>
      <c r="D6" t="str">
        <f>Reporting_currency</f>
        <v>CNY</v>
      </c>
      <c r="E6" s="364" t="s">
        <v>249</v>
      </c>
      <c r="F6" s="364"/>
      <c r="H6" s="120"/>
    </row>
    <row r="7" spans="2:8">
      <c r="B7" s="148" t="s">
        <v>224</v>
      </c>
      <c r="C7" s="338">
        <f>BS!G31</f>
        <v>72651.94</v>
      </c>
      <c r="D7" t="str">
        <f>Reporting_currency</f>
        <v>CNY</v>
      </c>
      <c r="E7" s="364"/>
      <c r="F7" s="364"/>
      <c r="H7" s="120"/>
    </row>
    <row r="8" spans="2:8">
      <c r="B8" s="148" t="s">
        <v>225</v>
      </c>
      <c r="C8" s="338">
        <f>BS!D66</f>
        <v>381755.93838365644</v>
      </c>
      <c r="D8" t="str">
        <f>Reporting_currency</f>
        <v>CNY</v>
      </c>
      <c r="E8" s="364"/>
      <c r="F8" s="364"/>
      <c r="H8" s="120"/>
    </row>
    <row r="9" spans="2:8">
      <c r="B9" s="205" t="s">
        <v>190</v>
      </c>
      <c r="C9" s="348">
        <f>BS!H42</f>
        <v>749715.90599999996</v>
      </c>
      <c r="D9" t="str">
        <f>Reporting_currency</f>
        <v>CNY</v>
      </c>
      <c r="E9" s="364"/>
      <c r="F9" s="364"/>
      <c r="H9" s="120"/>
    </row>
    <row r="10" spans="2:8" ht="13.15">
      <c r="B10" s="149" t="s">
        <v>227</v>
      </c>
      <c r="C10" s="347">
        <f>C6-C7+C8+C9</f>
        <v>2753673.291186993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6.1350776830187602E-2</v>
      </c>
      <c r="H16" s="120"/>
    </row>
    <row r="17" spans="2:17" ht="13.25" customHeight="1">
      <c r="B17" s="118" t="s">
        <v>134</v>
      </c>
      <c r="C17" s="162">
        <f>Scenarios!C64</f>
        <v>10</v>
      </c>
      <c r="H17" s="120"/>
    </row>
    <row r="18" spans="2:17" ht="13.2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129</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v>
      </c>
      <c r="E3" s="109" t="s">
        <v>124</v>
      </c>
      <c r="H3" s="120"/>
    </row>
    <row r="4" spans="2:8">
      <c r="B4" s="100" t="s">
        <v>440</v>
      </c>
      <c r="C4" s="114">
        <f>Normalized_FCF!C91</f>
        <v>88869.231480000002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1481153.858</v>
      </c>
      <c r="D6" t="str">
        <f>Reporting_currency</f>
        <v>CNY</v>
      </c>
      <c r="E6" s="364"/>
      <c r="F6" s="364"/>
      <c r="H6" s="120"/>
    </row>
    <row r="7" spans="2:8" ht="13.15">
      <c r="B7" s="149" t="s">
        <v>444</v>
      </c>
      <c r="C7" s="111">
        <f>(C6*scaling_factor)/Common_Shares*Exchange_Rate</f>
        <v>3.35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6.1350776830187602E-2</v>
      </c>
      <c r="H11" s="120"/>
    </row>
    <row r="12" spans="2:8" ht="13.25" customHeight="1">
      <c r="B12" s="118" t="s">
        <v>134</v>
      </c>
      <c r="C12" s="162">
        <f>Scenarios!C64</f>
        <v>10</v>
      </c>
      <c r="H12" s="120"/>
    </row>
    <row r="13" spans="2:8" ht="13.25" customHeight="1">
      <c r="B13" s="153" t="s">
        <v>106</v>
      </c>
      <c r="C13" s="140">
        <f>F47/Common_Shares*scaling_factor</f>
        <v>4.0095282229211753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1572023.7977933295</v>
      </c>
      <c r="D46" s="139">
        <f>Terminal_Growth</f>
        <v>0</v>
      </c>
      <c r="E46" s="124">
        <f>1/(1+Equity_Cost)^C12</f>
        <v>0.55839477691511785</v>
      </c>
      <c r="F46" s="125">
        <f t="shared" si="1"/>
        <v>877809.87787406251</v>
      </c>
      <c r="H46" s="120"/>
    </row>
    <row r="47" spans="2:8">
      <c r="C47" s="114"/>
      <c r="E47" s="127" t="s">
        <v>100</v>
      </c>
      <c r="F47" s="137">
        <f>SUM(F16:F46)</f>
        <v>1772754.6854148009</v>
      </c>
      <c r="H47" s="120"/>
    </row>
    <row r="48" spans="2:8">
      <c r="C48" s="114"/>
      <c r="H48" s="120"/>
    </row>
    <row r="49" spans="1:8" ht="13.15">
      <c r="B49" s="119" t="s">
        <v>129</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-5.26</v>
      </c>
    </row>
    <row r="4" spans="2:9">
      <c r="B4" s="152" t="s">
        <v>146</v>
      </c>
      <c r="C4" s="120">
        <v>3</v>
      </c>
      <c r="D4" s="120"/>
      <c r="E4" s="155" t="s">
        <v>150</v>
      </c>
      <c r="F4" s="155"/>
      <c r="H4" s="247">
        <v>1</v>
      </c>
      <c r="I4" s="124">
        <f t="shared" ref="I4:I13" si="0">IF(ROW()-3 &lt; $C$76, $C$77, IF(ROW()-3 = $C$76, $C$77 + $C$60, ""))</f>
        <v>0.20099999999999998</v>
      </c>
    </row>
    <row r="5" spans="2:9">
      <c r="H5" s="247">
        <v>2</v>
      </c>
      <c r="I5" s="124">
        <f t="shared" si="0"/>
        <v>0.20099999999999998</v>
      </c>
    </row>
    <row r="6" spans="2:9" ht="13.15">
      <c r="B6" s="159" t="s">
        <v>95</v>
      </c>
      <c r="C6" s="107">
        <f>DCF!C3</f>
        <v>10000</v>
      </c>
      <c r="E6" s="100" t="s">
        <v>279</v>
      </c>
      <c r="F6" s="100"/>
      <c r="H6" s="247">
        <v>3</v>
      </c>
      <c r="I6" s="124">
        <f t="shared" si="0"/>
        <v>7.1905661568976029</v>
      </c>
    </row>
    <row r="7" spans="2:9" ht="12.75" customHeight="1">
      <c r="B7" s="100" t="s">
        <v>275</v>
      </c>
      <c r="C7" s="338">
        <f>Normalized_FCF!G8</f>
        <v>191771.88999999984</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6"/>
      <c r="H7" s="247">
        <v>4</v>
      </c>
      <c r="I7" s="124" t="str">
        <f t="shared" si="0"/>
        <v/>
      </c>
    </row>
    <row r="8" spans="2:9">
      <c r="B8" s="100" t="s">
        <v>66</v>
      </c>
      <c r="C8" s="338">
        <f>Normalized_FCF!G19</f>
        <v>142780.44671569683</v>
      </c>
      <c r="D8" t="str">
        <f>Reporting_currency</f>
        <v>CNY</v>
      </c>
      <c r="E8" s="366"/>
      <c r="F8" s="366"/>
      <c r="H8" s="247">
        <v>5</v>
      </c>
      <c r="I8" s="124" t="str">
        <f t="shared" si="0"/>
        <v/>
      </c>
    </row>
    <row r="9" spans="2:9">
      <c r="B9" s="100" t="s">
        <v>57</v>
      </c>
      <c r="C9" s="338">
        <f>Normalized_FCF!C19</f>
        <v>101691.20320820018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0.14806091180696912</v>
      </c>
      <c r="D12" s="158"/>
      <c r="E12" s="366"/>
      <c r="F12" s="366"/>
      <c r="H12" s="247">
        <v>9</v>
      </c>
      <c r="I12" s="124" t="str">
        <f t="shared" si="0"/>
        <v/>
      </c>
    </row>
    <row r="13" spans="2:9">
      <c r="B13" s="148" t="s">
        <v>152</v>
      </c>
      <c r="C13" s="158">
        <f ca="1">(Normalized_FCF!G8/OFFSET(Normalized_FCF!G8, 0, $C$4))^(1/$C$4) - 1</f>
        <v>0.32719702788845018</v>
      </c>
      <c r="E13" s="366"/>
      <c r="F13" s="366"/>
      <c r="H13" s="247">
        <v>10</v>
      </c>
      <c r="I13" s="124" t="str">
        <f t="shared" si="0"/>
        <v/>
      </c>
    </row>
    <row r="14" spans="2:9">
      <c r="B14" s="100" t="s">
        <v>66</v>
      </c>
      <c r="C14" s="158">
        <f ca="1">(Normalized_FCF!G19/OFFSET(Normalized_FCF!G19, 0, $C$4))^(1/$C$4) - 1</f>
        <v>0.32982639766138688</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5.26</v>
      </c>
      <c r="D21" t="str">
        <f>Market_currency</f>
        <v>CNY</v>
      </c>
      <c r="E21" s="367"/>
      <c r="F21" s="367"/>
    </row>
    <row r="22" spans="2:6">
      <c r="B22" s="100" t="s">
        <v>278</v>
      </c>
      <c r="C22" s="160">
        <f>IF(valuation_method="DCF",DCF!C12,DDM!C7)</f>
        <v>6.2281210528207165</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0.05</v>
      </c>
      <c r="D26" s="164"/>
      <c r="E26" s="365"/>
      <c r="F26" s="365"/>
    </row>
    <row r="27" spans="2:6">
      <c r="B27" s="100" t="s">
        <v>113</v>
      </c>
      <c r="C27" s="160">
        <f>IF(valuation_method="DCF",DCF!E76,DDM!E71)</f>
        <v>6.8263019689189441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6.3369826732188761</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7.259255462464397</v>
      </c>
      <c r="D39" t="str">
        <f>Market_currency</f>
        <v>CNY</v>
      </c>
      <c r="E39" s="365"/>
      <c r="F39" s="365"/>
    </row>
    <row r="40" spans="2:6">
      <c r="B40" s="100" t="s">
        <v>147</v>
      </c>
      <c r="C40" s="167">
        <f>1-C28-C34</f>
        <v>0.2</v>
      </c>
      <c r="D40" s="165"/>
      <c r="E40" s="365"/>
      <c r="F40" s="365"/>
    </row>
    <row r="42" spans="2:6" ht="13.15">
      <c r="B42" s="100" t="s">
        <v>120</v>
      </c>
      <c r="C42" s="154">
        <f>C27*C28+C33*C34+C39*C40</f>
        <v>6.8150288084880213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6.2281210528207138</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8.8538561704174903</v>
      </c>
      <c r="D57" t="str">
        <f>Market_currency</f>
        <v>CNY</v>
      </c>
      <c r="E57" s="365"/>
      <c r="F57" s="365"/>
    </row>
    <row r="58" spans="2:6">
      <c r="B58" s="100" t="s">
        <v>147</v>
      </c>
      <c r="C58" s="165">
        <v>0.1</v>
      </c>
      <c r="D58" s="165"/>
      <c r="E58" s="365"/>
      <c r="F58" s="365"/>
    </row>
    <row r="60" spans="2:6" ht="13.15">
      <c r="B60" s="100" t="s">
        <v>120</v>
      </c>
      <c r="C60" s="154">
        <f>C51*C52+C57*C58+C42*(1-C52-C58)</f>
        <v>6.9895661568976033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6.1350776830187602E-2</v>
      </c>
      <c r="D65" s="151"/>
      <c r="E65" s="251" t="s">
        <v>312</v>
      </c>
    </row>
    <row r="66" spans="2:6">
      <c r="B66" s="100" t="s">
        <v>102</v>
      </c>
      <c r="C66" s="160">
        <f>IF(valuation_method="DCF",DCF!C18,DDM!C13)</f>
        <v>6.9828054066931156</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0.34262299719893202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0.20099999999999998</v>
      </c>
      <c r="D77" t="str">
        <f>Market_currency</f>
        <v>CNY</v>
      </c>
    </row>
    <row r="79" spans="2:6" ht="13.15">
      <c r="B79" s="109" t="s">
        <v>301</v>
      </c>
    </row>
    <row r="80" spans="2:6">
      <c r="B80" s="148" t="s">
        <v>299</v>
      </c>
      <c r="C80" s="167">
        <f>Thesis!F29</f>
        <v>0.33699999999999997</v>
      </c>
    </row>
    <row r="81" spans="2:8">
      <c r="B81" s="100" t="s">
        <v>121</v>
      </c>
      <c r="C81" s="116">
        <f>PV(C80, C76, -C77, 0)</f>
        <v>0.34688091727946951</v>
      </c>
      <c r="D81" s="116"/>
      <c r="E81" s="100"/>
      <c r="F81" s="100"/>
    </row>
    <row r="82" spans="2:8">
      <c r="B82" s="100" t="s">
        <v>122</v>
      </c>
      <c r="C82" s="116">
        <f>C60/(1+C80)^C76</f>
        <v>2.9245294434498934</v>
      </c>
      <c r="D82" s="116"/>
    </row>
    <row r="83" spans="2:8" ht="13.15">
      <c r="B83" s="110" t="s">
        <v>101</v>
      </c>
      <c r="C83" s="111">
        <f>C81+C82</f>
        <v>3.2714103607293628</v>
      </c>
      <c r="D83" t="str">
        <f>Market_currency</f>
        <v>CNY</v>
      </c>
      <c r="E83" s="146" t="s">
        <v>126</v>
      </c>
      <c r="F83" s="291">
        <f>(1-C83/C60)</f>
        <v>0.53195802324569241</v>
      </c>
    </row>
    <row r="84" spans="2:8">
      <c r="E84" s="120"/>
    </row>
    <row r="85" spans="2:8" ht="13.15">
      <c r="B85" s="109" t="s">
        <v>302</v>
      </c>
    </row>
    <row r="86" spans="2:8">
      <c r="B86" s="148" t="s">
        <v>300</v>
      </c>
      <c r="C86" s="116">
        <f>Market_Price</f>
        <v>5.26</v>
      </c>
      <c r="D86" t="str">
        <f>Market_currency</f>
        <v>CNY</v>
      </c>
    </row>
    <row r="87" spans="2:8" ht="13.15">
      <c r="B87" s="100" t="s">
        <v>298</v>
      </c>
      <c r="C87" s="237">
        <f ca="1">IRR(OFFSET($I$3, 0, 0, $C$76 + 1, 1))</f>
        <v>0.13432867044450703</v>
      </c>
    </row>
    <row r="88" spans="2:8">
      <c r="B88" s="100"/>
    </row>
    <row r="89" spans="2:8" ht="13.15">
      <c r="B89" s="109" t="s">
        <v>412</v>
      </c>
    </row>
    <row r="90" spans="2:8">
      <c r="B90" s="148" t="s">
        <v>413</v>
      </c>
      <c r="C90" s="167">
        <f>Thesis!F30</f>
        <v>0.187</v>
      </c>
    </row>
    <row r="91" spans="2:8">
      <c r="B91" s="100" t="s">
        <v>121</v>
      </c>
      <c r="C91" s="116">
        <f>PV(C90, C76, -C77, 0)</f>
        <v>0.43217519804432247</v>
      </c>
      <c r="D91" s="116"/>
      <c r="E91" s="100"/>
      <c r="F91" s="100"/>
    </row>
    <row r="92" spans="2:8">
      <c r="B92" s="100" t="s">
        <v>122</v>
      </c>
      <c r="C92" s="116">
        <f>C60/(1+C90)^C76</f>
        <v>4.1792472274204462</v>
      </c>
      <c r="D92" s="116"/>
    </row>
    <row r="93" spans="2:8" ht="13.15">
      <c r="B93" s="110" t="s">
        <v>101</v>
      </c>
      <c r="C93" s="111">
        <f>C91+C92</f>
        <v>4.6114224254647684</v>
      </c>
      <c r="D93" t="str">
        <f>Market_currency</f>
        <v>CNY</v>
      </c>
      <c r="E93" s="146" t="s">
        <v>126</v>
      </c>
      <c r="F93" s="291">
        <f>(1-C93/C60)</f>
        <v>0.34024196610342983</v>
      </c>
    </row>
    <row r="95" spans="2:8" ht="13.15">
      <c r="B95" s="109" t="s">
        <v>397</v>
      </c>
      <c r="G95" s="2"/>
      <c r="H95" s="281"/>
    </row>
    <row r="96" spans="2:8">
      <c r="B96" s="148" t="s">
        <v>403</v>
      </c>
      <c r="C96" s="134">
        <f>Thesis!F31</f>
        <v>0.06</v>
      </c>
      <c r="G96" s="2"/>
      <c r="H96" s="281"/>
    </row>
    <row r="97" spans="2:8">
      <c r="B97" s="100" t="s">
        <v>121</v>
      </c>
      <c r="C97" s="116">
        <f>PV(C96, C76, -C77, 0)</f>
        <v>0.53727540184178957</v>
      </c>
      <c r="D97" s="116"/>
      <c r="G97" s="2"/>
      <c r="H97" s="281"/>
    </row>
    <row r="98" spans="2:8">
      <c r="B98" s="100" t="s">
        <v>122</v>
      </c>
      <c r="C98" s="116">
        <f>C60/(1+C96)^C76</f>
        <v>5.8685745253612058</v>
      </c>
      <c r="D98" s="116"/>
      <c r="G98" s="2"/>
      <c r="H98" s="281"/>
    </row>
    <row r="99" spans="2:8" ht="13.15">
      <c r="B99" s="110" t="s">
        <v>398</v>
      </c>
      <c r="C99" s="111">
        <f>C97+C98</f>
        <v>6.4058499272029952</v>
      </c>
      <c r="D99" t="s">
        <v>396</v>
      </c>
      <c r="E99" s="146" t="s">
        <v>126</v>
      </c>
      <c r="F99" s="291">
        <f>(1-C99/C60)</f>
        <v>8.3512512306442965E-2</v>
      </c>
    </row>
    <row r="100" spans="2:8">
      <c r="B100" s="100"/>
    </row>
    <row r="101" spans="2:8" ht="13.15">
      <c r="B101" s="109" t="s">
        <v>422</v>
      </c>
    </row>
    <row r="102" spans="2:8">
      <c r="B102" s="148" t="s">
        <v>421</v>
      </c>
      <c r="C102" s="134">
        <f>Thesis!F32</f>
        <v>8.6999999999999994E-2</v>
      </c>
    </row>
    <row r="103" spans="2:8">
      <c r="B103" s="100" t="s">
        <v>121</v>
      </c>
      <c r="C103" s="116">
        <f>PV(C102, C76, -C77, 0)</f>
        <v>0.51152290174831927</v>
      </c>
      <c r="D103" s="116"/>
    </row>
    <row r="104" spans="2:8">
      <c r="B104" s="100" t="s">
        <v>122</v>
      </c>
      <c r="C104" s="116">
        <f>C60/(1+C102)^C76</f>
        <v>5.4420382208736449</v>
      </c>
      <c r="D104" s="116"/>
    </row>
    <row r="105" spans="2:8" ht="13.15">
      <c r="B105" s="110" t="s">
        <v>398</v>
      </c>
      <c r="C105" s="111">
        <f>C103+C104</f>
        <v>5.9535611226219638</v>
      </c>
      <c r="D105" t="s">
        <v>396</v>
      </c>
      <c r="E105" s="146" t="s">
        <v>126</v>
      </c>
      <c r="F105" s="291">
        <f>(1-C105/C66)</f>
        <v>0.14739695926290697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