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08925D-6875-4463-8676-AC184D2C232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<sst xmlns="http://schemas.openxmlformats.org/spreadsheetml/2006/main" count="836" uniqueCount="561">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</sst>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v>
      </c>
    </row>
    <row r="40" spans="1:6" ht="24.6" customHeight="1">
      <c r="B40" s="371" t="s">
        <v>227</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229</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0" t="s">
        <v>352</v>
      </c>
      <c r="C116" s="370"/>
      <c r="D116" s="370"/>
      <c r="E116" s="370"/>
      <c r="F116" s="370"/>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5.57</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v>
      </c>
    </row>
    <row r="40" spans="1:6">
      <c r="B40" s="371" t="s">
        <v>494</v>
      </c>
      <c r="C40" s="371"/>
      <c r="D40" s="371"/>
      <c r="E40" s="371"/>
      <c r="F40" s="371"/>
    </row>
    <row r="41" spans="1:6">
      <c r="B41" s="47" t="s">
        <v>228</v>
      </c>
      <c r="C41" s="349">
        <f>Normalized_FCF!C8</f>
        <v>135997.4245838768</v>
      </c>
      <c r="D41" s="1" t="str">
        <f>Reporting_currency</f>
        <v>CNY</v>
      </c>
    </row>
    <row r="42" spans="1:6">
      <c r="B42" s="47"/>
      <c r="C42" s="76"/>
    </row>
    <row r="43" spans="1:6" ht="24.6" customHeight="1">
      <c r="B43" s="371" t="s">
        <v>495</v>
      </c>
      <c r="C43" s="371"/>
      <c r="D43" s="371"/>
      <c r="E43" s="371"/>
      <c r="F43" s="371"/>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1" t="s">
        <v>237</v>
      </c>
      <c r="C58" s="371"/>
      <c r="D58" s="371"/>
      <c r="E58" s="371"/>
      <c r="F58" s="371"/>
    </row>
    <row r="59" spans="2:6">
      <c r="B59" s="47" t="s">
        <v>235</v>
      </c>
      <c r="C59" s="349">
        <f>Normalized_FCF!C14</f>
        <v>-34657.990324893457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0" t="s">
        <v>516</v>
      </c>
      <c r="C116" s="370"/>
      <c r="D116" s="370"/>
      <c r="E116" s="370"/>
      <c r="F116" s="370"/>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