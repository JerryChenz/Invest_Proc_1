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663194-2B34-46F0-908E-87D60A16DD0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Q120" i="2"/>
  <c r="Q117" i="2"/>
  <c r="Q118" i="2"/>
  <c r="H118" i="2"/>
  <c r="O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<sst xmlns="http://schemas.openxmlformats.org/spreadsheetml/2006/main" count="685" uniqueCount="465">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</sst>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66.7</v>
      </c>
      <c r="D12" s="50"/>
      <c r="E12" s="48"/>
    </row>
    <row r="13" spans="1:10">
      <c r="B13" s="1" t="s">
        <v>416</v>
      </c>
      <c r="C13" s="48" t="s">
        <v>414</v>
      </c>
      <c r="D13" s="48"/>
      <c r="E13" s="5"/>
    </row>
    <row r="14" spans="1:10">
      <c r="B14" s="4" t="s">
        <v>420</v>
      </c>
      <c r="C14" s="35">
        <f>Thesis!C12*Common_Shares/1000000</f>
        <v>100516.0996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0.11897228741021948</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0.33700000000000002</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v>
      </c>
    </row>
    <row r="40" spans="1:6" ht="24.6" customHeight="1">
      <c r="B40" s="359" t="s">
        <v>231</v>
      </c>
      <c r="C40" s="359"/>
      <c r="D40" s="359"/>
      <c r="E40" s="359"/>
      <c r="F40" s="359"/>
    </row>
    <row r="41" spans="1:6">
      <c r="B41" s="47" t="s">
        <v>232</v>
      </c>
      <c r="C41" s="349">
        <f>Normalized_FCF!C8</f>
        <v>7170141860.8562851</v>
      </c>
      <c r="D41" s="1" t="str">
        <f>Reporting_currency</f>
        <v>CNY</v>
      </c>
    </row>
    <row r="42" spans="1:6">
      <c r="B42" s="47"/>
      <c r="C42" s="76"/>
    </row>
    <row r="43" spans="1:6" ht="24.6" customHeight="1">
      <c r="B43" s="359" t="s">
        <v>233</v>
      </c>
      <c r="C43" s="359"/>
      <c r="D43" s="359"/>
      <c r="E43" s="359"/>
      <c r="F43" s="359"/>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9" t="s">
        <v>241</v>
      </c>
      <c r="C58" s="359"/>
      <c r="D58" s="359"/>
      <c r="E58" s="359"/>
      <c r="F58" s="359"/>
    </row>
    <row r="59" spans="2:6">
      <c r="B59" s="47" t="s">
        <v>239</v>
      </c>
      <c r="C59" s="349">
        <f>Normalized_FCF!C14</f>
        <v>-1821314525.6829174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5.4263491383062266E-2</v>
      </c>
      <c r="F69" s="314"/>
    </row>
    <row r="70" spans="1:6">
      <c r="B70" s="227" t="s">
        <v>308</v>
      </c>
      <c r="C70" s="92">
        <f>Normalized_FCF!C93</f>
        <v>6.967016491754123E-2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6" customHeight="1">
      <c r="B116" s="358" t="s">
        <v>366</v>
      </c>
      <c r="C116" s="358"/>
      <c r="D116" s="358"/>
      <c r="E116" s="358"/>
      <c r="F116" s="358"/>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0.33700000000000002</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0.33700000000000002</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6.967016491754123E-2</v>
      </c>
      <c r="E93" s="268"/>
      <c r="G93" s="23">
        <f t="shared" ref="G93:Q93" si="39">IF(G$4="","",G90/Market_Price)</f>
        <v>6.967016491754123E-2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5.4263491383062266E-2</v>
      </c>
      <c r="D125" s="27"/>
      <c r="E125" s="265"/>
      <c r="F125" s="27"/>
      <c r="G125" s="77">
        <f t="shared" ref="G125" si="50">IF(G$4="","",G124/Market_Price)</f>
        <v>6.3589123714563114E-2</v>
      </c>
      <c r="H125" s="77">
        <f t="shared" ref="H125" si="51">IF(H$4="","",H124/Market_Price)</f>
        <v>9.1154307785000568E-2</v>
      </c>
      <c r="I125" s="77">
        <f t="shared" ref="I125" si="52">IF(I$4="","",I124/Market_Price)</f>
        <v>8.6545621108512882E-2</v>
      </c>
      <c r="J125" s="77">
        <f t="shared" ref="J125" si="53">IF(J$4="","",J124/Market_Price)</f>
        <v>6.9212794680845818E-2</v>
      </c>
      <c r="K125" s="77">
        <f t="shared" ref="K125" si="54">IF(K$4="","",K124/Market_Price)</f>
        <v>4.8387279340320784E-2</v>
      </c>
      <c r="L125" s="77">
        <f t="shared" ref="L125" si="55">IF(L$4="","",L124/Market_Price)</f>
        <v>6.1853015729105253E-2</v>
      </c>
      <c r="M125" s="77">
        <f t="shared" ref="M125" si="56">IF(M$4="","",M124/Market_Price)</f>
        <v>6.9964252114664005E-2</v>
      </c>
      <c r="N125" s="77">
        <f t="shared" ref="N125" si="57">IF(N$4="","",N124/Market_Price)</f>
        <v>5.9056810109253385E-2</v>
      </c>
      <c r="O125" s="77">
        <f t="shared" ref="O125" si="58">IF(O$4="","",O124/Market_Price)</f>
        <v>5.2360665494823877E-2</v>
      </c>
      <c r="P125" s="77">
        <f t="shared" ref="P125" si="59">IF(P$4="","",P124/Market_Price)</f>
        <v>4.5540588206428971E-2</v>
      </c>
      <c r="Q125" s="77" t="str">
        <f t="shared" ref="Q125" si="60">IF(Q$4="","",Q124/Market_Price)</f>
        <v/>
      </c>
    </row>
    <row r="126" spans="1:17" ht="15.75" customHeight="1">
      <c r="B126" s="2" t="s">
        <v>394</v>
      </c>
      <c r="C126" s="169"/>
      <c r="G126" s="23">
        <f>IF(G$4="","",(Data!C47*$C$3)/(Market_Price*Common_Shares))</f>
        <v>6.6322269233773573E-2</v>
      </c>
      <c r="H126" s="23">
        <f>IF(H$4="","",(Data!D47*$C$3)/(Market_Price*Common_Shares))</f>
        <v>9.9693169510926785E-2</v>
      </c>
      <c r="I126" s="23">
        <f>IF(I$4="","",(Data!E47*$C$3)/(Market_Price*Common_Shares))</f>
        <v>9.3411883353659297E-2</v>
      </c>
      <c r="J126" s="23">
        <f>IF(J$4="","",(Data!F47*$C$3)/(Market_Price*Common_Shares))</f>
        <v>7.4742428594990973E-2</v>
      </c>
      <c r="K126" s="23">
        <f>IF(K$4="","",(Data!G47*$C$3)/(Market_Price*Common_Shares))</f>
        <v>7.4461766262168022E-2</v>
      </c>
      <c r="L126" s="23">
        <f>IF(L$4="","",(Data!H47*$C$3)/(Market_Price*Common_Shares))</f>
        <v>7.3481670542258085E-2</v>
      </c>
      <c r="M126" s="23">
        <f>IF(M$4="","",(Data!I47*$C$3)/(Market_Price*Common_Shares))</f>
        <v>8.0736617589566712E-2</v>
      </c>
      <c r="N126" s="23">
        <f>IF(N$4="","",(Data!J47*$C$3)/(Market_Price*Common_Shares))</f>
        <v>6.5848020071801516E-2</v>
      </c>
      <c r="O126" s="23">
        <f>IF(O$4="","",(Data!K47*$C$3)/(Market_Price*Common_Shares))</f>
        <v>5.7751237235631851E-2</v>
      </c>
      <c r="P126" s="23">
        <f>IF(P$4="","",(Data!L47*$C$3)/(Market_Price*Common_Shares))</f>
        <v>5.3376516989324163E-2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3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1.82133642321981E-2</v>
      </c>
      <c r="H16" s="120"/>
    </row>
    <row r="17" spans="2:17" ht="13.35" customHeight="1">
      <c r="B17" s="118" t="s">
        <v>134</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3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1.82133642321981E-2</v>
      </c>
      <c r="H11" s="120"/>
    </row>
    <row r="12" spans="2:8" ht="13.35" customHeight="1">
      <c r="B12" s="118" t="s">
        <v>134</v>
      </c>
      <c r="C12" s="162">
        <f>Scenarios!C64</f>
        <v>10</v>
      </c>
      <c r="H12" s="120"/>
    </row>
    <row r="13" spans="2:8" ht="13.3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-66.7</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66.7</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0.33700000000000002</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66.7</v>
      </c>
      <c r="D86" t="str">
        <f>Market_currency</f>
        <v>CNY</v>
      </c>
    </row>
    <row r="87" spans="2:8" ht="13.15">
      <c r="B87" s="100" t="s">
        <v>298</v>
      </c>
      <c r="C87" s="237">
        <f ca="1">IRR(OFFSET($I$3, 0, 0, $C$76 + 1, 1))</f>
        <v>0.11897228741021948</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