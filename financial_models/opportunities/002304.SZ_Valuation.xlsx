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E70490-8A1F-40B4-8C29-D40C89D74ED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3" i="2"/>
  <c r="C54" i="2"/>
  <c r="C33" i="2"/>
  <c r="C34" i="2"/>
  <c r="C28" i="2"/>
  <c r="C29" i="2"/>
  <c r="C19" i="3"/>
  <c r="C22" i="3"/>
  <c r="C23" i="3"/>
  <c r="C4"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<sst xmlns="http://schemas.openxmlformats.org/spreadsheetml/2006/main" count="682" uniqueCount="462">
  <si>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</si>
  <si>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</si>
  <si>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</si>
  <si>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</si>
  <si>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</si>
  <si>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</si>
  <si>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</si>
  <si>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</si>
  <si>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</si>
  <si>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</si>
  <si>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</si>
  <si>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</si>
  <si>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</si>
  <si>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</si>
  <si>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</si>
  <si>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</si>
  <si>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</si>
  <si>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</si>
  <si>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</si>
  <si>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</si>
  <si>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</si>
  <si>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</si>
  <si>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</si>
  <si>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</si>
  <si>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</si>
  <si>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</si>
  <si>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</si>
  <si>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</si>
  <si>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</si>
  <si>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</si>
  <si>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</si>
  <si>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</si>
  <si>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</si>
  <si>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</si>
  <si>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</si>
  <si>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</si>
  <si>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</si>
  <si>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</si>
  <si>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</si>
  <si>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</si>
  <si>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</si>
  <si>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</si>
  <si>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</si>
  <si>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</si>
  <si>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</si>
  <si>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</si>
  <si>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</si>
  <si>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</si>
  <si>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</si>
  <si>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</si>
  <si>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</si>
  <si>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</si>
  <si>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</si>
  <si>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</si>
  <si>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</si>
  <si>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</si>
  <si>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</si>
  <si>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</si>
  <si>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</si>
  <si>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</si>
  <si>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</si>
  <si>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</si>
  <si>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</si>
  <si>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</si>
  <si>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</si>
  <si>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</si>
  <si>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</si>
  <si>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</si>
  <si>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</si>
  <si>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</si>
  <si>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</si>
  <si>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</si>
  <si>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</si>
  <si>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</si>
  <si>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</si>
  <si>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</si>
  <si>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</si>
  <si>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</si>
  <si>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</si>
  <si>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</si>
  <si>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</si>
  <si>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</si>
  <si>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</si>
  <si>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</si>
  <si>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</si>
  <si>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</si>
  <si>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</si>
  <si>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</si>
  <si>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</si>
  <si>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</si>
  <si>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</si>
  <si>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</si>
  <si>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</si>
  <si>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</si>
  <si>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</si>
  <si>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</si>
  <si>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</si>
  <si>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</si>
  <si>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</si>
  <si>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</si>
  <si>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</si>
  <si>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</si>
  <si>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</si>
  <si>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</si>
  <si>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</si>
  <si>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</si>
  <si>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</si>
  <si>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</si>
  <si>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</si>
  <si>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</si>
  <si>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</si>
  <si>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</si>
  <si>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</si>
  <si>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</si>
  <si>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</si>
  <si>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</si>
  <si>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</si>
  <si>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</si>
  <si>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</si>
  <si>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</si>
  <si>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</si>
  <si>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</si>
  <si>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</si>
  <si>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</si>
  <si>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</si>
  <si>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</si>
  <si>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</si>
  <si>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</si>
  <si>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</si>
  <si>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</si>
  <si>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</si>
  <si>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</si>
  <si>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</si>
  <si>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</si>
  <si>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</si>
  <si>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</si>
  <si>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</si>
  <si>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</si>
  <si>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</si>
  <si>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</si>
  <si>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</si>
  <si>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</si>
  <si>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</si>
  <si>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</si>
  <si>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</si>
  <si>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</si>
  <si>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</si>
  <si>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</si>
  <si>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</si>
  <si>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</si>
  <si>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</si>
  <si>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</si>
  <si>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</si>
  <si>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</si>
  <si>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</si>
  <si>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</si>
  <si>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</si>
  <si>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</si>
  <si>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</si>
  <si>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</si>
  <si>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</si>
  <si>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</si>
  <si>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</si>
  <si>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</si>
  <si>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</si>
  <si>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</si>
  <si>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</si>
  <si>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</si>
  <si>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</si>
  <si>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</si>
  <si>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</si>
  <si>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</si>
  <si>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</si>
  <si>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</si>
  <si>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</si>
  <si>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</si>
  <si>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</si>
  <si>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</si>
  <si>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</si>
  <si>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</si>
  <si>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</si>
  <si>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</si>
  <si>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</si>
  <si>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</si>
  <si>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</si>
  <si>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</si>
  <si>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</si>
  <si>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</si>
  <si>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</si>
  <si>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</si>
  <si>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</si>
  <si>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</si>
  <si>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</si>
  <si>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</si>
  <si>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</si>
  <si>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</si>
  <si>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</si>
  <si>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</si>
  <si>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</si>
  <si>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</si>
  <si>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</si>
  <si>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</si>
  <si>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</si>
  <si>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</si>
  <si>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</si>
  <si>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</si>
  <si>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</si>
  <si>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</si>
  <si>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</si>
  <si>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</si>
  <si>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</si>
  <si>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</si>
  <si>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</si>
  <si>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</si>
  <si>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</si>
  <si>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</si>
  <si>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</si>
  <si>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</si>
  <si>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</si>
  <si>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</si>
  <si>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</si>
  <si>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</si>
  <si>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</si>
  <si>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</si>
  <si>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</si>
  <si>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</si>
  <si>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</si>
  <si>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</si>
  <si>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</si>
  <si>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</si>
  <si>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</si>
  <si>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</si>
  <si>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</si>
  <si>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</si>
  <si>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</si>
  <si>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</si>
  <si>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</si>
  <si>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</si>
  <si>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</si>
  <si>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</si>
  <si>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</si>
  <si>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</si>
  <si>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</si>
  <si>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</si>
  <si>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</si>
  <si>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</si>
  <si>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</si>
  <si>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</si>
  <si>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</si>
  <si>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</si>
  <si>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</si>
  <si>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</si>
  <si>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</si>
  <si>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</si>
  <si>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</si>
  <si>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</si>
  <si>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</si>
  <si>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</si>
  <si>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</si>
  <si>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</si>
  <si>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</si>
  <si>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</si>
  <si>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</si>
  <si>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</si>
  <si>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</si>
  <si>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</si>
  <si>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</si>
  <si>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</si>
  <si>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</si>
  <si>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</si>
  <si>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</si>
  <si>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</si>
  <si>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</si>
  <si>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</si>
  <si>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</si>
  <si>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</si>
  <si>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</si>
  <si>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</si>
  <si>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</si>
  <si>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</si>
  <si>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</si>
  <si>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</si>
  <si>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</si>
  <si>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</si>
  <si>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</si>
  <si>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</si>
  <si>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</si>
  <si>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</si>
  <si>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</si>
  <si>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</si>
  <si>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</si>
  <si>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</si>
  <si>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</si>
  <si>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</si>
  <si>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</si>
  <si>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</si>
  <si>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</si>
  <si>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</si>
  <si>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</si>
  <si>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</si>
  <si>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</si>
  <si>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</si>
  <si>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</si>
  <si>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</si>
  <si>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</si>
  <si>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</si>
  <si>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</si>
  <si>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</si>
  <si>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</si>
  <si>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</si>
  <si>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</si>
  <si>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</si>
  <si>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</si>
  <si>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</si>
  <si>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</si>
  <si>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</si>
  <si>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</si>
  <si>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</si>
  <si>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</si>
  <si>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</si>
  <si>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</si>
  <si>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</si>
  <si>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</si>
  <si>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</si>
  <si>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</si>
  <si>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</si>
  <si>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</si>
  <si>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</si>
  <si>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</si>
  <si>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</si>
  <si>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</si>
  <si>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</si>
  <si>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</si>
  <si>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</si>
  <si>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</si>
  <si>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</si>
  <si>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</si>
  <si>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</si>
  <si>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</si>
  <si>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</si>
  <si>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</si>
  <si>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</si>
  <si>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</si>
  <si>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</si>
  <si>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</si>
  <si>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</si>
  <si>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</si>
  <si>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</si>
  <si>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</si>
  <si>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</si>
  <si>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</si>
  <si>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</si>
  <si>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</si>
  <si>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</si>
  <si>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</si>
  <si>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</si>
  <si>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</si>
  <si>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</si>
  <si>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</si>
  <si>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</si>
  <si>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</si>
  <si>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</si>
  <si>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</si>
  <si>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</si>
  <si>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</si>
  <si>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</si>
  <si>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</si>
  <si>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</si>
  <si>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</si>
  <si>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</si>
  <si>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</si>
  <si>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</si>
  <si>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</si>
  <si>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</si>
  <si>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</si>
  <si>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</si>
  <si>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</si>
  <si>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</si>
  <si>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</si>
  <si>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</si>
  <si>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</si>
  <si>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</si>
  <si>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</si>
  <si>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</si>
  <si>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</si>
  <si>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</si>
  <si>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</si>
  <si>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</si>
  <si>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</si>
  <si>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</si>
  <si>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</si>
  <si>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</si>
  <si>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</si>
  <si>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</si>
  <si>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</si>
  <si>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</si>
  <si>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</si>
  <si>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</si>
  <si>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</si>
  <si>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</si>
  <si>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</si>
  <si>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</si>
  <si>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</si>
  <si>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</si>
  <si>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</si>
  <si>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</si>
  <si>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</si>
  <si>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</si>
  <si>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</si>
  <si>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</si>
  <si>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</si>
  <si>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</si>
  <si>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</si>
  <si>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</si>
  <si>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</si>
  <si>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</si>
  <si>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</si>
  <si>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</si>
  <si>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</si>
  <si>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</si>
  <si>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</si>
  <si>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</si>
  <si>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</si>
  <si>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</si>
  <si>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</si>
  <si>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</si>
  <si>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</si>
  <si>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</si>
  <si>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</si>
  <si>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</si>
  <si>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</si>
  <si>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</si>
  <si>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</si>
  <si>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</si>
  <si>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</si>
  <si>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</si>
  <si>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</si>
  <si>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</si>
  <si>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</si>
  <si>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</si>
  <si>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</si>
  <si>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</si>
  <si>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</si>
  <si>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</si>
  <si>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</si>
  <si>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</si>
  <si>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</si>
  <si>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</si>
  <si>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</si>
  <si>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</si>
  <si>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</si>
  <si>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</si>
  <si>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</si>
  <si>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洋河股份</t>
  </si>
  <si>
    <t>002304.SZ</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</si>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</sst>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457</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453</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68.13</v>
      </c>
      <c r="D12" s="50"/>
      <c r="E12" s="48"/>
    </row>
    <row r="13" spans="1:10">
      <c r="B13" s="1" t="s">
        <v>418</v>
      </c>
      <c r="C13" s="48" t="s">
        <v>416</v>
      </c>
      <c r="D13" s="48"/>
      <c r="E13" s="5"/>
    </row>
    <row r="14" spans="1:10">
      <c r="B14" s="4" t="s">
        <v>422</v>
      </c>
      <c r="C14" s="35">
        <f>Thesis!C12*Common_Shares/1000000</f>
        <v>102671.09243999999</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458</v>
      </c>
    </row>
    <row r="22" spans="2:6">
      <c r="B22" s="2" t="s">
        <v>56</v>
      </c>
      <c r="C22" s="48" t="s">
        <v>456</v>
      </c>
      <c r="D22" s="1" t="str">
        <f>IF(valuation_method="DDM","DDM Terminal Value","")</f>
        <v/>
      </c>
      <c r="E22" s="316"/>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77.785604602754844</v>
      </c>
      <c r="D26" s="1" t="s">
        <v>400</v>
      </c>
      <c r="E26" s="304">
        <f ca="1">Scenarios!C87</f>
        <v>0.11058922071659794</v>
      </c>
    </row>
    <row r="27" spans="2:6">
      <c r="D27" s="5"/>
      <c r="E27" s="5"/>
    </row>
    <row r="28" spans="2:6">
      <c r="B28" s="45" t="s">
        <v>435</v>
      </c>
      <c r="C28" s="312" t="str">
        <f>C140&amp;" ("&amp;Market_currency&amp;")"</f>
        <v>002304.SZ (CNY)</v>
      </c>
      <c r="D28" s="312" t="str">
        <f>IF(D11="","",D140&amp;" ("&amp;D13&amp;")")</f>
        <v/>
      </c>
      <c r="E28" s="308" t="s">
        <v>431</v>
      </c>
      <c r="F28" s="306">
        <v>3</v>
      </c>
    </row>
    <row r="29" spans="2:6">
      <c r="B29" s="1" t="s">
        <v>427</v>
      </c>
      <c r="C29" s="313">
        <f>C144</f>
        <v>40.566233510579387</v>
      </c>
      <c r="D29" s="313" t="str">
        <f>D144</f>
        <v/>
      </c>
      <c r="E29" s="309" t="s">
        <v>426</v>
      </c>
      <c r="F29" s="305">
        <v>0.33699999999999997</v>
      </c>
    </row>
    <row r="30" spans="2:6">
      <c r="B30" s="1" t="s">
        <v>428</v>
      </c>
      <c r="C30" s="314">
        <f>C152</f>
        <v>56.501711311401053</v>
      </c>
      <c r="D30" s="314" t="str">
        <f>D152</f>
        <v/>
      </c>
      <c r="E30" s="310" t="s">
        <v>439</v>
      </c>
      <c r="F30" s="315">
        <v>0.187</v>
      </c>
    </row>
    <row r="31" spans="2:6">
      <c r="B31" s="1" t="s">
        <v>429</v>
      </c>
      <c r="C31" s="314">
        <f>C160</f>
        <v>77.731780095947357</v>
      </c>
      <c r="D31" s="314" t="str">
        <f>D160</f>
        <v/>
      </c>
      <c r="E31" s="310" t="s">
        <v>438</v>
      </c>
      <c r="F31" s="315">
        <v>0.06</v>
      </c>
    </row>
    <row r="32" spans="2:6">
      <c r="B32" s="1" t="s">
        <v>430</v>
      </c>
      <c r="C32" s="314">
        <f>C168</f>
        <v>72.389553073938998</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7170141860.8562851</v>
      </c>
      <c r="D41" s="1" t="str">
        <f>Reporting_currency</f>
        <v>CNY</v>
      </c>
    </row>
    <row r="42" spans="1:6">
      <c r="B42" s="47"/>
      <c r="C42" s="76"/>
    </row>
    <row r="43" spans="1:6" ht="24.5" customHeight="1">
      <c r="B43" s="348" t="s">
        <v>234</v>
      </c>
      <c r="C43" s="348"/>
      <c r="D43" s="348"/>
      <c r="E43" s="348"/>
      <c r="F43" s="348"/>
    </row>
    <row r="44" spans="1:6">
      <c r="B44" s="47" t="s">
        <v>235</v>
      </c>
      <c r="C44" s="341">
        <f>Normalized_FCF!C9</f>
        <v>697421786</v>
      </c>
      <c r="D44" s="1" t="str">
        <f>Reporting_currency</f>
        <v>CNY</v>
      </c>
    </row>
    <row r="45" spans="1:6">
      <c r="B45" s="52" t="s">
        <v>236</v>
      </c>
      <c r="C45" s="341">
        <f>Normalized_FCF!C10</f>
        <v>-697421786</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118071321.87538444</v>
      </c>
      <c r="D51" s="1" t="str">
        <f>Reporting_currency</f>
        <v>CNY</v>
      </c>
      <c r="E51" s="288"/>
      <c r="F51" s="288"/>
    </row>
    <row r="52" spans="2:6">
      <c r="B52" s="47" t="s">
        <v>342</v>
      </c>
      <c r="C52" s="346">
        <f>Normalized_FCF!C47</f>
        <v>-2955080</v>
      </c>
      <c r="D52" s="1" t="str">
        <f>Reporting_currency</f>
        <v>CNY</v>
      </c>
      <c r="E52" s="288"/>
      <c r="F52" s="288"/>
    </row>
    <row r="53" spans="2:6">
      <c r="B53" s="47" t="s">
        <v>239</v>
      </c>
      <c r="C53" s="341">
        <f>Normalized_FCF!C12</f>
        <v>115116241.87538444</v>
      </c>
      <c r="D53" s="1" t="str">
        <f>Reporting_currency</f>
        <v>CNY</v>
      </c>
    </row>
    <row r="55" spans="2:6">
      <c r="B55" s="1" t="s">
        <v>247</v>
      </c>
    </row>
    <row r="56" spans="2:6">
      <c r="B56" s="47" t="s">
        <v>266</v>
      </c>
      <c r="C56" s="341">
        <f>Normalized_FCF!C15</f>
        <v>-9589072.5451227482</v>
      </c>
      <c r="D56" s="1" t="str">
        <f>Reporting_currency</f>
        <v>CNY</v>
      </c>
    </row>
    <row r="58" spans="2:6">
      <c r="B58" s="348" t="s">
        <v>242</v>
      </c>
      <c r="C58" s="348"/>
      <c r="D58" s="348"/>
      <c r="E58" s="348"/>
      <c r="F58" s="348"/>
    </row>
    <row r="59" spans="2:6">
      <c r="B59" s="47" t="s">
        <v>240</v>
      </c>
      <c r="C59" s="341">
        <f>Normalized_FCF!C14</f>
        <v>-1821314525.6829174</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6391730692.7697487</v>
      </c>
      <c r="D67" s="1" t="str">
        <f>Reporting_currency</f>
        <v>CNY</v>
      </c>
    </row>
    <row r="68" spans="1:6">
      <c r="B68" s="47" t="s">
        <v>249</v>
      </c>
      <c r="C68" s="341">
        <f>Normalized_FCF!C19</f>
        <v>5454354504.5036287</v>
      </c>
      <c r="D68" s="1" t="str">
        <f>Reporting_currency</f>
        <v>CNY</v>
      </c>
    </row>
    <row r="69" spans="1:6">
      <c r="B69" s="227" t="s">
        <v>391</v>
      </c>
      <c r="C69" s="92">
        <f>Normalized_FCF!C125</f>
        <v>5.3124539487013844E-2</v>
      </c>
      <c r="F69" s="317"/>
    </row>
    <row r="70" spans="1:6">
      <c r="B70" s="227" t="s">
        <v>309</v>
      </c>
      <c r="C70" s="92">
        <f>Normalized_FCF!C93</f>
        <v>6.8207837956847206E-2</v>
      </c>
      <c r="E70" s="47" t="s">
        <v>450</v>
      </c>
      <c r="F70" s="318">
        <f>Normalized_FCF!C92</f>
        <v>1.2839233735573452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60.322914587504222</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40134989.460000001</v>
      </c>
      <c r="D96" s="1" t="str">
        <f>Reporting_currency</f>
        <v>CNY</v>
      </c>
    </row>
    <row r="97" spans="2:6">
      <c r="B97" s="47" t="s">
        <v>282</v>
      </c>
      <c r="C97" s="223">
        <f>C96*scaling_factor*Exchange_Rate/Common_Shares</f>
        <v>2.6632587293329478E-2</v>
      </c>
      <c r="D97" s="1" t="str">
        <f>Market_currency</f>
        <v>CNY</v>
      </c>
    </row>
    <row r="98" spans="2:6">
      <c r="B98" s="298" t="s">
        <v>405</v>
      </c>
      <c r="C98" s="299">
        <f>BS!G30/BS!G27</f>
        <v>0.30279158651211824</v>
      </c>
    </row>
    <row r="99" spans="2:6">
      <c r="B99" s="298" t="s">
        <v>406</v>
      </c>
      <c r="C99" s="299">
        <f>BS!G31/BS!G27</f>
        <v>7.7640983998987034E-4</v>
      </c>
    </row>
    <row r="100" spans="2:6">
      <c r="B100" s="298" t="s">
        <v>408</v>
      </c>
      <c r="C100" s="300">
        <f>BS!C50</f>
        <v>5.5975167910006915E-3</v>
      </c>
    </row>
    <row r="102" spans="2:6">
      <c r="B102" s="1" t="s">
        <v>255</v>
      </c>
    </row>
    <row r="103" spans="2:6">
      <c r="B103" s="47" t="s">
        <v>265</v>
      </c>
      <c r="C103" s="341">
        <f>BS!C66</f>
        <v>21748297978.369999</v>
      </c>
      <c r="D103" s="1" t="str">
        <f>Reporting_currency</f>
        <v>CNY</v>
      </c>
    </row>
    <row r="104" spans="2:6">
      <c r="B104" s="47" t="s">
        <v>267</v>
      </c>
      <c r="C104" s="341">
        <f>DCF!C8</f>
        <v>17616201015.993965</v>
      </c>
      <c r="D104" s="1" t="str">
        <f>Reporting_currency</f>
        <v>CNY</v>
      </c>
    </row>
    <row r="105" spans="2:6">
      <c r="B105" s="47" t="s">
        <v>283</v>
      </c>
      <c r="C105" s="223">
        <f>C104*scaling_factor*Exchange_Rate/Common_Shares</f>
        <v>11.689675708097187</v>
      </c>
      <c r="D105" s="1" t="str">
        <f>Market_currency</f>
        <v>CNY</v>
      </c>
    </row>
    <row r="107" spans="2:6">
      <c r="B107" s="1" t="s">
        <v>257</v>
      </c>
    </row>
    <row r="108" spans="2:6">
      <c r="B108" s="47" t="s">
        <v>258</v>
      </c>
      <c r="C108" s="341">
        <f>DCF!C9</f>
        <v>3951628136.4709997</v>
      </c>
      <c r="D108" s="1" t="str">
        <f>Reporting_currency</f>
        <v>CNY</v>
      </c>
    </row>
    <row r="109" spans="2:6">
      <c r="B109" s="47" t="s">
        <v>284</v>
      </c>
      <c r="C109" s="223">
        <f>C108*scaling_factor*Exchange_Rate/Common_Shares</f>
        <v>2.6222027889213448</v>
      </c>
      <c r="D109" s="1" t="str">
        <f>Market_currency</f>
        <v>CNY</v>
      </c>
    </row>
    <row r="111" spans="2:6" ht="24.5" customHeight="1">
      <c r="B111" s="347" t="s">
        <v>367</v>
      </c>
      <c r="C111" s="347"/>
      <c r="D111" s="347"/>
      <c r="E111" s="347"/>
      <c r="F111" s="347"/>
    </row>
    <row r="113" spans="1:6">
      <c r="B113" s="47" t="s">
        <v>451</v>
      </c>
      <c r="C113" s="223">
        <f>IF(valuation_method="DCF",DCF!C12,DDM!C7)</f>
        <v>74.608160497229406</v>
      </c>
      <c r="D113" s="1" t="str">
        <f>Market_currency</f>
        <v>CNY</v>
      </c>
    </row>
    <row r="114" spans="1:6">
      <c r="B114" s="298" t="s">
        <v>407</v>
      </c>
      <c r="C114" s="223">
        <f>BS!D47</f>
        <v>15.284602440692964</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7.0000000000000007E-2</v>
      </c>
      <c r="D121" s="230">
        <f>DCF!D74</f>
        <v>15</v>
      </c>
      <c r="E121" s="231" t="str">
        <f>ROUND(IF(valuation_method="DCF",DCF!E74,DDM!E69),2)&amp;" "&amp;Market_currency</f>
        <v>99.79 CNY</v>
      </c>
      <c r="F121" s="232">
        <f>DCF!F74</f>
        <v>0.05</v>
      </c>
    </row>
    <row r="122" spans="1:6">
      <c r="B122" s="218" t="str">
        <f>DCF!B75</f>
        <v>Optimistic</v>
      </c>
      <c r="C122" s="219">
        <f>DCF!C75</f>
        <v>0.04</v>
      </c>
      <c r="D122" s="220">
        <f>DCF!D75</f>
        <v>10</v>
      </c>
      <c r="E122" s="231" t="str">
        <f>ROUND(IF(valuation_method="DCF",DCF!E75,DDM!E70),2)&amp;" "&amp;Market_currency</f>
        <v>81.96 CNY</v>
      </c>
      <c r="F122" s="221">
        <f>DCF!F75</f>
        <v>0.17</v>
      </c>
    </row>
    <row r="123" spans="1:6">
      <c r="B123" s="218" t="str">
        <f>DCF!B76</f>
        <v>Base</v>
      </c>
      <c r="C123" s="219">
        <f>DCF!C76</f>
        <v>0.02</v>
      </c>
      <c r="D123" s="220">
        <f>DCF!D76</f>
        <v>10</v>
      </c>
      <c r="E123" s="231" t="str">
        <f>ROUND(IF(valuation_method="DCF",DCF!E76,DDM!E71),2)&amp;" "&amp;Market_currency</f>
        <v>78.11 CNY</v>
      </c>
      <c r="F123" s="221">
        <f>DCF!F76</f>
        <v>0.51</v>
      </c>
    </row>
    <row r="124" spans="1:6">
      <c r="B124" s="218" t="str">
        <f>DCF!B77</f>
        <v>Pessimistic</v>
      </c>
      <c r="C124" s="219">
        <f>DCF!C77</f>
        <v>0</v>
      </c>
      <c r="D124" s="220">
        <f>DCF!D77</f>
        <v>10</v>
      </c>
      <c r="E124" s="231" t="str">
        <f>ROUND(IF(valuation_method="DCF",DCF!E77,DDM!E72),2)&amp;" "&amp;Market_currency</f>
        <v>74.61 CNY</v>
      </c>
      <c r="F124" s="221">
        <f>DCF!F77</f>
        <v>0.17</v>
      </c>
    </row>
    <row r="125" spans="1:6">
      <c r="B125" s="218" t="str">
        <f>DCF!B78</f>
        <v>Devil's advocate</v>
      </c>
      <c r="C125" s="219">
        <f>DCF!C78</f>
        <v>-0.05</v>
      </c>
      <c r="D125" s="220">
        <f>DCF!D78</f>
        <v>15</v>
      </c>
      <c r="E125" s="231" t="str">
        <f>ROUND(IF(valuation_method="DCF",DCF!E78,DDM!E73),2)&amp;" "&amp;Market_currency</f>
        <v>63.41 CNY</v>
      </c>
      <c r="F125" s="221">
        <f>DCF!F78</f>
        <v>0.1</v>
      </c>
    </row>
    <row r="127" spans="1:6">
      <c r="B127" s="211" t="s">
        <v>259</v>
      </c>
      <c r="C127" s="217">
        <f>Scenarios!C60</f>
        <v>77.785604602754844</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4.6470000000000002</v>
      </c>
      <c r="D138" s="212" t="str">
        <f>Market_currency</f>
        <v>CNY</v>
      </c>
    </row>
    <row r="140" spans="1:6">
      <c r="B140" s="210" t="s">
        <v>410</v>
      </c>
      <c r="C140" s="241" t="str">
        <f>C11</f>
        <v>002304.SZ</v>
      </c>
      <c r="D140" s="241" t="str">
        <f>IF(D11="","",D11)</f>
        <v/>
      </c>
    </row>
    <row r="141" spans="1:6">
      <c r="B141" s="1" t="s">
        <v>409</v>
      </c>
      <c r="C141" s="299">
        <f>F29</f>
        <v>0.33699999999999997</v>
      </c>
    </row>
    <row r="142" spans="1:6">
      <c r="B142" s="212" t="str">
        <f>"PV("&amp;C136&amp;" yrs of Dividends)"</f>
        <v>PV(3 yrs of Dividends)</v>
      </c>
      <c r="C142" s="216">
        <f>Scenarios!C81</f>
        <v>8.0196797144163927</v>
      </c>
    </row>
    <row r="143" spans="1:6">
      <c r="B143" s="212" t="str">
        <f>"+ PV(Equity Value realized at year "&amp;C136&amp;")"</f>
        <v>+ PV(Equity Value realized at year 3)</v>
      </c>
      <c r="C143" s="216">
        <f>Scenarios!C82</f>
        <v>32.546553796162996</v>
      </c>
    </row>
    <row r="144" spans="1:6">
      <c r="B144" s="80" t="s">
        <v>261</v>
      </c>
      <c r="C144" s="215">
        <f>Scenarios!C83</f>
        <v>40.566233510579387</v>
      </c>
      <c r="D144" s="303" t="str">
        <f>IF($D$11="","",C144*$E$25)</f>
        <v/>
      </c>
    </row>
    <row r="145" spans="2:4">
      <c r="B145" s="259" t="s">
        <v>418</v>
      </c>
      <c r="C145" s="301" t="str">
        <f>Market_currency</f>
        <v>CNY</v>
      </c>
      <c r="D145" s="301" t="str">
        <f>IF($D$11="","",D$13)</f>
        <v/>
      </c>
    </row>
    <row r="146" spans="2:4">
      <c r="B146" s="214" t="s">
        <v>263</v>
      </c>
      <c r="C146" s="92">
        <f>Scenarios!F83</f>
        <v>0.47848662078609472</v>
      </c>
    </row>
    <row r="148" spans="2:4">
      <c r="B148" s="210" t="s">
        <v>413</v>
      </c>
    </row>
    <row r="149" spans="2:4">
      <c r="B149" s="1" t="s">
        <v>412</v>
      </c>
      <c r="C149" s="299">
        <f>Scenarios!C90</f>
        <v>0.187</v>
      </c>
    </row>
    <row r="150" spans="2:4">
      <c r="B150" s="212" t="str">
        <f>"PV("&amp;C136&amp;" yrs of Dividends)"</f>
        <v>PV(3 yrs of Dividends)</v>
      </c>
      <c r="C150" s="216">
        <f>Scenarios!C91</f>
        <v>9.9916325637411276</v>
      </c>
    </row>
    <row r="151" spans="2:4">
      <c r="B151" s="212" t="str">
        <f>"+ PV(Equity Value realized at year "&amp;C136&amp;")"</f>
        <v>+ PV(Equity Value realized at year 3)</v>
      </c>
      <c r="C151" s="216">
        <f>Scenarios!C92</f>
        <v>46.510078747659925</v>
      </c>
    </row>
    <row r="152" spans="2:4">
      <c r="B152" s="80" t="s">
        <v>261</v>
      </c>
      <c r="C152" s="215">
        <f>Scenarios!C93</f>
        <v>56.501711311401053</v>
      </c>
      <c r="D152" s="303" t="str">
        <f>IF($D$11="","",C152*$E$25)</f>
        <v/>
      </c>
    </row>
    <row r="153" spans="2:4">
      <c r="B153" s="259" t="s">
        <v>418</v>
      </c>
      <c r="C153" s="301" t="str">
        <f>Market_currency</f>
        <v>CNY</v>
      </c>
      <c r="D153" s="301" t="str">
        <f>IF($D$11="","",D$13)</f>
        <v/>
      </c>
    </row>
    <row r="154" spans="2:4">
      <c r="B154" s="214" t="s">
        <v>263</v>
      </c>
      <c r="C154" s="92">
        <f>Scenarios!F93</f>
        <v>0.27362252180270386</v>
      </c>
    </row>
    <row r="156" spans="2:4">
      <c r="B156" s="210" t="s">
        <v>401</v>
      </c>
    </row>
    <row r="157" spans="2:4">
      <c r="B157" s="1" t="s">
        <v>411</v>
      </c>
      <c r="C157" s="92">
        <f>Scenarios!C96</f>
        <v>0.06</v>
      </c>
    </row>
    <row r="158" spans="2:4">
      <c r="B158" s="212" t="str">
        <f>"PV("&amp;C136&amp;" yrs of Dividends)"</f>
        <v>PV(3 yrs of Dividends)</v>
      </c>
      <c r="C158" s="216">
        <f>Scenarios!C97</f>
        <v>12.421486529148241</v>
      </c>
    </row>
    <row r="159" spans="2:4">
      <c r="B159" s="212" t="str">
        <f>"+ PV(Equity Value realized at year "&amp;C136&amp;")"</f>
        <v>+ PV(Equity Value realized at year 3)</v>
      </c>
      <c r="C159" s="216">
        <f>Scenarios!C98</f>
        <v>65.310293566799118</v>
      </c>
    </row>
    <row r="160" spans="2:4">
      <c r="B160" s="80" t="s">
        <v>402</v>
      </c>
      <c r="C160" s="215">
        <f>Scenarios!C99</f>
        <v>77.731780095947357</v>
      </c>
      <c r="D160" s="303" t="str">
        <f>IF($D$11="","",C160*$E$25)</f>
        <v/>
      </c>
    </row>
    <row r="161" spans="1:6">
      <c r="B161" s="259" t="s">
        <v>418</v>
      </c>
      <c r="C161" s="301" t="str">
        <f>Market_currency</f>
        <v>CNY</v>
      </c>
      <c r="D161" s="301" t="str">
        <f>IF($D$11="","",D$13)</f>
        <v/>
      </c>
    </row>
    <row r="162" spans="1:6">
      <c r="B162" s="214" t="s">
        <v>263</v>
      </c>
      <c r="C162" s="92">
        <f>Scenarios!F99</f>
        <v>6.9195974091051937E-4</v>
      </c>
    </row>
    <row r="164" spans="1:6">
      <c r="B164" s="210" t="s">
        <v>434</v>
      </c>
    </row>
    <row r="165" spans="1:6">
      <c r="B165" s="1" t="s">
        <v>425</v>
      </c>
      <c r="C165" s="92">
        <f>F32</f>
        <v>8.6999999999999994E-2</v>
      </c>
    </row>
    <row r="166" spans="1:6">
      <c r="B166" s="212" t="str">
        <f>"PV("&amp;C136&amp;" yrs of Dividends)"</f>
        <v>PV(3 yrs of Dividends)</v>
      </c>
      <c r="C166" s="216">
        <f>Scenarios!C103</f>
        <v>11.826104101614131</v>
      </c>
    </row>
    <row r="167" spans="1:6">
      <c r="B167" s="212" t="str">
        <f>"+ PV(Equity Value realized at year "&amp;C136&amp;")"</f>
        <v>+ PV(Equity Value realized at year 3)</v>
      </c>
      <c r="C167" s="216">
        <f>Scenarios!C104</f>
        <v>60.563448972324863</v>
      </c>
    </row>
    <row r="168" spans="1:6">
      <c r="B168" s="80" t="s">
        <v>402</v>
      </c>
      <c r="C168" s="215">
        <f>Scenarios!C105</f>
        <v>72.389553073938998</v>
      </c>
      <c r="D168" s="303" t="str">
        <f>IF($D$11="","",C168*$E$25)</f>
        <v/>
      </c>
    </row>
    <row r="169" spans="1:6">
      <c r="B169" s="259" t="s">
        <v>418</v>
      </c>
      <c r="C169" s="301" t="str">
        <f>Market_currency</f>
        <v>CNY</v>
      </c>
      <c r="D169" s="301" t="str">
        <f>IF($D$11="","",D$13)</f>
        <v/>
      </c>
    </row>
    <row r="170" spans="1:6">
      <c r="B170" s="214" t="s">
        <v>263</v>
      </c>
      <c r="C170" s="92">
        <f>Scenarios!F105</f>
        <v>6.9397561757708282E-2</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28876296994</v>
      </c>
      <c r="D4" s="337">
        <v>33126277552</v>
      </c>
      <c r="E4" s="337">
        <v>30104896187</v>
      </c>
      <c r="F4" s="337">
        <v>25350178204</v>
      </c>
      <c r="G4" s="337">
        <v>21101051132</v>
      </c>
      <c r="H4" s="337">
        <v>23126476885</v>
      </c>
      <c r="I4" s="337">
        <v>24159801995</v>
      </c>
      <c r="J4" s="337">
        <v>19917942238</v>
      </c>
      <c r="K4" s="337">
        <v>17183109620</v>
      </c>
      <c r="L4" s="337">
        <v>16052444099</v>
      </c>
      <c r="M4" s="337"/>
    </row>
    <row r="5" spans="2:13">
      <c r="B5" s="40" t="s">
        <v>43</v>
      </c>
      <c r="C5" s="337">
        <v>12577305310</v>
      </c>
      <c r="D5" s="337">
        <v>13469490847</v>
      </c>
      <c r="E5" s="337">
        <v>12033845670</v>
      </c>
      <c r="F5" s="337">
        <v>10403379692</v>
      </c>
      <c r="G5" s="337">
        <v>9267550366</v>
      </c>
      <c r="H5" s="337">
        <v>9827842077</v>
      </c>
      <c r="I5" s="337">
        <v>10123172172</v>
      </c>
      <c r="J5" s="337">
        <v>7833018393</v>
      </c>
      <c r="K5" s="337">
        <v>6512546229</v>
      </c>
      <c r="L5" s="337">
        <v>6344463294</v>
      </c>
      <c r="M5" s="337"/>
    </row>
    <row r="6" spans="2:13">
      <c r="B6" s="40" t="s">
        <v>54</v>
      </c>
      <c r="C6" s="337">
        <v>7440968847</v>
      </c>
      <c r="D6" s="337">
        <v>7151376850</v>
      </c>
      <c r="E6" s="337">
        <v>6114814104</v>
      </c>
      <c r="F6" s="337">
        <v>5374445029</v>
      </c>
      <c r="G6" s="337">
        <v>4332884360</v>
      </c>
      <c r="H6" s="337">
        <v>4548202898</v>
      </c>
      <c r="I6" s="337">
        <v>4265666731</v>
      </c>
      <c r="J6" s="337">
        <v>3919595214</v>
      </c>
      <c r="K6" s="337">
        <v>3451437073</v>
      </c>
      <c r="L6" s="337">
        <v>3330285076</v>
      </c>
      <c r="M6" s="337"/>
    </row>
    <row r="7" spans="2:13">
      <c r="B7" s="69" t="s">
        <v>61</v>
      </c>
      <c r="C7" s="338">
        <v>5516238545</v>
      </c>
      <c r="D7" s="338">
        <v>5386953701</v>
      </c>
      <c r="E7" s="338">
        <v>4179140808</v>
      </c>
      <c r="F7" s="338">
        <v>3544364890</v>
      </c>
      <c r="G7" s="338">
        <v>2603804158</v>
      </c>
      <c r="H7" s="338">
        <v>2691711171</v>
      </c>
      <c r="I7" s="338">
        <v>2561401628</v>
      </c>
      <c r="J7" s="338">
        <v>2387447107</v>
      </c>
      <c r="K7" s="338">
        <v>1869001822</v>
      </c>
      <c r="L7" s="338">
        <v>1882406797</v>
      </c>
      <c r="M7" s="338"/>
    </row>
    <row r="8" spans="2:13">
      <c r="B8" s="40" t="s">
        <v>49</v>
      </c>
      <c r="C8" s="337">
        <v>104796407</v>
      </c>
      <c r="D8" s="337">
        <v>284753881</v>
      </c>
      <c r="E8" s="337">
        <v>253574976</v>
      </c>
      <c r="F8" s="337">
        <v>258458103</v>
      </c>
      <c r="G8" s="337">
        <v>260094291</v>
      </c>
      <c r="H8" s="337">
        <v>159965594</v>
      </c>
      <c r="I8" s="337">
        <v>27565218</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v>8812.8943639900008</v>
      </c>
      <c r="D11" s="337">
        <v>12276.83537226</v>
      </c>
      <c r="E11" s="337">
        <v>11766.43425561</v>
      </c>
      <c r="F11" s="337">
        <v>9404.7461288600007</v>
      </c>
      <c r="G11" s="337"/>
      <c r="H11" s="337"/>
      <c r="I11" s="337"/>
      <c r="J11" s="337"/>
      <c r="K11" s="337"/>
      <c r="L11" s="337"/>
      <c r="M11" s="337"/>
    </row>
    <row r="12" spans="2:13">
      <c r="B12" s="40" t="s">
        <v>39</v>
      </c>
      <c r="C12" s="337">
        <v>2955080</v>
      </c>
      <c r="D12" s="337">
        <v>1707108</v>
      </c>
      <c r="E12" s="337">
        <v>694326</v>
      </c>
      <c r="F12" s="337">
        <v>603756</v>
      </c>
      <c r="G12" s="337">
        <v>1964</v>
      </c>
      <c r="H12" s="337">
        <v>2618</v>
      </c>
      <c r="I12" s="337">
        <v>3273</v>
      </c>
      <c r="J12" s="337"/>
      <c r="K12" s="337"/>
      <c r="L12" s="337"/>
      <c r="M12" s="337"/>
    </row>
    <row r="13" spans="2:13">
      <c r="B13" s="40" t="s">
        <v>67</v>
      </c>
      <c r="C13" s="337">
        <v>621439989</v>
      </c>
      <c r="D13" s="337">
        <v>765369577</v>
      </c>
      <c r="E13" s="337">
        <v>645806427</v>
      </c>
      <c r="F13" s="337">
        <v>433923396</v>
      </c>
      <c r="G13" s="337">
        <v>104495154</v>
      </c>
      <c r="H13" s="337">
        <v>77589504</v>
      </c>
      <c r="I13" s="337">
        <v>69133580</v>
      </c>
      <c r="J13" s="337"/>
      <c r="K13" s="337"/>
      <c r="L13" s="337"/>
      <c r="M13" s="337"/>
    </row>
    <row r="14" spans="2:13">
      <c r="B14" s="40" t="s">
        <v>50</v>
      </c>
      <c r="C14" s="337">
        <v>2476620792</v>
      </c>
      <c r="D14" s="337">
        <v>3197064563</v>
      </c>
      <c r="E14" s="337">
        <v>3113885720</v>
      </c>
      <c r="F14" s="337">
        <v>2433610121</v>
      </c>
      <c r="G14" s="337">
        <v>2394295578</v>
      </c>
      <c r="H14" s="337">
        <v>2384713342</v>
      </c>
      <c r="I14" s="337">
        <v>2723855894</v>
      </c>
      <c r="J14" s="337">
        <v>2229168424</v>
      </c>
      <c r="K14" s="337">
        <v>1956036450</v>
      </c>
      <c r="L14" s="337">
        <v>1800119666</v>
      </c>
      <c r="M14" s="337"/>
    </row>
    <row r="15" spans="2:13">
      <c r="B15" s="43" t="s">
        <v>42</v>
      </c>
      <c r="C15" s="339">
        <v>6666455820</v>
      </c>
      <c r="D15" s="339">
        <v>10020768556</v>
      </c>
      <c r="E15" s="339">
        <v>9389398171</v>
      </c>
      <c r="F15" s="339">
        <v>7512817397</v>
      </c>
      <c r="G15" s="339">
        <v>7484606314</v>
      </c>
      <c r="H15" s="339">
        <v>7386090915</v>
      </c>
      <c r="I15" s="339">
        <v>8115329895</v>
      </c>
      <c r="J15" s="339">
        <v>6618786144</v>
      </c>
      <c r="K15" s="339">
        <v>5804929114</v>
      </c>
      <c r="L15" s="339">
        <v>5365199298</v>
      </c>
      <c r="M15" s="339"/>
    </row>
    <row r="16" spans="2:13">
      <c r="B16" s="28" t="s">
        <v>44</v>
      </c>
      <c r="C16" s="337">
        <v>-6932782</v>
      </c>
      <c r="D16" s="337">
        <v>4838516</v>
      </c>
      <c r="E16" s="337">
        <v>11565742</v>
      </c>
      <c r="F16" s="337">
        <v>5134600</v>
      </c>
      <c r="G16" s="337">
        <v>2377680</v>
      </c>
      <c r="H16" s="337">
        <v>3268188</v>
      </c>
      <c r="I16" s="337">
        <v>140100</v>
      </c>
      <c r="J16" s="337">
        <v>-8383815</v>
      </c>
      <c r="K16" s="337">
        <v>-22239757</v>
      </c>
      <c r="L16" s="337">
        <v>13763</v>
      </c>
      <c r="M16" s="337"/>
    </row>
    <row r="18" spans="2:13">
      <c r="B18" s="16" t="s">
        <v>51</v>
      </c>
      <c r="C18" s="9"/>
    </row>
    <row r="19" spans="2:13">
      <c r="B19" s="27" t="s">
        <v>47</v>
      </c>
      <c r="C19" s="337">
        <v>697421786</v>
      </c>
      <c r="D19" s="337">
        <v>730011100</v>
      </c>
      <c r="E19" s="337">
        <v>752915036</v>
      </c>
      <c r="F19" s="337">
        <v>759253984</v>
      </c>
      <c r="G19" s="337">
        <v>782849742</v>
      </c>
      <c r="H19" s="337">
        <v>776102930</v>
      </c>
      <c r="I19" s="337">
        <v>757446024</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4628711237</v>
      </c>
      <c r="D22" s="337">
        <v>6130220868</v>
      </c>
      <c r="E22" s="337">
        <v>3647623952</v>
      </c>
      <c r="F22" s="337">
        <v>15318165481</v>
      </c>
      <c r="G22" s="337">
        <v>3978790836</v>
      </c>
      <c r="H22" s="337">
        <v>6797891871</v>
      </c>
      <c r="I22" s="337">
        <v>9056748816</v>
      </c>
      <c r="J22" s="337">
        <v>6883169799</v>
      </c>
      <c r="K22" s="337">
        <v>7405044601</v>
      </c>
      <c r="L22" s="337">
        <v>5836355329</v>
      </c>
      <c r="M22" s="337"/>
    </row>
    <row r="23" spans="2:13">
      <c r="B23" s="27" t="s">
        <v>374</v>
      </c>
      <c r="C23" s="337">
        <v>-1302245456</v>
      </c>
      <c r="D23" s="337">
        <v>661034677</v>
      </c>
      <c r="E23" s="337">
        <v>4016502464</v>
      </c>
      <c r="F23" s="337">
        <v>1836664314</v>
      </c>
      <c r="G23" s="337">
        <v>4472834785</v>
      </c>
      <c r="H23" s="337">
        <v>-1293215134</v>
      </c>
      <c r="I23" s="337">
        <v>-3349342124</v>
      </c>
      <c r="J23" s="337">
        <v>-4161022279</v>
      </c>
      <c r="K23" s="337">
        <v>-5964333135</v>
      </c>
      <c r="L23" s="337">
        <v>-3676301732</v>
      </c>
      <c r="M23" s="337"/>
    </row>
    <row r="24" spans="2:13">
      <c r="B24" s="27" t="s">
        <v>373</v>
      </c>
      <c r="C24" s="337">
        <v>-7049805121</v>
      </c>
      <c r="D24" s="337">
        <v>-5608338295</v>
      </c>
      <c r="E24" s="337">
        <v>-4491776979</v>
      </c>
      <c r="F24" s="337">
        <v>-3547817811</v>
      </c>
      <c r="G24" s="337">
        <v>-5504913991</v>
      </c>
      <c r="H24" s="337">
        <v>-4823150583</v>
      </c>
      <c r="I24" s="337">
        <v>-3841359037</v>
      </c>
      <c r="J24" s="337">
        <v>-3417116091</v>
      </c>
      <c r="K24" s="337">
        <v>-3697079125</v>
      </c>
      <c r="L24" s="337">
        <v>-1797917170</v>
      </c>
      <c r="M24" s="337"/>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459</v>
      </c>
    </row>
    <row r="28" spans="2:13">
      <c r="B28" s="26" t="s">
        <v>24</v>
      </c>
      <c r="C28" s="326">
        <f>BS!C4</f>
        <v>1530297140.1800001</v>
      </c>
      <c r="D28" s="337">
        <v>530005754</v>
      </c>
      <c r="E28" s="337">
        <v>571147623</v>
      </c>
      <c r="F28" s="337">
        <v>665097278</v>
      </c>
      <c r="G28" s="337">
        <v>617721565</v>
      </c>
      <c r="H28" s="337">
        <v>675347400</v>
      </c>
      <c r="I28" s="337">
        <v>247961412</v>
      </c>
      <c r="J28" s="337">
        <v>221297620</v>
      </c>
      <c r="K28" s="337">
        <v>162441171</v>
      </c>
      <c r="L28" s="337">
        <v>89745708</v>
      </c>
      <c r="M28" s="337"/>
    </row>
    <row r="29" spans="2:13">
      <c r="B29" s="26" t="s">
        <v>32</v>
      </c>
      <c r="C29" s="326">
        <f>BS!C6</f>
        <v>19732881051.73</v>
      </c>
      <c r="D29" s="337">
        <v>18954235402</v>
      </c>
      <c r="E29" s="337">
        <v>17729258967</v>
      </c>
      <c r="F29" s="337">
        <v>16803093442</v>
      </c>
      <c r="G29" s="337">
        <v>14852694146</v>
      </c>
      <c r="H29" s="337">
        <v>14433244696</v>
      </c>
      <c r="I29" s="337">
        <v>13892118588</v>
      </c>
      <c r="J29" s="337">
        <v>12861503434</v>
      </c>
      <c r="K29" s="337">
        <v>12221515305</v>
      </c>
      <c r="L29" s="337">
        <v>11122379916</v>
      </c>
      <c r="M29" s="337"/>
    </row>
    <row r="30" spans="2:13">
      <c r="B30" s="29" t="s">
        <v>40</v>
      </c>
      <c r="C30" s="327">
        <f>BS!C33+BS!C42</f>
        <v>15652219365.74</v>
      </c>
      <c r="D30" s="339">
        <v>17742423481</v>
      </c>
      <c r="E30" s="339">
        <v>20439798531</v>
      </c>
      <c r="F30" s="339">
        <v>25317393936</v>
      </c>
      <c r="G30" s="339">
        <v>15396606230</v>
      </c>
      <c r="H30" s="339">
        <v>16963485271</v>
      </c>
      <c r="I30" s="339">
        <v>15939249286</v>
      </c>
      <c r="J30" s="339">
        <v>13763271610</v>
      </c>
      <c r="K30" s="339">
        <v>12767076382</v>
      </c>
      <c r="L30" s="339">
        <v>10918840106</v>
      </c>
      <c r="M30" s="339"/>
    </row>
    <row r="31" spans="2:13">
      <c r="B31" s="29" t="s">
        <v>30</v>
      </c>
      <c r="C31" s="327">
        <f>BS!G27</f>
        <v>51693045853.879997</v>
      </c>
      <c r="D31" s="339">
        <v>52049863975</v>
      </c>
      <c r="E31" s="339">
        <v>47524448604</v>
      </c>
      <c r="F31" s="339">
        <v>42481310258</v>
      </c>
      <c r="G31" s="339">
        <v>38469653077</v>
      </c>
      <c r="H31" s="339">
        <v>36491552570</v>
      </c>
      <c r="I31" s="339">
        <v>33624518530</v>
      </c>
      <c r="J31" s="339">
        <v>29494869092</v>
      </c>
      <c r="K31" s="339">
        <v>26036985867</v>
      </c>
      <c r="L31" s="339">
        <v>22941480861</v>
      </c>
      <c r="M31" s="339"/>
    </row>
    <row r="32" spans="2:13">
      <c r="B32" s="26" t="s">
        <v>173</v>
      </c>
      <c r="C32" s="326">
        <f>BS!G28</f>
        <v>104802725.23</v>
      </c>
      <c r="D32" s="337">
        <v>111348630</v>
      </c>
      <c r="E32" s="337">
        <v>49501629</v>
      </c>
      <c r="F32" s="337">
        <v>-4899532</v>
      </c>
      <c r="G32" s="339">
        <v>-14930907</v>
      </c>
      <c r="H32" s="339">
        <v>-17282922</v>
      </c>
      <c r="I32" s="339">
        <v>-20011736</v>
      </c>
      <c r="J32" s="339">
        <v>-20171194</v>
      </c>
      <c r="K32" s="339">
        <v>-15785203</v>
      </c>
      <c r="L32" s="339">
        <v>4384482</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28876296994</v>
      </c>
      <c r="D36" s="326">
        <f t="shared" si="1"/>
        <v>33126277552</v>
      </c>
      <c r="E36" s="326">
        <f t="shared" si="1"/>
        <v>30104896187</v>
      </c>
      <c r="F36" s="326">
        <f t="shared" si="1"/>
        <v>25350178204</v>
      </c>
      <c r="G36" s="326">
        <f t="shared" si="1"/>
        <v>21101051132</v>
      </c>
      <c r="H36" s="326">
        <f t="shared" si="1"/>
        <v>23126476885</v>
      </c>
      <c r="I36" s="326">
        <f t="shared" si="1"/>
        <v>24159801995</v>
      </c>
      <c r="J36" s="326">
        <f t="shared" si="1"/>
        <v>19917942238</v>
      </c>
      <c r="K36" s="326">
        <f t="shared" si="1"/>
        <v>17183109620</v>
      </c>
      <c r="L36" s="326">
        <f t="shared" si="1"/>
        <v>16052444099</v>
      </c>
      <c r="M36" s="326" t="str">
        <f t="shared" si="1"/>
        <v/>
      </c>
    </row>
    <row r="37" spans="2:13">
      <c r="B37" s="40" t="s">
        <v>43</v>
      </c>
      <c r="C37" s="326">
        <f t="shared" ref="C37:M37" si="2">IF(C$4="","",-C5)</f>
        <v>-12577305310</v>
      </c>
      <c r="D37" s="326">
        <f t="shared" si="2"/>
        <v>-13469490847</v>
      </c>
      <c r="E37" s="326">
        <f t="shared" si="2"/>
        <v>-12033845670</v>
      </c>
      <c r="F37" s="326">
        <f t="shared" si="2"/>
        <v>-10403379692</v>
      </c>
      <c r="G37" s="326">
        <f t="shared" si="2"/>
        <v>-9267550366</v>
      </c>
      <c r="H37" s="326">
        <f t="shared" si="2"/>
        <v>-9827842077</v>
      </c>
      <c r="I37" s="326">
        <f t="shared" si="2"/>
        <v>-10123172172</v>
      </c>
      <c r="J37" s="326">
        <f t="shared" si="2"/>
        <v>-7833018393</v>
      </c>
      <c r="K37" s="326">
        <f t="shared" si="2"/>
        <v>-6512546229</v>
      </c>
      <c r="L37" s="326">
        <f t="shared" si="2"/>
        <v>-6344463294</v>
      </c>
      <c r="M37" s="326" t="str">
        <f t="shared" si="2"/>
        <v/>
      </c>
    </row>
    <row r="38" spans="2:13">
      <c r="B38" s="31" t="s">
        <v>58</v>
      </c>
      <c r="C38" s="322">
        <f>IF(C36="","",C36+C37)</f>
        <v>16298991684</v>
      </c>
      <c r="D38" s="322">
        <f t="shared" ref="D38" si="3">IF(D36="","",D36+D37)</f>
        <v>19656786705</v>
      </c>
      <c r="E38" s="322">
        <f t="shared" ref="E38" si="4">IF(E36="","",E36+E37)</f>
        <v>18071050517</v>
      </c>
      <c r="F38" s="322">
        <f t="shared" ref="F38" si="5">IF(F36="","",F36+F37)</f>
        <v>14946798512</v>
      </c>
      <c r="G38" s="322">
        <f t="shared" ref="G38" si="6">IF(G36="","",G36+G37)</f>
        <v>11833500766</v>
      </c>
      <c r="H38" s="322">
        <f t="shared" ref="H38" si="7">IF(H36="","",H36+H37)</f>
        <v>13298634808</v>
      </c>
      <c r="I38" s="322">
        <f t="shared" ref="I38" si="8">IF(I36="","",I36+I37)</f>
        <v>14036629823</v>
      </c>
      <c r="J38" s="322">
        <f t="shared" ref="J38" si="9">IF(J36="","",J36+J37)</f>
        <v>12084923845</v>
      </c>
      <c r="K38" s="322">
        <f t="shared" ref="K38" si="10">IF(K36="","",K36+K37)</f>
        <v>10670563391</v>
      </c>
      <c r="L38" s="322">
        <f t="shared" ref="L38" si="11">IF(L36="","",L36+L37)</f>
        <v>9707980805</v>
      </c>
      <c r="M38" s="322" t="str">
        <f t="shared" ref="M38" si="12">IF(M36="","",M36+M37)</f>
        <v/>
      </c>
    </row>
    <row r="39" spans="2:13">
      <c r="B39" s="40" t="s">
        <v>54</v>
      </c>
      <c r="C39" s="326">
        <f t="shared" ref="C39:M39" si="13">IF(C$4="","",-C6)</f>
        <v>-7440968847</v>
      </c>
      <c r="D39" s="326">
        <f t="shared" si="13"/>
        <v>-7151376850</v>
      </c>
      <c r="E39" s="326">
        <f t="shared" si="13"/>
        <v>-6114814104</v>
      </c>
      <c r="F39" s="326">
        <f t="shared" si="13"/>
        <v>-5374445029</v>
      </c>
      <c r="G39" s="326">
        <f t="shared" si="13"/>
        <v>-4332884360</v>
      </c>
      <c r="H39" s="326">
        <f t="shared" si="13"/>
        <v>-4548202898</v>
      </c>
      <c r="I39" s="326">
        <f t="shared" si="13"/>
        <v>-4265666731</v>
      </c>
      <c r="J39" s="326">
        <f t="shared" si="13"/>
        <v>-3919595214</v>
      </c>
      <c r="K39" s="326">
        <f t="shared" si="13"/>
        <v>-3451437073</v>
      </c>
      <c r="L39" s="326">
        <f t="shared" si="13"/>
        <v>-3330285076</v>
      </c>
      <c r="M39" s="326" t="str">
        <f t="shared" si="13"/>
        <v/>
      </c>
    </row>
    <row r="40" spans="2:13">
      <c r="B40" s="69" t="s">
        <v>61</v>
      </c>
      <c r="C40" s="336">
        <f t="shared" ref="C40:M40" si="14">IF(C$4="","",-C7)</f>
        <v>-5516238545</v>
      </c>
      <c r="D40" s="336">
        <f t="shared" si="14"/>
        <v>-5386953701</v>
      </c>
      <c r="E40" s="336">
        <f t="shared" si="14"/>
        <v>-4179140808</v>
      </c>
      <c r="F40" s="336">
        <f t="shared" si="14"/>
        <v>-3544364890</v>
      </c>
      <c r="G40" s="336">
        <f t="shared" si="14"/>
        <v>-2603804158</v>
      </c>
      <c r="H40" s="336">
        <f t="shared" si="14"/>
        <v>-2691711171</v>
      </c>
      <c r="I40" s="336">
        <f t="shared" si="14"/>
        <v>-2561401628</v>
      </c>
      <c r="J40" s="336">
        <f t="shared" si="14"/>
        <v>-2387447107</v>
      </c>
      <c r="K40" s="336">
        <f t="shared" si="14"/>
        <v>-1869001822</v>
      </c>
      <c r="L40" s="336">
        <f t="shared" si="14"/>
        <v>-1882406797</v>
      </c>
      <c r="M40" s="336" t="str">
        <f t="shared" si="14"/>
        <v/>
      </c>
    </row>
    <row r="41" spans="2:13">
      <c r="B41" s="69" t="s">
        <v>64</v>
      </c>
      <c r="C41" s="336">
        <f>IF(C$4="","",C39-C40)</f>
        <v>-1924730302</v>
      </c>
      <c r="D41" s="336">
        <f t="shared" ref="D41:M41" si="15">IF(D$4="","",D39-D40)</f>
        <v>-1764423149</v>
      </c>
      <c r="E41" s="336">
        <f t="shared" si="15"/>
        <v>-1935673296</v>
      </c>
      <c r="F41" s="336">
        <f t="shared" si="15"/>
        <v>-1830080139</v>
      </c>
      <c r="G41" s="336">
        <f t="shared" si="15"/>
        <v>-1729080202</v>
      </c>
      <c r="H41" s="336">
        <f t="shared" si="15"/>
        <v>-1856491727</v>
      </c>
      <c r="I41" s="336">
        <f t="shared" si="15"/>
        <v>-1704265103</v>
      </c>
      <c r="J41" s="336">
        <f t="shared" si="15"/>
        <v>-1532148107</v>
      </c>
      <c r="K41" s="336">
        <f t="shared" si="15"/>
        <v>-1582435251</v>
      </c>
      <c r="L41" s="336">
        <f t="shared" si="15"/>
        <v>-1447878279</v>
      </c>
      <c r="M41" s="336" t="str">
        <f t="shared" si="15"/>
        <v/>
      </c>
    </row>
    <row r="42" spans="2:13">
      <c r="B42" s="40" t="s">
        <v>49</v>
      </c>
      <c r="C42" s="326">
        <f t="shared" ref="C42:M42" si="16">IF(C$4="","",-C8)</f>
        <v>-104796407</v>
      </c>
      <c r="D42" s="326">
        <f t="shared" si="16"/>
        <v>-284753881</v>
      </c>
      <c r="E42" s="326">
        <f t="shared" si="16"/>
        <v>-253574976</v>
      </c>
      <c r="F42" s="326">
        <f t="shared" si="16"/>
        <v>-258458103</v>
      </c>
      <c r="G42" s="326">
        <f t="shared" si="16"/>
        <v>-260094291</v>
      </c>
      <c r="H42" s="326">
        <f t="shared" si="16"/>
        <v>-159965594</v>
      </c>
      <c r="I42" s="326">
        <f t="shared" si="16"/>
        <v>-27565218</v>
      </c>
      <c r="J42" s="326">
        <f t="shared" si="16"/>
        <v>0</v>
      </c>
      <c r="K42" s="326">
        <f t="shared" si="16"/>
        <v>0</v>
      </c>
      <c r="L42" s="326">
        <f t="shared" si="16"/>
        <v>0</v>
      </c>
      <c r="M42" s="326" t="str">
        <f t="shared" si="16"/>
        <v/>
      </c>
    </row>
    <row r="43" spans="2:13">
      <c r="B43" s="43" t="s">
        <v>153</v>
      </c>
      <c r="C43" s="327">
        <f>IF(C$4="","",C38+C39+C42)</f>
        <v>8753226430</v>
      </c>
      <c r="D43" s="327">
        <f t="shared" ref="D43:M43" si="17">IF(D$4="","",D38+D39+D42)</f>
        <v>12220655974</v>
      </c>
      <c r="E43" s="327">
        <f t="shared" si="17"/>
        <v>11702661437</v>
      </c>
      <c r="F43" s="327">
        <f t="shared" si="17"/>
        <v>9313895380</v>
      </c>
      <c r="G43" s="327">
        <f t="shared" si="17"/>
        <v>7240522115</v>
      </c>
      <c r="H43" s="327">
        <f t="shared" si="17"/>
        <v>8590466316</v>
      </c>
      <c r="I43" s="327">
        <f t="shared" si="17"/>
        <v>9743397874</v>
      </c>
      <c r="J43" s="327">
        <f t="shared" si="17"/>
        <v>8165328631</v>
      </c>
      <c r="K43" s="327">
        <f t="shared" si="17"/>
        <v>7219126318</v>
      </c>
      <c r="L43" s="327">
        <f t="shared" si="17"/>
        <v>6377695729</v>
      </c>
      <c r="M43" s="327" t="str">
        <f t="shared" si="17"/>
        <v/>
      </c>
    </row>
    <row r="44" spans="2:13">
      <c r="B44" s="43" t="s">
        <v>169</v>
      </c>
      <c r="C44" s="340">
        <f t="shared" ref="C44:M44" si="18">IF(C$4="","",C47-C46-C45-C43)</f>
        <v>-228634727</v>
      </c>
      <c r="D44" s="340">
        <f t="shared" si="18"/>
        <v>233514676</v>
      </c>
      <c r="E44" s="340">
        <f t="shared" si="18"/>
        <v>155510353</v>
      </c>
      <c r="F44" s="340">
        <f t="shared" si="18"/>
        <v>199212498</v>
      </c>
      <c r="G44" s="340">
        <f t="shared" si="18"/>
        <v>2533886587</v>
      </c>
      <c r="H44" s="340">
        <f t="shared" si="18"/>
        <v>1102751055</v>
      </c>
      <c r="I44" s="340">
        <f t="shared" si="18"/>
        <v>1026657608</v>
      </c>
      <c r="J44" s="340">
        <f t="shared" si="18"/>
        <v>682625937</v>
      </c>
      <c r="K44" s="340">
        <f t="shared" si="18"/>
        <v>541839246</v>
      </c>
      <c r="L44" s="340">
        <f t="shared" si="18"/>
        <v>787623235</v>
      </c>
      <c r="M44" s="340" t="str">
        <f t="shared" si="18"/>
        <v/>
      </c>
    </row>
    <row r="45" spans="2:13">
      <c r="B45" s="40" t="s">
        <v>68</v>
      </c>
      <c r="C45" s="341">
        <f t="shared" ref="C45:M45" si="19">IF(C$4="","",C51+C52)</f>
        <v>618484909</v>
      </c>
      <c r="D45" s="341">
        <f t="shared" si="19"/>
        <v>763662469</v>
      </c>
      <c r="E45" s="341">
        <f t="shared" si="19"/>
        <v>645112101</v>
      </c>
      <c r="F45" s="341">
        <f t="shared" si="19"/>
        <v>433319640</v>
      </c>
      <c r="G45" s="341">
        <f t="shared" si="19"/>
        <v>104493190</v>
      </c>
      <c r="H45" s="341">
        <f t="shared" si="19"/>
        <v>77586886</v>
      </c>
      <c r="I45" s="341">
        <f t="shared" si="19"/>
        <v>69130307</v>
      </c>
      <c r="J45" s="341">
        <f t="shared" si="19"/>
        <v>0</v>
      </c>
      <c r="K45" s="341">
        <f t="shared" si="19"/>
        <v>0</v>
      </c>
      <c r="L45" s="341">
        <f t="shared" si="19"/>
        <v>0</v>
      </c>
      <c r="M45" s="341" t="str">
        <f t="shared" si="19"/>
        <v/>
      </c>
    </row>
    <row r="46" spans="2:13">
      <c r="B46" s="40" t="s">
        <v>50</v>
      </c>
      <c r="C46" s="326">
        <f t="shared" ref="C46:M46" si="20">IF(C$4="","",-C14)</f>
        <v>-2476620792</v>
      </c>
      <c r="D46" s="326">
        <f t="shared" si="20"/>
        <v>-3197064563</v>
      </c>
      <c r="E46" s="326">
        <f t="shared" si="20"/>
        <v>-3113885720</v>
      </c>
      <c r="F46" s="326">
        <f t="shared" si="20"/>
        <v>-2433610121</v>
      </c>
      <c r="G46" s="326">
        <f t="shared" si="20"/>
        <v>-2394295578</v>
      </c>
      <c r="H46" s="326">
        <f t="shared" si="20"/>
        <v>-2384713342</v>
      </c>
      <c r="I46" s="326">
        <f t="shared" si="20"/>
        <v>-2723855894</v>
      </c>
      <c r="J46" s="326">
        <f t="shared" si="20"/>
        <v>-2229168424</v>
      </c>
      <c r="K46" s="326">
        <f t="shared" si="20"/>
        <v>-1956036450</v>
      </c>
      <c r="L46" s="326">
        <f t="shared" si="20"/>
        <v>-1800119666</v>
      </c>
      <c r="M46" s="326" t="str">
        <f t="shared" si="20"/>
        <v/>
      </c>
    </row>
    <row r="47" spans="2:13">
      <c r="B47" s="43" t="s">
        <v>42</v>
      </c>
      <c r="C47" s="327">
        <f t="shared" ref="C47:M47" si="21">IF(C$4="","",C15)</f>
        <v>6666455820</v>
      </c>
      <c r="D47" s="327">
        <f t="shared" si="21"/>
        <v>10020768556</v>
      </c>
      <c r="E47" s="327">
        <f t="shared" si="21"/>
        <v>9389398171</v>
      </c>
      <c r="F47" s="327">
        <f t="shared" si="21"/>
        <v>7512817397</v>
      </c>
      <c r="G47" s="327">
        <f t="shared" si="21"/>
        <v>7484606314</v>
      </c>
      <c r="H47" s="327">
        <f t="shared" si="21"/>
        <v>7386090915</v>
      </c>
      <c r="I47" s="327">
        <f t="shared" si="21"/>
        <v>8115329895</v>
      </c>
      <c r="J47" s="327">
        <f t="shared" si="21"/>
        <v>6618786144</v>
      </c>
      <c r="K47" s="327">
        <f t="shared" si="21"/>
        <v>5804929114</v>
      </c>
      <c r="L47" s="327">
        <f t="shared" si="21"/>
        <v>5365199298</v>
      </c>
      <c r="M47" s="327" t="str">
        <f t="shared" si="21"/>
        <v/>
      </c>
    </row>
    <row r="48" spans="2:13">
      <c r="B48" s="28" t="s">
        <v>44</v>
      </c>
      <c r="C48" s="326">
        <f t="shared" ref="C48:M48" si="22">IF(C$4="","",MIN(-C16,0))</f>
        <v>0</v>
      </c>
      <c r="D48" s="326">
        <f t="shared" si="22"/>
        <v>-4838516</v>
      </c>
      <c r="E48" s="326">
        <f t="shared" si="22"/>
        <v>-11565742</v>
      </c>
      <c r="F48" s="326">
        <f t="shared" si="22"/>
        <v>-5134600</v>
      </c>
      <c r="G48" s="326">
        <f t="shared" si="22"/>
        <v>-2377680</v>
      </c>
      <c r="H48" s="326">
        <f t="shared" si="22"/>
        <v>-3268188</v>
      </c>
      <c r="I48" s="326">
        <f t="shared" si="22"/>
        <v>-140100</v>
      </c>
      <c r="J48" s="326">
        <f t="shared" si="22"/>
        <v>0</v>
      </c>
      <c r="K48" s="326">
        <f t="shared" si="22"/>
        <v>0</v>
      </c>
      <c r="L48" s="326">
        <f t="shared" si="22"/>
        <v>-13763</v>
      </c>
      <c r="M48" s="326" t="str">
        <f t="shared" si="22"/>
        <v/>
      </c>
    </row>
    <row r="50" spans="2:13">
      <c r="B50" s="16" t="s">
        <v>68</v>
      </c>
    </row>
    <row r="51" spans="2:13">
      <c r="B51" s="40" t="s">
        <v>39</v>
      </c>
      <c r="C51" s="326">
        <f t="shared" ref="C51:M51" si="23">IF(C$4="","",-C12)</f>
        <v>-2955080</v>
      </c>
      <c r="D51" s="326">
        <f t="shared" si="23"/>
        <v>-1707108</v>
      </c>
      <c r="E51" s="326">
        <f t="shared" si="23"/>
        <v>-694326</v>
      </c>
      <c r="F51" s="326">
        <f t="shared" si="23"/>
        <v>-603756</v>
      </c>
      <c r="G51" s="326">
        <f t="shared" si="23"/>
        <v>-1964</v>
      </c>
      <c r="H51" s="326">
        <f t="shared" si="23"/>
        <v>-2618</v>
      </c>
      <c r="I51" s="326">
        <f t="shared" si="23"/>
        <v>-3273</v>
      </c>
      <c r="J51" s="326">
        <f t="shared" si="23"/>
        <v>0</v>
      </c>
      <c r="K51" s="326">
        <f t="shared" si="23"/>
        <v>0</v>
      </c>
      <c r="L51" s="326">
        <f t="shared" si="23"/>
        <v>0</v>
      </c>
      <c r="M51" s="326" t="str">
        <f t="shared" si="23"/>
        <v/>
      </c>
    </row>
    <row r="52" spans="2:13">
      <c r="B52" s="40" t="s">
        <v>67</v>
      </c>
      <c r="C52" s="326">
        <f t="shared" ref="C52:M52" si="24">IF(C$4="","",C13)</f>
        <v>621439989</v>
      </c>
      <c r="D52" s="326">
        <f t="shared" si="24"/>
        <v>765369577</v>
      </c>
      <c r="E52" s="326">
        <f t="shared" si="24"/>
        <v>645806427</v>
      </c>
      <c r="F52" s="326">
        <f t="shared" si="24"/>
        <v>433923396</v>
      </c>
      <c r="G52" s="326">
        <f t="shared" si="24"/>
        <v>104495154</v>
      </c>
      <c r="H52" s="326">
        <f t="shared" si="24"/>
        <v>77589504</v>
      </c>
      <c r="I52" s="326">
        <f t="shared" si="24"/>
        <v>69133580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8812.8943639900008</v>
      </c>
      <c r="D57" s="341">
        <f t="shared" si="27"/>
        <v>12276.83537226</v>
      </c>
      <c r="E57" s="341">
        <f t="shared" si="27"/>
        <v>11766.43425561</v>
      </c>
      <c r="F57" s="341">
        <f t="shared" si="27"/>
        <v>9404.7461288600007</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-228643539.894364</v>
      </c>
      <c r="D58" s="341">
        <f t="shared" ref="D58:M58" si="28">IF(D$4="","",D44-D55-D56-D57)</f>
        <v>233502399.16462773</v>
      </c>
      <c r="E58" s="341">
        <f t="shared" si="28"/>
        <v>155498586.5657444</v>
      </c>
      <c r="F58" s="341">
        <f t="shared" si="28"/>
        <v>199203093.25387114</v>
      </c>
      <c r="G58" s="341">
        <f t="shared" si="28"/>
        <v>2533886587</v>
      </c>
      <c r="H58" s="341">
        <f t="shared" si="28"/>
        <v>1102751055</v>
      </c>
      <c r="I58" s="341">
        <f t="shared" si="28"/>
        <v>1026657608</v>
      </c>
      <c r="J58" s="341">
        <f t="shared" si="28"/>
        <v>682625937</v>
      </c>
      <c r="K58" s="341">
        <f t="shared" si="28"/>
        <v>541839246</v>
      </c>
      <c r="L58" s="341">
        <f t="shared" si="28"/>
        <v>787623235</v>
      </c>
      <c r="M58" s="341" t="str">
        <f t="shared" si="28"/>
        <v/>
      </c>
    </row>
    <row r="60" spans="2:13">
      <c r="B60" s="16" t="s">
        <v>51</v>
      </c>
      <c r="C60" s="9"/>
    </row>
    <row r="61" spans="2:13">
      <c r="B61" s="27" t="s">
        <v>47</v>
      </c>
      <c r="C61" s="326">
        <f>IF(C$4="","",-C19)</f>
        <v>-697421786</v>
      </c>
      <c r="D61" s="326">
        <f t="shared" ref="D61:M61" si="29">IF(D$4="","",-D19)</f>
        <v>-730011100</v>
      </c>
      <c r="E61" s="326">
        <f t="shared" si="29"/>
        <v>-752915036</v>
      </c>
      <c r="F61" s="326">
        <f t="shared" si="29"/>
        <v>-759253984</v>
      </c>
      <c r="G61" s="326">
        <f t="shared" si="29"/>
        <v>-782849742</v>
      </c>
      <c r="H61" s="326">
        <f t="shared" si="29"/>
        <v>-776102930</v>
      </c>
      <c r="I61" s="326">
        <f t="shared" si="29"/>
        <v>-757446024</v>
      </c>
      <c r="J61" s="326">
        <f t="shared" si="29"/>
        <v>0</v>
      </c>
      <c r="K61" s="326">
        <f t="shared" si="29"/>
        <v>0</v>
      </c>
      <c r="L61" s="326">
        <f t="shared" si="29"/>
        <v>0</v>
      </c>
      <c r="M61" s="326" t="str">
        <f t="shared" si="29"/>
        <v/>
      </c>
    </row>
    <row r="62" spans="2:13">
      <c r="B62" s="27" t="s">
        <v>53</v>
      </c>
      <c r="C62" s="326">
        <f>IF(C$4="","",IF(C20=0,C61,-C20))</f>
        <v>-697421786</v>
      </c>
      <c r="D62" s="326">
        <f t="shared" ref="D62:M62" si="30">IF(D$4="","",IF(D20=0,D61,-D20))</f>
        <v>-730011100</v>
      </c>
      <c r="E62" s="326">
        <f t="shared" si="30"/>
        <v>-752915036</v>
      </c>
      <c r="F62" s="326">
        <f t="shared" si="30"/>
        <v>-759253984</v>
      </c>
      <c r="G62" s="326">
        <f t="shared" si="30"/>
        <v>-782849742</v>
      </c>
      <c r="H62" s="326">
        <f t="shared" si="30"/>
        <v>-776102930</v>
      </c>
      <c r="I62" s="326">
        <f t="shared" si="30"/>
        <v>-757446024</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-3723339340</v>
      </c>
      <c r="D64" s="326">
        <f t="shared" ref="D64:M64" si="32">IF(D$4="","",D22+D23+D24)</f>
        <v>1182917250</v>
      </c>
      <c r="E64" s="326">
        <f t="shared" si="32"/>
        <v>3172349437</v>
      </c>
      <c r="F64" s="326">
        <f t="shared" si="32"/>
        <v>13607011984</v>
      </c>
      <c r="G64" s="326">
        <f t="shared" si="32"/>
        <v>2946711630</v>
      </c>
      <c r="H64" s="326">
        <f t="shared" si="32"/>
        <v>681526154</v>
      </c>
      <c r="I64" s="326">
        <f t="shared" si="32"/>
        <v>1866047655</v>
      </c>
      <c r="J64" s="326">
        <f t="shared" si="32"/>
        <v>-694968571</v>
      </c>
      <c r="K64" s="326">
        <f t="shared" si="32"/>
        <v>-2256367659</v>
      </c>
      <c r="L64" s="326">
        <f t="shared" si="32"/>
        <v>362136427</v>
      </c>
      <c r="M64" s="326"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67345265219.619995</v>
      </c>
      <c r="D76" s="341">
        <f t="shared" ref="D76:M76" si="39">IF(D$4="","",D79+D80)</f>
        <v>69792287456</v>
      </c>
      <c r="E76" s="341">
        <f t="shared" si="39"/>
        <v>67964247135</v>
      </c>
      <c r="F76" s="341">
        <f t="shared" si="39"/>
        <v>67798704194</v>
      </c>
      <c r="G76" s="341">
        <f t="shared" si="39"/>
        <v>53866259307</v>
      </c>
      <c r="H76" s="341">
        <f t="shared" si="39"/>
        <v>53455037841</v>
      </c>
      <c r="I76" s="341">
        <f t="shared" si="39"/>
        <v>49563767816</v>
      </c>
      <c r="J76" s="341">
        <f t="shared" si="39"/>
        <v>43258140702</v>
      </c>
      <c r="K76" s="341">
        <f t="shared" si="39"/>
        <v>38804062249</v>
      </c>
      <c r="L76" s="341">
        <f t="shared" si="39"/>
        <v>33860320967</v>
      </c>
      <c r="M76" s="341" t="str">
        <f t="shared" si="39"/>
        <v/>
      </c>
    </row>
    <row r="77" spans="2:13">
      <c r="B77" s="93" t="s">
        <v>86</v>
      </c>
      <c r="C77" s="336">
        <f t="shared" ref="C77:H78" si="40">IF(C$4="","",C28)</f>
        <v>1530297140.1800001</v>
      </c>
      <c r="D77" s="336">
        <f t="shared" si="40"/>
        <v>530005754</v>
      </c>
      <c r="E77" s="336">
        <f t="shared" si="40"/>
        <v>571147623</v>
      </c>
      <c r="F77" s="336">
        <f t="shared" si="40"/>
        <v>665097278</v>
      </c>
      <c r="G77" s="336">
        <f t="shared" si="40"/>
        <v>617721565</v>
      </c>
      <c r="H77" s="336">
        <f t="shared" si="40"/>
        <v>675347400</v>
      </c>
      <c r="I77" s="342"/>
      <c r="J77" s="342"/>
      <c r="K77" s="342"/>
      <c r="L77" s="342"/>
      <c r="M77" s="342"/>
    </row>
    <row r="78" spans="2:13">
      <c r="B78" s="93" t="s">
        <v>87</v>
      </c>
      <c r="C78" s="336">
        <f t="shared" si="40"/>
        <v>19732881051.73</v>
      </c>
      <c r="D78" s="336">
        <f t="shared" si="40"/>
        <v>18954235402</v>
      </c>
      <c r="E78" s="336">
        <f t="shared" si="40"/>
        <v>17729258967</v>
      </c>
      <c r="F78" s="336">
        <f t="shared" si="40"/>
        <v>16803093442</v>
      </c>
      <c r="G78" s="336">
        <f t="shared" si="40"/>
        <v>14852694146</v>
      </c>
      <c r="H78" s="336">
        <f t="shared" si="40"/>
        <v>14433244696</v>
      </c>
      <c r="I78" s="342"/>
      <c r="J78" s="342"/>
      <c r="K78" s="342"/>
      <c r="L78" s="342"/>
      <c r="M78" s="342"/>
    </row>
    <row r="79" spans="2:13">
      <c r="B79" s="26" t="s">
        <v>40</v>
      </c>
      <c r="C79" s="326">
        <f t="shared" ref="C79:M79" si="41">IF(C$4="","",C30)</f>
        <v>15652219365.74</v>
      </c>
      <c r="D79" s="326">
        <f t="shared" si="41"/>
        <v>17742423481</v>
      </c>
      <c r="E79" s="326">
        <f t="shared" si="41"/>
        <v>20439798531</v>
      </c>
      <c r="F79" s="326">
        <f t="shared" si="41"/>
        <v>25317393936</v>
      </c>
      <c r="G79" s="326">
        <f t="shared" si="41"/>
        <v>15396606230</v>
      </c>
      <c r="H79" s="326">
        <f t="shared" si="41"/>
        <v>16963485271</v>
      </c>
      <c r="I79" s="326">
        <f t="shared" si="41"/>
        <v>15939249286</v>
      </c>
      <c r="J79" s="326">
        <f t="shared" si="41"/>
        <v>13763271610</v>
      </c>
      <c r="K79" s="326">
        <f t="shared" si="41"/>
        <v>12767076382</v>
      </c>
      <c r="L79" s="326">
        <f t="shared" si="41"/>
        <v>10918840106</v>
      </c>
      <c r="M79" s="326" t="str">
        <f t="shared" si="41"/>
        <v/>
      </c>
    </row>
    <row r="80" spans="2:13">
      <c r="B80" s="26" t="s">
        <v>30</v>
      </c>
      <c r="C80" s="326">
        <f t="shared" ref="C80:M80" si="42">IF(C$4="","",C31)</f>
        <v>51693045853.879997</v>
      </c>
      <c r="D80" s="326">
        <f t="shared" si="42"/>
        <v>52049863975</v>
      </c>
      <c r="E80" s="326">
        <f t="shared" si="42"/>
        <v>47524448604</v>
      </c>
      <c r="F80" s="326">
        <f t="shared" si="42"/>
        <v>42481310258</v>
      </c>
      <c r="G80" s="326">
        <f t="shared" si="42"/>
        <v>38469653077</v>
      </c>
      <c r="H80" s="326">
        <f t="shared" si="42"/>
        <v>36491552570</v>
      </c>
      <c r="I80" s="326">
        <f t="shared" si="42"/>
        <v>33624518530</v>
      </c>
      <c r="J80" s="326">
        <f t="shared" si="42"/>
        <v>29494869092</v>
      </c>
      <c r="K80" s="326">
        <f t="shared" si="42"/>
        <v>26036985867</v>
      </c>
      <c r="L80" s="326">
        <f t="shared" si="42"/>
        <v>22941480861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3">
        <v>0.6</v>
      </c>
      <c r="E4" s="25"/>
      <c r="F4" s="4" t="s">
        <v>78</v>
      </c>
      <c r="G4" s="19">
        <v>21748297978.369999</v>
      </c>
      <c r="H4" s="263">
        <v>0.9</v>
      </c>
    </row>
    <row r="5" spans="2:8" ht="15" customHeight="1">
      <c r="B5" s="1" t="s">
        <v>33</v>
      </c>
      <c r="C5" s="19">
        <v>0</v>
      </c>
      <c r="D5" s="263">
        <v>0.6</v>
      </c>
      <c r="E5" s="25"/>
      <c r="F5" s="1" t="s">
        <v>29</v>
      </c>
      <c r="G5" s="19">
        <v>0</v>
      </c>
      <c r="H5" s="263">
        <v>0.7</v>
      </c>
    </row>
    <row r="6" spans="2:8" ht="15" customHeight="1">
      <c r="B6" s="4" t="s">
        <v>10</v>
      </c>
      <c r="C6" s="19">
        <v>19732881051.73</v>
      </c>
      <c r="D6" s="263">
        <v>0.5</v>
      </c>
      <c r="E6" s="25"/>
      <c r="F6" s="4" t="s">
        <v>178</v>
      </c>
      <c r="G6" s="19">
        <v>0</v>
      </c>
      <c r="H6" s="263">
        <v>0.6</v>
      </c>
    </row>
    <row r="7" spans="2:8" ht="15" customHeight="1">
      <c r="B7" s="1" t="s">
        <v>69</v>
      </c>
      <c r="C7" s="19">
        <v>0</v>
      </c>
      <c r="D7" s="263">
        <v>0.6</v>
      </c>
      <c r="E7" s="25"/>
      <c r="F7" s="4" t="s">
        <v>179</v>
      </c>
      <c r="G7" s="19">
        <v>6380145437.1400003</v>
      </c>
      <c r="H7" s="263">
        <v>0.6</v>
      </c>
    </row>
    <row r="8" spans="2:8" ht="15" customHeight="1">
      <c r="B8" s="1" t="s">
        <v>174</v>
      </c>
      <c r="C8" s="19">
        <v>0</v>
      </c>
      <c r="D8" s="263">
        <v>0.6</v>
      </c>
      <c r="E8" s="25"/>
      <c r="F8" s="1" t="s">
        <v>180</v>
      </c>
      <c r="G8" s="19">
        <v>0</v>
      </c>
      <c r="H8" s="263">
        <v>0.6</v>
      </c>
    </row>
    <row r="9" spans="2:8" ht="15" customHeight="1">
      <c r="B9" s="4" t="s">
        <v>25</v>
      </c>
      <c r="C9" s="19">
        <v>23310180.68</v>
      </c>
      <c r="D9" s="263">
        <v>0.1</v>
      </c>
      <c r="E9" s="25"/>
      <c r="F9" s="4" t="s">
        <v>181</v>
      </c>
      <c r="G9" s="19">
        <v>0</v>
      </c>
      <c r="H9" s="263">
        <v>0.6</v>
      </c>
    </row>
    <row r="10" spans="2:8" ht="15" customHeight="1">
      <c r="B10" s="4" t="s">
        <v>11</v>
      </c>
      <c r="C10" s="19">
        <v>0</v>
      </c>
      <c r="D10" s="263">
        <v>0.9</v>
      </c>
      <c r="H10" s="264"/>
    </row>
    <row r="11" spans="2:8" ht="15" customHeight="1">
      <c r="B11" s="4" t="s">
        <v>12</v>
      </c>
      <c r="C11" s="19">
        <v>909932715.44000006</v>
      </c>
      <c r="D11" s="263">
        <v>0.05</v>
      </c>
      <c r="H11" s="264"/>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4614148799.21</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5571618070.98+1912601220.28+66814914.62</f>
        <v>7551034205.8799992</v>
      </c>
      <c r="D19" s="263">
        <v>0.1</v>
      </c>
      <c r="F19" s="4" t="s">
        <v>183</v>
      </c>
      <c r="G19" s="19">
        <v>1235408741.8699999</v>
      </c>
      <c r="H19" s="263">
        <v>0.1</v>
      </c>
    </row>
    <row r="20" spans="2:8" ht="15" customHeight="1">
      <c r="B20" s="4" t="s">
        <v>18</v>
      </c>
      <c r="C20" s="19">
        <v>0</v>
      </c>
      <c r="D20" s="263">
        <v>0.05</v>
      </c>
      <c r="F20" s="4" t="s">
        <v>180</v>
      </c>
      <c r="G20" s="19">
        <v>0</v>
      </c>
      <c r="H20" s="263">
        <v>0.2</v>
      </c>
    </row>
    <row r="21" spans="2:8" ht="15" customHeight="1">
      <c r="B21" s="4" t="s">
        <v>19</v>
      </c>
      <c r="C21" s="19">
        <v>1804220059.96</v>
      </c>
      <c r="D21" s="263">
        <v>0.05</v>
      </c>
      <c r="F21" s="1" t="s">
        <v>181</v>
      </c>
      <c r="G21" s="19">
        <v>0</v>
      </c>
      <c r="H21" s="263">
        <v>0.1</v>
      </c>
    </row>
    <row r="22" spans="2:8" ht="15" customHeight="1">
      <c r="B22" s="4" t="s">
        <v>20</v>
      </c>
      <c r="C22" s="19">
        <f>1242507668.92+180606719.81</f>
        <v>1423114388.73</v>
      </c>
      <c r="D22" s="263">
        <v>0.9</v>
      </c>
      <c r="H22" s="264"/>
    </row>
    <row r="23" spans="2:8" ht="15" customHeight="1">
      <c r="B23" s="4" t="s">
        <v>21</v>
      </c>
      <c r="C23" s="19">
        <f>276001989.95+116472530.48</f>
        <v>392474520.43000001</v>
      </c>
      <c r="D23" s="263">
        <v>0</v>
      </c>
      <c r="H23" s="264"/>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-2260503650</v>
      </c>
      <c r="D73" s="76">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262"/>
      <c r="D75" s="261">
        <f>MAX(-D73*D76,G5)</f>
        <v>4132096962.3760357</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 activePane="bottomRight" state="frozen"/>
      <selection pane="topRight" activeCell="C1" sqref="C1"/>
      <selection pane="bottomLeft" activeCell="A2" sqref="A2"/>
      <selection pane="bottomRight" activeCell="C16" sqref="C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AVERAGE(G4:J4)*0.85</f>
        <v>24959750399.112499</v>
      </c>
      <c r="D4" s="57"/>
      <c r="E4" s="268"/>
      <c r="F4" s="57"/>
      <c r="G4" s="326">
        <f>Data!C36</f>
        <v>28876296994</v>
      </c>
      <c r="H4" s="326">
        <f>Data!D36</f>
        <v>33126277552</v>
      </c>
      <c r="I4" s="326">
        <f>Data!E36</f>
        <v>30104896187</v>
      </c>
      <c r="J4" s="326">
        <f>Data!F36</f>
        <v>25350178204</v>
      </c>
      <c r="K4" s="326">
        <f>Data!G36</f>
        <v>21101051132</v>
      </c>
      <c r="L4" s="326">
        <f>Data!H36</f>
        <v>23126476885</v>
      </c>
      <c r="M4" s="326">
        <f>Data!I36</f>
        <v>24159801995</v>
      </c>
      <c r="N4" s="326">
        <f>Data!J36</f>
        <v>19917942238</v>
      </c>
      <c r="O4" s="326">
        <f>Data!K36</f>
        <v>17183109620</v>
      </c>
      <c r="P4" s="326">
        <f>Data!L36</f>
        <v>16052444099</v>
      </c>
      <c r="Q4" s="326" t="str">
        <f>Data!M36</f>
        <v/>
      </c>
    </row>
    <row r="5" spans="1:17" ht="15.75" customHeight="1">
      <c r="A5" s="10"/>
      <c r="B5" s="2" t="s">
        <v>46</v>
      </c>
      <c r="C5" s="321">
        <f>C25</f>
        <v>-15639482394.506214</v>
      </c>
      <c r="E5" s="270"/>
      <c r="G5" s="326">
        <f t="shared" ref="G5:Q5" si="1">G25</f>
        <v>-18093543855</v>
      </c>
      <c r="H5" s="326">
        <f t="shared" si="1"/>
        <v>-18856444548</v>
      </c>
      <c r="I5" s="326">
        <f t="shared" si="1"/>
        <v>-16212986478</v>
      </c>
      <c r="J5" s="326">
        <f t="shared" si="1"/>
        <v>-13947744582</v>
      </c>
      <c r="K5" s="326">
        <f t="shared" si="1"/>
        <v>-11871354524</v>
      </c>
      <c r="L5" s="326">
        <f t="shared" si="1"/>
        <v>-12519553248</v>
      </c>
      <c r="M5" s="326">
        <f t="shared" si="1"/>
        <v>-12684573800</v>
      </c>
      <c r="N5" s="326">
        <f t="shared" si="1"/>
        <v>-10220465500</v>
      </c>
      <c r="O5" s="326">
        <f t="shared" si="1"/>
        <v>-8381548051</v>
      </c>
      <c r="P5" s="326">
        <f t="shared" si="1"/>
        <v>-8226870091</v>
      </c>
      <c r="Q5" s="326" t="str">
        <f t="shared" si="1"/>
        <v/>
      </c>
    </row>
    <row r="6" spans="1:17" ht="15.75" customHeight="1">
      <c r="A6" s="10"/>
      <c r="B6" s="31" t="s">
        <v>48</v>
      </c>
      <c r="C6" s="322">
        <f>C4+C5</f>
        <v>9320268004.6062851</v>
      </c>
      <c r="E6" s="270"/>
      <c r="G6" s="322">
        <f>IF(G4="","",G4+G5)</f>
        <v>10782753139</v>
      </c>
      <c r="H6" s="322">
        <f t="shared" ref="H6:Q6" si="2">IF(H4="","",H4+H5)</f>
        <v>14269833004</v>
      </c>
      <c r="I6" s="322">
        <f t="shared" si="2"/>
        <v>13891909709</v>
      </c>
      <c r="J6" s="322">
        <f t="shared" si="2"/>
        <v>11402433622</v>
      </c>
      <c r="K6" s="322">
        <f t="shared" si="2"/>
        <v>9229696608</v>
      </c>
      <c r="L6" s="322">
        <f t="shared" si="2"/>
        <v>10606923637</v>
      </c>
      <c r="M6" s="322">
        <f t="shared" si="2"/>
        <v>11475228195</v>
      </c>
      <c r="N6" s="322">
        <f t="shared" si="2"/>
        <v>9697476738</v>
      </c>
      <c r="O6" s="322">
        <f t="shared" si="2"/>
        <v>8801561569</v>
      </c>
      <c r="P6" s="322">
        <f t="shared" si="2"/>
        <v>7825574008</v>
      </c>
      <c r="Q6" s="322" t="str">
        <f t="shared" si="2"/>
        <v/>
      </c>
    </row>
    <row r="7" spans="1:17" ht="15.75" customHeight="1">
      <c r="A7" s="10"/>
      <c r="B7" s="8" t="s">
        <v>45</v>
      </c>
      <c r="C7" s="321">
        <f>C35</f>
        <v>-2150126143.75</v>
      </c>
      <c r="E7" s="270"/>
      <c r="G7" s="321">
        <f t="shared" ref="G7:Q7" si="3">G35</f>
        <v>-2029526709</v>
      </c>
      <c r="H7" s="321">
        <f t="shared" si="3"/>
        <v>-2049177030</v>
      </c>
      <c r="I7" s="321">
        <f t="shared" si="3"/>
        <v>-2189248272</v>
      </c>
      <c r="J7" s="321">
        <f t="shared" si="3"/>
        <v>-2088538242</v>
      </c>
      <c r="K7" s="321">
        <f t="shared" si="3"/>
        <v>-1989174493</v>
      </c>
      <c r="L7" s="321">
        <f t="shared" si="3"/>
        <v>-2016457321</v>
      </c>
      <c r="M7" s="321">
        <f t="shared" si="3"/>
        <v>-1731830321</v>
      </c>
      <c r="N7" s="321">
        <f t="shared" si="3"/>
        <v>-1532148107</v>
      </c>
      <c r="O7" s="321">
        <f t="shared" si="3"/>
        <v>-1582435251</v>
      </c>
      <c r="P7" s="321">
        <f t="shared" si="3"/>
        <v>-1447878279</v>
      </c>
      <c r="Q7" s="321" t="str">
        <f t="shared" si="3"/>
        <v/>
      </c>
    </row>
    <row r="8" spans="1:17" ht="15.75" customHeight="1">
      <c r="A8" s="10"/>
      <c r="B8" s="29" t="s">
        <v>153</v>
      </c>
      <c r="C8" s="323">
        <f>C6+C7</f>
        <v>7170141860.8562851</v>
      </c>
      <c r="D8" s="59"/>
      <c r="E8" s="276"/>
      <c r="F8" s="59"/>
      <c r="G8" s="322">
        <f>IF(G$4="","",G6+G7)</f>
        <v>8753226430</v>
      </c>
      <c r="H8" s="322">
        <f t="shared" ref="H8:Q8" si="4">IF(H$4="","",H6+H7)</f>
        <v>12220655974</v>
      </c>
      <c r="I8" s="322">
        <f t="shared" si="4"/>
        <v>11702661437</v>
      </c>
      <c r="J8" s="322">
        <f t="shared" si="4"/>
        <v>9313895380</v>
      </c>
      <c r="K8" s="322">
        <f t="shared" si="4"/>
        <v>7240522115</v>
      </c>
      <c r="L8" s="322">
        <f t="shared" si="4"/>
        <v>8590466316</v>
      </c>
      <c r="M8" s="322">
        <f t="shared" si="4"/>
        <v>9743397874</v>
      </c>
      <c r="N8" s="322">
        <f t="shared" si="4"/>
        <v>8165328631</v>
      </c>
      <c r="O8" s="322">
        <f t="shared" si="4"/>
        <v>7219126318</v>
      </c>
      <c r="P8" s="322">
        <f t="shared" si="4"/>
        <v>6377695729</v>
      </c>
      <c r="Q8" s="322" t="str">
        <f t="shared" si="4"/>
        <v/>
      </c>
    </row>
    <row r="9" spans="1:17" ht="15.75" customHeight="1">
      <c r="A9" s="10"/>
      <c r="B9" s="2" t="s">
        <v>65</v>
      </c>
      <c r="C9" s="321">
        <f>BS!$G$39*BS!D58</f>
        <v>697421786</v>
      </c>
      <c r="E9" s="270"/>
      <c r="G9" s="321">
        <f>IF(Data!C61="","",-Data!C61)</f>
        <v>697421786</v>
      </c>
      <c r="H9" s="321">
        <f>IF(Data!D61="","",-Data!D61)</f>
        <v>730011100</v>
      </c>
      <c r="I9" s="321">
        <f>IF(Data!E61="","",-Data!E61)</f>
        <v>752915036</v>
      </c>
      <c r="J9" s="321">
        <f>IF(Data!F61="","",-Data!F61)</f>
        <v>759253984</v>
      </c>
      <c r="K9" s="321">
        <f>IF(Data!G61="","",-Data!G61)</f>
        <v>782849742</v>
      </c>
      <c r="L9" s="321">
        <f>IF(Data!H61="","",-Data!H61)</f>
        <v>776102930</v>
      </c>
      <c r="M9" s="321">
        <f>IF(Data!I61="","",-Data!I61)</f>
        <v>757446024</v>
      </c>
      <c r="N9" s="321">
        <f>IF(Data!J61="","",-Data!J61)</f>
        <v>0</v>
      </c>
      <c r="O9" s="321">
        <f>IF(Data!K61="","",-Data!K61)</f>
        <v>0</v>
      </c>
      <c r="P9" s="321">
        <f>IF(Data!L61="","",-Data!L61)</f>
        <v>0</v>
      </c>
      <c r="Q9" s="321" t="str">
        <f>IF(Data!M61="","",-Data!M61)</f>
        <v/>
      </c>
    </row>
    <row r="10" spans="1:17" ht="15.75" customHeight="1">
      <c r="A10" s="10"/>
      <c r="B10" s="2" t="s">
        <v>81</v>
      </c>
      <c r="C10" s="321">
        <f>-C4*C78</f>
        <v>-697421786</v>
      </c>
      <c r="E10" s="270"/>
      <c r="G10" s="321">
        <f>Data!C62</f>
        <v>-697421786</v>
      </c>
      <c r="H10" s="321">
        <f>Data!D62</f>
        <v>-730011100</v>
      </c>
      <c r="I10" s="321">
        <f>Data!E62</f>
        <v>-752915036</v>
      </c>
      <c r="J10" s="321">
        <f>Data!F62</f>
        <v>-759253984</v>
      </c>
      <c r="K10" s="321">
        <f>Data!G62</f>
        <v>-782849742</v>
      </c>
      <c r="L10" s="321">
        <f>Data!H62</f>
        <v>-776102930</v>
      </c>
      <c r="M10" s="321">
        <f>Data!I62</f>
        <v>-757446024</v>
      </c>
      <c r="N10" s="321">
        <f>Data!J62</f>
        <v>0</v>
      </c>
      <c r="O10" s="321">
        <f>Data!K62</f>
        <v>0</v>
      </c>
      <c r="P10" s="321">
        <f>Data!L62</f>
        <v>0</v>
      </c>
      <c r="Q10" s="321" t="str">
        <f>Data!M62</f>
        <v/>
      </c>
    </row>
    <row r="11" spans="1:17" ht="15.75" customHeight="1">
      <c r="A11" s="10"/>
      <c r="B11" s="31" t="s">
        <v>195</v>
      </c>
      <c r="C11" s="324">
        <f>C63</f>
        <v>0</v>
      </c>
      <c r="D11" s="168"/>
      <c r="E11" s="269"/>
      <c r="F11" s="168"/>
      <c r="G11" s="327">
        <f>G61</f>
        <v>8812.8943639900008</v>
      </c>
      <c r="H11" s="327">
        <f t="shared" ref="H11:Q11" si="5">H61</f>
        <v>12276.83537226</v>
      </c>
      <c r="I11" s="327">
        <f t="shared" si="5"/>
        <v>11766.43425561</v>
      </c>
      <c r="J11" s="327">
        <f t="shared" si="5"/>
        <v>9404.7461288600007</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115116241.87538444</v>
      </c>
      <c r="E12" s="270"/>
      <c r="G12" s="321">
        <f>G50</f>
        <v>115116241.87538444</v>
      </c>
      <c r="H12" s="321">
        <f t="shared" ref="H12:Q12" si="6">H50</f>
        <v>143710308.45080042</v>
      </c>
      <c r="I12" s="321">
        <f t="shared" si="6"/>
        <v>122006529.85288745</v>
      </c>
      <c r="J12" s="321">
        <f t="shared" si="6"/>
        <v>81840099.988121659</v>
      </c>
      <c r="K12" s="321">
        <f t="shared" si="6"/>
        <v>19851732.544706695</v>
      </c>
      <c r="L12" s="321">
        <f t="shared" si="6"/>
        <v>14739103.587111169</v>
      </c>
      <c r="M12" s="321">
        <f t="shared" si="6"/>
        <v>13131853.997077813</v>
      </c>
      <c r="N12" s="321">
        <f t="shared" si="6"/>
        <v>0</v>
      </c>
      <c r="O12" s="321">
        <f t="shared" si="6"/>
        <v>0</v>
      </c>
      <c r="P12" s="321">
        <f t="shared" si="6"/>
        <v>0</v>
      </c>
      <c r="Q12" s="321" t="str">
        <f t="shared" si="6"/>
        <v/>
      </c>
    </row>
    <row r="13" spans="1:17" ht="15.75" customHeight="1">
      <c r="A13" s="10"/>
      <c r="B13" s="70" t="s">
        <v>165</v>
      </c>
      <c r="C13" s="322">
        <f>SUM(C8:C12)</f>
        <v>7285258102.7316694</v>
      </c>
      <c r="E13" s="270"/>
      <c r="G13" s="322">
        <f>IF(G$4="","",SUM(G8:G12))</f>
        <v>8868351484.7697487</v>
      </c>
      <c r="H13" s="322">
        <f t="shared" ref="H13:Q13" si="7">IF(H$4="","",SUM(H8:H12))</f>
        <v>12364378559.286173</v>
      </c>
      <c r="I13" s="322">
        <f t="shared" si="7"/>
        <v>11824679733.287144</v>
      </c>
      <c r="J13" s="322">
        <f t="shared" si="7"/>
        <v>9395744884.7342491</v>
      </c>
      <c r="K13" s="322">
        <f t="shared" si="7"/>
        <v>7260373847.5447063</v>
      </c>
      <c r="L13" s="322">
        <f t="shared" si="7"/>
        <v>8605205419.5871105</v>
      </c>
      <c r="M13" s="322">
        <f t="shared" si="7"/>
        <v>9756529727.9970779</v>
      </c>
      <c r="N13" s="322">
        <f t="shared" si="7"/>
        <v>8165328631</v>
      </c>
      <c r="O13" s="322">
        <f t="shared" si="7"/>
        <v>7219126318</v>
      </c>
      <c r="P13" s="322">
        <f t="shared" si="7"/>
        <v>6377695729</v>
      </c>
      <c r="Q13" s="322" t="str">
        <f t="shared" si="7"/>
        <v/>
      </c>
    </row>
    <row r="14" spans="1:17" ht="15.75" customHeight="1">
      <c r="A14" s="10"/>
      <c r="B14" s="2" t="s">
        <v>63</v>
      </c>
      <c r="C14" s="321">
        <f>-SUM(C8+C11,C12)*C43</f>
        <v>-1821314525.6829174</v>
      </c>
      <c r="E14" s="270"/>
      <c r="G14" s="321">
        <f>Data!C46</f>
        <v>-2476620792</v>
      </c>
      <c r="H14" s="321">
        <f>Data!D46</f>
        <v>-3197064563</v>
      </c>
      <c r="I14" s="321">
        <f>Data!E46</f>
        <v>-3113885720</v>
      </c>
      <c r="J14" s="321">
        <f>Data!F46</f>
        <v>-2433610121</v>
      </c>
      <c r="K14" s="321">
        <f>Data!G46</f>
        <v>-2394295578</v>
      </c>
      <c r="L14" s="321">
        <f>Data!H46</f>
        <v>-2384713342</v>
      </c>
      <c r="M14" s="321">
        <f>Data!I46</f>
        <v>-2723855894</v>
      </c>
      <c r="N14" s="321">
        <f>Data!J46</f>
        <v>-2229168424</v>
      </c>
      <c r="O14" s="321">
        <f>Data!K46</f>
        <v>-1956036450</v>
      </c>
      <c r="P14" s="321">
        <f>Data!L46</f>
        <v>-1800119666</v>
      </c>
      <c r="Q14" s="321" t="str">
        <f>Data!M46</f>
        <v/>
      </c>
    </row>
    <row r="15" spans="1:17" ht="15.75" customHeight="1">
      <c r="A15" s="10"/>
      <c r="B15" s="40" t="s">
        <v>244</v>
      </c>
      <c r="C15" s="321">
        <f>-C4*C83</f>
        <v>-9589072.5451227482</v>
      </c>
      <c r="D15" s="60"/>
      <c r="E15" s="277"/>
      <c r="F15" s="60"/>
      <c r="G15" s="326">
        <f>Data!C48</f>
        <v>0</v>
      </c>
      <c r="H15" s="326">
        <f>Data!D48</f>
        <v>-4838516</v>
      </c>
      <c r="I15" s="326">
        <f>Data!E48</f>
        <v>-11565742</v>
      </c>
      <c r="J15" s="326">
        <f>Data!F48</f>
        <v>-5134600</v>
      </c>
      <c r="K15" s="326">
        <f>Data!G48</f>
        <v>-2377680</v>
      </c>
      <c r="L15" s="326">
        <f>Data!H48</f>
        <v>-3268188</v>
      </c>
      <c r="M15" s="326">
        <f>Data!I48</f>
        <v>-140100</v>
      </c>
      <c r="N15" s="326">
        <f>Data!J48</f>
        <v>0</v>
      </c>
      <c r="O15" s="326">
        <f>Data!K48</f>
        <v>0</v>
      </c>
      <c r="P15" s="326">
        <f>Data!L48</f>
        <v>-13763</v>
      </c>
      <c r="Q15" s="326" t="str">
        <f>Data!M48</f>
        <v/>
      </c>
    </row>
    <row r="16" spans="1:17" ht="15.75" customHeight="1">
      <c r="A16" s="10"/>
      <c r="B16" s="41" t="s">
        <v>155</v>
      </c>
      <c r="C16" s="325">
        <f>SUM(C13:C15)</f>
        <v>5454354504.5036287</v>
      </c>
      <c r="D16" s="61"/>
      <c r="E16" s="278"/>
      <c r="F16" s="61"/>
      <c r="G16" s="322">
        <f>IF(G$4="","",SUM(G13:G15))</f>
        <v>6391730692.7697487</v>
      </c>
      <c r="H16" s="322">
        <f t="shared" ref="H16:Q16" si="8">IF(H$4="","",SUM(H13:H15))</f>
        <v>9162475480.2861729</v>
      </c>
      <c r="I16" s="322">
        <f t="shared" si="8"/>
        <v>8699228271.2871437</v>
      </c>
      <c r="J16" s="322">
        <f t="shared" si="8"/>
        <v>6957000163.7342491</v>
      </c>
      <c r="K16" s="322">
        <f t="shared" si="8"/>
        <v>4863700589.5447063</v>
      </c>
      <c r="L16" s="322">
        <f t="shared" si="8"/>
        <v>6217223889.5871105</v>
      </c>
      <c r="M16" s="322">
        <f t="shared" si="8"/>
        <v>7032533733.9970779</v>
      </c>
      <c r="N16" s="322">
        <f t="shared" si="8"/>
        <v>5936160207</v>
      </c>
      <c r="O16" s="322">
        <f t="shared" si="8"/>
        <v>5263089868</v>
      </c>
      <c r="P16" s="322">
        <f t="shared" si="8"/>
        <v>4577562300</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5454354504.5036287</v>
      </c>
      <c r="D19" s="27"/>
      <c r="E19" s="267"/>
      <c r="F19" s="27"/>
      <c r="G19" s="327">
        <f>IF(G$4="","",G16+G17)</f>
        <v>6391730692.7697487</v>
      </c>
      <c r="H19" s="327">
        <f t="shared" ref="H19:Q19" si="9">IF(H$4="","",H16+H17)</f>
        <v>9162475480.2861729</v>
      </c>
      <c r="I19" s="327">
        <f t="shared" si="9"/>
        <v>8699228271.2871437</v>
      </c>
      <c r="J19" s="327">
        <f t="shared" si="9"/>
        <v>6957000163.7342491</v>
      </c>
      <c r="K19" s="327">
        <f t="shared" si="9"/>
        <v>4863700589.5447063</v>
      </c>
      <c r="L19" s="327">
        <f t="shared" si="9"/>
        <v>6217223889.5871105</v>
      </c>
      <c r="M19" s="327">
        <f t="shared" si="9"/>
        <v>7032533733.9970779</v>
      </c>
      <c r="N19" s="327">
        <f t="shared" si="9"/>
        <v>5936160207</v>
      </c>
      <c r="O19" s="327">
        <f t="shared" si="9"/>
        <v>5263089868</v>
      </c>
      <c r="P19" s="327">
        <f t="shared" si="9"/>
        <v>4577562300</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-10871421681.812622</v>
      </c>
      <c r="D23" s="58"/>
      <c r="E23" s="269"/>
      <c r="F23" s="58"/>
      <c r="G23" s="326">
        <f>Data!C37</f>
        <v>-12577305310</v>
      </c>
      <c r="H23" s="326">
        <f>Data!D37</f>
        <v>-13469490847</v>
      </c>
      <c r="I23" s="326">
        <f>Data!E37</f>
        <v>-12033845670</v>
      </c>
      <c r="J23" s="326">
        <f>Data!F37</f>
        <v>-10403379692</v>
      </c>
      <c r="K23" s="326">
        <f>Data!G37</f>
        <v>-9267550366</v>
      </c>
      <c r="L23" s="326">
        <f>Data!H37</f>
        <v>-9827842077</v>
      </c>
      <c r="M23" s="326">
        <f>Data!I37</f>
        <v>-10123172172</v>
      </c>
      <c r="N23" s="326">
        <f>Data!J37</f>
        <v>-7833018393</v>
      </c>
      <c r="O23" s="326">
        <f>Data!K37</f>
        <v>-6512546229</v>
      </c>
      <c r="P23" s="326">
        <f>Data!L37</f>
        <v>-6344463294</v>
      </c>
      <c r="Q23" s="326" t="str">
        <f>Data!M37</f>
        <v/>
      </c>
    </row>
    <row r="24" spans="1:17" ht="15.75" customHeight="1">
      <c r="A24" s="10"/>
      <c r="B24" s="68" t="s">
        <v>62</v>
      </c>
      <c r="C24" s="321">
        <f>-C4*C29</f>
        <v>-4768060712.693593</v>
      </c>
      <c r="D24" s="27"/>
      <c r="E24" s="267"/>
      <c r="F24" s="27"/>
      <c r="G24" s="326">
        <f>Data!C40</f>
        <v>-5516238545</v>
      </c>
      <c r="H24" s="326">
        <f>Data!D40</f>
        <v>-5386953701</v>
      </c>
      <c r="I24" s="326">
        <f>Data!E40</f>
        <v>-4179140808</v>
      </c>
      <c r="J24" s="326">
        <f>Data!F40</f>
        <v>-3544364890</v>
      </c>
      <c r="K24" s="326">
        <f>Data!G40</f>
        <v>-2603804158</v>
      </c>
      <c r="L24" s="326">
        <f>Data!H40</f>
        <v>-2691711171</v>
      </c>
      <c r="M24" s="326">
        <f>Data!I40</f>
        <v>-2561401628</v>
      </c>
      <c r="N24" s="326">
        <f>Data!J40</f>
        <v>-2387447107</v>
      </c>
      <c r="O24" s="326">
        <f>Data!K40</f>
        <v>-1869001822</v>
      </c>
      <c r="P24" s="326">
        <f>Data!L40</f>
        <v>-1882406797</v>
      </c>
      <c r="Q24" s="326" t="str">
        <f>Data!M40</f>
        <v/>
      </c>
    </row>
    <row r="25" spans="1:17" ht="15.75" customHeight="1">
      <c r="A25" s="10"/>
      <c r="B25" s="70" t="s">
        <v>46</v>
      </c>
      <c r="C25" s="322">
        <f>C23+C24</f>
        <v>-15639482394.506214</v>
      </c>
      <c r="D25" s="9"/>
      <c r="E25" s="275"/>
      <c r="F25" s="9"/>
      <c r="G25" s="322">
        <f t="shared" ref="G25:Q25" si="10">IF(G$4="","",G23+G24)</f>
        <v>-18093543855</v>
      </c>
      <c r="H25" s="322">
        <f t="shared" si="10"/>
        <v>-18856444548</v>
      </c>
      <c r="I25" s="322">
        <f t="shared" si="10"/>
        <v>-16212986478</v>
      </c>
      <c r="J25" s="322">
        <f t="shared" si="10"/>
        <v>-13947744582</v>
      </c>
      <c r="K25" s="322">
        <f t="shared" si="10"/>
        <v>-11871354524</v>
      </c>
      <c r="L25" s="322">
        <f t="shared" si="10"/>
        <v>-12519553248</v>
      </c>
      <c r="M25" s="322">
        <f t="shared" si="10"/>
        <v>-12684573800</v>
      </c>
      <c r="N25" s="322">
        <f t="shared" si="10"/>
        <v>-10220465500</v>
      </c>
      <c r="O25" s="322">
        <f t="shared" si="10"/>
        <v>-8381548051</v>
      </c>
      <c r="P25" s="322">
        <f t="shared" si="10"/>
        <v>-8226870091</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0.43555810887432517</v>
      </c>
      <c r="D28" s="26"/>
      <c r="E28" s="268"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8"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70"/>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-1924730302</v>
      </c>
      <c r="E33" s="268" t="s">
        <v>334</v>
      </c>
      <c r="G33" s="321">
        <f>Data!C41</f>
        <v>-1924730302</v>
      </c>
      <c r="H33" s="321">
        <f>Data!D41</f>
        <v>-1764423149</v>
      </c>
      <c r="I33" s="321">
        <f>Data!E41</f>
        <v>-1935673296</v>
      </c>
      <c r="J33" s="321">
        <f>Data!F41</f>
        <v>-1830080139</v>
      </c>
      <c r="K33" s="321">
        <f>Data!G41</f>
        <v>-1729080202</v>
      </c>
      <c r="L33" s="321">
        <f>Data!H41</f>
        <v>-1856491727</v>
      </c>
      <c r="M33" s="321">
        <f>Data!I41</f>
        <v>-1704265103</v>
      </c>
      <c r="N33" s="321">
        <f>Data!J41</f>
        <v>-1532148107</v>
      </c>
      <c r="O33" s="321">
        <f>Data!K41</f>
        <v>-1582435251</v>
      </c>
      <c r="P33" s="321">
        <f>Data!L41</f>
        <v>-1447878279</v>
      </c>
      <c r="Q33" s="321" t="str">
        <f>Data!M41</f>
        <v/>
      </c>
    </row>
    <row r="34" spans="1:17" ht="15.75" customHeight="1">
      <c r="A34" s="10"/>
      <c r="B34" s="27" t="s">
        <v>49</v>
      </c>
      <c r="C34" s="331">
        <f>AVERAGE(G34:J34)</f>
        <v>-225395841.75</v>
      </c>
      <c r="D34" s="58"/>
      <c r="E34" s="268" t="s">
        <v>334</v>
      </c>
      <c r="F34" s="58"/>
      <c r="G34" s="326">
        <f>Data!C42</f>
        <v>-104796407</v>
      </c>
      <c r="H34" s="326">
        <f>Data!D42</f>
        <v>-284753881</v>
      </c>
      <c r="I34" s="326">
        <f>Data!E42</f>
        <v>-253574976</v>
      </c>
      <c r="J34" s="326">
        <f>Data!F42</f>
        <v>-258458103</v>
      </c>
      <c r="K34" s="326">
        <f>Data!G42</f>
        <v>-260094291</v>
      </c>
      <c r="L34" s="326">
        <f>Data!H42</f>
        <v>-159965594</v>
      </c>
      <c r="M34" s="326">
        <f>Data!I42</f>
        <v>-27565218</v>
      </c>
      <c r="N34" s="326">
        <f>Data!J42</f>
        <v>0</v>
      </c>
      <c r="O34" s="326">
        <f>Data!K42</f>
        <v>0</v>
      </c>
      <c r="P34" s="326">
        <f>Data!L42</f>
        <v>0</v>
      </c>
      <c r="Q34" s="326" t="str">
        <f>Data!M42</f>
        <v/>
      </c>
    </row>
    <row r="35" spans="1:17" ht="15.75" customHeight="1">
      <c r="A35" s="10"/>
      <c r="B35" s="70" t="s">
        <v>45</v>
      </c>
      <c r="C35" s="322">
        <f>C33+C34</f>
        <v>-2150126143.75</v>
      </c>
      <c r="D35" s="58"/>
      <c r="E35" s="269"/>
      <c r="F35" s="58"/>
      <c r="G35" s="322">
        <f t="shared" ref="G35:Q35" si="14">IF(G4="","",G33+G34)</f>
        <v>-2029526709</v>
      </c>
      <c r="H35" s="322">
        <f t="shared" si="14"/>
        <v>-2049177030</v>
      </c>
      <c r="I35" s="322">
        <f t="shared" si="14"/>
        <v>-2189248272</v>
      </c>
      <c r="J35" s="322">
        <f t="shared" si="14"/>
        <v>-2088538242</v>
      </c>
      <c r="K35" s="322">
        <f t="shared" si="14"/>
        <v>-1989174493</v>
      </c>
      <c r="L35" s="322">
        <f t="shared" si="14"/>
        <v>-2016457321</v>
      </c>
      <c r="M35" s="322">
        <f t="shared" si="14"/>
        <v>-1731830321</v>
      </c>
      <c r="N35" s="322">
        <f t="shared" si="14"/>
        <v>-1532148107</v>
      </c>
      <c r="O35" s="322">
        <f t="shared" si="14"/>
        <v>-1582435251</v>
      </c>
      <c r="P35" s="322">
        <f t="shared" si="14"/>
        <v>-1447878279</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7.711336336393966E-2</v>
      </c>
      <c r="D38" s="27"/>
      <c r="E38" s="267"/>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7"/>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70"/>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-2955080</v>
      </c>
      <c r="E47" s="270"/>
      <c r="G47" s="321">
        <f>Data!C51</f>
        <v>-2955080</v>
      </c>
      <c r="H47" s="321">
        <f>Data!D51</f>
        <v>-1707108</v>
      </c>
      <c r="I47" s="321">
        <f>Data!E51</f>
        <v>-694326</v>
      </c>
      <c r="J47" s="321">
        <f>Data!F51</f>
        <v>-603756</v>
      </c>
      <c r="K47" s="321">
        <f>Data!G51</f>
        <v>-1964</v>
      </c>
      <c r="L47" s="321">
        <f>Data!H51</f>
        <v>-2618</v>
      </c>
      <c r="M47" s="321">
        <f>Data!I51</f>
        <v>-3273</v>
      </c>
      <c r="N47" s="321">
        <f>Data!J51</f>
        <v>0</v>
      </c>
      <c r="O47" s="321">
        <f>Data!K51</f>
        <v>0</v>
      </c>
      <c r="P47" s="321">
        <f>Data!L51</f>
        <v>0</v>
      </c>
      <c r="Q47" s="321" t="str">
        <f>Data!M51</f>
        <v/>
      </c>
    </row>
    <row r="48" spans="1:17" ht="15.75" customHeight="1">
      <c r="A48" s="10"/>
      <c r="B48" s="2" t="s">
        <v>346</v>
      </c>
      <c r="C48" s="321">
        <f>BS!D75*C53</f>
        <v>118071321.87538444</v>
      </c>
      <c r="E48" s="270"/>
      <c r="G48" s="330">
        <f>IFERROR(IF(G$4="","",($C$48/$C$49)*G49),0)</f>
        <v>118071321.87538444</v>
      </c>
      <c r="H48" s="330">
        <f t="shared" ref="H48:Q48" si="19">IFERROR(IF(H$4="","",($C$48/$C$49)*H49),0)</f>
        <v>145417416.45080042</v>
      </c>
      <c r="I48" s="330">
        <f t="shared" si="19"/>
        <v>122700855.85288745</v>
      </c>
      <c r="J48" s="330">
        <f t="shared" si="19"/>
        <v>82443855.988121659</v>
      </c>
      <c r="K48" s="330">
        <f t="shared" si="19"/>
        <v>19853696.544706695</v>
      </c>
      <c r="L48" s="330">
        <f t="shared" si="19"/>
        <v>14741721.587111169</v>
      </c>
      <c r="M48" s="330">
        <f t="shared" si="19"/>
        <v>13135126.997077813</v>
      </c>
      <c r="N48" s="330">
        <f t="shared" si="19"/>
        <v>0</v>
      </c>
      <c r="O48" s="330">
        <f t="shared" si="19"/>
        <v>0</v>
      </c>
      <c r="P48" s="330">
        <f t="shared" si="19"/>
        <v>0</v>
      </c>
      <c r="Q48" s="330" t="str">
        <f t="shared" si="19"/>
        <v/>
      </c>
    </row>
    <row r="49" spans="1:17" ht="15.75" customHeight="1">
      <c r="A49" s="10"/>
      <c r="B49" s="289" t="s">
        <v>343</v>
      </c>
      <c r="C49" s="332">
        <f>BS!$C$66*C53</f>
        <v>621439989</v>
      </c>
      <c r="D49" s="290"/>
      <c r="E49" s="291"/>
      <c r="F49" s="290"/>
      <c r="G49" s="332">
        <f>Data!C52</f>
        <v>621439989</v>
      </c>
      <c r="H49" s="332">
        <f>Data!D52</f>
        <v>765369577</v>
      </c>
      <c r="I49" s="332">
        <f>Data!E52</f>
        <v>645806427</v>
      </c>
      <c r="J49" s="332">
        <f>Data!F52</f>
        <v>433923396</v>
      </c>
      <c r="K49" s="332">
        <f>Data!G52</f>
        <v>104495154</v>
      </c>
      <c r="L49" s="332">
        <f>Data!H52</f>
        <v>77589504</v>
      </c>
      <c r="M49" s="332">
        <f>Data!I52</f>
        <v>69133580</v>
      </c>
      <c r="N49" s="332">
        <f>Data!J52</f>
        <v>0</v>
      </c>
      <c r="O49" s="332">
        <f>Data!K52</f>
        <v>0</v>
      </c>
      <c r="P49" s="332">
        <f>Data!L52</f>
        <v>0</v>
      </c>
      <c r="Q49" s="332" t="str">
        <f>Data!M52</f>
        <v/>
      </c>
    </row>
    <row r="50" spans="1:17" ht="15.75" customHeight="1">
      <c r="A50" s="10"/>
      <c r="B50" s="70" t="s">
        <v>68</v>
      </c>
      <c r="C50" s="322">
        <f>C47+C48</f>
        <v>115116241.87538444</v>
      </c>
      <c r="E50" s="270"/>
      <c r="G50" s="322">
        <f>IF(G$4="","",(G47+G48))</f>
        <v>115116241.87538444</v>
      </c>
      <c r="H50" s="322">
        <f t="shared" ref="H50:Q50" si="20">IF(H$4="","",(H47+H48))</f>
        <v>143710308.45080042</v>
      </c>
      <c r="I50" s="322">
        <f t="shared" si="20"/>
        <v>122006529.85288745</v>
      </c>
      <c r="J50" s="322">
        <f t="shared" si="20"/>
        <v>81840099.988121659</v>
      </c>
      <c r="K50" s="322">
        <f t="shared" si="20"/>
        <v>19851732.544706695</v>
      </c>
      <c r="L50" s="322">
        <f t="shared" si="20"/>
        <v>14739103.587111169</v>
      </c>
      <c r="M50" s="322">
        <f t="shared" si="20"/>
        <v>13131853.997077813</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2.8574189558100579E-2</v>
      </c>
      <c r="E53" s="267"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7"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70"/>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8812.8943639900008</v>
      </c>
      <c r="H60" s="321">
        <f>Data!D57</f>
        <v>12276.83537226</v>
      </c>
      <c r="I60" s="321">
        <f>Data!E57</f>
        <v>11766.43425561</v>
      </c>
      <c r="J60" s="321">
        <f>Data!F57</f>
        <v>9404.7461288600007</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8812.8943639900008</v>
      </c>
      <c r="H61" s="322">
        <f t="shared" si="22"/>
        <v>12276.83537226</v>
      </c>
      <c r="I61" s="322">
        <f t="shared" si="22"/>
        <v>11766.43425561</v>
      </c>
      <c r="J61" s="322">
        <f t="shared" si="22"/>
        <v>9404.7461288600007</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-228643539.894364</v>
      </c>
      <c r="H62" s="321">
        <f>Data!D58</f>
        <v>233502399.16462773</v>
      </c>
      <c r="I62" s="321">
        <f>Data!E58</f>
        <v>155498586.5657444</v>
      </c>
      <c r="J62" s="321">
        <f>Data!F58</f>
        <v>199203093.25387114</v>
      </c>
      <c r="K62" s="321">
        <f>Data!G58</f>
        <v>2533886587</v>
      </c>
      <c r="L62" s="321">
        <f>Data!H58</f>
        <v>1102751055</v>
      </c>
      <c r="M62" s="321">
        <f>Data!I58</f>
        <v>1026657608</v>
      </c>
      <c r="N62" s="321">
        <f>Data!J58</f>
        <v>682625937</v>
      </c>
      <c r="O62" s="321">
        <f>Data!K58</f>
        <v>541839246</v>
      </c>
      <c r="P62" s="321">
        <f>Data!L58</f>
        <v>787623235</v>
      </c>
      <c r="Q62" s="321" t="str">
        <f>Data!M58</f>
        <v/>
      </c>
    </row>
    <row r="63" spans="1:17" ht="15.75" customHeight="1">
      <c r="A63" s="10"/>
      <c r="B63" s="31" t="s">
        <v>196</v>
      </c>
      <c r="C63" s="322">
        <f>C61+C62</f>
        <v>0</v>
      </c>
      <c r="E63" s="270"/>
      <c r="G63" s="322">
        <f t="shared" ref="G63:Q63" si="23">IF(G4="","",G61+G62)</f>
        <v>-228634727</v>
      </c>
      <c r="H63" s="322">
        <f t="shared" si="23"/>
        <v>233514676</v>
      </c>
      <c r="I63" s="322">
        <f t="shared" si="23"/>
        <v>155510353</v>
      </c>
      <c r="J63" s="322">
        <f t="shared" si="23"/>
        <v>199212498</v>
      </c>
      <c r="K63" s="322">
        <f t="shared" si="23"/>
        <v>2533886587</v>
      </c>
      <c r="L63" s="322">
        <f t="shared" si="23"/>
        <v>1102751055</v>
      </c>
      <c r="M63" s="322">
        <f t="shared" si="23"/>
        <v>1026657608</v>
      </c>
      <c r="N63" s="322">
        <f t="shared" si="23"/>
        <v>682625937</v>
      </c>
      <c r="O63" s="322">
        <f t="shared" si="23"/>
        <v>541839246</v>
      </c>
      <c r="P63" s="322">
        <f t="shared" si="23"/>
        <v>787623235</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0.62658809260617898</v>
      </c>
      <c r="D73" s="27"/>
      <c r="E73" s="267"/>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7"/>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7"/>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7"/>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7"/>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8" t="s">
        <v>461</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7"/>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7"/>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7"/>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6">
        <f>MIN(BS!C62,MAX(G83:K83))</f>
        <v>3.841814277703558E-4</v>
      </c>
      <c r="D83" s="27"/>
      <c r="E83" s="267"/>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7"/>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7"/>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4.6470000000000002</v>
      </c>
      <c r="E90" s="270"/>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70"/>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70"/>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6.8207837956847206E-2</v>
      </c>
      <c r="E93" s="270"/>
      <c r="G93" s="23">
        <f t="shared" ref="G93:Q93" si="39">IF(G$4="","",G90/Market_Price)</f>
        <v>6.8207837956847206E-2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-0.13563188506134605</v>
      </c>
      <c r="D96" s="27"/>
      <c r="E96" s="267"/>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7"/>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67345265219.619995</v>
      </c>
      <c r="D101" s="26"/>
      <c r="E101" s="271"/>
      <c r="F101" s="26"/>
      <c r="G101" s="326">
        <f t="shared" ref="G101:Q101" si="42">IF(G$4="","",G105+G104)</f>
        <v>67345265219.619995</v>
      </c>
      <c r="H101" s="326">
        <f t="shared" si="42"/>
        <v>69792287456</v>
      </c>
      <c r="I101" s="326">
        <f t="shared" si="42"/>
        <v>67964247135</v>
      </c>
      <c r="J101" s="326">
        <f t="shared" si="42"/>
        <v>67798704194</v>
      </c>
      <c r="K101" s="326">
        <f t="shared" si="42"/>
        <v>53866259307</v>
      </c>
      <c r="L101" s="326">
        <f t="shared" si="42"/>
        <v>53455037841</v>
      </c>
      <c r="M101" s="326">
        <f t="shared" si="42"/>
        <v>49563767816</v>
      </c>
      <c r="N101" s="326">
        <f t="shared" si="42"/>
        <v>43258140702</v>
      </c>
      <c r="O101" s="326">
        <f t="shared" si="42"/>
        <v>38804062249</v>
      </c>
      <c r="P101" s="326">
        <f t="shared" si="42"/>
        <v>33860320967</v>
      </c>
      <c r="Q101" s="326" t="str">
        <f t="shared" si="42"/>
        <v/>
      </c>
    </row>
    <row r="102" spans="1:17" ht="15.75" customHeight="1">
      <c r="A102" s="10"/>
      <c r="B102" s="93" t="s">
        <v>211</v>
      </c>
      <c r="C102" s="335">
        <f>BS!C4</f>
        <v>1530297140.1800001</v>
      </c>
      <c r="D102" s="89"/>
      <c r="E102" s="272"/>
      <c r="F102" s="89"/>
      <c r="G102" s="336">
        <f>IF(G$4="","",Data!D77)</f>
        <v>530005754</v>
      </c>
      <c r="H102" s="336">
        <f>IF(H$4="","",Data!E77)</f>
        <v>571147623</v>
      </c>
      <c r="I102" s="336">
        <f>IF(I$4="","",Data!F77)</f>
        <v>665097278</v>
      </c>
      <c r="J102" s="336">
        <f>IF(J$4="","",Data!G77)</f>
        <v>617721565</v>
      </c>
      <c r="K102" s="336">
        <f>IF(K$4="","",Data!H77)</f>
        <v>675347400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19732881051.73</v>
      </c>
      <c r="D103" s="89"/>
      <c r="E103" s="272"/>
      <c r="F103" s="89"/>
      <c r="G103" s="336">
        <f>IF(G$4="","",Data!D78)</f>
        <v>18954235402</v>
      </c>
      <c r="H103" s="336">
        <f>IF(H$4="","",Data!E78)</f>
        <v>17729258967</v>
      </c>
      <c r="I103" s="336">
        <f>IF(I$4="","",Data!F78)</f>
        <v>16803093442</v>
      </c>
      <c r="J103" s="336">
        <f>IF(J$4="","",Data!G78)</f>
        <v>14852694146</v>
      </c>
      <c r="K103" s="336">
        <f>IF(K$4="","",Data!H78)</f>
        <v>14433244696</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15652219365.74</v>
      </c>
      <c r="D104" s="26"/>
      <c r="E104" s="271"/>
      <c r="F104" s="26"/>
      <c r="G104" s="326">
        <f>Data!C79</f>
        <v>15652219365.74</v>
      </c>
      <c r="H104" s="326">
        <f>Data!D79</f>
        <v>17742423481</v>
      </c>
      <c r="I104" s="326">
        <f>Data!E79</f>
        <v>20439798531</v>
      </c>
      <c r="J104" s="326">
        <f>Data!F79</f>
        <v>25317393936</v>
      </c>
      <c r="K104" s="326">
        <f>Data!G79</f>
        <v>15396606230</v>
      </c>
      <c r="L104" s="326">
        <f>Data!H79</f>
        <v>16963485271</v>
      </c>
      <c r="M104" s="326">
        <f>Data!I79</f>
        <v>15939249286</v>
      </c>
      <c r="N104" s="326">
        <f>Data!J79</f>
        <v>13763271610</v>
      </c>
      <c r="O104" s="326">
        <f>Data!K79</f>
        <v>12767076382</v>
      </c>
      <c r="P104" s="326">
        <f>Data!L79</f>
        <v>10918840106</v>
      </c>
      <c r="Q104" s="326" t="str">
        <f>Data!M79</f>
        <v/>
      </c>
    </row>
    <row r="105" spans="1:17" ht="15.75" customHeight="1">
      <c r="A105" s="10"/>
      <c r="B105" s="26" t="s">
        <v>30</v>
      </c>
      <c r="C105" s="334">
        <f>BS!G27</f>
        <v>51693045853.879997</v>
      </c>
      <c r="D105" s="26"/>
      <c r="E105" s="271"/>
      <c r="F105" s="26"/>
      <c r="G105" s="326">
        <f>Data!C80</f>
        <v>51693045853.879997</v>
      </c>
      <c r="H105" s="326">
        <f>Data!D80</f>
        <v>52049863975</v>
      </c>
      <c r="I105" s="326">
        <f>Data!E80</f>
        <v>47524448604</v>
      </c>
      <c r="J105" s="326">
        <f>Data!F80</f>
        <v>42481310258</v>
      </c>
      <c r="K105" s="326">
        <f>Data!G80</f>
        <v>38469653077</v>
      </c>
      <c r="L105" s="326">
        <f>Data!H80</f>
        <v>36491552570</v>
      </c>
      <c r="M105" s="326">
        <f>Data!I80</f>
        <v>33624518530</v>
      </c>
      <c r="N105" s="326">
        <f>Data!J80</f>
        <v>29494869092</v>
      </c>
      <c r="O105" s="326">
        <f>Data!K80</f>
        <v>26036985867</v>
      </c>
      <c r="P105" s="326">
        <f>Data!L80</f>
        <v>22941480861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71"/>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71"/>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0.69432864508205805</v>
      </c>
      <c r="H113" s="297">
        <f>IF(H$4="","",Data!D$22/Data!D15)</f>
        <v>0.61175156713199319</v>
      </c>
      <c r="I113" s="297">
        <f>IF(I$4="","",Data!E$22/Data!E15)</f>
        <v>0.38848325372610293</v>
      </c>
      <c r="J113" s="297">
        <f>IF(J$4="","",Data!F$22/Data!F15)</f>
        <v>2.0389375478654403</v>
      </c>
      <c r="K113" s="297">
        <f>IF(K$4="","",Data!G$22/Data!G15)</f>
        <v>0.53159654216650631</v>
      </c>
      <c r="L113" s="297">
        <f>IF(L$4="","",Data!H$22/Data!H15)</f>
        <v>0.92036395831447737</v>
      </c>
      <c r="M113" s="297">
        <f>IF(M$4="","",Data!I$22/Data!I15)</f>
        <v>1.1160050094303653</v>
      </c>
      <c r="N113" s="297">
        <f>IF(N$4="","",Data!J$22/Data!J15)</f>
        <v>1.0399444322943818</v>
      </c>
      <c r="O113" s="297">
        <f>IF(O$4="","",Data!K$22/Data!K15)</f>
        <v>1.2756477220610554</v>
      </c>
      <c r="P113" s="297">
        <f>IF(P$4="","",Data!L$22/Data!L15)</f>
        <v>1.0878170604353194</v>
      </c>
      <c r="Q113" s="297" t="str">
        <f>IF(Q$4="","",Data!M$22/Data!M15)</f>
        <v/>
      </c>
    </row>
    <row r="114" spans="1:17" ht="15.75" customHeight="1">
      <c r="A114" s="10"/>
      <c r="B114" s="2" t="s">
        <v>393</v>
      </c>
      <c r="C114" s="169"/>
      <c r="E114" s="270"/>
      <c r="G114" s="297">
        <f>IF(G$4="","",Data!C$22/G19)</f>
        <v>0.72417181816435794</v>
      </c>
      <c r="H114" s="297">
        <f>IF(H$4="","",Data!D$22/H19)</f>
        <v>0.66905727400740989</v>
      </c>
      <c r="I114" s="297">
        <f>IF(I$4="","",Data!E$22/I19)</f>
        <v>0.41930431507808852</v>
      </c>
      <c r="J114" s="297">
        <f>IF(J$4="","",Data!F$22/J19)</f>
        <v>2.2018348599229873</v>
      </c>
      <c r="K114" s="297">
        <f>IF(K$4="","",Data!G$22/K19)</f>
        <v>0.81805834112260944</v>
      </c>
      <c r="L114" s="297">
        <f>IF(L$4="","",Data!H$22/L19)</f>
        <v>1.0933966657345924</v>
      </c>
      <c r="M114" s="297">
        <f>IF(M$4="","",Data!I$22/M19)</f>
        <v>1.2878358154497498</v>
      </c>
      <c r="N114" s="297">
        <f>IF(N$4="","",Data!J$22/N19)</f>
        <v>1.1595323507076634</v>
      </c>
      <c r="O114" s="297">
        <f>IF(O$4="","",Data!K$22/O19)</f>
        <v>1.4069766594758819</v>
      </c>
      <c r="P114" s="297">
        <f>IF(P$4="","",Data!L$22/P19)</f>
        <v>1.2749920037134175</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0.29188024664664569</v>
      </c>
      <c r="E117" s="270"/>
      <c r="G117" s="23">
        <f t="shared" ref="G117:Q117" si="45">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C4/C101</f>
        <v>0.37062368553626046</v>
      </c>
      <c r="E118" s="270"/>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4"/>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0.13870612076378752</v>
      </c>
      <c r="D120" s="103"/>
      <c r="E120" s="273"/>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7"/>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5.3124539487013844E-2</v>
      </c>
      <c r="D125" s="27"/>
      <c r="E125" s="267"/>
      <c r="F125" s="27"/>
      <c r="G125" s="77">
        <f t="shared" ref="G125" si="50">IF(G$4="","",G124/Market_Price)</f>
        <v>6.2254433461931019E-2</v>
      </c>
      <c r="H125" s="77">
        <f t="shared" ref="H125" si="51">IF(H$4="","",H124/Market_Price)</f>
        <v>8.9241044022597082E-2</v>
      </c>
      <c r="I125" s="77">
        <f t="shared" ref="I125" si="52">IF(I$4="","",I124/Market_Price)</f>
        <v>8.4729090385113906E-2</v>
      </c>
      <c r="J125" s="77">
        <f t="shared" ref="J125" si="53">IF(J$4="","",J124/Market_Price)</f>
        <v>6.7760067594487258E-2</v>
      </c>
      <c r="K125" s="77">
        <f t="shared" ref="K125" si="54">IF(K$4="","",K124/Market_Price)</f>
        <v>4.7371664934674831E-2</v>
      </c>
      <c r="L125" s="77">
        <f t="shared" ref="L125" si="55">IF(L$4="","",L124/Market_Price)</f>
        <v>6.0554765142100703E-2</v>
      </c>
      <c r="M125" s="77">
        <f t="shared" ref="M125" si="56">IF(M$4="","",M124/Market_Price)</f>
        <v>6.8495752473918828E-2</v>
      </c>
      <c r="N125" s="77">
        <f t="shared" ref="N125" si="57">IF(N$4="","",N124/Market_Price)</f>
        <v>5.7817249879454004E-2</v>
      </c>
      <c r="O125" s="77">
        <f t="shared" ref="O125" si="58">IF(O$4="","",O124/Market_Price)</f>
        <v>5.1261652554010759E-2</v>
      </c>
      <c r="P125" s="77">
        <f t="shared" ref="P125" si="59">IF(P$4="","",P124/Market_Price)</f>
        <v>4.4584723812840343E-2</v>
      </c>
      <c r="Q125" s="77" t="str">
        <f t="shared" ref="Q125" si="60">IF(Q$4="","",Q124/Market_Price)</f>
        <v/>
      </c>
    </row>
    <row r="126" spans="1:17" ht="15.75" customHeight="1">
      <c r="B126" s="2" t="s">
        <v>395</v>
      </c>
      <c r="C126" s="169"/>
      <c r="G126" s="23">
        <f>IF(G$4="","",(Data!C47*$C$3)/(Market_Price*Common_Shares))</f>
        <v>6.4930212210372776E-2</v>
      </c>
      <c r="H126" s="23">
        <f>IF(H$4="","",(Data!D47*$C$3)/(Market_Price*Common_Shares))</f>
        <v>9.7600681144559179E-2</v>
      </c>
      <c r="I126" s="23">
        <f>IF(I$4="","",(Data!E47*$C$3)/(Market_Price*Common_Shares))</f>
        <v>9.145123469380706E-2</v>
      </c>
      <c r="J126" s="23">
        <f>IF(J$4="","",(Data!F47*$C$3)/(Market_Price*Common_Shares))</f>
        <v>7.3173638445411679E-2</v>
      </c>
      <c r="K126" s="23">
        <f>IF(K$4="","",(Data!G47*$C$3)/(Market_Price*Common_Shares))</f>
        <v>7.2898867014334456E-2</v>
      </c>
      <c r="L126" s="23">
        <f>IF(L$4="","",(Data!H47*$C$3)/(Market_Price*Common_Shares))</f>
        <v>7.1939342803003292E-2</v>
      </c>
      <c r="M126" s="23">
        <f>IF(M$4="","",(Data!I47*$C$3)/(Market_Price*Common_Shares))</f>
        <v>7.9042013697697047E-2</v>
      </c>
      <c r="N126" s="23">
        <f>IF(N$4="","",(Data!J47*$C$3)/(Market_Price*Common_Shares))</f>
        <v>6.4465917199312509E-2</v>
      </c>
      <c r="O126" s="23">
        <f>IF(O$4="","",(Data!K47*$C$3)/(Market_Price*Common_Shares))</f>
        <v>5.6539080047213336E-2</v>
      </c>
      <c r="P126" s="23">
        <f>IF(P$4="","",(Data!L47*$C$3)/(Market_Price*Common_Shares))</f>
        <v>5.2256182051782209E-2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90905908408.393814</v>
      </c>
      <c r="D6" t="str">
        <f>Reporting_currency</f>
        <v>CNY</v>
      </c>
      <c r="E6" s="355" t="s">
        <v>250</v>
      </c>
      <c r="F6" s="355"/>
      <c r="H6" s="120"/>
    </row>
    <row r="7" spans="2:8">
      <c r="B7" s="148" t="s">
        <v>225</v>
      </c>
      <c r="C7" s="343">
        <f>BS!G31</f>
        <v>40134989.460000001</v>
      </c>
      <c r="D7" t="str">
        <f>Reporting_currency</f>
        <v>CNY</v>
      </c>
      <c r="E7" s="355"/>
      <c r="F7" s="355"/>
      <c r="H7" s="120"/>
    </row>
    <row r="8" spans="2:8">
      <c r="B8" s="148" t="s">
        <v>226</v>
      </c>
      <c r="C8" s="343">
        <f>BS!D66</f>
        <v>17616201015.993965</v>
      </c>
      <c r="D8" t="str">
        <f>Reporting_currency</f>
        <v>CNY</v>
      </c>
      <c r="E8" s="355"/>
      <c r="F8" s="355"/>
      <c r="H8" s="120"/>
    </row>
    <row r="9" spans="2:8">
      <c r="B9" s="205" t="s">
        <v>191</v>
      </c>
      <c r="C9" s="345">
        <f>BS!H42</f>
        <v>3951628136.4709997</v>
      </c>
      <c r="D9" t="str">
        <f>Reporting_currency</f>
        <v>CNY</v>
      </c>
      <c r="E9" s="355"/>
      <c r="F9" s="355"/>
      <c r="H9" s="120"/>
    </row>
    <row r="10" spans="2:8" ht="13.15">
      <c r="B10" s="149" t="s">
        <v>228</v>
      </c>
      <c r="C10" s="344">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8" ht="13.25" customHeight="1">
      <c r="B17" s="118" t="s">
        <v>135</v>
      </c>
      <c r="C17" s="162">
        <f>Scenarios!C64</f>
        <v>10</v>
      </c>
      <c r="H17" s="120"/>
    </row>
    <row r="18" spans="2:8" ht="13.25" customHeight="1">
      <c r="B18" s="153" t="s">
        <v>107</v>
      </c>
      <c r="C18" s="140">
        <f>(F52-C7+C8+C9)*Exchange_Rate/Common_Shares*scaling_factor</f>
        <v>77.787839467374837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c r="B23" s="122">
        <v>3</v>
      </c>
      <c r="C23" s="123">
        <f t="shared" si="2"/>
        <v>5757841958.6902151</v>
      </c>
      <c r="D23" s="138">
        <f>IF($C$17&lt;B23,0,DCF!$C$16)</f>
        <v>1.82133642321981E-2</v>
      </c>
      <c r="E23" s="124">
        <f t="shared" si="0"/>
        <v>0.8396192830323016</v>
      </c>
      <c r="F23" s="125">
        <f t="shared" si="1"/>
        <v>4834395137.1687813</v>
      </c>
      <c r="H23" s="120"/>
    </row>
    <row r="24" spans="2:8">
      <c r="B24" s="122">
        <v>4</v>
      </c>
      <c r="C24" s="123">
        <f t="shared" si="2"/>
        <v>5862711631.4752722</v>
      </c>
      <c r="D24" s="138">
        <f>IF($C$17&lt;B24,0,DCF!$C$16)</f>
        <v>1.82133642321981E-2</v>
      </c>
      <c r="E24" s="124">
        <f t="shared" si="0"/>
        <v>0.79209366323802044</v>
      </c>
      <c r="F24" s="125">
        <f t="shared" si="1"/>
        <v>4643816732.6833992</v>
      </c>
      <c r="H24" s="120"/>
    </row>
    <row r="25" spans="2:8">
      <c r="B25" s="122">
        <v>5</v>
      </c>
      <c r="C25" s="123">
        <f t="shared" si="2"/>
        <v>5969491333.8076754</v>
      </c>
      <c r="D25" s="138">
        <f>IF($C$17&lt;B25,0,DCF!$C$16)</f>
        <v>1.82133642321981E-2</v>
      </c>
      <c r="E25" s="124">
        <f t="shared" si="0"/>
        <v>0.74725817286605689</v>
      </c>
      <c r="F25" s="125">
        <f t="shared" si="1"/>
        <v>4460751187.040884</v>
      </c>
      <c r="H25" s="120"/>
    </row>
    <row r="26" spans="2:8">
      <c r="B26" s="122">
        <v>6</v>
      </c>
      <c r="C26" s="123">
        <f t="shared" si="2"/>
        <v>6078215853.7512636</v>
      </c>
      <c r="D26" s="138">
        <f>IF($C$17&lt;B26,0,DCF!$C$16)</f>
        <v>1.82133642321981E-2</v>
      </c>
      <c r="E26" s="124">
        <f t="shared" si="0"/>
        <v>0.70496054043967626</v>
      </c>
      <c r="F26" s="125">
        <f t="shared" si="1"/>
        <v>4284902333.1694989</v>
      </c>
      <c r="H26" s="120"/>
    </row>
    <row r="27" spans="2:8">
      <c r="B27" s="122">
        <v>7</v>
      </c>
      <c r="C27" s="123">
        <f t="shared" si="2"/>
        <v>6188920612.9775553</v>
      </c>
      <c r="D27" s="138">
        <f>IF($C$17&lt;B27,0,DCF!$C$16)</f>
        <v>1.82133642321981E-2</v>
      </c>
      <c r="E27" s="124">
        <f t="shared" si="0"/>
        <v>0.66505711362233599</v>
      </c>
      <c r="F27" s="125">
        <f t="shared" si="1"/>
        <v>4115985679.3046312</v>
      </c>
      <c r="H27" s="120"/>
    </row>
    <row r="28" spans="2:8">
      <c r="B28" s="122">
        <v>8</v>
      </c>
      <c r="C28" s="123">
        <f t="shared" si="2"/>
        <v>6301641678.3058748</v>
      </c>
      <c r="D28" s="138">
        <f>IF($C$17&lt;B28,0,DCF!$C$16)</f>
        <v>1.82133642321981E-2</v>
      </c>
      <c r="E28" s="124">
        <f t="shared" si="0"/>
        <v>0.62741237134182648</v>
      </c>
      <c r="F28" s="125">
        <f t="shared" si="1"/>
        <v>3953727948.7323761</v>
      </c>
      <c r="H28" s="120"/>
    </row>
    <row r="29" spans="2:8">
      <c r="B29" s="122">
        <v>9</v>
      </c>
      <c r="C29" s="123">
        <f t="shared" si="2"/>
        <v>6416415773.4536591</v>
      </c>
      <c r="D29" s="138">
        <f>IF($C$17&lt;B29,0,DCF!$C$16)</f>
        <v>1.82133642321981E-2</v>
      </c>
      <c r="E29" s="124">
        <f t="shared" si="0"/>
        <v>0.59189846353002495</v>
      </c>
      <c r="F29" s="125">
        <f t="shared" si="1"/>
        <v>3797866637.6770372</v>
      </c>
      <c r="H29" s="120"/>
    </row>
    <row r="30" spans="2:8">
      <c r="B30" s="122">
        <v>10</v>
      </c>
      <c r="C30" s="123">
        <f t="shared" si="2"/>
        <v>6533280291.0007915</v>
      </c>
      <c r="D30" s="138">
        <f>IF($C$17&lt;B30,0,DCF!$C$16)</f>
        <v>1.82133642321981E-2</v>
      </c>
      <c r="E30" s="124">
        <f t="shared" si="0"/>
        <v>0.55839477691511785</v>
      </c>
      <c r="F30" s="125">
        <f t="shared" si="1"/>
        <v>3648149590.6173234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92561610829.094711</v>
      </c>
      <c r="D51" s="139">
        <f>Terminal_Growth</f>
        <v>0</v>
      </c>
      <c r="E51" s="124">
        <f>1/(1+Equity_Cost)^C17</f>
        <v>0.55839477691511785</v>
      </c>
      <c r="F51" s="125">
        <f t="shared" si="1"/>
        <v>51685920029.816299</v>
      </c>
      <c r="H51" s="120"/>
    </row>
    <row r="52" spans="1:8">
      <c r="C52" s="114"/>
      <c r="E52" s="127" t="s">
        <v>101</v>
      </c>
      <c r="F52" s="137">
        <f>SUM(F21:F51)</f>
        <v>95697646460.255325</v>
      </c>
      <c r="H52" s="120"/>
    </row>
    <row r="53" spans="1:8">
      <c r="C53" s="114"/>
      <c r="H53" s="120"/>
    </row>
    <row r="54" spans="1:8" ht="13.15">
      <c r="B54" s="119" t="s">
        <v>130</v>
      </c>
      <c r="C54" s="136"/>
      <c r="D54" s="136"/>
      <c r="E54" s="117"/>
      <c r="F54" s="117"/>
      <c r="H54" s="120"/>
    </row>
    <row r="55" spans="1:8" ht="13.15">
      <c r="A55" s="133">
        <f>F52</f>
        <v>95697646460.255325</v>
      </c>
      <c r="B55" s="131">
        <f>C78</f>
        <v>-0.05</v>
      </c>
      <c r="C55" s="131">
        <f>C77</f>
        <v>0</v>
      </c>
      <c r="D55" s="131">
        <f>C76</f>
        <v>0.02</v>
      </c>
      <c r="E55" s="131">
        <f>C75</f>
        <v>0.04</v>
      </c>
      <c r="F55" s="131">
        <f>C74</f>
        <v>7.0000000000000007E-2</v>
      </c>
      <c r="H55" s="120"/>
    </row>
    <row r="56" spans="1:8" ht="13.15">
      <c r="A56" s="143">
        <v>5</v>
      </c>
      <c r="B56" s="123">
        <f t="dataTable" ref="B56:F61" dt2D="1" dtr="1" r1="C16" r2="C17"/>
        <v>84402230044.246582</v>
      </c>
      <c r="C56" s="123">
        <v>90905908408.393784</v>
      </c>
      <c r="D56" s="123">
        <v>93624197668.977966</v>
      </c>
      <c r="E56" s="123">
        <v>96413767059.668488</v>
      </c>
      <c r="F56" s="123">
        <v>100738688637.99504</v>
      </c>
      <c r="H56" s="120"/>
    </row>
    <row r="57" spans="1:8" ht="13.15">
      <c r="A57" s="143">
        <v>10</v>
      </c>
      <c r="B57" s="123">
        <v>79580151313.322525</v>
      </c>
      <c r="C57" s="123">
        <v>90905908408.393768</v>
      </c>
      <c r="D57" s="123">
        <v>96189550081.736343</v>
      </c>
      <c r="E57" s="123">
        <v>101983816489.44025</v>
      </c>
      <c r="F57" s="123">
        <v>111769944290.57098</v>
      </c>
      <c r="H57" s="120"/>
    </row>
    <row r="58" spans="1:8" ht="13.15">
      <c r="A58" s="143">
        <v>15</v>
      </c>
      <c r="B58" s="123">
        <v>74034788284.016418</v>
      </c>
      <c r="C58" s="123">
        <v>90905908408.393738</v>
      </c>
      <c r="D58" s="123">
        <v>99668064932.118591</v>
      </c>
      <c r="E58" s="123">
        <v>109938584225.82375</v>
      </c>
      <c r="F58" s="123">
        <v>128857518867.44797</v>
      </c>
      <c r="H58" s="120"/>
    </row>
    <row r="59" spans="1:8" ht="13.15">
      <c r="A59" s="144">
        <v>20</v>
      </c>
      <c r="B59" s="123">
        <v>68768063977.719452</v>
      </c>
      <c r="C59" s="123">
        <v>90905908408.393738</v>
      </c>
      <c r="D59" s="123">
        <v>103555731536.79431</v>
      </c>
      <c r="E59" s="123">
        <v>119330817835.33205</v>
      </c>
      <c r="F59" s="123">
        <v>150895861004.93069</v>
      </c>
      <c r="H59" s="120"/>
    </row>
    <row r="60" spans="1:8" ht="13.15">
      <c r="A60" s="144">
        <v>25</v>
      </c>
      <c r="B60" s="123">
        <v>64183180813.607864</v>
      </c>
      <c r="C60" s="123">
        <v>90905908408.393738</v>
      </c>
      <c r="D60" s="123">
        <v>107523727526.56316</v>
      </c>
      <c r="E60" s="123">
        <v>129483974825.12744</v>
      </c>
      <c r="F60" s="123">
        <v>177079273843.49899</v>
      </c>
      <c r="H60" s="120"/>
    </row>
    <row r="61" spans="1:8" ht="13.15">
      <c r="A61" s="144">
        <v>30</v>
      </c>
      <c r="B61" s="123">
        <v>60381666306.674995</v>
      </c>
      <c r="C61" s="123">
        <v>90905908408.393738</v>
      </c>
      <c r="D61" s="123">
        <v>111365777375.27277</v>
      </c>
      <c r="E61" s="123">
        <v>139920959466.34332</v>
      </c>
      <c r="F61" s="123">
        <v>206827111547.89767</v>
      </c>
      <c r="H61" s="120"/>
    </row>
    <row r="62" spans="1:8">
      <c r="C62" s="114"/>
      <c r="D62" s="114"/>
      <c r="E62" s="114"/>
      <c r="F62" s="114"/>
      <c r="H62" s="120"/>
    </row>
    <row r="63" spans="1:8" ht="13.15">
      <c r="B63" s="119" t="s">
        <v>131</v>
      </c>
      <c r="C63" s="114"/>
      <c r="D63" s="114"/>
      <c r="E63" s="114"/>
      <c r="F63" s="114"/>
      <c r="H63" s="120"/>
    </row>
    <row r="64" spans="1:8"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116716220600</v>
      </c>
      <c r="D6" t="str">
        <f>Reporting_currency</f>
        <v>CNY</v>
      </c>
      <c r="E6" s="355"/>
      <c r="F6" s="355"/>
      <c r="H6" s="120"/>
    </row>
    <row r="7" spans="2:8" ht="13.15">
      <c r="B7" s="149" t="s">
        <v>446</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6" zoomScale="75" zoomScaleNormal="100" workbookViewId="0">
      <selection activeCell="E76" sqref="E7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-68.13</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343">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47">
        <v>4</v>
      </c>
      <c r="I7" s="124" t="str">
        <f t="shared" si="0"/>
        <v/>
      </c>
    </row>
    <row r="8" spans="2:9">
      <c r="B8" s="100" t="s">
        <v>66</v>
      </c>
      <c r="C8" s="343">
        <f>Normalized_FCF!G19</f>
        <v>6391730692.7697487</v>
      </c>
      <c r="D8" t="str">
        <f>Reporting_currency</f>
        <v>CNY</v>
      </c>
      <c r="E8" s="357"/>
      <c r="F8" s="357"/>
      <c r="H8" s="247">
        <v>5</v>
      </c>
      <c r="I8" s="124" t="str">
        <f t="shared" si="0"/>
        <v/>
      </c>
    </row>
    <row r="9" spans="2:9">
      <c r="B9" s="100" t="s">
        <v>57</v>
      </c>
      <c r="C9" s="343">
        <f>Normalized_FCF!C19</f>
        <v>5454354504.5036287</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4.4367851108990219E-2</v>
      </c>
      <c r="D12" s="158"/>
      <c r="E12" s="357"/>
      <c r="F12" s="357"/>
      <c r="H12" s="247">
        <v>9</v>
      </c>
      <c r="I12" s="124" t="str">
        <f t="shared" si="0"/>
        <v/>
      </c>
    </row>
    <row r="13" spans="2:9">
      <c r="B13" s="148" t="s">
        <v>153</v>
      </c>
      <c r="C13" s="158">
        <f ca="1">(Normalized_FCF!G8/OFFSET(Normalized_FCF!G8, 0, $C$4))^(1/$C$4) - 1</f>
        <v>-2.0482342685147259E-2</v>
      </c>
      <c r="E13" s="357"/>
      <c r="F13" s="357"/>
      <c r="H13" s="247">
        <v>10</v>
      </c>
      <c r="I13" s="124" t="str">
        <f t="shared" si="0"/>
        <v/>
      </c>
    </row>
    <row r="14" spans="2:9">
      <c r="B14" s="100" t="s">
        <v>66</v>
      </c>
      <c r="C14" s="158">
        <f ca="1">(Normalized_FCF!G19/OFFSET(Normalized_FCF!G19, 0, $C$4))^(1/$C$4) - 1</f>
        <v>-2.7852527100317714E-2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68.13</v>
      </c>
      <c r="D21" t="str">
        <f>Market_currency</f>
        <v>CNY</v>
      </c>
      <c r="E21" s="358"/>
      <c r="F21" s="358"/>
    </row>
    <row r="22" spans="2:6">
      <c r="B22" s="100" t="s">
        <v>279</v>
      </c>
      <c r="C22" s="160">
        <f>IF(valuation_method="DCF",DCF!C12,DDM!C7)</f>
        <v>74.608160497229406</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78.11425455593627</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74.608160497229392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0.04</v>
      </c>
      <c r="D38" s="164"/>
      <c r="E38" s="356"/>
      <c r="F38" s="356"/>
    </row>
    <row r="39" spans="2:6">
      <c r="B39" s="100" t="s">
        <v>114</v>
      </c>
      <c r="C39" s="160">
        <f>IF(valuation_method="DCF",DCF!E75,DDM!E70)</f>
        <v>81.959186571124121</v>
      </c>
      <c r="D39" t="str">
        <f>Market_currency</f>
        <v>CNY</v>
      </c>
      <c r="E39" s="356"/>
      <c r="F39" s="356"/>
    </row>
    <row r="40" spans="2:6">
      <c r="B40" s="100" t="s">
        <v>148</v>
      </c>
      <c r="C40" s="167">
        <f>1-C28-C34</f>
        <v>0.2</v>
      </c>
      <c r="D40" s="165"/>
      <c r="E40" s="356"/>
      <c r="F40" s="356"/>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-0.05</v>
      </c>
      <c r="D50" s="164"/>
      <c r="E50" s="356"/>
      <c r="F50" s="356"/>
    </row>
    <row r="51" spans="2:6">
      <c r="B51" s="100" t="s">
        <v>114</v>
      </c>
      <c r="C51" s="160">
        <f>IF(valuation_method="DCF",DCF!E78,DDM!E73)</f>
        <v>63.412902058292019</v>
      </c>
      <c r="D51" t="str">
        <f>Market_currency</f>
        <v>CNY</v>
      </c>
      <c r="E51" s="356"/>
      <c r="F51" s="356"/>
    </row>
    <row r="52" spans="2:6">
      <c r="B52" s="100" t="s">
        <v>148</v>
      </c>
      <c r="C52" s="165">
        <v>0.1</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7.0000000000000007E-2</v>
      </c>
      <c r="D56" s="164"/>
      <c r="E56" s="356"/>
      <c r="F56" s="356"/>
    </row>
    <row r="57" spans="2:6">
      <c r="B57" s="100" t="s">
        <v>114</v>
      </c>
      <c r="C57" s="160">
        <f>IF(valuation_method="DCF",DCF!E74,DDM!E69)</f>
        <v>99.791911435560834</v>
      </c>
      <c r="D57" t="str">
        <f>Market_currency</f>
        <v>CNY</v>
      </c>
      <c r="E57" s="356"/>
      <c r="F57" s="356"/>
    </row>
    <row r="58" spans="2:6">
      <c r="B58" s="100" t="s">
        <v>148</v>
      </c>
      <c r="C58" s="165">
        <v>0.05</v>
      </c>
      <c r="D58" s="165"/>
      <c r="E58" s="356"/>
      <c r="F58" s="356"/>
    </row>
    <row r="60" spans="2:6" ht="13.15">
      <c r="B60" s="100" t="s">
        <v>121</v>
      </c>
      <c r="C60" s="154">
        <f>C51*C52+C57*C58+C42*(1-C52-C58)</f>
        <v>77.785604602754844</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0.33699999999999997</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3">
        <f>(1-C83/C60)</f>
        <v>0.47848662078609472</v>
      </c>
    </row>
    <row r="84" spans="2:8">
      <c r="E84" s="120"/>
    </row>
    <row r="85" spans="2:8" ht="13.15">
      <c r="B85" s="109" t="s">
        <v>303</v>
      </c>
    </row>
    <row r="86" spans="2:8">
      <c r="B86" s="148" t="s">
        <v>301</v>
      </c>
      <c r="C86" s="116">
        <f>Market_Price</f>
        <v>68.13</v>
      </c>
      <c r="D86" t="str">
        <f>Market_currency</f>
        <v>CNY</v>
      </c>
    </row>
    <row r="87" spans="2:8" ht="13.15">
      <c r="B87" s="100" t="s">
        <v>299</v>
      </c>
      <c r="C87" s="237">
        <f ca="1">IRR(OFFSET($I$3, 0, 0, $C$76 + 1, 1))</f>
        <v>0.11058922071659794</v>
      </c>
    </row>
    <row r="88" spans="2:8">
      <c r="B88" s="100"/>
    </row>
    <row r="89" spans="2:8" ht="13.15">
      <c r="B89" s="109" t="s">
        <v>414</v>
      </c>
    </row>
    <row r="90" spans="2:8">
      <c r="B90" s="148" t="s">
        <v>415</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3">
        <f>(1-C93/C60)</f>
        <v>0.27362252180270386</v>
      </c>
    </row>
    <row r="95" spans="2:8" ht="13.15">
      <c r="B95" s="109" t="s">
        <v>398</v>
      </c>
      <c r="G95" s="2"/>
      <c r="H95" s="283"/>
    </row>
    <row r="96" spans="2:8">
      <c r="B96" s="148" t="s">
        <v>404</v>
      </c>
      <c r="C96" s="134">
        <f>Thesis!F31</f>
        <v>0.06</v>
      </c>
      <c r="G96" s="2"/>
      <c r="H96" s="283"/>
    </row>
    <row r="97" spans="2:8">
      <c r="B97" s="100" t="s">
        <v>122</v>
      </c>
      <c r="C97" s="116">
        <f>PV(C96, C76, -C77, 0)</f>
        <v>12.421486529148241</v>
      </c>
      <c r="D97" s="116"/>
      <c r="G97" s="2"/>
      <c r="H97" s="283"/>
    </row>
    <row r="98" spans="2:8">
      <c r="B98" s="100" t="s">
        <v>123</v>
      </c>
      <c r="C98" s="116">
        <f>C60/(1+C96)^C76</f>
        <v>65.310293566799118</v>
      </c>
      <c r="D98" s="116"/>
      <c r="G98" s="2"/>
      <c r="H98" s="283"/>
    </row>
    <row r="99" spans="2:8" ht="13.15">
      <c r="B99" s="110" t="s">
        <v>399</v>
      </c>
      <c r="C99" s="111">
        <f>C97+C98</f>
        <v>77.731780095947357</v>
      </c>
      <c r="D99" t="s">
        <v>397</v>
      </c>
      <c r="E99" s="146" t="s">
        <v>127</v>
      </c>
      <c r="F99" s="293">
        <f>(1-C99/C60)</f>
        <v>6.9195974091051937E-4</v>
      </c>
    </row>
    <row r="100" spans="2:8">
      <c r="B100" s="100"/>
    </row>
    <row r="101" spans="2:8" ht="13.15">
      <c r="B101" s="109" t="s">
        <v>424</v>
      </c>
    </row>
    <row r="102" spans="2:8">
      <c r="B102" s="148" t="s">
        <v>423</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3">
        <f>(1-C105/C66)</f>
        <v>6.9397561757708282E-2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