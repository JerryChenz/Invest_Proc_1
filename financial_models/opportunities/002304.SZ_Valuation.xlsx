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AC4A540-F21E-448A-AE8C-170DC1FCB77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9" i="6" l="1"/>
  <c r="D129" i="12"/>
  <c r="D128" i="6"/>
  <c r="D128"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C80" i="4" s="1"/>
  <c r="C76" i="4" s="1"/>
  <c r="N94" i="2"/>
  <c r="J94" i="2"/>
  <c r="Q92" i="2"/>
  <c r="Q94" i="2"/>
  <c r="L94" i="2"/>
  <c r="I94" i="2"/>
  <c r="C44" i="6"/>
  <c r="C44" i="12"/>
  <c r="P94" i="2"/>
  <c r="O94" i="2"/>
  <c r="F71" i="4"/>
  <c r="K94" i="2"/>
  <c r="M94" i="2"/>
  <c r="H94" i="2"/>
  <c r="C147" i="6"/>
  <c r="C147" i="12"/>
  <c r="C163" i="6"/>
  <c r="C163" i="12"/>
  <c r="C171" i="6"/>
  <c r="C171" i="12"/>
  <c r="C155" i="6"/>
  <c r="C155" i="12"/>
  <c r="H119"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L117" i="2"/>
  <c r="I117" i="2"/>
  <c r="J13" i="2"/>
  <c r="J121" i="2" s="1"/>
  <c r="J117" i="2" s="1"/>
  <c r="M76" i="2"/>
  <c r="L13" i="2"/>
  <c r="L121" i="2" s="1"/>
  <c r="K13" i="2"/>
  <c r="N13" i="2"/>
  <c r="M13" i="2"/>
  <c r="M121" i="2" s="1"/>
  <c r="M117" i="2" s="1"/>
  <c r="I13" i="2"/>
  <c r="I121"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<sst xmlns="http://schemas.openxmlformats.org/spreadsheetml/2006/main" count="836" uniqueCount="560">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</sst>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28A23C8-8E25-4D05-BB34-69F8A4C82D6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1506988000</v>
          </cell>
        </row>
        <row r="12">
          <cell r="C12">
            <v>66.34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67.930000000000007</v>
      </c>
      <c r="D12" s="50"/>
      <c r="E12" s="48"/>
    </row>
    <row r="13" spans="1:10">
      <c r="B13" s="1" t="s">
        <v>485</v>
      </c>
      <c r="C13" s="32" t="str">
        <f>Market_currency</f>
        <v>CNY</v>
      </c>
      <c r="D13" s="48"/>
      <c r="E13" s="5"/>
    </row>
    <row r="14" spans="1:10">
      <c r="B14" s="4" t="s">
        <v>486</v>
      </c>
      <c r="C14" s="35">
        <f>投资主题!C12*Common_Shares/1000000</f>
        <v>102369.69484000001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4.930033155971425E-2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495</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5.328094914250335E-2</v>
      </c>
      <c r="F69" s="314"/>
    </row>
    <row r="70" spans="1:6">
      <c r="B70" s="227" t="s">
        <v>434</v>
      </c>
      <c r="C70" s="92">
        <f>Normalized_FCF!C94</f>
        <v>6.156779037244222E-2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1" t="s">
        <v>516</v>
      </c>
      <c r="C116" s="371"/>
      <c r="D116" s="371"/>
      <c r="E116" s="371"/>
      <c r="F116" s="371"/>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67.930000000000007</v>
      </c>
      <c r="D12" s="50"/>
      <c r="E12" s="48"/>
    </row>
    <row r="13" spans="1:10">
      <c r="B13" s="1" t="s">
        <v>464</v>
      </c>
      <c r="C13" s="48" t="s">
        <v>394</v>
      </c>
      <c r="D13" s="48"/>
      <c r="E13" s="5"/>
    </row>
    <row r="14" spans="1:10">
      <c r="B14" s="4" t="s">
        <v>465</v>
      </c>
      <c r="C14" s="35">
        <f>Thesis!C12*Common_Shares/1000000</f>
        <v>102369.69484000001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4.930033155971425E-2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229</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5.328094914250335E-2</v>
      </c>
      <c r="F69" s="314"/>
    </row>
    <row r="70" spans="1:6">
      <c r="B70" s="227" t="s">
        <v>434</v>
      </c>
      <c r="C70" s="92">
        <f>Normalized_FCF!C94</f>
        <v>6.156779037244222E-2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1" t="s">
        <v>352</v>
      </c>
      <c r="C116" s="371"/>
      <c r="D116" s="371"/>
      <c r="E116" s="371"/>
      <c r="F116" s="371"/>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6.156779037244222E-2</v>
      </c>
      <c r="E94" s="268"/>
      <c r="G94" s="23">
        <f t="shared" ref="G94:Q94" si="39">IF(G$4="","",(G90*(1-dividend_tax_rate))/Market_Price)</f>
        <v>6.156779037244222E-2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5.328094914250335E-2</v>
      </c>
      <c r="D126" s="27"/>
      <c r="E126" s="265"/>
      <c r="F126" s="27"/>
      <c r="G126" s="77">
        <f t="shared" ref="G126" si="50">IF(G$4="","",G125/Market_Price)</f>
        <v>6.2437723417655813E-2</v>
      </c>
      <c r="H126" s="77">
        <f t="shared" ref="H126" si="51">IF(H$4="","",H125/Market_Price)</f>
        <v>8.9503788153386402E-2</v>
      </c>
      <c r="I126" s="77">
        <f t="shared" ref="I126" si="52">IF(I$4="","",I125/Market_Price)</f>
        <v>8.4978550389191942E-2</v>
      </c>
      <c r="J126" s="77">
        <f t="shared" ref="J126" si="53">IF(J$4="","",J125/Market_Price)</f>
        <v>6.7959567278263161E-2</v>
      </c>
      <c r="K126" s="77">
        <f t="shared" ref="K126" si="54">IF(K$4="","",K125/Market_Price)</f>
        <v>4.7511136935071335E-2</v>
      </c>
      <c r="L126" s="77">
        <f t="shared" ref="L126" si="55">IF(L$4="","",L125/Market_Price)</f>
        <v>6.073305092199794E-2</v>
      </c>
      <c r="M126" s="77">
        <f t="shared" ref="M126" si="56">IF(M$4="","",M125/Market_Price)</f>
        <v>6.8697418166466781E-2</v>
      </c>
      <c r="N126" s="77">
        <f t="shared" ref="N126" si="57">IF(N$4="","",N125/Market_Price)</f>
        <v>5.7987475847007218E-2</v>
      </c>
      <c r="O126" s="77">
        <f t="shared" ref="O126" si="58">IF(O$4="","",O125/Market_Price)</f>
        <v>5.1412577484244847E-2</v>
      </c>
      <c r="P126" s="77">
        <f t="shared" ref="P126" si="59">IF(P$4="","",P125/Market_Price)</f>
        <v>4.4715990480918767E-2</v>
      </c>
      <c r="Q126" s="77" t="str">
        <f t="shared" ref="Q126" si="60">IF(Q$4="","",Q125/Market_Price)</f>
        <v/>
      </c>
    </row>
    <row r="127" spans="1:17" ht="15.75" customHeight="1">
      <c r="B127" s="2" t="s">
        <v>375</v>
      </c>
      <c r="C127" s="169"/>
      <c r="G127" s="23">
        <f>IF(G$4="","",(Data!C47*$C$3)/(Market_Price*Common_Shares))</f>
        <v>6.5121380213347513E-2</v>
      </c>
      <c r="H127" s="23">
        <f>IF(H$4="","",(Data!D47*$C$3)/(Market_Price*Common_Shares))</f>
        <v>9.7888037779755854E-2</v>
      </c>
      <c r="I127" s="23">
        <f>IF(I$4="","",(Data!E47*$C$3)/(Market_Price*Common_Shares))</f>
        <v>9.1720486084043484E-2</v>
      </c>
      <c r="J127" s="23">
        <f>IF(J$4="","",(Data!F47*$C$3)/(Market_Price*Common_Shares))</f>
        <v>7.3389076803855396E-2</v>
      </c>
      <c r="K127" s="23">
        <f>IF(K$4="","",(Data!G47*$C$3)/(Market_Price*Common_Shares))</f>
        <v>7.3113496388732602E-2</v>
      </c>
      <c r="L127" s="23">
        <f>IF(L$4="","",(Data!H47*$C$3)/(Market_Price*Common_Shares))</f>
        <v>7.215114713924059E-2</v>
      </c>
      <c r="M127" s="23">
        <f>IF(M$4="","",(Data!I47*$C$3)/(Market_Price*Common_Shares))</f>
        <v>7.9274729769234498E-2</v>
      </c>
      <c r="N127" s="23">
        <f>IF(N$4="","",(Data!J47*$C$3)/(Market_Price*Common_Shares))</f>
        <v>6.4655718221539232E-2</v>
      </c>
      <c r="O127" s="23">
        <f>IF(O$4="","",(Data!K47*$C$3)/(Market_Price*Common_Shares))</f>
        <v>5.6705542817851375E-2</v>
      </c>
      <c r="P127" s="23">
        <f>IF(P$4="","",(Data!L47*$C$3)/(Market_Price*Common_Shares))</f>
        <v>5.2410035082996048E-2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-67.930000000000007</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67.930000000000007</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67.930000000000007</v>
      </c>
      <c r="D86" t="str">
        <f>Market_currency</f>
        <v>CNY</v>
      </c>
    </row>
    <row r="87" spans="2:8" ht="13.15">
      <c r="B87" s="100" t="s">
        <v>293</v>
      </c>
      <c r="C87" s="237">
        <f ca="1">IRR(OFFSET($I$3, 0, 0, $C$76 + 1, 1))</f>
        <v>4.930033155971425E-2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A9CD-E334-467E-8605-D2196A3812A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