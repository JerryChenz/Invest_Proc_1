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06A2CB3D-EA84-4FEC-A916-2BEF577B3A41}" xr6:coauthVersionLast="47" xr6:coauthVersionMax="47" xr10:uidLastSave="{00000000-0000-0000-0000-000000000000}"/>
  <bookViews>
    <workbookView xWindow="368" yWindow="368" windowWidth="12689" windowHeight="7642"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C22" i="3" l="1"/>
  <c r="C23" i="3"/>
  <c r="C19" i="3"/>
  <c r="C4" i="3"/>
  <c r="C25" i="4"/>
  <c r="D139" i="6"/>
  <c r="C90" i="9"/>
  <c r="C136" i="6" s="1"/>
  <c r="D93" i="9"/>
  <c r="C96" i="9" l="1"/>
  <c r="C142" i="6" s="1"/>
  <c r="Q92" i="2"/>
  <c r="Q91" i="2"/>
  <c r="C28" i="6"/>
  <c r="H1" i="3"/>
  <c r="C3" i="2"/>
  <c r="C3" i="8"/>
  <c r="C130" i="6"/>
  <c r="D104" i="6"/>
  <c r="D145" i="6"/>
  <c r="Q48" i="2"/>
  <c r="C64" i="9"/>
  <c r="M69" i="4"/>
  <c r="M70" i="4"/>
  <c r="M71" i="4"/>
  <c r="M72" i="4"/>
  <c r="C32" i="4"/>
  <c r="C30" i="4"/>
  <c r="C29" i="4"/>
  <c r="C28" i="4"/>
  <c r="D64" i="4"/>
  <c r="E64" i="4"/>
  <c r="F64" i="4"/>
  <c r="G64" i="4"/>
  <c r="H64" i="4"/>
  <c r="I64" i="4"/>
  <c r="J64" i="4"/>
  <c r="K64" i="4"/>
  <c r="L64" i="4"/>
  <c r="M64" i="4"/>
  <c r="C64" i="4"/>
  <c r="E85" i="2"/>
  <c r="E86" i="2"/>
  <c r="D41" i="6"/>
  <c r="D40" i="6"/>
  <c r="F60" i="9"/>
  <c r="B10" i="6"/>
  <c r="B20" i="6"/>
  <c r="C40" i="3" l="1"/>
  <c r="B91" i="2" l="1"/>
  <c r="B90" i="2"/>
  <c r="C9" i="6"/>
  <c r="C71" i="9"/>
  <c r="D66" i="9"/>
  <c r="D18" i="8"/>
  <c r="D22" i="9"/>
  <c r="D21" i="9"/>
  <c r="D9" i="9"/>
  <c r="D86" i="9"/>
  <c r="C86" i="9"/>
  <c r="C76" i="9"/>
  <c r="E87" i="3"/>
  <c r="E88" i="3"/>
  <c r="E89" i="3"/>
  <c r="E86" i="3"/>
  <c r="I3" i="9"/>
  <c r="C69" i="6" l="1"/>
  <c r="C68" i="6"/>
  <c r="C70" i="6" l="1"/>
  <c r="D99" i="6"/>
  <c r="D95" i="6"/>
  <c r="D87" i="6"/>
  <c r="D77" i="6"/>
  <c r="E7" i="9"/>
  <c r="D8" i="9"/>
  <c r="D7" i="9"/>
  <c r="C21" i="9"/>
  <c r="D56" i="6"/>
  <c r="B124" i="2"/>
  <c r="C126" i="6"/>
  <c r="C127" i="6"/>
  <c r="C80" i="9" s="1"/>
  <c r="D93" i="6"/>
  <c r="D103" i="6"/>
  <c r="D128" i="6"/>
  <c r="D117" i="6"/>
  <c r="F78" i="8"/>
  <c r="F74" i="8"/>
  <c r="F111" i="6" s="1"/>
  <c r="D98" i="6"/>
  <c r="D94" i="6"/>
  <c r="D86" i="6"/>
  <c r="F4" i="8"/>
  <c r="D57" i="6"/>
  <c r="D45" i="6"/>
  <c r="B83" i="2"/>
  <c r="D51" i="6"/>
  <c r="D48" i="6"/>
  <c r="D42" i="6"/>
  <c r="D37" i="6"/>
  <c r="D34" i="6"/>
  <c r="D33" i="6"/>
  <c r="D30" i="6"/>
  <c r="B138" i="6" l="1"/>
  <c r="B137" i="6"/>
  <c r="B144" i="6"/>
  <c r="B143" i="6"/>
  <c r="B131" i="6"/>
  <c r="B132" i="6"/>
  <c r="F76" i="8"/>
  <c r="F113" i="6" s="1"/>
  <c r="F77" i="8"/>
  <c r="F114" i="6" s="1"/>
  <c r="F11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66" i="2" s="1"/>
  <c r="C58" i="2" s="1"/>
  <c r="D79" i="3"/>
  <c r="D82" i="3" s="1"/>
  <c r="H42" i="3" s="1"/>
  <c r="C9" i="8" s="1"/>
  <c r="C88" i="3" s="1"/>
  <c r="D88" i="3" s="1"/>
  <c r="C79" i="3"/>
  <c r="C82" i="3" s="1"/>
  <c r="G42" i="3" s="1"/>
  <c r="B47" i="3"/>
  <c r="D83" i="9"/>
  <c r="D77" i="9"/>
  <c r="D60" i="9"/>
  <c r="D57" i="9"/>
  <c r="D51" i="9"/>
  <c r="D42" i="9"/>
  <c r="D39" i="9"/>
  <c r="D27" i="9"/>
  <c r="D33" i="9"/>
  <c r="D12" i="8"/>
  <c r="C11" i="8"/>
  <c r="D10" i="8"/>
  <c r="B78" i="8"/>
  <c r="B115" i="6" s="1"/>
  <c r="B77" i="8"/>
  <c r="B114" i="6" s="1"/>
  <c r="B76" i="8"/>
  <c r="B113" i="6" s="1"/>
  <c r="B75" i="8"/>
  <c r="B112" i="6" s="1"/>
  <c r="B74" i="8"/>
  <c r="B111" i="6" s="1"/>
  <c r="C74" i="8"/>
  <c r="C55" i="9"/>
  <c r="D74" i="8" s="1"/>
  <c r="D111" i="6" s="1"/>
  <c r="C49" i="9"/>
  <c r="C40" i="9"/>
  <c r="F75" i="8" s="1"/>
  <c r="F11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8" i="2"/>
  <c r="C60" i="2" s="1"/>
  <c r="F55" i="8" l="1"/>
  <c r="F64" i="8" s="1"/>
  <c r="C111" i="6"/>
  <c r="C98" i="6"/>
  <c r="C99" i="6" s="1"/>
  <c r="G67" i="2"/>
  <c r="C67" i="2" s="1"/>
  <c r="C59" i="2" s="1"/>
  <c r="C77" i="8" l="1"/>
  <c r="C31" i="9"/>
  <c r="D77" i="8" s="1"/>
  <c r="D114" i="6" s="1"/>
  <c r="D78" i="8"/>
  <c r="D115" i="6" s="1"/>
  <c r="C25" i="9"/>
  <c r="D76" i="8" s="1"/>
  <c r="D113" i="6" s="1"/>
  <c r="C76" i="8"/>
  <c r="C5" i="8"/>
  <c r="C78" i="8"/>
  <c r="D75" i="8"/>
  <c r="D112" i="6" s="1"/>
  <c r="C75" i="8"/>
  <c r="C17" i="8"/>
  <c r="C16" i="8"/>
  <c r="Q96" i="2"/>
  <c r="D51" i="8"/>
  <c r="D133" i="6"/>
  <c r="A71" i="8"/>
  <c r="A70" i="8"/>
  <c r="C61" i="2" l="1"/>
  <c r="C63" i="2" s="1"/>
  <c r="D55" i="8"/>
  <c r="C113" i="6"/>
  <c r="B55" i="8"/>
  <c r="B64" i="8" s="1"/>
  <c r="C115" i="6"/>
  <c r="C55" i="8"/>
  <c r="C114" i="6"/>
  <c r="E55" i="8"/>
  <c r="C11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C10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K45" i="4" l="1"/>
  <c r="C90" i="2"/>
  <c r="L45" i="4"/>
  <c r="C34" i="2"/>
  <c r="C77" i="9"/>
  <c r="C91" i="9" s="1"/>
  <c r="C137" i="6" s="1"/>
  <c r="C93" i="2"/>
  <c r="C59" i="6" s="1"/>
  <c r="C70" i="3"/>
  <c r="C69" i="2" s="1"/>
  <c r="C9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2" l="1"/>
  <c r="C128" i="6"/>
  <c r="C97" i="9"/>
  <c r="C143" i="6" s="1"/>
  <c r="G72" i="4"/>
  <c r="I72" i="4"/>
  <c r="F72" i="4"/>
  <c r="E72" i="4"/>
  <c r="D72" i="4"/>
  <c r="J72" i="4"/>
  <c r="H72" i="4"/>
  <c r="L69" i="4"/>
  <c r="L70" i="4"/>
  <c r="L72" i="4"/>
  <c r="L71" i="4"/>
  <c r="K72" i="4"/>
  <c r="C72" i="4"/>
  <c r="I4" i="9"/>
  <c r="I5" i="9"/>
  <c r="C81" i="9"/>
  <c r="C131" i="6" s="1"/>
  <c r="C9" i="2"/>
  <c r="C33" i="6" s="1"/>
  <c r="G41" i="3"/>
  <c r="G32" i="3"/>
  <c r="G27" i="3" s="1"/>
  <c r="L68" i="4"/>
  <c r="D68" i="4"/>
  <c r="K68" i="4"/>
  <c r="C68" i="4"/>
  <c r="J68" i="4"/>
  <c r="I68" i="4"/>
  <c r="E68" i="4"/>
  <c r="H68" i="4"/>
  <c r="G68" i="4"/>
  <c r="F68" i="4"/>
  <c r="J4" i="2"/>
  <c r="Q4" i="2"/>
  <c r="Q126" i="2" s="1"/>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L38" i="4"/>
  <c r="L43" i="4" s="1"/>
  <c r="L44" i="4" s="1"/>
  <c r="L58" i="4" s="1"/>
  <c r="P62" i="2" s="1"/>
  <c r="E38" i="4"/>
  <c r="E43" i="4" s="1"/>
  <c r="M38" i="4"/>
  <c r="C10" i="6"/>
  <c r="B4" i="6"/>
  <c r="C31" i="4" l="1"/>
  <c r="C80" i="4" s="1"/>
  <c r="G105" i="2" s="1"/>
  <c r="G101" i="2" s="1"/>
  <c r="C88" i="6"/>
  <c r="F71" i="4"/>
  <c r="G70" i="4"/>
  <c r="E70" i="4"/>
  <c r="I71" i="4"/>
  <c r="J71" i="4"/>
  <c r="C70" i="4"/>
  <c r="O126" i="2"/>
  <c r="O91" i="2"/>
  <c r="M126" i="2"/>
  <c r="M91" i="2"/>
  <c r="K71" i="4"/>
  <c r="H70" i="4"/>
  <c r="F70" i="4"/>
  <c r="N126" i="2"/>
  <c r="N91" i="2"/>
  <c r="K70" i="4"/>
  <c r="P126" i="2"/>
  <c r="P91" i="2"/>
  <c r="J69" i="4"/>
  <c r="F69" i="4"/>
  <c r="G69" i="4"/>
  <c r="I69" i="4"/>
  <c r="J70" i="4"/>
  <c r="L126" i="2"/>
  <c r="L91" i="2"/>
  <c r="K69" i="4"/>
  <c r="H69" i="4"/>
  <c r="I70" i="4"/>
  <c r="D70" i="4"/>
  <c r="J91" i="2"/>
  <c r="I91" i="2"/>
  <c r="K126" i="2"/>
  <c r="K91" i="2"/>
  <c r="D69" i="4"/>
  <c r="H91" i="2"/>
  <c r="E69" i="4"/>
  <c r="C69" i="4"/>
  <c r="G113" i="2"/>
  <c r="G126" i="2"/>
  <c r="H113" i="2"/>
  <c r="H126" i="2"/>
  <c r="J113" i="2"/>
  <c r="J126" i="2"/>
  <c r="I113" i="2"/>
  <c r="I126" i="2"/>
  <c r="C76" i="4"/>
  <c r="K113" i="2"/>
  <c r="M113" i="2"/>
  <c r="L113" i="2"/>
  <c r="N113" i="2"/>
  <c r="P113" i="2"/>
  <c r="C33" i="2"/>
  <c r="O113" i="2"/>
  <c r="Q113" i="2"/>
  <c r="Q114" i="2"/>
  <c r="C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74" i="2" s="1"/>
  <c r="O35" i="2"/>
  <c r="O7" i="2" s="1"/>
  <c r="O75" i="2" s="1"/>
  <c r="O82" i="2"/>
  <c r="O28" i="2"/>
  <c r="O8" i="2" l="1"/>
  <c r="O40" i="2"/>
  <c r="H58" i="4"/>
  <c r="H71" i="4"/>
  <c r="O30" i="2"/>
  <c r="O73" i="2"/>
  <c r="G71" i="4"/>
  <c r="E58" i="4"/>
  <c r="I62" i="2" s="1"/>
  <c r="D71" i="4"/>
  <c r="E71" i="4"/>
  <c r="C58" i="4"/>
  <c r="G62" i="2" s="1"/>
  <c r="G63" i="2" s="1"/>
  <c r="C71" i="4"/>
  <c r="P40" i="2"/>
  <c r="P30" i="2"/>
  <c r="P63" i="2"/>
  <c r="P6" i="2"/>
  <c r="P73" i="2"/>
  <c r="C28" i="2"/>
  <c r="C23" i="2" s="1"/>
  <c r="C53" i="2"/>
  <c r="C49" i="2" s="1"/>
  <c r="C29" i="2"/>
  <c r="C24" i="2" s="1"/>
  <c r="C110" i="2"/>
  <c r="G30" i="2"/>
  <c r="C17" i="2"/>
  <c r="C51" i="6" s="1"/>
  <c r="M63" i="2"/>
  <c r="M11" i="2"/>
  <c r="N63" i="2"/>
  <c r="N11" i="2"/>
  <c r="G69" i="2"/>
  <c r="G11" i="2"/>
  <c r="N73" i="2"/>
  <c r="M6" i="2"/>
  <c r="M8" i="2" s="1"/>
  <c r="C96" i="2"/>
  <c r="J63" i="2"/>
  <c r="J79" i="2" s="1"/>
  <c r="H63" i="2"/>
  <c r="H79" i="2" s="1"/>
  <c r="N40" i="2"/>
  <c r="N119" i="2"/>
  <c r="M119" i="2"/>
  <c r="M40" i="2"/>
  <c r="N6" i="2"/>
  <c r="N8" i="2" s="1"/>
  <c r="M30" i="2"/>
  <c r="M73" i="2"/>
  <c r="N30" i="2"/>
  <c r="K62" i="2"/>
  <c r="L62" i="2"/>
  <c r="C119" i="2"/>
  <c r="C55" i="3"/>
  <c r="L119" i="2"/>
  <c r="J119" i="2"/>
  <c r="G119" i="2"/>
  <c r="H119" i="2"/>
  <c r="K119" i="2"/>
  <c r="I119" i="2"/>
  <c r="C118"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120" i="2"/>
  <c r="O76" i="2"/>
  <c r="O55"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83" i="2" s="1"/>
  <c r="C15" i="2" l="1"/>
  <c r="G1" i="2"/>
  <c r="C45"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C6" i="9"/>
  <c r="D76" i="3" l="1"/>
  <c r="D75" i="3" s="1"/>
  <c r="Q116" i="2"/>
  <c r="O116" i="2"/>
  <c r="P116" i="2"/>
  <c r="C48" i="2" l="1"/>
  <c r="D66" i="3"/>
  <c r="C8" i="8" s="1"/>
  <c r="C94" i="6" s="1"/>
  <c r="C95" i="6" s="1"/>
  <c r="C73" i="2"/>
  <c r="C41" i="3"/>
  <c r="M48" i="2" l="1"/>
  <c r="M50" i="2" s="1"/>
  <c r="M12" i="2" s="1"/>
  <c r="O48" i="2"/>
  <c r="O50" i="2" s="1"/>
  <c r="O12" i="2" s="1"/>
  <c r="P48" i="2"/>
  <c r="L48" i="2"/>
  <c r="L50" i="2" s="1"/>
  <c r="L12" i="2" s="1"/>
  <c r="N48" i="2"/>
  <c r="N50" i="2" s="1"/>
  <c r="N12" i="2" s="1"/>
  <c r="K48" i="2"/>
  <c r="K50" i="2" s="1"/>
  <c r="K12" i="2" s="1"/>
  <c r="K43" i="2" s="1"/>
  <c r="G48" i="2"/>
  <c r="G50" i="2" s="1"/>
  <c r="G12" i="2" s="1"/>
  <c r="G43" i="2" s="1"/>
  <c r="H48" i="2"/>
  <c r="H50" i="2" s="1"/>
  <c r="H12" i="2" s="1"/>
  <c r="H80" i="2" s="1"/>
  <c r="J48" i="2"/>
  <c r="J50" i="2" s="1"/>
  <c r="J12" i="2" s="1"/>
  <c r="J80" i="2" s="1"/>
  <c r="I48" i="2"/>
  <c r="I50" i="2" s="1"/>
  <c r="I12" i="2" s="1"/>
  <c r="I80" i="2" s="1"/>
  <c r="P50" i="2"/>
  <c r="P12" i="2" s="1"/>
  <c r="C40" i="6"/>
  <c r="C87" i="3"/>
  <c r="D87" i="3" s="1"/>
  <c r="C31" i="3"/>
  <c r="L80" i="2" l="1"/>
  <c r="L43" i="2"/>
  <c r="O80" i="2"/>
  <c r="O43" i="2"/>
  <c r="O13" i="2"/>
  <c r="K80" i="2"/>
  <c r="P80" i="2"/>
  <c r="P13" i="2"/>
  <c r="P43" i="2"/>
  <c r="M80" i="2"/>
  <c r="M43" i="2"/>
  <c r="J43" i="2"/>
  <c r="H43" i="2"/>
  <c r="I43" i="2"/>
  <c r="N80" i="2"/>
  <c r="N43" i="2"/>
  <c r="G80" i="2"/>
  <c r="C30" i="6"/>
  <c r="C74" i="2"/>
  <c r="C32" i="3"/>
  <c r="G31" i="3"/>
  <c r="B1" i="2"/>
  <c r="C7" i="8" l="1"/>
  <c r="C86" i="3" s="1"/>
  <c r="D86" i="3" s="1"/>
  <c r="C89" i="6"/>
  <c r="O16" i="2"/>
  <c r="O81" i="2"/>
  <c r="O117" i="2" s="1"/>
  <c r="P81" i="2"/>
  <c r="P117" i="2" s="1"/>
  <c r="P16" i="2"/>
  <c r="O97" i="2"/>
  <c r="C89" i="3"/>
  <c r="D89" i="3"/>
  <c r="C86" i="6"/>
  <c r="C87" i="6" s="1"/>
  <c r="F69" i="8"/>
  <c r="B69" i="8"/>
  <c r="E68" i="8"/>
  <c r="D69" i="8"/>
  <c r="F66" i="8"/>
  <c r="D67" i="8"/>
  <c r="E66" i="8"/>
  <c r="D71" i="8"/>
  <c r="D70" i="8"/>
  <c r="C68" i="8"/>
  <c r="F70" i="8"/>
  <c r="C66" i="8"/>
  <c r="E70" i="8"/>
  <c r="F71" i="8"/>
  <c r="E69" i="8"/>
  <c r="C69" i="8"/>
  <c r="B68" i="8"/>
  <c r="B66" i="8"/>
  <c r="G54" i="2"/>
  <c r="C54" i="2" s="1"/>
  <c r="C70" i="8" l="1"/>
  <c r="D66" i="8"/>
  <c r="B70" i="8"/>
  <c r="C67" i="8"/>
  <c r="C71" i="8"/>
  <c r="B67" i="8"/>
  <c r="E67" i="8"/>
  <c r="F67" i="8"/>
  <c r="E71" i="8"/>
  <c r="D68" i="8"/>
  <c r="F68" i="8"/>
  <c r="B71" i="8"/>
  <c r="O84" i="2"/>
  <c r="O19" i="2"/>
  <c r="O124" i="2"/>
  <c r="O125" i="2" s="1"/>
  <c r="P84" i="2"/>
  <c r="P19" i="2"/>
  <c r="P92" i="2" s="1"/>
  <c r="P124" i="2"/>
  <c r="P125" i="2" s="1"/>
  <c r="C47" i="2"/>
  <c r="O114" i="2" l="1"/>
  <c r="O87" i="2"/>
  <c r="O92" i="2"/>
  <c r="P114" i="2"/>
  <c r="P87" i="2"/>
  <c r="C55" i="2"/>
  <c r="C41" i="6"/>
  <c r="E78" i="8"/>
  <c r="E115" i="6" s="1"/>
  <c r="C50" i="2"/>
  <c r="C12" i="2" s="1"/>
  <c r="I1" i="2"/>
  <c r="C13" i="2" l="1"/>
  <c r="C14" i="2"/>
  <c r="C48" i="6" s="1"/>
  <c r="C42"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1" i="6" s="1"/>
  <c r="E75" i="8"/>
  <c r="E112" i="6" s="1"/>
  <c r="E77" i="8"/>
  <c r="E114" i="6" s="1"/>
  <c r="E76" i="8"/>
  <c r="E113" i="6" s="1"/>
  <c r="C27" i="9" l="1"/>
  <c r="C57" i="9"/>
  <c r="C33" i="9"/>
  <c r="C39" i="9"/>
  <c r="C42" i="9" l="1"/>
  <c r="C60" i="9" s="1"/>
  <c r="C92" i="9" s="1"/>
  <c r="C138" i="6" s="1"/>
  <c r="F72" i="9" l="1"/>
  <c r="C72" i="9" s="1"/>
  <c r="C98" i="9"/>
  <c r="I6" i="9"/>
  <c r="C82" i="9"/>
  <c r="C117" i="6"/>
  <c r="C99" i="9" l="1"/>
  <c r="C144" i="6"/>
  <c r="C87" i="9"/>
  <c r="C83" i="9"/>
  <c r="F83" i="9" s="1"/>
  <c r="C132" i="6"/>
  <c r="H76" i="2"/>
  <c r="H120" i="2"/>
  <c r="H116" i="2" s="1"/>
  <c r="H13" i="2"/>
  <c r="C21" i="6" l="1"/>
  <c r="C93" i="9"/>
  <c r="F99" i="9"/>
  <c r="C146" i="6" s="1"/>
  <c r="C145" i="6"/>
  <c r="C134" i="6"/>
  <c r="C133" i="6"/>
  <c r="C20" i="6" s="1"/>
  <c r="H16" i="2"/>
  <c r="H19" i="2" s="1"/>
  <c r="H81" i="2"/>
  <c r="H117" i="2" s="1"/>
  <c r="H114" i="2" l="1"/>
  <c r="H92" i="2"/>
  <c r="F93" i="9"/>
  <c r="C140" i="6" s="1"/>
  <c r="C139" i="6"/>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56"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114" i="2" l="1"/>
  <c r="N92" i="2"/>
  <c r="N84" i="2"/>
  <c r="L124" i="2"/>
  <c r="L125" i="2" s="1"/>
  <c r="L19" i="2"/>
  <c r="I114" i="2"/>
  <c r="I92" i="2"/>
  <c r="J114" i="2"/>
  <c r="J92" i="2"/>
  <c r="M124" i="2"/>
  <c r="M125" i="2" s="1"/>
  <c r="M19" i="2"/>
  <c r="I124" i="2"/>
  <c r="I125" i="2" s="1"/>
  <c r="J84" i="2"/>
  <c r="N124" i="2"/>
  <c r="N125" i="2" s="1"/>
  <c r="M84" i="2"/>
  <c r="I87" i="2"/>
  <c r="I84" i="2"/>
  <c r="J124" i="2"/>
  <c r="J125" i="2" s="1"/>
  <c r="K87" i="2"/>
  <c r="L84" i="2"/>
  <c r="N87" i="2"/>
  <c r="C76" i="2"/>
  <c r="C50" i="3"/>
  <c r="C90" i="6" s="1"/>
  <c r="C54" i="3"/>
  <c r="C120" i="2"/>
  <c r="L114" i="2" l="1"/>
  <c r="L92" i="2"/>
  <c r="L87" i="2"/>
  <c r="M114" i="2"/>
  <c r="M92" i="2"/>
  <c r="C14" i="9"/>
  <c r="M87" i="2"/>
  <c r="C81" i="2"/>
  <c r="C117" i="2" s="1"/>
  <c r="C97" i="2"/>
  <c r="J87" i="2"/>
  <c r="C82" i="2"/>
  <c r="C124" i="2" l="1"/>
  <c r="C84" i="2" l="1"/>
  <c r="C9" i="9"/>
  <c r="C57" i="6" l="1"/>
  <c r="C125" i="2"/>
  <c r="C58" i="6" s="1"/>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3" i="6" l="1"/>
  <c r="C22" i="9"/>
  <c r="C69" i="9" s="1"/>
  <c r="E65" i="8"/>
  <c r="F65" i="8"/>
  <c r="C65" i="8"/>
  <c r="B65" i="8"/>
  <c r="D65" i="8"/>
  <c r="F52" i="8"/>
  <c r="C18" i="8" s="1"/>
  <c r="C70" i="9" l="1"/>
  <c r="C15" i="6" s="1"/>
  <c r="C66" i="9"/>
  <c r="A55" i="8"/>
</calcChain>
</file>

<file path=xl/sharedStrings.xml><?xml version="1.0" encoding="utf-8"?>
<sst xmlns="http://schemas.openxmlformats.org/spreadsheetml/2006/main" count="616" uniqueCount="431">
  <si>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</si>
  <si>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</si>
  <si>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</si>
  <si>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</si>
  <si>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</si>
  <si>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</si>
  <si>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</si>
  <si>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</si>
  <si>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</si>
  <si>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</si>
  <si>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</si>
  <si>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</si>
  <si>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</si>
  <si>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</si>
  <si>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</si>
  <si>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</si>
  <si>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</si>
  <si>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</si>
  <si>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</si>
  <si>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</si>
  <si>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</si>
  <si>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</si>
  <si>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</si>
  <si>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</si>
  <si>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</si>
  <si>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</si>
  <si>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</si>
  <si>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</si>
  <si>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</si>
  <si>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</si>
  <si>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</si>
  <si>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</si>
  <si>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</si>
  <si>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</si>
  <si>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</si>
  <si>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</si>
  <si>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</si>
  <si>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</si>
  <si>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</si>
  <si>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</si>
  <si>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</si>
  <si>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</si>
  <si>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</si>
  <si>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</si>
  <si>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</si>
  <si>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</si>
  <si>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</si>
  <si>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</si>
  <si>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</si>
  <si>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</si>
  <si>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</si>
  <si>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</si>
  <si>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</si>
  <si>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</si>
  <si>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</si>
  <si>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</si>
  <si>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</si>
  <si>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</si>
  <si>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</si>
  <si>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</si>
  <si>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</si>
  <si>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</si>
  <si>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</si>
  <si>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</si>
  <si>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</si>
  <si>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</si>
  <si>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</si>
  <si>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</si>
  <si>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</si>
  <si>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</si>
  <si>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</si>
  <si>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</si>
  <si>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</si>
  <si>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</si>
  <si>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</si>
  <si>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</si>
  <si>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</si>
  <si>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</si>
  <si>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</si>
  <si>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</si>
  <si>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</si>
  <si>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</si>
  <si>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</si>
  <si>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</si>
  <si>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</si>
  <si>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</si>
  <si>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</si>
  <si>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</si>
  <si>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</si>
  <si>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</si>
  <si>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</si>
  <si>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</si>
  <si>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</si>
  <si>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</si>
  <si>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</si>
  <si>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</si>
  <si>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</si>
  <si>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</si>
  <si>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</si>
  <si>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</si>
  <si>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</si>
  <si>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</si>
  <si>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</si>
  <si>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</si>
  <si>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</si>
  <si>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</si>
  <si>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</si>
  <si>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</si>
  <si>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</si>
  <si>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</si>
  <si>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</si>
  <si>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</si>
  <si>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</si>
  <si>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</si>
  <si>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</si>
  <si>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</si>
  <si>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</si>
  <si>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</si>
  <si>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</si>
  <si>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</si>
  <si>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</si>
  <si>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</si>
  <si>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</si>
  <si>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</si>
  <si>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</si>
  <si>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</si>
  <si>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</si>
  <si>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</si>
  <si>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</si>
  <si>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</si>
  <si>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</si>
  <si>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</si>
  <si>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</si>
  <si>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</si>
  <si>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</si>
  <si>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</si>
  <si>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</si>
  <si>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</si>
  <si>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</si>
  <si>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</si>
  <si>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</si>
  <si>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</si>
  <si>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</si>
  <si>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</si>
  <si>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</si>
  <si>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</si>
  <si>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</si>
  <si>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</si>
  <si>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</si>
  <si>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</si>
  <si>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</si>
  <si>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</si>
  <si>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</si>
  <si>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</si>
  <si>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</si>
  <si>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</si>
  <si>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</si>
  <si>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</si>
  <si>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</si>
  <si>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</si>
  <si>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</si>
  <si>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</si>
  <si>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</si>
  <si>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</si>
  <si>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</si>
  <si>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</si>
  <si>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</si>
  <si>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</si>
  <si>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</si>
  <si>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</si>
  <si>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</si>
  <si>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</si>
  <si>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</si>
  <si>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</si>
  <si>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</si>
  <si>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</si>
  <si>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</si>
  <si>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</si>
  <si>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</si>
  <si>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</si>
  <si>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</si>
  <si>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</si>
  <si>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</si>
  <si>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</si>
  <si>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</si>
  <si>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</si>
  <si>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</si>
  <si>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</si>
  <si>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</si>
  <si>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</si>
  <si>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</si>
  <si>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</si>
  <si>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</si>
  <si>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</si>
  <si>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</si>
  <si>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</si>
  <si>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</si>
  <si>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</si>
  <si>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</si>
  <si>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</si>
  <si>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</si>
  <si>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</si>
  <si>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</si>
  <si>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</si>
  <si>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</si>
  <si>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</si>
  <si>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</si>
  <si>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</si>
  <si>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</si>
  <si>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</si>
  <si>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</si>
  <si>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</si>
  <si>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</si>
  <si>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</si>
  <si>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</si>
  <si>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</si>
  <si>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</si>
  <si>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</si>
  <si>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</si>
  <si>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</si>
  <si>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</si>
  <si>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</si>
  <si>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</si>
  <si>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</si>
  <si>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</si>
  <si>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</si>
  <si>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</si>
  <si>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</si>
  <si>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</si>
  <si>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</si>
  <si>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</si>
  <si>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</si>
  <si>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</si>
  <si>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</si>
  <si>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</si>
  <si>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</si>
  <si>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</si>
  <si>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</si>
  <si>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</si>
  <si>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</si>
  <si>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</si>
  <si>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</si>
  <si>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</si>
  <si>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</si>
  <si>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</si>
  <si>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</si>
  <si>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</si>
  <si>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</si>
  <si>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</si>
  <si>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</si>
  <si>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</si>
  <si>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</si>
  <si>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</si>
  <si>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</si>
  <si>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</si>
  <si>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</si>
  <si>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</si>
  <si>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</si>
  <si>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</si>
  <si>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</si>
  <si>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</si>
  <si>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</si>
  <si>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</si>
  <si>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</si>
  <si>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</si>
  <si>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</si>
  <si>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</si>
  <si>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</si>
  <si>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</si>
  <si>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</si>
  <si>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</si>
  <si>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</si>
  <si>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</si>
  <si>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</si>
  <si>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</si>
  <si>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</si>
  <si>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</si>
  <si>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</si>
  <si>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</si>
  <si>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</si>
  <si>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</si>
  <si>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</si>
  <si>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</si>
  <si>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</si>
  <si>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</si>
  <si>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</si>
  <si>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</si>
  <si>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</si>
  <si>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</si>
  <si>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</si>
  <si>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</si>
  <si>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</si>
  <si>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</si>
  <si>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</si>
  <si>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</si>
  <si>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</si>
  <si>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</si>
  <si>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</si>
  <si>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</si>
  <si>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</si>
  <si>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</si>
  <si>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</si>
  <si>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</si>
  <si>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</si>
  <si>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</si>
  <si>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</si>
  <si>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</si>
  <si>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</si>
  <si>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</si>
  <si>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</si>
  <si>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</si>
  <si>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</si>
  <si>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</si>
  <si>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</si>
  <si>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</si>
  <si>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</si>
  <si>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</si>
  <si>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</si>
  <si>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</si>
  <si>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</si>
  <si>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</si>
  <si>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</si>
  <si>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</si>
  <si>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</si>
  <si>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</si>
  <si>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</si>
  <si>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</si>
  <si>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</si>
  <si>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</si>
  <si>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</si>
  <si>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</si>
  <si>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</si>
  <si>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</si>
  <si>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</si>
  <si>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</si>
  <si>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</si>
  <si>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</si>
  <si>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</si>
  <si>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</si>
  <si>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</si>
  <si>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</si>
  <si>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</si>
  <si>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</si>
  <si>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</si>
  <si>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</si>
  <si>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</si>
  <si>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</si>
  <si>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</si>
  <si>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</si>
  <si>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</si>
  <si>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</si>
  <si>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</si>
  <si>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</si>
  <si>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</si>
  <si>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</si>
  <si>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</si>
  <si>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</si>
  <si>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</si>
  <si>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</si>
  <si>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</si>
  <si>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</si>
  <si>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</si>
  <si>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</si>
  <si>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</si>
  <si>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</si>
  <si>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</si>
  <si>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</si>
  <si>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</si>
  <si>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</si>
  <si>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</si>
  <si>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</si>
  <si>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</si>
  <si>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</si>
  <si>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</si>
  <si>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</si>
  <si>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</si>
  <si>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</si>
  <si>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</si>
  <si>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</si>
  <si>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</si>
  <si>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</si>
  <si>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</si>
  <si>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</si>
  <si>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</si>
  <si>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</si>
  <si>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</si>
  <si>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</si>
  <si>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</si>
  <si>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</si>
  <si>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</si>
  <si>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</si>
  <si>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</si>
  <si>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</si>
  <si>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</si>
  <si>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</si>
  <si>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</si>
  <si>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</si>
  <si>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</si>
  <si>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</si>
  <si>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</si>
  <si>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</si>
  <si>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</si>
  <si>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</si>
  <si>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</si>
  <si>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</si>
  <si>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</si>
  <si>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</si>
  <si>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</si>
  <si>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</si>
  <si>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</si>
  <si>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</si>
  <si>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</si>
  <si>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</si>
  <si>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</si>
  <si>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</si>
  <si>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</si>
  <si>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</si>
  <si>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</si>
  <si>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</si>
  <si>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</si>
  <si>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</si>
  <si>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</si>
  <si>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</si>
  <si>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</si>
  <si>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</si>
  <si>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</si>
  <si>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002304.SZ</t>
  </si>
  <si>
    <t>CNY</t>
  </si>
  <si>
    <t>洋河股份</t>
  </si>
  <si>
    <t>N</t>
  </si>
  <si>
    <t>CNS_03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</si>
</sst>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68"/>
  <sheetViews>
    <sheetView showGridLines="0" tabSelected="1" topLeftCell="A13" zoomScaleNormal="100" workbookViewId="0">
      <selection activeCell="C19" sqref="C19"/>
    </sheetView>
  </sheetViews>
  <sheetFormatPr defaultColWidth="9" defaultRowHeight="11.6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c r="B1" s="3" t="s">
        <v>41</v>
      </c>
      <c r="C1" s="44">
        <v>45780</v>
      </c>
      <c r="D1" s="52"/>
      <c r="E1" s="331" t="s">
        <v>362</v>
      </c>
      <c r="F1" s="284" t="s">
        <v>429</v>
      </c>
    </row>
    <row r="2" spans="1:10" ht="13.9">
      <c r="A2" s="247" t="s">
        <v>268</v>
      </c>
      <c r="B2" s="36"/>
      <c r="C2" s="36"/>
      <c r="D2" s="36"/>
      <c r="E2" s="36"/>
      <c r="F2" s="36"/>
      <c r="G2" s="22"/>
      <c r="H2" s="22"/>
      <c r="I2" s="22"/>
      <c r="J2" s="22"/>
    </row>
    <row r="4" spans="1:10">
      <c r="B4" s="45" t="str">
        <f>D5&amp;" Stock Information"</f>
        <v>002304.SZ Stock Information</v>
      </c>
      <c r="C4" s="46"/>
      <c r="D4" s="5"/>
      <c r="E4" s="2"/>
      <c r="F4" s="2"/>
    </row>
    <row r="5" spans="1:10" ht="12.4">
      <c r="B5" s="4" t="s">
        <v>323</v>
      </c>
      <c r="C5" s="333" t="s">
        <v>428</v>
      </c>
      <c r="D5" s="49" t="s">
        <v>426</v>
      </c>
    </row>
    <row r="6" spans="1:10">
      <c r="B6" s="4" t="s">
        <v>95</v>
      </c>
      <c r="C6" s="50">
        <v>69.099999999999994</v>
      </c>
      <c r="D6" s="48" t="s">
        <v>427</v>
      </c>
      <c r="E6" s="48"/>
    </row>
    <row r="7" spans="1:10">
      <c r="B7" s="4" t="s">
        <v>0</v>
      </c>
      <c r="C7" s="51">
        <v>1506988000</v>
      </c>
      <c r="D7" s="34"/>
      <c r="E7" s="34"/>
    </row>
    <row r="8" spans="1:10">
      <c r="B8" s="2" t="s">
        <v>314</v>
      </c>
      <c r="C8" s="279">
        <v>6</v>
      </c>
      <c r="D8" s="5"/>
      <c r="E8" s="48"/>
    </row>
    <row r="9" spans="1:10">
      <c r="B9" s="1" t="s">
        <v>269</v>
      </c>
      <c r="C9" s="33">
        <f>EOMONTH(EDATE(BS!C1,C8+2),0)</f>
        <v>45900</v>
      </c>
      <c r="D9" s="5"/>
      <c r="E9" s="5"/>
    </row>
    <row r="10" spans="1:10">
      <c r="B10" s="4" t="str">
        <f>"Capitalization ("&amp;Market_currency&amp;"):"</f>
        <v>Capitalization (CNY):</v>
      </c>
      <c r="C10" s="35">
        <f>Thesis!C6*Thesis!C7/1000000</f>
        <v>104132.87079999999</v>
      </c>
      <c r="D10" s="32"/>
      <c r="E10" s="5"/>
    </row>
    <row r="11" spans="1:10">
      <c r="D11" s="5"/>
      <c r="E11" s="5"/>
    </row>
    <row r="12" spans="1:10" ht="24.4" customHeight="1">
      <c r="B12" s="340" t="s">
        <v>369</v>
      </c>
      <c r="C12" s="340"/>
      <c r="D12" s="340"/>
      <c r="E12" s="340"/>
      <c r="F12" s="340"/>
    </row>
    <row r="14" spans="1:10">
      <c r="B14" s="45" t="s">
        <v>313</v>
      </c>
      <c r="C14" s="46"/>
      <c r="D14" s="5"/>
    </row>
    <row r="15" spans="1:10">
      <c r="B15" s="2" t="s">
        <v>357</v>
      </c>
      <c r="C15" s="32" t="str">
        <f>IF(Scenarios!C69="Y",Scenarios!B69,"")&amp;IF(Scenarios!C70="Y",Scenarios!B70,"")&amp;IF(Scenarios!C71="Y",Scenarios!B71,"")&amp;" "&amp;IF(Scenarios!C72="Y",Scenarios!B72,"")</f>
        <v xml:space="preserve">Low Growth </v>
      </c>
      <c r="E15" s="5"/>
    </row>
    <row r="16" spans="1:10">
      <c r="B16" s="4" t="s">
        <v>356</v>
      </c>
      <c r="C16" s="48" t="s">
        <v>427</v>
      </c>
      <c r="D16" s="32"/>
      <c r="E16" s="5"/>
    </row>
    <row r="17" spans="1:6">
      <c r="B17" s="4" t="s">
        <v>1</v>
      </c>
      <c r="C17" s="50">
        <v>1</v>
      </c>
      <c r="D17" s="32" t="str">
        <f>IF(C16=D6,D6,C16&amp;"/"&amp;D6)</f>
        <v>CNY</v>
      </c>
      <c r="E17" s="5"/>
    </row>
    <row r="18" spans="1:6">
      <c r="B18" s="2" t="s">
        <v>56</v>
      </c>
      <c r="C18" s="48" t="s">
        <v>430</v>
      </c>
      <c r="E18" s="5"/>
    </row>
    <row r="19" spans="1:6">
      <c r="B19" s="2" t="s">
        <v>277</v>
      </c>
      <c r="C19" s="249">
        <v>0.3</v>
      </c>
      <c r="D19" s="1" t="s">
        <v>419</v>
      </c>
      <c r="E19" s="339">
        <v>0.2</v>
      </c>
    </row>
    <row r="20" spans="1:6">
      <c r="B20" s="2" t="str">
        <f>"Target Buy Price ("&amp;Market_currency&amp;"):"</f>
        <v>Target Buy Price (CNY):</v>
      </c>
      <c r="C20" s="252">
        <f>C133</f>
        <v>49.746673136282389</v>
      </c>
      <c r="D20" s="1" t="s">
        <v>315</v>
      </c>
      <c r="E20" s="330">
        <v>3</v>
      </c>
    </row>
    <row r="21" spans="1:6">
      <c r="B21" s="1" t="s">
        <v>409</v>
      </c>
      <c r="C21" s="280">
        <f ca="1">Scenarios!C87</f>
        <v>0.15689676518236584</v>
      </c>
      <c r="D21" s="5"/>
      <c r="E21" s="5"/>
    </row>
    <row r="22" spans="1:6">
      <c r="D22" s="5"/>
      <c r="E22" s="5"/>
    </row>
    <row r="23" spans="1:6" ht="13.9">
      <c r="A23" s="247" t="s">
        <v>364</v>
      </c>
      <c r="B23" s="36"/>
      <c r="C23" s="36"/>
      <c r="D23" s="36"/>
      <c r="E23" s="36"/>
      <c r="F23" s="36"/>
    </row>
    <row r="25" spans="1:6" ht="24.4" customHeight="1">
      <c r="B25" s="340" t="s">
        <v>370</v>
      </c>
      <c r="C25" s="340"/>
      <c r="D25" s="340"/>
      <c r="E25" s="340"/>
      <c r="F25" s="340"/>
    </row>
    <row r="26" spans="1:6" ht="24.4" customHeight="1">
      <c r="B26" s="342" t="s">
        <v>348</v>
      </c>
      <c r="C26" s="342"/>
      <c r="D26" s="342"/>
      <c r="E26" s="342"/>
      <c r="F26" s="342"/>
    </row>
    <row r="28" spans="1:6">
      <c r="B28" s="234" t="s">
        <v>231</v>
      </c>
      <c r="C28" s="108">
        <f>scaling_factor</f>
        <v>1</v>
      </c>
    </row>
    <row r="29" spans="1:6" ht="24.4" customHeight="1">
      <c r="B29" s="341" t="s">
        <v>232</v>
      </c>
      <c r="C29" s="341"/>
      <c r="D29" s="341"/>
      <c r="E29" s="341"/>
      <c r="F29" s="341"/>
    </row>
    <row r="30" spans="1:6">
      <c r="B30" s="47" t="s">
        <v>233</v>
      </c>
      <c r="C30" s="188">
        <f>Normalized_FCF!C8</f>
        <v>10504024858.984821</v>
      </c>
      <c r="D30" s="1" t="str">
        <f>Reporting_currency</f>
        <v>CNY</v>
      </c>
    </row>
    <row r="31" spans="1:6">
      <c r="B31" s="47"/>
      <c r="C31" s="76"/>
    </row>
    <row r="32" spans="1:6" ht="24.4" customHeight="1">
      <c r="B32" s="341" t="s">
        <v>234</v>
      </c>
      <c r="C32" s="341"/>
      <c r="D32" s="341"/>
      <c r="E32" s="341"/>
      <c r="F32" s="341"/>
    </row>
    <row r="33" spans="2:6">
      <c r="B33" s="47" t="s">
        <v>235</v>
      </c>
      <c r="C33" s="188">
        <f>Normalized_FCF!C9</f>
        <v>697421786</v>
      </c>
      <c r="D33" s="1" t="str">
        <f>Reporting_currency</f>
        <v>CNY</v>
      </c>
    </row>
    <row r="34" spans="2:6">
      <c r="B34" s="52" t="s">
        <v>236</v>
      </c>
      <c r="C34" s="188">
        <f>Normalized_FCF!C10</f>
        <v>-697421786</v>
      </c>
      <c r="D34" s="1" t="str">
        <f>Reporting_currency</f>
        <v>CNY</v>
      </c>
    </row>
    <row r="36" spans="2:6">
      <c r="B36" s="341" t="s">
        <v>237</v>
      </c>
      <c r="C36" s="341"/>
      <c r="D36" s="341"/>
      <c r="E36" s="341"/>
      <c r="F36" s="341"/>
    </row>
    <row r="37" spans="2:6">
      <c r="B37" s="47" t="s">
        <v>238</v>
      </c>
      <c r="C37" s="188">
        <f>Normalized_FCF!C11</f>
        <v>0</v>
      </c>
      <c r="D37" s="1" t="str">
        <f>Reporting_currency</f>
        <v>CNY</v>
      </c>
    </row>
    <row r="39" spans="2:6">
      <c r="B39" s="341" t="s">
        <v>241</v>
      </c>
      <c r="C39" s="341"/>
      <c r="D39" s="341"/>
      <c r="E39" s="341"/>
      <c r="F39" s="341"/>
    </row>
    <row r="40" spans="2:6">
      <c r="B40" s="47" t="s">
        <v>349</v>
      </c>
      <c r="C40" s="322">
        <f>Normalized_FCF!C48</f>
        <v>123170761.45263389</v>
      </c>
      <c r="D40" s="1" t="str">
        <f>Reporting_currency</f>
        <v>CNY</v>
      </c>
      <c r="E40" s="321"/>
      <c r="F40" s="321"/>
    </row>
    <row r="41" spans="2:6">
      <c r="B41" s="47" t="s">
        <v>350</v>
      </c>
      <c r="C41" s="322">
        <f>Normalized_FCF!C47</f>
        <v>-2955080</v>
      </c>
      <c r="D41" s="1" t="str">
        <f>Reporting_currency</f>
        <v>CNY</v>
      </c>
      <c r="E41" s="321"/>
      <c r="F41" s="321"/>
    </row>
    <row r="42" spans="2:6">
      <c r="B42" s="47" t="s">
        <v>239</v>
      </c>
      <c r="C42" s="188">
        <f>Normalized_FCF!C12</f>
        <v>120215681.45263389</v>
      </c>
      <c r="D42" s="1" t="str">
        <f>Reporting_currency</f>
        <v>CNY</v>
      </c>
    </row>
    <row r="44" spans="2:6">
      <c r="B44" s="1" t="s">
        <v>247</v>
      </c>
    </row>
    <row r="45" spans="2:6">
      <c r="B45" s="47" t="s">
        <v>266</v>
      </c>
      <c r="C45" s="188">
        <f>Normalized_FCF!C15</f>
        <v>-11281261.817791469</v>
      </c>
      <c r="D45" s="1" t="str">
        <f>Reporting_currency</f>
        <v>CNY</v>
      </c>
    </row>
    <row r="47" spans="2:6">
      <c r="B47" s="341" t="s">
        <v>242</v>
      </c>
      <c r="C47" s="341"/>
      <c r="D47" s="341"/>
      <c r="E47" s="341"/>
      <c r="F47" s="341"/>
    </row>
    <row r="48" spans="2:6">
      <c r="B48" s="47" t="s">
        <v>240</v>
      </c>
      <c r="C48" s="188">
        <f>Normalized_FCF!C14</f>
        <v>-2656060135.109364</v>
      </c>
      <c r="D48" s="1" t="str">
        <f>Reporting_currency</f>
        <v>CNY</v>
      </c>
    </row>
    <row r="50" spans="1:6">
      <c r="B50" s="341" t="s">
        <v>347</v>
      </c>
      <c r="C50" s="344"/>
      <c r="D50" s="344"/>
      <c r="E50" s="344"/>
      <c r="F50" s="344"/>
    </row>
    <row r="51" spans="1:6">
      <c r="B51" s="47" t="s">
        <v>243</v>
      </c>
      <c r="C51" s="1">
        <f>Normalized_FCF!C17</f>
        <v>0</v>
      </c>
      <c r="D51" s="1" t="str">
        <f>Reporting_currency</f>
        <v>CNY</v>
      </c>
    </row>
    <row r="53" spans="1:6" ht="24.4" customHeight="1">
      <c r="B53" s="340" t="s">
        <v>352</v>
      </c>
      <c r="C53" s="340"/>
      <c r="D53" s="340"/>
      <c r="E53" s="340"/>
      <c r="F53" s="340"/>
    </row>
    <row r="54" spans="1:6" ht="24.4" customHeight="1">
      <c r="B54" s="340" t="s">
        <v>371</v>
      </c>
      <c r="C54" s="340"/>
      <c r="D54" s="340"/>
      <c r="E54" s="340"/>
      <c r="F54" s="340"/>
    </row>
    <row r="56" spans="1:6">
      <c r="B56" s="47" t="s">
        <v>271</v>
      </c>
      <c r="C56" s="188">
        <f>Normalized_FCF!G19</f>
        <v>7094251918.3469982</v>
      </c>
      <c r="D56" s="1" t="str">
        <f>Reporting_currency</f>
        <v>CNY</v>
      </c>
    </row>
    <row r="57" spans="1:6">
      <c r="B57" s="47" t="s">
        <v>249</v>
      </c>
      <c r="C57" s="188">
        <f>Normalized_FCF!C19</f>
        <v>7956899143.5103006</v>
      </c>
      <c r="D57" s="1" t="str">
        <f>Reporting_currency</f>
        <v>CNY</v>
      </c>
    </row>
    <row r="58" spans="1:6">
      <c r="B58" s="254" t="s">
        <v>400</v>
      </c>
      <c r="C58" s="92">
        <f>Normalized_FCF!C125</f>
        <v>7.6411022594320921E-2</v>
      </c>
    </row>
    <row r="59" spans="1:6">
      <c r="B59" s="254" t="s">
        <v>316</v>
      </c>
      <c r="C59" s="92">
        <f>Normalized_FCF!C93</f>
        <v>6.7250361794500738E-2</v>
      </c>
    </row>
    <row r="61" spans="1:6" ht="13.9">
      <c r="A61" s="247" t="s">
        <v>365</v>
      </c>
      <c r="B61" s="36"/>
      <c r="C61" s="36"/>
      <c r="D61" s="36"/>
      <c r="E61" s="36"/>
      <c r="F61" s="36"/>
    </row>
    <row r="62" spans="1:6">
      <c r="A62" s="233"/>
    </row>
    <row r="63" spans="1:6" ht="24.4" customHeight="1">
      <c r="A63" s="17"/>
      <c r="B63" s="340" t="s">
        <v>372</v>
      </c>
      <c r="C63" s="340"/>
      <c r="D63" s="340"/>
      <c r="E63" s="340"/>
      <c r="F63" s="340"/>
    </row>
    <row r="64" spans="1:6">
      <c r="B64" s="342" t="s">
        <v>253</v>
      </c>
      <c r="C64" s="342"/>
      <c r="D64" s="342"/>
      <c r="E64" s="342"/>
      <c r="F64" s="342"/>
    </row>
    <row r="66" spans="1:6">
      <c r="B66" s="234" t="s">
        <v>231</v>
      </c>
    </row>
    <row r="67" spans="1:6">
      <c r="B67" s="1" t="s">
        <v>288</v>
      </c>
      <c r="C67" s="311">
        <v>0.08</v>
      </c>
    </row>
    <row r="68" spans="1:6">
      <c r="B68" s="1" t="s">
        <v>290</v>
      </c>
      <c r="C68" s="263">
        <f>IF(D68="Y",1%,0)</f>
        <v>0</v>
      </c>
      <c r="D68" s="286" t="s">
        <v>329</v>
      </c>
    </row>
    <row r="69" spans="1:6">
      <c r="B69" s="1" t="s">
        <v>289</v>
      </c>
      <c r="C69" s="263">
        <f>IF(D69="Y",1%,0)</f>
        <v>0</v>
      </c>
      <c r="D69" s="286" t="s">
        <v>329</v>
      </c>
    </row>
    <row r="70" spans="1:6">
      <c r="B70" s="80" t="s">
        <v>248</v>
      </c>
      <c r="C70" s="263">
        <f>SUM(C67:C69)</f>
        <v>0.08</v>
      </c>
    </row>
    <row r="71" spans="1:6">
      <c r="C71" s="122"/>
    </row>
    <row r="72" spans="1:6">
      <c r="B72" s="332" t="s">
        <v>366</v>
      </c>
      <c r="C72" s="122"/>
    </row>
    <row r="73" spans="1:6" ht="24.4" customHeight="1">
      <c r="B73" s="340" t="s">
        <v>373</v>
      </c>
      <c r="C73" s="340"/>
      <c r="D73" s="340"/>
      <c r="E73" s="340"/>
      <c r="F73" s="340"/>
    </row>
    <row r="74" spans="1:6" ht="24.4" customHeight="1">
      <c r="B74" s="340" t="s">
        <v>374</v>
      </c>
      <c r="C74" s="340"/>
      <c r="D74" s="340"/>
      <c r="E74" s="340"/>
      <c r="F74" s="340"/>
    </row>
    <row r="76" spans="1:6">
      <c r="B76" s="47" t="s">
        <v>252</v>
      </c>
      <c r="C76" s="263">
        <v>0</v>
      </c>
    </row>
    <row r="77" spans="1:6">
      <c r="B77" s="47" t="s">
        <v>284</v>
      </c>
      <c r="C77" s="248">
        <f>Valuation_Model!C6*scaling_factor*Exchange_Rate/Common_Shares</f>
        <v>66.000020765844681</v>
      </c>
      <c r="D77" s="1" t="str">
        <f>Market_currency</f>
        <v>CNY</v>
      </c>
    </row>
    <row r="79" spans="1:6" ht="13.9">
      <c r="A79" s="247" t="s">
        <v>367</v>
      </c>
      <c r="B79" s="36"/>
      <c r="C79" s="36"/>
      <c r="D79" s="36"/>
      <c r="E79" s="36"/>
      <c r="F79" s="36"/>
    </row>
    <row r="80" spans="1:6">
      <c r="A80" s="233"/>
    </row>
    <row r="81" spans="2:6">
      <c r="B81" s="340" t="s">
        <v>375</v>
      </c>
      <c r="C81" s="340"/>
      <c r="D81" s="340"/>
      <c r="E81" s="340"/>
      <c r="F81" s="340"/>
    </row>
    <row r="82" spans="2:6">
      <c r="B82" s="1" t="s">
        <v>254</v>
      </c>
    </row>
    <row r="84" spans="2:6">
      <c r="B84" s="234" t="s">
        <v>231</v>
      </c>
    </row>
    <row r="85" spans="2:6" ht="24.4" customHeight="1">
      <c r="B85" s="340" t="s">
        <v>353</v>
      </c>
      <c r="C85" s="340"/>
      <c r="D85" s="340"/>
      <c r="E85" s="340"/>
      <c r="F85" s="340"/>
    </row>
    <row r="86" spans="2:6">
      <c r="B86" s="47" t="s">
        <v>256</v>
      </c>
      <c r="C86" s="188">
        <f>Valuation_Model!C7</f>
        <v>40134989.460000001</v>
      </c>
      <c r="D86" s="1" t="str">
        <f>Reporting_currency</f>
        <v>CNY</v>
      </c>
    </row>
    <row r="87" spans="2:6">
      <c r="B87" s="47" t="s">
        <v>285</v>
      </c>
      <c r="C87" s="248">
        <f>C86*scaling_factor*Exchange_Rate/Common_Shares</f>
        <v>2.6632587293329478E-2</v>
      </c>
      <c r="D87" s="1" t="str">
        <f>Market_currency</f>
        <v>CNY</v>
      </c>
    </row>
    <row r="88" spans="2:6">
      <c r="B88" s="336" t="s">
        <v>414</v>
      </c>
      <c r="C88" s="337">
        <f>BS!G30/BS!G27</f>
        <v>0.30279158651211824</v>
      </c>
    </row>
    <row r="89" spans="2:6">
      <c r="B89" s="336" t="s">
        <v>415</v>
      </c>
      <c r="C89" s="337">
        <f>BS!G31/BS!G27</f>
        <v>7.7640983998987034E-4</v>
      </c>
    </row>
    <row r="90" spans="2:6">
      <c r="B90" s="336" t="s">
        <v>417</v>
      </c>
      <c r="C90" s="338">
        <f>BS!C50</f>
        <v>3.8209153156820415E-3</v>
      </c>
    </row>
    <row r="92" spans="2:6">
      <c r="B92" s="1" t="s">
        <v>255</v>
      </c>
    </row>
    <row r="93" spans="2:6">
      <c r="B93" s="47" t="s">
        <v>265</v>
      </c>
      <c r="C93" s="188">
        <f>BS!C66</f>
        <v>21748297978.369999</v>
      </c>
      <c r="D93" s="1" t="str">
        <f>Reporting_currency</f>
        <v>CNY</v>
      </c>
    </row>
    <row r="94" spans="2:6">
      <c r="B94" s="47" t="s">
        <v>267</v>
      </c>
      <c r="C94" s="188">
        <f>Valuation_Model!C8</f>
        <v>17437737876.49247</v>
      </c>
      <c r="D94" s="1" t="str">
        <f>Reporting_currency</f>
        <v>CNY</v>
      </c>
    </row>
    <row r="95" spans="2:6">
      <c r="B95" s="47" t="s">
        <v>286</v>
      </c>
      <c r="C95" s="248">
        <f>C94*scaling_factor*Exchange_Rate/Common_Shares</f>
        <v>11.571251978444732</v>
      </c>
      <c r="D95" s="1" t="str">
        <f>Market_currency</f>
        <v>CNY</v>
      </c>
    </row>
    <row r="97" spans="1:6">
      <c r="B97" s="1" t="s">
        <v>257</v>
      </c>
    </row>
    <row r="98" spans="1:6">
      <c r="B98" s="47" t="s">
        <v>258</v>
      </c>
      <c r="C98" s="188">
        <f>Valuation_Model!C9</f>
        <v>3951628136.4709997</v>
      </c>
      <c r="D98" s="1" t="str">
        <f>Reporting_currency</f>
        <v>CNY</v>
      </c>
    </row>
    <row r="99" spans="1:6">
      <c r="B99" s="47" t="s">
        <v>287</v>
      </c>
      <c r="C99" s="248">
        <f>C98*scaling_factor*Exchange_Rate/Common_Shares</f>
        <v>2.6222027889213448</v>
      </c>
      <c r="D99" s="1" t="str">
        <f>Market_currency</f>
        <v>CNY</v>
      </c>
    </row>
    <row r="101" spans="1:6" ht="24.4" customHeight="1">
      <c r="B101" s="340" t="s">
        <v>376</v>
      </c>
      <c r="C101" s="340"/>
      <c r="D101" s="340"/>
      <c r="E101" s="340"/>
      <c r="F101" s="340"/>
    </row>
    <row r="103" spans="1:6">
      <c r="B103" s="47" t="s">
        <v>283</v>
      </c>
      <c r="C103" s="248">
        <f>Valuation_Model!C12</f>
        <v>80.166842945917438</v>
      </c>
      <c r="D103" s="1" t="str">
        <f>Market_currency</f>
        <v>CNY</v>
      </c>
    </row>
    <row r="104" spans="1:6">
      <c r="B104" s="336" t="s">
        <v>416</v>
      </c>
      <c r="C104" s="248">
        <f>BS!D47</f>
        <v>15.284602440692964</v>
      </c>
      <c r="D104" s="1" t="str">
        <f>Market_currency</f>
        <v>CNY</v>
      </c>
    </row>
    <row r="106" spans="1:6" ht="13.9">
      <c r="A106" s="247" t="s">
        <v>368</v>
      </c>
      <c r="B106" s="36"/>
      <c r="C106" s="36"/>
      <c r="D106" s="36"/>
      <c r="E106" s="36"/>
      <c r="F106" s="36"/>
    </row>
    <row r="108" spans="1:6" ht="24.4" customHeight="1">
      <c r="B108" s="341" t="s">
        <v>377</v>
      </c>
      <c r="C108" s="341"/>
      <c r="D108" s="341"/>
      <c r="E108" s="341"/>
      <c r="F108" s="341"/>
    </row>
    <row r="110" spans="1:6" ht="12.4">
      <c r="B110" s="260" t="s">
        <v>118</v>
      </c>
      <c r="C110" s="260" t="s">
        <v>133</v>
      </c>
      <c r="D110" s="260" t="s">
        <v>113</v>
      </c>
      <c r="E110" s="260" t="s">
        <v>260</v>
      </c>
      <c r="F110" s="260" t="s">
        <v>148</v>
      </c>
    </row>
    <row r="111" spans="1:6">
      <c r="B111" s="255" t="str">
        <f>Valuation_Model!B74</f>
        <v>Snowball Scenario</v>
      </c>
      <c r="C111" s="256">
        <f>Valuation_Model!C74</f>
        <v>0.1</v>
      </c>
      <c r="D111" s="257">
        <f>Valuation_Model!D74</f>
        <v>15</v>
      </c>
      <c r="E111" s="258" t="str">
        <f>ROUND(Valuation_Model!E74,2)&amp;" "&amp;Market_currency</f>
        <v>129.06 CNY</v>
      </c>
      <c r="F111" s="259">
        <f>Valuation_Model!F74</f>
        <v>0.05</v>
      </c>
    </row>
    <row r="112" spans="1:6">
      <c r="B112" s="242" t="str">
        <f>Valuation_Model!B75</f>
        <v>Optimistic</v>
      </c>
      <c r="C112" s="243">
        <f>Valuation_Model!C75</f>
        <v>0.06</v>
      </c>
      <c r="D112" s="244">
        <f>Valuation_Model!D75</f>
        <v>10</v>
      </c>
      <c r="E112" s="245" t="str">
        <f>ROUND(Valuation_Model!E75,2)&amp;" "&amp;Market_currency</f>
        <v>94.28 CNY</v>
      </c>
      <c r="F112" s="246">
        <f>Valuation_Model!F75</f>
        <v>0.18</v>
      </c>
    </row>
    <row r="113" spans="1:6">
      <c r="B113" s="242" t="str">
        <f>Valuation_Model!B76</f>
        <v>Base</v>
      </c>
      <c r="C113" s="243">
        <f>Valuation_Model!C76</f>
        <v>0.04</v>
      </c>
      <c r="D113" s="244">
        <f>Valuation_Model!D76</f>
        <v>10</v>
      </c>
      <c r="E113" s="245" t="str">
        <f>ROUND(Valuation_Model!E76,2)&amp;" "&amp;Market_currency</f>
        <v>89.12 CNY</v>
      </c>
      <c r="F113" s="246">
        <f>Valuation_Model!F76</f>
        <v>0.53999999999999992</v>
      </c>
    </row>
    <row r="114" spans="1:6">
      <c r="B114" s="242" t="str">
        <f>Valuation_Model!B77</f>
        <v>Pessimistic</v>
      </c>
      <c r="C114" s="243">
        <f>Valuation_Model!C77</f>
        <v>0.02</v>
      </c>
      <c r="D114" s="244">
        <f>Valuation_Model!D77</f>
        <v>10</v>
      </c>
      <c r="E114" s="245" t="str">
        <f>ROUND(Valuation_Model!E77,2)&amp;" "&amp;Market_currency</f>
        <v>84.43 CNY</v>
      </c>
      <c r="F114" s="246">
        <f>Valuation_Model!F77</f>
        <v>0.18</v>
      </c>
    </row>
    <row r="115" spans="1:6">
      <c r="B115" s="242" t="str">
        <f>Valuation_Model!B78</f>
        <v>Devil's advocate</v>
      </c>
      <c r="C115" s="243">
        <f>Valuation_Model!C78</f>
        <v>0</v>
      </c>
      <c r="D115" s="244">
        <f>Valuation_Model!D78</f>
        <v>15</v>
      </c>
      <c r="E115" s="245" t="str">
        <f>ROUND(Valuation_Model!E78,2)&amp;" "&amp;Market_currency</f>
        <v>80.17 CNY</v>
      </c>
      <c r="F115" s="246">
        <f>Valuation_Model!F78</f>
        <v>0.05</v>
      </c>
    </row>
    <row r="117" spans="1:6">
      <c r="B117" s="235" t="s">
        <v>259</v>
      </c>
      <c r="C117" s="241">
        <f>Scenarios!C60</f>
        <v>90.751910880412424</v>
      </c>
      <c r="D117" s="236" t="str">
        <f>Market_currency</f>
        <v>CNY</v>
      </c>
    </row>
    <row r="119" spans="1:6" ht="24.4" customHeight="1">
      <c r="B119" s="345" t="s">
        <v>380</v>
      </c>
      <c r="C119" s="345"/>
      <c r="D119" s="345"/>
      <c r="E119" s="345"/>
      <c r="F119" s="345"/>
    </row>
    <row r="121" spans="1:6" ht="13.9">
      <c r="A121" s="247" t="s">
        <v>412</v>
      </c>
      <c r="B121" s="36"/>
      <c r="C121" s="36"/>
      <c r="D121" s="36"/>
      <c r="E121" s="36"/>
      <c r="F121" s="36"/>
    </row>
    <row r="123" spans="1:6">
      <c r="B123" s="343" t="s">
        <v>378</v>
      </c>
      <c r="C123" s="343"/>
      <c r="D123" s="343"/>
      <c r="E123" s="343"/>
      <c r="F123" s="343"/>
    </row>
    <row r="124" spans="1:6" ht="24.4" customHeight="1">
      <c r="B124" s="340" t="s">
        <v>379</v>
      </c>
      <c r="C124" s="340"/>
      <c r="D124" s="340"/>
      <c r="E124" s="340"/>
      <c r="F124" s="340"/>
    </row>
    <row r="125" spans="1:6">
      <c r="B125" s="234" t="s">
        <v>231</v>
      </c>
    </row>
    <row r="126" spans="1:6">
      <c r="B126" s="1" t="s">
        <v>264</v>
      </c>
      <c r="C126" s="251">
        <f>E20</f>
        <v>3</v>
      </c>
    </row>
    <row r="127" spans="1:6">
      <c r="B127" s="1" t="s">
        <v>278</v>
      </c>
      <c r="C127" s="250">
        <f>C19</f>
        <v>0.3</v>
      </c>
    </row>
    <row r="128" spans="1:6">
      <c r="B128" s="236" t="s">
        <v>262</v>
      </c>
      <c r="C128" s="237">
        <f>Scenarios!C77</f>
        <v>4.6470000000000002</v>
      </c>
      <c r="D128" s="236" t="str">
        <f>Market_currency</f>
        <v>CNY</v>
      </c>
    </row>
    <row r="130" spans="2:4">
      <c r="B130" s="234" t="s">
        <v>420</v>
      </c>
      <c r="C130" s="337">
        <f>C19</f>
        <v>0.3</v>
      </c>
      <c r="D130" s="1" t="s">
        <v>418</v>
      </c>
    </row>
    <row r="131" spans="2:4">
      <c r="B131" s="236" t="str">
        <f>"PV("&amp;C126&amp;" yrs of Dividends)"</f>
        <v>PV(3 yrs of Dividends)</v>
      </c>
      <c r="C131" s="240">
        <f>Scenarios!C81</f>
        <v>8.4394765589440173</v>
      </c>
    </row>
    <row r="132" spans="2:4">
      <c r="B132" s="236" t="str">
        <f>"+ PV(Equity Value realized at year "&amp;C126&amp;")"</f>
        <v>+ PV(Equity Value realized at year 3)</v>
      </c>
      <c r="C132" s="240">
        <f>Scenarios!C82</f>
        <v>41.307196577338374</v>
      </c>
    </row>
    <row r="133" spans="2:4">
      <c r="B133" s="80" t="s">
        <v>261</v>
      </c>
      <c r="C133" s="239">
        <f>Scenarios!C83</f>
        <v>49.746673136282389</v>
      </c>
      <c r="D133" s="47" t="str">
        <f>Reporting_currency</f>
        <v>CNY</v>
      </c>
    </row>
    <row r="134" spans="2:4">
      <c r="B134" s="238" t="s">
        <v>263</v>
      </c>
      <c r="C134" s="92">
        <f>Scenarios!F83</f>
        <v>0.45183883563801042</v>
      </c>
    </row>
    <row r="136" spans="2:4">
      <c r="B136" s="234" t="s">
        <v>423</v>
      </c>
      <c r="C136" s="337">
        <f>Scenarios!C90</f>
        <v>0.2</v>
      </c>
      <c r="D136" s="1" t="s">
        <v>422</v>
      </c>
    </row>
    <row r="137" spans="2:4">
      <c r="B137" s="236" t="str">
        <f>"PV("&amp;C126&amp;" yrs of Dividends)"</f>
        <v>PV(3 yrs of Dividends)</v>
      </c>
      <c r="C137" s="240">
        <f>Scenarios!C91</f>
        <v>9.7888194444444441</v>
      </c>
    </row>
    <row r="138" spans="2:4">
      <c r="B138" s="236" t="str">
        <f>"+ PV(Equity Value realized at year "&amp;C126&amp;")"</f>
        <v>+ PV(Equity Value realized at year 3)</v>
      </c>
      <c r="C138" s="240">
        <f>Scenarios!C92</f>
        <v>52.518466944683119</v>
      </c>
    </row>
    <row r="139" spans="2:4">
      <c r="B139" s="80" t="s">
        <v>261</v>
      </c>
      <c r="C139" s="239">
        <f>Scenarios!C93</f>
        <v>62.307286389127562</v>
      </c>
      <c r="D139" s="47" t="str">
        <f>Reporting_currency</f>
        <v>CNY</v>
      </c>
    </row>
    <row r="140" spans="2:4">
      <c r="B140" s="238" t="s">
        <v>263</v>
      </c>
      <c r="C140" s="92">
        <f>Scenarios!F93</f>
        <v>0.31343278852571521</v>
      </c>
    </row>
    <row r="142" spans="2:4">
      <c r="B142" s="234" t="s">
        <v>410</v>
      </c>
      <c r="C142" s="92">
        <f>Scenarios!C96</f>
        <v>0.08</v>
      </c>
      <c r="D142" s="1" t="s">
        <v>421</v>
      </c>
    </row>
    <row r="143" spans="2:4">
      <c r="B143" s="236" t="str">
        <f>"PV("&amp;C126&amp;" yrs of Dividends)"</f>
        <v>PV(3 yrs of Dividends)</v>
      </c>
      <c r="C143" s="240">
        <f>Scenarios!C97</f>
        <v>11.9757696997409</v>
      </c>
    </row>
    <row r="144" spans="2:4">
      <c r="B144" s="236" t="str">
        <f>"+ PV(Equity Value realized at year "&amp;C126&amp;")"</f>
        <v>+ PV(Equity Value realized at year 3)</v>
      </c>
      <c r="C144" s="240">
        <f>Scenarios!C98</f>
        <v>72.041792791060502</v>
      </c>
    </row>
    <row r="145" spans="1:6">
      <c r="B145" s="80" t="s">
        <v>411</v>
      </c>
      <c r="C145" s="239">
        <f>Scenarios!C99</f>
        <v>84.017562490801396</v>
      </c>
      <c r="D145" s="101" t="str">
        <f>Reporting_currency</f>
        <v>CNY</v>
      </c>
    </row>
    <row r="146" spans="1:6">
      <c r="B146" s="238" t="s">
        <v>263</v>
      </c>
      <c r="C146" s="92">
        <f>Scenarios!F99</f>
        <v>7.4206133229361537E-2</v>
      </c>
    </row>
    <row r="148" spans="1:6" ht="13.9">
      <c r="A148" s="247" t="s">
        <v>384</v>
      </c>
      <c r="B148" s="36"/>
      <c r="C148" s="36"/>
      <c r="D148" s="36"/>
      <c r="E148" s="36"/>
      <c r="F148" s="36"/>
    </row>
    <row r="150" spans="1:6">
      <c r="B150" s="347" t="s">
        <v>386</v>
      </c>
      <c r="C150" s="340"/>
      <c r="D150" s="340"/>
      <c r="E150" s="340"/>
      <c r="F150" s="340"/>
    </row>
    <row r="152" spans="1:6">
      <c r="B152" s="234" t="s">
        <v>385</v>
      </c>
    </row>
    <row r="153" spans="1:6">
      <c r="B153" s="344" t="s">
        <v>390</v>
      </c>
      <c r="C153" s="344"/>
      <c r="D153" s="344"/>
      <c r="E153" s="344"/>
      <c r="F153" s="344"/>
    </row>
    <row r="154" spans="1:6">
      <c r="B154" s="238" t="s">
        <v>387</v>
      </c>
    </row>
    <row r="155" spans="1:6">
      <c r="B155" s="238" t="s">
        <v>388</v>
      </c>
    </row>
    <row r="156" spans="1:6">
      <c r="B156" s="238" t="s">
        <v>389</v>
      </c>
    </row>
    <row r="158" spans="1:6">
      <c r="B158" s="1" t="s">
        <v>394</v>
      </c>
    </row>
    <row r="159" spans="1:6" ht="46.5" customHeight="1">
      <c r="B159" s="341" t="s">
        <v>391</v>
      </c>
      <c r="C159" s="341"/>
      <c r="D159" s="341"/>
      <c r="E159" s="341"/>
      <c r="F159" s="341"/>
    </row>
    <row r="161" spans="2:6">
      <c r="B161" s="1" t="s">
        <v>395</v>
      </c>
    </row>
    <row r="162" spans="2:6" ht="24.4" customHeight="1">
      <c r="B162" s="346" t="s">
        <v>392</v>
      </c>
      <c r="C162" s="346"/>
      <c r="D162" s="346"/>
      <c r="E162" s="346"/>
      <c r="F162" s="346"/>
    </row>
    <row r="163" spans="2:6" ht="24.4" customHeight="1">
      <c r="B163" s="346" t="s">
        <v>393</v>
      </c>
      <c r="C163" s="346"/>
      <c r="D163" s="346"/>
      <c r="E163" s="346"/>
      <c r="F163" s="346"/>
    </row>
    <row r="165" spans="2:6">
      <c r="B165" s="1" t="s">
        <v>399</v>
      </c>
    </row>
    <row r="166" spans="2:6">
      <c r="B166" s="238" t="s">
        <v>396</v>
      </c>
    </row>
    <row r="167" spans="2:6">
      <c r="B167" s="238" t="s">
        <v>397</v>
      </c>
    </row>
    <row r="168" spans="2:6">
      <c r="B168" s="238" t="s">
        <v>398</v>
      </c>
    </row>
  </sheetData>
  <mergeCells count="27">
    <mergeCell ref="B162:F162"/>
    <mergeCell ref="B163:F163"/>
    <mergeCell ref="B150:F150"/>
    <mergeCell ref="B159:F159"/>
    <mergeCell ref="B153:F153"/>
    <mergeCell ref="B64:F64"/>
    <mergeCell ref="B108:F108"/>
    <mergeCell ref="B73:F73"/>
    <mergeCell ref="B119:F119"/>
    <mergeCell ref="B53:F53"/>
    <mergeCell ref="B85:F85"/>
    <mergeCell ref="B124:F124"/>
    <mergeCell ref="B36:F36"/>
    <mergeCell ref="B12:F12"/>
    <mergeCell ref="B25:F25"/>
    <mergeCell ref="B26:F26"/>
    <mergeCell ref="B29:F29"/>
    <mergeCell ref="B32:F32"/>
    <mergeCell ref="B74:F74"/>
    <mergeCell ref="B81:F81"/>
    <mergeCell ref="B101:F101"/>
    <mergeCell ref="B123:F123"/>
    <mergeCell ref="B39:F39"/>
    <mergeCell ref="B47:F47"/>
    <mergeCell ref="B50:F50"/>
    <mergeCell ref="B54:F54"/>
    <mergeCell ref="B63:F63"/>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0" activePane="bottomRight" state="frozen"/>
      <selection pane="topRight" activeCell="C1" sqref="C1"/>
      <selection pane="bottomLeft" activeCell="A2" sqref="A2"/>
      <selection pane="bottomRight" activeCell="C24" sqref="C24"/>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Thesis!C16</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v>
      </c>
    </row>
    <row r="4" spans="2:13">
      <c r="B4" s="32" t="s">
        <v>2</v>
      </c>
      <c r="C4" s="181">
        <v>28876296994</v>
      </c>
      <c r="D4" s="181">
        <v>33126277552</v>
      </c>
      <c r="E4" s="181">
        <v>30104896187</v>
      </c>
      <c r="F4" s="181">
        <v>25350178204</v>
      </c>
      <c r="G4" s="181">
        <v>21101051132</v>
      </c>
      <c r="H4" s="181">
        <v>23126476885</v>
      </c>
      <c r="I4" s="181">
        <v>24159801995</v>
      </c>
      <c r="J4" s="181">
        <v>19917942238</v>
      </c>
      <c r="K4" s="181">
        <v>17183109620</v>
      </c>
      <c r="L4" s="181">
        <v>16052444099</v>
      </c>
      <c r="M4" s="181"/>
    </row>
    <row r="5" spans="2:13">
      <c r="B5" s="40" t="s">
        <v>43</v>
      </c>
      <c r="C5" s="181">
        <v>12577305310</v>
      </c>
      <c r="D5" s="181">
        <v>13469490847</v>
      </c>
      <c r="E5" s="181">
        <v>12033845670</v>
      </c>
      <c r="F5" s="181">
        <v>10403379692</v>
      </c>
      <c r="G5" s="181">
        <v>9267550366</v>
      </c>
      <c r="H5" s="181">
        <v>9827842077</v>
      </c>
      <c r="I5" s="181">
        <v>10123172172</v>
      </c>
      <c r="J5" s="181">
        <v>7833018393</v>
      </c>
      <c r="K5" s="181">
        <v>6512546229</v>
      </c>
      <c r="L5" s="181">
        <v>6344463294</v>
      </c>
      <c r="M5" s="181"/>
    </row>
    <row r="6" spans="2:13">
      <c r="B6" s="40" t="s">
        <v>54</v>
      </c>
      <c r="C6" s="181">
        <v>7440968847</v>
      </c>
      <c r="D6" s="181">
        <v>7151376850</v>
      </c>
      <c r="E6" s="181">
        <v>6114814104</v>
      </c>
      <c r="F6" s="181">
        <v>5374445029</v>
      </c>
      <c r="G6" s="181">
        <v>4332884360</v>
      </c>
      <c r="H6" s="181">
        <v>4548202898</v>
      </c>
      <c r="I6" s="181">
        <v>4265666731</v>
      </c>
      <c r="J6" s="181">
        <v>3919595214</v>
      </c>
      <c r="K6" s="181">
        <v>3451437073</v>
      </c>
      <c r="L6" s="181">
        <v>3330285076</v>
      </c>
      <c r="M6" s="181"/>
    </row>
    <row r="7" spans="2:13">
      <c r="B7" s="69" t="s">
        <v>61</v>
      </c>
      <c r="C7" s="189">
        <v>5516238545</v>
      </c>
      <c r="D7" s="189">
        <v>5386953701</v>
      </c>
      <c r="E7" s="189">
        <v>4179140808</v>
      </c>
      <c r="F7" s="189">
        <v>3544364890</v>
      </c>
      <c r="G7" s="189">
        <v>2603804158</v>
      </c>
      <c r="H7" s="189">
        <v>2691711171</v>
      </c>
      <c r="I7" s="189">
        <v>2561401628</v>
      </c>
      <c r="J7" s="189">
        <v>2387447107</v>
      </c>
      <c r="K7" s="189">
        <v>1869001822</v>
      </c>
      <c r="L7" s="189">
        <v>1882406797</v>
      </c>
      <c r="M7" s="189"/>
    </row>
    <row r="8" spans="2:13">
      <c r="B8" s="40" t="s">
        <v>49</v>
      </c>
      <c r="C8" s="181">
        <v>104796407</v>
      </c>
      <c r="D8" s="181">
        <v>284753881</v>
      </c>
      <c r="E8" s="181">
        <v>253574976</v>
      </c>
      <c r="F8" s="181">
        <v>258458103</v>
      </c>
      <c r="G8" s="181">
        <v>260094291</v>
      </c>
      <c r="H8" s="181">
        <v>159965594</v>
      </c>
      <c r="I8" s="181">
        <v>27565218</v>
      </c>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v>8812.894363989999</v>
      </c>
      <c r="D11" s="181">
        <v>12276.83537226</v>
      </c>
      <c r="E11" s="181">
        <v>11766.43425561</v>
      </c>
      <c r="F11" s="181">
        <v>9404.7461288600007</v>
      </c>
      <c r="G11" s="181"/>
      <c r="H11" s="181"/>
      <c r="I11" s="181"/>
      <c r="J11" s="181"/>
      <c r="K11" s="181"/>
      <c r="L11" s="181"/>
      <c r="M11" s="181"/>
    </row>
    <row r="12" spans="2:13">
      <c r="B12" s="40" t="s">
        <v>39</v>
      </c>
      <c r="C12" s="181">
        <v>2955080</v>
      </c>
      <c r="D12" s="181">
        <v>1707108</v>
      </c>
      <c r="E12" s="181">
        <v>694326</v>
      </c>
      <c r="F12" s="181">
        <v>603756</v>
      </c>
      <c r="G12" s="181">
        <v>1964</v>
      </c>
      <c r="H12" s="181">
        <v>2618</v>
      </c>
      <c r="I12" s="181">
        <v>3273</v>
      </c>
      <c r="J12" s="181"/>
      <c r="K12" s="181"/>
      <c r="L12" s="181"/>
      <c r="M12" s="181"/>
    </row>
    <row r="13" spans="2:13">
      <c r="B13" s="40" t="s">
        <v>67</v>
      </c>
      <c r="C13" s="181">
        <v>621439989</v>
      </c>
      <c r="D13" s="181">
        <v>765369577</v>
      </c>
      <c r="E13" s="181">
        <v>645806427</v>
      </c>
      <c r="F13" s="181">
        <v>433923396</v>
      </c>
      <c r="G13" s="181">
        <v>104495154</v>
      </c>
      <c r="H13" s="181">
        <v>77589504</v>
      </c>
      <c r="I13" s="181">
        <v>69133580</v>
      </c>
      <c r="J13" s="181"/>
      <c r="K13" s="181"/>
      <c r="L13" s="181"/>
      <c r="M13" s="181"/>
    </row>
    <row r="14" spans="2:13">
      <c r="B14" s="40" t="s">
        <v>50</v>
      </c>
      <c r="C14" s="181">
        <v>2476620792</v>
      </c>
      <c r="D14" s="181">
        <v>3197064563</v>
      </c>
      <c r="E14" s="181">
        <v>3113885720</v>
      </c>
      <c r="F14" s="181">
        <v>2433610121</v>
      </c>
      <c r="G14" s="181">
        <v>2394295578</v>
      </c>
      <c r="H14" s="181">
        <v>2384713342</v>
      </c>
      <c r="I14" s="181">
        <v>2723855894</v>
      </c>
      <c r="J14" s="181">
        <v>2229168424</v>
      </c>
      <c r="K14" s="181">
        <v>1956036450</v>
      </c>
      <c r="L14" s="181">
        <v>1800119666</v>
      </c>
      <c r="M14" s="181"/>
    </row>
    <row r="15" spans="2:13">
      <c r="B15" s="43" t="s">
        <v>42</v>
      </c>
      <c r="C15" s="182">
        <v>6666455820</v>
      </c>
      <c r="D15" s="182">
        <v>10020768556</v>
      </c>
      <c r="E15" s="182">
        <v>9389398171</v>
      </c>
      <c r="F15" s="182">
        <v>7512817397</v>
      </c>
      <c r="G15" s="182">
        <v>7484606314</v>
      </c>
      <c r="H15" s="182">
        <v>7386090915</v>
      </c>
      <c r="I15" s="182">
        <v>8115329895</v>
      </c>
      <c r="J15" s="182">
        <v>6618786144</v>
      </c>
      <c r="K15" s="182">
        <v>5804929114</v>
      </c>
      <c r="L15" s="182">
        <v>5365199298</v>
      </c>
      <c r="M15" s="182"/>
    </row>
    <row r="16" spans="2:13">
      <c r="B16" s="28" t="s">
        <v>44</v>
      </c>
      <c r="C16" s="181">
        <v>-6932782</v>
      </c>
      <c r="D16" s="181">
        <v>4838516</v>
      </c>
      <c r="E16" s="181">
        <v>11565742</v>
      </c>
      <c r="F16" s="181">
        <v>5134600</v>
      </c>
      <c r="G16" s="181">
        <v>2377680</v>
      </c>
      <c r="H16" s="181">
        <v>3268188</v>
      </c>
      <c r="I16" s="181">
        <v>140100</v>
      </c>
      <c r="J16" s="181">
        <v>-8383815</v>
      </c>
      <c r="K16" s="181">
        <v>-22239757</v>
      </c>
      <c r="L16" s="181">
        <v>13763</v>
      </c>
      <c r="M16" s="181"/>
    </row>
    <row r="18" spans="2:13">
      <c r="B18" s="16" t="s">
        <v>51</v>
      </c>
      <c r="C18" s="9"/>
    </row>
    <row r="19" spans="2:13">
      <c r="B19" s="27" t="s">
        <v>47</v>
      </c>
      <c r="C19" s="181">
        <v>697421786</v>
      </c>
      <c r="D19" s="181">
        <v>730011100</v>
      </c>
      <c r="E19" s="181">
        <v>752915036</v>
      </c>
      <c r="F19" s="181">
        <v>759253984</v>
      </c>
      <c r="G19" s="181">
        <v>782849742</v>
      </c>
      <c r="H19" s="181">
        <v>776102930</v>
      </c>
      <c r="I19" s="181">
        <v>757446024</v>
      </c>
      <c r="J19" s="181"/>
      <c r="K19" s="181"/>
      <c r="L19" s="181"/>
      <c r="M19" s="181"/>
    </row>
    <row r="20" spans="2:13">
      <c r="B20" s="27" t="s">
        <v>53</v>
      </c>
      <c r="C20" s="181"/>
      <c r="D20" s="181"/>
      <c r="E20" s="181"/>
      <c r="F20" s="181"/>
      <c r="G20" s="181"/>
      <c r="H20" s="181"/>
      <c r="I20" s="181"/>
      <c r="J20" s="181"/>
      <c r="K20" s="181"/>
      <c r="L20" s="181"/>
      <c r="M20" s="181"/>
    </row>
    <row r="21" spans="2:13">
      <c r="B21" s="27" t="s">
        <v>52</v>
      </c>
      <c r="C21" s="181"/>
      <c r="D21" s="181"/>
      <c r="E21" s="181"/>
      <c r="F21" s="181"/>
      <c r="G21" s="181"/>
      <c r="H21" s="181"/>
      <c r="I21" s="181"/>
      <c r="J21" s="181"/>
      <c r="K21" s="181"/>
      <c r="L21" s="181"/>
      <c r="M21" s="181"/>
    </row>
    <row r="22" spans="2:13">
      <c r="B22" s="27" t="s">
        <v>381</v>
      </c>
      <c r="C22" s="181">
        <v>4628711237</v>
      </c>
      <c r="D22" s="181">
        <v>6130220868</v>
      </c>
      <c r="E22" s="181">
        <v>3647623952</v>
      </c>
      <c r="F22" s="181">
        <v>15318165481</v>
      </c>
      <c r="G22" s="181">
        <v>3978790836</v>
      </c>
      <c r="H22" s="181">
        <v>6797891871</v>
      </c>
      <c r="I22" s="181">
        <v>9056748816</v>
      </c>
      <c r="J22" s="181">
        <v>6883169799</v>
      </c>
      <c r="K22" s="181">
        <v>7405044601</v>
      </c>
      <c r="L22" s="181">
        <v>5836355329</v>
      </c>
      <c r="M22" s="181"/>
    </row>
    <row r="23" spans="2:13">
      <c r="B23" s="27" t="s">
        <v>383</v>
      </c>
      <c r="C23" s="181">
        <v>-1302245456</v>
      </c>
      <c r="D23" s="181">
        <v>661034677</v>
      </c>
      <c r="E23" s="181">
        <v>4016502464</v>
      </c>
      <c r="F23" s="181">
        <v>1836664314</v>
      </c>
      <c r="G23" s="181">
        <v>4472834785</v>
      </c>
      <c r="H23" s="181">
        <v>-1293215134</v>
      </c>
      <c r="I23" s="181">
        <v>-3349342124</v>
      </c>
      <c r="J23" s="181">
        <v>-4161022279</v>
      </c>
      <c r="K23" s="181">
        <v>-5964333135</v>
      </c>
      <c r="L23" s="181">
        <v>-3676301732</v>
      </c>
      <c r="M23" s="181"/>
    </row>
    <row r="24" spans="2:13">
      <c r="B24" s="27" t="s">
        <v>382</v>
      </c>
      <c r="C24" s="181">
        <v>-7049805121</v>
      </c>
      <c r="D24" s="181">
        <v>-5608338295</v>
      </c>
      <c r="E24" s="181">
        <v>-4491776979</v>
      </c>
      <c r="F24" s="181">
        <v>-3547817811</v>
      </c>
      <c r="G24" s="181">
        <v>-5504913991</v>
      </c>
      <c r="H24" s="181">
        <v>-4823150583</v>
      </c>
      <c r="I24" s="181">
        <v>-3841359037</v>
      </c>
      <c r="J24" s="181">
        <v>-3417116091</v>
      </c>
      <c r="K24" s="181">
        <v>-3697079125</v>
      </c>
      <c r="L24" s="181">
        <v>-1797917170</v>
      </c>
      <c r="M24" s="181"/>
    </row>
    <row r="25" spans="2:13">
      <c r="B25" s="24" t="str">
        <f>"Dividend per share ("&amp;Market_currency&amp;")"</f>
        <v>Dividend per share (CNY)</v>
      </c>
      <c r="C25" s="39">
        <f>46.47/10</f>
        <v>4.6470000000000002</v>
      </c>
      <c r="D25" s="39"/>
      <c r="E25" s="39"/>
      <c r="F25" s="39"/>
      <c r="G25" s="39"/>
      <c r="H25" s="39"/>
      <c r="I25" s="39"/>
      <c r="J25" s="39"/>
      <c r="K25" s="39"/>
      <c r="L25" s="39"/>
      <c r="M25" s="39"/>
    </row>
    <row r="27" spans="2:13">
      <c r="B27" s="16" t="s">
        <v>28</v>
      </c>
      <c r="C27" s="97" t="s">
        <v>220</v>
      </c>
    </row>
    <row r="28" spans="2:13">
      <c r="B28" s="26" t="s">
        <v>24</v>
      </c>
      <c r="C28" s="183">
        <f>BS!C4</f>
        <v>1530297140.1800001</v>
      </c>
      <c r="D28" s="181">
        <v>530005754</v>
      </c>
      <c r="E28" s="181">
        <v>571147623</v>
      </c>
      <c r="F28" s="181">
        <v>665097278</v>
      </c>
      <c r="G28" s="181">
        <v>617721565</v>
      </c>
      <c r="H28" s="181">
        <v>675347400</v>
      </c>
      <c r="I28" s="181">
        <v>247961412</v>
      </c>
      <c r="J28" s="181">
        <v>221297620</v>
      </c>
      <c r="K28" s="181">
        <v>162441171</v>
      </c>
      <c r="L28" s="181">
        <v>89745708</v>
      </c>
      <c r="M28" s="181"/>
    </row>
    <row r="29" spans="2:13">
      <c r="B29" s="26" t="s">
        <v>32</v>
      </c>
      <c r="C29" s="183">
        <f>BS!C6</f>
        <v>19732881051.73</v>
      </c>
      <c r="D29" s="181">
        <v>18954235402</v>
      </c>
      <c r="E29" s="181">
        <v>17729258967</v>
      </c>
      <c r="F29" s="181">
        <v>16803093442</v>
      </c>
      <c r="G29" s="181">
        <v>14852694146</v>
      </c>
      <c r="H29" s="181">
        <v>14433244696</v>
      </c>
      <c r="I29" s="181">
        <v>13892118588</v>
      </c>
      <c r="J29" s="181">
        <v>12861503434</v>
      </c>
      <c r="K29" s="181">
        <v>12221515305</v>
      </c>
      <c r="L29" s="181">
        <v>11122379916</v>
      </c>
      <c r="M29" s="181"/>
    </row>
    <row r="30" spans="2:13">
      <c r="B30" s="29" t="s">
        <v>40</v>
      </c>
      <c r="C30" s="186">
        <f>BS!C33+BS!C42</f>
        <v>15652219365.74</v>
      </c>
      <c r="D30" s="182">
        <v>17742423481</v>
      </c>
      <c r="E30" s="182">
        <v>20439798531</v>
      </c>
      <c r="F30" s="182">
        <v>25317393936</v>
      </c>
      <c r="G30" s="182">
        <v>15396606230</v>
      </c>
      <c r="H30" s="182">
        <v>16963485271</v>
      </c>
      <c r="I30" s="182">
        <v>15939249286</v>
      </c>
      <c r="J30" s="182">
        <v>13763271610</v>
      </c>
      <c r="K30" s="182">
        <v>12767076382</v>
      </c>
      <c r="L30" s="182">
        <v>10918840106</v>
      </c>
      <c r="M30" s="182"/>
    </row>
    <row r="31" spans="2:13">
      <c r="B31" s="29" t="s">
        <v>30</v>
      </c>
      <c r="C31" s="186">
        <f>BS!G27</f>
        <v>51693045853.879997</v>
      </c>
      <c r="D31" s="182">
        <v>52049863975</v>
      </c>
      <c r="E31" s="182">
        <v>47524448604</v>
      </c>
      <c r="F31" s="182">
        <v>42481310258</v>
      </c>
      <c r="G31" s="182">
        <v>38469653077</v>
      </c>
      <c r="H31" s="182">
        <v>36491552570</v>
      </c>
      <c r="I31" s="182">
        <v>33624518530</v>
      </c>
      <c r="J31" s="182">
        <v>29494869092</v>
      </c>
      <c r="K31" s="182">
        <v>26036985867</v>
      </c>
      <c r="L31" s="182">
        <v>22941480861</v>
      </c>
      <c r="M31" s="182"/>
    </row>
    <row r="32" spans="2:13">
      <c r="B32" s="26" t="s">
        <v>173</v>
      </c>
      <c r="C32" s="183">
        <f>BS!G28</f>
        <v>104802725.23</v>
      </c>
      <c r="D32" s="181">
        <v>111348630</v>
      </c>
      <c r="E32" s="181">
        <v>49501629</v>
      </c>
      <c r="F32" s="181">
        <v>-4899532</v>
      </c>
      <c r="G32" s="182">
        <v>-14930907</v>
      </c>
      <c r="H32" s="182">
        <v>-17282922</v>
      </c>
      <c r="I32" s="182">
        <v>-20011736</v>
      </c>
      <c r="J32" s="182">
        <v>-20171194</v>
      </c>
      <c r="K32" s="182">
        <v>-15785203</v>
      </c>
      <c r="L32" s="182">
        <v>4384482</v>
      </c>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28876296994</v>
      </c>
      <c r="D36" s="183">
        <f t="shared" si="1"/>
        <v>33126277552</v>
      </c>
      <c r="E36" s="183">
        <f t="shared" si="1"/>
        <v>30104896187</v>
      </c>
      <c r="F36" s="183">
        <f t="shared" si="1"/>
        <v>25350178204</v>
      </c>
      <c r="G36" s="183">
        <f t="shared" si="1"/>
        <v>21101051132</v>
      </c>
      <c r="H36" s="183">
        <f t="shared" si="1"/>
        <v>23126476885</v>
      </c>
      <c r="I36" s="183">
        <f t="shared" si="1"/>
        <v>24159801995</v>
      </c>
      <c r="J36" s="183">
        <f t="shared" si="1"/>
        <v>19917942238</v>
      </c>
      <c r="K36" s="183">
        <f t="shared" si="1"/>
        <v>17183109620</v>
      </c>
      <c r="L36" s="183">
        <f t="shared" si="1"/>
        <v>16052444099</v>
      </c>
      <c r="M36" s="183" t="str">
        <f t="shared" si="1"/>
        <v/>
      </c>
    </row>
    <row r="37" spans="2:13">
      <c r="B37" s="40" t="s">
        <v>43</v>
      </c>
      <c r="C37" s="183">
        <f t="shared" ref="C37:M37" si="2">IF(C$4="","",-C5)</f>
        <v>-12577305310</v>
      </c>
      <c r="D37" s="183">
        <f t="shared" si="2"/>
        <v>-13469490847</v>
      </c>
      <c r="E37" s="183">
        <f t="shared" si="2"/>
        <v>-12033845670</v>
      </c>
      <c r="F37" s="183">
        <f t="shared" si="2"/>
        <v>-10403379692</v>
      </c>
      <c r="G37" s="183">
        <f t="shared" si="2"/>
        <v>-9267550366</v>
      </c>
      <c r="H37" s="183">
        <f t="shared" si="2"/>
        <v>-9827842077</v>
      </c>
      <c r="I37" s="183">
        <f t="shared" si="2"/>
        <v>-10123172172</v>
      </c>
      <c r="J37" s="183">
        <f t="shared" si="2"/>
        <v>-7833018393</v>
      </c>
      <c r="K37" s="183">
        <f t="shared" si="2"/>
        <v>-6512546229</v>
      </c>
      <c r="L37" s="183">
        <f t="shared" si="2"/>
        <v>-6344463294</v>
      </c>
      <c r="M37" s="183" t="str">
        <f t="shared" si="2"/>
        <v/>
      </c>
    </row>
    <row r="38" spans="2:13">
      <c r="B38" s="31" t="s">
        <v>58</v>
      </c>
      <c r="C38" s="184">
        <f>IF(C36="","",C36+C37)</f>
        <v>16298991684</v>
      </c>
      <c r="D38" s="184">
        <f t="shared" ref="D38" si="3">IF(D36="","",D36+D37)</f>
        <v>19656786705</v>
      </c>
      <c r="E38" s="184">
        <f t="shared" ref="E38" si="4">IF(E36="","",E36+E37)</f>
        <v>18071050517</v>
      </c>
      <c r="F38" s="184">
        <f t="shared" ref="F38" si="5">IF(F36="","",F36+F37)</f>
        <v>14946798512</v>
      </c>
      <c r="G38" s="184">
        <f t="shared" ref="G38" si="6">IF(G36="","",G36+G37)</f>
        <v>11833500766</v>
      </c>
      <c r="H38" s="184">
        <f t="shared" ref="H38" si="7">IF(H36="","",H36+H37)</f>
        <v>13298634808</v>
      </c>
      <c r="I38" s="184">
        <f t="shared" ref="I38" si="8">IF(I36="","",I36+I37)</f>
        <v>14036629823</v>
      </c>
      <c r="J38" s="184">
        <f t="shared" ref="J38" si="9">IF(J36="","",J36+J37)</f>
        <v>12084923845</v>
      </c>
      <c r="K38" s="184">
        <f t="shared" ref="K38" si="10">IF(K36="","",K36+K37)</f>
        <v>10670563391</v>
      </c>
      <c r="L38" s="184">
        <f t="shared" ref="L38" si="11">IF(L36="","",L36+L37)</f>
        <v>9707980805</v>
      </c>
      <c r="M38" s="184" t="str">
        <f t="shared" ref="M38" si="12">IF(M36="","",M36+M37)</f>
        <v/>
      </c>
    </row>
    <row r="39" spans="2:13">
      <c r="B39" s="40" t="s">
        <v>54</v>
      </c>
      <c r="C39" s="183">
        <f t="shared" ref="C39:M39" si="13">IF(C$4="","",-C6)</f>
        <v>-7440968847</v>
      </c>
      <c r="D39" s="183">
        <f t="shared" si="13"/>
        <v>-7151376850</v>
      </c>
      <c r="E39" s="183">
        <f t="shared" si="13"/>
        <v>-6114814104</v>
      </c>
      <c r="F39" s="183">
        <f t="shared" si="13"/>
        <v>-5374445029</v>
      </c>
      <c r="G39" s="183">
        <f t="shared" si="13"/>
        <v>-4332884360</v>
      </c>
      <c r="H39" s="183">
        <f t="shared" si="13"/>
        <v>-4548202898</v>
      </c>
      <c r="I39" s="183">
        <f t="shared" si="13"/>
        <v>-4265666731</v>
      </c>
      <c r="J39" s="183">
        <f t="shared" si="13"/>
        <v>-3919595214</v>
      </c>
      <c r="K39" s="183">
        <f t="shared" si="13"/>
        <v>-3451437073</v>
      </c>
      <c r="L39" s="183">
        <f t="shared" si="13"/>
        <v>-3330285076</v>
      </c>
      <c r="M39" s="183" t="str">
        <f t="shared" si="13"/>
        <v/>
      </c>
    </row>
    <row r="40" spans="2:13">
      <c r="B40" s="69" t="s">
        <v>61</v>
      </c>
      <c r="C40" s="185">
        <f t="shared" ref="C40:M40" si="14">IF(C$4="","",-C7)</f>
        <v>-5516238545</v>
      </c>
      <c r="D40" s="185">
        <f t="shared" si="14"/>
        <v>-5386953701</v>
      </c>
      <c r="E40" s="185">
        <f t="shared" si="14"/>
        <v>-4179140808</v>
      </c>
      <c r="F40" s="185">
        <f t="shared" si="14"/>
        <v>-3544364890</v>
      </c>
      <c r="G40" s="185">
        <f t="shared" si="14"/>
        <v>-2603804158</v>
      </c>
      <c r="H40" s="185">
        <f t="shared" si="14"/>
        <v>-2691711171</v>
      </c>
      <c r="I40" s="185">
        <f t="shared" si="14"/>
        <v>-2561401628</v>
      </c>
      <c r="J40" s="185">
        <f t="shared" si="14"/>
        <v>-2387447107</v>
      </c>
      <c r="K40" s="185">
        <f t="shared" si="14"/>
        <v>-1869001822</v>
      </c>
      <c r="L40" s="185">
        <f t="shared" si="14"/>
        <v>-1882406797</v>
      </c>
      <c r="M40" s="185" t="str">
        <f t="shared" si="14"/>
        <v/>
      </c>
    </row>
    <row r="41" spans="2:13">
      <c r="B41" s="69" t="s">
        <v>64</v>
      </c>
      <c r="C41" s="185">
        <f>IF(C$4="","",C39-C40)</f>
        <v>-1924730302</v>
      </c>
      <c r="D41" s="185">
        <f t="shared" ref="D41:M41" si="15">IF(D$4="","",D39-D40)</f>
        <v>-1764423149</v>
      </c>
      <c r="E41" s="185">
        <f t="shared" si="15"/>
        <v>-1935673296</v>
      </c>
      <c r="F41" s="185">
        <f t="shared" si="15"/>
        <v>-1830080139</v>
      </c>
      <c r="G41" s="185">
        <f t="shared" si="15"/>
        <v>-1729080202</v>
      </c>
      <c r="H41" s="185">
        <f t="shared" si="15"/>
        <v>-1856491727</v>
      </c>
      <c r="I41" s="185">
        <f t="shared" si="15"/>
        <v>-1704265103</v>
      </c>
      <c r="J41" s="185">
        <f t="shared" si="15"/>
        <v>-1532148107</v>
      </c>
      <c r="K41" s="185">
        <f t="shared" si="15"/>
        <v>-1582435251</v>
      </c>
      <c r="L41" s="185">
        <f t="shared" si="15"/>
        <v>-1447878279</v>
      </c>
      <c r="M41" s="185" t="str">
        <f t="shared" si="15"/>
        <v/>
      </c>
    </row>
    <row r="42" spans="2:13">
      <c r="B42" s="40" t="s">
        <v>49</v>
      </c>
      <c r="C42" s="183">
        <f t="shared" ref="C42:M42" si="16">IF(C$4="","",-C8)</f>
        <v>-104796407</v>
      </c>
      <c r="D42" s="183">
        <f t="shared" si="16"/>
        <v>-284753881</v>
      </c>
      <c r="E42" s="183">
        <f t="shared" si="16"/>
        <v>-253574976</v>
      </c>
      <c r="F42" s="183">
        <f t="shared" si="16"/>
        <v>-258458103</v>
      </c>
      <c r="G42" s="183">
        <f t="shared" si="16"/>
        <v>-260094291</v>
      </c>
      <c r="H42" s="183">
        <f t="shared" si="16"/>
        <v>-159965594</v>
      </c>
      <c r="I42" s="183">
        <f t="shared" si="16"/>
        <v>-27565218</v>
      </c>
      <c r="J42" s="183">
        <f t="shared" si="16"/>
        <v>0</v>
      </c>
      <c r="K42" s="183">
        <f t="shared" si="16"/>
        <v>0</v>
      </c>
      <c r="L42" s="183">
        <f t="shared" si="16"/>
        <v>0</v>
      </c>
      <c r="M42" s="183" t="str">
        <f t="shared" si="16"/>
        <v/>
      </c>
    </row>
    <row r="43" spans="2:13">
      <c r="B43" s="43" t="s">
        <v>153</v>
      </c>
      <c r="C43" s="186">
        <f>IF(C$4="","",C38+C39+C42)</f>
        <v>8753226430</v>
      </c>
      <c r="D43" s="186">
        <f t="shared" ref="D43:M43" si="17">IF(D$4="","",D38+D39+D42)</f>
        <v>12220655974</v>
      </c>
      <c r="E43" s="186">
        <f t="shared" si="17"/>
        <v>11702661437</v>
      </c>
      <c r="F43" s="186">
        <f t="shared" si="17"/>
        <v>9313895380</v>
      </c>
      <c r="G43" s="186">
        <f t="shared" si="17"/>
        <v>7240522115</v>
      </c>
      <c r="H43" s="186">
        <f t="shared" si="17"/>
        <v>8590466316</v>
      </c>
      <c r="I43" s="186">
        <f t="shared" si="17"/>
        <v>9743397874</v>
      </c>
      <c r="J43" s="186">
        <f t="shared" si="17"/>
        <v>8165328631</v>
      </c>
      <c r="K43" s="186">
        <f t="shared" si="17"/>
        <v>7219126318</v>
      </c>
      <c r="L43" s="186">
        <f t="shared" si="17"/>
        <v>6377695729</v>
      </c>
      <c r="M43" s="186" t="str">
        <f t="shared" si="17"/>
        <v/>
      </c>
    </row>
    <row r="44" spans="2:13">
      <c r="B44" s="43" t="s">
        <v>169</v>
      </c>
      <c r="C44" s="187">
        <f t="shared" ref="C44:M44" si="18">IF(C$4="","",C47-C46-C45-C43)</f>
        <v>-228634727</v>
      </c>
      <c r="D44" s="187">
        <f t="shared" si="18"/>
        <v>233514676</v>
      </c>
      <c r="E44" s="187">
        <f t="shared" si="18"/>
        <v>155510353</v>
      </c>
      <c r="F44" s="187">
        <f t="shared" si="18"/>
        <v>199212498</v>
      </c>
      <c r="G44" s="187">
        <f t="shared" si="18"/>
        <v>2533886587</v>
      </c>
      <c r="H44" s="187">
        <f t="shared" si="18"/>
        <v>1102751055</v>
      </c>
      <c r="I44" s="187">
        <f t="shared" si="18"/>
        <v>1026657608</v>
      </c>
      <c r="J44" s="187">
        <f t="shared" si="18"/>
        <v>682625937</v>
      </c>
      <c r="K44" s="187">
        <f t="shared" si="18"/>
        <v>541839246</v>
      </c>
      <c r="L44" s="187">
        <f t="shared" si="18"/>
        <v>787623235</v>
      </c>
      <c r="M44" s="187" t="str">
        <f t="shared" si="18"/>
        <v/>
      </c>
    </row>
    <row r="45" spans="2:13">
      <c r="B45" s="40" t="s">
        <v>68</v>
      </c>
      <c r="C45" s="188">
        <f t="shared" ref="C45:M45" si="19">IF(C$4="","",C51+C52)</f>
        <v>618484909</v>
      </c>
      <c r="D45" s="188">
        <f t="shared" si="19"/>
        <v>763662469</v>
      </c>
      <c r="E45" s="188">
        <f t="shared" si="19"/>
        <v>645112101</v>
      </c>
      <c r="F45" s="188">
        <f t="shared" si="19"/>
        <v>433319640</v>
      </c>
      <c r="G45" s="188">
        <f t="shared" si="19"/>
        <v>104493190</v>
      </c>
      <c r="H45" s="188">
        <f t="shared" si="19"/>
        <v>77586886</v>
      </c>
      <c r="I45" s="188">
        <f t="shared" si="19"/>
        <v>69130307</v>
      </c>
      <c r="J45" s="188">
        <f t="shared" si="19"/>
        <v>0</v>
      </c>
      <c r="K45" s="188">
        <f t="shared" si="19"/>
        <v>0</v>
      </c>
      <c r="L45" s="188">
        <f t="shared" si="19"/>
        <v>0</v>
      </c>
      <c r="M45" s="188" t="str">
        <f t="shared" si="19"/>
        <v/>
      </c>
    </row>
    <row r="46" spans="2:13">
      <c r="B46" s="40" t="s">
        <v>50</v>
      </c>
      <c r="C46" s="183">
        <f t="shared" ref="C46:M46" si="20">IF(C$4="","",-C14)</f>
        <v>-2476620792</v>
      </c>
      <c r="D46" s="183">
        <f t="shared" si="20"/>
        <v>-3197064563</v>
      </c>
      <c r="E46" s="183">
        <f t="shared" si="20"/>
        <v>-3113885720</v>
      </c>
      <c r="F46" s="183">
        <f t="shared" si="20"/>
        <v>-2433610121</v>
      </c>
      <c r="G46" s="183">
        <f t="shared" si="20"/>
        <v>-2394295578</v>
      </c>
      <c r="H46" s="183">
        <f t="shared" si="20"/>
        <v>-2384713342</v>
      </c>
      <c r="I46" s="183">
        <f t="shared" si="20"/>
        <v>-2723855894</v>
      </c>
      <c r="J46" s="183">
        <f t="shared" si="20"/>
        <v>-2229168424</v>
      </c>
      <c r="K46" s="183">
        <f t="shared" si="20"/>
        <v>-1956036450</v>
      </c>
      <c r="L46" s="183">
        <f t="shared" si="20"/>
        <v>-1800119666</v>
      </c>
      <c r="M46" s="183" t="str">
        <f t="shared" si="20"/>
        <v/>
      </c>
    </row>
    <row r="47" spans="2:13">
      <c r="B47" s="43" t="s">
        <v>42</v>
      </c>
      <c r="C47" s="186">
        <f t="shared" ref="C47:M47" si="21">IF(C$4="","",C15)</f>
        <v>6666455820</v>
      </c>
      <c r="D47" s="186">
        <f t="shared" si="21"/>
        <v>10020768556</v>
      </c>
      <c r="E47" s="186">
        <f t="shared" si="21"/>
        <v>9389398171</v>
      </c>
      <c r="F47" s="186">
        <f t="shared" si="21"/>
        <v>7512817397</v>
      </c>
      <c r="G47" s="186">
        <f t="shared" si="21"/>
        <v>7484606314</v>
      </c>
      <c r="H47" s="186">
        <f t="shared" si="21"/>
        <v>7386090915</v>
      </c>
      <c r="I47" s="186">
        <f t="shared" si="21"/>
        <v>8115329895</v>
      </c>
      <c r="J47" s="186">
        <f t="shared" si="21"/>
        <v>6618786144</v>
      </c>
      <c r="K47" s="186">
        <f t="shared" si="21"/>
        <v>5804929114</v>
      </c>
      <c r="L47" s="186">
        <f t="shared" si="21"/>
        <v>5365199298</v>
      </c>
      <c r="M47" s="186" t="str">
        <f t="shared" si="21"/>
        <v/>
      </c>
    </row>
    <row r="48" spans="2:13">
      <c r="B48" s="28" t="s">
        <v>44</v>
      </c>
      <c r="C48" s="183">
        <f t="shared" ref="C48:M48" si="22">IF(C$4="","",MIN(-C16,0))</f>
        <v>0</v>
      </c>
      <c r="D48" s="183">
        <f t="shared" si="22"/>
        <v>-4838516</v>
      </c>
      <c r="E48" s="183">
        <f t="shared" si="22"/>
        <v>-11565742</v>
      </c>
      <c r="F48" s="183">
        <f t="shared" si="22"/>
        <v>-5134600</v>
      </c>
      <c r="G48" s="183">
        <f t="shared" si="22"/>
        <v>-2377680</v>
      </c>
      <c r="H48" s="183">
        <f t="shared" si="22"/>
        <v>-3268188</v>
      </c>
      <c r="I48" s="183">
        <f t="shared" si="22"/>
        <v>-140100</v>
      </c>
      <c r="J48" s="183">
        <f t="shared" si="22"/>
        <v>0</v>
      </c>
      <c r="K48" s="183">
        <f t="shared" si="22"/>
        <v>0</v>
      </c>
      <c r="L48" s="183">
        <f t="shared" si="22"/>
        <v>-13763</v>
      </c>
      <c r="M48" s="183" t="str">
        <f t="shared" si="22"/>
        <v/>
      </c>
    </row>
    <row r="50" spans="2:13">
      <c r="B50" s="16" t="s">
        <v>68</v>
      </c>
    </row>
    <row r="51" spans="2:13">
      <c r="B51" s="40" t="s">
        <v>39</v>
      </c>
      <c r="C51" s="183">
        <f t="shared" ref="C51:M51" si="23">IF(C$4="","",-C12)</f>
        <v>-2955080</v>
      </c>
      <c r="D51" s="183">
        <f t="shared" si="23"/>
        <v>-1707108</v>
      </c>
      <c r="E51" s="183">
        <f t="shared" si="23"/>
        <v>-694326</v>
      </c>
      <c r="F51" s="183">
        <f t="shared" si="23"/>
        <v>-603756</v>
      </c>
      <c r="G51" s="183">
        <f t="shared" si="23"/>
        <v>-1964</v>
      </c>
      <c r="H51" s="183">
        <f t="shared" si="23"/>
        <v>-2618</v>
      </c>
      <c r="I51" s="183">
        <f t="shared" si="23"/>
        <v>-3273</v>
      </c>
      <c r="J51" s="183">
        <f t="shared" si="23"/>
        <v>0</v>
      </c>
      <c r="K51" s="183">
        <f t="shared" si="23"/>
        <v>0</v>
      </c>
      <c r="L51" s="183">
        <f t="shared" si="23"/>
        <v>0</v>
      </c>
      <c r="M51" s="183" t="str">
        <f t="shared" si="23"/>
        <v/>
      </c>
    </row>
    <row r="52" spans="2:13">
      <c r="B52" s="40" t="s">
        <v>67</v>
      </c>
      <c r="C52" s="183">
        <f t="shared" ref="C52:M52" si="24">IF(C$4="","",C13)</f>
        <v>621439989</v>
      </c>
      <c r="D52" s="183">
        <f t="shared" si="24"/>
        <v>765369577</v>
      </c>
      <c r="E52" s="183">
        <f t="shared" si="24"/>
        <v>645806427</v>
      </c>
      <c r="F52" s="183">
        <f t="shared" si="24"/>
        <v>433923396</v>
      </c>
      <c r="G52" s="183">
        <f t="shared" si="24"/>
        <v>104495154</v>
      </c>
      <c r="H52" s="183">
        <f t="shared" si="24"/>
        <v>77589504</v>
      </c>
      <c r="I52" s="183">
        <f t="shared" si="24"/>
        <v>69133580</v>
      </c>
      <c r="J52" s="183">
        <f t="shared" si="24"/>
        <v>0</v>
      </c>
      <c r="K52" s="183">
        <f t="shared" si="24"/>
        <v>0</v>
      </c>
      <c r="L52" s="183">
        <f t="shared" si="24"/>
        <v>0</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f t="shared" si="25"/>
        <v>0</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c r="B57" s="40" t="s">
        <v>159</v>
      </c>
      <c r="C57" s="188">
        <f t="shared" ref="C57:M57" si="27">IF(C$4="","",C11)</f>
        <v>8812.894363989999</v>
      </c>
      <c r="D57" s="188">
        <f t="shared" si="27"/>
        <v>12276.83537226</v>
      </c>
      <c r="E57" s="188">
        <f t="shared" si="27"/>
        <v>11766.43425561</v>
      </c>
      <c r="F57" s="188">
        <f t="shared" si="27"/>
        <v>9404.7461288600007</v>
      </c>
      <c r="G57" s="188">
        <f t="shared" si="27"/>
        <v>0</v>
      </c>
      <c r="H57" s="188">
        <f t="shared" si="27"/>
        <v>0</v>
      </c>
      <c r="I57" s="188">
        <f t="shared" si="27"/>
        <v>0</v>
      </c>
      <c r="J57" s="188">
        <f t="shared" si="27"/>
        <v>0</v>
      </c>
      <c r="K57" s="188">
        <f t="shared" si="27"/>
        <v>0</v>
      </c>
      <c r="L57" s="188">
        <f t="shared" si="27"/>
        <v>0</v>
      </c>
      <c r="M57" s="188" t="str">
        <f t="shared" si="27"/>
        <v/>
      </c>
    </row>
    <row r="58" spans="2:13">
      <c r="B58" s="40" t="s">
        <v>161</v>
      </c>
      <c r="C58" s="188">
        <f>IF(C$4="","",C44-C55-C56-C57)</f>
        <v>-228643539.894364</v>
      </c>
      <c r="D58" s="188">
        <f t="shared" ref="D58:M58" si="28">IF(D$4="","",D44-D55-D56-D57)</f>
        <v>233502399.16462773</v>
      </c>
      <c r="E58" s="188">
        <f t="shared" si="28"/>
        <v>155498586.5657444</v>
      </c>
      <c r="F58" s="188">
        <f t="shared" si="28"/>
        <v>199203093.25387114</v>
      </c>
      <c r="G58" s="188">
        <f t="shared" si="28"/>
        <v>2533886587</v>
      </c>
      <c r="H58" s="188">
        <f t="shared" si="28"/>
        <v>1102751055</v>
      </c>
      <c r="I58" s="188">
        <f t="shared" si="28"/>
        <v>1026657608</v>
      </c>
      <c r="J58" s="188">
        <f t="shared" si="28"/>
        <v>682625937</v>
      </c>
      <c r="K58" s="188">
        <f t="shared" si="28"/>
        <v>541839246</v>
      </c>
      <c r="L58" s="188">
        <f t="shared" si="28"/>
        <v>787623235</v>
      </c>
      <c r="M58" s="188" t="str">
        <f t="shared" si="28"/>
        <v/>
      </c>
    </row>
    <row r="60" spans="2:13">
      <c r="B60" s="16" t="s">
        <v>51</v>
      </c>
      <c r="C60" s="9"/>
    </row>
    <row r="61" spans="2:13">
      <c r="B61" s="27" t="s">
        <v>47</v>
      </c>
      <c r="C61" s="183">
        <f>IF(C$4="","",-C19)</f>
        <v>-697421786</v>
      </c>
      <c r="D61" s="183">
        <f t="shared" ref="D61:M61" si="29">IF(D$4="","",-D19)</f>
        <v>-730011100</v>
      </c>
      <c r="E61" s="183">
        <f t="shared" si="29"/>
        <v>-752915036</v>
      </c>
      <c r="F61" s="183">
        <f t="shared" si="29"/>
        <v>-759253984</v>
      </c>
      <c r="G61" s="183">
        <f t="shared" si="29"/>
        <v>-782849742</v>
      </c>
      <c r="H61" s="183">
        <f t="shared" si="29"/>
        <v>-776102930</v>
      </c>
      <c r="I61" s="183">
        <f t="shared" si="29"/>
        <v>-757446024</v>
      </c>
      <c r="J61" s="183">
        <f t="shared" si="29"/>
        <v>0</v>
      </c>
      <c r="K61" s="183">
        <f t="shared" si="29"/>
        <v>0</v>
      </c>
      <c r="L61" s="183">
        <f t="shared" si="29"/>
        <v>0</v>
      </c>
      <c r="M61" s="183" t="str">
        <f t="shared" si="29"/>
        <v/>
      </c>
    </row>
    <row r="62" spans="2:13">
      <c r="B62" s="27" t="s">
        <v>53</v>
      </c>
      <c r="C62" s="183">
        <f>IF(C$4="","",-C20)</f>
        <v>0</v>
      </c>
      <c r="D62" s="183">
        <f t="shared" ref="D62:M62" si="30">IF(D$4="","",-D20)</f>
        <v>0</v>
      </c>
      <c r="E62" s="183">
        <f t="shared" si="30"/>
        <v>0</v>
      </c>
      <c r="F62" s="183">
        <f t="shared" si="30"/>
        <v>0</v>
      </c>
      <c r="G62" s="183">
        <f t="shared" si="30"/>
        <v>0</v>
      </c>
      <c r="H62" s="183">
        <f t="shared" si="30"/>
        <v>0</v>
      </c>
      <c r="I62" s="183">
        <f t="shared" si="30"/>
        <v>0</v>
      </c>
      <c r="J62" s="183">
        <f t="shared" si="30"/>
        <v>0</v>
      </c>
      <c r="K62" s="183">
        <f t="shared" si="30"/>
        <v>0</v>
      </c>
      <c r="L62" s="183">
        <f t="shared" si="30"/>
        <v>0</v>
      </c>
      <c r="M62" s="183" t="str">
        <f t="shared" si="30"/>
        <v/>
      </c>
    </row>
    <row r="63" spans="2:13">
      <c r="B63" s="27" t="s">
        <v>52</v>
      </c>
      <c r="C63" s="183">
        <f>IF(C$4="","",-C21)</f>
        <v>0</v>
      </c>
      <c r="D63" s="183">
        <f t="shared" ref="D63:M63" si="31">IF(D$4="","",-D21)</f>
        <v>0</v>
      </c>
      <c r="E63" s="183">
        <f t="shared" si="31"/>
        <v>0</v>
      </c>
      <c r="F63" s="183">
        <f t="shared" si="31"/>
        <v>0</v>
      </c>
      <c r="G63" s="183">
        <f t="shared" si="31"/>
        <v>0</v>
      </c>
      <c r="H63" s="183">
        <f t="shared" si="31"/>
        <v>0</v>
      </c>
      <c r="I63" s="183">
        <f t="shared" si="31"/>
        <v>0</v>
      </c>
      <c r="J63" s="183">
        <f t="shared" si="31"/>
        <v>0</v>
      </c>
      <c r="K63" s="183">
        <f t="shared" si="31"/>
        <v>0</v>
      </c>
      <c r="L63" s="183">
        <f t="shared" si="31"/>
        <v>0</v>
      </c>
      <c r="M63" s="183" t="str">
        <f t="shared" si="31"/>
        <v/>
      </c>
    </row>
    <row r="64" spans="2:13">
      <c r="B64" s="27" t="s">
        <v>403</v>
      </c>
      <c r="C64" s="183">
        <f>IF(C$4="","",C22+C23+C24)</f>
        <v>-3723339340</v>
      </c>
      <c r="D64" s="183">
        <f t="shared" ref="D64:M64" si="32">IF(D$4="","",D22+D23+D24)</f>
        <v>1182917250</v>
      </c>
      <c r="E64" s="183">
        <f t="shared" si="32"/>
        <v>3172349437</v>
      </c>
      <c r="F64" s="183">
        <f t="shared" si="32"/>
        <v>13607011984</v>
      </c>
      <c r="G64" s="183">
        <f t="shared" si="32"/>
        <v>2946711630</v>
      </c>
      <c r="H64" s="183">
        <f t="shared" si="32"/>
        <v>681526154</v>
      </c>
      <c r="I64" s="183">
        <f t="shared" si="32"/>
        <v>1866047655</v>
      </c>
      <c r="J64" s="183">
        <f t="shared" si="32"/>
        <v>-694968571</v>
      </c>
      <c r="K64" s="183">
        <f t="shared" si="32"/>
        <v>-2256367659</v>
      </c>
      <c r="L64" s="183">
        <f t="shared" si="32"/>
        <v>362136427</v>
      </c>
      <c r="M64" s="183" t="str">
        <f t="shared" si="32"/>
        <v/>
      </c>
    </row>
    <row r="65" spans="2:13">
      <c r="B65" s="24" t="s">
        <v>36</v>
      </c>
      <c r="C65" s="73">
        <f>IF(C$4="","",C25)</f>
        <v>4.6470000000000002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-0.12829635178080567</v>
      </c>
      <c r="D68" s="92">
        <f t="shared" si="34"/>
        <v>0.10036179318581095</v>
      </c>
      <c r="E68" s="92">
        <f t="shared" si="34"/>
        <v>0.18756152105667456</v>
      </c>
      <c r="F68" s="92">
        <f t="shared" si="34"/>
        <v>0.20137039834741444</v>
      </c>
      <c r="G68" s="92">
        <f t="shared" si="34"/>
        <v>-8.7580385160772378E-2</v>
      </c>
      <c r="H68" s="92">
        <f t="shared" si="34"/>
        <v>-4.2770429584391922E-2</v>
      </c>
      <c r="I68" s="92">
        <f t="shared" si="34"/>
        <v>0.21296676666263559</v>
      </c>
      <c r="J68" s="92">
        <f t="shared" si="34"/>
        <v>0.15915818955242167</v>
      </c>
      <c r="K68" s="92">
        <f t="shared" si="34"/>
        <v>7.0435723932559036E-2</v>
      </c>
      <c r="L68" s="92" t="str">
        <f t="shared" si="34"/>
        <v/>
      </c>
      <c r="M68" s="92" t="str">
        <f t="shared" si="34"/>
        <v/>
      </c>
    </row>
    <row r="69" spans="2:13">
      <c r="B69" s="31" t="s">
        <v>58</v>
      </c>
      <c r="C69" s="92">
        <f>IF(D$36="","",C38/D38-1)</f>
        <v>-0.17082115563404343</v>
      </c>
      <c r="D69" s="92">
        <f t="shared" ref="D69:M69" si="35">IF(E$36="","",D38/E38-1)</f>
        <v>8.7750083289748426E-2</v>
      </c>
      <c r="E69" s="92">
        <f t="shared" si="35"/>
        <v>0.20902482912924136</v>
      </c>
      <c r="F69" s="92">
        <f t="shared" si="35"/>
        <v>0.26309186161927012</v>
      </c>
      <c r="G69" s="92">
        <f t="shared" si="35"/>
        <v>-0.11017176297815368</v>
      </c>
      <c r="H69" s="92">
        <f t="shared" si="35"/>
        <v>-5.2576367996165496E-2</v>
      </c>
      <c r="I69" s="92">
        <f t="shared" si="35"/>
        <v>0.16149923682038736</v>
      </c>
      <c r="J69" s="92">
        <f t="shared" si="35"/>
        <v>0.13254787045198868</v>
      </c>
      <c r="K69" s="92">
        <f t="shared" si="35"/>
        <v>9.9153738077462084E-2</v>
      </c>
      <c r="L69" s="92" t="str">
        <f t="shared" si="35"/>
        <v/>
      </c>
      <c r="M69" s="92" t="str">
        <f t="shared" si="35"/>
        <v/>
      </c>
    </row>
    <row r="70" spans="2:13">
      <c r="B70" s="80" t="str">
        <f>B43</f>
        <v>Operating EBIT</v>
      </c>
      <c r="C70" s="101">
        <f>IF(D$36="","",C43/D43-1)</f>
        <v>-0.28373514084490337</v>
      </c>
      <c r="D70" s="101">
        <f t="shared" ref="D70:M70" si="36">IF(E$36="","",D43/E43-1)</f>
        <v>4.4262968709174899E-2</v>
      </c>
      <c r="E70" s="101">
        <f t="shared" si="36"/>
        <v>0.25647336152491773</v>
      </c>
      <c r="F70" s="101">
        <f t="shared" si="36"/>
        <v>0.28635687206930105</v>
      </c>
      <c r="G70" s="101">
        <f t="shared" si="36"/>
        <v>-0.15714446123671877</v>
      </c>
      <c r="H70" s="101">
        <f t="shared" si="36"/>
        <v>-0.11832951634630129</v>
      </c>
      <c r="I70" s="101">
        <f t="shared" si="36"/>
        <v>0.19326463322110476</v>
      </c>
      <c r="J70" s="101">
        <f t="shared" si="36"/>
        <v>0.1310688123908792</v>
      </c>
      <c r="K70" s="101">
        <f t="shared" si="36"/>
        <v>0.13193332274757696</v>
      </c>
      <c r="L70" s="101" t="str">
        <f t="shared" si="36"/>
        <v/>
      </c>
      <c r="M70" s="101" t="str">
        <f t="shared" si="36"/>
        <v/>
      </c>
    </row>
    <row r="71" spans="2:13">
      <c r="B71" s="43" t="s">
        <v>169</v>
      </c>
      <c r="C71" s="101">
        <f>IF(D$36="","",C44/D44-1)</f>
        <v>-1.9791021742890371</v>
      </c>
      <c r="D71" s="101">
        <f t="shared" ref="D71:M71" si="37">IF(E$36="","",D44/E44-1)</f>
        <v>0.50160212162851958</v>
      </c>
      <c r="E71" s="101">
        <f t="shared" si="37"/>
        <v>-0.21937451434397459</v>
      </c>
      <c r="F71" s="101">
        <f t="shared" si="37"/>
        <v>-0.92138065727880192</v>
      </c>
      <c r="G71" s="101">
        <f t="shared" si="37"/>
        <v>1.2977865906462451</v>
      </c>
      <c r="H71" s="101">
        <f t="shared" si="37"/>
        <v>7.4117647799089692E-2</v>
      </c>
      <c r="I71" s="101">
        <f t="shared" si="37"/>
        <v>0.5039827119841771</v>
      </c>
      <c r="J71" s="101">
        <f t="shared" si="37"/>
        <v>0.25983110680764532</v>
      </c>
      <c r="K71" s="101">
        <f t="shared" si="37"/>
        <v>-0.31205781911703001</v>
      </c>
      <c r="L71" s="101" t="str">
        <f t="shared" si="37"/>
        <v/>
      </c>
      <c r="M71" s="101" t="str">
        <f t="shared" si="37"/>
        <v/>
      </c>
    </row>
    <row r="72" spans="2:13">
      <c r="B72" s="80" t="str">
        <f>B47</f>
        <v>Reported Net Income</v>
      </c>
      <c r="C72" s="101">
        <f>IF(D$36="","",C47/D47-1)</f>
        <v>-0.33473607510789016</v>
      </c>
      <c r="D72" s="101">
        <f t="shared" ref="D72:M72" si="38">IF(E$36="","",D47/E47-1)</f>
        <v>6.7242902420524109E-2</v>
      </c>
      <c r="E72" s="101">
        <f t="shared" si="38"/>
        <v>0.24978389262453682</v>
      </c>
      <c r="F72" s="101">
        <f t="shared" si="38"/>
        <v>3.7692140129308438E-3</v>
      </c>
      <c r="G72" s="101">
        <f t="shared" si="38"/>
        <v>1.3337961870998782E-2</v>
      </c>
      <c r="H72" s="101">
        <f t="shared" si="38"/>
        <v>-8.9859437562642697E-2</v>
      </c>
      <c r="I72" s="101">
        <f t="shared" si="38"/>
        <v>0.22610546986121216</v>
      </c>
      <c r="J72" s="101">
        <f t="shared" si="38"/>
        <v>0.14020102812921276</v>
      </c>
      <c r="K72" s="101">
        <f t="shared" si="38"/>
        <v>8.1959642424451751E-2</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67345265219.619995</v>
      </c>
      <c r="D76" s="188">
        <f t="shared" ref="D76:M76" si="39">IF(D$4="","",D79+D80)</f>
        <v>69792287456</v>
      </c>
      <c r="E76" s="188">
        <f t="shared" si="39"/>
        <v>67964247135</v>
      </c>
      <c r="F76" s="188">
        <f t="shared" si="39"/>
        <v>67798704194</v>
      </c>
      <c r="G76" s="188">
        <f t="shared" si="39"/>
        <v>53866259307</v>
      </c>
      <c r="H76" s="188">
        <f t="shared" si="39"/>
        <v>53455037841</v>
      </c>
      <c r="I76" s="188">
        <f t="shared" si="39"/>
        <v>49563767816</v>
      </c>
      <c r="J76" s="188">
        <f t="shared" si="39"/>
        <v>43258140702</v>
      </c>
      <c r="K76" s="188">
        <f t="shared" si="39"/>
        <v>38804062249</v>
      </c>
      <c r="L76" s="188">
        <f t="shared" si="39"/>
        <v>33860320967</v>
      </c>
      <c r="M76" s="188" t="str">
        <f t="shared" si="39"/>
        <v/>
      </c>
    </row>
    <row r="77" spans="2:13">
      <c r="B77" s="93" t="s">
        <v>86</v>
      </c>
      <c r="C77" s="185">
        <f t="shared" ref="C77:H78" si="40">IF(C$4="","",C28)</f>
        <v>1530297140.1800001</v>
      </c>
      <c r="D77" s="185">
        <f t="shared" si="40"/>
        <v>530005754</v>
      </c>
      <c r="E77" s="185">
        <f t="shared" si="40"/>
        <v>571147623</v>
      </c>
      <c r="F77" s="185">
        <f t="shared" si="40"/>
        <v>665097278</v>
      </c>
      <c r="G77" s="185">
        <f t="shared" si="40"/>
        <v>617721565</v>
      </c>
      <c r="H77" s="185">
        <f t="shared" si="40"/>
        <v>675347400</v>
      </c>
      <c r="I77" s="335"/>
      <c r="J77" s="335"/>
      <c r="K77" s="335"/>
      <c r="L77" s="335"/>
      <c r="M77" s="335"/>
    </row>
    <row r="78" spans="2:13">
      <c r="B78" s="93" t="s">
        <v>87</v>
      </c>
      <c r="C78" s="185">
        <f t="shared" si="40"/>
        <v>19732881051.73</v>
      </c>
      <c r="D78" s="185">
        <f t="shared" si="40"/>
        <v>18954235402</v>
      </c>
      <c r="E78" s="185">
        <f t="shared" si="40"/>
        <v>17729258967</v>
      </c>
      <c r="F78" s="185">
        <f t="shared" si="40"/>
        <v>16803093442</v>
      </c>
      <c r="G78" s="185">
        <f t="shared" si="40"/>
        <v>14852694146</v>
      </c>
      <c r="H78" s="185">
        <f t="shared" si="40"/>
        <v>14433244696</v>
      </c>
      <c r="I78" s="335"/>
      <c r="J78" s="335"/>
      <c r="K78" s="335"/>
      <c r="L78" s="335"/>
      <c r="M78" s="335"/>
    </row>
    <row r="79" spans="2:13">
      <c r="B79" s="26" t="s">
        <v>40</v>
      </c>
      <c r="C79" s="183">
        <f t="shared" ref="C79:M79" si="41">IF(C$4="","",C30)</f>
        <v>15652219365.74</v>
      </c>
      <c r="D79" s="183">
        <f t="shared" si="41"/>
        <v>17742423481</v>
      </c>
      <c r="E79" s="183">
        <f t="shared" si="41"/>
        <v>20439798531</v>
      </c>
      <c r="F79" s="183">
        <f t="shared" si="41"/>
        <v>25317393936</v>
      </c>
      <c r="G79" s="183">
        <f t="shared" si="41"/>
        <v>15396606230</v>
      </c>
      <c r="H79" s="183">
        <f t="shared" si="41"/>
        <v>16963485271</v>
      </c>
      <c r="I79" s="183">
        <f t="shared" si="41"/>
        <v>15939249286</v>
      </c>
      <c r="J79" s="183">
        <f t="shared" si="41"/>
        <v>13763271610</v>
      </c>
      <c r="K79" s="183">
        <f t="shared" si="41"/>
        <v>12767076382</v>
      </c>
      <c r="L79" s="183">
        <f t="shared" si="41"/>
        <v>10918840106</v>
      </c>
      <c r="M79" s="183" t="str">
        <f t="shared" si="41"/>
        <v/>
      </c>
    </row>
    <row r="80" spans="2:13">
      <c r="B80" s="26" t="s">
        <v>30</v>
      </c>
      <c r="C80" s="183">
        <f t="shared" ref="C80:M80" si="42">IF(C$4="","",C31)</f>
        <v>51693045853.879997</v>
      </c>
      <c r="D80" s="183">
        <f t="shared" si="42"/>
        <v>52049863975</v>
      </c>
      <c r="E80" s="183">
        <f t="shared" si="42"/>
        <v>47524448604</v>
      </c>
      <c r="F80" s="183">
        <f t="shared" si="42"/>
        <v>42481310258</v>
      </c>
      <c r="G80" s="183">
        <f t="shared" si="42"/>
        <v>38469653077</v>
      </c>
      <c r="H80" s="183">
        <f t="shared" si="42"/>
        <v>36491552570</v>
      </c>
      <c r="I80" s="183">
        <f t="shared" si="42"/>
        <v>33624518530</v>
      </c>
      <c r="J80" s="183">
        <f t="shared" si="42"/>
        <v>29494869092</v>
      </c>
      <c r="K80" s="183">
        <f t="shared" si="42"/>
        <v>26036985867</v>
      </c>
      <c r="L80" s="183">
        <f t="shared" si="42"/>
        <v>22941480861</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C2" sqref="C2"/>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413398699+8994904.73+1090851688.67+17051847.78</f>
        <v>1530297140.1800001</v>
      </c>
      <c r="D4" s="294">
        <v>0.6</v>
      </c>
      <c r="E4" s="25"/>
      <c r="F4" s="4" t="s">
        <v>78</v>
      </c>
      <c r="G4" s="19">
        <v>21748297978.369999</v>
      </c>
      <c r="H4" s="294">
        <v>0.9</v>
      </c>
    </row>
    <row r="5" spans="2:8" ht="15" customHeight="1">
      <c r="B5" s="1" t="s">
        <v>33</v>
      </c>
      <c r="C5" s="19">
        <v>0</v>
      </c>
      <c r="D5" s="294">
        <v>0.6</v>
      </c>
      <c r="E5" s="25"/>
      <c r="F5" s="1" t="s">
        <v>29</v>
      </c>
      <c r="G5" s="19">
        <v>0</v>
      </c>
      <c r="H5" s="294">
        <v>0.7</v>
      </c>
    </row>
    <row r="6" spans="2:8" ht="15" customHeight="1">
      <c r="B6" s="4" t="s">
        <v>10</v>
      </c>
      <c r="C6" s="19">
        <v>19732881051.73</v>
      </c>
      <c r="D6" s="294">
        <v>0.5</v>
      </c>
      <c r="E6" s="25"/>
      <c r="F6" s="4" t="s">
        <v>178</v>
      </c>
      <c r="G6" s="19">
        <v>0</v>
      </c>
      <c r="H6" s="294">
        <v>0.6</v>
      </c>
    </row>
    <row r="7" spans="2:8" ht="15" customHeight="1">
      <c r="B7" s="1" t="s">
        <v>69</v>
      </c>
      <c r="C7" s="19">
        <v>0</v>
      </c>
      <c r="D7" s="294">
        <v>0.6</v>
      </c>
      <c r="E7" s="25"/>
      <c r="F7" s="4" t="s">
        <v>179</v>
      </c>
      <c r="G7" s="19">
        <v>6380145437.1400003</v>
      </c>
      <c r="H7" s="294">
        <v>0.6</v>
      </c>
    </row>
    <row r="8" spans="2:8" ht="15" customHeight="1">
      <c r="B8" s="1" t="s">
        <v>174</v>
      </c>
      <c r="C8" s="19">
        <v>0</v>
      </c>
      <c r="D8" s="294">
        <v>0.6</v>
      </c>
      <c r="E8" s="25"/>
      <c r="F8" s="1" t="s">
        <v>180</v>
      </c>
      <c r="G8" s="19">
        <v>0</v>
      </c>
      <c r="H8" s="294">
        <v>0.6</v>
      </c>
    </row>
    <row r="9" spans="2:8" ht="15" customHeight="1">
      <c r="B9" s="4" t="s">
        <v>25</v>
      </c>
      <c r="C9" s="19">
        <v>23310180.68</v>
      </c>
      <c r="D9" s="294">
        <v>0.1</v>
      </c>
      <c r="E9" s="25"/>
      <c r="F9" s="4" t="s">
        <v>181</v>
      </c>
      <c r="G9" s="19">
        <v>0</v>
      </c>
      <c r="H9" s="294">
        <v>0.6</v>
      </c>
    </row>
    <row r="10" spans="2:8" ht="15" customHeight="1">
      <c r="B10" s="4" t="s">
        <v>11</v>
      </c>
      <c r="C10" s="19">
        <v>0</v>
      </c>
      <c r="D10" s="294">
        <v>0.9</v>
      </c>
      <c r="H10" s="295"/>
    </row>
    <row r="11" spans="2:8" ht="15" customHeight="1">
      <c r="B11" s="4" t="s">
        <v>12</v>
      </c>
      <c r="C11" s="19">
        <v>909932715.44000006</v>
      </c>
      <c r="D11" s="294">
        <v>0.05</v>
      </c>
      <c r="H11" s="295"/>
    </row>
    <row r="12" spans="2:8" ht="15" customHeight="1">
      <c r="B12" s="80" t="s">
        <v>72</v>
      </c>
      <c r="C12" s="81">
        <f>SUM(C4:C11)</f>
        <v>22196421088.029999</v>
      </c>
      <c r="D12" s="20">
        <f>C4*D4+C5*D5+C9*D9+C6*D6+C8*D8+C7*D7+C10*D10+C11*D11</f>
        <v>10832446463.813</v>
      </c>
      <c r="F12" s="80" t="s">
        <v>70</v>
      </c>
      <c r="G12" s="81">
        <f>SUM(G4:G9)</f>
        <v>28128443415.509998</v>
      </c>
      <c r="H12" s="20">
        <f>G4*H4+G5*H5+G6*H6+G7*H7+G8*H8+G9*H9</f>
        <v>23401555442.817001</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0</v>
      </c>
      <c r="H15" s="294">
        <v>0.8</v>
      </c>
    </row>
    <row r="16" spans="2:8" ht="15" customHeight="1">
      <c r="B16" s="1" t="s">
        <v>34</v>
      </c>
      <c r="C16" s="19">
        <v>4614148799.21</v>
      </c>
      <c r="D16" s="294">
        <v>0.5</v>
      </c>
      <c r="F16" s="4" t="s">
        <v>178</v>
      </c>
      <c r="G16" s="19">
        <v>0</v>
      </c>
      <c r="H16" s="294">
        <v>0.6</v>
      </c>
    </row>
    <row r="17" spans="2:8" ht="15" customHeight="1">
      <c r="B17" s="1" t="s">
        <v>69</v>
      </c>
      <c r="C17" s="19">
        <v>0</v>
      </c>
      <c r="D17" s="294">
        <v>0.6</v>
      </c>
      <c r="F17" s="4" t="s">
        <v>179</v>
      </c>
      <c r="G17" s="19">
        <v>0</v>
      </c>
      <c r="H17" s="294">
        <v>0.6</v>
      </c>
    </row>
    <row r="18" spans="2:8" ht="15" customHeight="1">
      <c r="B18" s="4" t="s">
        <v>174</v>
      </c>
      <c r="C18" s="19">
        <v>0</v>
      </c>
      <c r="D18" s="294">
        <v>0.6</v>
      </c>
      <c r="F18" s="4" t="s">
        <v>182</v>
      </c>
      <c r="G18" s="19">
        <v>0</v>
      </c>
      <c r="H18" s="294">
        <v>0.1</v>
      </c>
    </row>
    <row r="19" spans="2:8" ht="15" customHeight="1">
      <c r="B19" s="4" t="s">
        <v>26</v>
      </c>
      <c r="C19" s="19">
        <f>5571618070.98+1912601220.28+66814914.62</f>
        <v>7551034205.8799992</v>
      </c>
      <c r="D19" s="294">
        <v>0.1</v>
      </c>
      <c r="F19" s="4" t="s">
        <v>183</v>
      </c>
      <c r="G19" s="19">
        <v>1235408741.8699999</v>
      </c>
      <c r="H19" s="294">
        <v>0.1</v>
      </c>
    </row>
    <row r="20" spans="2:8" ht="15" customHeight="1">
      <c r="B20" s="4" t="s">
        <v>18</v>
      </c>
      <c r="C20" s="19">
        <v>0</v>
      </c>
      <c r="D20" s="294">
        <v>0.05</v>
      </c>
      <c r="F20" s="4" t="s">
        <v>180</v>
      </c>
      <c r="G20" s="19">
        <v>0</v>
      </c>
      <c r="H20" s="294">
        <v>0.2</v>
      </c>
    </row>
    <row r="21" spans="2:8" ht="15" customHeight="1">
      <c r="B21" s="4" t="s">
        <v>19</v>
      </c>
      <c r="C21" s="19">
        <v>1804220059.96</v>
      </c>
      <c r="D21" s="294">
        <v>0.05</v>
      </c>
      <c r="F21" s="1" t="s">
        <v>181</v>
      </c>
      <c r="G21" s="19">
        <v>0</v>
      </c>
      <c r="H21" s="294">
        <v>0.1</v>
      </c>
    </row>
    <row r="22" spans="2:8" ht="15" customHeight="1">
      <c r="B22" s="4" t="s">
        <v>20</v>
      </c>
      <c r="C22" s="19">
        <f>1242507668.92+180606719.81</f>
        <v>1423114388.73</v>
      </c>
      <c r="D22" s="294">
        <v>0.9</v>
      </c>
      <c r="H22" s="295"/>
    </row>
    <row r="23" spans="2:8" ht="15" customHeight="1">
      <c r="B23" s="4" t="s">
        <v>21</v>
      </c>
      <c r="C23" s="19">
        <f>276001989.95+116472530.48</f>
        <v>392474520.43000001</v>
      </c>
      <c r="D23" s="294">
        <v>0</v>
      </c>
      <c r="H23" s="295"/>
    </row>
    <row r="24" spans="2:8" ht="15" customHeight="1">
      <c r="B24" s="80" t="s">
        <v>74</v>
      </c>
      <c r="C24" s="81">
        <f>SUM(C15:C23)</f>
        <v>15784991974.209999</v>
      </c>
      <c r="D24" s="20">
        <f>C15*D15+C16*D16+C18*D18+C17*D17+C19*D19+C20*D20+C21*D21+C22*D22+C23*D23</f>
        <v>4433191773.0480003</v>
      </c>
      <c r="F24" s="80" t="s">
        <v>71</v>
      </c>
      <c r="G24" s="81">
        <f>SUM(G15:G21)</f>
        <v>1235408741.8699999</v>
      </c>
      <c r="H24" s="20">
        <f>G15*H15+G16*H16+G17*H17+G18*H18+G19*H19+G20*H20+G21*H21</f>
        <v>123540874.18699999</v>
      </c>
    </row>
    <row r="26" spans="2:8" ht="15" customHeight="1">
      <c r="B26" s="16" t="s">
        <v>201</v>
      </c>
      <c r="C26" s="203" t="s">
        <v>137</v>
      </c>
      <c r="F26" s="205" t="s">
        <v>197</v>
      </c>
      <c r="G26" s="206" t="s">
        <v>137</v>
      </c>
      <c r="H26" s="207" t="s">
        <v>35</v>
      </c>
    </row>
    <row r="27" spans="2:8" ht="15" customHeight="1">
      <c r="B27" s="4" t="s">
        <v>5</v>
      </c>
      <c r="C27" s="19">
        <v>0</v>
      </c>
      <c r="F27" s="208" t="s">
        <v>30</v>
      </c>
      <c r="G27" s="85">
        <f>G32-G30</f>
        <v>51693045853.879997</v>
      </c>
      <c r="H27" s="209">
        <f>H32-G30</f>
        <v>23138515188.125008</v>
      </c>
    </row>
    <row r="28" spans="2:8" ht="15" customHeight="1">
      <c r="B28" s="4" t="s">
        <v>6</v>
      </c>
      <c r="C28" s="19">
        <v>0</v>
      </c>
      <c r="F28" s="210" t="s">
        <v>245</v>
      </c>
      <c r="G28" s="181">
        <v>104802725.23</v>
      </c>
      <c r="H28" s="209"/>
    </row>
    <row r="29" spans="2:8" ht="15" customHeight="1">
      <c r="B29" s="4" t="s">
        <v>7</v>
      </c>
      <c r="C29" s="19">
        <v>0</v>
      </c>
      <c r="F29" s="211" t="s">
        <v>76</v>
      </c>
      <c r="G29" s="14">
        <f>G27-G28</f>
        <v>51588243128.649994</v>
      </c>
      <c r="H29" s="209">
        <f>H27-G28</f>
        <v>23033712462.895008</v>
      </c>
    </row>
    <row r="30" spans="2:8" ht="15" customHeight="1">
      <c r="B30" s="2" t="s">
        <v>8</v>
      </c>
      <c r="C30" s="19">
        <v>0</v>
      </c>
      <c r="F30" s="208" t="s">
        <v>23</v>
      </c>
      <c r="G30" s="85">
        <f>C33+C42</f>
        <v>15652219365.74</v>
      </c>
      <c r="H30" s="209"/>
    </row>
    <row r="31" spans="2:8" ht="15" customHeight="1">
      <c r="B31" s="80" t="s">
        <v>204</v>
      </c>
      <c r="C31" s="81">
        <f>SUM(C27:C30)</f>
        <v>0</v>
      </c>
      <c r="F31" s="211" t="s">
        <v>77</v>
      </c>
      <c r="G31" s="212">
        <f>C31+C40</f>
        <v>40134989.460000001</v>
      </c>
      <c r="H31" s="209"/>
    </row>
    <row r="32" spans="2:8" ht="15" customHeight="1">
      <c r="B32" s="4" t="s">
        <v>9</v>
      </c>
      <c r="C32" s="21">
        <f>C33-C31</f>
        <v>15258522338.129999</v>
      </c>
      <c r="F32" s="213" t="s">
        <v>75</v>
      </c>
      <c r="G32" s="214">
        <f>G35+G40</f>
        <v>67345265219.619995</v>
      </c>
      <c r="H32" s="209">
        <f>H35+H40</f>
        <v>38790734553.865005</v>
      </c>
    </row>
    <row r="33" spans="2:8" ht="15" customHeight="1">
      <c r="B33" s="83" t="s">
        <v>4</v>
      </c>
      <c r="C33" s="84">
        <v>15258522338.129999</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37981413062.239998</v>
      </c>
      <c r="H35" s="221">
        <f>D12+D24</f>
        <v>15265638236.861</v>
      </c>
    </row>
    <row r="36" spans="2:8" ht="15" customHeight="1">
      <c r="B36" s="4" t="s">
        <v>13</v>
      </c>
      <c r="C36" s="19">
        <v>0</v>
      </c>
      <c r="F36" s="211" t="s">
        <v>198</v>
      </c>
      <c r="G36" s="212">
        <f>C4+C15</f>
        <v>1530297140.1800001</v>
      </c>
      <c r="H36" s="216"/>
    </row>
    <row r="37" spans="2:8" ht="15" customHeight="1">
      <c r="B37" s="4" t="s">
        <v>14</v>
      </c>
      <c r="C37" s="19">
        <v>40134989.460000001</v>
      </c>
      <c r="F37" s="211" t="s">
        <v>199</v>
      </c>
      <c r="G37" s="212">
        <f>C6</f>
        <v>19732881051.73</v>
      </c>
      <c r="H37" s="216"/>
    </row>
    <row r="38" spans="2:8" ht="15" customHeight="1">
      <c r="B38" s="4" t="s">
        <v>15</v>
      </c>
      <c r="C38" s="19">
        <v>0</v>
      </c>
      <c r="F38" s="211" t="s">
        <v>200</v>
      </c>
      <c r="G38" s="212">
        <f>C7+C17</f>
        <v>0</v>
      </c>
      <c r="H38" s="216"/>
    </row>
    <row r="39" spans="2:8" ht="15" customHeight="1">
      <c r="B39" s="2" t="s">
        <v>16</v>
      </c>
      <c r="C39" s="19">
        <v>0</v>
      </c>
      <c r="F39" s="211" t="s">
        <v>80</v>
      </c>
      <c r="G39" s="212">
        <f>C7+C17+C19+C20</f>
        <v>7551034205.8799992</v>
      </c>
      <c r="H39" s="209">
        <f>C7*D7+C17*D17+C19*D19+C20*D20</f>
        <v>755103420.58799994</v>
      </c>
    </row>
    <row r="40" spans="2:8" ht="15" customHeight="1">
      <c r="B40" s="80" t="s">
        <v>205</v>
      </c>
      <c r="C40" s="81">
        <f>SUM(C36:C39)</f>
        <v>40134989.460000001</v>
      </c>
      <c r="F40" s="220" t="s">
        <v>139</v>
      </c>
      <c r="G40" s="214">
        <f>G12+G24</f>
        <v>29363852157.379997</v>
      </c>
      <c r="H40" s="221">
        <f>H12+H24</f>
        <v>23525096317.004002</v>
      </c>
    </row>
    <row r="41" spans="2:8" ht="15" customHeight="1">
      <c r="B41" s="4" t="s">
        <v>17</v>
      </c>
      <c r="C41" s="21">
        <f>C42-C40</f>
        <v>353562038.15000004</v>
      </c>
      <c r="F41" s="211" t="s">
        <v>192</v>
      </c>
      <c r="G41" s="212">
        <f>C70</f>
        <v>21748297978.369999</v>
      </c>
      <c r="H41" s="221">
        <f>H40-H42</f>
        <v>19573468180.533001</v>
      </c>
    </row>
    <row r="42" spans="2:8" ht="15" customHeight="1">
      <c r="B42" s="83" t="s">
        <v>22</v>
      </c>
      <c r="C42" s="84">
        <v>393697027.61000001</v>
      </c>
      <c r="F42" s="222" t="s">
        <v>193</v>
      </c>
      <c r="G42" s="223">
        <f>C82</f>
        <v>7615554179.0100002</v>
      </c>
      <c r="H42" s="224">
        <f>D82</f>
        <v>3951628136.4709997</v>
      </c>
    </row>
    <row r="44" spans="2:8" ht="15" customHeight="1">
      <c r="B44" s="79" t="s">
        <v>97</v>
      </c>
      <c r="C44" s="37"/>
      <c r="D44" s="37"/>
      <c r="E44" s="37"/>
      <c r="F44" s="37"/>
      <c r="G44" s="37"/>
      <c r="H44" s="37"/>
    </row>
    <row r="45" spans="2:8" ht="15" customHeight="1">
      <c r="B45" s="16" t="s">
        <v>272</v>
      </c>
      <c r="C45" s="261" t="s">
        <v>137</v>
      </c>
      <c r="D45" s="203" t="s">
        <v>416</v>
      </c>
      <c r="F45" s="287" t="s">
        <v>59</v>
      </c>
    </row>
    <row r="46" spans="2:8" ht="15" customHeight="1">
      <c r="B46" s="1" t="s">
        <v>274</v>
      </c>
      <c r="C46" s="188">
        <f>G29</f>
        <v>51588243128.649994</v>
      </c>
      <c r="D46" s="188">
        <f>H29</f>
        <v>23033712462.895008</v>
      </c>
      <c r="F46" s="283"/>
    </row>
    <row r="47" spans="2:8" ht="15" customHeight="1">
      <c r="B47" s="1" t="str">
        <f>"Equity per share ("&amp;Market_currency&amp;")"</f>
        <v>Equity per share (CNY)</v>
      </c>
      <c r="C47" s="148">
        <f>C46*H1/Common_Shares*Exchange_Rate</f>
        <v>34.232683424585993</v>
      </c>
      <c r="D47" s="148">
        <f>D46*H1/Common_Shares*Exchange_Rate</f>
        <v>15.284602440692964</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3.8209153156820415E-3</v>
      </c>
      <c r="D50" s="95">
        <f>G31/Normalized_FCF!G8</f>
        <v>4.5851652280403769E-3</v>
      </c>
      <c r="F50" s="283"/>
    </row>
    <row r="51" spans="2:8" ht="15" customHeight="1">
      <c r="B51" s="1" t="s">
        <v>177</v>
      </c>
      <c r="C51" s="202"/>
      <c r="D51" s="92">
        <f>G29/G32</f>
        <v>0.76602628203208212</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0.2765569791142819</v>
      </c>
      <c r="D54" s="92">
        <f>Normalized_FCF!G8/G35</f>
        <v>0.23046078921961435</v>
      </c>
      <c r="F54" s="283"/>
    </row>
    <row r="55" spans="2:8" ht="15" customHeight="1">
      <c r="B55" s="1" t="s">
        <v>142</v>
      </c>
      <c r="C55" s="92">
        <f>Normalized_FCF!C11/G40</f>
        <v>0</v>
      </c>
      <c r="D55" s="92">
        <f>Normalized_FCF!G11/G40</f>
        <v>3.0012732378422154E-7</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9.2361094783138031E-2</v>
      </c>
      <c r="F58" s="5"/>
    </row>
    <row r="59" spans="2:8" ht="15" customHeight="1">
      <c r="B59" s="1" t="s">
        <v>93</v>
      </c>
      <c r="C59" s="98"/>
      <c r="D59" s="92">
        <f>G39/G32</f>
        <v>0.1121242032569815</v>
      </c>
      <c r="F59" s="283"/>
    </row>
    <row r="60" spans="2:8" ht="15" customHeight="1">
      <c r="F60" s="283"/>
    </row>
    <row r="61" spans="2:8" ht="15" customHeight="1">
      <c r="B61" s="158" t="s">
        <v>275</v>
      </c>
      <c r="C61" s="262" t="s">
        <v>138</v>
      </c>
      <c r="D61" s="218" t="s">
        <v>96</v>
      </c>
      <c r="F61" s="283"/>
    </row>
    <row r="62" spans="2:8" ht="15" customHeight="1">
      <c r="B62" s="1" t="s">
        <v>246</v>
      </c>
      <c r="C62" s="92">
        <f>IF(G28&lt;=0,0,G28/G29)</f>
        <v>2.0315234416617856E-3</v>
      </c>
      <c r="D62" s="92">
        <f>G28/G29</f>
        <v>2.0315234416617856E-3</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21748297978.369999</v>
      </c>
      <c r="D66" s="188">
        <f>C66-D75</f>
        <v>17437737876.49247</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21748297978.369999</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-2260503650</v>
      </c>
      <c r="D73" s="188">
        <f>(Normalized_FCF!C25+Normalized_FCF!C35-Normalized_FCF!C91)/12</f>
        <v>-2155280050.938765</v>
      </c>
      <c r="F73" s="1" t="s">
        <v>360</v>
      </c>
    </row>
    <row r="74" spans="2:6" ht="15" customHeight="1">
      <c r="B74" s="288" t="s">
        <v>330</v>
      </c>
      <c r="C74" s="289">
        <f>-$C$66/C73</f>
        <v>9.6209966209831155</v>
      </c>
      <c r="D74" s="289">
        <f>-$C$66/D73</f>
        <v>10.090706295405646</v>
      </c>
      <c r="F74" s="283" t="s">
        <v>327</v>
      </c>
    </row>
    <row r="75" spans="2:6" ht="15" customHeight="1">
      <c r="B75" s="80" t="s">
        <v>328</v>
      </c>
      <c r="C75" s="293"/>
      <c r="D75" s="292">
        <f>MAX(-D73*D76,G5)</f>
        <v>4310560101.8775301</v>
      </c>
      <c r="F75" s="283" t="s">
        <v>361</v>
      </c>
    </row>
    <row r="76" spans="2:6" ht="15" customHeight="1">
      <c r="B76" s="290" t="s">
        <v>331</v>
      </c>
      <c r="C76" s="291"/>
      <c r="D76" s="327">
        <f>IF(D74&lt;=3,1,IF(D74&gt;18,6,2))</f>
        <v>2</v>
      </c>
      <c r="F76" s="283" t="s">
        <v>332</v>
      </c>
    </row>
    <row r="77" spans="2:6" ht="15" customHeight="1">
      <c r="F77" s="283"/>
    </row>
    <row r="78" spans="2:6" ht="15" customHeight="1">
      <c r="B78" s="16" t="s">
        <v>190</v>
      </c>
      <c r="C78" s="261" t="s">
        <v>137</v>
      </c>
      <c r="D78" s="204" t="s">
        <v>35</v>
      </c>
      <c r="F78" s="283"/>
    </row>
    <row r="79" spans="2:6" ht="15" customHeight="1">
      <c r="B79" s="105" t="s">
        <v>179</v>
      </c>
      <c r="C79" s="20">
        <f>G7+G17</f>
        <v>6380145437.1400003</v>
      </c>
      <c r="D79" s="188">
        <f>G7*H7+G17*H17</f>
        <v>3828087262.2839999</v>
      </c>
      <c r="F79" s="283"/>
    </row>
    <row r="80" spans="2:6" ht="15" customHeight="1">
      <c r="B80" s="105" t="s">
        <v>183</v>
      </c>
      <c r="C80" s="20">
        <f>G19</f>
        <v>1235408741.8699999</v>
      </c>
      <c r="D80" s="188">
        <f>G19*H19</f>
        <v>123540874.18699999</v>
      </c>
      <c r="F80" s="283"/>
    </row>
    <row r="81" spans="2:8" ht="15" customHeight="1">
      <c r="B81" s="105" t="s">
        <v>181</v>
      </c>
      <c r="C81" s="20">
        <f>G9+G21</f>
        <v>0</v>
      </c>
      <c r="D81" s="188">
        <f>G9*H9+G21*H21</f>
        <v>0</v>
      </c>
      <c r="F81" s="283"/>
    </row>
    <row r="82" spans="2:8" ht="15" customHeight="1">
      <c r="B82" s="80" t="s">
        <v>190</v>
      </c>
      <c r="C82" s="81">
        <f>SUM(C79:C81)</f>
        <v>7615554179.0100002</v>
      </c>
      <c r="D82" s="81">
        <f>SUM(D79:D81)</f>
        <v>3951628136.4709997</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-40134989.460000001</v>
      </c>
      <c r="D86" s="248">
        <f>C86*scaling_factor/Common_Shares</f>
        <v>-2.6632587293329478E-2</v>
      </c>
      <c r="E86" s="269" t="str">
        <f>Market_currency</f>
        <v>CNY</v>
      </c>
    </row>
    <row r="87" spans="2:8" ht="15" customHeight="1">
      <c r="B87" s="267" t="s">
        <v>294</v>
      </c>
      <c r="C87" s="188">
        <f>Valuation_Model!C8*Exchange_Rate</f>
        <v>17437737876.49247</v>
      </c>
      <c r="D87" s="248">
        <f>C87*scaling_factor/Common_Shares</f>
        <v>11.571251978444732</v>
      </c>
      <c r="E87" s="269" t="str">
        <f>Market_currency</f>
        <v>CNY</v>
      </c>
    </row>
    <row r="88" spans="2:8" ht="15" customHeight="1">
      <c r="B88" s="268" t="s">
        <v>190</v>
      </c>
      <c r="C88" s="188">
        <f>Valuation_Model!C9*Exchange_Rate</f>
        <v>3951628136.4709997</v>
      </c>
      <c r="D88" s="248">
        <f>C88*scaling_factor/Common_Shares</f>
        <v>2.6222027889213448</v>
      </c>
      <c r="E88" s="269" t="str">
        <f>Market_currency</f>
        <v>CNY</v>
      </c>
    </row>
    <row r="89" spans="2:8" ht="15" customHeight="1">
      <c r="B89" s="80" t="s">
        <v>298</v>
      </c>
      <c r="C89" s="187">
        <f>SUM(C86:C88)</f>
        <v>21349231023.503471</v>
      </c>
      <c r="D89" s="271">
        <f>SUM(D86:D88)</f>
        <v>14.166822180072746</v>
      </c>
      <c r="E89" s="269"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24" sqref="C12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Thesis!C16</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302"/>
      <c r="F3" s="9"/>
      <c r="G3" s="9"/>
    </row>
    <row r="4" spans="1:17" ht="15.75" customHeight="1">
      <c r="A4" s="10"/>
      <c r="B4" s="26" t="s">
        <v>2</v>
      </c>
      <c r="C4" s="190">
        <f>AVERAGE(G4:J4)</f>
        <v>29364412234.25</v>
      </c>
      <c r="D4" s="57"/>
      <c r="E4" s="300"/>
      <c r="F4" s="57"/>
      <c r="G4" s="183">
        <f>Data!C36</f>
        <v>28876296994</v>
      </c>
      <c r="H4" s="183">
        <f>Data!D36</f>
        <v>33126277552</v>
      </c>
      <c r="I4" s="183">
        <f>Data!E36</f>
        <v>30104896187</v>
      </c>
      <c r="J4" s="183">
        <f>Data!F36</f>
        <v>25350178204</v>
      </c>
      <c r="K4" s="183">
        <f>Data!G36</f>
        <v>21101051132</v>
      </c>
      <c r="L4" s="183">
        <f>Data!H36</f>
        <v>23126476885</v>
      </c>
      <c r="M4" s="183">
        <f>Data!I36</f>
        <v>24159801995</v>
      </c>
      <c r="N4" s="183">
        <f>Data!J36</f>
        <v>19917942238</v>
      </c>
      <c r="O4" s="183">
        <f>Data!K36</f>
        <v>17183109620</v>
      </c>
      <c r="P4" s="183">
        <f>Data!L36</f>
        <v>16052444099</v>
      </c>
      <c r="Q4" s="183" t="str">
        <f>Data!M36</f>
        <v/>
      </c>
    </row>
    <row r="5" spans="1:17" ht="15.75" customHeight="1">
      <c r="A5" s="10"/>
      <c r="B5" s="2" t="s">
        <v>46</v>
      </c>
      <c r="C5" s="191">
        <f>C25</f>
        <v>-16771264812.015179</v>
      </c>
      <c r="E5" s="302"/>
      <c r="G5" s="183">
        <f t="shared" ref="G5:Q5" si="1">G25</f>
        <v>-18093543855</v>
      </c>
      <c r="H5" s="183">
        <f t="shared" si="1"/>
        <v>-18856444548</v>
      </c>
      <c r="I5" s="183">
        <f t="shared" si="1"/>
        <v>-16212986478</v>
      </c>
      <c r="J5" s="183">
        <f t="shared" si="1"/>
        <v>-13947744582</v>
      </c>
      <c r="K5" s="183">
        <f t="shared" si="1"/>
        <v>-11871354524</v>
      </c>
      <c r="L5" s="183">
        <f t="shared" si="1"/>
        <v>-12519553248</v>
      </c>
      <c r="M5" s="183">
        <f t="shared" si="1"/>
        <v>-12684573800</v>
      </c>
      <c r="N5" s="183">
        <f t="shared" si="1"/>
        <v>-10220465500</v>
      </c>
      <c r="O5" s="183">
        <f t="shared" si="1"/>
        <v>-8381548051</v>
      </c>
      <c r="P5" s="183">
        <f t="shared" si="1"/>
        <v>-8226870091</v>
      </c>
      <c r="Q5" s="183" t="str">
        <f t="shared" si="1"/>
        <v/>
      </c>
    </row>
    <row r="6" spans="1:17" ht="15.75" customHeight="1">
      <c r="A6" s="10"/>
      <c r="B6" s="31" t="s">
        <v>48</v>
      </c>
      <c r="C6" s="184">
        <f>C4+C5</f>
        <v>12593147422.234821</v>
      </c>
      <c r="E6" s="302"/>
      <c r="G6" s="184">
        <f>IF(G4="","",G4+G5)</f>
        <v>10782753139</v>
      </c>
      <c r="H6" s="184">
        <f t="shared" ref="H6:Q6" si="2">IF(H4="","",H4+H5)</f>
        <v>14269833004</v>
      </c>
      <c r="I6" s="184">
        <f t="shared" si="2"/>
        <v>13891909709</v>
      </c>
      <c r="J6" s="184">
        <f t="shared" si="2"/>
        <v>11402433622</v>
      </c>
      <c r="K6" s="184">
        <f t="shared" si="2"/>
        <v>9229696608</v>
      </c>
      <c r="L6" s="184">
        <f t="shared" si="2"/>
        <v>10606923637</v>
      </c>
      <c r="M6" s="184">
        <f t="shared" si="2"/>
        <v>11475228195</v>
      </c>
      <c r="N6" s="184">
        <f t="shared" si="2"/>
        <v>9697476738</v>
      </c>
      <c r="O6" s="184">
        <f t="shared" si="2"/>
        <v>8801561569</v>
      </c>
      <c r="P6" s="184">
        <f t="shared" si="2"/>
        <v>7825574008</v>
      </c>
      <c r="Q6" s="184" t="str">
        <f t="shared" si="2"/>
        <v/>
      </c>
    </row>
    <row r="7" spans="1:17" ht="15.75" customHeight="1">
      <c r="A7" s="10"/>
      <c r="B7" s="8" t="s">
        <v>45</v>
      </c>
      <c r="C7" s="191">
        <f>C35</f>
        <v>-2089122563.25</v>
      </c>
      <c r="E7" s="302"/>
      <c r="G7" s="191">
        <f t="shared" ref="G7:Q7" si="3">G35</f>
        <v>-2029526709</v>
      </c>
      <c r="H7" s="191">
        <f t="shared" si="3"/>
        <v>-2049177030</v>
      </c>
      <c r="I7" s="191">
        <f t="shared" si="3"/>
        <v>-2189248272</v>
      </c>
      <c r="J7" s="191">
        <f t="shared" si="3"/>
        <v>-2088538242</v>
      </c>
      <c r="K7" s="191">
        <f t="shared" si="3"/>
        <v>-1989174493</v>
      </c>
      <c r="L7" s="191">
        <f t="shared" si="3"/>
        <v>-2016457321</v>
      </c>
      <c r="M7" s="191">
        <f t="shared" si="3"/>
        <v>-1731830321</v>
      </c>
      <c r="N7" s="191">
        <f t="shared" si="3"/>
        <v>-1532148107</v>
      </c>
      <c r="O7" s="191">
        <f t="shared" si="3"/>
        <v>-1582435251</v>
      </c>
      <c r="P7" s="191">
        <f t="shared" si="3"/>
        <v>-1447878279</v>
      </c>
      <c r="Q7" s="191" t="str">
        <f t="shared" si="3"/>
        <v/>
      </c>
    </row>
    <row r="8" spans="1:17" ht="15.75" customHeight="1">
      <c r="A8" s="10"/>
      <c r="B8" s="29" t="s">
        <v>153</v>
      </c>
      <c r="C8" s="192">
        <f>C6+C7</f>
        <v>10504024858.984821</v>
      </c>
      <c r="D8" s="59"/>
      <c r="E8" s="308"/>
      <c r="F8" s="59"/>
      <c r="G8" s="184">
        <f>IF(G$4="","",G6+G7)</f>
        <v>8753226430</v>
      </c>
      <c r="H8" s="184">
        <f t="shared" ref="H8:Q8" si="4">IF(H$4="","",H6+H7)</f>
        <v>12220655974</v>
      </c>
      <c r="I8" s="184">
        <f t="shared" si="4"/>
        <v>11702661437</v>
      </c>
      <c r="J8" s="184">
        <f t="shared" si="4"/>
        <v>9313895380</v>
      </c>
      <c r="K8" s="184">
        <f t="shared" si="4"/>
        <v>7240522115</v>
      </c>
      <c r="L8" s="184">
        <f t="shared" si="4"/>
        <v>8590466316</v>
      </c>
      <c r="M8" s="184">
        <f t="shared" si="4"/>
        <v>9743397874</v>
      </c>
      <c r="N8" s="184">
        <f t="shared" si="4"/>
        <v>8165328631</v>
      </c>
      <c r="O8" s="184">
        <f t="shared" si="4"/>
        <v>7219126318</v>
      </c>
      <c r="P8" s="184">
        <f t="shared" si="4"/>
        <v>6377695729</v>
      </c>
      <c r="Q8" s="184" t="str">
        <f t="shared" si="4"/>
        <v/>
      </c>
    </row>
    <row r="9" spans="1:17" ht="15.75" customHeight="1">
      <c r="A9" s="10"/>
      <c r="B9" s="2" t="s">
        <v>65</v>
      </c>
      <c r="C9" s="191">
        <f>BS!$G$39*BS!D58</f>
        <v>697421786</v>
      </c>
      <c r="E9" s="302"/>
      <c r="G9" s="191">
        <f>IF(Data!C61="","",-Data!C61)</f>
        <v>697421786</v>
      </c>
      <c r="H9" s="191">
        <f>IF(Data!D61="","",-Data!D61)</f>
        <v>730011100</v>
      </c>
      <c r="I9" s="191">
        <f>IF(Data!E61="","",-Data!E61)</f>
        <v>752915036</v>
      </c>
      <c r="J9" s="191">
        <f>IF(Data!F61="","",-Data!F61)</f>
        <v>759253984</v>
      </c>
      <c r="K9" s="191">
        <f>IF(Data!G61="","",-Data!G61)</f>
        <v>782849742</v>
      </c>
      <c r="L9" s="191">
        <f>IF(Data!H61="","",-Data!H61)</f>
        <v>776102930</v>
      </c>
      <c r="M9" s="191">
        <f>IF(Data!I61="","",-Data!I61)</f>
        <v>757446024</v>
      </c>
      <c r="N9" s="191">
        <f>IF(Data!J61="","",-Data!J61)</f>
        <v>0</v>
      </c>
      <c r="O9" s="191">
        <f>IF(Data!K61="","",-Data!K61)</f>
        <v>0</v>
      </c>
      <c r="P9" s="191">
        <f>IF(Data!L61="","",-Data!L61)</f>
        <v>0</v>
      </c>
      <c r="Q9" s="191" t="str">
        <f>IF(Data!M61="","",-Data!M61)</f>
        <v/>
      </c>
    </row>
    <row r="10" spans="1:17" ht="15.75" customHeight="1">
      <c r="A10" s="10"/>
      <c r="B10" s="2" t="s">
        <v>81</v>
      </c>
      <c r="C10" s="191">
        <f>-C4*C78</f>
        <v>-697421786</v>
      </c>
      <c r="E10" s="302"/>
      <c r="G10" s="191">
        <f>Data!C62</f>
        <v>0</v>
      </c>
      <c r="H10" s="191">
        <f>Data!D62</f>
        <v>0</v>
      </c>
      <c r="I10" s="191">
        <f>Data!E62</f>
        <v>0</v>
      </c>
      <c r="J10" s="191">
        <f>Data!F62</f>
        <v>0</v>
      </c>
      <c r="K10" s="191">
        <f>Data!G62</f>
        <v>0</v>
      </c>
      <c r="L10" s="191">
        <f>Data!H62</f>
        <v>0</v>
      </c>
      <c r="M10" s="191">
        <f>Data!I62</f>
        <v>0</v>
      </c>
      <c r="N10" s="191">
        <f>Data!J62</f>
        <v>0</v>
      </c>
      <c r="O10" s="191">
        <f>Data!K62</f>
        <v>0</v>
      </c>
      <c r="P10" s="191">
        <f>Data!L62</f>
        <v>0</v>
      </c>
      <c r="Q10" s="191" t="str">
        <f>Data!M62</f>
        <v/>
      </c>
    </row>
    <row r="11" spans="1:17" ht="15.75" customHeight="1">
      <c r="A11" s="10"/>
      <c r="B11" s="31" t="s">
        <v>195</v>
      </c>
      <c r="C11" s="193">
        <f>C63</f>
        <v>0</v>
      </c>
      <c r="D11" s="169"/>
      <c r="E11" s="301"/>
      <c r="F11" s="169"/>
      <c r="G11" s="186">
        <f>G61</f>
        <v>8812.894363989999</v>
      </c>
      <c r="H11" s="186">
        <f t="shared" ref="H11:Q11" si="5">H61</f>
        <v>12276.83537226</v>
      </c>
      <c r="I11" s="186">
        <f t="shared" si="5"/>
        <v>11766.43425561</v>
      </c>
      <c r="J11" s="186">
        <f t="shared" si="5"/>
        <v>9404.7461288600007</v>
      </c>
      <c r="K11" s="186">
        <f t="shared" si="5"/>
        <v>0</v>
      </c>
      <c r="L11" s="186">
        <f t="shared" si="5"/>
        <v>0</v>
      </c>
      <c r="M11" s="186">
        <f t="shared" si="5"/>
        <v>0</v>
      </c>
      <c r="N11" s="186">
        <f t="shared" si="5"/>
        <v>0</v>
      </c>
      <c r="O11" s="186">
        <f t="shared" si="5"/>
        <v>0</v>
      </c>
      <c r="P11" s="186">
        <f t="shared" si="5"/>
        <v>0</v>
      </c>
      <c r="Q11" s="186" t="str">
        <f t="shared" si="5"/>
        <v/>
      </c>
    </row>
    <row r="12" spans="1:17" ht="15.75" customHeight="1">
      <c r="A12" s="10"/>
      <c r="B12" s="2" t="s">
        <v>68</v>
      </c>
      <c r="C12" s="191">
        <f>C50</f>
        <v>120215681.45263389</v>
      </c>
      <c r="E12" s="302"/>
      <c r="G12" s="191">
        <f>G50</f>
        <v>120215681.45263389</v>
      </c>
      <c r="H12" s="191">
        <f t="shared" ref="H12:Q12" si="6">H50</f>
        <v>149990811.76771277</v>
      </c>
      <c r="I12" s="191">
        <f t="shared" si="6"/>
        <v>127305916.61810873</v>
      </c>
      <c r="J12" s="191">
        <f t="shared" si="6"/>
        <v>85400807.664204091</v>
      </c>
      <c r="K12" s="191">
        <f t="shared" si="6"/>
        <v>20709203.472504321</v>
      </c>
      <c r="L12" s="191">
        <f t="shared" si="6"/>
        <v>15375790.949495818</v>
      </c>
      <c r="M12" s="191">
        <f t="shared" si="6"/>
        <v>13699153.366621511</v>
      </c>
      <c r="N12" s="191">
        <f t="shared" si="6"/>
        <v>0</v>
      </c>
      <c r="O12" s="191">
        <f t="shared" si="6"/>
        <v>0</v>
      </c>
      <c r="P12" s="191">
        <f t="shared" si="6"/>
        <v>0</v>
      </c>
      <c r="Q12" s="191" t="str">
        <f t="shared" si="6"/>
        <v/>
      </c>
    </row>
    <row r="13" spans="1:17" ht="15.75" customHeight="1">
      <c r="A13" s="10"/>
      <c r="B13" s="70" t="s">
        <v>165</v>
      </c>
      <c r="C13" s="184">
        <f>SUM(C8:C12)</f>
        <v>10624240540.437456</v>
      </c>
      <c r="E13" s="302"/>
      <c r="G13" s="184">
        <f>IF(G$4="","",SUM(G8:G12))</f>
        <v>9570872710.3469982</v>
      </c>
      <c r="H13" s="184">
        <f t="shared" ref="H13:Q13" si="7">IF(H$4="","",SUM(H8:H12))</f>
        <v>13100670162.603086</v>
      </c>
      <c r="I13" s="184">
        <f t="shared" si="7"/>
        <v>12582894156.052364</v>
      </c>
      <c r="J13" s="184">
        <f t="shared" si="7"/>
        <v>10158559576.410332</v>
      </c>
      <c r="K13" s="184">
        <f t="shared" si="7"/>
        <v>8044081060.4725046</v>
      </c>
      <c r="L13" s="184">
        <f t="shared" si="7"/>
        <v>9381945036.9494953</v>
      </c>
      <c r="M13" s="184">
        <f t="shared" si="7"/>
        <v>10514543051.366621</v>
      </c>
      <c r="N13" s="184">
        <f t="shared" si="7"/>
        <v>8165328631</v>
      </c>
      <c r="O13" s="184">
        <f t="shared" si="7"/>
        <v>7219126318</v>
      </c>
      <c r="P13" s="184">
        <f t="shared" si="7"/>
        <v>6377695729</v>
      </c>
      <c r="Q13" s="184" t="str">
        <f t="shared" si="7"/>
        <v/>
      </c>
    </row>
    <row r="14" spans="1:17" ht="15.75" customHeight="1">
      <c r="A14" s="10"/>
      <c r="B14" s="2" t="s">
        <v>63</v>
      </c>
      <c r="C14" s="191">
        <f>-SUM(C8+C11,C12)*C43</f>
        <v>-2656060135.109364</v>
      </c>
      <c r="E14" s="302"/>
      <c r="G14" s="191">
        <f>Data!C46</f>
        <v>-2476620792</v>
      </c>
      <c r="H14" s="191">
        <f>Data!D46</f>
        <v>-3197064563</v>
      </c>
      <c r="I14" s="191">
        <f>Data!E46</f>
        <v>-3113885720</v>
      </c>
      <c r="J14" s="191">
        <f>Data!F46</f>
        <v>-2433610121</v>
      </c>
      <c r="K14" s="191">
        <f>Data!G46</f>
        <v>-2394295578</v>
      </c>
      <c r="L14" s="191">
        <f>Data!H46</f>
        <v>-2384713342</v>
      </c>
      <c r="M14" s="191">
        <f>Data!I46</f>
        <v>-2723855894</v>
      </c>
      <c r="N14" s="191">
        <f>Data!J46</f>
        <v>-2229168424</v>
      </c>
      <c r="O14" s="191">
        <f>Data!K46</f>
        <v>-1956036450</v>
      </c>
      <c r="P14" s="191">
        <f>Data!L46</f>
        <v>-1800119666</v>
      </c>
      <c r="Q14" s="191" t="str">
        <f>Data!M46</f>
        <v/>
      </c>
    </row>
    <row r="15" spans="1:17" ht="15.75" customHeight="1">
      <c r="A15" s="10"/>
      <c r="B15" s="40" t="s">
        <v>244</v>
      </c>
      <c r="C15" s="191">
        <f>-C4*C83</f>
        <v>-11281261.817791469</v>
      </c>
      <c r="D15" s="60"/>
      <c r="E15" s="309"/>
      <c r="F15" s="60"/>
      <c r="G15" s="183">
        <f>Data!C48</f>
        <v>0</v>
      </c>
      <c r="H15" s="183">
        <f>Data!D48</f>
        <v>-4838516</v>
      </c>
      <c r="I15" s="183">
        <f>Data!E48</f>
        <v>-11565742</v>
      </c>
      <c r="J15" s="183">
        <f>Data!F48</f>
        <v>-5134600</v>
      </c>
      <c r="K15" s="183">
        <f>Data!G48</f>
        <v>-2377680</v>
      </c>
      <c r="L15" s="183">
        <f>Data!H48</f>
        <v>-3268188</v>
      </c>
      <c r="M15" s="183">
        <f>Data!I48</f>
        <v>-140100</v>
      </c>
      <c r="N15" s="183">
        <f>Data!J48</f>
        <v>0</v>
      </c>
      <c r="O15" s="183">
        <f>Data!K48</f>
        <v>0</v>
      </c>
      <c r="P15" s="183">
        <f>Data!L48</f>
        <v>-13763</v>
      </c>
      <c r="Q15" s="183" t="str">
        <f>Data!M48</f>
        <v/>
      </c>
    </row>
    <row r="16" spans="1:17" ht="15.75" customHeight="1">
      <c r="A16" s="10"/>
      <c r="B16" s="41" t="s">
        <v>155</v>
      </c>
      <c r="C16" s="194">
        <f>SUM(C13:C15)</f>
        <v>7956899143.5103006</v>
      </c>
      <c r="D16" s="61"/>
      <c r="E16" s="310"/>
      <c r="F16" s="61"/>
      <c r="G16" s="184">
        <f>IF(G$4="","",SUM(G13:G15))</f>
        <v>7094251918.3469982</v>
      </c>
      <c r="H16" s="184">
        <f t="shared" ref="H16:Q16" si="8">IF(H$4="","",SUM(H13:H15))</f>
        <v>9898767083.6030865</v>
      </c>
      <c r="I16" s="184">
        <f t="shared" si="8"/>
        <v>9457442694.0523643</v>
      </c>
      <c r="J16" s="184">
        <f t="shared" si="8"/>
        <v>7719814855.4103317</v>
      </c>
      <c r="K16" s="184">
        <f t="shared" si="8"/>
        <v>5647407802.4725046</v>
      </c>
      <c r="L16" s="184">
        <f t="shared" si="8"/>
        <v>6993963506.9494953</v>
      </c>
      <c r="M16" s="184">
        <f t="shared" si="8"/>
        <v>7790547057.366621</v>
      </c>
      <c r="N16" s="184">
        <f t="shared" si="8"/>
        <v>5936160207</v>
      </c>
      <c r="O16" s="184">
        <f t="shared" si="8"/>
        <v>5263089868</v>
      </c>
      <c r="P16" s="184">
        <f t="shared" si="8"/>
        <v>4577562300</v>
      </c>
      <c r="Q16" s="184" t="str">
        <f t="shared" si="8"/>
        <v/>
      </c>
    </row>
    <row r="17" spans="1:17" ht="15.75" customHeight="1">
      <c r="A17" s="10"/>
      <c r="B17" s="27" t="s">
        <v>52</v>
      </c>
      <c r="C17" s="191">
        <f>-C4*C85</f>
        <v>0</v>
      </c>
      <c r="D17" s="58"/>
      <c r="E17" s="301" t="s">
        <v>340</v>
      </c>
      <c r="F17" s="58"/>
      <c r="G17" s="195"/>
      <c r="H17" s="195"/>
      <c r="I17" s="195"/>
      <c r="J17" s="195"/>
      <c r="K17" s="195"/>
      <c r="L17" s="195"/>
      <c r="M17" s="195"/>
      <c r="N17" s="195"/>
      <c r="O17" s="195"/>
      <c r="P17" s="195"/>
      <c r="Q17" s="195"/>
    </row>
    <row r="18" spans="1:17" ht="15.75" customHeight="1">
      <c r="A18" s="10"/>
      <c r="B18" s="27" t="s">
        <v>99</v>
      </c>
      <c r="C18" s="191">
        <v>0</v>
      </c>
      <c r="D18" s="58"/>
      <c r="E18" s="301" t="s">
        <v>341</v>
      </c>
      <c r="F18" s="58"/>
      <c r="G18" s="196"/>
      <c r="H18" s="196"/>
      <c r="I18" s="196"/>
      <c r="J18" s="196"/>
      <c r="K18" s="196"/>
      <c r="L18" s="196"/>
      <c r="M18" s="196"/>
      <c r="N18" s="196"/>
      <c r="O18" s="196"/>
      <c r="P18" s="196"/>
      <c r="Q18" s="196"/>
    </row>
    <row r="19" spans="1:17" ht="15.75" customHeight="1">
      <c r="A19" s="10"/>
      <c r="B19" s="31" t="s">
        <v>66</v>
      </c>
      <c r="C19" s="184">
        <f>C16+C17</f>
        <v>7956899143.5103006</v>
      </c>
      <c r="D19" s="27"/>
      <c r="E19" s="299"/>
      <c r="F19" s="27"/>
      <c r="G19" s="186">
        <f>IF(G$4="","",G16+G17)</f>
        <v>7094251918.3469982</v>
      </c>
      <c r="H19" s="186">
        <f t="shared" ref="H19:Q19" si="9">IF(H$4="","",H16+H17)</f>
        <v>9898767083.6030865</v>
      </c>
      <c r="I19" s="186">
        <f t="shared" si="9"/>
        <v>9457442694.0523643</v>
      </c>
      <c r="J19" s="186">
        <f t="shared" si="9"/>
        <v>7719814855.4103317</v>
      </c>
      <c r="K19" s="186">
        <f t="shared" si="9"/>
        <v>5647407802.4725046</v>
      </c>
      <c r="L19" s="186">
        <f t="shared" si="9"/>
        <v>6993963506.9494953</v>
      </c>
      <c r="M19" s="186">
        <f t="shared" si="9"/>
        <v>7790547057.366621</v>
      </c>
      <c r="N19" s="186">
        <f t="shared" si="9"/>
        <v>5936160207</v>
      </c>
      <c r="O19" s="186">
        <f t="shared" si="9"/>
        <v>5263089868</v>
      </c>
      <c r="P19" s="186">
        <f t="shared" si="9"/>
        <v>4577562300</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-12129601276.881763</v>
      </c>
      <c r="D23" s="58"/>
      <c r="E23" s="301"/>
      <c r="F23" s="58"/>
      <c r="G23" s="183">
        <f>Data!C37</f>
        <v>-12577305310</v>
      </c>
      <c r="H23" s="183">
        <f>Data!D37</f>
        <v>-13469490847</v>
      </c>
      <c r="I23" s="183">
        <f>Data!E37</f>
        <v>-12033845670</v>
      </c>
      <c r="J23" s="183">
        <f>Data!F37</f>
        <v>-10403379692</v>
      </c>
      <c r="K23" s="183">
        <f>Data!G37</f>
        <v>-9267550366</v>
      </c>
      <c r="L23" s="183">
        <f>Data!H37</f>
        <v>-9827842077</v>
      </c>
      <c r="M23" s="183">
        <f>Data!I37</f>
        <v>-10123172172</v>
      </c>
      <c r="N23" s="183">
        <f>Data!J37</f>
        <v>-7833018393</v>
      </c>
      <c r="O23" s="183">
        <f>Data!K37</f>
        <v>-6512546229</v>
      </c>
      <c r="P23" s="183">
        <f>Data!L37</f>
        <v>-6344463294</v>
      </c>
      <c r="Q23" s="183" t="str">
        <f>Data!M37</f>
        <v/>
      </c>
    </row>
    <row r="24" spans="1:17" ht="15.75" customHeight="1">
      <c r="A24" s="10"/>
      <c r="B24" s="68" t="s">
        <v>62</v>
      </c>
      <c r="C24" s="191">
        <f>-C4*C29</f>
        <v>-4641663535.1334143</v>
      </c>
      <c r="D24" s="27"/>
      <c r="E24" s="299"/>
      <c r="F24" s="27"/>
      <c r="G24" s="183">
        <f>Data!C40</f>
        <v>-5516238545</v>
      </c>
      <c r="H24" s="183">
        <f>Data!D40</f>
        <v>-5386953701</v>
      </c>
      <c r="I24" s="183">
        <f>Data!E40</f>
        <v>-4179140808</v>
      </c>
      <c r="J24" s="183">
        <f>Data!F40</f>
        <v>-3544364890</v>
      </c>
      <c r="K24" s="183">
        <f>Data!G40</f>
        <v>-2603804158</v>
      </c>
      <c r="L24" s="183">
        <f>Data!H40</f>
        <v>-2691711171</v>
      </c>
      <c r="M24" s="183">
        <f>Data!I40</f>
        <v>-2561401628</v>
      </c>
      <c r="N24" s="183">
        <f>Data!J40</f>
        <v>-2387447107</v>
      </c>
      <c r="O24" s="183">
        <f>Data!K40</f>
        <v>-1869001822</v>
      </c>
      <c r="P24" s="183">
        <f>Data!L40</f>
        <v>-1882406797</v>
      </c>
      <c r="Q24" s="183" t="str">
        <f>Data!M40</f>
        <v/>
      </c>
    </row>
    <row r="25" spans="1:17" ht="15.75" customHeight="1">
      <c r="A25" s="10"/>
      <c r="B25" s="70" t="s">
        <v>46</v>
      </c>
      <c r="C25" s="184">
        <f>C23+C24</f>
        <v>-16771264812.015179</v>
      </c>
      <c r="D25" s="9"/>
      <c r="E25" s="307"/>
      <c r="F25" s="9"/>
      <c r="G25" s="184">
        <f t="shared" ref="G25:Q25" si="10">IF(G$4="","",G23+G24)</f>
        <v>-18093543855</v>
      </c>
      <c r="H25" s="184">
        <f t="shared" si="10"/>
        <v>-18856444548</v>
      </c>
      <c r="I25" s="184">
        <f t="shared" si="10"/>
        <v>-16212986478</v>
      </c>
      <c r="J25" s="184">
        <f t="shared" si="10"/>
        <v>-13947744582</v>
      </c>
      <c r="K25" s="184">
        <f t="shared" si="10"/>
        <v>-11871354524</v>
      </c>
      <c r="L25" s="184">
        <f t="shared" si="10"/>
        <v>-12519553248</v>
      </c>
      <c r="M25" s="184">
        <f t="shared" si="10"/>
        <v>-12684573800</v>
      </c>
      <c r="N25" s="184">
        <f t="shared" si="10"/>
        <v>-10220465500</v>
      </c>
      <c r="O25" s="184">
        <f t="shared" si="10"/>
        <v>-8381548051</v>
      </c>
      <c r="P25" s="184">
        <f t="shared" si="10"/>
        <v>-8226870091</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0.41307148190536791</v>
      </c>
      <c r="D28" s="26"/>
      <c r="E28" s="300" t="s">
        <v>342</v>
      </c>
      <c r="F28" s="26"/>
      <c r="G28" s="13">
        <f t="shared" ref="G28:Q28" si="11">IF(G$4="","",ABS(G23/G$4))</f>
        <v>0.43555810887432517</v>
      </c>
      <c r="H28" s="13">
        <f t="shared" si="11"/>
        <v>0.40661045678483665</v>
      </c>
      <c r="I28" s="13">
        <f t="shared" si="11"/>
        <v>0.39973051543677129</v>
      </c>
      <c r="J28" s="13">
        <f t="shared" si="11"/>
        <v>0.41038684652553853</v>
      </c>
      <c r="K28" s="13">
        <f t="shared" si="11"/>
        <v>0.43919851707982677</v>
      </c>
      <c r="L28" s="13">
        <f t="shared" si="11"/>
        <v>0.42496062525522033</v>
      </c>
      <c r="M28" s="13">
        <f t="shared" si="11"/>
        <v>0.41900890471267294</v>
      </c>
      <c r="N28" s="13">
        <f t="shared" si="11"/>
        <v>0.39326443963955027</v>
      </c>
      <c r="O28" s="13">
        <f t="shared" si="11"/>
        <v>0.37900859466204118</v>
      </c>
      <c r="P28" s="13">
        <f t="shared" si="11"/>
        <v>0.39523347690058197</v>
      </c>
      <c r="Q28" s="13" t="str">
        <f t="shared" si="11"/>
        <v/>
      </c>
    </row>
    <row r="29" spans="1:17" ht="15.75" customHeight="1">
      <c r="A29" s="10"/>
      <c r="B29" s="68" t="str">
        <f>B24</f>
        <v>Selling Expenses</v>
      </c>
      <c r="C29" s="63">
        <f>AVERAGE(G29:J29)</f>
        <v>0.15807105206483515</v>
      </c>
      <c r="D29" s="26"/>
      <c r="E29" s="300" t="s">
        <v>342</v>
      </c>
      <c r="F29" s="26"/>
      <c r="G29" s="13">
        <f t="shared" ref="G29:Q29" si="12">IF(G$4="","",ABS(G24/G$4))</f>
        <v>0.19102998373185384</v>
      </c>
      <c r="H29" s="13">
        <f t="shared" si="12"/>
        <v>0.16261874557272019</v>
      </c>
      <c r="I29" s="13">
        <f t="shared" si="12"/>
        <v>0.13881930640254628</v>
      </c>
      <c r="J29" s="13">
        <f t="shared" si="12"/>
        <v>0.13981617255222037</v>
      </c>
      <c r="K29" s="13">
        <f t="shared" si="12"/>
        <v>0.12339689343964953</v>
      </c>
      <c r="L29" s="13">
        <f t="shared" si="12"/>
        <v>0.11639088756947079</v>
      </c>
      <c r="M29" s="13">
        <f t="shared" si="12"/>
        <v>0.10601914819211249</v>
      </c>
      <c r="N29" s="13">
        <f t="shared" si="12"/>
        <v>0.11986414452217672</v>
      </c>
      <c r="O29" s="13">
        <f t="shared" si="12"/>
        <v>0.10876970835503522</v>
      </c>
      <c r="P29" s="13">
        <f t="shared" si="12"/>
        <v>0.11726605527424114</v>
      </c>
      <c r="Q29" s="13" t="str">
        <f t="shared" si="12"/>
        <v/>
      </c>
    </row>
    <row r="30" spans="1:17" ht="15.75" customHeight="1">
      <c r="A30" s="10"/>
      <c r="B30" s="70" t="s">
        <v>46</v>
      </c>
      <c r="C30" s="71">
        <f>ABS(C25/$C$4)</f>
        <v>0.57114253397020309</v>
      </c>
      <c r="E30" s="302"/>
      <c r="G30" s="30">
        <f t="shared" ref="G30:Q30" si="13">IF(G$4="","",ABS(G25/G$4))</f>
        <v>0.62658809260617898</v>
      </c>
      <c r="H30" s="30">
        <f t="shared" si="13"/>
        <v>0.56922920235755681</v>
      </c>
      <c r="I30" s="30">
        <f t="shared" si="13"/>
        <v>0.53854982183931754</v>
      </c>
      <c r="J30" s="30">
        <f t="shared" si="13"/>
        <v>0.55020301907775893</v>
      </c>
      <c r="K30" s="30">
        <f t="shared" si="13"/>
        <v>0.56259541051947626</v>
      </c>
      <c r="L30" s="30">
        <f t="shared" si="13"/>
        <v>0.54135151282469107</v>
      </c>
      <c r="M30" s="30">
        <f t="shared" si="13"/>
        <v>0.52502805290478538</v>
      </c>
      <c r="N30" s="30">
        <f t="shared" si="13"/>
        <v>0.51312858416172702</v>
      </c>
      <c r="O30" s="30">
        <f t="shared" si="13"/>
        <v>0.48777830301707636</v>
      </c>
      <c r="P30" s="30">
        <f t="shared" si="13"/>
        <v>0.51249953217482314</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AVERAGE(G33:J33)</f>
        <v>-1863726721.5</v>
      </c>
      <c r="E33" s="300" t="s">
        <v>342</v>
      </c>
      <c r="G33" s="191">
        <f>Data!C41</f>
        <v>-1924730302</v>
      </c>
      <c r="H33" s="191">
        <f>Data!D41</f>
        <v>-1764423149</v>
      </c>
      <c r="I33" s="191">
        <f>Data!E41</f>
        <v>-1935673296</v>
      </c>
      <c r="J33" s="191">
        <f>Data!F41</f>
        <v>-1830080139</v>
      </c>
      <c r="K33" s="191">
        <f>Data!G41</f>
        <v>-1729080202</v>
      </c>
      <c r="L33" s="191">
        <f>Data!H41</f>
        <v>-1856491727</v>
      </c>
      <c r="M33" s="191">
        <f>Data!I41</f>
        <v>-1704265103</v>
      </c>
      <c r="N33" s="191">
        <f>Data!J41</f>
        <v>-1532148107</v>
      </c>
      <c r="O33" s="191">
        <f>Data!K41</f>
        <v>-1582435251</v>
      </c>
      <c r="P33" s="191">
        <f>Data!L41</f>
        <v>-1447878279</v>
      </c>
      <c r="Q33" s="191" t="str">
        <f>Data!M41</f>
        <v/>
      </c>
    </row>
    <row r="34" spans="1:17" ht="15.75" customHeight="1">
      <c r="A34" s="10"/>
      <c r="B34" s="27" t="s">
        <v>49</v>
      </c>
      <c r="C34" s="198">
        <f>AVERAGE(G34:J34)</f>
        <v>-225395841.75</v>
      </c>
      <c r="D34" s="58"/>
      <c r="E34" s="300" t="s">
        <v>342</v>
      </c>
      <c r="F34" s="58"/>
      <c r="G34" s="183">
        <f>Data!C42</f>
        <v>-104796407</v>
      </c>
      <c r="H34" s="183">
        <f>Data!D42</f>
        <v>-284753881</v>
      </c>
      <c r="I34" s="183">
        <f>Data!E42</f>
        <v>-253574976</v>
      </c>
      <c r="J34" s="183">
        <f>Data!F42</f>
        <v>-258458103</v>
      </c>
      <c r="K34" s="183">
        <f>Data!G42</f>
        <v>-260094291</v>
      </c>
      <c r="L34" s="183">
        <f>Data!H42</f>
        <v>-159965594</v>
      </c>
      <c r="M34" s="183">
        <f>Data!I42</f>
        <v>-27565218</v>
      </c>
      <c r="N34" s="183">
        <f>Data!J42</f>
        <v>0</v>
      </c>
      <c r="O34" s="183">
        <f>Data!K42</f>
        <v>0</v>
      </c>
      <c r="P34" s="183">
        <f>Data!L42</f>
        <v>0</v>
      </c>
      <c r="Q34" s="183" t="str">
        <f>Data!M42</f>
        <v/>
      </c>
    </row>
    <row r="35" spans="1:17" ht="15.75" customHeight="1">
      <c r="A35" s="10"/>
      <c r="B35" s="70" t="s">
        <v>45</v>
      </c>
      <c r="C35" s="184">
        <f>C33+C34</f>
        <v>-2089122563.25</v>
      </c>
      <c r="D35" s="58"/>
      <c r="E35" s="301"/>
      <c r="F35" s="58"/>
      <c r="G35" s="184">
        <f t="shared" ref="G35:Q35" si="14">IF(G4="","",G33+G34)</f>
        <v>-2029526709</v>
      </c>
      <c r="H35" s="184">
        <f t="shared" si="14"/>
        <v>-2049177030</v>
      </c>
      <c r="I35" s="184">
        <f t="shared" si="14"/>
        <v>-2189248272</v>
      </c>
      <c r="J35" s="184">
        <f t="shared" si="14"/>
        <v>-2088538242</v>
      </c>
      <c r="K35" s="184">
        <f t="shared" si="14"/>
        <v>-1989174493</v>
      </c>
      <c r="L35" s="184">
        <f t="shared" si="14"/>
        <v>-2016457321</v>
      </c>
      <c r="M35" s="184">
        <f t="shared" si="14"/>
        <v>-1731830321</v>
      </c>
      <c r="N35" s="184">
        <f t="shared" si="14"/>
        <v>-1532148107</v>
      </c>
      <c r="O35" s="184">
        <f t="shared" si="14"/>
        <v>-1582435251</v>
      </c>
      <c r="P35" s="184">
        <f t="shared" si="14"/>
        <v>-1447878279</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6.3468892434570531E-2</v>
      </c>
      <c r="D38" s="27"/>
      <c r="E38" s="299"/>
      <c r="F38" s="27"/>
      <c r="G38" s="13">
        <f t="shared" ref="G38:Q38" si="15">IF(G$4="","",ABS(G33/G$4))</f>
        <v>6.6654332527467983E-2</v>
      </c>
      <c r="H38" s="13">
        <f t="shared" si="15"/>
        <v>5.3263550250410581E-2</v>
      </c>
      <c r="I38" s="13">
        <f t="shared" si="15"/>
        <v>6.4297624013593818E-2</v>
      </c>
      <c r="J38" s="13">
        <f t="shared" si="15"/>
        <v>7.2192002922931403E-2</v>
      </c>
      <c r="K38" s="13">
        <f t="shared" si="15"/>
        <v>8.194284688395588E-2</v>
      </c>
      <c r="L38" s="13">
        <f t="shared" si="15"/>
        <v>8.0275596504893229E-2</v>
      </c>
      <c r="M38" s="13">
        <f t="shared" si="15"/>
        <v>7.0541352257469117E-2</v>
      </c>
      <c r="N38" s="13">
        <f t="shared" si="15"/>
        <v>7.6923011859976451E-2</v>
      </c>
      <c r="O38" s="13">
        <f t="shared" si="15"/>
        <v>9.2092484189133628E-2</v>
      </c>
      <c r="P38" s="13">
        <f t="shared" si="15"/>
        <v>9.0196749483787128E-2</v>
      </c>
      <c r="Q38" s="13" t="str">
        <f t="shared" si="15"/>
        <v/>
      </c>
    </row>
    <row r="39" spans="1:17" ht="15.75" customHeight="1">
      <c r="A39" s="10"/>
      <c r="B39" s="27" t="str">
        <f>B34</f>
        <v>R&amp;D</v>
      </c>
      <c r="C39" s="23">
        <f>ABS(C34/$C$4)</f>
        <v>7.6758165616236402E-3</v>
      </c>
      <c r="D39" s="27"/>
      <c r="E39" s="299"/>
      <c r="F39" s="27"/>
      <c r="G39" s="13">
        <f t="shared" ref="G39:Q39" si="16">IF(G$4="","",ABS(G34/G$4))</f>
        <v>3.6291497840521205E-3</v>
      </c>
      <c r="H39" s="13">
        <f t="shared" si="16"/>
        <v>8.5960120497392857E-3</v>
      </c>
      <c r="I39" s="13">
        <f t="shared" si="16"/>
        <v>8.4230476805131661E-3</v>
      </c>
      <c r="J39" s="13">
        <f t="shared" si="16"/>
        <v>1.0195514245308852E-2</v>
      </c>
      <c r="K39" s="13">
        <f t="shared" si="16"/>
        <v>1.2326129602404682E-2</v>
      </c>
      <c r="L39" s="13">
        <f t="shared" si="16"/>
        <v>6.9169893363115265E-3</v>
      </c>
      <c r="M39" s="13">
        <f t="shared" si="16"/>
        <v>1.1409538044105151E-3</v>
      </c>
      <c r="N39" s="13">
        <f t="shared" si="16"/>
        <v>0</v>
      </c>
      <c r="O39" s="13">
        <f t="shared" si="16"/>
        <v>0</v>
      </c>
      <c r="P39" s="13">
        <f t="shared" si="16"/>
        <v>0</v>
      </c>
      <c r="Q39" s="13" t="str">
        <f t="shared" si="16"/>
        <v/>
      </c>
    </row>
    <row r="40" spans="1:17" ht="15.75" customHeight="1">
      <c r="A40" s="10"/>
      <c r="B40" s="70" t="s">
        <v>45</v>
      </c>
      <c r="C40" s="71">
        <f>ABS(C35/$C$4)</f>
        <v>7.114470899619417E-2</v>
      </c>
      <c r="E40" s="302"/>
      <c r="G40" s="30">
        <f t="shared" ref="G40:Q40" si="17">IF(G$4="","",ABS(G35/G$4))</f>
        <v>7.0283482311520096E-2</v>
      </c>
      <c r="H40" s="30">
        <f t="shared" si="17"/>
        <v>6.1859562300149863E-2</v>
      </c>
      <c r="I40" s="30">
        <f t="shared" si="17"/>
        <v>7.2720671694106981E-2</v>
      </c>
      <c r="J40" s="30">
        <f t="shared" si="17"/>
        <v>8.2387517168240262E-2</v>
      </c>
      <c r="K40" s="30">
        <f t="shared" si="17"/>
        <v>9.4268976486360567E-2</v>
      </c>
      <c r="L40" s="30">
        <f t="shared" si="17"/>
        <v>8.7192585841204748E-2</v>
      </c>
      <c r="M40" s="30">
        <f t="shared" si="17"/>
        <v>7.1682306061879628E-2</v>
      </c>
      <c r="N40" s="30">
        <f t="shared" si="17"/>
        <v>7.6923011859976451E-2</v>
      </c>
      <c r="O40" s="30">
        <f t="shared" si="17"/>
        <v>9.2092484189133628E-2</v>
      </c>
      <c r="P40" s="30">
        <f t="shared" si="17"/>
        <v>9.0196749483787128E-2</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343</v>
      </c>
      <c r="F43" s="27"/>
      <c r="G43" s="6">
        <f t="shared" ref="G43:Q43" si="18">IF(G$4="","",-G14/SUM(G8+G11,G12))</f>
        <v>0.27910457984329878</v>
      </c>
      <c r="H43" s="6">
        <f t="shared" si="18"/>
        <v>0.25843930762467071</v>
      </c>
      <c r="I43" s="6">
        <f t="shared" si="18"/>
        <v>0.26321988301076704</v>
      </c>
      <c r="J43" s="6">
        <f t="shared" si="18"/>
        <v>0.25891382050234329</v>
      </c>
      <c r="K43" s="6">
        <f t="shared" si="18"/>
        <v>0.32973685494758093</v>
      </c>
      <c r="L43" s="6">
        <f t="shared" si="18"/>
        <v>0.27710400822648917</v>
      </c>
      <c r="M43" s="6">
        <f t="shared" si="18"/>
        <v>0.27916662982443985</v>
      </c>
      <c r="N43" s="6">
        <f t="shared" si="18"/>
        <v>0.27300412815436137</v>
      </c>
      <c r="O43" s="6">
        <f t="shared" si="18"/>
        <v>0.2709519634145845</v>
      </c>
      <c r="P43" s="6">
        <f t="shared" si="18"/>
        <v>0.28225235923606101</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-2955080</v>
      </c>
      <c r="E47" s="302"/>
      <c r="G47" s="191">
        <f>Data!C51</f>
        <v>-2955080</v>
      </c>
      <c r="H47" s="191">
        <f>Data!D51</f>
        <v>-1707108</v>
      </c>
      <c r="I47" s="191">
        <f>Data!E51</f>
        <v>-694326</v>
      </c>
      <c r="J47" s="191">
        <f>Data!F51</f>
        <v>-603756</v>
      </c>
      <c r="K47" s="191">
        <f>Data!G51</f>
        <v>-1964</v>
      </c>
      <c r="L47" s="191">
        <f>Data!H51</f>
        <v>-2618</v>
      </c>
      <c r="M47" s="191">
        <f>Data!I51</f>
        <v>-3273</v>
      </c>
      <c r="N47" s="191">
        <f>Data!J51</f>
        <v>0</v>
      </c>
      <c r="O47" s="191">
        <f>Data!K51</f>
        <v>0</v>
      </c>
      <c r="P47" s="191">
        <f>Data!L51</f>
        <v>0</v>
      </c>
      <c r="Q47" s="191" t="str">
        <f>Data!M51</f>
        <v/>
      </c>
    </row>
    <row r="48" spans="1:17" ht="15.75" customHeight="1">
      <c r="A48" s="10"/>
      <c r="B48" s="2" t="s">
        <v>354</v>
      </c>
      <c r="C48" s="191">
        <f>BS!D75*C53</f>
        <v>123170761.45263389</v>
      </c>
      <c r="E48" s="302"/>
      <c r="G48" s="328">
        <f>IFERROR(IF(G$4="","",($C$48/$C$49)*G49),0)</f>
        <v>123170761.45263389</v>
      </c>
      <c r="H48" s="328">
        <f t="shared" ref="H48:Q48" si="19">IFERROR(IF(H$4="","",($C$48/$C$49)*H49),0)</f>
        <v>151697919.76771277</v>
      </c>
      <c r="I48" s="328">
        <f t="shared" si="19"/>
        <v>128000242.61810873</v>
      </c>
      <c r="J48" s="328">
        <f t="shared" si="19"/>
        <v>86004563.664204091</v>
      </c>
      <c r="K48" s="328">
        <f t="shared" si="19"/>
        <v>20711167.472504321</v>
      </c>
      <c r="L48" s="328">
        <f t="shared" si="19"/>
        <v>15378408.949495818</v>
      </c>
      <c r="M48" s="328">
        <f t="shared" si="19"/>
        <v>13702426.366621511</v>
      </c>
      <c r="N48" s="328">
        <f t="shared" si="19"/>
        <v>0</v>
      </c>
      <c r="O48" s="328">
        <f t="shared" si="19"/>
        <v>0</v>
      </c>
      <c r="P48" s="328">
        <f t="shared" si="19"/>
        <v>0</v>
      </c>
      <c r="Q48" s="328" t="str">
        <f t="shared" si="19"/>
        <v/>
      </c>
    </row>
    <row r="49" spans="1:17" ht="15.75" customHeight="1">
      <c r="A49" s="10"/>
      <c r="B49" s="323" t="s">
        <v>351</v>
      </c>
      <c r="C49" s="324">
        <f>BS!$C$66*C53</f>
        <v>621439989</v>
      </c>
      <c r="D49" s="325"/>
      <c r="E49" s="326"/>
      <c r="F49" s="325"/>
      <c r="G49" s="324">
        <f>Data!C52</f>
        <v>621439989</v>
      </c>
      <c r="H49" s="324">
        <f>Data!D52</f>
        <v>765369577</v>
      </c>
      <c r="I49" s="324">
        <f>Data!E52</f>
        <v>645806427</v>
      </c>
      <c r="J49" s="324">
        <f>Data!F52</f>
        <v>433923396</v>
      </c>
      <c r="K49" s="324">
        <f>Data!G52</f>
        <v>104495154</v>
      </c>
      <c r="L49" s="324">
        <f>Data!H52</f>
        <v>77589504</v>
      </c>
      <c r="M49" s="324">
        <f>Data!I52</f>
        <v>69133580</v>
      </c>
      <c r="N49" s="324">
        <f>Data!J52</f>
        <v>0</v>
      </c>
      <c r="O49" s="324">
        <f>Data!K52</f>
        <v>0</v>
      </c>
      <c r="P49" s="324">
        <f>Data!L52</f>
        <v>0</v>
      </c>
      <c r="Q49" s="324" t="str">
        <f>Data!M52</f>
        <v/>
      </c>
    </row>
    <row r="50" spans="1:17" ht="15.75" customHeight="1">
      <c r="A50" s="10"/>
      <c r="B50" s="70" t="s">
        <v>68</v>
      </c>
      <c r="C50" s="184">
        <f>C47+C48</f>
        <v>120215681.45263389</v>
      </c>
      <c r="E50" s="302"/>
      <c r="G50" s="184">
        <f>IF(G$4="","",(G47+G48))</f>
        <v>120215681.45263389</v>
      </c>
      <c r="H50" s="184">
        <f t="shared" ref="H50:Q50" si="20">IF(H$4="","",(H47+H48))</f>
        <v>149990811.76771277</v>
      </c>
      <c r="I50" s="184">
        <f t="shared" si="20"/>
        <v>127305916.61810873</v>
      </c>
      <c r="J50" s="184">
        <f t="shared" si="20"/>
        <v>85400807.664204091</v>
      </c>
      <c r="K50" s="184">
        <f t="shared" si="20"/>
        <v>20709203.472504321</v>
      </c>
      <c r="L50" s="184">
        <f t="shared" si="20"/>
        <v>15375790.949495818</v>
      </c>
      <c r="M50" s="184">
        <f t="shared" si="20"/>
        <v>13699153.366621511</v>
      </c>
      <c r="N50" s="184">
        <f t="shared" si="20"/>
        <v>0</v>
      </c>
      <c r="O50" s="184">
        <f t="shared" si="20"/>
        <v>0</v>
      </c>
      <c r="P50" s="184">
        <f t="shared" si="20"/>
        <v>0</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2.8574189558100579E-2</v>
      </c>
      <c r="E53" s="299" t="s">
        <v>344</v>
      </c>
      <c r="G53" s="6">
        <f>IF(Normalized_FCF!G4="","",Normalized_FCF!G49/BS!$C$66)</f>
        <v>2.8574189558100579E-2</v>
      </c>
      <c r="H53" s="170"/>
      <c r="I53" s="170"/>
      <c r="J53" s="170"/>
      <c r="K53" s="170"/>
      <c r="L53" s="170"/>
      <c r="M53" s="170"/>
      <c r="N53" s="170"/>
      <c r="O53" s="170"/>
      <c r="P53" s="170"/>
      <c r="Q53" s="170"/>
    </row>
    <row r="54" spans="1:17" ht="15.75" customHeight="1">
      <c r="A54" s="10"/>
      <c r="B54" s="8" t="s">
        <v>88</v>
      </c>
      <c r="C54" s="82">
        <f>G54</f>
        <v>7.3628523135533419E-2</v>
      </c>
      <c r="E54" s="299" t="s">
        <v>345</v>
      </c>
      <c r="G54" s="23">
        <f>IFERROR(ABS(Normalized_FCF!G47/BS!$G$31),0)</f>
        <v>7.3628523135533419E-2</v>
      </c>
      <c r="H54" s="170"/>
      <c r="I54" s="170"/>
      <c r="J54" s="170"/>
      <c r="K54" s="170"/>
      <c r="L54" s="170"/>
      <c r="M54" s="170"/>
      <c r="N54" s="170"/>
      <c r="O54" s="170"/>
      <c r="P54" s="170"/>
      <c r="Q54" s="170"/>
    </row>
    <row r="55" spans="1:17" ht="15.75" customHeight="1">
      <c r="A55" s="10"/>
      <c r="B55" s="26" t="s">
        <v>91</v>
      </c>
      <c r="C55" s="42">
        <f>-C8/C47</f>
        <v>3554.5653109170721</v>
      </c>
      <c r="E55" s="302"/>
      <c r="G55" s="42">
        <f t="shared" ref="G55:Q55" si="21">IF(G4="","",-G8/G47)</f>
        <v>2962.0945727357634</v>
      </c>
      <c r="H55" s="42">
        <f t="shared" si="21"/>
        <v>7158.6894174240879</v>
      </c>
      <c r="I55" s="42">
        <f t="shared" si="21"/>
        <v>16854.707208141419</v>
      </c>
      <c r="J55" s="42">
        <f t="shared" si="21"/>
        <v>15426.588522515718</v>
      </c>
      <c r="K55" s="42">
        <f t="shared" si="21"/>
        <v>3686620.2214867617</v>
      </c>
      <c r="L55" s="42">
        <f t="shared" si="21"/>
        <v>3281308.7532467535</v>
      </c>
      <c r="M55" s="42">
        <f t="shared" si="21"/>
        <v>2976901.2752826153</v>
      </c>
      <c r="N55" s="42" t="e">
        <f t="shared" si="21"/>
        <v>#DIV/0!</v>
      </c>
      <c r="O55" s="42" t="e">
        <f t="shared" si="21"/>
        <v>#DIV/0!</v>
      </c>
      <c r="P55" s="42" t="e">
        <f t="shared" si="21"/>
        <v>#DIV/0!</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c r="A59" s="10"/>
      <c r="B59" s="40" t="s">
        <v>160</v>
      </c>
      <c r="C59" s="191">
        <f>BS!$C68*C67</f>
        <v>0</v>
      </c>
      <c r="E59" s="302"/>
      <c r="G59" s="191">
        <f>Data!C55</f>
        <v>0</v>
      </c>
      <c r="H59" s="191">
        <f>Data!D55</f>
        <v>0</v>
      </c>
      <c r="I59" s="191">
        <f>Data!E55</f>
        <v>0</v>
      </c>
      <c r="J59" s="191">
        <f>Data!F55</f>
        <v>0</v>
      </c>
      <c r="K59" s="191">
        <f>Data!G55</f>
        <v>0</v>
      </c>
      <c r="L59" s="191">
        <f>Data!H55</f>
        <v>0</v>
      </c>
      <c r="M59" s="191">
        <f>Data!I55</f>
        <v>0</v>
      </c>
      <c r="N59" s="191">
        <f>Data!J55</f>
        <v>0</v>
      </c>
      <c r="O59" s="191">
        <f>Data!K55</f>
        <v>0</v>
      </c>
      <c r="P59" s="191">
        <f>Data!L55</f>
        <v>0</v>
      </c>
      <c r="Q59" s="191" t="str">
        <f>Data!M55</f>
        <v/>
      </c>
    </row>
    <row r="60" spans="1:17" ht="15.75" customHeight="1">
      <c r="A60" s="10"/>
      <c r="B60" s="40" t="s">
        <v>159</v>
      </c>
      <c r="C60" s="191">
        <f>BS!$C69*C68</f>
        <v>0</v>
      </c>
      <c r="E60" s="302"/>
      <c r="G60" s="191">
        <f>Data!C57</f>
        <v>8812.894363989999</v>
      </c>
      <c r="H60" s="191">
        <f>Data!D57</f>
        <v>12276.83537226</v>
      </c>
      <c r="I60" s="191">
        <f>Data!E57</f>
        <v>11766.43425561</v>
      </c>
      <c r="J60" s="191">
        <f>Data!F57</f>
        <v>9404.7461288600007</v>
      </c>
      <c r="K60" s="191">
        <f>Data!G57</f>
        <v>0</v>
      </c>
      <c r="L60" s="191">
        <f>Data!H57</f>
        <v>0</v>
      </c>
      <c r="M60" s="191">
        <f>Data!I57</f>
        <v>0</v>
      </c>
      <c r="N60" s="191">
        <f>Data!J57</f>
        <v>0</v>
      </c>
      <c r="O60" s="191">
        <f>Data!K57</f>
        <v>0</v>
      </c>
      <c r="P60" s="191">
        <f>Data!L57</f>
        <v>0</v>
      </c>
      <c r="Q60" s="191" t="str">
        <f>Data!M57</f>
        <v/>
      </c>
    </row>
    <row r="61" spans="1:17" ht="15.75" customHeight="1">
      <c r="A61" s="10"/>
      <c r="B61" s="31" t="s">
        <v>195</v>
      </c>
      <c r="C61" s="184">
        <f>SUM(C58:C60)</f>
        <v>0</v>
      </c>
      <c r="E61" s="302"/>
      <c r="G61" s="184">
        <f t="shared" ref="G61:Q61" si="22">IF(G4="","",SUM(G58:G60))</f>
        <v>8812.894363989999</v>
      </c>
      <c r="H61" s="184">
        <f t="shared" si="22"/>
        <v>12276.83537226</v>
      </c>
      <c r="I61" s="184">
        <f t="shared" si="22"/>
        <v>11766.43425561</v>
      </c>
      <c r="J61" s="184">
        <f t="shared" si="22"/>
        <v>9404.7461288600007</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c r="A62" s="10"/>
      <c r="B62" s="40" t="s">
        <v>161</v>
      </c>
      <c r="C62" s="297">
        <v>0</v>
      </c>
      <c r="E62" s="300" t="s">
        <v>346</v>
      </c>
      <c r="G62" s="191">
        <f>Data!C58</f>
        <v>-228643539.894364</v>
      </c>
      <c r="H62" s="191">
        <f>Data!D58</f>
        <v>233502399.16462773</v>
      </c>
      <c r="I62" s="191">
        <f>Data!E58</f>
        <v>155498586.5657444</v>
      </c>
      <c r="J62" s="191">
        <f>Data!F58</f>
        <v>199203093.25387114</v>
      </c>
      <c r="K62" s="191">
        <f>Data!G58</f>
        <v>2533886587</v>
      </c>
      <c r="L62" s="191">
        <f>Data!H58</f>
        <v>1102751055</v>
      </c>
      <c r="M62" s="191">
        <f>Data!I58</f>
        <v>1026657608</v>
      </c>
      <c r="N62" s="191">
        <f>Data!J58</f>
        <v>682625937</v>
      </c>
      <c r="O62" s="191">
        <f>Data!K58</f>
        <v>541839246</v>
      </c>
      <c r="P62" s="191">
        <f>Data!L58</f>
        <v>787623235</v>
      </c>
      <c r="Q62" s="191" t="str">
        <f>Data!M58</f>
        <v/>
      </c>
    </row>
    <row r="63" spans="1:17" ht="15.75" customHeight="1">
      <c r="A63" s="10"/>
      <c r="B63" s="31" t="s">
        <v>196</v>
      </c>
      <c r="C63" s="184">
        <f>C61+C62</f>
        <v>0</v>
      </c>
      <c r="E63" s="302"/>
      <c r="G63" s="184">
        <f t="shared" ref="G63:Q63" si="23">IF(G4="","",G61+G62)</f>
        <v>-228634727</v>
      </c>
      <c r="H63" s="184">
        <f t="shared" si="23"/>
        <v>233514676</v>
      </c>
      <c r="I63" s="184">
        <f t="shared" si="23"/>
        <v>155510353</v>
      </c>
      <c r="J63" s="184">
        <f t="shared" si="23"/>
        <v>199212498</v>
      </c>
      <c r="K63" s="184">
        <f t="shared" si="23"/>
        <v>2533886587</v>
      </c>
      <c r="L63" s="184">
        <f t="shared" si="23"/>
        <v>1102751055</v>
      </c>
      <c r="M63" s="184">
        <f t="shared" si="23"/>
        <v>1026657608</v>
      </c>
      <c r="N63" s="184">
        <f t="shared" si="23"/>
        <v>682625937</v>
      </c>
      <c r="O63" s="184">
        <f t="shared" si="23"/>
        <v>541839246</v>
      </c>
      <c r="P63" s="184">
        <f t="shared" si="23"/>
        <v>787623235</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4.052222556797298E-7</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59</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0.57114253397020309</v>
      </c>
      <c r="D73" s="27"/>
      <c r="E73" s="299"/>
      <c r="F73" s="27"/>
      <c r="G73" s="6">
        <f t="shared" ref="G73:Q73" si="24">IF(G$4="","",ABS(G5/G$4))</f>
        <v>0.62658809260617898</v>
      </c>
      <c r="H73" s="6">
        <f t="shared" si="24"/>
        <v>0.56922920235755681</v>
      </c>
      <c r="I73" s="6">
        <f t="shared" si="24"/>
        <v>0.53854982183931754</v>
      </c>
      <c r="J73" s="6">
        <f t="shared" si="24"/>
        <v>0.55020301907775893</v>
      </c>
      <c r="K73" s="6">
        <f t="shared" si="24"/>
        <v>0.56259541051947626</v>
      </c>
      <c r="L73" s="6">
        <f t="shared" si="24"/>
        <v>0.54135151282469107</v>
      </c>
      <c r="M73" s="6">
        <f t="shared" si="24"/>
        <v>0.52502805290478538</v>
      </c>
      <c r="N73" s="6">
        <f t="shared" si="24"/>
        <v>0.51312858416172702</v>
      </c>
      <c r="O73" s="6">
        <f t="shared" si="24"/>
        <v>0.48777830301707636</v>
      </c>
      <c r="P73" s="6">
        <f t="shared" si="24"/>
        <v>0.51249953217482314</v>
      </c>
      <c r="Q73" s="6" t="str">
        <f t="shared" si="24"/>
        <v/>
      </c>
    </row>
    <row r="74" spans="1:17" ht="15.75" customHeight="1">
      <c r="A74" s="10"/>
      <c r="B74" s="31" t="s">
        <v>48</v>
      </c>
      <c r="C74" s="78">
        <f>ABS(C6/C$4)</f>
        <v>0.42885746602979691</v>
      </c>
      <c r="D74" s="27"/>
      <c r="E74" s="299"/>
      <c r="F74" s="27"/>
      <c r="G74" s="65">
        <f t="shared" ref="G74:Q74" si="25">IF(G$4="","",ABS(G6/G$4))</f>
        <v>0.37341190739382102</v>
      </c>
      <c r="H74" s="65">
        <f t="shared" si="25"/>
        <v>0.43077079764244319</v>
      </c>
      <c r="I74" s="65">
        <f t="shared" si="25"/>
        <v>0.46145017816068246</v>
      </c>
      <c r="J74" s="65">
        <f t="shared" si="25"/>
        <v>0.44979698092224107</v>
      </c>
      <c r="K74" s="65">
        <f t="shared" si="25"/>
        <v>0.43740458948052369</v>
      </c>
      <c r="L74" s="65">
        <f t="shared" si="25"/>
        <v>0.45864848717530887</v>
      </c>
      <c r="M74" s="65">
        <f t="shared" si="25"/>
        <v>0.47497194709521462</v>
      </c>
      <c r="N74" s="65">
        <f t="shared" si="25"/>
        <v>0.48687141583827298</v>
      </c>
      <c r="O74" s="65">
        <f t="shared" si="25"/>
        <v>0.51222169698292364</v>
      </c>
      <c r="P74" s="65">
        <f t="shared" si="25"/>
        <v>0.48750046782517686</v>
      </c>
      <c r="Q74" s="65" t="str">
        <f t="shared" si="25"/>
        <v/>
      </c>
    </row>
    <row r="75" spans="1:17" ht="15.75" customHeight="1">
      <c r="A75" s="10"/>
      <c r="B75" s="8" t="s">
        <v>45</v>
      </c>
      <c r="C75" s="77">
        <f>ABS(C7/C$4)</f>
        <v>7.114470899619417E-2</v>
      </c>
      <c r="D75" s="27"/>
      <c r="E75" s="299"/>
      <c r="F75" s="27"/>
      <c r="G75" s="6">
        <f t="shared" ref="G75:Q75" si="26">IF(G$4="","",ABS(G7/G$4))</f>
        <v>7.0283482311520096E-2</v>
      </c>
      <c r="H75" s="6">
        <f t="shared" si="26"/>
        <v>6.1859562300149863E-2</v>
      </c>
      <c r="I75" s="6">
        <f t="shared" si="26"/>
        <v>7.2720671694106981E-2</v>
      </c>
      <c r="J75" s="6">
        <f t="shared" si="26"/>
        <v>8.2387517168240262E-2</v>
      </c>
      <c r="K75" s="6">
        <f t="shared" si="26"/>
        <v>9.4268976486360567E-2</v>
      </c>
      <c r="L75" s="6">
        <f t="shared" si="26"/>
        <v>8.7192585841204748E-2</v>
      </c>
      <c r="M75" s="6">
        <f t="shared" si="26"/>
        <v>7.1682306061879628E-2</v>
      </c>
      <c r="N75" s="6">
        <f t="shared" si="26"/>
        <v>7.6923011859976451E-2</v>
      </c>
      <c r="O75" s="6">
        <f t="shared" si="26"/>
        <v>9.2092484189133628E-2</v>
      </c>
      <c r="P75" s="6">
        <f t="shared" si="26"/>
        <v>9.0196749483787128E-2</v>
      </c>
      <c r="Q75" s="6" t="str">
        <f t="shared" si="26"/>
        <v/>
      </c>
    </row>
    <row r="76" spans="1:17" ht="15.75" customHeight="1">
      <c r="A76" s="10"/>
      <c r="B76" s="29" t="s">
        <v>153</v>
      </c>
      <c r="C76" s="78">
        <f>ABS(C8/C$4)</f>
        <v>0.35771275703360272</v>
      </c>
      <c r="D76" s="27"/>
      <c r="E76" s="299"/>
      <c r="F76" s="27"/>
      <c r="G76" s="65">
        <f t="shared" ref="G76:Q76" si="27">IF(G$4="","",ABS(G8/G$4))</f>
        <v>0.30312842508230092</v>
      </c>
      <c r="H76" s="65">
        <f t="shared" si="27"/>
        <v>0.36891123534229331</v>
      </c>
      <c r="I76" s="65">
        <f t="shared" si="27"/>
        <v>0.3887295064665755</v>
      </c>
      <c r="J76" s="65">
        <f t="shared" si="27"/>
        <v>0.36740946375400085</v>
      </c>
      <c r="K76" s="65">
        <f t="shared" si="27"/>
        <v>0.34313561299416312</v>
      </c>
      <c r="L76" s="65">
        <f t="shared" si="27"/>
        <v>0.37145590133410411</v>
      </c>
      <c r="M76" s="65">
        <f t="shared" si="27"/>
        <v>0.40328964103333498</v>
      </c>
      <c r="N76" s="65">
        <f t="shared" si="27"/>
        <v>0.40994840397829657</v>
      </c>
      <c r="O76" s="65">
        <f t="shared" si="27"/>
        <v>0.42012921279379001</v>
      </c>
      <c r="P76" s="65">
        <f t="shared" si="27"/>
        <v>0.39730371834138978</v>
      </c>
      <c r="Q76" s="65" t="str">
        <f t="shared" si="27"/>
        <v/>
      </c>
    </row>
    <row r="77" spans="1:17" ht="15.75" customHeight="1">
      <c r="A77" s="10"/>
      <c r="B77" s="2" t="s">
        <v>65</v>
      </c>
      <c r="C77" s="77">
        <f>ABS(C9/C$4)</f>
        <v>2.3750578776664314E-2</v>
      </c>
      <c r="D77" s="27"/>
      <c r="E77" s="299"/>
      <c r="F77" s="27"/>
      <c r="G77" s="6">
        <f t="shared" ref="G77:Q77" si="28">IF(G$4="","",G9/G$4)</f>
        <v>2.4152050595161571E-2</v>
      </c>
      <c r="H77" s="6">
        <f t="shared" si="28"/>
        <v>2.2037221020504476E-2</v>
      </c>
      <c r="I77" s="6">
        <f t="shared" si="28"/>
        <v>2.5009720389772557E-2</v>
      </c>
      <c r="J77" s="6">
        <f t="shared" si="28"/>
        <v>2.9950636949770928E-2</v>
      </c>
      <c r="K77" s="6">
        <f t="shared" si="28"/>
        <v>3.7100035306430725E-2</v>
      </c>
      <c r="L77" s="6">
        <f t="shared" si="28"/>
        <v>3.3559064524150931E-2</v>
      </c>
      <c r="M77" s="6">
        <f t="shared" si="28"/>
        <v>3.135149965867922E-2</v>
      </c>
      <c r="N77" s="6">
        <f t="shared" si="28"/>
        <v>0</v>
      </c>
      <c r="O77" s="6">
        <f t="shared" si="28"/>
        <v>0</v>
      </c>
      <c r="P77" s="6">
        <f t="shared" si="28"/>
        <v>0</v>
      </c>
      <c r="Q77" s="6" t="str">
        <f t="shared" si="28"/>
        <v/>
      </c>
    </row>
    <row r="78" spans="1:17" ht="15.75" customHeight="1">
      <c r="A78" s="10"/>
      <c r="B78" s="2" t="s">
        <v>81</v>
      </c>
      <c r="C78" s="88">
        <f>MAX(AVERAGE(G78:J78),C77)</f>
        <v>2.3750578776664314E-2</v>
      </c>
      <c r="D78" s="27"/>
      <c r="E78" s="300" t="s">
        <v>363</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154</v>
      </c>
      <c r="C79" s="78">
        <f>ABS(C11/C$4)</f>
        <v>0</v>
      </c>
      <c r="D79" s="27"/>
      <c r="E79" s="299"/>
      <c r="F79" s="27"/>
      <c r="G79" s="65">
        <f t="shared" ref="G79:Q79" si="30">IF(G$4="","",G11/G$4)</f>
        <v>3.0519475422424031E-7</v>
      </c>
      <c r="H79" s="65">
        <f t="shared" si="30"/>
        <v>3.706071517691183E-7</v>
      </c>
      <c r="I79" s="65">
        <f t="shared" si="30"/>
        <v>3.9084786017933594E-7</v>
      </c>
      <c r="J79" s="65">
        <f t="shared" si="30"/>
        <v>3.7099329453139808E-7</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4.0939243221908249E-3</v>
      </c>
      <c r="D80" s="27"/>
      <c r="E80" s="299"/>
      <c r="F80" s="27"/>
      <c r="G80" s="6">
        <f t="shared" ref="G80:Q80" si="31">IF(G$4="","",ABS(G12/G$4))</f>
        <v>4.163126645968929E-3</v>
      </c>
      <c r="H80" s="6">
        <f t="shared" si="31"/>
        <v>4.5278498778579812E-3</v>
      </c>
      <c r="I80" s="6">
        <f t="shared" si="31"/>
        <v>4.2287445811914947E-3</v>
      </c>
      <c r="J80" s="6">
        <f t="shared" si="31"/>
        <v>3.3688444703212665E-3</v>
      </c>
      <c r="K80" s="6">
        <f t="shared" si="31"/>
        <v>9.8142994597546682E-4</v>
      </c>
      <c r="L80" s="6">
        <f t="shared" si="31"/>
        <v>6.6485660682145096E-4</v>
      </c>
      <c r="M80" s="6">
        <f t="shared" si="31"/>
        <v>5.6702258443412016E-4</v>
      </c>
      <c r="N80" s="6">
        <f t="shared" si="31"/>
        <v>0</v>
      </c>
      <c r="O80" s="6">
        <f t="shared" si="31"/>
        <v>0</v>
      </c>
      <c r="P80" s="6">
        <f t="shared" si="31"/>
        <v>0</v>
      </c>
      <c r="Q80" s="6" t="str">
        <f t="shared" si="31"/>
        <v/>
      </c>
    </row>
    <row r="81" spans="1:17" ht="15.75" customHeight="1">
      <c r="A81" s="10"/>
      <c r="B81" s="70" t="s">
        <v>165</v>
      </c>
      <c r="C81" s="78">
        <f>C13/C4</f>
        <v>0.36180668135579358</v>
      </c>
      <c r="D81" s="27"/>
      <c r="E81" s="299"/>
      <c r="F81" s="27"/>
      <c r="G81" s="65">
        <f t="shared" ref="G81:Q81" si="32">IF(G$4="","",G13/G$4)</f>
        <v>0.33144390751818564</v>
      </c>
      <c r="H81" s="65">
        <f t="shared" si="32"/>
        <v>0.39547667684780757</v>
      </c>
      <c r="I81" s="65">
        <f t="shared" si="32"/>
        <v>0.41796836228539969</v>
      </c>
      <c r="J81" s="65">
        <f t="shared" si="32"/>
        <v>0.40072931616738749</v>
      </c>
      <c r="K81" s="65">
        <f t="shared" si="32"/>
        <v>0.38121707824656936</v>
      </c>
      <c r="L81" s="65">
        <f t="shared" si="32"/>
        <v>0.4056798224650765</v>
      </c>
      <c r="M81" s="65">
        <f t="shared" si="32"/>
        <v>0.43520816327644829</v>
      </c>
      <c r="N81" s="65">
        <f t="shared" si="32"/>
        <v>0.40994840397829657</v>
      </c>
      <c r="O81" s="65">
        <f t="shared" si="32"/>
        <v>0.42012921279379001</v>
      </c>
      <c r="P81" s="65">
        <f t="shared" si="32"/>
        <v>0.39730371834138978</v>
      </c>
      <c r="Q81" s="65" t="str">
        <f t="shared" si="32"/>
        <v/>
      </c>
    </row>
    <row r="82" spans="1:17" ht="15.75" customHeight="1">
      <c r="A82" s="10"/>
      <c r="B82" s="2" t="s">
        <v>63</v>
      </c>
      <c r="C82" s="77">
        <f>ABS(C14/C$4)</f>
        <v>9.0451670338948395E-2</v>
      </c>
      <c r="D82" s="27"/>
      <c r="E82" s="299"/>
      <c r="F82" s="27"/>
      <c r="G82" s="6">
        <f t="shared" ref="G82:Q82" si="33">IF(G$4="","",ABS(G14/G$4))</f>
        <v>8.5766564615767718E-2</v>
      </c>
      <c r="H82" s="6">
        <f t="shared" si="33"/>
        <v>9.6511434403742033E-2</v>
      </c>
      <c r="I82" s="6">
        <f t="shared" si="33"/>
        <v>0.10343452774783687</v>
      </c>
      <c r="J82" s="6">
        <f t="shared" si="33"/>
        <v>9.5999724397045905E-2</v>
      </c>
      <c r="K82" s="6">
        <f t="shared" si="33"/>
        <v>0.11346807147294297</v>
      </c>
      <c r="L82" s="6">
        <f t="shared" si="33"/>
        <v>0.10311615356970963</v>
      </c>
      <c r="M82" s="6">
        <f t="shared" si="33"/>
        <v>0.11274330371431507</v>
      </c>
      <c r="N82" s="6">
        <f t="shared" si="33"/>
        <v>0.11191760661636677</v>
      </c>
      <c r="O82" s="6">
        <f t="shared" si="33"/>
        <v>0.11383483509430117</v>
      </c>
      <c r="P82" s="6">
        <f t="shared" si="33"/>
        <v>0.11213991183511675</v>
      </c>
      <c r="Q82" s="6" t="str">
        <f t="shared" si="33"/>
        <v/>
      </c>
    </row>
    <row r="83" spans="1:17" ht="15.75" customHeight="1">
      <c r="A83" s="10"/>
      <c r="B83" s="40" t="str">
        <f>B15</f>
        <v>NCI’s Share of Profits</v>
      </c>
      <c r="C83" s="298">
        <f>MIN(BS!C62,MAX(G83:K83))</f>
        <v>3.841814277703558E-4</v>
      </c>
      <c r="D83" s="27"/>
      <c r="E83" s="299"/>
      <c r="F83" s="27"/>
      <c r="G83" s="6">
        <f t="shared" ref="G83:Q83" si="34">IF(G$4="","",-G15/G$4)</f>
        <v>0</v>
      </c>
      <c r="H83" s="6">
        <f t="shared" si="34"/>
        <v>1.4606277425541507E-4</v>
      </c>
      <c r="I83" s="6">
        <f t="shared" si="34"/>
        <v>3.841814277703558E-4</v>
      </c>
      <c r="J83" s="6">
        <f t="shared" si="34"/>
        <v>2.0254689961863117E-4</v>
      </c>
      <c r="K83" s="6">
        <f t="shared" si="34"/>
        <v>1.1268064254838089E-4</v>
      </c>
      <c r="L83" s="6">
        <f t="shared" si="34"/>
        <v>1.4131802333107514E-4</v>
      </c>
      <c r="M83" s="6">
        <f t="shared" si="34"/>
        <v>5.7988885848068808E-6</v>
      </c>
      <c r="N83" s="6">
        <f t="shared" si="34"/>
        <v>0</v>
      </c>
      <c r="O83" s="6">
        <f t="shared" si="34"/>
        <v>0</v>
      </c>
      <c r="P83" s="6">
        <f t="shared" si="34"/>
        <v>8.5737722649084798E-7</v>
      </c>
      <c r="Q83" s="6" t="str">
        <f t="shared" si="34"/>
        <v/>
      </c>
    </row>
    <row r="84" spans="1:17" ht="15.75" customHeight="1">
      <c r="A84" s="10"/>
      <c r="B84" s="41" t="s">
        <v>155</v>
      </c>
      <c r="C84" s="78">
        <f>ABS(C16/C$4)</f>
        <v>0.27097082958907481</v>
      </c>
      <c r="D84" s="27"/>
      <c r="E84" s="299"/>
      <c r="F84" s="27"/>
      <c r="G84" s="65">
        <f t="shared" ref="G84:Q84" si="35">IF(G$4="","",ABS(G16/G$4))</f>
        <v>0.24567734290241794</v>
      </c>
      <c r="H84" s="65">
        <f t="shared" si="35"/>
        <v>0.29881917966981014</v>
      </c>
      <c r="I84" s="65">
        <f t="shared" si="35"/>
        <v>0.31414965310979248</v>
      </c>
      <c r="J84" s="65">
        <f t="shared" si="35"/>
        <v>0.30452704487072296</v>
      </c>
      <c r="K84" s="65">
        <f t="shared" si="35"/>
        <v>0.26763632613107802</v>
      </c>
      <c r="L84" s="65">
        <f t="shared" si="35"/>
        <v>0.30242235087203578</v>
      </c>
      <c r="M84" s="65">
        <f t="shared" si="35"/>
        <v>0.3224590606735484</v>
      </c>
      <c r="N84" s="65">
        <f t="shared" si="35"/>
        <v>0.29803079736192978</v>
      </c>
      <c r="O84" s="65">
        <f t="shared" si="35"/>
        <v>0.30629437769948881</v>
      </c>
      <c r="P84" s="65">
        <f t="shared" si="35"/>
        <v>0.28516294912904649</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0.27097082958907481</v>
      </c>
      <c r="D87" s="75"/>
      <c r="E87" s="299"/>
      <c r="F87" s="75"/>
      <c r="G87" s="65">
        <f t="shared" ref="G87:Q87" si="36">IF(G$4="","",ABS(G19/G$4))</f>
        <v>0.24567734290241794</v>
      </c>
      <c r="H87" s="65">
        <f t="shared" si="36"/>
        <v>0.29881917966981014</v>
      </c>
      <c r="I87" s="65">
        <f t="shared" si="36"/>
        <v>0.31414965310979248</v>
      </c>
      <c r="J87" s="65">
        <f t="shared" si="36"/>
        <v>0.30452704487072296</v>
      </c>
      <c r="K87" s="65">
        <f t="shared" si="36"/>
        <v>0.26763632613107802</v>
      </c>
      <c r="L87" s="65">
        <f t="shared" si="36"/>
        <v>0.30242235087203578</v>
      </c>
      <c r="M87" s="65">
        <f t="shared" si="36"/>
        <v>0.3224590606735484</v>
      </c>
      <c r="N87" s="65">
        <f t="shared" si="36"/>
        <v>0.29803079736192978</v>
      </c>
      <c r="O87" s="65">
        <f t="shared" si="36"/>
        <v>0.30629437769948881</v>
      </c>
      <c r="P87" s="65">
        <f t="shared" si="36"/>
        <v>0.28516294912904649</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(CNY)</v>
      </c>
      <c r="C90" s="114">
        <f>G90</f>
        <v>4.6470000000000002</v>
      </c>
      <c r="E90" s="302"/>
      <c r="G90" s="113">
        <f>Data!C65</f>
        <v>4.6470000000000002</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c r="A91" s="10"/>
      <c r="B91" s="2" t="str">
        <f>"Dividend ("&amp;Market_currency&amp;")"</f>
        <v>Dividend (CNY)</v>
      </c>
      <c r="C91" s="74">
        <f>C90*Common_Shares/scaling_factor</f>
        <v>7002973236</v>
      </c>
      <c r="E91" s="302"/>
      <c r="G91" s="74">
        <f t="shared" ref="G91:Q91" si="37">IF(G$4="","",G90*Common_Shares/scaling_factor)</f>
        <v>7002973236</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0.88011335945004043</v>
      </c>
      <c r="E92" s="302"/>
      <c r="G92" s="171">
        <f t="shared" ref="G92:Q92" si="38">IF(G$4="","",G90/(G19*scaling_factor/Common_Shares))</f>
        <v>0.98713343092441719</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c r="A93" s="10"/>
      <c r="B93" s="2" t="s">
        <v>317</v>
      </c>
      <c r="C93" s="23">
        <f>C90/Market_Price</f>
        <v>6.7250361794500738E-2</v>
      </c>
      <c r="E93" s="302"/>
      <c r="G93" s="23">
        <f t="shared" ref="G93:Q93" si="39">IF(G$4="","",G90/Market_Price)</f>
        <v>6.7250361794500738E-2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1.6903664633710624E-2</v>
      </c>
      <c r="D96" s="27"/>
      <c r="E96" s="299"/>
      <c r="F96" s="27"/>
      <c r="G96" s="6">
        <f t="shared" ref="G96:Q96" si="40">IF(H4="","",G4/H4-1)</f>
        <v>-0.12829635178080567</v>
      </c>
      <c r="H96" s="6">
        <f t="shared" si="40"/>
        <v>0.10036179318581095</v>
      </c>
      <c r="I96" s="6">
        <f t="shared" si="40"/>
        <v>0.18756152105667456</v>
      </c>
      <c r="J96" s="6">
        <f t="shared" si="40"/>
        <v>0.20137039834741444</v>
      </c>
      <c r="K96" s="6">
        <f t="shared" si="40"/>
        <v>-8.7580385160772378E-2</v>
      </c>
      <c r="L96" s="6">
        <f t="shared" si="40"/>
        <v>-4.2770429584391922E-2</v>
      </c>
      <c r="M96" s="6">
        <f t="shared" si="40"/>
        <v>0.21296676666263559</v>
      </c>
      <c r="N96" s="6">
        <f t="shared" si="40"/>
        <v>0.15915818955242167</v>
      </c>
      <c r="O96" s="6">
        <f t="shared" si="40"/>
        <v>7.0435723932559036E-2</v>
      </c>
      <c r="P96" s="6" t="str">
        <f t="shared" si="40"/>
        <v/>
      </c>
      <c r="Q96" s="6" t="str">
        <f t="shared" si="40"/>
        <v/>
      </c>
    </row>
    <row r="97" spans="1:17" ht="15.75" customHeight="1">
      <c r="A97" s="10"/>
      <c r="B97" s="70" t="s">
        <v>165</v>
      </c>
      <c r="C97" s="77">
        <f>C13/G13-1</f>
        <v>0.11005974710662181</v>
      </c>
      <c r="D97" s="27"/>
      <c r="E97" s="299"/>
      <c r="F97" s="27"/>
      <c r="G97" s="6">
        <f t="shared" ref="G97:Q97" si="41">IF(H5="","",G13/H13-1)</f>
        <v>-0.26943640351561393</v>
      </c>
      <c r="H97" s="6">
        <f t="shared" si="41"/>
        <v>4.1149198278972454E-2</v>
      </c>
      <c r="I97" s="6">
        <f t="shared" si="41"/>
        <v>0.23864944251266618</v>
      </c>
      <c r="J97" s="6">
        <f t="shared" si="41"/>
        <v>0.26286141326050028</v>
      </c>
      <c r="K97" s="6">
        <f t="shared" si="41"/>
        <v>-0.14259985229160888</v>
      </c>
      <c r="L97" s="6">
        <f t="shared" si="41"/>
        <v>-0.10771728346957665</v>
      </c>
      <c r="M97" s="6">
        <f t="shared" si="41"/>
        <v>0.28770604669207467</v>
      </c>
      <c r="N97" s="6">
        <f t="shared" si="41"/>
        <v>0.1310688123908792</v>
      </c>
      <c r="O97" s="6">
        <f t="shared" si="41"/>
        <v>0.13193332274757696</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67345265219.619995</v>
      </c>
      <c r="D101" s="26"/>
      <c r="E101" s="303"/>
      <c r="F101" s="26"/>
      <c r="G101" s="183">
        <f t="shared" ref="G101:Q101" si="42">IF(G$4="","",G105+G104)</f>
        <v>67345265219.619995</v>
      </c>
      <c r="H101" s="183">
        <f t="shared" si="42"/>
        <v>69792287456</v>
      </c>
      <c r="I101" s="183">
        <f t="shared" si="42"/>
        <v>67964247135</v>
      </c>
      <c r="J101" s="183">
        <f t="shared" si="42"/>
        <v>67798704194</v>
      </c>
      <c r="K101" s="183">
        <f t="shared" si="42"/>
        <v>53866259307</v>
      </c>
      <c r="L101" s="183">
        <f t="shared" si="42"/>
        <v>53455037841</v>
      </c>
      <c r="M101" s="183">
        <f t="shared" si="42"/>
        <v>49563767816</v>
      </c>
      <c r="N101" s="183">
        <f t="shared" si="42"/>
        <v>43258140702</v>
      </c>
      <c r="O101" s="183">
        <f t="shared" si="42"/>
        <v>38804062249</v>
      </c>
      <c r="P101" s="183">
        <f t="shared" si="42"/>
        <v>33860320967</v>
      </c>
      <c r="Q101" s="183" t="str">
        <f t="shared" si="42"/>
        <v/>
      </c>
    </row>
    <row r="102" spans="1:17" ht="15.75" customHeight="1">
      <c r="A102" s="10"/>
      <c r="B102" s="93" t="s">
        <v>211</v>
      </c>
      <c r="C102" s="200">
        <f>BS!C4</f>
        <v>1530297140.1800001</v>
      </c>
      <c r="D102" s="89"/>
      <c r="E102" s="304"/>
      <c r="F102" s="89"/>
      <c r="G102" s="185">
        <f>IF(G$4="","",Data!D77)</f>
        <v>530005754</v>
      </c>
      <c r="H102" s="185">
        <f>IF(H$4="","",Data!E77)</f>
        <v>571147623</v>
      </c>
      <c r="I102" s="185">
        <f>IF(I$4="","",Data!F77)</f>
        <v>665097278</v>
      </c>
      <c r="J102" s="185">
        <f>IF(J$4="","",Data!G77)</f>
        <v>617721565</v>
      </c>
      <c r="K102" s="185">
        <f>IF(K$4="","",Data!H77)</f>
        <v>675347400</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200">
        <f>BS!C6+BS!C7</f>
        <v>19732881051.73</v>
      </c>
      <c r="D103" s="89"/>
      <c r="E103" s="304"/>
      <c r="F103" s="89"/>
      <c r="G103" s="185">
        <f>IF(G$4="","",Data!D78)</f>
        <v>18954235402</v>
      </c>
      <c r="H103" s="185">
        <f>IF(H$4="","",Data!E78)</f>
        <v>17729258967</v>
      </c>
      <c r="I103" s="185">
        <f>IF(I$4="","",Data!F78)</f>
        <v>16803093442</v>
      </c>
      <c r="J103" s="185">
        <f>IF(J$4="","",Data!G78)</f>
        <v>14852694146</v>
      </c>
      <c r="K103" s="185">
        <f>IF(K$4="","",Data!H78)</f>
        <v>14433244696</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9">
        <f>BS!G30</f>
        <v>15652219365.74</v>
      </c>
      <c r="D104" s="26"/>
      <c r="E104" s="303"/>
      <c r="F104" s="26"/>
      <c r="G104" s="183">
        <f>Data!C79</f>
        <v>15652219365.74</v>
      </c>
      <c r="H104" s="183">
        <f>Data!D79</f>
        <v>17742423481</v>
      </c>
      <c r="I104" s="183">
        <f>Data!E79</f>
        <v>20439798531</v>
      </c>
      <c r="J104" s="183">
        <f>Data!F79</f>
        <v>25317393936</v>
      </c>
      <c r="K104" s="183">
        <f>Data!G79</f>
        <v>15396606230</v>
      </c>
      <c r="L104" s="183">
        <f>Data!H79</f>
        <v>16963485271</v>
      </c>
      <c r="M104" s="183">
        <f>Data!I79</f>
        <v>15939249286</v>
      </c>
      <c r="N104" s="183">
        <f>Data!J79</f>
        <v>13763271610</v>
      </c>
      <c r="O104" s="183">
        <f>Data!K79</f>
        <v>12767076382</v>
      </c>
      <c r="P104" s="183">
        <f>Data!L79</f>
        <v>10918840106</v>
      </c>
      <c r="Q104" s="183" t="str">
        <f>Data!M79</f>
        <v/>
      </c>
    </row>
    <row r="105" spans="1:17" ht="15.75" customHeight="1">
      <c r="A105" s="10"/>
      <c r="B105" s="26" t="s">
        <v>30</v>
      </c>
      <c r="C105" s="199">
        <f>BS!G27</f>
        <v>51693045853.879997</v>
      </c>
      <c r="D105" s="26"/>
      <c r="E105" s="303"/>
      <c r="F105" s="26"/>
      <c r="G105" s="183">
        <f>Data!C80</f>
        <v>51693045853.879997</v>
      </c>
      <c r="H105" s="183">
        <f>Data!D80</f>
        <v>52049863975</v>
      </c>
      <c r="I105" s="183">
        <f>Data!E80</f>
        <v>47524448604</v>
      </c>
      <c r="J105" s="183">
        <f>Data!F80</f>
        <v>42481310258</v>
      </c>
      <c r="K105" s="183">
        <f>Data!G80</f>
        <v>38469653077</v>
      </c>
      <c r="L105" s="183">
        <f>Data!H80</f>
        <v>36491552570</v>
      </c>
      <c r="M105" s="183">
        <f>Data!I80</f>
        <v>33624518530</v>
      </c>
      <c r="N105" s="183">
        <f>Data!J80</f>
        <v>29494869092</v>
      </c>
      <c r="O105" s="183">
        <f>Data!K80</f>
        <v>26036985867</v>
      </c>
      <c r="P105" s="183">
        <f>Data!L80</f>
        <v>22941480861</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5.2114005482973548E-2</v>
      </c>
      <c r="D108" s="26"/>
      <c r="E108" s="303"/>
      <c r="F108" s="26"/>
      <c r="G108" s="94">
        <f t="shared" ref="G108:Q108" si="43">IF(G$4="","",G102/G$4)</f>
        <v>1.8354353195291145E-2</v>
      </c>
      <c r="H108" s="94">
        <f t="shared" si="43"/>
        <v>1.7241527427989473E-2</v>
      </c>
      <c r="I108" s="94">
        <f t="shared" si="43"/>
        <v>2.2092661401941809E-2</v>
      </c>
      <c r="J108" s="94">
        <f t="shared" si="43"/>
        <v>2.4367543298079452E-2</v>
      </c>
      <c r="K108" s="94">
        <f t="shared" si="43"/>
        <v>3.2005391379571015E-2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0.67199986481302709</v>
      </c>
      <c r="D109" s="26"/>
      <c r="E109" s="303"/>
      <c r="F109" s="26"/>
      <c r="G109" s="94">
        <f t="shared" ref="G109:Q109" si="44">IF(G$4="","",G103/G$4)</f>
        <v>0.65639425324993594</v>
      </c>
      <c r="H109" s="94">
        <f t="shared" si="44"/>
        <v>0.53520227074018445</v>
      </c>
      <c r="I109" s="94">
        <f t="shared" si="44"/>
        <v>0.55815151587388534</v>
      </c>
      <c r="J109" s="94">
        <f t="shared" si="44"/>
        <v>0.5859009757831366</v>
      </c>
      <c r="K109" s="94">
        <f t="shared" si="44"/>
        <v>0.68400595807816467</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401</v>
      </c>
      <c r="C113" s="170"/>
      <c r="E113" s="302"/>
      <c r="G113" s="334">
        <f>IF(G$4="","",Data!C$22/Data!C15)</f>
        <v>0.69432864508205805</v>
      </c>
      <c r="H113" s="334">
        <f>IF(H$4="","",Data!D$22/Data!D15)</f>
        <v>0.61175156713199319</v>
      </c>
      <c r="I113" s="334">
        <f>IF(I$4="","",Data!E$22/Data!E15)</f>
        <v>0.38848325372610293</v>
      </c>
      <c r="J113" s="334">
        <f>IF(J$4="","",Data!F$22/Data!F15)</f>
        <v>2.0389375478654403</v>
      </c>
      <c r="K113" s="334">
        <f>IF(K$4="","",Data!G$22/Data!G15)</f>
        <v>0.53159654216650631</v>
      </c>
      <c r="L113" s="334">
        <f>IF(L$4="","",Data!H$22/Data!H15)</f>
        <v>0.92036395831447737</v>
      </c>
      <c r="M113" s="334">
        <f>IF(M$4="","",Data!I$22/Data!I15)</f>
        <v>1.1160050094303653</v>
      </c>
      <c r="N113" s="334">
        <f>IF(N$4="","",Data!J$22/Data!J15)</f>
        <v>1.0399444322943818</v>
      </c>
      <c r="O113" s="334">
        <f>IF(O$4="","",Data!K$22/Data!K15)</f>
        <v>1.2756477220610554</v>
      </c>
      <c r="P113" s="334">
        <f>IF(P$4="","",Data!L$22/Data!L15)</f>
        <v>1.0878170604353194</v>
      </c>
      <c r="Q113" s="334" t="str">
        <f>IF(Q$4="","",Data!M$22/Data!M15)</f>
        <v/>
      </c>
    </row>
    <row r="114" spans="1:17" ht="15.75" customHeight="1">
      <c r="A114" s="10"/>
      <c r="B114" s="2" t="s">
        <v>402</v>
      </c>
      <c r="C114" s="170"/>
      <c r="E114" s="302"/>
      <c r="G114" s="334">
        <f>IF(G$4="","",Data!C$22/G19)</f>
        <v>0.65245938405842752</v>
      </c>
      <c r="H114" s="334">
        <f>IF(H$4="","",Data!D$22/H19)</f>
        <v>0.61929135378429767</v>
      </c>
      <c r="I114" s="334">
        <f>IF(I$4="","",Data!E$22/I19)</f>
        <v>0.38568818971474528</v>
      </c>
      <c r="J114" s="334">
        <f>IF(J$4="","",Data!F$22/J19)</f>
        <v>1.9842659141319254</v>
      </c>
      <c r="K114" s="334">
        <f>IF(K$4="","",Data!G$22/K19)</f>
        <v>0.70453400483280781</v>
      </c>
      <c r="L114" s="334">
        <f>IF(L$4="","",Data!H$22/L19)</f>
        <v>0.97196559064761057</v>
      </c>
      <c r="M114" s="334">
        <f>IF(M$4="","",Data!I$22/M19)</f>
        <v>1.162530532106353</v>
      </c>
      <c r="N114" s="334">
        <f>IF(N$4="","",Data!J$22/N19)</f>
        <v>1.1595323507076634</v>
      </c>
      <c r="O114" s="334">
        <f>IF(O$4="","",Data!K$22/O19)</f>
        <v>1.4069766594758819</v>
      </c>
      <c r="P114" s="334">
        <f>IF(P$4="","",Data!L$22/P19)</f>
        <v>1.2749920037134175</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0.36180668135579358</v>
      </c>
      <c r="E117" s="302"/>
      <c r="G117" s="23">
        <f t="shared" ref="G117:Q117" si="45">G81</f>
        <v>0.33144390751818564</v>
      </c>
      <c r="H117" s="23">
        <f t="shared" si="45"/>
        <v>0.39547667684780757</v>
      </c>
      <c r="I117" s="23">
        <f t="shared" si="45"/>
        <v>0.41796836228539969</v>
      </c>
      <c r="J117" s="23">
        <f t="shared" si="45"/>
        <v>0.40072931616738749</v>
      </c>
      <c r="K117" s="23">
        <f t="shared" si="45"/>
        <v>0.38121707824656936</v>
      </c>
      <c r="L117" s="23">
        <f t="shared" si="45"/>
        <v>0.4056798224650765</v>
      </c>
      <c r="M117" s="23">
        <f t="shared" si="45"/>
        <v>0.43520816327644829</v>
      </c>
      <c r="N117" s="23">
        <f t="shared" si="45"/>
        <v>0.40994840397829657</v>
      </c>
      <c r="O117" s="23">
        <f t="shared" si="45"/>
        <v>0.42012921279379001</v>
      </c>
      <c r="P117" s="23">
        <f t="shared" si="45"/>
        <v>0.39730371834138978</v>
      </c>
      <c r="Q117" s="23" t="str">
        <f t="shared" si="45"/>
        <v/>
      </c>
    </row>
    <row r="118" spans="1:17" ht="15.75" customHeight="1">
      <c r="B118" s="7" t="s">
        <v>84</v>
      </c>
      <c r="C118" s="42">
        <f>C4/C101</f>
        <v>0.43602786533677701</v>
      </c>
      <c r="E118" s="302"/>
      <c r="G118" s="42">
        <f t="shared" ref="G118:Q118" si="46">IF(G4="","",G4/G101)</f>
        <v>0.42877991347767891</v>
      </c>
      <c r="H118" s="42">
        <f t="shared" si="46"/>
        <v>0.47464094901437642</v>
      </c>
      <c r="I118" s="42">
        <f t="shared" si="46"/>
        <v>0.44295195571285423</v>
      </c>
      <c r="J118" s="42">
        <f t="shared" si="46"/>
        <v>0.37390357980091632</v>
      </c>
      <c r="K118" s="42">
        <f t="shared" si="46"/>
        <v>0.39173039679140831</v>
      </c>
      <c r="L118" s="42">
        <f t="shared" si="46"/>
        <v>0.43263418789055647</v>
      </c>
      <c r="M118" s="42">
        <f t="shared" si="46"/>
        <v>0.48744885749385702</v>
      </c>
      <c r="N118" s="42">
        <f t="shared" si="46"/>
        <v>0.46044378964903393</v>
      </c>
      <c r="O118" s="42">
        <f t="shared" si="46"/>
        <v>0.442817288296738</v>
      </c>
      <c r="P118" s="42">
        <f t="shared" si="46"/>
        <v>0.47407832059963589</v>
      </c>
      <c r="Q118" s="42" t="str">
        <f t="shared" si="46"/>
        <v/>
      </c>
    </row>
    <row r="119" spans="1:17" ht="15.75" customHeight="1">
      <c r="B119" s="7" t="s">
        <v>92</v>
      </c>
      <c r="C119" s="15">
        <f>C101/C105</f>
        <v>1.3027915865121182</v>
      </c>
      <c r="D119" s="11"/>
      <c r="E119" s="306"/>
      <c r="F119" s="11"/>
      <c r="G119" s="15">
        <f t="shared" ref="G119:Q119" si="47">IF(G$4="","",G101/G105)</f>
        <v>1.3027915865121182</v>
      </c>
      <c r="H119" s="15">
        <f t="shared" si="47"/>
        <v>1.3408735801792266</v>
      </c>
      <c r="I119" s="15">
        <f t="shared" si="47"/>
        <v>1.4300901774014405</v>
      </c>
      <c r="J119" s="15">
        <f t="shared" si="47"/>
        <v>1.5959654676901656</v>
      </c>
      <c r="K119" s="15">
        <f t="shared" si="47"/>
        <v>1.4002273220188</v>
      </c>
      <c r="L119" s="15">
        <f t="shared" si="47"/>
        <v>1.4648606068064591</v>
      </c>
      <c r="M119" s="15">
        <f t="shared" si="47"/>
        <v>1.4740365061816099</v>
      </c>
      <c r="N119" s="15">
        <f t="shared" si="47"/>
        <v>1.4666327410055555</v>
      </c>
      <c r="O119" s="15">
        <f t="shared" si="47"/>
        <v>1.4903438688032375</v>
      </c>
      <c r="P119" s="15">
        <f t="shared" si="47"/>
        <v>1.4759431255617759</v>
      </c>
      <c r="Q119" s="15" t="str">
        <f t="shared" si="47"/>
        <v/>
      </c>
    </row>
    <row r="120" spans="1:17" ht="15.75" customHeight="1">
      <c r="A120" s="10"/>
      <c r="B120" s="70" t="s">
        <v>223</v>
      </c>
      <c r="C120" s="102">
        <f>C8/C105</f>
        <v>0.20319996017793959</v>
      </c>
      <c r="D120" s="103"/>
      <c r="E120" s="305"/>
      <c r="F120" s="103"/>
      <c r="G120" s="102">
        <f t="shared" ref="G120:Q120" si="48">IF(G$4="","",G8/G105)</f>
        <v>0.16933083136061708</v>
      </c>
      <c r="H120" s="102">
        <f t="shared" si="48"/>
        <v>0.23478747187254298</v>
      </c>
      <c r="I120" s="102">
        <f t="shared" si="48"/>
        <v>0.24624507555075598</v>
      </c>
      <c r="J120" s="102">
        <f t="shared" si="48"/>
        <v>0.2192468952448571</v>
      </c>
      <c r="K120" s="102">
        <f t="shared" si="48"/>
        <v>0.18821386562825332</v>
      </c>
      <c r="L120" s="102">
        <f t="shared" si="48"/>
        <v>0.23540972392230555</v>
      </c>
      <c r="M120" s="102">
        <f t="shared" si="48"/>
        <v>0.28977062869485792</v>
      </c>
      <c r="N120" s="102">
        <f t="shared" si="48"/>
        <v>0.27683895139628578</v>
      </c>
      <c r="O120" s="102">
        <f t="shared" si="48"/>
        <v>0.27726428684472737</v>
      </c>
      <c r="P120" s="102">
        <f t="shared" si="48"/>
        <v>0.27799843295390486</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8">
        <f>C16*$C$3/Common_Shares*Exchange_Rate</f>
        <v>5.2800016612675753</v>
      </c>
      <c r="D124" s="27"/>
      <c r="E124" s="299"/>
      <c r="F124" s="27"/>
      <c r="G124" s="178">
        <f t="shared" ref="G124:Q124" si="49">IF(G$4="","",G16*$C$3/Common_Shares*Exchange_Rate)</f>
        <v>4.7075702781621338</v>
      </c>
      <c r="H124" s="178">
        <f t="shared" si="49"/>
        <v>6.5685772438818928</v>
      </c>
      <c r="I124" s="178">
        <f t="shared" si="49"/>
        <v>6.2757252838458992</v>
      </c>
      <c r="J124" s="178">
        <f t="shared" si="49"/>
        <v>5.1226783858997758</v>
      </c>
      <c r="K124" s="178">
        <f t="shared" si="49"/>
        <v>3.7474802735473038</v>
      </c>
      <c r="L124" s="178">
        <f t="shared" si="49"/>
        <v>4.6410213664272675</v>
      </c>
      <c r="M124" s="178">
        <f t="shared" si="49"/>
        <v>5.1696145273662575</v>
      </c>
      <c r="N124" s="178">
        <f t="shared" si="49"/>
        <v>3.9390892342872008</v>
      </c>
      <c r="O124" s="178">
        <f t="shared" si="49"/>
        <v>3.4924563885047526</v>
      </c>
      <c r="P124" s="178">
        <f t="shared" si="49"/>
        <v>3.0375572333688123</v>
      </c>
      <c r="Q124" s="178" t="str">
        <f t="shared" si="49"/>
        <v/>
      </c>
    </row>
    <row r="125" spans="1:17" ht="15.75" customHeight="1">
      <c r="A125" s="10"/>
      <c r="B125" s="27" t="s">
        <v>270</v>
      </c>
      <c r="C125" s="77">
        <f>C19*Exchange_Rate*$C$3/(Market_Price*Common_Shares)</f>
        <v>7.6411022594320921E-2</v>
      </c>
      <c r="D125" s="27"/>
      <c r="E125" s="299"/>
      <c r="F125" s="27"/>
      <c r="G125" s="77">
        <f t="shared" ref="G125" si="50">IF(G$4="","",G124/Market_Price)</f>
        <v>6.8126921536355051E-2</v>
      </c>
      <c r="H125" s="77">
        <f t="shared" ref="H125" si="51">IF(H$4="","",H124/Market_Price)</f>
        <v>9.5059004976583122E-2</v>
      </c>
      <c r="I125" s="77">
        <f t="shared" ref="I125" si="52">IF(I$4="","",I124/Market_Price)</f>
        <v>9.082091582989725E-2</v>
      </c>
      <c r="J125" s="77">
        <f t="shared" ref="J125" si="53">IF(J$4="","",J124/Market_Price)</f>
        <v>7.4134274759765209E-2</v>
      </c>
      <c r="K125" s="77">
        <f t="shared" ref="K125" si="54">IF(K$4="","",K124/Market_Price)</f>
        <v>5.4232710181581822E-2</v>
      </c>
      <c r="L125" s="77">
        <f t="shared" ref="L125" si="55">IF(L$4="","",L124/Market_Price)</f>
        <v>6.716384032456249E-2</v>
      </c>
      <c r="M125" s="77">
        <f t="shared" ref="M125" si="56">IF(M$4="","",M124/Market_Price)</f>
        <v>7.4813524274475518E-2</v>
      </c>
      <c r="N125" s="77">
        <f t="shared" ref="N125" si="57">IF(N$4="","",N124/Market_Price)</f>
        <v>5.7005632912984099E-2</v>
      </c>
      <c r="O125" s="77">
        <f t="shared" ref="O125" si="58">IF(O$4="","",O124/Market_Price)</f>
        <v>5.0542060615119434E-2</v>
      </c>
      <c r="P125" s="77">
        <f t="shared" ref="P125" si="59">IF(P$4="","",P124/Market_Price)</f>
        <v>4.3958860106639838E-2</v>
      </c>
      <c r="Q125" s="77" t="str">
        <f t="shared" ref="Q125" si="60">IF(Q$4="","",Q124/Market_Price)</f>
        <v/>
      </c>
    </row>
    <row r="126" spans="1:17" ht="15.75" customHeight="1">
      <c r="B126" s="2" t="s">
        <v>404</v>
      </c>
      <c r="C126" s="170"/>
      <c r="G126" s="23">
        <f>IF(G$4="","",(Data!C47*$C$3)/(Market_Price*Common_Shares))</f>
        <v>6.4018746134481885E-2</v>
      </c>
      <c r="H126" s="23">
        <f>IF(H$4="","",(Data!D47*$C$3)/(Market_Price*Common_Shares))</f>
        <v>9.6230599224006036E-2</v>
      </c>
      <c r="I126" s="23">
        <f>IF(I$4="","",(Data!E47*$C$3)/(Market_Price*Common_Shares))</f>
        <v>9.0167476406498928E-2</v>
      </c>
      <c r="J126" s="23">
        <f>IF(J$4="","",(Data!F47*$C$3)/(Market_Price*Common_Shares))</f>
        <v>7.2146454229897225E-2</v>
      </c>
      <c r="K126" s="23">
        <f>IF(K$4="","",(Data!G47*$C$3)/(Market_Price*Common_Shares))</f>
        <v>7.1875539937577532E-2</v>
      </c>
      <c r="L126" s="23">
        <f>IF(L$4="","",(Data!H47*$C$3)/(Market_Price*Common_Shares))</f>
        <v>7.092948516886563E-2</v>
      </c>
      <c r="M126" s="23">
        <f>IF(M$4="","",(Data!I47*$C$3)/(Market_Price*Common_Shares))</f>
        <v>7.7932451421477575E-2</v>
      </c>
      <c r="N126" s="23">
        <f>IF(N$4="","",(Data!J47*$C$3)/(Market_Price*Common_Shares))</f>
        <v>6.3560968723432143E-2</v>
      </c>
      <c r="O126" s="23">
        <f>IF(O$4="","",(Data!K47*$C$3)/(Market_Price*Common_Shares))</f>
        <v>5.5745405551615702E-2</v>
      </c>
      <c r="P126" s="23">
        <f>IF(P$4="","",(Data!L47*$C$3)/(Market_Price*Common_Shares))</f>
        <v>5.1522629279130573E-2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13" sqref="C13"/>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v>
      </c>
      <c r="E3" s="109" t="s">
        <v>125</v>
      </c>
      <c r="H3" s="121"/>
    </row>
    <row r="4" spans="2:8">
      <c r="B4" s="100" t="s">
        <v>129</v>
      </c>
      <c r="C4" s="110">
        <f>Normalized_FCF!C19</f>
        <v>7956899143.5103006</v>
      </c>
      <c r="D4" t="str">
        <f>Reporting_currency</f>
        <v>CNY</v>
      </c>
      <c r="E4" s="100" t="s">
        <v>251</v>
      </c>
      <c r="F4" s="135">
        <f>Thesis!C76</f>
        <v>0</v>
      </c>
      <c r="H4" s="121"/>
    </row>
    <row r="5" spans="2:8">
      <c r="B5" s="227" t="s">
        <v>124</v>
      </c>
      <c r="C5" s="228">
        <f>Thesis!C70</f>
        <v>0.08</v>
      </c>
      <c r="E5" s="149"/>
      <c r="H5" s="121"/>
    </row>
    <row r="6" spans="2:8" ht="13.15" customHeight="1">
      <c r="B6" s="150" t="s">
        <v>229</v>
      </c>
      <c r="C6" s="232">
        <f>(C4*(1+Terminal_Growth))/(Equity_Cost-Terminal_Growth)</f>
        <v>99461239293.878754</v>
      </c>
      <c r="D6" t="str">
        <f>Reporting_currency</f>
        <v>CNY</v>
      </c>
      <c r="E6" s="348" t="s">
        <v>250</v>
      </c>
      <c r="F6" s="348"/>
      <c r="H6" s="121"/>
    </row>
    <row r="7" spans="2:8">
      <c r="B7" s="149" t="s">
        <v>225</v>
      </c>
      <c r="C7" s="226">
        <f>BS!G31</f>
        <v>40134989.460000001</v>
      </c>
      <c r="D7" t="str">
        <f>Reporting_currency</f>
        <v>CNY</v>
      </c>
      <c r="E7" s="348"/>
      <c r="F7" s="348"/>
      <c r="H7" s="121"/>
    </row>
    <row r="8" spans="2:8">
      <c r="B8" s="149" t="s">
        <v>226</v>
      </c>
      <c r="C8" s="201">
        <f>BS!D66</f>
        <v>17437737876.49247</v>
      </c>
      <c r="D8" t="str">
        <f>Reporting_currency</f>
        <v>CNY</v>
      </c>
      <c r="E8" s="348"/>
      <c r="F8" s="348"/>
      <c r="H8" s="121"/>
    </row>
    <row r="9" spans="2:8">
      <c r="B9" s="227" t="s">
        <v>191</v>
      </c>
      <c r="C9" s="229">
        <f>BS!H42</f>
        <v>3951628136.4709997</v>
      </c>
      <c r="D9" t="str">
        <f>Reporting_currency</f>
        <v>CNY</v>
      </c>
      <c r="E9" s="348"/>
      <c r="F9" s="348"/>
      <c r="H9" s="121"/>
    </row>
    <row r="10" spans="2:8" ht="13.15">
      <c r="B10" s="150" t="s">
        <v>228</v>
      </c>
      <c r="C10" s="232">
        <f>C6-C7+C8+C9</f>
        <v>120810470317.38222</v>
      </c>
      <c r="D10" t="str">
        <f>Reporting_currency</f>
        <v>CNY</v>
      </c>
      <c r="H10" s="121"/>
    </row>
    <row r="11" spans="2:8" ht="13.15" thickBot="1">
      <c r="B11" s="230" t="s">
        <v>167</v>
      </c>
      <c r="C11" s="231">
        <f>Exchange_Rate</f>
        <v>1</v>
      </c>
      <c r="D11" t="str">
        <f>Thesis!D17</f>
        <v>CNY</v>
      </c>
      <c r="H11" s="121"/>
    </row>
    <row r="12" spans="2:8" ht="13.5" thickTop="1">
      <c r="B12" s="150" t="s">
        <v>103</v>
      </c>
      <c r="C12" s="112">
        <f>(C10*scaling_factor)/Common_Shares*Exchange_Rate</f>
        <v>80.166842945917438</v>
      </c>
      <c r="D12" t="str">
        <f>Market_currency</f>
        <v>CNY</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4.6574870890079501E-2</v>
      </c>
      <c r="H16" s="121"/>
    </row>
    <row r="17" spans="2:8" ht="13.25" customHeight="1">
      <c r="B17" s="119" t="s">
        <v>135</v>
      </c>
      <c r="C17" s="163">
        <f>Scenarios!C64</f>
        <v>10</v>
      </c>
      <c r="H17" s="121"/>
    </row>
    <row r="18" spans="2:8" ht="13.25" customHeight="1">
      <c r="B18" s="154" t="s">
        <v>107</v>
      </c>
      <c r="C18" s="141">
        <f>(F52-C7+C8+C9)*Exchange_Rate/Common_Shares*scaling_factor</f>
        <v>90.758798783650263</v>
      </c>
      <c r="D18" t="str">
        <f>Market_currency</f>
        <v>CNY</v>
      </c>
      <c r="H18" s="121"/>
    </row>
    <row r="19" spans="2:8">
      <c r="H19" s="121"/>
    </row>
    <row r="20" spans="2:8" ht="13.15">
      <c r="B20" s="129" t="s">
        <v>108</v>
      </c>
      <c r="C20" s="129" t="s">
        <v>109</v>
      </c>
      <c r="D20" s="129" t="s">
        <v>119</v>
      </c>
      <c r="E20" s="129" t="s">
        <v>110</v>
      </c>
      <c r="F20" s="130" t="s">
        <v>111</v>
      </c>
      <c r="H20" s="121"/>
    </row>
    <row r="21" spans="2:8">
      <c r="B21" s="123">
        <v>1</v>
      </c>
      <c r="C21" s="124">
        <f>C4*(1+D21)</f>
        <v>8327490693.804677</v>
      </c>
      <c r="D21" s="139">
        <f>IF($C$17&lt;B21,0,Valuation_Model!$C$16)</f>
        <v>4.6574870890079501E-2</v>
      </c>
      <c r="E21" s="125">
        <f t="shared" ref="E21:E50" si="0">IF($C$17&lt;B21,0,1/(1+Equity_Cost)^B21)</f>
        <v>0.92592592592592582</v>
      </c>
      <c r="F21" s="126">
        <f t="shared" ref="F21:F51" si="1">C21*E21</f>
        <v>7710639531.3006258</v>
      </c>
      <c r="H21" s="121"/>
    </row>
    <row r="22" spans="2:8">
      <c r="B22" s="123">
        <v>2</v>
      </c>
      <c r="C22" s="124">
        <f t="shared" ref="C22:C50" si="2">IF(ROW()-ROW($C$21)&lt;$C$17, $C$21*(1+D22)^(ROW()-ROW($C$21)), 0)</f>
        <v>8715342497.7069683</v>
      </c>
      <c r="D22" s="139">
        <f>IF($C$17&lt;B22,0,Valuation_Model!$C$16)</f>
        <v>4.6574870890079501E-2</v>
      </c>
      <c r="E22" s="125">
        <f t="shared" si="0"/>
        <v>0.85733882030178321</v>
      </c>
      <c r="F22" s="126">
        <f t="shared" si="1"/>
        <v>7472001455.5100889</v>
      </c>
      <c r="H22" s="121"/>
    </row>
    <row r="23" spans="2:8">
      <c r="B23" s="123">
        <v>3</v>
      </c>
      <c r="C23" s="124">
        <f t="shared" si="2"/>
        <v>9121258449.3004951</v>
      </c>
      <c r="D23" s="139">
        <f>IF($C$17&lt;B23,0,Valuation_Model!$C$16)</f>
        <v>4.6574870890079501E-2</v>
      </c>
      <c r="E23" s="125">
        <f t="shared" si="0"/>
        <v>0.79383224102016958</v>
      </c>
      <c r="F23" s="126">
        <f t="shared" si="1"/>
        <v>7240749035.7323685</v>
      </c>
      <c r="H23" s="121"/>
    </row>
    <row r="24" spans="2:8">
      <c r="B24" s="123">
        <v>4</v>
      </c>
      <c r="C24" s="124">
        <f t="shared" si="2"/>
        <v>9546079883.9317112</v>
      </c>
      <c r="D24" s="139">
        <f>IF($C$17&lt;B24,0,Valuation_Model!$C$16)</f>
        <v>4.6574870890079501E-2</v>
      </c>
      <c r="E24" s="125">
        <f t="shared" si="0"/>
        <v>0.73502985279645328</v>
      </c>
      <c r="F24" s="126">
        <f t="shared" si="1"/>
        <v>7016653691.8695097</v>
      </c>
      <c r="H24" s="121"/>
    </row>
    <row r="25" spans="2:8">
      <c r="B25" s="123">
        <v>5</v>
      </c>
      <c r="C25" s="124">
        <f t="shared" si="2"/>
        <v>9990687322.032217</v>
      </c>
      <c r="D25" s="139">
        <f>IF($C$17&lt;B25,0,Valuation_Model!$C$16)</f>
        <v>4.6574870890079501E-2</v>
      </c>
      <c r="E25" s="125">
        <f t="shared" si="0"/>
        <v>0.68058319703375303</v>
      </c>
      <c r="F25" s="126">
        <f t="shared" si="1"/>
        <v>6799493918.1932707</v>
      </c>
      <c r="H25" s="121"/>
    </row>
    <row r="26" spans="2:8">
      <c r="B26" s="123">
        <v>6</v>
      </c>
      <c r="C26" s="124">
        <f t="shared" si="2"/>
        <v>10456002294.159021</v>
      </c>
      <c r="D26" s="139">
        <f>IF($C$17&lt;B26,0,Valuation_Model!$C$16)</f>
        <v>4.6574870890079501E-2</v>
      </c>
      <c r="E26" s="125">
        <f t="shared" si="0"/>
        <v>0.63016962688310452</v>
      </c>
      <c r="F26" s="126">
        <f t="shared" si="1"/>
        <v>6589055064.3990755</v>
      </c>
      <c r="H26" s="121"/>
    </row>
    <row r="27" spans="2:8">
      <c r="B27" s="123">
        <v>7</v>
      </c>
      <c r="C27" s="124">
        <f t="shared" si="2"/>
        <v>10942989251.035856</v>
      </c>
      <c r="D27" s="139">
        <f>IF($C$17&lt;B27,0,Valuation_Model!$C$16)</f>
        <v>4.6574870890079501E-2</v>
      </c>
      <c r="E27" s="125">
        <f t="shared" si="0"/>
        <v>0.58349039526213387</v>
      </c>
      <c r="F27" s="126">
        <f t="shared" si="1"/>
        <v>6385129123.4361944</v>
      </c>
      <c r="H27" s="121"/>
    </row>
    <row r="28" spans="2:8">
      <c r="B28" s="123">
        <v>8</v>
      </c>
      <c r="C28" s="124">
        <f t="shared" si="2"/>
        <v>11452657562.554379</v>
      </c>
      <c r="D28" s="139">
        <f>IF($C$17&lt;B28,0,Valuation_Model!$C$16)</f>
        <v>4.6574870890079501E-2</v>
      </c>
      <c r="E28" s="125">
        <f t="shared" si="0"/>
        <v>0.54026888450197574</v>
      </c>
      <c r="F28" s="126">
        <f t="shared" si="1"/>
        <v>6187514525.9043703</v>
      </c>
      <c r="H28" s="121"/>
    </row>
    <row r="29" spans="2:8">
      <c r="B29" s="123">
        <v>9</v>
      </c>
      <c r="C29" s="124">
        <f t="shared" si="2"/>
        <v>11986063609.878641</v>
      </c>
      <c r="D29" s="139">
        <f>IF($C$17&lt;B29,0,Valuation_Model!$C$16)</f>
        <v>4.6574870890079501E-2</v>
      </c>
      <c r="E29" s="125">
        <f t="shared" si="0"/>
        <v>0.50024896713145905</v>
      </c>
      <c r="F29" s="126">
        <f t="shared" si="1"/>
        <v>5996015940.8137579</v>
      </c>
      <c r="H29" s="121"/>
    </row>
    <row r="30" spans="2:8">
      <c r="B30" s="123">
        <v>10</v>
      </c>
      <c r="C30" s="124">
        <f t="shared" si="2"/>
        <v>12544312974.989019</v>
      </c>
      <c r="D30" s="139">
        <f>IF($C$17&lt;B30,0,Valuation_Model!$C$16)</f>
        <v>4.6574870890079501E-2</v>
      </c>
      <c r="E30" s="125">
        <f t="shared" si="0"/>
        <v>0.46319348808468425</v>
      </c>
      <c r="F30" s="126">
        <f t="shared" si="1"/>
        <v>5810444082.5111265</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104093633672.55846</v>
      </c>
      <c r="D51" s="140">
        <f>Terminal_Growth</f>
        <v>0</v>
      </c>
      <c r="E51" s="125">
        <f>1/(1+Equity_Cost)^C17</f>
        <v>0.46319348808468425</v>
      </c>
      <c r="F51" s="126">
        <f t="shared" si="1"/>
        <v>48215493268.201691</v>
      </c>
      <c r="H51" s="121"/>
    </row>
    <row r="52" spans="1:8">
      <c r="C52" s="115"/>
      <c r="E52" s="128" t="s">
        <v>101</v>
      </c>
      <c r="F52" s="138">
        <f>SUM(F21:F51)</f>
        <v>115423189637.87209</v>
      </c>
      <c r="H52" s="121"/>
    </row>
    <row r="53" spans="1:8">
      <c r="C53" s="115"/>
      <c r="H53" s="121"/>
    </row>
    <row r="54" spans="1:8" ht="13.15">
      <c r="B54" s="120" t="s">
        <v>130</v>
      </c>
      <c r="C54" s="137"/>
      <c r="D54" s="137"/>
      <c r="E54" s="118"/>
      <c r="F54" s="118"/>
      <c r="H54" s="121"/>
    </row>
    <row r="55" spans="1:8" ht="13.15">
      <c r="A55" s="134">
        <f>F52</f>
        <v>115423189637.87209</v>
      </c>
      <c r="B55" s="132">
        <f>C78</f>
        <v>0</v>
      </c>
      <c r="C55" s="132">
        <f>C77</f>
        <v>0.02</v>
      </c>
      <c r="D55" s="132">
        <f>C76</f>
        <v>0.04</v>
      </c>
      <c r="E55" s="132">
        <f>C75</f>
        <v>0.06</v>
      </c>
      <c r="F55" s="132">
        <f>C74</f>
        <v>0.1</v>
      </c>
      <c r="H55" s="121"/>
    </row>
    <row r="56" spans="1:8" ht="13.15">
      <c r="A56" s="144">
        <v>5</v>
      </c>
      <c r="B56" s="124">
        <f t="dataTable" ref="B56:F61" dt2D="1" dtr="1" r1="C16" r2="C17"/>
        <v>99461239293.878738</v>
      </c>
      <c r="C56" s="124">
        <v>102670379526.41306</v>
      </c>
      <c r="D56" s="124">
        <v>105975632108.49921</v>
      </c>
      <c r="E56" s="124">
        <v>109381214760.52371</v>
      </c>
      <c r="F56" s="124">
        <v>116510896194.4758</v>
      </c>
      <c r="H56" s="121"/>
    </row>
    <row r="57" spans="1:8" ht="13.15">
      <c r="A57" s="144">
        <v>10</v>
      </c>
      <c r="B57" s="124">
        <v>99461239293.878723</v>
      </c>
      <c r="C57" s="124">
        <v>105882474869.97748</v>
      </c>
      <c r="D57" s="124">
        <v>112947292112.40126</v>
      </c>
      <c r="E57" s="124">
        <v>120732713643.93181</v>
      </c>
      <c r="F57" s="124">
        <v>138817370667.01062</v>
      </c>
      <c r="H57" s="121"/>
    </row>
    <row r="58" spans="1:8" ht="13.15">
      <c r="A58" s="144">
        <v>15</v>
      </c>
      <c r="B58" s="124">
        <v>99461239293.878708</v>
      </c>
      <c r="C58" s="124">
        <v>109858333488.21954</v>
      </c>
      <c r="D58" s="124">
        <v>122035735039.5298</v>
      </c>
      <c r="E58" s="124">
        <v>136347138311.85847</v>
      </c>
      <c r="F58" s="124">
        <v>173149520249.06439</v>
      </c>
      <c r="H58" s="121"/>
    </row>
    <row r="59" spans="1:8" ht="13.15">
      <c r="A59" s="145">
        <v>20</v>
      </c>
      <c r="B59" s="124">
        <v>99461239293.878693</v>
      </c>
      <c r="C59" s="124">
        <v>113909095821.52815</v>
      </c>
      <c r="D59" s="124">
        <v>131817862960.77042</v>
      </c>
      <c r="E59" s="124">
        <v>154158952637.9407</v>
      </c>
      <c r="F59" s="124">
        <v>217506260897.88818</v>
      </c>
      <c r="H59" s="121"/>
    </row>
    <row r="60" spans="1:8" ht="13.15">
      <c r="A60" s="145">
        <v>25</v>
      </c>
      <c r="B60" s="124">
        <v>99461239293.878693</v>
      </c>
      <c r="C60" s="124">
        <v>117676529568.34595</v>
      </c>
      <c r="D60" s="124">
        <v>141453591744.15585</v>
      </c>
      <c r="E60" s="124">
        <v>172825192485.27939</v>
      </c>
      <c r="F60" s="124">
        <v>270702498161.31653</v>
      </c>
      <c r="H60" s="121"/>
    </row>
    <row r="61" spans="1:8" ht="13.15">
      <c r="A61" s="145">
        <v>30</v>
      </c>
      <c r="B61" s="124">
        <v>99461239293.878693</v>
      </c>
      <c r="C61" s="124">
        <v>120999930213.88893</v>
      </c>
      <c r="D61" s="124">
        <v>150477537143.78979</v>
      </c>
      <c r="E61" s="124">
        <v>191489060218.90814</v>
      </c>
      <c r="F61" s="124">
        <v>332125475338.44678</v>
      </c>
      <c r="H61" s="121"/>
    </row>
    <row r="62" spans="1:8">
      <c r="C62" s="115"/>
      <c r="D62" s="115"/>
      <c r="E62" s="115"/>
      <c r="F62" s="115"/>
      <c r="H62" s="121"/>
    </row>
    <row r="63" spans="1:8" ht="13.15">
      <c r="B63" s="120" t="s">
        <v>131</v>
      </c>
      <c r="C63" s="115"/>
      <c r="D63" s="115"/>
      <c r="E63" s="115"/>
      <c r="F63" s="115"/>
      <c r="H63" s="121"/>
    </row>
    <row r="64" spans="1:8" ht="13.15">
      <c r="B64" s="133">
        <f>B55</f>
        <v>0</v>
      </c>
      <c r="C64" s="133">
        <f>C55</f>
        <v>0.02</v>
      </c>
      <c r="D64" s="133">
        <f>D55</f>
        <v>0.04</v>
      </c>
      <c r="E64" s="133">
        <f>E55</f>
        <v>0.06</v>
      </c>
      <c r="F64" s="133">
        <f>F55</f>
        <v>0.1</v>
      </c>
      <c r="H64" s="121"/>
    </row>
    <row r="65" spans="1:8" ht="13.15">
      <c r="A65" s="144">
        <v>0</v>
      </c>
      <c r="B65" s="125">
        <f>C12</f>
        <v>80.166842945917438</v>
      </c>
      <c r="C65" s="125">
        <f>C12</f>
        <v>80.166842945917438</v>
      </c>
      <c r="D65" s="125">
        <f>C12</f>
        <v>80.166842945917438</v>
      </c>
      <c r="E65" s="142">
        <f>C12</f>
        <v>80.166842945917438</v>
      </c>
      <c r="F65" s="125">
        <f>C12</f>
        <v>80.166842945917438</v>
      </c>
      <c r="H65" s="121"/>
    </row>
    <row r="66" spans="1:8" ht="13.15">
      <c r="A66" s="144">
        <f t="shared" ref="A66:A71" si="3">A56</f>
        <v>5</v>
      </c>
      <c r="B66" s="125">
        <f t="shared" ref="B66:F71" si="4">(B56-$C$7+$C$8+$C$9)/Common_Shares*$C$3*Exchange_Rate</f>
        <v>80.166842945917409</v>
      </c>
      <c r="C66" s="125">
        <f t="shared" si="4"/>
        <v>82.296349108232135</v>
      </c>
      <c r="D66" s="125">
        <f t="shared" si="4"/>
        <v>84.489633050828985</v>
      </c>
      <c r="E66" s="125">
        <f t="shared" si="4"/>
        <v>86.749493548739053</v>
      </c>
      <c r="F66" s="125">
        <f t="shared" si="4"/>
        <v>91.48057397801395</v>
      </c>
      <c r="H66" s="121"/>
    </row>
    <row r="67" spans="1:8" ht="13.15">
      <c r="A67" s="144">
        <f t="shared" si="3"/>
        <v>10</v>
      </c>
      <c r="B67" s="125">
        <f t="shared" si="4"/>
        <v>80.166842945917409</v>
      </c>
      <c r="C67" s="125">
        <f t="shared" si="4"/>
        <v>84.427816209207336</v>
      </c>
      <c r="D67" s="125">
        <f t="shared" si="4"/>
        <v>89.115854363740596</v>
      </c>
      <c r="E67" s="125">
        <f t="shared" si="4"/>
        <v>94.282067718810808</v>
      </c>
      <c r="F67" s="125">
        <f t="shared" si="4"/>
        <v>106.28259925793311</v>
      </c>
      <c r="H67" s="121"/>
    </row>
    <row r="68" spans="1:8" ht="13.15">
      <c r="A68" s="144">
        <f t="shared" si="3"/>
        <v>15</v>
      </c>
      <c r="B68" s="125">
        <f t="shared" si="4"/>
        <v>80.166842945917395</v>
      </c>
      <c r="C68" s="125">
        <f t="shared" si="4"/>
        <v>87.066097747110803</v>
      </c>
      <c r="D68" s="125">
        <f t="shared" si="4"/>
        <v>95.146720520026207</v>
      </c>
      <c r="E68" s="125">
        <f t="shared" si="4"/>
        <v>104.64341410506384</v>
      </c>
      <c r="F68" s="125">
        <f t="shared" si="4"/>
        <v>129.0645653930674</v>
      </c>
      <c r="H68" s="121"/>
    </row>
    <row r="69" spans="1:8" ht="13.15">
      <c r="A69" s="145">
        <f t="shared" si="3"/>
        <v>20</v>
      </c>
      <c r="B69" s="125">
        <f t="shared" si="4"/>
        <v>80.166842945917395</v>
      </c>
      <c r="C69" s="125">
        <f t="shared" si="4"/>
        <v>89.754083539505032</v>
      </c>
      <c r="D69" s="125">
        <f t="shared" si="4"/>
        <v>101.63789889785048</v>
      </c>
      <c r="E69" s="125">
        <f t="shared" si="4"/>
        <v>116.46289397224409</v>
      </c>
      <c r="F69" s="125">
        <f t="shared" si="4"/>
        <v>158.49860245827549</v>
      </c>
      <c r="H69" s="121"/>
    </row>
    <row r="70" spans="1:8" ht="13.15">
      <c r="A70" s="145">
        <f t="shared" si="3"/>
        <v>25</v>
      </c>
      <c r="B70" s="125">
        <f t="shared" si="4"/>
        <v>80.166842945917395</v>
      </c>
      <c r="C70" s="125">
        <f t="shared" si="4"/>
        <v>92.254059482789131</v>
      </c>
      <c r="D70" s="125">
        <f t="shared" si="4"/>
        <v>108.03193042523188</v>
      </c>
      <c r="E70" s="125">
        <f t="shared" si="4"/>
        <v>128.84934950297074</v>
      </c>
      <c r="F70" s="125">
        <f t="shared" si="4"/>
        <v>193.79831105809734</v>
      </c>
    </row>
    <row r="71" spans="1:8" ht="13.15">
      <c r="A71" s="145">
        <f t="shared" si="3"/>
        <v>30</v>
      </c>
      <c r="B71" s="125">
        <f t="shared" si="4"/>
        <v>80.166842945917395</v>
      </c>
      <c r="C71" s="125">
        <f t="shared" si="4"/>
        <v>94.459386031867808</v>
      </c>
      <c r="D71" s="125">
        <f t="shared" si="4"/>
        <v>114.01999761596859</v>
      </c>
      <c r="E71" s="125">
        <f t="shared" si="4"/>
        <v>141.23423095765304</v>
      </c>
      <c r="F71" s="125">
        <f t="shared" si="4"/>
        <v>234.55708098667691</v>
      </c>
    </row>
    <row r="73" spans="1:8" ht="13.15">
      <c r="B73" s="172" t="s">
        <v>118</v>
      </c>
      <c r="C73" s="172" t="s">
        <v>133</v>
      </c>
      <c r="D73" s="172" t="s">
        <v>113</v>
      </c>
      <c r="E73" s="173" t="s">
        <v>114</v>
      </c>
      <c r="F73" s="173" t="s">
        <v>120</v>
      </c>
    </row>
    <row r="74" spans="1:8">
      <c r="B74" s="128" t="str">
        <f>Scenarios!B54</f>
        <v>Snowball Scenario</v>
      </c>
      <c r="C74" s="143">
        <f>Scenarios!C56</f>
        <v>0.1</v>
      </c>
      <c r="D74" s="146">
        <f>Scenarios!C55</f>
        <v>15</v>
      </c>
      <c r="E74" s="136">
        <f>INDEX(B$65:F$71, MATCH(D74, A$65:A$71, 0), MATCH(C74, B$64:F$64, 0))</f>
        <v>129.0645653930674</v>
      </c>
      <c r="F74" s="143">
        <f>Scenarios!C58</f>
        <v>0.05</v>
      </c>
    </row>
    <row r="75" spans="1:8">
      <c r="B75" s="128" t="str">
        <f>Scenarios!B36</f>
        <v>Optimistic</v>
      </c>
      <c r="C75" s="143">
        <f>Scenarios!C38</f>
        <v>0.06</v>
      </c>
      <c r="D75" s="146">
        <f>Scenarios!C37</f>
        <v>10</v>
      </c>
      <c r="E75" s="136">
        <f>INDEX(B$65:F$71, MATCH(D75, A$65:A$71, 0), MATCH(C75, B$64:F$64, 0))</f>
        <v>94.282067718810808</v>
      </c>
      <c r="F75" s="143">
        <f>Scenarios!C40*(1-F$74-F$78)</f>
        <v>0.18</v>
      </c>
      <c r="H75" s="121"/>
    </row>
    <row r="76" spans="1:8">
      <c r="B76" s="128" t="str">
        <f>Scenarios!B24</f>
        <v>Base</v>
      </c>
      <c r="C76" s="143">
        <f>Scenarios!C26</f>
        <v>0.04</v>
      </c>
      <c r="D76" s="146">
        <f>Scenarios!C25</f>
        <v>10</v>
      </c>
      <c r="E76" s="136">
        <f>INDEX(B$65:F$71, MATCH(D76, A$65:A$71, 0), MATCH(C76, B$64:F$64, 0))</f>
        <v>89.115854363740596</v>
      </c>
      <c r="F76" s="143">
        <f>Scenarios!C28*(1-F$74-F$78)</f>
        <v>0.53999999999999992</v>
      </c>
      <c r="H76" s="121"/>
    </row>
    <row r="77" spans="1:8">
      <c r="B77" s="128" t="str">
        <f>Scenarios!B30</f>
        <v>Pessimistic</v>
      </c>
      <c r="C77" s="143">
        <f>Scenarios!C32</f>
        <v>0.02</v>
      </c>
      <c r="D77" s="146">
        <f>Scenarios!C31</f>
        <v>10</v>
      </c>
      <c r="E77" s="136">
        <f>INDEX(B$65:F$71, MATCH(D77, A$65:A$71, 0), MATCH(C77, B$64:F$64, 0))</f>
        <v>84.427816209207336</v>
      </c>
      <c r="F77" s="143">
        <f>Scenarios!C34*(1-F$74-F$78)</f>
        <v>0.18</v>
      </c>
      <c r="H77" s="121"/>
    </row>
    <row r="78" spans="1:8">
      <c r="B78" s="128" t="str">
        <f>Scenarios!B48</f>
        <v>Devil's advocate</v>
      </c>
      <c r="C78" s="143">
        <f>Scenarios!C50</f>
        <v>0</v>
      </c>
      <c r="D78" s="146">
        <f>Scenarios!C49</f>
        <v>15</v>
      </c>
      <c r="E78" s="136">
        <f>INDEX(B$65:F$71, MATCH(D78, A$65:A$71, 0), MATCH(C78, B$64:F$64, 0))</f>
        <v>80.166842945917395</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topLeftCell="A38" zoomScale="75" zoomScaleNormal="100" workbookViewId="0">
      <selection activeCell="E69" sqref="E69"/>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-69.099999999999994</v>
      </c>
    </row>
    <row r="4" spans="2:9">
      <c r="B4" s="153" t="s">
        <v>147</v>
      </c>
      <c r="C4" s="121">
        <v>3</v>
      </c>
      <c r="D4" s="121"/>
      <c r="E4" s="156" t="s">
        <v>151</v>
      </c>
      <c r="F4" s="156"/>
      <c r="H4" s="276">
        <v>1</v>
      </c>
      <c r="I4" s="264">
        <f t="shared" ref="I4:I13" si="0">IF(ROW()-3 &lt; $C$76, $C$77, IF(ROW()-3 = $C$76, $C$77 + $C$60, ""))</f>
        <v>4.6470000000000002</v>
      </c>
    </row>
    <row r="5" spans="2:9">
      <c r="H5" s="276">
        <v>2</v>
      </c>
      <c r="I5" s="264">
        <f t="shared" si="0"/>
        <v>4.6470000000000002</v>
      </c>
    </row>
    <row r="6" spans="2:9" ht="13.15">
      <c r="B6" s="160" t="s">
        <v>96</v>
      </c>
      <c r="C6" s="107">
        <f>Valuation_Model!C3</f>
        <v>1</v>
      </c>
      <c r="E6" s="100" t="s">
        <v>282</v>
      </c>
      <c r="F6" s="100"/>
      <c r="H6" s="276">
        <v>3</v>
      </c>
      <c r="I6" s="264">
        <f t="shared" si="0"/>
        <v>95.39891088041243</v>
      </c>
    </row>
    <row r="7" spans="2:9" ht="12.75" customHeight="1">
      <c r="B7" s="100" t="s">
        <v>276</v>
      </c>
      <c r="C7" s="115">
        <f>Normalized_FCF!G8</f>
        <v>8753226430</v>
      </c>
      <c r="D7" t="str">
        <f>Reporting_currency</f>
        <v>CNY</v>
      </c>
      <c r="E7" s="35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洋河股份(002304.SZ). Each scenario should include the Compound Growth Rate, the Probability Assessment, and the Business Narrative.</v>
      </c>
      <c r="F7" s="350"/>
      <c r="H7" s="276">
        <v>4</v>
      </c>
      <c r="I7" s="264" t="str">
        <f t="shared" si="0"/>
        <v/>
      </c>
    </row>
    <row r="8" spans="2:9">
      <c r="B8" s="100" t="s">
        <v>66</v>
      </c>
      <c r="C8" s="115">
        <f>Normalized_FCF!G19</f>
        <v>7094251918.3469982</v>
      </c>
      <c r="D8" t="str">
        <f>Reporting_currency</f>
        <v>CNY</v>
      </c>
      <c r="E8" s="350"/>
      <c r="F8" s="350"/>
      <c r="H8" s="276">
        <v>5</v>
      </c>
      <c r="I8" s="264" t="str">
        <f t="shared" si="0"/>
        <v/>
      </c>
    </row>
    <row r="9" spans="2:9">
      <c r="B9" s="100" t="s">
        <v>57</v>
      </c>
      <c r="C9" s="201">
        <f>Normalized_FCF!C19</f>
        <v>7956899143.5103006</v>
      </c>
      <c r="D9" t="str">
        <f>Reporting_currency</f>
        <v>CNY</v>
      </c>
      <c r="E9" s="350"/>
      <c r="F9" s="350"/>
      <c r="H9" s="276">
        <v>6</v>
      </c>
      <c r="I9" s="264" t="str">
        <f t="shared" si="0"/>
        <v/>
      </c>
    </row>
    <row r="10" spans="2:9">
      <c r="E10" s="350"/>
      <c r="F10" s="350"/>
      <c r="H10" s="276">
        <v>7</v>
      </c>
      <c r="I10" s="264" t="str">
        <f t="shared" si="0"/>
        <v/>
      </c>
    </row>
    <row r="11" spans="2:9" ht="13.15">
      <c r="B11" s="160" t="s">
        <v>279</v>
      </c>
      <c r="E11" s="350"/>
      <c r="F11" s="350"/>
      <c r="H11" s="276">
        <v>8</v>
      </c>
      <c r="I11" s="264" t="str">
        <f t="shared" si="0"/>
        <v/>
      </c>
    </row>
    <row r="12" spans="2:9">
      <c r="B12" s="119" t="s">
        <v>145</v>
      </c>
      <c r="C12" s="159">
        <f ca="1">(Normalized_FCF!G4/OFFSET(Normalized_FCF!G4, 0, $C$4))^(1/$C$4) - 1</f>
        <v>4.4367851108990219E-2</v>
      </c>
      <c r="D12" s="159"/>
      <c r="E12" s="350"/>
      <c r="F12" s="350"/>
      <c r="H12" s="276">
        <v>9</v>
      </c>
      <c r="I12" s="264" t="str">
        <f t="shared" si="0"/>
        <v/>
      </c>
    </row>
    <row r="13" spans="2:9">
      <c r="B13" s="149" t="s">
        <v>153</v>
      </c>
      <c r="C13" s="159">
        <f ca="1">(Normalized_FCF!G8/OFFSET(Normalized_FCF!G8, 0, $C$4))^(1/$C$4) - 1</f>
        <v>-2.0482342685147259E-2</v>
      </c>
      <c r="E13" s="350"/>
      <c r="F13" s="350"/>
      <c r="H13" s="276">
        <v>10</v>
      </c>
      <c r="I13" s="264" t="str">
        <f t="shared" si="0"/>
        <v/>
      </c>
    </row>
    <row r="14" spans="2:9">
      <c r="B14" s="100" t="s">
        <v>66</v>
      </c>
      <c r="C14" s="159">
        <f ca="1">(Normalized_FCF!G19/OFFSET(Normalized_FCF!G19, 0, $C$4))^(1/$C$4) - 1</f>
        <v>-2.7775471405087737E-2</v>
      </c>
      <c r="E14" s="350"/>
      <c r="F14" s="350"/>
    </row>
    <row r="16" spans="2:9" ht="13.9">
      <c r="B16" s="36" t="s">
        <v>163</v>
      </c>
      <c r="C16" s="37"/>
      <c r="D16" s="37"/>
      <c r="E16" s="37"/>
      <c r="F16" s="37"/>
    </row>
    <row r="17" spans="2:6" ht="13.15">
      <c r="B17" s="109" t="s">
        <v>152</v>
      </c>
      <c r="E17" s="160" t="s">
        <v>338</v>
      </c>
    </row>
    <row r="18" spans="2:6">
      <c r="B18" s="153" t="s">
        <v>134</v>
      </c>
      <c r="C18" s="151">
        <v>10</v>
      </c>
      <c r="E18" s="350" t="s">
        <v>339</v>
      </c>
      <c r="F18" s="351"/>
    </row>
    <row r="19" spans="2:6">
      <c r="E19" s="351"/>
      <c r="F19" s="351"/>
    </row>
    <row r="20" spans="2:6" ht="13.15">
      <c r="B20" s="160" t="s">
        <v>310</v>
      </c>
      <c r="E20" s="351"/>
      <c r="F20" s="351"/>
    </row>
    <row r="21" spans="2:6">
      <c r="B21" s="100" t="s">
        <v>280</v>
      </c>
      <c r="C21" s="161">
        <f>Market_Price</f>
        <v>69.099999999999994</v>
      </c>
      <c r="D21" t="str">
        <f>Market_currency</f>
        <v>CNY</v>
      </c>
      <c r="E21" s="351"/>
      <c r="F21" s="351"/>
    </row>
    <row r="22" spans="2:6">
      <c r="B22" s="100" t="s">
        <v>281</v>
      </c>
      <c r="C22" s="161">
        <f>Valuation_Model!C12</f>
        <v>80.166842945917438</v>
      </c>
      <c r="D22" t="str">
        <f>Market_currency</f>
        <v>CNY</v>
      </c>
      <c r="E22" s="351"/>
      <c r="F22" s="351"/>
    </row>
    <row r="24" spans="2:6" ht="13.15">
      <c r="B24" s="160" t="s">
        <v>116</v>
      </c>
      <c r="E24" s="160" t="s">
        <v>150</v>
      </c>
      <c r="F24" s="160"/>
    </row>
    <row r="25" spans="2:6">
      <c r="B25" s="153" t="s">
        <v>134</v>
      </c>
      <c r="C25" s="167">
        <f>C18</f>
        <v>10</v>
      </c>
      <c r="D25" s="164"/>
      <c r="E25" s="349"/>
      <c r="F25" s="349"/>
    </row>
    <row r="26" spans="2:6">
      <c r="B26" s="119" t="s">
        <v>135</v>
      </c>
      <c r="C26" s="165">
        <v>0.04</v>
      </c>
      <c r="D26" s="165"/>
      <c r="E26" s="349"/>
      <c r="F26" s="349"/>
    </row>
    <row r="27" spans="2:6">
      <c r="B27" s="100" t="s">
        <v>114</v>
      </c>
      <c r="C27" s="161">
        <f>Valuation_Model!E76</f>
        <v>89.115854363740596</v>
      </c>
      <c r="D27" s="161" t="str">
        <f>Market_currency</f>
        <v>CNY</v>
      </c>
      <c r="E27" s="349"/>
      <c r="F27" s="349"/>
    </row>
    <row r="28" spans="2:6">
      <c r="B28" s="100" t="s">
        <v>148</v>
      </c>
      <c r="C28" s="166">
        <v>0.6</v>
      </c>
      <c r="D28" s="166"/>
      <c r="E28" s="349"/>
      <c r="F28" s="349"/>
    </row>
    <row r="30" spans="2:6" ht="13.15">
      <c r="B30" s="160" t="s">
        <v>117</v>
      </c>
      <c r="E30" s="160" t="s">
        <v>150</v>
      </c>
      <c r="F30" s="160"/>
    </row>
    <row r="31" spans="2:6">
      <c r="B31" s="153" t="s">
        <v>134</v>
      </c>
      <c r="C31" s="167">
        <f>C18</f>
        <v>10</v>
      </c>
      <c r="D31" s="164"/>
      <c r="E31" s="349"/>
      <c r="F31" s="349"/>
    </row>
    <row r="32" spans="2:6">
      <c r="B32" s="119" t="s">
        <v>135</v>
      </c>
      <c r="C32" s="165">
        <v>0.02</v>
      </c>
      <c r="D32" s="165"/>
      <c r="E32" s="349"/>
      <c r="F32" s="349"/>
    </row>
    <row r="33" spans="2:6">
      <c r="B33" s="100" t="s">
        <v>114</v>
      </c>
      <c r="C33" s="161">
        <f>Valuation_Model!E77</f>
        <v>84.427816209207336</v>
      </c>
      <c r="D33" t="str">
        <f>Market_currency</f>
        <v>CNY</v>
      </c>
      <c r="E33" s="349"/>
      <c r="F33" s="349"/>
    </row>
    <row r="34" spans="2:6">
      <c r="B34" s="100" t="s">
        <v>148</v>
      </c>
      <c r="C34" s="166">
        <v>0.2</v>
      </c>
      <c r="D34" s="166"/>
      <c r="E34" s="349"/>
      <c r="F34" s="349"/>
    </row>
    <row r="36" spans="2:6" ht="13.15">
      <c r="B36" s="160" t="s">
        <v>115</v>
      </c>
      <c r="E36" s="160" t="s">
        <v>150</v>
      </c>
      <c r="F36" s="160"/>
    </row>
    <row r="37" spans="2:6">
      <c r="B37" s="153" t="s">
        <v>134</v>
      </c>
      <c r="C37" s="167">
        <f>C18</f>
        <v>10</v>
      </c>
      <c r="D37" s="164"/>
      <c r="E37" s="349"/>
      <c r="F37" s="349"/>
    </row>
    <row r="38" spans="2:6">
      <c r="B38" s="119" t="s">
        <v>135</v>
      </c>
      <c r="C38" s="165">
        <v>0.06</v>
      </c>
      <c r="D38" s="165"/>
      <c r="E38" s="349"/>
      <c r="F38" s="349"/>
    </row>
    <row r="39" spans="2:6">
      <c r="B39" s="100" t="s">
        <v>114</v>
      </c>
      <c r="C39" s="161">
        <f>Valuation_Model!E75</f>
        <v>94.282067718810808</v>
      </c>
      <c r="D39" t="str">
        <f>Market_currency</f>
        <v>CNY</v>
      </c>
      <c r="E39" s="349"/>
      <c r="F39" s="349"/>
    </row>
    <row r="40" spans="2:6">
      <c r="B40" s="100" t="s">
        <v>148</v>
      </c>
      <c r="C40" s="168">
        <f>1-C28-C34</f>
        <v>0.2</v>
      </c>
      <c r="D40" s="166"/>
      <c r="E40" s="349"/>
      <c r="F40" s="349"/>
    </row>
    <row r="42" spans="2:6" ht="13.15">
      <c r="B42" s="100" t="s">
        <v>121</v>
      </c>
      <c r="C42" s="155">
        <f>C27*C28+C33*C34+C39*C40</f>
        <v>89.211489403847992</v>
      </c>
      <c r="D42" t="str">
        <f>Market_currency</f>
        <v>CNY</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49"/>
      <c r="F49" s="349"/>
    </row>
    <row r="50" spans="2:6">
      <c r="B50" s="119" t="s">
        <v>135</v>
      </c>
      <c r="C50" s="165">
        <v>0</v>
      </c>
      <c r="D50" s="165"/>
      <c r="E50" s="349"/>
      <c r="F50" s="349"/>
    </row>
    <row r="51" spans="2:6">
      <c r="B51" s="100" t="s">
        <v>114</v>
      </c>
      <c r="C51" s="161">
        <f>Valuation_Model!E78</f>
        <v>80.166842945917395</v>
      </c>
      <c r="D51" t="str">
        <f>Market_currency</f>
        <v>CNY</v>
      </c>
      <c r="E51" s="349"/>
      <c r="F51" s="349"/>
    </row>
    <row r="52" spans="2:6">
      <c r="B52" s="100" t="s">
        <v>148</v>
      </c>
      <c r="C52" s="166">
        <v>0.05</v>
      </c>
      <c r="D52" s="166"/>
      <c r="E52" s="349"/>
      <c r="F52" s="349"/>
    </row>
    <row r="54" spans="2:6" ht="13.15">
      <c r="B54" s="160" t="s">
        <v>324</v>
      </c>
      <c r="E54" s="160" t="s">
        <v>150</v>
      </c>
      <c r="F54" s="160"/>
    </row>
    <row r="55" spans="2:6">
      <c r="B55" s="153" t="s">
        <v>134</v>
      </c>
      <c r="C55" s="167">
        <f>C46</f>
        <v>15</v>
      </c>
      <c r="D55" s="164"/>
      <c r="E55" s="349"/>
      <c r="F55" s="349"/>
    </row>
    <row r="56" spans="2:6">
      <c r="B56" s="119" t="s">
        <v>135</v>
      </c>
      <c r="C56" s="165">
        <v>0.1</v>
      </c>
      <c r="D56" s="165"/>
      <c r="E56" s="349"/>
      <c r="F56" s="349"/>
    </row>
    <row r="57" spans="2:6">
      <c r="B57" s="100" t="s">
        <v>114</v>
      </c>
      <c r="C57" s="161">
        <f>Valuation_Model!E74</f>
        <v>129.0645653930674</v>
      </c>
      <c r="D57" t="str">
        <f>Market_currency</f>
        <v>CNY</v>
      </c>
      <c r="E57" s="349"/>
      <c r="F57" s="349"/>
    </row>
    <row r="58" spans="2:6">
      <c r="B58" s="100" t="s">
        <v>148</v>
      </c>
      <c r="C58" s="166">
        <v>0.05</v>
      </c>
      <c r="D58" s="166"/>
      <c r="E58" s="349"/>
      <c r="F58" s="349"/>
    </row>
    <row r="60" spans="2:6" ht="13.15">
      <c r="B60" s="100" t="s">
        <v>121</v>
      </c>
      <c r="C60" s="155">
        <f>C51*C52+C57*C58+C42*(1-C52-C58)</f>
        <v>90.751910880412424</v>
      </c>
      <c r="D60" t="str">
        <f>Market_currency</f>
        <v>CNY</v>
      </c>
      <c r="E60" s="100" t="s">
        <v>303</v>
      </c>
      <c r="F60" s="312">
        <f>Thesis!E20</f>
        <v>3</v>
      </c>
    </row>
    <row r="62" spans="2:6" ht="13.9">
      <c r="B62" s="36" t="s">
        <v>358</v>
      </c>
      <c r="C62" s="37"/>
      <c r="D62" s="37"/>
      <c r="E62" s="37"/>
      <c r="F62" s="37"/>
    </row>
    <row r="63" spans="2:6" ht="13.15">
      <c r="B63" s="109" t="s">
        <v>311</v>
      </c>
      <c r="E63" s="282" t="s">
        <v>319</v>
      </c>
    </row>
    <row r="64" spans="2:6">
      <c r="B64" s="153" t="s">
        <v>134</v>
      </c>
      <c r="C64" s="167">
        <f>C18</f>
        <v>10</v>
      </c>
      <c r="D64" s="151"/>
      <c r="E64" s="281" t="s">
        <v>405</v>
      </c>
    </row>
    <row r="65" spans="2:6">
      <c r="B65" s="119" t="s">
        <v>135</v>
      </c>
      <c r="C65" s="152">
        <v>4.6574870890079501E-2</v>
      </c>
      <c r="D65" s="152"/>
      <c r="E65" s="281" t="s">
        <v>320</v>
      </c>
    </row>
    <row r="66" spans="2:6">
      <c r="B66" s="100" t="s">
        <v>103</v>
      </c>
      <c r="C66" s="161">
        <f>Valuation_Model!C18</f>
        <v>90.758798783650263</v>
      </c>
      <c r="D66" s="161" t="str">
        <f>Market_currency</f>
        <v>CNY</v>
      </c>
      <c r="E66" s="281" t="s">
        <v>321</v>
      </c>
    </row>
    <row r="68" spans="2:6" ht="13.15">
      <c r="B68" s="109" t="s">
        <v>359</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N</v>
      </c>
      <c r="E72" s="135" t="s">
        <v>355</v>
      </c>
      <c r="F72" s="329">
        <f>BS!D89/C60</f>
        <v>0.15610494636020344</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4.6470000000000002</v>
      </c>
      <c r="D77" t="str">
        <f>Market_currency</f>
        <v>CNY</v>
      </c>
    </row>
    <row r="79" spans="2:6" ht="13.15">
      <c r="B79" s="109" t="s">
        <v>308</v>
      </c>
    </row>
    <row r="80" spans="2:6">
      <c r="B80" s="149" t="s">
        <v>306</v>
      </c>
      <c r="C80" s="168">
        <f>Thesis!C127</f>
        <v>0.3</v>
      </c>
    </row>
    <row r="81" spans="2:8">
      <c r="B81" s="100" t="s">
        <v>122</v>
      </c>
      <c r="C81" s="117">
        <f>PV(C80, C76, -C77, 0)</f>
        <v>8.4394765589440173</v>
      </c>
      <c r="D81" s="117"/>
      <c r="E81" s="100"/>
      <c r="F81" s="100"/>
    </row>
    <row r="82" spans="2:8">
      <c r="B82" s="100" t="s">
        <v>123</v>
      </c>
      <c r="C82" s="117">
        <f>C60/(1+C80)^C76</f>
        <v>41.307196577338374</v>
      </c>
      <c r="D82" s="117"/>
    </row>
    <row r="83" spans="2:8" ht="13.15">
      <c r="B83" s="111" t="s">
        <v>102</v>
      </c>
      <c r="C83" s="112">
        <f>C81+C82</f>
        <v>49.746673136282389</v>
      </c>
      <c r="D83" t="str">
        <f>Market_currency</f>
        <v>CNY</v>
      </c>
      <c r="E83" s="147" t="s">
        <v>127</v>
      </c>
      <c r="F83" s="329">
        <f>(1-C83/C60)</f>
        <v>0.45183883563801042</v>
      </c>
    </row>
    <row r="84" spans="2:8">
      <c r="E84" s="121"/>
    </row>
    <row r="85" spans="2:8" ht="13.15">
      <c r="B85" s="109" t="s">
        <v>309</v>
      </c>
    </row>
    <row r="86" spans="2:8">
      <c r="B86" s="149" t="s">
        <v>307</v>
      </c>
      <c r="C86" s="266">
        <f>Market_Price</f>
        <v>69.099999999999994</v>
      </c>
      <c r="D86" t="str">
        <f>Market_currency</f>
        <v>CNY</v>
      </c>
    </row>
    <row r="87" spans="2:8" ht="13.15">
      <c r="B87" s="100" t="s">
        <v>305</v>
      </c>
      <c r="C87" s="265">
        <f ca="1">IRR(OFFSET($I$3, 0, 0, $C$76 + 1, 1))</f>
        <v>0.15689676518236584</v>
      </c>
    </row>
    <row r="88" spans="2:8">
      <c r="B88" s="100"/>
    </row>
    <row r="89" spans="2:8" ht="13.15">
      <c r="B89" s="109" t="s">
        <v>424</v>
      </c>
    </row>
    <row r="90" spans="2:8">
      <c r="B90" s="149" t="s">
        <v>425</v>
      </c>
      <c r="C90" s="168">
        <f>Thesis!E19</f>
        <v>0.2</v>
      </c>
    </row>
    <row r="91" spans="2:8">
      <c r="B91" s="100" t="s">
        <v>122</v>
      </c>
      <c r="C91" s="117">
        <f>PV(C90, C76, -C77, 0)</f>
        <v>9.7888194444444441</v>
      </c>
      <c r="D91" s="117"/>
      <c r="E91" s="100"/>
      <c r="F91" s="100"/>
    </row>
    <row r="92" spans="2:8">
      <c r="B92" s="100" t="s">
        <v>123</v>
      </c>
      <c r="C92" s="117">
        <f>C60/(1+C90)^C76</f>
        <v>52.518466944683119</v>
      </c>
      <c r="D92" s="117"/>
    </row>
    <row r="93" spans="2:8" ht="13.15">
      <c r="B93" s="111" t="s">
        <v>102</v>
      </c>
      <c r="C93" s="112">
        <f>C91+C92</f>
        <v>62.307286389127562</v>
      </c>
      <c r="D93" t="str">
        <f>Market_currency</f>
        <v>CNY</v>
      </c>
      <c r="E93" s="147" t="s">
        <v>127</v>
      </c>
      <c r="F93" s="329">
        <f>(1-C93/C60)</f>
        <v>0.31343278852571521</v>
      </c>
    </row>
    <row r="95" spans="2:8" ht="13.15">
      <c r="B95" s="109" t="s">
        <v>407</v>
      </c>
      <c r="G95" s="2"/>
      <c r="H95" s="316"/>
    </row>
    <row r="96" spans="2:8">
      <c r="B96" s="149" t="s">
        <v>413</v>
      </c>
      <c r="C96" s="135">
        <f>Thesis!C67</f>
        <v>0.08</v>
      </c>
      <c r="G96" s="2"/>
      <c r="H96" s="316"/>
    </row>
    <row r="97" spans="2:8">
      <c r="B97" s="100" t="s">
        <v>122</v>
      </c>
      <c r="C97" s="117">
        <f>PV(C96, C76, -C77, 0)</f>
        <v>11.9757696997409</v>
      </c>
      <c r="D97" s="117"/>
      <c r="G97" s="2"/>
      <c r="H97" s="316"/>
    </row>
    <row r="98" spans="2:8">
      <c r="B98" s="100" t="s">
        <v>123</v>
      </c>
      <c r="C98" s="117">
        <f>C60/(1+C96)^C76</f>
        <v>72.041792791060502</v>
      </c>
      <c r="D98" s="117"/>
      <c r="G98" s="2"/>
      <c r="H98" s="316"/>
    </row>
    <row r="99" spans="2:8" ht="13.15">
      <c r="B99" s="111" t="s">
        <v>408</v>
      </c>
      <c r="C99" s="112">
        <f>C97+C98</f>
        <v>84.017562490801396</v>
      </c>
      <c r="D99" t="s">
        <v>406</v>
      </c>
      <c r="E99" s="147" t="s">
        <v>127</v>
      </c>
      <c r="F99" s="329">
        <f>(1-C99/C60)</f>
        <v>7.4206133229361537E-2</v>
      </c>
    </row>
    <row r="100" spans="2:8">
      <c r="B100" s="100"/>
    </row>
    <row r="101" spans="2:8" ht="14.65">
      <c r="E101" s="320" t="s">
        <v>333</v>
      </c>
      <c r="F101" s="317"/>
    </row>
    <row r="102" spans="2:8" ht="13.9">
      <c r="E102" s="313" t="s">
        <v>334</v>
      </c>
      <c r="F102" s="318" t="s">
        <v>335</v>
      </c>
    </row>
    <row r="103" spans="2:8" ht="13.9">
      <c r="E103" s="314" t="s">
        <v>334</v>
      </c>
      <c r="F103" s="318" t="s">
        <v>336</v>
      </c>
    </row>
    <row r="104" spans="2:8" ht="13.9">
      <c r="E104" s="315" t="s">
        <v>334</v>
      </c>
      <c r="F104" s="319" t="s">
        <v>337</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2025-05-07T10:17:25Z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