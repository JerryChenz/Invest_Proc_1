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223ECAC-36E1-44CC-A02B-C6473E28C6A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70" i="8"/>
  <c r="E66" i="8"/>
  <c r="D71" i="8"/>
  <c r="D70" i="8"/>
  <c r="D68" i="8"/>
  <c r="C68" i="8"/>
  <c r="F70" i="8"/>
  <c r="E67" i="8"/>
  <c r="B70" i="8"/>
  <c r="C66" i="8"/>
  <c r="E70" i="8"/>
  <c r="F71" i="8"/>
  <c r="E69" i="8"/>
  <c r="C69" i="8"/>
  <c r="B68" i="8"/>
  <c r="B67" i="8"/>
  <c r="D66" i="8"/>
  <c r="B66" i="8"/>
  <c r="G54" i="2"/>
  <c r="C67" i="8" l="1"/>
  <c r="F69"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<sst xmlns="http://schemas.openxmlformats.org/spreadsheetml/2006/main" count="626" uniqueCount="439">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</sst>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1506988000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69.47</v>
      </c>
      <c r="D12" s="50"/>
      <c r="E12" s="48"/>
    </row>
    <row r="13" spans="1:10">
      <c r="B13" s="1" t="s">
        <v>426</v>
      </c>
      <c r="C13" s="48" t="s">
        <v>424</v>
      </c>
      <c r="D13" s="48"/>
      <c r="E13" s="5"/>
    </row>
    <row r="14" spans="1:10">
      <c r="B14" s="4" t="s">
        <v>430</v>
      </c>
      <c r="C14" s="35">
        <f>Thesis!C12*Common_Shares/1000000</f>
        <v>104690.45636</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(CNY):</v>
      </c>
      <c r="C25" s="252">
        <f>C139</f>
        <v>40.456571020558471</v>
      </c>
      <c r="D25" s="1" t="s">
        <v>315</v>
      </c>
      <c r="E25" s="330">
        <v>3</v>
      </c>
    </row>
    <row r="26" spans="1:6">
      <c r="B26" s="1" t="s">
        <v>407</v>
      </c>
      <c r="C26" s="280">
        <f ca="1">Scenarios!C87</f>
        <v>0.15471860434131091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v>
      </c>
    </row>
    <row r="34" spans="2:6" ht="24.4" customHeight="1">
      <c r="B34" s="346" t="s">
        <v>232</v>
      </c>
      <c r="C34" s="346"/>
      <c r="D34" s="346"/>
      <c r="E34" s="346"/>
      <c r="F34" s="346"/>
    </row>
    <row r="35" spans="2:6">
      <c r="B35" s="47" t="s">
        <v>233</v>
      </c>
      <c r="C35" s="188">
        <f>Normalized_FCF!C8</f>
        <v>10504024858.984821</v>
      </c>
      <c r="D35" s="1" t="str">
        <f>Reporting_currency</f>
        <v>CNY</v>
      </c>
    </row>
    <row r="36" spans="2:6">
      <c r="B36" s="47"/>
      <c r="C36" s="76"/>
    </row>
    <row r="37" spans="2:6" ht="24.4" customHeight="1">
      <c r="B37" s="346" t="s">
        <v>234</v>
      </c>
      <c r="C37" s="346"/>
      <c r="D37" s="346"/>
      <c r="E37" s="346"/>
      <c r="F37" s="346"/>
    </row>
    <row r="38" spans="2:6">
      <c r="B38" s="47" t="s">
        <v>235</v>
      </c>
      <c r="C38" s="188">
        <f>Normalized_FCF!C9</f>
        <v>697421786</v>
      </c>
      <c r="D38" s="1" t="str">
        <f>Reporting_currency</f>
        <v>CNY</v>
      </c>
    </row>
    <row r="39" spans="2:6">
      <c r="B39" s="52" t="s">
        <v>236</v>
      </c>
      <c r="C39" s="188">
        <f>Normalized_FCF!C10</f>
        <v>-697421786</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123170761.45263389</v>
      </c>
      <c r="D45" s="1" t="str">
        <f>Reporting_currency</f>
        <v>CNY</v>
      </c>
      <c r="E45" s="321"/>
      <c r="F45" s="321"/>
    </row>
    <row r="46" spans="2:6">
      <c r="B46" s="47" t="s">
        <v>349</v>
      </c>
      <c r="C46" s="322">
        <f>Normalized_FCF!C47</f>
        <v>-2955080</v>
      </c>
      <c r="D46" s="1" t="str">
        <f>Reporting_currency</f>
        <v>CNY</v>
      </c>
      <c r="E46" s="321"/>
      <c r="F46" s="321"/>
    </row>
    <row r="47" spans="2:6">
      <c r="B47" s="47" t="s">
        <v>239</v>
      </c>
      <c r="C47" s="188">
        <f>Normalized_FCF!C12</f>
        <v>120215681.45263389</v>
      </c>
      <c r="D47" s="1" t="str">
        <f>Reporting_currency</f>
        <v>CNY</v>
      </c>
    </row>
    <row r="49" spans="2:6">
      <c r="B49" s="1" t="s">
        <v>247</v>
      </c>
    </row>
    <row r="50" spans="2:6">
      <c r="B50" s="47" t="s">
        <v>266</v>
      </c>
      <c r="C50" s="188">
        <f>Normalized_FCF!C15</f>
        <v>-11281261.817791469</v>
      </c>
      <c r="D50" s="1" t="str">
        <f>Reporting_currency</f>
        <v>CNY</v>
      </c>
    </row>
    <row r="52" spans="2:6">
      <c r="B52" s="346" t="s">
        <v>242</v>
      </c>
      <c r="C52" s="346"/>
      <c r="D52" s="346"/>
      <c r="E52" s="346"/>
      <c r="F52" s="346"/>
    </row>
    <row r="53" spans="2:6">
      <c r="B53" s="47" t="s">
        <v>240</v>
      </c>
      <c r="C53" s="188">
        <f>Normalized_FCF!C14</f>
        <v>-2656060135.109364</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7094251918.3469982</v>
      </c>
      <c r="D61" s="1" t="str">
        <f>Reporting_currency</f>
        <v>CNY</v>
      </c>
    </row>
    <row r="62" spans="2:6">
      <c r="B62" s="47" t="s">
        <v>249</v>
      </c>
      <c r="C62" s="188">
        <f>Normalized_FCF!C19</f>
        <v>7956899143.5103006</v>
      </c>
      <c r="D62" s="1" t="str">
        <f>Reporting_currency</f>
        <v>CNY</v>
      </c>
    </row>
    <row r="63" spans="2:6">
      <c r="B63" s="254" t="s">
        <v>398</v>
      </c>
      <c r="C63" s="92">
        <f>Normalized_FCF!C125</f>
        <v>7.6004054430222762E-2</v>
      </c>
    </row>
    <row r="64" spans="2:6">
      <c r="B64" s="254" t="s">
        <v>316</v>
      </c>
      <c r="C64" s="92">
        <f>Normalized_FCF!C93</f>
        <v>6.6892183676407091E-2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66.000020765844681</v>
      </c>
      <c r="D82" s="1" t="str">
        <f>Market_currency</f>
        <v>CNY</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40134989.460000001</v>
      </c>
      <c r="D91" s="1" t="str">
        <f>Reporting_currency</f>
        <v>CNY</v>
      </c>
    </row>
    <row r="92" spans="1:6">
      <c r="B92" s="47" t="s">
        <v>285</v>
      </c>
      <c r="C92" s="248">
        <f>C91*scaling_factor*Exchange_Rate/Common_Shares</f>
        <v>2.6632587293329478E-2</v>
      </c>
      <c r="D92" s="1" t="str">
        <f>Market_currency</f>
        <v>CNY</v>
      </c>
    </row>
    <row r="93" spans="1:6">
      <c r="B93" s="336" t="s">
        <v>412</v>
      </c>
      <c r="C93" s="337">
        <f>BS!G30/BS!G27</f>
        <v>0.30279158651211824</v>
      </c>
    </row>
    <row r="94" spans="1:6">
      <c r="B94" s="336" t="s">
        <v>413</v>
      </c>
      <c r="C94" s="337">
        <f>BS!G31/BS!G27</f>
        <v>7.7640983998987034E-4</v>
      </c>
    </row>
    <row r="95" spans="1:6">
      <c r="B95" s="336" t="s">
        <v>415</v>
      </c>
      <c r="C95" s="338">
        <f>BS!C50</f>
        <v>3.8209153156820415E-3</v>
      </c>
    </row>
    <row r="97" spans="1:6">
      <c r="B97" s="1" t="s">
        <v>255</v>
      </c>
    </row>
    <row r="98" spans="1:6">
      <c r="B98" s="47" t="s">
        <v>265</v>
      </c>
      <c r="C98" s="188">
        <f>BS!C66</f>
        <v>21748297978.369999</v>
      </c>
      <c r="D98" s="1" t="str">
        <f>Reporting_currency</f>
        <v>CNY</v>
      </c>
    </row>
    <row r="99" spans="1:6">
      <c r="B99" s="47" t="s">
        <v>267</v>
      </c>
      <c r="C99" s="188">
        <f>Valuation_Model!C8</f>
        <v>17437737876.49247</v>
      </c>
      <c r="D99" s="1" t="str">
        <f>Reporting_currency</f>
        <v>CNY</v>
      </c>
    </row>
    <row r="100" spans="1:6">
      <c r="B100" s="47" t="s">
        <v>286</v>
      </c>
      <c r="C100" s="248">
        <f>C99*scaling_factor*Exchange_Rate/Common_Shares</f>
        <v>11.571251978444732</v>
      </c>
      <c r="D100" s="1" t="str">
        <f>Market_currency</f>
        <v>CNY</v>
      </c>
    </row>
    <row r="102" spans="1:6">
      <c r="B102" s="1" t="s">
        <v>257</v>
      </c>
    </row>
    <row r="103" spans="1:6">
      <c r="B103" s="47" t="s">
        <v>258</v>
      </c>
      <c r="C103" s="188">
        <f>Valuation_Model!C9</f>
        <v>3951628136.4709997</v>
      </c>
      <c r="D103" s="1" t="str">
        <f>Reporting_currency</f>
        <v>CNY</v>
      </c>
    </row>
    <row r="104" spans="1:6">
      <c r="B104" s="47" t="s">
        <v>287</v>
      </c>
      <c r="C104" s="248">
        <f>C103*scaling_factor*Exchange_Rate/Common_Shares</f>
        <v>2.6222027889213448</v>
      </c>
      <c r="D104" s="1" t="str">
        <f>Market_currency</f>
        <v>CNY</v>
      </c>
    </row>
    <row r="106" spans="1:6" ht="24.4" customHeight="1">
      <c r="B106" s="345" t="s">
        <v>374</v>
      </c>
      <c r="C106" s="345"/>
      <c r="D106" s="345"/>
      <c r="E106" s="345"/>
      <c r="F106" s="345"/>
    </row>
    <row r="108" spans="1:6">
      <c r="B108" s="47" t="s">
        <v>283</v>
      </c>
      <c r="C108" s="248">
        <f>Valuation_Model!C12</f>
        <v>80.166842945917438</v>
      </c>
      <c r="D108" s="1" t="str">
        <f>Market_currency</f>
        <v>CNY</v>
      </c>
    </row>
    <row r="109" spans="1:6">
      <c r="B109" s="336" t="s">
        <v>414</v>
      </c>
      <c r="C109" s="248">
        <f>BS!D47</f>
        <v>15.284602440692964</v>
      </c>
      <c r="D109" s="1" t="str">
        <f>Market_currency</f>
        <v>CNY</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129.06 CNY</v>
      </c>
      <c r="F116" s="259">
        <f>Valuation_Model!F74</f>
        <v>0.05</v>
      </c>
    </row>
    <row r="117" spans="1:6">
      <c r="B117" s="242" t="str">
        <f>Valuation_Model!B75</f>
        <v>Optimistic</v>
      </c>
      <c r="C117" s="243">
        <f>Valuation_Model!C75</f>
        <v>0.06</v>
      </c>
      <c r="D117" s="244">
        <f>Valuation_Model!D75</f>
        <v>10</v>
      </c>
      <c r="E117" s="245" t="str">
        <f>ROUND(Valuation_Model!E75,2)&amp;" "&amp;Market_currency</f>
        <v>94.28 CNY</v>
      </c>
      <c r="F117" s="246">
        <f>Valuation_Model!F75</f>
        <v>0.18</v>
      </c>
    </row>
    <row r="118" spans="1:6">
      <c r="B118" s="242" t="str">
        <f>Valuation_Model!B76</f>
        <v>Base</v>
      </c>
      <c r="C118" s="243">
        <f>Valuation_Model!C76</f>
        <v>0.04</v>
      </c>
      <c r="D118" s="244">
        <f>Valuation_Model!D76</f>
        <v>10</v>
      </c>
      <c r="E118" s="245" t="str">
        <f>ROUND(Valuation_Model!E76,2)&amp;" "&amp;Market_currency</f>
        <v>89.12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84.43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80.17 CNY</v>
      </c>
      <c r="F120" s="246">
        <f>Valuation_Model!F78</f>
        <v>0.05</v>
      </c>
    </row>
    <row r="122" spans="1:6">
      <c r="B122" s="235" t="s">
        <v>259</v>
      </c>
      <c r="C122" s="241">
        <f>Scenarios!C60</f>
        <v>90.751910880412424</v>
      </c>
      <c r="D122" s="236" t="str">
        <f>Market_currency</f>
        <v>CNY</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4.6470000000000002</v>
      </c>
      <c r="D133" s="236" t="str">
        <f>Market_currency</f>
        <v>CNY</v>
      </c>
    </row>
    <row r="135" spans="2:6">
      <c r="B135" s="234" t="s">
        <v>418</v>
      </c>
      <c r="C135" s="270" t="str">
        <f>C11</f>
        <v>002304.SZ</v>
      </c>
      <c r="D135" s="270" t="str">
        <f>IF(D11="","",D11)</f>
        <v/>
      </c>
    </row>
    <row r="136" spans="2:6">
      <c r="B136" s="1" t="s">
        <v>416</v>
      </c>
      <c r="C136" s="337">
        <f>C24</f>
        <v>0.4</v>
      </c>
    </row>
    <row r="137" spans="2:6">
      <c r="B137" s="236" t="str">
        <f>"PV("&amp;C131&amp;" yrs of Dividends)"</f>
        <v>PV(3 yrs of Dividends)</v>
      </c>
      <c r="C137" s="240">
        <f>Scenarios!C81</f>
        <v>7.3837172011661796</v>
      </c>
    </row>
    <row r="138" spans="2:6">
      <c r="B138" s="236" t="str">
        <f>"+ PV(Equity Value realized at year "&amp;C131&amp;")"</f>
        <v>+ PV(Equity Value realized at year 3)</v>
      </c>
      <c r="C138" s="240">
        <f>Scenarios!C82</f>
        <v>33.072853819392293</v>
      </c>
    </row>
    <row r="139" spans="2:6">
      <c r="B139" s="80" t="s">
        <v>261</v>
      </c>
      <c r="C139" s="239">
        <f>Scenarios!C83</f>
        <v>40.456571020558471</v>
      </c>
      <c r="D139" s="342" t="str">
        <f>IF($D$11="","",C139*$E$22)</f>
        <v/>
      </c>
    </row>
    <row r="140" spans="2:6">
      <c r="B140" s="290" t="s">
        <v>426</v>
      </c>
      <c r="C140" s="340" t="str">
        <f>Market_currency</f>
        <v>CNY</v>
      </c>
      <c r="D140" s="340" t="str">
        <f>IF($D$11="","",D$13)</f>
        <v/>
      </c>
    </row>
    <row r="141" spans="2:6">
      <c r="B141" s="238" t="s">
        <v>263</v>
      </c>
      <c r="C141" s="92">
        <f>Scenarios!F83</f>
        <v>0.55420695136800169</v>
      </c>
    </row>
    <row r="143" spans="2:6">
      <c r="B143" s="234" t="s">
        <v>421</v>
      </c>
    </row>
    <row r="144" spans="2:6">
      <c r="B144" s="1" t="s">
        <v>420</v>
      </c>
      <c r="C144" s="337">
        <f>Scenarios!C90</f>
        <v>0.2</v>
      </c>
    </row>
    <row r="145" spans="1:6">
      <c r="B145" s="236" t="str">
        <f>"PV("&amp;C131&amp;" yrs of Dividends)"</f>
        <v>PV(3 yrs of Dividends)</v>
      </c>
      <c r="C145" s="240">
        <f>Scenarios!C91</f>
        <v>9.7888194444444441</v>
      </c>
    </row>
    <row r="146" spans="1:6">
      <c r="B146" s="236" t="str">
        <f>"+ PV(Equity Value realized at year "&amp;C131&amp;")"</f>
        <v>+ PV(Equity Value realized at year 3)</v>
      </c>
      <c r="C146" s="240">
        <f>Scenarios!C92</f>
        <v>52.518466944683119</v>
      </c>
    </row>
    <row r="147" spans="1:6">
      <c r="B147" s="80" t="s">
        <v>261</v>
      </c>
      <c r="C147" s="239">
        <f>Scenarios!C93</f>
        <v>62.307286389127562</v>
      </c>
      <c r="D147" s="342" t="str">
        <f>IF($D$11="","",C147*$E$22)</f>
        <v/>
      </c>
    </row>
    <row r="148" spans="1:6">
      <c r="B148" s="290" t="s">
        <v>426</v>
      </c>
      <c r="C148" s="340" t="str">
        <f>Market_currency</f>
        <v>CNY</v>
      </c>
      <c r="D148" s="340" t="str">
        <f>IF($D$11="","",D$13)</f>
        <v/>
      </c>
    </row>
    <row r="149" spans="1:6">
      <c r="B149" s="238" t="s">
        <v>263</v>
      </c>
      <c r="C149" s="92">
        <f>Scenarios!F93</f>
        <v>0.31343278852571521</v>
      </c>
    </row>
    <row r="151" spans="1:6">
      <c r="B151" s="234" t="s">
        <v>408</v>
      </c>
    </row>
    <row r="152" spans="1:6">
      <c r="B152" s="1" t="s">
        <v>419</v>
      </c>
      <c r="C152" s="92">
        <f>Scenarios!C96</f>
        <v>0.08</v>
      </c>
    </row>
    <row r="153" spans="1:6">
      <c r="B153" s="236" t="str">
        <f>"PV("&amp;C131&amp;" yrs of Dividends)"</f>
        <v>PV(3 yrs of Dividends)</v>
      </c>
      <c r="C153" s="240">
        <f>Scenarios!C97</f>
        <v>11.9757696997409</v>
      </c>
    </row>
    <row r="154" spans="1:6">
      <c r="B154" s="236" t="str">
        <f>"+ PV(Equity Value realized at year "&amp;C131&amp;")"</f>
        <v>+ PV(Equity Value realized at year 3)</v>
      </c>
      <c r="C154" s="240">
        <f>Scenarios!C98</f>
        <v>72.041792791060502</v>
      </c>
    </row>
    <row r="155" spans="1:6">
      <c r="B155" s="80" t="s">
        <v>409</v>
      </c>
      <c r="C155" s="239">
        <f>Scenarios!C99</f>
        <v>84.017562490801396</v>
      </c>
      <c r="D155" s="342" t="str">
        <f>IF($D$11="","",C155*$E$22)</f>
        <v/>
      </c>
    </row>
    <row r="156" spans="1:6">
      <c r="B156" s="290" t="s">
        <v>426</v>
      </c>
      <c r="C156" s="340" t="str">
        <f>Market_currency</f>
        <v>CNY</v>
      </c>
      <c r="D156" s="340" t="str">
        <f>IF($D$11="","",D$13)</f>
        <v/>
      </c>
    </row>
    <row r="157" spans="1:6">
      <c r="B157" s="238" t="s">
        <v>263</v>
      </c>
      <c r="C157" s="92">
        <f>Scenarios!F99</f>
        <v>7.4206133229361537E-2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381</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380</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436</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3.0012732378422159E-7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359</v>
      </c>
    </row>
    <row r="74" spans="2:6" ht="15" customHeight="1">
      <c r="B74" s="288" t="s">
        <v>329</v>
      </c>
      <c r="C74" s="289">
        <f>-$C$66/C73</f>
        <v>9.6209966209831155</v>
      </c>
      <c r="D74" s="289">
        <f>-$C$66/D73</f>
        <v>10.090706295405646</v>
      </c>
      <c r="F74" s="283" t="s">
        <v>327</v>
      </c>
    </row>
    <row r="75" spans="2:6" ht="15" customHeight="1">
      <c r="B75" s="80" t="s">
        <v>328</v>
      </c>
      <c r="C75" s="293"/>
      <c r="D75" s="292">
        <f>MAX(-D73*D76,G5)</f>
        <v>4310560101.8775301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-697421786</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10624240540.437456</v>
      </c>
      <c r="E13" s="302"/>
      <c r="G13" s="184">
        <f>IF(G$4="","",SUM(G8:G12))</f>
        <v>9570872710.3469982</v>
      </c>
      <c r="H13" s="184">
        <f t="shared" ref="H13:Q13" si="7">IF(H$4="","",SUM(H8:H12))</f>
        <v>13100670162.603086</v>
      </c>
      <c r="I13" s="184">
        <f t="shared" si="7"/>
        <v>12582894156.052364</v>
      </c>
      <c r="J13" s="184">
        <f t="shared" si="7"/>
        <v>10158559576.410332</v>
      </c>
      <c r="K13" s="184">
        <f t="shared" si="7"/>
        <v>8044081060.4725046</v>
      </c>
      <c r="L13" s="184">
        <f t="shared" si="7"/>
        <v>9381945036.9494953</v>
      </c>
      <c r="M13" s="184">
        <f t="shared" si="7"/>
        <v>10514543051.366621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7956899143.5103006</v>
      </c>
      <c r="D16" s="61"/>
      <c r="E16" s="310"/>
      <c r="F16" s="61"/>
      <c r="G16" s="184">
        <f>IF(G$4="","",SUM(G13:G15))</f>
        <v>7094251918.3469982</v>
      </c>
      <c r="H16" s="184">
        <f t="shared" ref="H16:Q16" si="8">IF(H$4="","",SUM(H13:H15))</f>
        <v>9898767083.6030865</v>
      </c>
      <c r="I16" s="184">
        <f t="shared" si="8"/>
        <v>9457442694.0523643</v>
      </c>
      <c r="J16" s="184">
        <f t="shared" si="8"/>
        <v>7719814855.4103317</v>
      </c>
      <c r="K16" s="184">
        <f t="shared" si="8"/>
        <v>5647407802.4725046</v>
      </c>
      <c r="L16" s="184">
        <f t="shared" si="8"/>
        <v>6993963506.9494953</v>
      </c>
      <c r="M16" s="184">
        <f t="shared" si="8"/>
        <v>7790547057.366621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7956899143.5103006</v>
      </c>
      <c r="D19" s="27"/>
      <c r="E19" s="299"/>
      <c r="F19" s="27"/>
      <c r="G19" s="186">
        <f>IF(G$4="","",G16+G17)</f>
        <v>7094251918.3469982</v>
      </c>
      <c r="H19" s="186">
        <f t="shared" ref="H19:Q19" si="9">IF(H$4="","",H16+H17)</f>
        <v>9898767083.6030865</v>
      </c>
      <c r="I19" s="186">
        <f t="shared" si="9"/>
        <v>9457442694.0523643</v>
      </c>
      <c r="J19" s="186">
        <f t="shared" si="9"/>
        <v>7719814855.4103317</v>
      </c>
      <c r="K19" s="186">
        <f t="shared" si="9"/>
        <v>5647407802.4725046</v>
      </c>
      <c r="L19" s="186">
        <f t="shared" si="9"/>
        <v>6993963506.9494953</v>
      </c>
      <c r="M19" s="186">
        <f t="shared" si="9"/>
        <v>7790547057.366621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341</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341</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341</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341</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353</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350</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343</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344</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2.3750578776664314E-2</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0.36180668135579358</v>
      </c>
      <c r="D81" s="27"/>
      <c r="E81" s="299"/>
      <c r="F81" s="27"/>
      <c r="G81" s="65">
        <f t="shared" ref="G81:Q81" si="32">IF(G$4="","",G13/G$4)</f>
        <v>0.33144390751818564</v>
      </c>
      <c r="H81" s="65">
        <f t="shared" si="32"/>
        <v>0.39547667684780757</v>
      </c>
      <c r="I81" s="65">
        <f t="shared" si="32"/>
        <v>0.41796836228539969</v>
      </c>
      <c r="J81" s="65">
        <f t="shared" si="32"/>
        <v>0.40072931616738749</v>
      </c>
      <c r="K81" s="65">
        <f t="shared" si="32"/>
        <v>0.38121707824656936</v>
      </c>
      <c r="L81" s="65">
        <f t="shared" si="32"/>
        <v>0.4056798224650765</v>
      </c>
      <c r="M81" s="65">
        <f t="shared" si="32"/>
        <v>0.43520816327644829</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0.27097082958907481</v>
      </c>
      <c r="D84" s="27"/>
      <c r="E84" s="299"/>
      <c r="F84" s="27"/>
      <c r="G84" s="65">
        <f t="shared" ref="G84:Q84" si="35">IF(G$4="","",ABS(G16/G$4))</f>
        <v>0.24567734290241794</v>
      </c>
      <c r="H84" s="65">
        <f t="shared" si="35"/>
        <v>0.29881917966981014</v>
      </c>
      <c r="I84" s="65">
        <f t="shared" si="35"/>
        <v>0.31414965310979248</v>
      </c>
      <c r="J84" s="65">
        <f t="shared" si="35"/>
        <v>0.30452704487072296</v>
      </c>
      <c r="K84" s="65">
        <f t="shared" si="35"/>
        <v>0.26763632613107802</v>
      </c>
      <c r="L84" s="65">
        <f t="shared" si="35"/>
        <v>0.30242235087203578</v>
      </c>
      <c r="M84" s="65">
        <f t="shared" si="35"/>
        <v>0.3224590606735484</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0.27097082958907481</v>
      </c>
      <c r="D87" s="75"/>
      <c r="E87" s="299"/>
      <c r="F87" s="75"/>
      <c r="G87" s="65">
        <f t="shared" ref="G87:Q87" si="36">IF(G$4="","",ABS(G19/G$4))</f>
        <v>0.24567734290241794</v>
      </c>
      <c r="H87" s="65">
        <f t="shared" si="36"/>
        <v>0.29881917966981014</v>
      </c>
      <c r="I87" s="65">
        <f t="shared" si="36"/>
        <v>0.31414965310979248</v>
      </c>
      <c r="J87" s="65">
        <f t="shared" si="36"/>
        <v>0.30452704487072296</v>
      </c>
      <c r="K87" s="65">
        <f t="shared" si="36"/>
        <v>0.26763632613107802</v>
      </c>
      <c r="L87" s="65">
        <f t="shared" si="36"/>
        <v>0.30242235087203578</v>
      </c>
      <c r="M87" s="65">
        <f t="shared" si="36"/>
        <v>0.3224590606735484</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0.88011335945004043</v>
      </c>
      <c r="E92" s="302"/>
      <c r="G92" s="171">
        <f t="shared" ref="G92:Q92" si="38">IF(G$4="","",G90/(G19*scaling_factor/Common_Shares))</f>
        <v>0.98713343092441719</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6.6892183676407091E-2</v>
      </c>
      <c r="E93" s="302"/>
      <c r="G93" s="23">
        <f t="shared" ref="G93:Q93" si="39">IF(G$4="","",G90/Market_Price)</f>
        <v>6.6892183676407091E-2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0.11005974710662181</v>
      </c>
      <c r="D97" s="27"/>
      <c r="E97" s="299"/>
      <c r="F97" s="27"/>
      <c r="G97" s="6">
        <f t="shared" ref="G97:Q97" si="41">IF(H5="","",G13/H13-1)</f>
        <v>-0.26943640351561393</v>
      </c>
      <c r="H97" s="6">
        <f t="shared" si="41"/>
        <v>4.1149198278972454E-2</v>
      </c>
      <c r="I97" s="6">
        <f t="shared" si="41"/>
        <v>0.23864944251266618</v>
      </c>
      <c r="J97" s="6">
        <f t="shared" si="41"/>
        <v>0.26286141326050028</v>
      </c>
      <c r="K97" s="6">
        <f t="shared" si="41"/>
        <v>-0.14259985229160888</v>
      </c>
      <c r="L97" s="6">
        <f t="shared" si="41"/>
        <v>-0.10771728346957665</v>
      </c>
      <c r="M97" s="6">
        <f t="shared" si="41"/>
        <v>0.28770604669207467</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400</v>
      </c>
      <c r="C114" s="170"/>
      <c r="E114" s="302"/>
      <c r="G114" s="334">
        <f>IF(G$4="","",Data!C$22/G19)</f>
        <v>0.65245938405842752</v>
      </c>
      <c r="H114" s="334">
        <f>IF(H$4="","",Data!D$22/H19)</f>
        <v>0.61929135378429767</v>
      </c>
      <c r="I114" s="334">
        <f>IF(I$4="","",Data!E$22/I19)</f>
        <v>0.38568818971474528</v>
      </c>
      <c r="J114" s="334">
        <f>IF(J$4="","",Data!F$22/J19)</f>
        <v>1.9842659141319254</v>
      </c>
      <c r="K114" s="334">
        <f>IF(K$4="","",Data!G$22/K19)</f>
        <v>0.70453400483280781</v>
      </c>
      <c r="L114" s="334">
        <f>IF(L$4="","",Data!H$22/L19)</f>
        <v>0.97196559064761057</v>
      </c>
      <c r="M114" s="334">
        <f>IF(M$4="","",Data!I$22/M19)</f>
        <v>1.162530532106353</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0.36180668135579358</v>
      </c>
      <c r="E117" s="302"/>
      <c r="G117" s="23">
        <f t="shared" ref="G117:Q117" si="45">G81</f>
        <v>0.33144390751818564</v>
      </c>
      <c r="H117" s="23">
        <f t="shared" si="45"/>
        <v>0.39547667684780757</v>
      </c>
      <c r="I117" s="23">
        <f t="shared" si="45"/>
        <v>0.41796836228539969</v>
      </c>
      <c r="J117" s="23">
        <f t="shared" si="45"/>
        <v>0.40072931616738749</v>
      </c>
      <c r="K117" s="23">
        <f t="shared" si="45"/>
        <v>0.38121707824656936</v>
      </c>
      <c r="L117" s="23">
        <f t="shared" si="45"/>
        <v>0.4056798224650765</v>
      </c>
      <c r="M117" s="23">
        <f t="shared" si="45"/>
        <v>0.43520816327644829</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5.2800016612675753</v>
      </c>
      <c r="D124" s="27"/>
      <c r="E124" s="299"/>
      <c r="F124" s="27"/>
      <c r="G124" s="178">
        <f t="shared" ref="G124:Q124" si="49">IF(G$4="","",G16*$C$3/Common_Shares*Exchange_Rate)</f>
        <v>4.7075702781621338</v>
      </c>
      <c r="H124" s="178">
        <f t="shared" si="49"/>
        <v>6.5685772438818928</v>
      </c>
      <c r="I124" s="178">
        <f t="shared" si="49"/>
        <v>6.2757252838458992</v>
      </c>
      <c r="J124" s="178">
        <f t="shared" si="49"/>
        <v>5.1226783858997758</v>
      </c>
      <c r="K124" s="178">
        <f t="shared" si="49"/>
        <v>3.7474802735473038</v>
      </c>
      <c r="L124" s="178">
        <f t="shared" si="49"/>
        <v>4.6410213664272675</v>
      </c>
      <c r="M124" s="178">
        <f t="shared" si="49"/>
        <v>5.1696145273662575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7.6004054430222762E-2</v>
      </c>
      <c r="D125" s="27"/>
      <c r="E125" s="299"/>
      <c r="F125" s="27"/>
      <c r="G125" s="77">
        <f t="shared" ref="G125" si="50">IF(G$4="","",G124/Market_Price)</f>
        <v>6.7764074825998763E-2</v>
      </c>
      <c r="H125" s="77">
        <f t="shared" ref="H125" si="51">IF(H$4="","",H124/Market_Price)</f>
        <v>9.4552716912075618E-2</v>
      </c>
      <c r="I125" s="77">
        <f t="shared" ref="I125" si="52">IF(I$4="","",I124/Market_Price)</f>
        <v>9.0337199997781767E-2</v>
      </c>
      <c r="J125" s="77">
        <f t="shared" ref="J125" si="53">IF(J$4="","",J124/Market_Price)</f>
        <v>7.3739432645743133E-2</v>
      </c>
      <c r="K125" s="77">
        <f t="shared" ref="K125" si="54">IF(K$4="","",K124/Market_Price)</f>
        <v>5.3943864596909516E-2</v>
      </c>
      <c r="L125" s="77">
        <f t="shared" ref="L125" si="55">IF(L$4="","",L124/Market_Price)</f>
        <v>6.6806123023280081E-2</v>
      </c>
      <c r="M125" s="77">
        <f t="shared" ref="M125" si="56">IF(M$4="","",M124/Market_Price)</f>
        <v>7.441506445035638E-2</v>
      </c>
      <c r="N125" s="77">
        <f t="shared" ref="N125" si="57">IF(N$4="","",N124/Market_Price)</f>
        <v>5.6702018630879529E-2</v>
      </c>
      <c r="O125" s="77">
        <f t="shared" ref="O125" si="58">IF(O$4="","",O124/Market_Price)</f>
        <v>5.0272871577727835E-2</v>
      </c>
      <c r="P125" s="77">
        <f t="shared" ref="P125" si="59">IF(P$4="","",P124/Market_Price)</f>
        <v>4.3724733458598133E-2</v>
      </c>
      <c r="Q125" s="77" t="str">
        <f t="shared" ref="Q125" si="60">IF(Q$4="","",Q124/Market_Price)</f>
        <v/>
      </c>
    </row>
    <row r="126" spans="1:17" ht="15.75" customHeight="1">
      <c r="B126" s="2" t="s">
        <v>402</v>
      </c>
      <c r="C126" s="170"/>
      <c r="G126" s="23">
        <f>IF(G$4="","",(Data!C47*$C$3)/(Market_Price*Common_Shares))</f>
        <v>6.3677779730713938E-2</v>
      </c>
      <c r="H126" s="23">
        <f>IF(H$4="","",(Data!D47*$C$3)/(Market_Price*Common_Shares))</f>
        <v>9.5718071201652752E-2</v>
      </c>
      <c r="I126" s="23">
        <f>IF(I$4="","",(Data!E47*$C$3)/(Market_Price*Common_Shares))</f>
        <v>8.9687240818901323E-2</v>
      </c>
      <c r="J126" s="23">
        <f>IF(J$4="","",(Data!F47*$C$3)/(Market_Price*Common_Shares))</f>
        <v>7.1762199327564377E-2</v>
      </c>
      <c r="K126" s="23">
        <f>IF(K$4="","",(Data!G47*$C$3)/(Market_Price*Common_Shares))</f>
        <v>7.1492727935606834E-2</v>
      </c>
      <c r="L126" s="23">
        <f>IF(L$4="","",(Data!H47*$C$3)/(Market_Price*Common_Shares))</f>
        <v>7.055171189245163E-2</v>
      </c>
      <c r="M126" s="23">
        <f>IF(M$4="","",(Data!I47*$C$3)/(Market_Price*Common_Shares))</f>
        <v>7.7517380066562544E-2</v>
      </c>
      <c r="N126" s="23">
        <f>IF(N$4="","",(Data!J47*$C$3)/(Market_Price*Common_Shares))</f>
        <v>6.3222440460474469E-2</v>
      </c>
      <c r="O126" s="23">
        <f>IF(O$4="","",(Data!K47*$C$3)/(Market_Price*Common_Shares))</f>
        <v>5.5448503290868645E-2</v>
      </c>
      <c r="P126" s="23">
        <f>IF(P$4="","",(Data!L47*$C$3)/(Market_Price*Common_Shares))</f>
        <v>5.1248217693794756E-2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7956899143.5103006</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99461239293.878754</v>
      </c>
      <c r="D6" t="str">
        <f>Reporting_currency</f>
        <v>CNY</v>
      </c>
      <c r="E6" s="351" t="s">
        <v>250</v>
      </c>
      <c r="F6" s="351"/>
      <c r="H6" s="121"/>
    </row>
    <row r="7" spans="2:8">
      <c r="B7" s="149" t="s">
        <v>225</v>
      </c>
      <c r="C7" s="226">
        <f>BS!G31</f>
        <v>40134989.460000001</v>
      </c>
      <c r="D7" t="str">
        <f>Reporting_currency</f>
        <v>CNY</v>
      </c>
      <c r="E7" s="351"/>
      <c r="F7" s="351"/>
      <c r="H7" s="121"/>
    </row>
    <row r="8" spans="2:8">
      <c r="B8" s="149" t="s">
        <v>226</v>
      </c>
      <c r="C8" s="201">
        <f>BS!D66</f>
        <v>17437737876.49247</v>
      </c>
      <c r="D8" t="str">
        <f>Reporting_currency</f>
        <v>CNY</v>
      </c>
      <c r="E8" s="351"/>
      <c r="F8" s="351"/>
      <c r="H8" s="121"/>
    </row>
    <row r="9" spans="2:8">
      <c r="B9" s="227" t="s">
        <v>191</v>
      </c>
      <c r="C9" s="229">
        <f>BS!H42</f>
        <v>3951628136.4709997</v>
      </c>
      <c r="D9" t="str">
        <f>Reporting_currency</f>
        <v>CNY</v>
      </c>
      <c r="E9" s="351"/>
      <c r="F9" s="351"/>
      <c r="H9" s="121"/>
    </row>
    <row r="10" spans="2:8" ht="13.15">
      <c r="B10" s="150" t="s">
        <v>228</v>
      </c>
      <c r="C10" s="232">
        <f>C6-C7+C8+C9</f>
        <v>120810470317.38222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80.166842945917438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90.758798783650263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8327490693.804677</v>
      </c>
      <c r="D21" s="139">
        <f>IF($C$17&lt;B21,0,Valuation_Model!$C$16)</f>
        <v>4.6574870890079501E-2</v>
      </c>
      <c r="E21" s="125">
        <f t="shared" ref="E21:E50" si="0">IF($C$17&lt;B21,0,1/(1+Equity_Cost)^B21)</f>
        <v>0.92592592592592582</v>
      </c>
      <c r="F21" s="126">
        <f t="shared" ref="F21:F51" si="1">C21*E21</f>
        <v>7710639531.3006258</v>
      </c>
      <c r="H21" s="121"/>
    </row>
    <row r="22" spans="2:8">
      <c r="B22" s="123">
        <v>2</v>
      </c>
      <c r="C22" s="124">
        <f t="shared" ref="C22:C50" si="2">IF(ROW()-ROW($C$21)&lt;$C$17, $C$21*(1+D22)^(ROW()-ROW($C$21)), 0)</f>
        <v>8715342497.7069683</v>
      </c>
      <c r="D22" s="139">
        <f>IF($C$17&lt;B22,0,Valuation_Model!$C$16)</f>
        <v>4.6574870890079501E-2</v>
      </c>
      <c r="E22" s="125">
        <f t="shared" si="0"/>
        <v>0.85733882030178321</v>
      </c>
      <c r="F22" s="126">
        <f t="shared" si="1"/>
        <v>7472001455.5100889</v>
      </c>
      <c r="H22" s="121"/>
    </row>
    <row r="23" spans="2:8">
      <c r="B23" s="123">
        <v>3</v>
      </c>
      <c r="C23" s="124">
        <f t="shared" si="2"/>
        <v>9121258449.3004951</v>
      </c>
      <c r="D23" s="139">
        <f>IF($C$17&lt;B23,0,Valuation_Model!$C$16)</f>
        <v>4.6574870890079501E-2</v>
      </c>
      <c r="E23" s="125">
        <f t="shared" si="0"/>
        <v>0.79383224102016958</v>
      </c>
      <c r="F23" s="126">
        <f t="shared" si="1"/>
        <v>7240749035.7323685</v>
      </c>
      <c r="H23" s="121"/>
    </row>
    <row r="24" spans="2:8">
      <c r="B24" s="123">
        <v>4</v>
      </c>
      <c r="C24" s="124">
        <f t="shared" si="2"/>
        <v>9546079883.9317112</v>
      </c>
      <c r="D24" s="139">
        <f>IF($C$17&lt;B24,0,Valuation_Model!$C$16)</f>
        <v>4.6574870890079501E-2</v>
      </c>
      <c r="E24" s="125">
        <f t="shared" si="0"/>
        <v>0.73502985279645328</v>
      </c>
      <c r="F24" s="126">
        <f t="shared" si="1"/>
        <v>7016653691.8695097</v>
      </c>
      <c r="H24" s="121"/>
    </row>
    <row r="25" spans="2:8">
      <c r="B25" s="123">
        <v>5</v>
      </c>
      <c r="C25" s="124">
        <f t="shared" si="2"/>
        <v>9990687322.032217</v>
      </c>
      <c r="D25" s="139">
        <f>IF($C$17&lt;B25,0,Valuation_Model!$C$16)</f>
        <v>4.6574870890079501E-2</v>
      </c>
      <c r="E25" s="125">
        <f t="shared" si="0"/>
        <v>0.68058319703375303</v>
      </c>
      <c r="F25" s="126">
        <f t="shared" si="1"/>
        <v>6799493918.1932707</v>
      </c>
      <c r="H25" s="121"/>
    </row>
    <row r="26" spans="2:8">
      <c r="B26" s="123">
        <v>6</v>
      </c>
      <c r="C26" s="124">
        <f t="shared" si="2"/>
        <v>10456002294.159021</v>
      </c>
      <c r="D26" s="139">
        <f>IF($C$17&lt;B26,0,Valuation_Model!$C$16)</f>
        <v>4.6574870890079501E-2</v>
      </c>
      <c r="E26" s="125">
        <f t="shared" si="0"/>
        <v>0.63016962688310452</v>
      </c>
      <c r="F26" s="126">
        <f t="shared" si="1"/>
        <v>6589055064.3990755</v>
      </c>
      <c r="H26" s="121"/>
    </row>
    <row r="27" spans="2:8">
      <c r="B27" s="123">
        <v>7</v>
      </c>
      <c r="C27" s="124">
        <f t="shared" si="2"/>
        <v>10942989251.035856</v>
      </c>
      <c r="D27" s="139">
        <f>IF($C$17&lt;B27,0,Valuation_Model!$C$16)</f>
        <v>4.6574870890079501E-2</v>
      </c>
      <c r="E27" s="125">
        <f t="shared" si="0"/>
        <v>0.58349039526213387</v>
      </c>
      <c r="F27" s="126">
        <f t="shared" si="1"/>
        <v>6385129123.4361944</v>
      </c>
      <c r="H27" s="121"/>
    </row>
    <row r="28" spans="2:8">
      <c r="B28" s="123">
        <v>8</v>
      </c>
      <c r="C28" s="124">
        <f t="shared" si="2"/>
        <v>11452657562.554379</v>
      </c>
      <c r="D28" s="139">
        <f>IF($C$17&lt;B28,0,Valuation_Model!$C$16)</f>
        <v>4.6574870890079501E-2</v>
      </c>
      <c r="E28" s="125">
        <f t="shared" si="0"/>
        <v>0.54026888450197574</v>
      </c>
      <c r="F28" s="126">
        <f t="shared" si="1"/>
        <v>6187514525.9043703</v>
      </c>
      <c r="H28" s="121"/>
    </row>
    <row r="29" spans="2:8">
      <c r="B29" s="123">
        <v>9</v>
      </c>
      <c r="C29" s="124">
        <f t="shared" si="2"/>
        <v>11986063609.878641</v>
      </c>
      <c r="D29" s="139">
        <f>IF($C$17&lt;B29,0,Valuation_Model!$C$16)</f>
        <v>4.6574870890079501E-2</v>
      </c>
      <c r="E29" s="125">
        <f t="shared" si="0"/>
        <v>0.50024896713145905</v>
      </c>
      <c r="F29" s="126">
        <f t="shared" si="1"/>
        <v>5996015940.8137579</v>
      </c>
      <c r="H29" s="121"/>
    </row>
    <row r="30" spans="2:8">
      <c r="B30" s="123">
        <v>10</v>
      </c>
      <c r="C30" s="124">
        <f t="shared" si="2"/>
        <v>12544312974.989019</v>
      </c>
      <c r="D30" s="139">
        <f>IF($C$17&lt;B30,0,Valuation_Model!$C$16)</f>
        <v>4.6574870890079501E-2</v>
      </c>
      <c r="E30" s="125">
        <f t="shared" si="0"/>
        <v>0.46319348808468425</v>
      </c>
      <c r="F30" s="126">
        <f t="shared" si="1"/>
        <v>5810444082.5111265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104093633672.55846</v>
      </c>
      <c r="D51" s="140">
        <f>Terminal_Growth</f>
        <v>0</v>
      </c>
      <c r="E51" s="125">
        <f>1/(1+Equity_Cost)^C17</f>
        <v>0.46319348808468425</v>
      </c>
      <c r="F51" s="126">
        <f t="shared" si="1"/>
        <v>48215493268.201691</v>
      </c>
      <c r="H51" s="121"/>
    </row>
    <row r="52" spans="1:8">
      <c r="C52" s="115"/>
      <c r="E52" s="128" t="s">
        <v>101</v>
      </c>
      <c r="F52" s="138">
        <f>SUM(F21:F51)</f>
        <v>115423189637.87209</v>
      </c>
      <c r="H52" s="121"/>
    </row>
    <row r="53" spans="1:8">
      <c r="C53" s="115"/>
      <c r="H53" s="121"/>
    </row>
    <row r="54" spans="1:8" ht="13.15">
      <c r="B54" s="120" t="s">
        <v>130</v>
      </c>
      <c r="C54" s="137"/>
      <c r="D54" s="137"/>
      <c r="E54" s="118"/>
      <c r="F54" s="118"/>
      <c r="H54" s="121"/>
    </row>
    <row r="55" spans="1:8" ht="13.15">
      <c r="A55" s="134">
        <f>F52</f>
        <v>115423189637.87209</v>
      </c>
      <c r="B55" s="132">
        <f>C78</f>
        <v>0</v>
      </c>
      <c r="C55" s="132">
        <f>C77</f>
        <v>0.02</v>
      </c>
      <c r="D55" s="132">
        <f>C76</f>
        <v>0.04</v>
      </c>
      <c r="E55" s="132">
        <f>C75</f>
        <v>0.06</v>
      </c>
      <c r="F55" s="132">
        <f>C74</f>
        <v>0.1</v>
      </c>
      <c r="H55" s="121"/>
    </row>
    <row r="56" spans="1:8" ht="13.15">
      <c r="A56" s="144">
        <v>5</v>
      </c>
      <c r="B56" s="124">
        <f t="dataTable" ref="B56:F61" dt2D="1" dtr="1" r1="C16" r2="C17"/>
        <v>99461239293.878738</v>
      </c>
      <c r="C56" s="124">
        <v>102670379526.41306</v>
      </c>
      <c r="D56" s="124">
        <v>105975632108.49921</v>
      </c>
      <c r="E56" s="124">
        <v>109381214760.52371</v>
      </c>
      <c r="F56" s="124">
        <v>116510896194.4758</v>
      </c>
      <c r="H56" s="121"/>
    </row>
    <row r="57" spans="1:8" ht="13.15">
      <c r="A57" s="144">
        <v>10</v>
      </c>
      <c r="B57" s="124">
        <v>99461239293.878723</v>
      </c>
      <c r="C57" s="124">
        <v>105882474869.97748</v>
      </c>
      <c r="D57" s="124">
        <v>112947292112.40126</v>
      </c>
      <c r="E57" s="124">
        <v>120732713643.93181</v>
      </c>
      <c r="F57" s="124">
        <v>138817370667.01062</v>
      </c>
      <c r="H57" s="121"/>
    </row>
    <row r="58" spans="1:8" ht="13.15">
      <c r="A58" s="144">
        <v>15</v>
      </c>
      <c r="B58" s="124">
        <v>99461239293.878708</v>
      </c>
      <c r="C58" s="124">
        <v>109858333488.21954</v>
      </c>
      <c r="D58" s="124">
        <v>122035735039.5298</v>
      </c>
      <c r="E58" s="124">
        <v>136347138311.85847</v>
      </c>
      <c r="F58" s="124">
        <v>173149520249.06439</v>
      </c>
      <c r="H58" s="121"/>
    </row>
    <row r="59" spans="1:8" ht="13.15">
      <c r="A59" s="145">
        <v>20</v>
      </c>
      <c r="B59" s="124">
        <v>99461239293.878693</v>
      </c>
      <c r="C59" s="124">
        <v>113909095821.52815</v>
      </c>
      <c r="D59" s="124">
        <v>131817862960.77042</v>
      </c>
      <c r="E59" s="124">
        <v>154158952637.9407</v>
      </c>
      <c r="F59" s="124">
        <v>217506260897.88818</v>
      </c>
      <c r="H59" s="121"/>
    </row>
    <row r="60" spans="1:8" ht="13.15">
      <c r="A60" s="145">
        <v>25</v>
      </c>
      <c r="B60" s="124">
        <v>99461239293.878693</v>
      </c>
      <c r="C60" s="124">
        <v>117676529568.34595</v>
      </c>
      <c r="D60" s="124">
        <v>141453591744.15585</v>
      </c>
      <c r="E60" s="124">
        <v>172825192485.27939</v>
      </c>
      <c r="F60" s="124">
        <v>270702498161.31653</v>
      </c>
      <c r="H60" s="121"/>
    </row>
    <row r="61" spans="1:8" ht="13.15">
      <c r="A61" s="145">
        <v>30</v>
      </c>
      <c r="B61" s="124">
        <v>99461239293.878693</v>
      </c>
      <c r="C61" s="124">
        <v>120999930213.88893</v>
      </c>
      <c r="D61" s="124">
        <v>150477537143.78979</v>
      </c>
      <c r="E61" s="124">
        <v>191489060218.90814</v>
      </c>
      <c r="F61" s="124">
        <v>332125475338.44678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80.166842945917438</v>
      </c>
      <c r="C65" s="125">
        <f>C12</f>
        <v>80.166842945917438</v>
      </c>
      <c r="D65" s="125">
        <f>C12</f>
        <v>80.166842945917438</v>
      </c>
      <c r="E65" s="142">
        <f>C12</f>
        <v>80.166842945917438</v>
      </c>
      <c r="F65" s="125">
        <f>C12</f>
        <v>80.166842945917438</v>
      </c>
      <c r="H65" s="121"/>
    </row>
    <row r="66" spans="1:8" ht="13.15">
      <c r="A66" s="144">
        <f t="shared" ref="A66:A71" si="3">A56</f>
        <v>5</v>
      </c>
      <c r="B66" s="125">
        <f t="shared" ref="B66:F71" si="4">(B56-$C$7+$C$8+$C$9)/Common_Shares*$C$3*Exchange_Rate</f>
        <v>80.166842945917409</v>
      </c>
      <c r="C66" s="125">
        <f t="shared" si="4"/>
        <v>82.296349108232135</v>
      </c>
      <c r="D66" s="125">
        <f t="shared" si="4"/>
        <v>84.489633050828985</v>
      </c>
      <c r="E66" s="125">
        <f t="shared" si="4"/>
        <v>86.749493548739053</v>
      </c>
      <c r="F66" s="125">
        <f t="shared" si="4"/>
        <v>91.48057397801395</v>
      </c>
      <c r="H66" s="121"/>
    </row>
    <row r="67" spans="1:8" ht="13.15">
      <c r="A67" s="144">
        <f t="shared" si="3"/>
        <v>10</v>
      </c>
      <c r="B67" s="125">
        <f t="shared" si="4"/>
        <v>80.166842945917409</v>
      </c>
      <c r="C67" s="125">
        <f t="shared" si="4"/>
        <v>84.427816209207336</v>
      </c>
      <c r="D67" s="125">
        <f t="shared" si="4"/>
        <v>89.115854363740596</v>
      </c>
      <c r="E67" s="125">
        <f t="shared" si="4"/>
        <v>94.282067718810808</v>
      </c>
      <c r="F67" s="125">
        <f t="shared" si="4"/>
        <v>106.28259925793311</v>
      </c>
      <c r="H67" s="121"/>
    </row>
    <row r="68" spans="1:8" ht="13.15">
      <c r="A68" s="144">
        <f t="shared" si="3"/>
        <v>15</v>
      </c>
      <c r="B68" s="125">
        <f t="shared" si="4"/>
        <v>80.166842945917395</v>
      </c>
      <c r="C68" s="125">
        <f t="shared" si="4"/>
        <v>87.066097747110803</v>
      </c>
      <c r="D68" s="125">
        <f t="shared" si="4"/>
        <v>95.146720520026207</v>
      </c>
      <c r="E68" s="125">
        <f t="shared" si="4"/>
        <v>104.64341410506384</v>
      </c>
      <c r="F68" s="125">
        <f t="shared" si="4"/>
        <v>129.0645653930674</v>
      </c>
      <c r="H68" s="121"/>
    </row>
    <row r="69" spans="1:8" ht="13.15">
      <c r="A69" s="145">
        <f t="shared" si="3"/>
        <v>20</v>
      </c>
      <c r="B69" s="125">
        <f t="shared" si="4"/>
        <v>80.166842945917395</v>
      </c>
      <c r="C69" s="125">
        <f t="shared" si="4"/>
        <v>89.754083539505032</v>
      </c>
      <c r="D69" s="125">
        <f t="shared" si="4"/>
        <v>101.63789889785048</v>
      </c>
      <c r="E69" s="125">
        <f t="shared" si="4"/>
        <v>116.46289397224409</v>
      </c>
      <c r="F69" s="125">
        <f t="shared" si="4"/>
        <v>158.49860245827549</v>
      </c>
      <c r="H69" s="121"/>
    </row>
    <row r="70" spans="1:8" ht="13.15">
      <c r="A70" s="145">
        <f t="shared" si="3"/>
        <v>25</v>
      </c>
      <c r="B70" s="125">
        <f t="shared" si="4"/>
        <v>80.166842945917395</v>
      </c>
      <c r="C70" s="125">
        <f t="shared" si="4"/>
        <v>92.254059482789131</v>
      </c>
      <c r="D70" s="125">
        <f t="shared" si="4"/>
        <v>108.03193042523188</v>
      </c>
      <c r="E70" s="125">
        <f t="shared" si="4"/>
        <v>128.84934950297074</v>
      </c>
      <c r="F70" s="125">
        <f t="shared" si="4"/>
        <v>193.79831105809734</v>
      </c>
    </row>
    <row r="71" spans="1:8" ht="13.15">
      <c r="A71" s="145">
        <f t="shared" si="3"/>
        <v>30</v>
      </c>
      <c r="B71" s="125">
        <f t="shared" si="4"/>
        <v>80.166842945917395</v>
      </c>
      <c r="C71" s="125">
        <f t="shared" si="4"/>
        <v>94.459386031867808</v>
      </c>
      <c r="D71" s="125">
        <f t="shared" si="4"/>
        <v>114.01999761596859</v>
      </c>
      <c r="E71" s="125">
        <f t="shared" si="4"/>
        <v>141.23423095765304</v>
      </c>
      <c r="F71" s="125">
        <f t="shared" si="4"/>
        <v>234.55708098667691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129.0645653930674</v>
      </c>
      <c r="F74" s="143">
        <f>Scenarios!C58</f>
        <v>0.05</v>
      </c>
    </row>
    <row r="75" spans="1:8">
      <c r="B75" s="128" t="str">
        <f>Scenarios!B36</f>
        <v>Optimistic</v>
      </c>
      <c r="C75" s="143">
        <f>Scenarios!C38</f>
        <v>0.06</v>
      </c>
      <c r="D75" s="146">
        <f>Scenarios!C37</f>
        <v>10</v>
      </c>
      <c r="E75" s="136">
        <f>INDEX(B$65:F$71, MATCH(D75, A$65:A$71, 0), MATCH(C75, B$64:F$64, 0))</f>
        <v>94.282067718810808</v>
      </c>
      <c r="F75" s="143">
        <f>Scenarios!C40*(1-F$74-F$78)</f>
        <v>0.18</v>
      </c>
      <c r="H75" s="121"/>
    </row>
    <row r="76" spans="1:8">
      <c r="B76" s="128" t="str">
        <f>Scenarios!B24</f>
        <v>Base</v>
      </c>
      <c r="C76" s="143">
        <f>Scenarios!C26</f>
        <v>0.04</v>
      </c>
      <c r="D76" s="146">
        <f>Scenarios!C25</f>
        <v>10</v>
      </c>
      <c r="E76" s="136">
        <f>INDEX(B$65:F$71, MATCH(D76, A$65:A$71, 0), MATCH(C76, B$64:F$64, 0))</f>
        <v>89.115854363740596</v>
      </c>
      <c r="F76" s="143">
        <f>Scenarios!C28*(1-F$74-F$78)</f>
        <v>0.53999999999999992</v>
      </c>
      <c r="H76" s="121"/>
    </row>
    <row r="77" spans="1:8">
      <c r="B77" s="128" t="str">
        <f>Scenarios!B30</f>
        <v>Pessimistic</v>
      </c>
      <c r="C77" s="143">
        <f>Scenarios!C32</f>
        <v>0.02</v>
      </c>
      <c r="D77" s="146">
        <f>Scenarios!C31</f>
        <v>10</v>
      </c>
      <c r="E77" s="136">
        <f>INDEX(B$65:F$71, MATCH(D77, A$65:A$71, 0), MATCH(C77, B$64:F$64, 0))</f>
        <v>84.427816209207336</v>
      </c>
      <c r="F77" s="143">
        <f>Scenarios!C34*(1-F$74-F$78)</f>
        <v>0.18</v>
      </c>
      <c r="H77" s="121"/>
    </row>
    <row r="78" spans="1:8">
      <c r="B78" s="128" t="str">
        <f>Scenarios!B48</f>
        <v>Devil's advocate</v>
      </c>
      <c r="C78" s="143">
        <f>Scenarios!C50</f>
        <v>0</v>
      </c>
      <c r="D78" s="146">
        <f>Scenarios!C49</f>
        <v>15</v>
      </c>
      <c r="E78" s="136">
        <f>INDEX(B$65:F$71, MATCH(D78, A$65:A$71, 0), MATCH(C78, B$64:F$64, 0))</f>
        <v>80.166842945917395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-69.47</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95.39891088041243</v>
      </c>
    </row>
    <row r="7" spans="2:9" ht="12.75" customHeight="1">
      <c r="B7" s="100" t="s">
        <v>276</v>
      </c>
      <c r="C7" s="115">
        <f>Normalized_FCF!G8</f>
        <v>8753226430</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3"/>
      <c r="H7" s="276">
        <v>4</v>
      </c>
      <c r="I7" s="264" t="str">
        <f t="shared" si="0"/>
        <v/>
      </c>
    </row>
    <row r="8" spans="2:9">
      <c r="B8" s="100" t="s">
        <v>66</v>
      </c>
      <c r="C8" s="115">
        <f>Normalized_FCF!G19</f>
        <v>7094251918.3469982</v>
      </c>
      <c r="D8" t="str">
        <f>Reporting_currency</f>
        <v>CNY</v>
      </c>
      <c r="E8" s="353"/>
      <c r="F8" s="353"/>
      <c r="H8" s="276">
        <v>5</v>
      </c>
      <c r="I8" s="264" t="str">
        <f t="shared" si="0"/>
        <v/>
      </c>
    </row>
    <row r="9" spans="2:9">
      <c r="B9" s="100" t="s">
        <v>57</v>
      </c>
      <c r="C9" s="201">
        <f>Normalized_FCF!C19</f>
        <v>7956899143.5103006</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4.4367851108990219E-2</v>
      </c>
      <c r="D12" s="159"/>
      <c r="E12" s="353"/>
      <c r="F12" s="353"/>
      <c r="H12" s="276">
        <v>9</v>
      </c>
      <c r="I12" s="264" t="str">
        <f t="shared" si="0"/>
        <v/>
      </c>
    </row>
    <row r="13" spans="2:9">
      <c r="B13" s="149" t="s">
        <v>153</v>
      </c>
      <c r="C13" s="159">
        <f ca="1">(Normalized_FCF!G8/OFFSET(Normalized_FCF!G8, 0, $C$4))^(1/$C$4) - 1</f>
        <v>-2.0482342685147259E-2</v>
      </c>
      <c r="E13" s="353"/>
      <c r="F13" s="353"/>
      <c r="H13" s="276">
        <v>10</v>
      </c>
      <c r="I13" s="264" t="str">
        <f t="shared" si="0"/>
        <v/>
      </c>
    </row>
    <row r="14" spans="2:9">
      <c r="B14" s="100" t="s">
        <v>66</v>
      </c>
      <c r="C14" s="159">
        <f ca="1">(Normalized_FCF!G19/OFFSET(Normalized_FCF!G19, 0, $C$4))^(1/$C$4) - 1</f>
        <v>-2.7775471405087737E-2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69.47</v>
      </c>
      <c r="D21" t="str">
        <f>Market_currency</f>
        <v>CNY</v>
      </c>
      <c r="E21" s="354"/>
      <c r="F21" s="354"/>
    </row>
    <row r="22" spans="2:6">
      <c r="B22" s="100" t="s">
        <v>281</v>
      </c>
      <c r="C22" s="161">
        <f>Valuation_Model!C12</f>
        <v>80.166842945917438</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89.115854363740596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84.427816209207336</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94.282067718810808</v>
      </c>
      <c r="D39" t="str">
        <f>Market_currency</f>
        <v>CNY</v>
      </c>
      <c r="E39" s="352"/>
      <c r="F39" s="352"/>
    </row>
    <row r="40" spans="2:6">
      <c r="B40" s="100" t="s">
        <v>148</v>
      </c>
      <c r="C40" s="168">
        <f>1-C28-C34</f>
        <v>0.2</v>
      </c>
      <c r="D40" s="166"/>
      <c r="E40" s="352"/>
      <c r="F40" s="352"/>
    </row>
    <row r="42" spans="2:6" ht="13.15">
      <c r="B42" s="100" t="s">
        <v>121</v>
      </c>
      <c r="C42" s="155">
        <f>C27*C28+C33*C34+C39*C40</f>
        <v>89.211489403847992</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80.166842945917395</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129.0645653930674</v>
      </c>
      <c r="D57" t="str">
        <f>Market_currency</f>
        <v>CNY</v>
      </c>
      <c r="E57" s="352"/>
      <c r="F57" s="352"/>
    </row>
    <row r="58" spans="2:6">
      <c r="B58" s="100" t="s">
        <v>148</v>
      </c>
      <c r="C58" s="166">
        <v>0.05</v>
      </c>
      <c r="D58" s="166"/>
      <c r="E58" s="352"/>
      <c r="F58" s="352"/>
    </row>
    <row r="60" spans="2:6" ht="13.15">
      <c r="B60" s="100" t="s">
        <v>121</v>
      </c>
      <c r="C60" s="155">
        <f>C51*C52+C57*C58+C42*(1-C52-C58)</f>
        <v>90.751910880412424</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90.758798783650263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0.15610494636020344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Thesis!C132</f>
        <v>0.4</v>
      </c>
    </row>
    <row r="81" spans="2:8">
      <c r="B81" s="100" t="s">
        <v>122</v>
      </c>
      <c r="C81" s="117">
        <f>PV(C80, C76, -C77, 0)</f>
        <v>7.3837172011661796</v>
      </c>
      <c r="D81" s="117"/>
      <c r="E81" s="100"/>
      <c r="F81" s="100"/>
    </row>
    <row r="82" spans="2:8">
      <c r="B82" s="100" t="s">
        <v>123</v>
      </c>
      <c r="C82" s="117">
        <f>C60/(1+C80)^C76</f>
        <v>33.072853819392293</v>
      </c>
      <c r="D82" s="117"/>
    </row>
    <row r="83" spans="2:8" ht="13.15">
      <c r="B83" s="111" t="s">
        <v>102</v>
      </c>
      <c r="C83" s="112">
        <f>C81+C82</f>
        <v>40.456571020558471</v>
      </c>
      <c r="D83" t="str">
        <f>Market_currency</f>
        <v>CNY</v>
      </c>
      <c r="E83" s="147" t="s">
        <v>127</v>
      </c>
      <c r="F83" s="329">
        <f>(1-C83/C60)</f>
        <v>0.55420695136800169</v>
      </c>
    </row>
    <row r="84" spans="2:8">
      <c r="E84" s="121"/>
    </row>
    <row r="85" spans="2:8" ht="13.15">
      <c r="B85" s="109" t="s">
        <v>309</v>
      </c>
    </row>
    <row r="86" spans="2:8">
      <c r="B86" s="149" t="s">
        <v>307</v>
      </c>
      <c r="C86" s="266">
        <f>Market_Price</f>
        <v>69.47</v>
      </c>
      <c r="D86" t="str">
        <f>Market_currency</f>
        <v>CNY</v>
      </c>
    </row>
    <row r="87" spans="2:8" ht="13.15">
      <c r="B87" s="100" t="s">
        <v>305</v>
      </c>
      <c r="C87" s="265">
        <f ca="1">IRR(OFFSET($I$3, 0, 0, $C$76 + 1, 1))</f>
        <v>0.15471860434131091</v>
      </c>
    </row>
    <row r="88" spans="2:8">
      <c r="B88" s="100"/>
    </row>
    <row r="89" spans="2:8" ht="13.15">
      <c r="B89" s="109" t="s">
        <v>422</v>
      </c>
    </row>
    <row r="90" spans="2:8">
      <c r="B90" s="149" t="s">
        <v>423</v>
      </c>
      <c r="C90" s="168">
        <f>Thesis!E24</f>
        <v>0.2</v>
      </c>
    </row>
    <row r="91" spans="2:8">
      <c r="B91" s="100" t="s">
        <v>122</v>
      </c>
      <c r="C91" s="117">
        <f>PV(C90, C76, -C77, 0)</f>
        <v>9.7888194444444441</v>
      </c>
      <c r="D91" s="117"/>
      <c r="E91" s="100"/>
      <c r="F91" s="100"/>
    </row>
    <row r="92" spans="2:8">
      <c r="B92" s="100" t="s">
        <v>123</v>
      </c>
      <c r="C92" s="117">
        <f>C60/(1+C90)^C76</f>
        <v>52.518466944683119</v>
      </c>
      <c r="D92" s="117"/>
    </row>
    <row r="93" spans="2:8" ht="13.15">
      <c r="B93" s="111" t="s">
        <v>102</v>
      </c>
      <c r="C93" s="112">
        <f>C91+C92</f>
        <v>62.307286389127562</v>
      </c>
      <c r="D93" t="str">
        <f>Market_currency</f>
        <v>CNY</v>
      </c>
      <c r="E93" s="147" t="s">
        <v>127</v>
      </c>
      <c r="F93" s="329">
        <f>(1-C93/C60)</f>
        <v>0.31343278852571521</v>
      </c>
    </row>
    <row r="95" spans="2:8" ht="13.15">
      <c r="B95" s="109" t="s">
        <v>405</v>
      </c>
      <c r="G95" s="2"/>
      <c r="H95" s="316"/>
    </row>
    <row r="96" spans="2:8">
      <c r="B96" s="149" t="s">
        <v>411</v>
      </c>
      <c r="C96" s="135">
        <f>Thesis!C72</f>
        <v>0.08</v>
      </c>
      <c r="G96" s="2"/>
      <c r="H96" s="316"/>
    </row>
    <row r="97" spans="2:8">
      <c r="B97" s="100" t="s">
        <v>122</v>
      </c>
      <c r="C97" s="117">
        <f>PV(C96, C76, -C77, 0)</f>
        <v>11.9757696997409</v>
      </c>
      <c r="D97" s="117"/>
      <c r="G97" s="2"/>
      <c r="H97" s="316"/>
    </row>
    <row r="98" spans="2:8">
      <c r="B98" s="100" t="s">
        <v>123</v>
      </c>
      <c r="C98" s="117">
        <f>C60/(1+C96)^C76</f>
        <v>72.041792791060502</v>
      </c>
      <c r="D98" s="117"/>
      <c r="G98" s="2"/>
      <c r="H98" s="316"/>
    </row>
    <row r="99" spans="2:8" ht="13.15">
      <c r="B99" s="111" t="s">
        <v>406</v>
      </c>
      <c r="C99" s="112">
        <f>C97+C98</f>
        <v>84.017562490801396</v>
      </c>
      <c r="D99" t="s">
        <v>404</v>
      </c>
      <c r="E99" s="147" t="s">
        <v>127</v>
      </c>
      <c r="F99" s="329">
        <f>(1-C99/C60)</f>
        <v>7.4206133229361537E-2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