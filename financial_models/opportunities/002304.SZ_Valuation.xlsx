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A319D9D-5754-D34D-9758-E82615BA4C80}"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<sst xmlns="http://schemas.openxmlformats.org/spreadsheetml/2006/main" count="685" uniqueCount="465">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</sst>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45780</v>
      </c>
      <c r="D1" s="316" t="s">
        <v>455</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1506988000</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65.98</v>
      </c>
      <c r="D12" s="50"/>
      <c r="E12" s="48"/>
    </row>
    <row r="13" spans="1:10" x14ac:dyDescent="0.15">
      <c r="B13" s="1" t="s">
        <v>416</v>
      </c>
      <c r="C13" s="48" t="s">
        <v>414</v>
      </c>
      <c r="D13" s="48"/>
      <c r="E13" s="5"/>
    </row>
    <row r="14" spans="1:10" x14ac:dyDescent="0.15">
      <c r="B14" s="4" t="s">
        <v>420</v>
      </c>
      <c r="C14" s="35">
        <f>Thesis!C12*Common_Shares/1000000</f>
        <v>99431.068239999993</v>
      </c>
      <c r="D14" s="35" t="str">
        <f>IF(D11="","",Thesis!D12*Common_Shares/1000000)</f>
        <v/>
      </c>
      <c r="E14" s="5"/>
    </row>
    <row r="15" spans="1:10" x14ac:dyDescent="0.15">
      <c r="B15" s="4" t="s">
        <v>419</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461</v>
      </c>
    </row>
    <row r="22" spans="2:6" x14ac:dyDescent="0.15">
      <c r="B22" s="2" t="s">
        <v>56</v>
      </c>
      <c r="C22" s="48" t="s">
        <v>460</v>
      </c>
      <c r="D22" s="1" t="str">
        <f>IF(valuation_method="DDM","DDM Terminal Value","")</f>
        <v/>
      </c>
      <c r="E22" s="313"/>
    </row>
    <row r="23" spans="2:6" x14ac:dyDescent="0.15">
      <c r="B23" s="1" t="s">
        <v>434</v>
      </c>
      <c r="C23" s="262" t="s">
        <v>456</v>
      </c>
    </row>
    <row r="24" spans="2:6" x14ac:dyDescent="0.15">
      <c r="B24" s="1" t="s">
        <v>435</v>
      </c>
      <c r="C24" s="262" t="s">
        <v>456</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(CNY) :</v>
      </c>
      <c r="C26" s="304">
        <f>C132</f>
        <v>77.785604602754844</v>
      </c>
      <c r="D26" s="1" t="s">
        <v>399</v>
      </c>
      <c r="E26" s="301">
        <f ca="1">Scenarios!C87</f>
        <v>0.1232882180025836</v>
      </c>
    </row>
    <row r="27" spans="2:6" x14ac:dyDescent="0.15">
      <c r="D27" s="5"/>
      <c r="E27" s="5"/>
    </row>
    <row r="28" spans="2:6" x14ac:dyDescent="0.15">
      <c r="B28" s="45" t="s">
        <v>433</v>
      </c>
      <c r="C28" s="309" t="str">
        <f>C145&amp;" ("&amp;Market_currency&amp;")"</f>
        <v>002304.SZ (CNY)</v>
      </c>
      <c r="D28" s="309" t="str">
        <f>IF(D11="","",D145&amp;" ("&amp;D13&amp;")")</f>
        <v/>
      </c>
      <c r="E28" s="305" t="s">
        <v>429</v>
      </c>
      <c r="F28" s="303">
        <v>3</v>
      </c>
    </row>
    <row r="29" spans="2:6" x14ac:dyDescent="0.15">
      <c r="B29" s="1" t="s">
        <v>425</v>
      </c>
      <c r="C29" s="310">
        <f>C149</f>
        <v>40.566233510579387</v>
      </c>
      <c r="D29" s="310" t="str">
        <f>D149</f>
        <v/>
      </c>
      <c r="E29" s="306" t="s">
        <v>424</v>
      </c>
      <c r="F29" s="302">
        <v>0.33699999999999997</v>
      </c>
    </row>
    <row r="30" spans="2:6" x14ac:dyDescent="0.15">
      <c r="B30" s="1" t="s">
        <v>426</v>
      </c>
      <c r="C30" s="311">
        <f>C157</f>
        <v>56.501711311401053</v>
      </c>
      <c r="D30" s="311" t="str">
        <f>D157</f>
        <v/>
      </c>
      <c r="E30" s="307" t="s">
        <v>437</v>
      </c>
      <c r="F30" s="312">
        <v>0.187</v>
      </c>
    </row>
    <row r="31" spans="2:6" x14ac:dyDescent="0.15">
      <c r="B31" s="1" t="s">
        <v>427</v>
      </c>
      <c r="C31" s="311">
        <f>C165</f>
        <v>77.731780095947357</v>
      </c>
      <c r="D31" s="311" t="str">
        <f>D165</f>
        <v/>
      </c>
      <c r="E31" s="307" t="s">
        <v>436</v>
      </c>
      <c r="F31" s="312">
        <v>0.06</v>
      </c>
    </row>
    <row r="32" spans="2:6" x14ac:dyDescent="0.15">
      <c r="B32" s="1" t="s">
        <v>428</v>
      </c>
      <c r="C32" s="311">
        <f>C173</f>
        <v>72.389553073938998</v>
      </c>
      <c r="D32" s="311" t="str">
        <f>D173</f>
        <v/>
      </c>
      <c r="E32" s="307" t="s">
        <v>438</v>
      </c>
      <c r="F32" s="312">
        <v>8.6999999999999994E-2</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v>
      </c>
    </row>
    <row r="40" spans="1:6" ht="24.5" customHeight="1" x14ac:dyDescent="0.15">
      <c r="B40" s="357" t="s">
        <v>231</v>
      </c>
      <c r="C40" s="357"/>
      <c r="D40" s="357"/>
      <c r="E40" s="357"/>
      <c r="F40" s="357"/>
    </row>
    <row r="41" spans="1:6" x14ac:dyDescent="0.15">
      <c r="B41" s="47" t="s">
        <v>232</v>
      </c>
      <c r="C41" s="349">
        <f>Normalized_FCF!C8</f>
        <v>7170141860.8562851</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697421786</v>
      </c>
      <c r="D44" s="1" t="str">
        <f>Reporting_currency</f>
        <v>CNY</v>
      </c>
    </row>
    <row r="45" spans="1:6" x14ac:dyDescent="0.15">
      <c r="B45" s="52" t="s">
        <v>235</v>
      </c>
      <c r="C45" s="349">
        <f>Normalized_FCF!C10</f>
        <v>-697421786</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118071321.87538444</v>
      </c>
      <c r="D51" s="1" t="str">
        <f>Reporting_currency</f>
        <v>CNY</v>
      </c>
      <c r="E51" s="286"/>
      <c r="F51" s="286"/>
    </row>
    <row r="52" spans="2:6" x14ac:dyDescent="0.15">
      <c r="B52" s="47" t="s">
        <v>341</v>
      </c>
      <c r="C52" s="350">
        <f>Normalized_FCF!C47</f>
        <v>-2955080</v>
      </c>
      <c r="D52" s="1" t="str">
        <f>Reporting_currency</f>
        <v>CNY</v>
      </c>
      <c r="E52" s="286"/>
      <c r="F52" s="286"/>
    </row>
    <row r="53" spans="2:6" x14ac:dyDescent="0.15">
      <c r="B53" s="47" t="s">
        <v>238</v>
      </c>
      <c r="C53" s="349">
        <f>Normalized_FCF!C12</f>
        <v>115116241.87538444</v>
      </c>
      <c r="D53" s="1" t="str">
        <f>Reporting_currency</f>
        <v>CNY</v>
      </c>
    </row>
    <row r="55" spans="2:6" x14ac:dyDescent="0.15">
      <c r="B55" s="1" t="s">
        <v>246</v>
      </c>
    </row>
    <row r="56" spans="2:6" x14ac:dyDescent="0.15">
      <c r="B56" s="47" t="s">
        <v>265</v>
      </c>
      <c r="C56" s="349">
        <f>Normalized_FCF!C15</f>
        <v>-9589072.5451227482</v>
      </c>
      <c r="D56" s="1" t="str">
        <f>Reporting_currency</f>
        <v>CNY</v>
      </c>
    </row>
    <row r="58" spans="2:6" x14ac:dyDescent="0.15">
      <c r="B58" s="357" t="s">
        <v>241</v>
      </c>
      <c r="C58" s="357"/>
      <c r="D58" s="357"/>
      <c r="E58" s="357"/>
      <c r="F58" s="357"/>
    </row>
    <row r="59" spans="2:6" x14ac:dyDescent="0.15">
      <c r="B59" s="47" t="s">
        <v>239</v>
      </c>
      <c r="C59" s="349">
        <f>Normalized_FCF!C14</f>
        <v>-1821314525.6829174</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6391730692.7697487</v>
      </c>
      <c r="D67" s="1" t="str">
        <f>Reporting_currency</f>
        <v>CNY</v>
      </c>
    </row>
    <row r="68" spans="1:6" x14ac:dyDescent="0.15">
      <c r="B68" s="47" t="s">
        <v>248</v>
      </c>
      <c r="C68" s="349">
        <f>Normalized_FCF!C19</f>
        <v>5454354504.5036287</v>
      </c>
      <c r="D68" s="1" t="str">
        <f>Reporting_currency</f>
        <v>CNY</v>
      </c>
    </row>
    <row r="69" spans="1:6" x14ac:dyDescent="0.15">
      <c r="B69" s="227" t="s">
        <v>390</v>
      </c>
      <c r="C69" s="92">
        <f>Normalized_FCF!C125</f>
        <v>5.4855636181422453E-2</v>
      </c>
      <c r="F69" s="314"/>
    </row>
    <row r="70" spans="1:6" x14ac:dyDescent="0.15">
      <c r="B70" s="227" t="s">
        <v>308</v>
      </c>
      <c r="C70" s="92">
        <f>Normalized_FCF!C93</f>
        <v>7.0430433464686262E-2</v>
      </c>
      <c r="E70" s="47" t="s">
        <v>448</v>
      </c>
      <c r="F70" s="315">
        <f>Normalized_FCF!C92</f>
        <v>1.2839233735573452</v>
      </c>
    </row>
    <row r="72" spans="1:6" x14ac:dyDescent="0.15">
      <c r="B72" s="210" t="s">
        <v>450</v>
      </c>
      <c r="C72" s="323" t="s">
        <v>452</v>
      </c>
      <c r="D72" s="323" t="s">
        <v>453</v>
      </c>
    </row>
    <row r="73" spans="1:6" x14ac:dyDescent="0.15">
      <c r="B73" s="47" t="s">
        <v>451</v>
      </c>
      <c r="C73" s="92">
        <f>Normalized_FCF!C120</f>
        <v>0.14093304007128551</v>
      </c>
      <c r="D73" s="92">
        <f>Normalized_FCF!G120</f>
        <v>0.17155792115322036</v>
      </c>
    </row>
    <row r="74" spans="1:6" x14ac:dyDescent="0.15">
      <c r="B74" s="259" t="str">
        <f>Normalized_FCF!B117</f>
        <v>Pre-tax Profit/Sales</v>
      </c>
      <c r="C74" s="322">
        <f>Normalized_FCF!C117</f>
        <v>0.29188024664664569</v>
      </c>
      <c r="D74" s="322">
        <f>Normalized_FCF!G117</f>
        <v>0.3071152608872405</v>
      </c>
    </row>
    <row r="75" spans="1:6" x14ac:dyDescent="0.15">
      <c r="B75" s="259" t="str">
        <f>Normalized_FCF!B118</f>
        <v>Sales/Total Assets</v>
      </c>
      <c r="C75" s="324">
        <f>Normalized_FCF!C118</f>
        <v>0.37062368553626046</v>
      </c>
      <c r="D75" s="324">
        <f>Normalized_FCF!G118</f>
        <v>0.42877991347767891</v>
      </c>
    </row>
    <row r="76" spans="1:6" x14ac:dyDescent="0.15">
      <c r="B76" s="259" t="str">
        <f>Normalized_FCF!B119</f>
        <v>Total Assets/Equity</v>
      </c>
      <c r="C76" s="324">
        <f>Normalized_FCF!C119</f>
        <v>1.3027915865121182</v>
      </c>
      <c r="D76" s="324">
        <f>Normalized_FCF!G119</f>
        <v>1.3027915865121182</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0.06</v>
      </c>
    </row>
    <row r="85" spans="1:6" x14ac:dyDescent="0.15">
      <c r="B85" s="1" t="s">
        <v>430</v>
      </c>
      <c r="C85" s="92">
        <f>IF(C23="Y",1%,0)+IF(C24="Y",1%,0)</f>
        <v>0</v>
      </c>
    </row>
    <row r="86" spans="1:6" x14ac:dyDescent="0.15">
      <c r="B86" s="80" t="s">
        <v>247</v>
      </c>
      <c r="C86" s="236">
        <f>F31+C85</f>
        <v>0.06</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60.322914587504222</v>
      </c>
      <c r="D93" s="1" t="str">
        <f>Market_currency</f>
        <v>CNY</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40134989.460000001</v>
      </c>
      <c r="D102" s="1" t="str">
        <f>Reporting_currency</f>
        <v>CNY</v>
      </c>
    </row>
    <row r="103" spans="2:6" x14ac:dyDescent="0.15">
      <c r="B103" s="47" t="s">
        <v>281</v>
      </c>
      <c r="C103" s="223">
        <f>C102*scaling_factor*Exchange_Rate/Common_Shares</f>
        <v>2.6632587293329478E-2</v>
      </c>
      <c r="D103" s="1" t="str">
        <f>Market_currency</f>
        <v>CNY</v>
      </c>
    </row>
    <row r="104" spans="2:6" x14ac:dyDescent="0.15">
      <c r="B104" s="296" t="s">
        <v>404</v>
      </c>
      <c r="C104" s="325">
        <f>IF(BS!G31/BS!G27&gt;300%,"nm",BS!G31/BS!G27)</f>
        <v>7.7640983998987034E-4</v>
      </c>
    </row>
    <row r="105" spans="2:6" x14ac:dyDescent="0.15">
      <c r="B105" s="296" t="s">
        <v>406</v>
      </c>
      <c r="C105" s="326">
        <f>IF(BS!C50&gt;30,"nm",BS!C50)</f>
        <v>5.5975167910006915E-3</v>
      </c>
    </row>
    <row r="107" spans="2:6" x14ac:dyDescent="0.15">
      <c r="B107" s="1" t="s">
        <v>254</v>
      </c>
    </row>
    <row r="108" spans="2:6" x14ac:dyDescent="0.15">
      <c r="B108" s="47" t="s">
        <v>264</v>
      </c>
      <c r="C108" s="349">
        <f>BS!C66</f>
        <v>21748297978.369999</v>
      </c>
      <c r="D108" s="1" t="str">
        <f>Reporting_currency</f>
        <v>CNY</v>
      </c>
    </row>
    <row r="109" spans="2:6" x14ac:dyDescent="0.15">
      <c r="B109" s="47" t="s">
        <v>266</v>
      </c>
      <c r="C109" s="349">
        <f>DCF!C8</f>
        <v>17616201015.993965</v>
      </c>
      <c r="D109" s="1" t="str">
        <f>Reporting_currency</f>
        <v>CNY</v>
      </c>
    </row>
    <row r="110" spans="2:6" x14ac:dyDescent="0.15">
      <c r="B110" s="47" t="s">
        <v>282</v>
      </c>
      <c r="C110" s="223">
        <f>C109*scaling_factor*Exchange_Rate/Common_Shares</f>
        <v>11.689675708097187</v>
      </c>
      <c r="D110" s="1" t="str">
        <f>Market_currency</f>
        <v>CNY</v>
      </c>
    </row>
    <row r="112" spans="2:6" x14ac:dyDescent="0.15">
      <c r="B112" s="1" t="s">
        <v>256</v>
      </c>
    </row>
    <row r="113" spans="1:6" x14ac:dyDescent="0.15">
      <c r="B113" s="47" t="s">
        <v>257</v>
      </c>
      <c r="C113" s="349">
        <f>DCF!C9</f>
        <v>3951628136.4709997</v>
      </c>
      <c r="D113" s="1" t="str">
        <f>Reporting_currency</f>
        <v>CNY</v>
      </c>
    </row>
    <row r="114" spans="1:6" x14ac:dyDescent="0.15">
      <c r="B114" s="47" t="s">
        <v>283</v>
      </c>
      <c r="C114" s="223">
        <f>C113*scaling_factor*Exchange_Rate/Common_Shares</f>
        <v>2.6222027889213448</v>
      </c>
      <c r="D114" s="1" t="str">
        <f>Market_currency</f>
        <v>CNY</v>
      </c>
    </row>
    <row r="116" spans="1:6" ht="24.5" customHeight="1" x14ac:dyDescent="0.15">
      <c r="B116" s="356" t="s">
        <v>366</v>
      </c>
      <c r="C116" s="356"/>
      <c r="D116" s="356"/>
      <c r="E116" s="356"/>
      <c r="F116" s="356"/>
    </row>
    <row r="118" spans="1:6" x14ac:dyDescent="0.15">
      <c r="B118" s="47" t="s">
        <v>449</v>
      </c>
      <c r="C118" s="223">
        <f>IF(valuation_method="DCF",DCF!C12,DDM!C7)</f>
        <v>74.608160497229406</v>
      </c>
      <c r="D118" s="1" t="str">
        <f>Market_currency</f>
        <v>CNY</v>
      </c>
    </row>
    <row r="119" spans="1:6" x14ac:dyDescent="0.15">
      <c r="B119" s="296" t="s">
        <v>405</v>
      </c>
      <c r="C119" s="223">
        <f>BS!D47</f>
        <v>15.284602440692964</v>
      </c>
      <c r="D119" s="1" t="str">
        <f>Market_currency</f>
        <v>CNY</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7.0000000000000007E-2</v>
      </c>
      <c r="D126" s="230">
        <f>DCF!D74</f>
        <v>15</v>
      </c>
      <c r="E126" s="231" t="str">
        <f>ROUND(IF(valuation_method="DCF",DCF!E74,DDM!E69),2)&amp;" "&amp;Market_currency</f>
        <v>99.79 CNY</v>
      </c>
      <c r="F126" s="232">
        <f>DCF!F74</f>
        <v>0.05</v>
      </c>
    </row>
    <row r="127" spans="1:6" x14ac:dyDescent="0.15">
      <c r="B127" s="218" t="str">
        <f>DCF!B75</f>
        <v>Optimistic</v>
      </c>
      <c r="C127" s="219">
        <f>DCF!C75</f>
        <v>0.04</v>
      </c>
      <c r="D127" s="220">
        <f>DCF!D75</f>
        <v>10</v>
      </c>
      <c r="E127" s="231" t="str">
        <f>ROUND(IF(valuation_method="DCF",DCF!E75,DDM!E70),2)&amp;" "&amp;Market_currency</f>
        <v>81.96 CNY</v>
      </c>
      <c r="F127" s="221">
        <f>DCF!F75</f>
        <v>0.17</v>
      </c>
    </row>
    <row r="128" spans="1:6" x14ac:dyDescent="0.15">
      <c r="B128" s="218" t="str">
        <f>DCF!B76</f>
        <v>Base</v>
      </c>
      <c r="C128" s="219">
        <f>DCF!C76</f>
        <v>0.02</v>
      </c>
      <c r="D128" s="220">
        <f>DCF!D76</f>
        <v>10</v>
      </c>
      <c r="E128" s="231" t="str">
        <f>ROUND(IF(valuation_method="DCF",DCF!E76,DDM!E71),2)&amp;" "&amp;Market_currency</f>
        <v>78.11 CNY</v>
      </c>
      <c r="F128" s="221">
        <f>DCF!F76</f>
        <v>0.51</v>
      </c>
    </row>
    <row r="129" spans="1:6" x14ac:dyDescent="0.15">
      <c r="B129" s="218" t="str">
        <f>DCF!B77</f>
        <v>Pessimistic</v>
      </c>
      <c r="C129" s="219">
        <f>DCF!C77</f>
        <v>0</v>
      </c>
      <c r="D129" s="220">
        <f>DCF!D77</f>
        <v>10</v>
      </c>
      <c r="E129" s="231" t="str">
        <f>ROUND(IF(valuation_method="DCF",DCF!E77,DDM!E72),2)&amp;" "&amp;Market_currency</f>
        <v>74.61 CNY</v>
      </c>
      <c r="F129" s="221">
        <f>DCF!F77</f>
        <v>0.17</v>
      </c>
    </row>
    <row r="130" spans="1:6" x14ac:dyDescent="0.15">
      <c r="B130" s="218" t="str">
        <f>DCF!B78</f>
        <v>Devil's advocate</v>
      </c>
      <c r="C130" s="219">
        <f>DCF!C78</f>
        <v>-0.05</v>
      </c>
      <c r="D130" s="220">
        <f>DCF!D78</f>
        <v>15</v>
      </c>
      <c r="E130" s="231" t="str">
        <f>ROUND(IF(valuation_method="DCF",DCF!E78,DDM!E73),2)&amp;" "&amp;Market_currency</f>
        <v>63.41 CNY</v>
      </c>
      <c r="F130" s="221">
        <f>DCF!F78</f>
        <v>0.1</v>
      </c>
    </row>
    <row r="132" spans="1:6" x14ac:dyDescent="0.15">
      <c r="B132" s="211" t="s">
        <v>258</v>
      </c>
      <c r="C132" s="217">
        <f>Scenarios!C60</f>
        <v>77.785604602754844</v>
      </c>
      <c r="D132" s="212" t="str">
        <f>Market_currency</f>
        <v>CNY</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0.33699999999999997</v>
      </c>
    </row>
    <row r="143" spans="1:6" x14ac:dyDescent="0.15">
      <c r="B143" s="212" t="s">
        <v>261</v>
      </c>
      <c r="C143" s="213">
        <f>Scenarios!C77</f>
        <v>4.6470000000000002</v>
      </c>
      <c r="D143" s="212" t="str">
        <f>Market_currency</f>
        <v>CNY</v>
      </c>
    </row>
    <row r="145" spans="2:4" x14ac:dyDescent="0.15">
      <c r="B145" s="210" t="s">
        <v>408</v>
      </c>
      <c r="C145" s="241" t="str">
        <f>C11</f>
        <v>002304.SZ</v>
      </c>
      <c r="D145" s="241" t="str">
        <f>IF(D11="","",D11)</f>
        <v/>
      </c>
    </row>
    <row r="146" spans="2:4" x14ac:dyDescent="0.15">
      <c r="B146" s="1" t="s">
        <v>407</v>
      </c>
      <c r="C146" s="297">
        <f>F29</f>
        <v>0.33699999999999997</v>
      </c>
    </row>
    <row r="147" spans="2:4" x14ac:dyDescent="0.15">
      <c r="B147" s="212" t="str">
        <f>"PV("&amp;C141&amp;" yrs of Dividends)"</f>
        <v>PV(3 yrs of Dividends)</v>
      </c>
      <c r="C147" s="216">
        <f>Scenarios!C81</f>
        <v>8.0196797144163927</v>
      </c>
    </row>
    <row r="148" spans="2:4" x14ac:dyDescent="0.15">
      <c r="B148" s="212" t="str">
        <f>"+ PV(Equity Value realized at year "&amp;C141&amp;")"</f>
        <v>+ PV(Equity Value realized at year 3)</v>
      </c>
      <c r="C148" s="216">
        <f>Scenarios!C82</f>
        <v>32.546553796162996</v>
      </c>
    </row>
    <row r="149" spans="2:4" x14ac:dyDescent="0.15">
      <c r="B149" s="80" t="s">
        <v>260</v>
      </c>
      <c r="C149" s="215">
        <f>Scenarios!C83</f>
        <v>40.566233510579387</v>
      </c>
      <c r="D149" s="300" t="str">
        <f>IF($D$11="","",C149*$E$25)</f>
        <v/>
      </c>
    </row>
    <row r="150" spans="2:4" x14ac:dyDescent="0.15">
      <c r="B150" s="259" t="s">
        <v>416</v>
      </c>
      <c r="C150" s="298" t="str">
        <f>Market_currency</f>
        <v>CNY</v>
      </c>
      <c r="D150" s="298" t="str">
        <f>IF($D$11="","",D$13)</f>
        <v/>
      </c>
    </row>
    <row r="151" spans="2:4" x14ac:dyDescent="0.15">
      <c r="B151" s="214" t="s">
        <v>262</v>
      </c>
      <c r="C151" s="92">
        <f>Scenarios!F83</f>
        <v>0.47848662078609472</v>
      </c>
    </row>
    <row r="153" spans="2:4" x14ac:dyDescent="0.15">
      <c r="B153" s="210" t="s">
        <v>411</v>
      </c>
    </row>
    <row r="154" spans="2:4" x14ac:dyDescent="0.15">
      <c r="B154" s="1" t="s">
        <v>410</v>
      </c>
      <c r="C154" s="297">
        <f>Scenarios!C90</f>
        <v>0.187</v>
      </c>
    </row>
    <row r="155" spans="2:4" x14ac:dyDescent="0.15">
      <c r="B155" s="212" t="str">
        <f>"PV("&amp;C141&amp;" yrs of Dividends)"</f>
        <v>PV(3 yrs of Dividends)</v>
      </c>
      <c r="C155" s="216">
        <f>Scenarios!C91</f>
        <v>9.9916325637411276</v>
      </c>
    </row>
    <row r="156" spans="2:4" x14ac:dyDescent="0.15">
      <c r="B156" s="212" t="str">
        <f>"+ PV(Equity Value realized at year "&amp;C141&amp;")"</f>
        <v>+ PV(Equity Value realized at year 3)</v>
      </c>
      <c r="C156" s="216">
        <f>Scenarios!C92</f>
        <v>46.510078747659925</v>
      </c>
    </row>
    <row r="157" spans="2:4" x14ac:dyDescent="0.15">
      <c r="B157" s="80" t="s">
        <v>260</v>
      </c>
      <c r="C157" s="215">
        <f>Scenarios!C93</f>
        <v>56.501711311401053</v>
      </c>
      <c r="D157" s="300" t="str">
        <f>IF($D$11="","",C157*$E$25)</f>
        <v/>
      </c>
    </row>
    <row r="158" spans="2:4" x14ac:dyDescent="0.15">
      <c r="B158" s="259" t="s">
        <v>416</v>
      </c>
      <c r="C158" s="298" t="str">
        <f>Market_currency</f>
        <v>CNY</v>
      </c>
      <c r="D158" s="298" t="str">
        <f>IF($D$11="","",D$13)</f>
        <v/>
      </c>
    </row>
    <row r="159" spans="2:4" x14ac:dyDescent="0.15">
      <c r="B159" s="214" t="s">
        <v>262</v>
      </c>
      <c r="C159" s="92">
        <f>Scenarios!F93</f>
        <v>0.27362252180270386</v>
      </c>
    </row>
    <row r="161" spans="2:4" x14ac:dyDescent="0.15">
      <c r="B161" s="210" t="s">
        <v>400</v>
      </c>
    </row>
    <row r="162" spans="2:4" x14ac:dyDescent="0.15">
      <c r="B162" s="1" t="s">
        <v>409</v>
      </c>
      <c r="C162" s="92">
        <f>Scenarios!C96</f>
        <v>0.06</v>
      </c>
    </row>
    <row r="163" spans="2:4" x14ac:dyDescent="0.15">
      <c r="B163" s="212" t="str">
        <f>"PV("&amp;C141&amp;" yrs of Dividends)"</f>
        <v>PV(3 yrs of Dividends)</v>
      </c>
      <c r="C163" s="216">
        <f>Scenarios!C97</f>
        <v>12.421486529148241</v>
      </c>
    </row>
    <row r="164" spans="2:4" x14ac:dyDescent="0.15">
      <c r="B164" s="212" t="str">
        <f>"+ PV(Equity Value realized at year "&amp;C141&amp;")"</f>
        <v>+ PV(Equity Value realized at year 3)</v>
      </c>
      <c r="C164" s="216">
        <f>Scenarios!C98</f>
        <v>65.310293566799118</v>
      </c>
    </row>
    <row r="165" spans="2:4" x14ac:dyDescent="0.15">
      <c r="B165" s="80" t="s">
        <v>401</v>
      </c>
      <c r="C165" s="215">
        <f>Scenarios!C99</f>
        <v>77.731780095947357</v>
      </c>
      <c r="D165" s="300" t="str">
        <f>IF($D$11="","",C165*$E$25)</f>
        <v/>
      </c>
    </row>
    <row r="166" spans="2:4" x14ac:dyDescent="0.15">
      <c r="B166" s="259" t="s">
        <v>416</v>
      </c>
      <c r="C166" s="298" t="str">
        <f>Market_currency</f>
        <v>CNY</v>
      </c>
      <c r="D166" s="298" t="str">
        <f>IF($D$11="","",D$13)</f>
        <v/>
      </c>
    </row>
    <row r="167" spans="2:4" x14ac:dyDescent="0.15">
      <c r="B167" s="214" t="s">
        <v>262</v>
      </c>
      <c r="C167" s="92">
        <f>Scenarios!F99</f>
        <v>6.9195974091051937E-4</v>
      </c>
    </row>
    <row r="169" spans="2:4" x14ac:dyDescent="0.15">
      <c r="B169" s="210" t="s">
        <v>432</v>
      </c>
    </row>
    <row r="170" spans="2:4" x14ac:dyDescent="0.15">
      <c r="B170" s="1" t="s">
        <v>423</v>
      </c>
      <c r="C170" s="92">
        <f>F32</f>
        <v>8.6999999999999994E-2</v>
      </c>
    </row>
    <row r="171" spans="2:4" x14ac:dyDescent="0.15">
      <c r="B171" s="212" t="str">
        <f>"PV("&amp;C141&amp;" yrs of Dividends)"</f>
        <v>PV(3 yrs of Dividends)</v>
      </c>
      <c r="C171" s="216">
        <f>Scenarios!C103</f>
        <v>11.826104101614131</v>
      </c>
    </row>
    <row r="172" spans="2:4" x14ac:dyDescent="0.15">
      <c r="B172" s="212" t="str">
        <f>"+ PV(Equity Value realized at year "&amp;C141&amp;")"</f>
        <v>+ PV(Equity Value realized at year 3)</v>
      </c>
      <c r="C172" s="216">
        <f>Scenarios!C104</f>
        <v>60.563448972324863</v>
      </c>
    </row>
    <row r="173" spans="2:4" x14ac:dyDescent="0.15">
      <c r="B173" s="80" t="s">
        <v>401</v>
      </c>
      <c r="C173" s="215">
        <f>Scenarios!C105</f>
        <v>72.389553073938998</v>
      </c>
      <c r="D173" s="300" t="str">
        <f>IF($D$11="","",C173*$E$25)</f>
        <v/>
      </c>
    </row>
    <row r="174" spans="2:4" x14ac:dyDescent="0.15">
      <c r="B174" s="259" t="s">
        <v>416</v>
      </c>
      <c r="C174" s="298" t="str">
        <f>Market_currency</f>
        <v>CNY</v>
      </c>
      <c r="D174" s="298" t="str">
        <f>IF($D$11="","",D$13)</f>
        <v/>
      </c>
    </row>
    <row r="175" spans="2:4" x14ac:dyDescent="0.15">
      <c r="B175" s="214" t="s">
        <v>262</v>
      </c>
      <c r="C175" s="92">
        <f>Scenarios!F105</f>
        <v>6.9397561757708282E-2</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v>
      </c>
    </row>
    <row r="4" spans="2:13" x14ac:dyDescent="0.15">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x14ac:dyDescent="0.15">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x14ac:dyDescent="0.15">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x14ac:dyDescent="0.15">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x14ac:dyDescent="0.15">
      <c r="B8" s="40" t="s">
        <v>49</v>
      </c>
      <c r="C8" s="351">
        <v>104796407</v>
      </c>
      <c r="D8" s="351">
        <v>284753881</v>
      </c>
      <c r="E8" s="351">
        <v>253574976</v>
      </c>
      <c r="F8" s="351">
        <v>258458103</v>
      </c>
      <c r="G8" s="351">
        <v>260094291</v>
      </c>
      <c r="H8" s="351">
        <v>159965594</v>
      </c>
      <c r="I8" s="351">
        <v>27565218</v>
      </c>
      <c r="J8" s="351"/>
      <c r="K8" s="351"/>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v>8812.8943639900008</v>
      </c>
      <c r="D11" s="351">
        <v>12276.83537226</v>
      </c>
      <c r="E11" s="351">
        <v>11766.43425561</v>
      </c>
      <c r="F11" s="351">
        <v>9404.7461288600007</v>
      </c>
      <c r="G11" s="351"/>
      <c r="H11" s="351"/>
      <c r="I11" s="351"/>
      <c r="J11" s="351"/>
      <c r="K11" s="351"/>
      <c r="L11" s="351"/>
      <c r="M11" s="351"/>
    </row>
    <row r="12" spans="2:13" x14ac:dyDescent="0.15">
      <c r="B12" s="40" t="s">
        <v>39</v>
      </c>
      <c r="C12" s="351">
        <v>2955080</v>
      </c>
      <c r="D12" s="351">
        <v>1707108</v>
      </c>
      <c r="E12" s="351">
        <v>694326</v>
      </c>
      <c r="F12" s="351">
        <v>603756</v>
      </c>
      <c r="G12" s="351">
        <v>1964</v>
      </c>
      <c r="H12" s="351">
        <v>2618</v>
      </c>
      <c r="I12" s="351">
        <v>3273</v>
      </c>
      <c r="J12" s="351"/>
      <c r="K12" s="351"/>
      <c r="L12" s="351"/>
      <c r="M12" s="351"/>
    </row>
    <row r="13" spans="2:13" x14ac:dyDescent="0.15">
      <c r="B13" s="40" t="s">
        <v>67</v>
      </c>
      <c r="C13" s="351">
        <v>621439989</v>
      </c>
      <c r="D13" s="351">
        <v>765369577</v>
      </c>
      <c r="E13" s="351">
        <v>645806427</v>
      </c>
      <c r="F13" s="351">
        <v>433923396</v>
      </c>
      <c r="G13" s="351">
        <v>104495154</v>
      </c>
      <c r="H13" s="351">
        <v>77589504</v>
      </c>
      <c r="I13" s="351">
        <v>69133580</v>
      </c>
      <c r="J13" s="351"/>
      <c r="K13" s="351"/>
      <c r="L13" s="351"/>
      <c r="M13" s="351"/>
    </row>
    <row r="14" spans="2:13" x14ac:dyDescent="0.15">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x14ac:dyDescent="0.15">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x14ac:dyDescent="0.15">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x14ac:dyDescent="0.15">
      <c r="B18" s="16" t="s">
        <v>51</v>
      </c>
      <c r="C18" s="9"/>
    </row>
    <row r="19" spans="2:13" ht="13" x14ac:dyDescent="0.15">
      <c r="B19" s="27" t="s">
        <v>47</v>
      </c>
      <c r="C19" s="351">
        <v>697421786</v>
      </c>
      <c r="D19" s="351">
        <v>730011100</v>
      </c>
      <c r="E19" s="351">
        <v>752915036</v>
      </c>
      <c r="F19" s="351">
        <v>759253984</v>
      </c>
      <c r="G19" s="351">
        <v>782849742</v>
      </c>
      <c r="H19" s="351">
        <v>776102930</v>
      </c>
      <c r="I19" s="351">
        <v>757446024</v>
      </c>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ht="13" x14ac:dyDescent="0.15">
      <c r="B23" s="27" t="s">
        <v>373</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ht="13" x14ac:dyDescent="0.15">
      <c r="B24" s="27" t="s">
        <v>372</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x14ac:dyDescent="0.15">
      <c r="B25" s="24" t="str">
        <f>"Dividend per share ("&amp;Market_currency&amp;")"</f>
        <v>Dividend per share (CNY)</v>
      </c>
      <c r="C25" s="39">
        <f>46.47/10</f>
        <v>4.6470000000000002</v>
      </c>
      <c r="D25" s="39"/>
      <c r="E25" s="39"/>
      <c r="F25" s="39"/>
      <c r="G25" s="39"/>
      <c r="H25" s="39"/>
      <c r="I25" s="39"/>
      <c r="J25" s="39"/>
      <c r="K25" s="39"/>
      <c r="L25" s="39"/>
      <c r="M25" s="39"/>
    </row>
    <row r="27" spans="2:13" x14ac:dyDescent="0.15">
      <c r="B27" s="16" t="s">
        <v>28</v>
      </c>
      <c r="C27" s="97" t="s">
        <v>462</v>
      </c>
    </row>
    <row r="28" spans="2:13" ht="13" x14ac:dyDescent="0.15">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ht="13" x14ac:dyDescent="0.15">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ht="13" x14ac:dyDescent="0.15">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ht="13" x14ac:dyDescent="0.15">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ht="13" x14ac:dyDescent="0.15">
      <c r="B32" s="26" t="s">
        <v>172</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x14ac:dyDescent="0.15">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ht="13" x14ac:dyDescent="0.15">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x14ac:dyDescent="0.15">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x14ac:dyDescent="0.15">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x14ac:dyDescent="0.15">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x14ac:dyDescent="0.15">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x14ac:dyDescent="0.15">
      <c r="B43" s="43" t="s">
        <v>152</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x14ac:dyDescent="0.15">
      <c r="B44" s="43" t="s">
        <v>168</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x14ac:dyDescent="0.15">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x14ac:dyDescent="0.15">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x14ac:dyDescent="0.15">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x14ac:dyDescent="0.15">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x14ac:dyDescent="0.15">
      <c r="B50" s="16" t="s">
        <v>68</v>
      </c>
    </row>
    <row r="51" spans="2:13" x14ac:dyDescent="0.15">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x14ac:dyDescent="0.15">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x14ac:dyDescent="0.15">
      <c r="B60" s="16" t="s">
        <v>51</v>
      </c>
      <c r="C60" s="9"/>
    </row>
    <row r="61" spans="2:13" ht="13" x14ac:dyDescent="0.15">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ht="13" x14ac:dyDescent="0.15">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x14ac:dyDescent="0.15">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ht="13" x14ac:dyDescent="0.15">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x14ac:dyDescent="0.15">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x14ac:dyDescent="0.15">
      <c r="B71" s="43" t="s">
        <v>168</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x14ac:dyDescent="0.15">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ht="13" x14ac:dyDescent="0.15">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ht="13" x14ac:dyDescent="0.15">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ht="13" x14ac:dyDescent="0.15">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ht="13" x14ac:dyDescent="0.15">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413398699+8994904.73+1090851688.67+17051847.78</f>
        <v>1530297140.1800001</v>
      </c>
      <c r="D4" s="261">
        <v>0.6</v>
      </c>
      <c r="E4" s="25"/>
      <c r="F4" s="4" t="s">
        <v>77</v>
      </c>
      <c r="G4" s="19">
        <v>21748297978.369999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19732881051.73</v>
      </c>
      <c r="D6" s="261">
        <v>0.5</v>
      </c>
      <c r="E6" s="25"/>
      <c r="F6" s="4" t="s">
        <v>177</v>
      </c>
      <c r="G6" s="19">
        <v>0</v>
      </c>
      <c r="H6" s="261">
        <v>0.6</v>
      </c>
    </row>
    <row r="7" spans="2:8" ht="15" customHeight="1" x14ac:dyDescent="0.15">
      <c r="B7" s="1" t="s">
        <v>69</v>
      </c>
      <c r="C7" s="19">
        <v>0</v>
      </c>
      <c r="D7" s="261">
        <v>0.6</v>
      </c>
      <c r="E7" s="25"/>
      <c r="F7" s="4" t="s">
        <v>178</v>
      </c>
      <c r="G7" s="19">
        <v>6380145437.1400003</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23310180.68</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909932715.44000006</v>
      </c>
      <c r="D11" s="261">
        <v>0.05</v>
      </c>
      <c r="H11" s="262"/>
    </row>
    <row r="12" spans="2:8" ht="15" customHeight="1" x14ac:dyDescent="0.15">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0</v>
      </c>
      <c r="D15" s="261">
        <v>0.4</v>
      </c>
      <c r="F15" s="4" t="s">
        <v>78</v>
      </c>
      <c r="G15" s="19">
        <v>0</v>
      </c>
      <c r="H15" s="261">
        <v>0.8</v>
      </c>
    </row>
    <row r="16" spans="2:8" ht="15" customHeight="1" x14ac:dyDescent="0.15">
      <c r="B16" s="1" t="s">
        <v>34</v>
      </c>
      <c r="C16" s="19">
        <v>4614148799.21</v>
      </c>
      <c r="D16" s="261">
        <v>0.5</v>
      </c>
      <c r="F16" s="4" t="s">
        <v>177</v>
      </c>
      <c r="G16" s="19">
        <v>0</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5571618070.98+1912601220.28+66814914.62</f>
        <v>7551034205.8799992</v>
      </c>
      <c r="D19" s="261">
        <v>0.1</v>
      </c>
      <c r="F19" s="4" t="s">
        <v>182</v>
      </c>
      <c r="G19" s="19">
        <v>1235408741.8699999</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1804220059.96</v>
      </c>
      <c r="D21" s="261">
        <v>0.05</v>
      </c>
      <c r="F21" s="1" t="s">
        <v>180</v>
      </c>
      <c r="G21" s="19">
        <v>0</v>
      </c>
      <c r="H21" s="261">
        <v>0.1</v>
      </c>
    </row>
    <row r="22" spans="2:8" ht="15" customHeight="1" x14ac:dyDescent="0.15">
      <c r="B22" s="4" t="s">
        <v>20</v>
      </c>
      <c r="C22" s="19">
        <f>1242507668.92+180606719.81</f>
        <v>1423114388.73</v>
      </c>
      <c r="D22" s="261">
        <v>0.9</v>
      </c>
      <c r="H22" s="262"/>
    </row>
    <row r="23" spans="2:8" ht="15" customHeight="1" x14ac:dyDescent="0.15">
      <c r="B23" s="4" t="s">
        <v>21</v>
      </c>
      <c r="C23" s="19">
        <f>276001989.95+116472530.48</f>
        <v>392474520.43000001</v>
      </c>
      <c r="D23" s="261">
        <v>0</v>
      </c>
      <c r="H23" s="262"/>
    </row>
    <row r="24" spans="2:8" ht="15" customHeight="1" x14ac:dyDescent="0.15">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x14ac:dyDescent="0.15">
      <c r="B26" s="16" t="s">
        <v>200</v>
      </c>
      <c r="C26" s="182" t="s">
        <v>136</v>
      </c>
      <c r="F26" s="184" t="s">
        <v>196</v>
      </c>
      <c r="G26" s="185" t="s">
        <v>136</v>
      </c>
      <c r="H26" s="186" t="s">
        <v>35</v>
      </c>
    </row>
    <row r="27" spans="2:8" ht="15" customHeight="1" x14ac:dyDescent="0.15">
      <c r="B27" s="4" t="s">
        <v>5</v>
      </c>
      <c r="C27" s="19">
        <v>0</v>
      </c>
      <c r="F27" s="187" t="s">
        <v>30</v>
      </c>
      <c r="G27" s="85">
        <f>G32-G30</f>
        <v>51693045853.879997</v>
      </c>
      <c r="H27" s="188">
        <f>H32-G30</f>
        <v>23138515188.125008</v>
      </c>
    </row>
    <row r="28" spans="2:8" ht="15" customHeight="1" x14ac:dyDescent="0.15">
      <c r="B28" s="4" t="s">
        <v>6</v>
      </c>
      <c r="C28" s="19">
        <v>0</v>
      </c>
      <c r="F28" s="189" t="s">
        <v>244</v>
      </c>
      <c r="G28" s="12">
        <v>104802725.23</v>
      </c>
      <c r="H28" s="188"/>
    </row>
    <row r="29" spans="2:8" ht="15" customHeight="1" x14ac:dyDescent="0.15">
      <c r="B29" s="4" t="s">
        <v>7</v>
      </c>
      <c r="C29" s="19">
        <v>0</v>
      </c>
      <c r="F29" s="190" t="s">
        <v>75</v>
      </c>
      <c r="G29" s="14">
        <f>G27-G28</f>
        <v>51588243128.649994</v>
      </c>
      <c r="H29" s="188">
        <f>H27-G28</f>
        <v>23033712462.895008</v>
      </c>
    </row>
    <row r="30" spans="2:8" ht="15" customHeight="1" x14ac:dyDescent="0.15">
      <c r="B30" s="2" t="s">
        <v>8</v>
      </c>
      <c r="C30" s="19">
        <v>0</v>
      </c>
      <c r="F30" s="187" t="s">
        <v>23</v>
      </c>
      <c r="G30" s="85">
        <f>C33+C42</f>
        <v>15652219365.74</v>
      </c>
      <c r="H30" s="188"/>
    </row>
    <row r="31" spans="2:8" ht="15" customHeight="1" x14ac:dyDescent="0.15">
      <c r="B31" s="80" t="s">
        <v>203</v>
      </c>
      <c r="C31" s="81">
        <f>SUM(C27:C30)</f>
        <v>0</v>
      </c>
      <c r="F31" s="190" t="s">
        <v>76</v>
      </c>
      <c r="G31" s="191">
        <f>C31+C40</f>
        <v>40134989.460000001</v>
      </c>
      <c r="H31" s="188"/>
    </row>
    <row r="32" spans="2:8" ht="15" customHeight="1" x14ac:dyDescent="0.15">
      <c r="B32" s="4" t="s">
        <v>9</v>
      </c>
      <c r="C32" s="21">
        <f>C33-C31</f>
        <v>15258522338.129999</v>
      </c>
      <c r="F32" s="192" t="s">
        <v>74</v>
      </c>
      <c r="G32" s="193">
        <f>G35+G40</f>
        <v>67345265219.619995</v>
      </c>
      <c r="H32" s="188">
        <f>H35+H40</f>
        <v>38790734553.865005</v>
      </c>
    </row>
    <row r="33" spans="2:8" ht="15" customHeight="1" x14ac:dyDescent="0.15">
      <c r="B33" s="83" t="s">
        <v>4</v>
      </c>
      <c r="C33" s="84">
        <v>15258522338.129999</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37981413062.239998</v>
      </c>
      <c r="H35" s="200">
        <f>D12+D24</f>
        <v>15265638236.861</v>
      </c>
    </row>
    <row r="36" spans="2:8" ht="15" customHeight="1" x14ac:dyDescent="0.15">
      <c r="B36" s="4" t="s">
        <v>13</v>
      </c>
      <c r="C36" s="19">
        <v>0</v>
      </c>
      <c r="F36" s="190" t="s">
        <v>197</v>
      </c>
      <c r="G36" s="191">
        <f>C4+C15</f>
        <v>1530297140.1800001</v>
      </c>
      <c r="H36" s="195"/>
    </row>
    <row r="37" spans="2:8" ht="15" customHeight="1" x14ac:dyDescent="0.15">
      <c r="B37" s="4" t="s">
        <v>14</v>
      </c>
      <c r="C37" s="19">
        <v>40134989.460000001</v>
      </c>
      <c r="F37" s="190" t="s">
        <v>198</v>
      </c>
      <c r="G37" s="191">
        <f>C6</f>
        <v>19732881051.73</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7551034205.8799992</v>
      </c>
      <c r="H39" s="188">
        <f>C7*D7+C17*D17+C19*D19+C20*D20</f>
        <v>755103420.58799994</v>
      </c>
    </row>
    <row r="40" spans="2:8" ht="15" customHeight="1" x14ac:dyDescent="0.15">
      <c r="B40" s="80" t="s">
        <v>204</v>
      </c>
      <c r="C40" s="81">
        <f>SUM(C36:C39)</f>
        <v>40134989.460000001</v>
      </c>
      <c r="F40" s="199" t="s">
        <v>138</v>
      </c>
      <c r="G40" s="193">
        <f>G12+G24</f>
        <v>29363852157.379997</v>
      </c>
      <c r="H40" s="200">
        <f>H12+H24</f>
        <v>23525096317.004002</v>
      </c>
    </row>
    <row r="41" spans="2:8" ht="15" customHeight="1" x14ac:dyDescent="0.15">
      <c r="B41" s="4" t="s">
        <v>17</v>
      </c>
      <c r="C41" s="21">
        <f>C42-C40</f>
        <v>353562038.15000004</v>
      </c>
      <c r="F41" s="190" t="s">
        <v>191</v>
      </c>
      <c r="G41" s="191">
        <f>C70</f>
        <v>21748297978.369999</v>
      </c>
      <c r="H41" s="200">
        <f>H40-H42</f>
        <v>19573468180.533001</v>
      </c>
    </row>
    <row r="42" spans="2:8" ht="15" customHeight="1" x14ac:dyDescent="0.15">
      <c r="B42" s="83" t="s">
        <v>22</v>
      </c>
      <c r="C42" s="84">
        <v>393697027.61000001</v>
      </c>
      <c r="F42" s="201" t="s">
        <v>192</v>
      </c>
      <c r="G42" s="202">
        <f>C82</f>
        <v>7615554179.0100002</v>
      </c>
      <c r="H42" s="203">
        <f>D82</f>
        <v>3951628136.4709997</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51588243128.649994</v>
      </c>
      <c r="D46" s="76">
        <f>H29</f>
        <v>23033712462.895008</v>
      </c>
      <c r="F46" s="253"/>
    </row>
    <row r="47" spans="2:8" ht="15" customHeight="1" x14ac:dyDescent="0.15">
      <c r="B47" s="1" t="str">
        <f>"Equity per share ("&amp;Market_currency&amp;")"</f>
        <v>Equity per share (CNY)</v>
      </c>
      <c r="C47" s="147">
        <f>C46*H1/Common_Shares*Exchange_Rate</f>
        <v>34.232683424585993</v>
      </c>
      <c r="D47" s="147">
        <f>D46*H1/Common_Shares*Exchange_Rate</f>
        <v>15.284602440692964</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5.5975167910006915E-3</v>
      </c>
      <c r="D50" s="95">
        <f>G31/Normalized_FCF!G8</f>
        <v>4.5851652280403769E-3</v>
      </c>
      <c r="F50" s="253"/>
    </row>
    <row r="51" spans="2:8" ht="15" customHeight="1" x14ac:dyDescent="0.15">
      <c r="B51" s="1" t="s">
        <v>176</v>
      </c>
      <c r="C51" s="181"/>
      <c r="D51" s="92">
        <f>G29/G32</f>
        <v>0.76602628203208212</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0.18878028179485057</v>
      </c>
      <c r="D54" s="92">
        <f>Normalized_FCF!G8/G35</f>
        <v>0.23046078921961435</v>
      </c>
      <c r="F54" s="253"/>
    </row>
    <row r="55" spans="2:8" ht="15" customHeight="1" x14ac:dyDescent="0.15">
      <c r="B55" s="1" t="s">
        <v>141</v>
      </c>
      <c r="C55" s="92">
        <f>Normalized_FCF!C11/G40</f>
        <v>0</v>
      </c>
      <c r="D55" s="92">
        <f>Normalized_FCF!G11/G40</f>
        <v>3.0012732378422159E-7</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9.2361094783138031E-2</v>
      </c>
      <c r="F58" s="5"/>
    </row>
    <row r="59" spans="2:8" ht="15" customHeight="1" x14ac:dyDescent="0.15">
      <c r="B59" s="1" t="s">
        <v>92</v>
      </c>
      <c r="C59" s="98"/>
      <c r="D59" s="92">
        <f>G39/G32</f>
        <v>0.1121242032569815</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2.0315234416617856E-3</v>
      </c>
      <c r="D62" s="92">
        <f>G28/G29</f>
        <v>2.0315234416617856E-3</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21748297978.369999</v>
      </c>
      <c r="D66" s="76">
        <f>C66-D75</f>
        <v>17616201015.993965</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21748297978.369999</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-2260503650</v>
      </c>
      <c r="D73" s="349">
        <f>(Normalized_FCF!C25+Normalized_FCF!C35-Normalized_FCF!C91)/12</f>
        <v>-2066048481.1880178</v>
      </c>
      <c r="F73" s="1" t="s">
        <v>351</v>
      </c>
    </row>
    <row r="74" spans="2:6" ht="15" customHeight="1" x14ac:dyDescent="0.15">
      <c r="B74" s="257" t="s">
        <v>321</v>
      </c>
      <c r="C74" s="258">
        <f>-$C$66/C73</f>
        <v>9.6209966209831155</v>
      </c>
      <c r="D74" s="258">
        <f>-$C$66/D73</f>
        <v>10.526518702922356</v>
      </c>
      <c r="F74" s="253" t="s">
        <v>319</v>
      </c>
    </row>
    <row r="75" spans="2:6" ht="15" customHeight="1" x14ac:dyDescent="0.15">
      <c r="B75" s="80" t="s">
        <v>320</v>
      </c>
      <c r="C75" s="320"/>
      <c r="D75" s="321">
        <f>MAX(-D73*D76,G5)</f>
        <v>4132096962.3760357</v>
      </c>
      <c r="F75" s="253" t="s">
        <v>352</v>
      </c>
    </row>
    <row r="76" spans="2:6" ht="15" customHeight="1" x14ac:dyDescent="0.15">
      <c r="B76" s="259" t="s">
        <v>322</v>
      </c>
      <c r="C76" s="260"/>
      <c r="D76" s="290">
        <f>IF(D74&lt;=3,1,IF(D74&gt;18,6,2))</f>
        <v>2</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6380145437.1400003</v>
      </c>
      <c r="D79" s="76">
        <f>G7*H7+G17*H17</f>
        <v>3828087262.2839999</v>
      </c>
      <c r="F79" s="253"/>
    </row>
    <row r="80" spans="2:6" ht="15" customHeight="1" x14ac:dyDescent="0.15">
      <c r="B80" s="105" t="s">
        <v>182</v>
      </c>
      <c r="C80" s="20">
        <f>G19</f>
        <v>1235408741.8699999</v>
      </c>
      <c r="D80" s="76">
        <f>G19*H19</f>
        <v>123540874.18699999</v>
      </c>
      <c r="F80" s="253"/>
    </row>
    <row r="81" spans="2:8" ht="15" customHeight="1" x14ac:dyDescent="0.15">
      <c r="B81" s="105" t="s">
        <v>180</v>
      </c>
      <c r="C81" s="20">
        <f>G9+G21</f>
        <v>0</v>
      </c>
      <c r="D81" s="76">
        <f>G9*H9+G21*H21</f>
        <v>0</v>
      </c>
      <c r="F81" s="253"/>
    </row>
    <row r="82" spans="2:8" ht="15" customHeight="1" x14ac:dyDescent="0.15">
      <c r="B82" s="80" t="s">
        <v>189</v>
      </c>
      <c r="C82" s="81">
        <f>SUM(C79:C81)</f>
        <v>7615554179.0100002</v>
      </c>
      <c r="D82" s="81">
        <f>SUM(D79:D81)</f>
        <v>3951628136.4709997</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-40134989.460000001</v>
      </c>
      <c r="D86" s="223">
        <f>C86*scaling_factor/Common_Shares</f>
        <v>-2.6632587293329478E-2</v>
      </c>
      <c r="E86" s="240" t="str">
        <f>Market_currency</f>
        <v>CNY</v>
      </c>
    </row>
    <row r="87" spans="2:8" ht="15" customHeight="1" x14ac:dyDescent="0.15">
      <c r="B87" s="238" t="s">
        <v>287</v>
      </c>
      <c r="C87" s="76">
        <f>DCF!C8*Exchange_Rate</f>
        <v>17616201015.993965</v>
      </c>
      <c r="D87" s="223">
        <f>C87*scaling_factor/Common_Shares</f>
        <v>11.689675708097187</v>
      </c>
      <c r="E87" s="240" t="str">
        <f>Market_currency</f>
        <v>CNY</v>
      </c>
    </row>
    <row r="88" spans="2:8" ht="15" customHeight="1" x14ac:dyDescent="0.15">
      <c r="B88" s="239" t="s">
        <v>189</v>
      </c>
      <c r="C88" s="76">
        <f>DCF!C9*Exchange_Rate</f>
        <v>3951628136.4709997</v>
      </c>
      <c r="D88" s="223">
        <f>C88*scaling_factor/Common_Shares</f>
        <v>2.6222027889213448</v>
      </c>
      <c r="E88" s="240" t="str">
        <f>Market_currency</f>
        <v>CNY</v>
      </c>
    </row>
    <row r="89" spans="2:8" ht="15" customHeight="1" x14ac:dyDescent="0.15">
      <c r="B89" s="80" t="s">
        <v>291</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x14ac:dyDescent="0.15">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x14ac:dyDescent="0.15">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x14ac:dyDescent="0.15">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x14ac:dyDescent="0.15">
      <c r="A8" s="10"/>
      <c r="B8" s="29" t="s">
        <v>152</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x14ac:dyDescent="0.15">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x14ac:dyDescent="0.15">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x14ac:dyDescent="0.15">
      <c r="A13" s="10"/>
      <c r="B13" s="70" t="s">
        <v>164</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x14ac:dyDescent="0.15">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x14ac:dyDescent="0.15">
      <c r="A15" s="10"/>
      <c r="B15" s="40" t="s">
        <v>243</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x14ac:dyDescent="0.15">
      <c r="A16" s="10"/>
      <c r="B16" s="41" t="s">
        <v>154</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x14ac:dyDescent="0.2">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x14ac:dyDescent="0.15">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G28</f>
        <v>0.43555810887432517</v>
      </c>
      <c r="D28" s="26"/>
      <c r="E28" s="266" t="s">
        <v>333</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x14ac:dyDescent="0.2">
      <c r="A29" s="10"/>
      <c r="B29" s="68" t="str">
        <f>B24</f>
        <v>Selling Expenses</v>
      </c>
      <c r="C29" s="63">
        <f>G29</f>
        <v>0.19102998373185384</v>
      </c>
      <c r="D29" s="26"/>
      <c r="E29" s="266" t="s">
        <v>333</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x14ac:dyDescent="0.15">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G33</f>
        <v>-1924730302</v>
      </c>
      <c r="E33" s="266" t="s">
        <v>333</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x14ac:dyDescent="0.15">
      <c r="A34" s="10"/>
      <c r="B34" s="27" t="s">
        <v>49</v>
      </c>
      <c r="C34" s="340">
        <f>AVERAGE(G34:J34)</f>
        <v>-225395841.75</v>
      </c>
      <c r="D34" s="58"/>
      <c r="E34" s="266" t="s">
        <v>333</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x14ac:dyDescent="0.15">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x14ac:dyDescent="0.15">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x14ac:dyDescent="0.15">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x14ac:dyDescent="0.15">
      <c r="A48" s="10"/>
      <c r="B48" s="2" t="s">
        <v>345</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x14ac:dyDescent="0.15">
      <c r="A49" s="10"/>
      <c r="B49" s="287" t="s">
        <v>342</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x14ac:dyDescent="0.15">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2.8574189558100579E-2</v>
      </c>
      <c r="E53" s="265" t="s">
        <v>335</v>
      </c>
      <c r="G53" s="6">
        <f>IF(Normalized_FCF!G4="","",Normalized_FCF!G49/BS!$C$66)</f>
        <v>2.8574189558100579E-2</v>
      </c>
      <c r="H53" s="169"/>
      <c r="I53" s="169"/>
      <c r="J53" s="169"/>
      <c r="K53" s="169"/>
      <c r="L53" s="169"/>
      <c r="M53" s="169"/>
      <c r="N53" s="169"/>
      <c r="O53" s="169"/>
      <c r="P53" s="169"/>
      <c r="Q53" s="169"/>
    </row>
    <row r="54" spans="1:17" ht="15.75" customHeight="1" x14ac:dyDescent="0.15">
      <c r="A54" s="10"/>
      <c r="B54" s="8" t="s">
        <v>87</v>
      </c>
      <c r="C54" s="82">
        <f>G54</f>
        <v>7.3628523135533419E-2</v>
      </c>
      <c r="E54" s="265" t="s">
        <v>336</v>
      </c>
      <c r="G54" s="23">
        <f>IFERROR(ABS(Normalized_FCF!G47/BS!$G$31),0)</f>
        <v>7.3628523135533419E-2</v>
      </c>
      <c r="H54" s="169"/>
      <c r="I54" s="169"/>
      <c r="J54" s="169"/>
      <c r="K54" s="169"/>
      <c r="L54" s="169"/>
      <c r="M54" s="169"/>
      <c r="N54" s="169"/>
      <c r="O54" s="169"/>
      <c r="P54" s="169"/>
      <c r="Q54" s="169"/>
    </row>
    <row r="55" spans="1:17" ht="15.75" customHeight="1" x14ac:dyDescent="0.15">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158</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x14ac:dyDescent="0.15">
      <c r="A63" s="10"/>
      <c r="B63" s="31" t="s">
        <v>195</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4.0522225567972991E-7</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463</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x14ac:dyDescent="0.15">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x14ac:dyDescent="0.15">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x14ac:dyDescent="0.15">
      <c r="A76" s="10"/>
      <c r="B76" s="29" t="s">
        <v>152</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x14ac:dyDescent="0.15">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x14ac:dyDescent="0.15">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x14ac:dyDescent="0.15">
      <c r="A81" s="10"/>
      <c r="B81" s="70" t="s">
        <v>164</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x14ac:dyDescent="0.15">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x14ac:dyDescent="0.15">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x14ac:dyDescent="0.15">
      <c r="A84" s="10"/>
      <c r="B84" s="41" t="s">
        <v>154</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7.0430433464686262E-2</v>
      </c>
      <c r="E93" s="268"/>
      <c r="G93" s="23">
        <f t="shared" ref="G93:Q93" si="39">IF(G$4="","",G90/Market_Price)</f>
        <v>7.0430433464686262E-2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x14ac:dyDescent="0.15">
      <c r="A97" s="10"/>
      <c r="B97" s="70" t="s">
        <v>164</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67345265219.619995</v>
      </c>
      <c r="D101" s="26"/>
      <c r="E101" s="269"/>
      <c r="F101" s="26"/>
      <c r="G101" s="333">
        <f t="shared" ref="G101:Q101" si="42">IF(G$4="","",G105+G104)</f>
        <v>67345265219.619995</v>
      </c>
      <c r="H101" s="333">
        <f t="shared" si="42"/>
        <v>69792287456</v>
      </c>
      <c r="I101" s="333">
        <f t="shared" si="42"/>
        <v>67964247135</v>
      </c>
      <c r="J101" s="333">
        <f t="shared" si="42"/>
        <v>67798704194</v>
      </c>
      <c r="K101" s="333">
        <f t="shared" si="42"/>
        <v>53866259307</v>
      </c>
      <c r="L101" s="333">
        <f t="shared" si="42"/>
        <v>53455037841</v>
      </c>
      <c r="M101" s="333">
        <f t="shared" si="42"/>
        <v>49563767816</v>
      </c>
      <c r="N101" s="333">
        <f t="shared" si="42"/>
        <v>43258140702</v>
      </c>
      <c r="O101" s="333">
        <f t="shared" si="42"/>
        <v>38804062249</v>
      </c>
      <c r="P101" s="333">
        <f t="shared" si="42"/>
        <v>33860320967</v>
      </c>
      <c r="Q101" s="333" t="str">
        <f t="shared" si="42"/>
        <v/>
      </c>
    </row>
    <row r="102" spans="1:17" ht="15.75" customHeight="1" x14ac:dyDescent="0.15">
      <c r="A102" s="10"/>
      <c r="B102" s="93" t="s">
        <v>210</v>
      </c>
      <c r="C102" s="345">
        <f>BS!C4</f>
        <v>1530297140.1800001</v>
      </c>
      <c r="D102" s="89"/>
      <c r="E102" s="270"/>
      <c r="F102" s="89"/>
      <c r="G102" s="346">
        <f>IF(G$4="","",Data!D77)</f>
        <v>530005754</v>
      </c>
      <c r="H102" s="346">
        <f>IF(H$4="","",Data!E77)</f>
        <v>571147623</v>
      </c>
      <c r="I102" s="346">
        <f>IF(I$4="","",Data!F77)</f>
        <v>665097278</v>
      </c>
      <c r="J102" s="346">
        <f>IF(J$4="","",Data!G77)</f>
        <v>617721565</v>
      </c>
      <c r="K102" s="346">
        <f>IF(K$4="","",Data!H77)</f>
        <v>675347400</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19732881051.73</v>
      </c>
      <c r="D103" s="89"/>
      <c r="E103" s="270"/>
      <c r="F103" s="89"/>
      <c r="G103" s="346">
        <f>IF(G$4="","",Data!D78)</f>
        <v>18954235402</v>
      </c>
      <c r="H103" s="346">
        <f>IF(H$4="","",Data!E78)</f>
        <v>17729258967</v>
      </c>
      <c r="I103" s="346">
        <f>IF(I$4="","",Data!F78)</f>
        <v>16803093442</v>
      </c>
      <c r="J103" s="346">
        <f>IF(J$4="","",Data!G78)</f>
        <v>14852694146</v>
      </c>
      <c r="K103" s="346">
        <f>IF(K$4="","",Data!H78)</f>
        <v>14433244696</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15652219365.74</v>
      </c>
      <c r="D104" s="26"/>
      <c r="E104" s="269"/>
      <c r="F104" s="26"/>
      <c r="G104" s="333">
        <f>Data!C79</f>
        <v>15652219365.74</v>
      </c>
      <c r="H104" s="333">
        <f>Data!D79</f>
        <v>17742423481</v>
      </c>
      <c r="I104" s="333">
        <f>Data!E79</f>
        <v>20439798531</v>
      </c>
      <c r="J104" s="333">
        <f>Data!F79</f>
        <v>25317393936</v>
      </c>
      <c r="K104" s="333">
        <f>Data!G79</f>
        <v>15396606230</v>
      </c>
      <c r="L104" s="333">
        <f>Data!H79</f>
        <v>16963485271</v>
      </c>
      <c r="M104" s="333">
        <f>Data!I79</f>
        <v>15939249286</v>
      </c>
      <c r="N104" s="333">
        <f>Data!J79</f>
        <v>13763271610</v>
      </c>
      <c r="O104" s="333">
        <f>Data!K79</f>
        <v>12767076382</v>
      </c>
      <c r="P104" s="333">
        <f>Data!L79</f>
        <v>10918840106</v>
      </c>
      <c r="Q104" s="333" t="str">
        <f>Data!M79</f>
        <v/>
      </c>
    </row>
    <row r="105" spans="1:17" ht="15.75" customHeight="1" x14ac:dyDescent="0.15">
      <c r="A105" s="10"/>
      <c r="B105" s="26" t="s">
        <v>30</v>
      </c>
      <c r="C105" s="344">
        <f>BS!G27</f>
        <v>51693045853.879997</v>
      </c>
      <c r="D105" s="26"/>
      <c r="E105" s="269"/>
      <c r="F105" s="26"/>
      <c r="G105" s="333">
        <f>Data!C80</f>
        <v>51693045853.879997</v>
      </c>
      <c r="H105" s="333">
        <f>Data!D80</f>
        <v>52049863975</v>
      </c>
      <c r="I105" s="333">
        <f>Data!E80</f>
        <v>47524448604</v>
      </c>
      <c r="J105" s="333">
        <f>Data!F80</f>
        <v>42481310258</v>
      </c>
      <c r="K105" s="333">
        <f>Data!G80</f>
        <v>38469653077</v>
      </c>
      <c r="L105" s="333">
        <f>Data!H80</f>
        <v>36491552570</v>
      </c>
      <c r="M105" s="333">
        <f>Data!I80</f>
        <v>33624518530</v>
      </c>
      <c r="N105" s="333">
        <f>Data!J80</f>
        <v>29494869092</v>
      </c>
      <c r="O105" s="333">
        <f>Data!K80</f>
        <v>26036985867</v>
      </c>
      <c r="P105" s="333">
        <f>Data!L80</f>
        <v>22941480861</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x14ac:dyDescent="0.15">
      <c r="A114" s="10"/>
      <c r="B114" s="2" t="s">
        <v>392</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x14ac:dyDescent="0.15">
      <c r="B118" s="7" t="s">
        <v>83</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x14ac:dyDescent="0.15">
      <c r="B119" s="7" t="s">
        <v>91</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x14ac:dyDescent="0.15">
      <c r="A120" s="10"/>
      <c r="B120" s="70" t="s">
        <v>222</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x14ac:dyDescent="0.15">
      <c r="A125" s="10"/>
      <c r="B125" s="27" t="s">
        <v>269</v>
      </c>
      <c r="C125" s="77">
        <f>C19*Exchange_Rate*$C$3/(Market_Price*Common_Shares)</f>
        <v>5.4855636181422453E-2</v>
      </c>
      <c r="D125" s="27"/>
      <c r="E125" s="265"/>
      <c r="F125" s="27"/>
      <c r="G125" s="77">
        <f t="shared" ref="G125" si="50">IF(G$4="","",G124/Market_Price)</f>
        <v>6.4283033521693844E-2</v>
      </c>
      <c r="H125" s="77">
        <f t="shared" ref="H125" si="51">IF(H$4="","",H124/Market_Price)</f>
        <v>9.2149019843278848E-2</v>
      </c>
      <c r="I125" s="77">
        <f t="shared" ref="I125" si="52">IF(I$4="","",I124/Market_Price)</f>
        <v>8.7490041344919819E-2</v>
      </c>
      <c r="J125" s="77">
        <f t="shared" ref="J125" si="53">IF(J$4="","",J124/Market_Price)</f>
        <v>6.9968072222073602E-2</v>
      </c>
      <c r="K125" s="77">
        <f t="shared" ref="K125" si="54">IF(K$4="","",K124/Market_Price)</f>
        <v>4.891530057592295E-2</v>
      </c>
      <c r="L125" s="77">
        <f t="shared" ref="L125" si="55">IF(L$4="","",L124/Market_Price)</f>
        <v>6.2527980435454988E-2</v>
      </c>
      <c r="M125" s="77">
        <f t="shared" ref="M125" si="56">IF(M$4="","",M124/Market_Price)</f>
        <v>7.0727729858261423E-2</v>
      </c>
      <c r="N125" s="77">
        <f t="shared" ref="N125" si="57">IF(N$4="","",N124/Market_Price)</f>
        <v>5.9701261507838749E-2</v>
      </c>
      <c r="O125" s="77">
        <f t="shared" ref="O125" si="58">IF(O$4="","",O124/Market_Price)</f>
        <v>5.2932045900344837E-2</v>
      </c>
      <c r="P125" s="77">
        <f t="shared" ref="P125" si="59">IF(P$4="","",P124/Market_Price)</f>
        <v>4.6037545216259655E-2</v>
      </c>
      <c r="Q125" s="77" t="str">
        <f t="shared" ref="Q125" si="60">IF(Q$4="","",Q124/Market_Price)</f>
        <v/>
      </c>
    </row>
    <row r="126" spans="1:17" ht="15.75" customHeight="1" x14ac:dyDescent="0.15">
      <c r="B126" s="2" t="s">
        <v>394</v>
      </c>
      <c r="C126" s="169"/>
      <c r="G126" s="23">
        <f>IF(G$4="","",(Data!C47*$C$3)/(Market_Price*Common_Shares))</f>
        <v>6.7046004211771704E-2</v>
      </c>
      <c r="H126" s="23">
        <f>IF(H$4="","",(Data!D47*$C$3)/(Market_Price*Common_Shares))</f>
        <v>0.10078106102423183</v>
      </c>
      <c r="I126" s="23">
        <f>IF(I$4="","",(Data!E47*$C$3)/(Market_Price*Common_Shares))</f>
        <v>9.4431230974372157E-2</v>
      </c>
      <c r="J126" s="23">
        <f>IF(J$4="","",(Data!F47*$C$3)/(Market_Price*Common_Shares))</f>
        <v>7.5558047700604689E-2</v>
      </c>
      <c r="K126" s="23">
        <f>IF(K$4="","",(Data!G47*$C$3)/(Market_Price*Common_Shares))</f>
        <v>7.5274322668787613E-2</v>
      </c>
      <c r="L126" s="23">
        <f>IF(L$4="","",(Data!H47*$C$3)/(Market_Price*Common_Shares))</f>
        <v>7.4283531754601617E-2</v>
      </c>
      <c r="M126" s="23">
        <f>IF(M$4="","",(Data!I47*$C$3)/(Market_Price*Common_Shares))</f>
        <v>8.1617647669355864E-2</v>
      </c>
      <c r="N126" s="23">
        <f>IF(N$4="","",(Data!J47*$C$3)/(Market_Price*Common_Shares))</f>
        <v>6.6566579854337088E-2</v>
      </c>
      <c r="O126" s="23">
        <f>IF(O$4="","",(Data!K47*$C$3)/(Market_Price*Common_Shares))</f>
        <v>5.8381441703798796E-2</v>
      </c>
      <c r="P126" s="23">
        <f>IF(P$4="","",(Data!L47*$C$3)/(Market_Price*Common_Shares))</f>
        <v>5.3958982770353471E-2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v>
      </c>
      <c r="E3" s="109" t="s">
        <v>124</v>
      </c>
      <c r="H3" s="120"/>
    </row>
    <row r="4" spans="2:8" x14ac:dyDescent="0.15">
      <c r="B4" s="100" t="s">
        <v>128</v>
      </c>
      <c r="C4" s="338">
        <f>Normalized_FCF!C19</f>
        <v>5454354504.5036287</v>
      </c>
      <c r="D4" t="str">
        <f>Reporting_currency</f>
        <v>CNY</v>
      </c>
      <c r="E4" s="100" t="s">
        <v>250</v>
      </c>
      <c r="F4" s="134">
        <f>Terminal_Growth</f>
        <v>0</v>
      </c>
      <c r="H4" s="120"/>
    </row>
    <row r="5" spans="2:8" x14ac:dyDescent="0.15">
      <c r="B5" s="205" t="s">
        <v>123</v>
      </c>
      <c r="C5" s="206">
        <f>Equity_Cost</f>
        <v>0.06</v>
      </c>
      <c r="E5" s="148"/>
      <c r="H5" s="120"/>
    </row>
    <row r="6" spans="2:8" ht="13.25" customHeight="1" x14ac:dyDescent="0.15">
      <c r="B6" s="149" t="s">
        <v>228</v>
      </c>
      <c r="C6" s="347">
        <f>(C4*(1+Terminal_Growth))/(Equity_Cost-Terminal_Growth)</f>
        <v>90905908408.393814</v>
      </c>
      <c r="D6" t="str">
        <f>Reporting_currency</f>
        <v>CNY</v>
      </c>
      <c r="E6" s="364" t="s">
        <v>249</v>
      </c>
      <c r="F6" s="364"/>
      <c r="H6" s="120"/>
    </row>
    <row r="7" spans="2:8" x14ac:dyDescent="0.15">
      <c r="B7" s="148" t="s">
        <v>224</v>
      </c>
      <c r="C7" s="338">
        <f>BS!G31</f>
        <v>40134989.460000001</v>
      </c>
      <c r="D7" t="str">
        <f>Reporting_currency</f>
        <v>CNY</v>
      </c>
      <c r="E7" s="364"/>
      <c r="F7" s="364"/>
      <c r="H7" s="120"/>
    </row>
    <row r="8" spans="2:8" x14ac:dyDescent="0.15">
      <c r="B8" s="148" t="s">
        <v>225</v>
      </c>
      <c r="C8" s="338">
        <f>BS!D66</f>
        <v>17616201015.993965</v>
      </c>
      <c r="D8" t="str">
        <f>Reporting_currency</f>
        <v>CNY</v>
      </c>
      <c r="E8" s="364"/>
      <c r="F8" s="364"/>
      <c r="H8" s="120"/>
    </row>
    <row r="9" spans="2:8" x14ac:dyDescent="0.15">
      <c r="B9" s="205" t="s">
        <v>190</v>
      </c>
      <c r="C9" s="348">
        <f>BS!H42</f>
        <v>3951628136.4709997</v>
      </c>
      <c r="D9" t="str">
        <f>Reporting_currency</f>
        <v>CNY</v>
      </c>
      <c r="E9" s="364"/>
      <c r="F9" s="364"/>
      <c r="H9" s="120"/>
    </row>
    <row r="10" spans="2:8" x14ac:dyDescent="0.15">
      <c r="B10" s="149" t="s">
        <v>227</v>
      </c>
      <c r="C10" s="347">
        <f>C6-C7+C8+C9</f>
        <v>112433602571.39876</v>
      </c>
      <c r="D10" t="str">
        <f>Reporting_currency</f>
        <v>CNY</v>
      </c>
      <c r="H10" s="120"/>
    </row>
    <row r="11" spans="2:8" ht="14" thickBot="1" x14ac:dyDescent="0.2">
      <c r="B11" s="207" t="s">
        <v>166</v>
      </c>
      <c r="C11" s="208">
        <f>Exchange_Rate</f>
        <v>1</v>
      </c>
      <c r="D11" t="str">
        <f>Thesis!C15</f>
        <v>CNY</v>
      </c>
      <c r="H11" s="120"/>
    </row>
    <row r="12" spans="2:8" ht="14" thickTop="1" x14ac:dyDescent="0.15">
      <c r="B12" s="149" t="s">
        <v>102</v>
      </c>
      <c r="C12" s="111">
        <f>(C10*scaling_factor)/Common_Shares*Exchange_Rate</f>
        <v>74.608160497229406</v>
      </c>
      <c r="D12" t="str">
        <f>Market_currency</f>
        <v>CNY</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1.82133642321981E-2</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77.787839467374837</v>
      </c>
      <c r="D18" t="str">
        <f>Market_currency</f>
        <v>CNY</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x14ac:dyDescent="0.15">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x14ac:dyDescent="0.15">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x14ac:dyDescent="0.15">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x14ac:dyDescent="0.15">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x14ac:dyDescent="0.15">
      <c r="B26" s="122">
        <v>6</v>
      </c>
      <c r="C26" s="123">
        <f t="shared" si="2"/>
        <v>6078215853.7512636</v>
      </c>
      <c r="D26" s="138">
        <f>IF($C$17&lt;B26,0,DCF!$C$16)</f>
        <v>1.82133642321981E-2</v>
      </c>
      <c r="E26" s="124">
        <f t="shared" si="0"/>
        <v>0.70496054043967626</v>
      </c>
      <c r="F26" s="125">
        <f t="shared" si="1"/>
        <v>4284902333.1694989</v>
      </c>
      <c r="H26" s="120"/>
    </row>
    <row r="27" spans="2:17" x14ac:dyDescent="0.15">
      <c r="B27" s="122">
        <v>7</v>
      </c>
      <c r="C27" s="123">
        <f t="shared" si="2"/>
        <v>6188920612.9775553</v>
      </c>
      <c r="D27" s="138">
        <f>IF($C$17&lt;B27,0,DCF!$C$16)</f>
        <v>1.82133642321981E-2</v>
      </c>
      <c r="E27" s="124">
        <f t="shared" si="0"/>
        <v>0.66505711362233599</v>
      </c>
      <c r="F27" s="125">
        <f t="shared" si="1"/>
        <v>4115985679.3046312</v>
      </c>
      <c r="H27" s="120"/>
    </row>
    <row r="28" spans="2:17" x14ac:dyDescent="0.15">
      <c r="B28" s="122">
        <v>8</v>
      </c>
      <c r="C28" s="123">
        <f t="shared" si="2"/>
        <v>6301641678.3058748</v>
      </c>
      <c r="D28" s="138">
        <f>IF($C$17&lt;B28,0,DCF!$C$16)</f>
        <v>1.82133642321981E-2</v>
      </c>
      <c r="E28" s="124">
        <f t="shared" si="0"/>
        <v>0.62741237134182648</v>
      </c>
      <c r="F28" s="125">
        <f t="shared" si="1"/>
        <v>3953727948.7323761</v>
      </c>
      <c r="H28" s="120"/>
    </row>
    <row r="29" spans="2:17" x14ac:dyDescent="0.15">
      <c r="B29" s="122">
        <v>9</v>
      </c>
      <c r="C29" s="123">
        <f t="shared" si="2"/>
        <v>6416415773.4536591</v>
      </c>
      <c r="D29" s="138">
        <f>IF($C$17&lt;B29,0,DCF!$C$16)</f>
        <v>1.82133642321981E-2</v>
      </c>
      <c r="E29" s="124">
        <f t="shared" si="0"/>
        <v>0.59189846353002495</v>
      </c>
      <c r="F29" s="125">
        <f t="shared" si="1"/>
        <v>3797866637.6770372</v>
      </c>
      <c r="H29" s="120"/>
    </row>
    <row r="30" spans="2:17" x14ac:dyDescent="0.15">
      <c r="B30" s="122">
        <v>10</v>
      </c>
      <c r="C30" s="123">
        <f t="shared" si="2"/>
        <v>6533280291.0007915</v>
      </c>
      <c r="D30" s="138">
        <f>IF($C$17&lt;B30,0,DCF!$C$16)</f>
        <v>1.82133642321981E-2</v>
      </c>
      <c r="E30" s="124">
        <f t="shared" si="0"/>
        <v>0.55839477691511785</v>
      </c>
      <c r="F30" s="125">
        <f t="shared" si="1"/>
        <v>3648149590.6173234</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92561610829.094711</v>
      </c>
      <c r="D51" s="139">
        <f>Terminal_Growth</f>
        <v>0</v>
      </c>
      <c r="E51" s="124">
        <f>1/(1+Equity_Cost)^C17</f>
        <v>0.55839477691511785</v>
      </c>
      <c r="F51" s="125">
        <f t="shared" si="1"/>
        <v>51685920029.816299</v>
      </c>
      <c r="H51" s="120"/>
    </row>
    <row r="52" spans="1:17" x14ac:dyDescent="0.15">
      <c r="C52" s="114"/>
      <c r="E52" s="127" t="s">
        <v>100</v>
      </c>
      <c r="F52" s="137">
        <f>SUM(F21:F51)</f>
        <v>95697646460.255325</v>
      </c>
      <c r="H52" s="120"/>
    </row>
    <row r="53" spans="1:17" x14ac:dyDescent="0.15">
      <c r="C53" s="114"/>
      <c r="H53" s="120"/>
    </row>
    <row r="54" spans="1:17" x14ac:dyDescent="0.15">
      <c r="B54" s="119" t="s">
        <v>129</v>
      </c>
      <c r="C54" s="136"/>
      <c r="D54" s="136"/>
      <c r="E54" s="117"/>
      <c r="F54" s="117"/>
      <c r="H54" s="120"/>
    </row>
    <row r="55" spans="1:17" x14ac:dyDescent="0.15">
      <c r="A55" s="133">
        <f>F52</f>
        <v>95697646460.255325</v>
      </c>
      <c r="B55" s="131">
        <f>C78</f>
        <v>-0.05</v>
      </c>
      <c r="C55" s="131">
        <f>C77</f>
        <v>0</v>
      </c>
      <c r="D55" s="131">
        <f>C76</f>
        <v>0.02</v>
      </c>
      <c r="E55" s="131">
        <f>C75</f>
        <v>0.04</v>
      </c>
      <c r="F55" s="131">
        <f>C74</f>
        <v>7.0000000000000007E-2</v>
      </c>
      <c r="H55" s="120"/>
    </row>
    <row r="56" spans="1:17" x14ac:dyDescent="0.15">
      <c r="A56" s="143">
        <v>5</v>
      </c>
      <c r="B56" s="123">
        <f t="dataTable" ref="B56:F61" dt2D="1" dtr="1" r1="C16" r2="C17"/>
        <v>84402230044.246582</v>
      </c>
      <c r="C56" s="123">
        <v>90905908408.393784</v>
      </c>
      <c r="D56" s="123">
        <v>93624197668.977966</v>
      </c>
      <c r="E56" s="123">
        <v>96413767059.668488</v>
      </c>
      <c r="F56" s="123">
        <v>100738688637.99504</v>
      </c>
      <c r="H56" s="120"/>
    </row>
    <row r="57" spans="1:17" x14ac:dyDescent="0.15">
      <c r="A57" s="143">
        <v>10</v>
      </c>
      <c r="B57" s="123">
        <v>79580151313.322525</v>
      </c>
      <c r="C57" s="123">
        <v>90905908408.393768</v>
      </c>
      <c r="D57" s="123">
        <v>96189550081.736343</v>
      </c>
      <c r="E57" s="123">
        <v>101983816489.44025</v>
      </c>
      <c r="F57" s="123">
        <v>111769944290.57098</v>
      </c>
      <c r="H57" s="120"/>
    </row>
    <row r="58" spans="1:17" x14ac:dyDescent="0.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x14ac:dyDescent="0.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x14ac:dyDescent="0.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x14ac:dyDescent="0.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-0.05</v>
      </c>
      <c r="C64" s="132">
        <f>C55</f>
        <v>0</v>
      </c>
      <c r="D64" s="132">
        <f>D55</f>
        <v>0.02</v>
      </c>
      <c r="E64" s="132">
        <f>E55</f>
        <v>0.04</v>
      </c>
      <c r="F64" s="132">
        <f>F55</f>
        <v>7.0000000000000007E-2</v>
      </c>
      <c r="H64" s="120"/>
    </row>
    <row r="65" spans="1:8" x14ac:dyDescent="0.15">
      <c r="A65" s="143">
        <v>0</v>
      </c>
      <c r="B65" s="124">
        <f>C12</f>
        <v>74.608160497229406</v>
      </c>
      <c r="C65" s="124">
        <f>C12</f>
        <v>74.608160497229406</v>
      </c>
      <c r="D65" s="124">
        <f>C12</f>
        <v>74.608160497229406</v>
      </c>
      <c r="E65" s="141">
        <f>C12</f>
        <v>74.608160497229406</v>
      </c>
      <c r="F65" s="124">
        <f>C12</f>
        <v>74.608160497229406</v>
      </c>
      <c r="H65" s="120"/>
    </row>
    <row r="66" spans="1:8" x14ac:dyDescent="0.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x14ac:dyDescent="0.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x14ac:dyDescent="0.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x14ac:dyDescent="0.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x14ac:dyDescent="0.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x14ac:dyDescent="0.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7.0000000000000007E-2</v>
      </c>
      <c r="D74" s="145">
        <f>Scenarios!C55</f>
        <v>15</v>
      </c>
      <c r="E74" s="135">
        <f>INDEX(B$65:F$71, MATCH(D74, A$65:A$71, 0), MATCH(C74, B$64:F$64, 0))</f>
        <v>99.791911435560834</v>
      </c>
      <c r="F74" s="142">
        <f>Scenarios!C58</f>
        <v>0.05</v>
      </c>
    </row>
    <row r="75" spans="1:8" x14ac:dyDescent="0.15">
      <c r="B75" s="127" t="str">
        <f>Scenarios!B36</f>
        <v>Optimistic</v>
      </c>
      <c r="C75" s="142">
        <f>Scenarios!C38</f>
        <v>0.04</v>
      </c>
      <c r="D75" s="145">
        <f>Scenarios!C37</f>
        <v>10</v>
      </c>
      <c r="E75" s="135">
        <f>INDEX(B$65:F$71, MATCH(D75, A$65:A$71, 0), MATCH(C75, B$64:F$64, 0))</f>
        <v>81.959186571124121</v>
      </c>
      <c r="F75" s="142">
        <f>Scenarios!C40*(1-F$74-F$78)</f>
        <v>0.17</v>
      </c>
      <c r="H75" s="120"/>
    </row>
    <row r="76" spans="1:8" x14ac:dyDescent="0.15">
      <c r="B76" s="127" t="str">
        <f>Scenarios!B24</f>
        <v>Base</v>
      </c>
      <c r="C76" s="142">
        <f>Scenarios!C26</f>
        <v>0.02</v>
      </c>
      <c r="D76" s="145">
        <f>Scenarios!C25</f>
        <v>10</v>
      </c>
      <c r="E76" s="135">
        <f>INDEX(B$65:F$71, MATCH(D76, A$65:A$71, 0), MATCH(C76, B$64:F$64, 0))</f>
        <v>78.11425455593627</v>
      </c>
      <c r="F76" s="142">
        <f>Scenarios!C28*(1-F$74-F$78)</f>
        <v>0.51</v>
      </c>
      <c r="H76" s="120"/>
    </row>
    <row r="77" spans="1:8" x14ac:dyDescent="0.15">
      <c r="B77" s="127" t="str">
        <f>Scenarios!B30</f>
        <v>Pessimistic</v>
      </c>
      <c r="C77" s="142">
        <f>Scenarios!C32</f>
        <v>0</v>
      </c>
      <c r="D77" s="145">
        <f>Scenarios!C31</f>
        <v>10</v>
      </c>
      <c r="E77" s="135">
        <f>INDEX(B$65:F$71, MATCH(D77, A$65:A$71, 0), MATCH(C77, B$64:F$64, 0))</f>
        <v>74.608160497229392</v>
      </c>
      <c r="F77" s="142">
        <f>Scenarios!C34*(1-F$74-F$78)</f>
        <v>0.17</v>
      </c>
      <c r="H77" s="120"/>
    </row>
    <row r="78" spans="1:8" x14ac:dyDescent="0.15">
      <c r="B78" s="127" t="str">
        <f>Scenarios!B48</f>
        <v>Devil's advocate</v>
      </c>
      <c r="C78" s="142">
        <f>Scenarios!C50</f>
        <v>-0.05</v>
      </c>
      <c r="D78" s="145">
        <f>Scenarios!C49</f>
        <v>15</v>
      </c>
      <c r="E78" s="135">
        <f>INDEX(B$65:F$71, MATCH(D78, A$65:A$71, 0), MATCH(C78, B$64:F$64, 0))</f>
        <v>63.412902058292019</v>
      </c>
      <c r="F78" s="142">
        <f>Scenarios!C52</f>
        <v>0.1</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v>
      </c>
      <c r="E3" s="109" t="s">
        <v>124</v>
      </c>
      <c r="H3" s="120"/>
    </row>
    <row r="4" spans="2:8" x14ac:dyDescent="0.15">
      <c r="B4" s="100" t="s">
        <v>440</v>
      </c>
      <c r="C4" s="114">
        <f>Normalized_FCF!C91</f>
        <v>7002973236</v>
      </c>
      <c r="D4" t="str">
        <f>Market_currency</f>
        <v>CNY</v>
      </c>
      <c r="E4" s="100" t="s">
        <v>250</v>
      </c>
      <c r="F4" s="134">
        <f>Thesis!E22</f>
        <v>0</v>
      </c>
      <c r="H4" s="120"/>
    </row>
    <row r="5" spans="2:8" x14ac:dyDescent="0.15">
      <c r="B5" s="205" t="s">
        <v>123</v>
      </c>
      <c r="C5" s="206">
        <f>Equity_Cost</f>
        <v>0.06</v>
      </c>
      <c r="E5" s="148"/>
      <c r="H5" s="120"/>
    </row>
    <row r="6" spans="2:8" ht="13.25" customHeight="1" x14ac:dyDescent="0.15">
      <c r="B6" s="149" t="s">
        <v>441</v>
      </c>
      <c r="C6" s="319">
        <f>(C4*(1+Terminal_Growth))/(Equity_Cost-Terminal_Growth)</f>
        <v>116716220600</v>
      </c>
      <c r="D6" t="str">
        <f>Reporting_currency</f>
        <v>CNY</v>
      </c>
      <c r="E6" s="364"/>
      <c r="F6" s="364"/>
      <c r="H6" s="120"/>
    </row>
    <row r="7" spans="2:8" x14ac:dyDescent="0.15">
      <c r="B7" s="149" t="s">
        <v>444</v>
      </c>
      <c r="C7" s="111">
        <f>(C6*scaling_factor)/Common_Shares*Exchange_Rate</f>
        <v>77.45</v>
      </c>
      <c r="D7" t="str">
        <f>Market_currency</f>
        <v>CNY</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1.82133642321981E-2</v>
      </c>
      <c r="H11" s="120"/>
    </row>
    <row r="12" spans="2:8" ht="13.25" customHeight="1" x14ac:dyDescent="0.15">
      <c r="B12" s="118" t="s">
        <v>134</v>
      </c>
      <c r="C12" s="162">
        <f>Scenarios!C64</f>
        <v>10</v>
      </c>
      <c r="H12" s="120"/>
    </row>
    <row r="13" spans="2:8" ht="13.25" customHeight="1" x14ac:dyDescent="0.15">
      <c r="B13" s="153" t="s">
        <v>106</v>
      </c>
      <c r="C13" s="140">
        <f>F47/Common_Shares*scaling_factor</f>
        <v>81.532464150178455</v>
      </c>
      <c r="D13" t="str">
        <f>Market_currency</f>
        <v>CNY</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x14ac:dyDescent="0.15">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x14ac:dyDescent="0.15">
      <c r="B18" s="122">
        <v>3</v>
      </c>
      <c r="C18" s="123">
        <f t="shared" si="2"/>
        <v>7392627872.0115719</v>
      </c>
      <c r="D18" s="138">
        <f>IF($C$12&lt;B18,0,DDM!$C$11)</f>
        <v>1.82133642321981E-2</v>
      </c>
      <c r="E18" s="124">
        <f t="shared" si="0"/>
        <v>0.8396192830323016</v>
      </c>
      <c r="F18" s="125">
        <f t="shared" si="1"/>
        <v>6206992913.6229658</v>
      </c>
      <c r="H18" s="120"/>
    </row>
    <row r="19" spans="2:8" x14ac:dyDescent="0.15">
      <c r="B19" s="122">
        <v>4</v>
      </c>
      <c r="C19" s="123">
        <f t="shared" si="2"/>
        <v>7527272496.0776186</v>
      </c>
      <c r="D19" s="138">
        <f>IF($C$12&lt;B19,0,DDM!$C$11)</f>
        <v>1.82133642321981E-2</v>
      </c>
      <c r="E19" s="124">
        <f t="shared" si="0"/>
        <v>0.79209366323802044</v>
      </c>
      <c r="F19" s="125">
        <f t="shared" si="1"/>
        <v>5962304845.6089191</v>
      </c>
      <c r="H19" s="120"/>
    </row>
    <row r="20" spans="2:8" x14ac:dyDescent="0.15">
      <c r="B20" s="122">
        <v>5</v>
      </c>
      <c r="C20" s="123">
        <f t="shared" si="2"/>
        <v>7664369451.7236862</v>
      </c>
      <c r="D20" s="138">
        <f>IF($C$12&lt;B20,0,DDM!$C$11)</f>
        <v>1.82133642321981E-2</v>
      </c>
      <c r="E20" s="124">
        <f t="shared" si="0"/>
        <v>0.74725817286605689</v>
      </c>
      <c r="F20" s="125">
        <f t="shared" si="1"/>
        <v>5727262712.6654644</v>
      </c>
      <c r="H20" s="120"/>
    </row>
    <row r="21" spans="2:8" x14ac:dyDescent="0.15">
      <c r="B21" s="122">
        <v>6</v>
      </c>
      <c r="C21" s="123">
        <f t="shared" si="2"/>
        <v>7803963404.158061</v>
      </c>
      <c r="D21" s="138">
        <f>IF($C$12&lt;B21,0,DDM!$C$11)</f>
        <v>1.82133642321981E-2</v>
      </c>
      <c r="E21" s="124">
        <f t="shared" si="0"/>
        <v>0.70496054043967626</v>
      </c>
      <c r="F21" s="125">
        <f t="shared" si="1"/>
        <v>5501486258.9667225</v>
      </c>
      <c r="H21" s="120"/>
    </row>
    <row r="22" spans="2:8" x14ac:dyDescent="0.15">
      <c r="B22" s="122">
        <v>7</v>
      </c>
      <c r="C22" s="123">
        <f t="shared" si="2"/>
        <v>7946099832.0927353</v>
      </c>
      <c r="D22" s="138">
        <f>IF($C$12&lt;B22,0,DDM!$C$11)</f>
        <v>1.82133642321981E-2</v>
      </c>
      <c r="E22" s="124">
        <f t="shared" si="0"/>
        <v>0.66505711362233599</v>
      </c>
      <c r="F22" s="125">
        <f t="shared" si="1"/>
        <v>5284610218.8865232</v>
      </c>
      <c r="H22" s="120"/>
    </row>
    <row r="23" spans="2:8" x14ac:dyDescent="0.15">
      <c r="B23" s="122">
        <v>8</v>
      </c>
      <c r="C23" s="123">
        <f t="shared" si="2"/>
        <v>8090825042.5600481</v>
      </c>
      <c r="D23" s="138">
        <f>IF($C$12&lt;B23,0,DDM!$C$11)</f>
        <v>1.82133642321981E-2</v>
      </c>
      <c r="E23" s="124">
        <f t="shared" si="0"/>
        <v>0.62741237134182648</v>
      </c>
      <c r="F23" s="125">
        <f t="shared" si="1"/>
        <v>5076283726.0644341</v>
      </c>
      <c r="H23" s="120"/>
    </row>
    <row r="24" spans="2:8" x14ac:dyDescent="0.15">
      <c r="B24" s="122">
        <v>9</v>
      </c>
      <c r="C24" s="123">
        <f t="shared" si="2"/>
        <v>8238186185.9991837</v>
      </c>
      <c r="D24" s="138">
        <f>IF($C$12&lt;B24,0,DDM!$C$11)</f>
        <v>1.82133642321981E-2</v>
      </c>
      <c r="E24" s="124">
        <f t="shared" si="0"/>
        <v>0.59189846353002495</v>
      </c>
      <c r="F24" s="125">
        <f t="shared" si="1"/>
        <v>4876169745.7671928</v>
      </c>
      <c r="H24" s="120"/>
    </row>
    <row r="25" spans="2:8" x14ac:dyDescent="0.15">
      <c r="B25" s="122">
        <v>10</v>
      </c>
      <c r="C25" s="123">
        <f t="shared" si="2"/>
        <v>8388231271.6174488</v>
      </c>
      <c r="D25" s="138">
        <f>IF($C$12&lt;B25,0,DDM!$C$11)</f>
        <v>1.82133642321981E-2</v>
      </c>
      <c r="E25" s="124">
        <f t="shared" si="0"/>
        <v>0.55839477691511785</v>
      </c>
      <c r="F25" s="125">
        <f t="shared" si="1"/>
        <v>4683944529.6272411</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118842015637.59337</v>
      </c>
      <c r="D46" s="139">
        <f>Terminal_Growth</f>
        <v>0</v>
      </c>
      <c r="E46" s="124">
        <f>1/(1+Equity_Cost)^C12</f>
        <v>0.55839477691511785</v>
      </c>
      <c r="F46" s="125">
        <f t="shared" si="1"/>
        <v>66360760810.096893</v>
      </c>
      <c r="H46" s="120"/>
    </row>
    <row r="47" spans="2:8" x14ac:dyDescent="0.15">
      <c r="C47" s="114"/>
      <c r="E47" s="127" t="s">
        <v>100</v>
      </c>
      <c r="F47" s="137">
        <f>SUM(F16:F46)</f>
        <v>122868445084.74913</v>
      </c>
      <c r="H47" s="120"/>
    </row>
    <row r="48" spans="2:8" x14ac:dyDescent="0.15">
      <c r="C48" s="114"/>
      <c r="H48" s="120"/>
    </row>
    <row r="49" spans="1:8" x14ac:dyDescent="0.15">
      <c r="B49" s="119" t="s">
        <v>129</v>
      </c>
      <c r="C49" s="136"/>
      <c r="D49" s="136"/>
      <c r="E49" s="117"/>
      <c r="F49" s="117"/>
      <c r="H49" s="120"/>
    </row>
    <row r="50" spans="1:8" x14ac:dyDescent="0.15">
      <c r="A50" s="133">
        <f>F47</f>
        <v>122868445084.74913</v>
      </c>
      <c r="B50" s="131">
        <f>C73</f>
        <v>-0.05</v>
      </c>
      <c r="C50" s="131">
        <f>C72</f>
        <v>0</v>
      </c>
      <c r="D50" s="131">
        <f>C71</f>
        <v>0.02</v>
      </c>
      <c r="E50" s="131">
        <f>C70</f>
        <v>0.04</v>
      </c>
      <c r="F50" s="131">
        <f>C69</f>
        <v>7.0000000000000007E-2</v>
      </c>
      <c r="H50" s="120"/>
    </row>
    <row r="51" spans="1:8" x14ac:dyDescent="0.15">
      <c r="A51" s="143">
        <v>5</v>
      </c>
      <c r="B51" s="123">
        <f t="dataTable" ref="B51:F56" dt2D="1" dtr="1" r1="C11" r2="C12"/>
        <v>108365995934.17218</v>
      </c>
      <c r="C51" s="123">
        <v>116716220599.99997</v>
      </c>
      <c r="D51" s="123">
        <v>120206295717.75392</v>
      </c>
      <c r="E51" s="123">
        <v>123787889060.6216</v>
      </c>
      <c r="F51" s="123">
        <v>129340756963.83759</v>
      </c>
      <c r="H51" s="120"/>
    </row>
    <row r="52" spans="1:8" x14ac:dyDescent="0.15">
      <c r="A52" s="143">
        <v>10</v>
      </c>
      <c r="B52" s="123">
        <v>102174816342.40504</v>
      </c>
      <c r="C52" s="123">
        <v>116716220599.99995</v>
      </c>
      <c r="D52" s="123">
        <v>123500011641.90613</v>
      </c>
      <c r="E52" s="123">
        <v>130939405715.37531</v>
      </c>
      <c r="F52" s="123">
        <v>143504043935.86639</v>
      </c>
      <c r="H52" s="120"/>
    </row>
    <row r="53" spans="1:8" x14ac:dyDescent="0.15">
      <c r="A53" s="143">
        <v>15</v>
      </c>
      <c r="B53" s="123">
        <v>95054995134.218185</v>
      </c>
      <c r="C53" s="123">
        <v>116716220599.99992</v>
      </c>
      <c r="D53" s="123">
        <v>127966158163.57823</v>
      </c>
      <c r="E53" s="123">
        <v>141152717943.33795</v>
      </c>
      <c r="F53" s="123">
        <v>165443180332.52301</v>
      </c>
      <c r="H53" s="120"/>
    </row>
    <row r="54" spans="1:8" x14ac:dyDescent="0.15">
      <c r="A54" s="144">
        <v>20</v>
      </c>
      <c r="B54" s="123">
        <v>88292924695.280884</v>
      </c>
      <c r="C54" s="123">
        <v>116716220599.99991</v>
      </c>
      <c r="D54" s="123">
        <v>132957624185.91971</v>
      </c>
      <c r="E54" s="123">
        <v>153211626204.49652</v>
      </c>
      <c r="F54" s="123">
        <v>193738722917.29083</v>
      </c>
      <c r="H54" s="120"/>
    </row>
    <row r="55" spans="1:8" x14ac:dyDescent="0.15">
      <c r="A55" s="144">
        <v>25</v>
      </c>
      <c r="B55" s="123">
        <v>82406286035.848465</v>
      </c>
      <c r="C55" s="123">
        <v>116716220599.99991</v>
      </c>
      <c r="D55" s="123">
        <v>138052226983.36572</v>
      </c>
      <c r="E55" s="123">
        <v>166247501779.09198</v>
      </c>
      <c r="F55" s="123">
        <v>227356218660.23007</v>
      </c>
      <c r="H55" s="120"/>
    </row>
    <row r="56" spans="1:8" x14ac:dyDescent="0.15">
      <c r="A56" s="144">
        <v>30</v>
      </c>
      <c r="B56" s="123">
        <v>77525432705.480026</v>
      </c>
      <c r="C56" s="123">
        <v>116716220599.99991</v>
      </c>
      <c r="D56" s="123">
        <v>142985124586.49646</v>
      </c>
      <c r="E56" s="123">
        <v>179647790309.40805</v>
      </c>
      <c r="F56" s="123">
        <v>265550162801.69803</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-0.05</v>
      </c>
      <c r="C59" s="132">
        <f>C50</f>
        <v>0</v>
      </c>
      <c r="D59" s="132">
        <f>D50</f>
        <v>0.02</v>
      </c>
      <c r="E59" s="132">
        <f>E50</f>
        <v>0.04</v>
      </c>
      <c r="F59" s="132">
        <f>F50</f>
        <v>7.0000000000000007E-2</v>
      </c>
      <c r="H59" s="120"/>
    </row>
    <row r="60" spans="1:8" x14ac:dyDescent="0.15">
      <c r="A60" s="143">
        <v>0</v>
      </c>
      <c r="B60" s="124">
        <f>C7</f>
        <v>77.45</v>
      </c>
      <c r="C60" s="124">
        <f>C7</f>
        <v>77.45</v>
      </c>
      <c r="D60" s="124">
        <f>C7</f>
        <v>77.45</v>
      </c>
      <c r="E60" s="141">
        <f>C7</f>
        <v>77.45</v>
      </c>
      <c r="F60" s="124">
        <f>C7</f>
        <v>77.45</v>
      </c>
      <c r="H60" s="120"/>
    </row>
    <row r="61" spans="1:8" x14ac:dyDescent="0.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x14ac:dyDescent="0.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x14ac:dyDescent="0.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x14ac:dyDescent="0.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x14ac:dyDescent="0.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x14ac:dyDescent="0.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7.0000000000000007E-2</v>
      </c>
      <c r="D69" s="145">
        <f>Scenarios!C55</f>
        <v>15</v>
      </c>
      <c r="E69" s="135">
        <f>INDEX(B$60:F$66, MATCH(D69, A$60:A$66, 0), MATCH(C69, B$59:F$59, 0))</f>
        <v>109.78400646357039</v>
      </c>
      <c r="F69" s="142">
        <f>Scenarios!C58</f>
        <v>0.05</v>
      </c>
    </row>
    <row r="70" spans="1:8" x14ac:dyDescent="0.15">
      <c r="B70" s="127" t="str">
        <f>Scenarios!B36</f>
        <v>Optimistic</v>
      </c>
      <c r="C70" s="142">
        <f>Scenarios!C38</f>
        <v>0.04</v>
      </c>
      <c r="D70" s="145">
        <f>Scenarios!C37</f>
        <v>10</v>
      </c>
      <c r="E70" s="135">
        <f>INDEX(B$60:F$66, MATCH(D70, A$60:A$66, 0), MATCH(C70, B$59:F$59, 0))</f>
        <v>86.888154195902885</v>
      </c>
      <c r="F70" s="142">
        <f>Scenarios!C40*(1-F$69-F$73)</f>
        <v>0.17</v>
      </c>
      <c r="H70" s="120"/>
    </row>
    <row r="71" spans="1:8" x14ac:dyDescent="0.15">
      <c r="B71" s="127" t="str">
        <f>Scenarios!B24</f>
        <v>Base</v>
      </c>
      <c r="C71" s="142">
        <f>Scenarios!C26</f>
        <v>0.02</v>
      </c>
      <c r="D71" s="145">
        <f>Scenarios!C25</f>
        <v>10</v>
      </c>
      <c r="E71" s="135">
        <f>INDEX(B$60:F$66, MATCH(D71, A$60:A$66, 0), MATCH(C71, B$59:F$59, 0))</f>
        <v>81.951556111864278</v>
      </c>
      <c r="F71" s="142">
        <f>Scenarios!C28*(1-F$69-F$73)</f>
        <v>0.51</v>
      </c>
      <c r="H71" s="120"/>
    </row>
    <row r="72" spans="1:8" x14ac:dyDescent="0.15">
      <c r="B72" s="127" t="str">
        <f>Scenarios!B30</f>
        <v>Pessimistic</v>
      </c>
      <c r="C72" s="142">
        <f>Scenarios!C32</f>
        <v>0</v>
      </c>
      <c r="D72" s="145">
        <f>Scenarios!C31</f>
        <v>10</v>
      </c>
      <c r="E72" s="135">
        <f>INDEX(B$60:F$66, MATCH(D72, A$60:A$66, 0), MATCH(C72, B$59:F$59, 0))</f>
        <v>77.449999999999974</v>
      </c>
      <c r="F72" s="142">
        <f>Scenarios!C34*(1-F$69-F$73)</f>
        <v>0.17</v>
      </c>
      <c r="H72" s="120"/>
    </row>
    <row r="73" spans="1:8" x14ac:dyDescent="0.15">
      <c r="B73" s="127" t="str">
        <f>Scenarios!B48</f>
        <v>Devil's advocate</v>
      </c>
      <c r="C73" s="142">
        <f>Scenarios!C50</f>
        <v>-0.05</v>
      </c>
      <c r="D73" s="145">
        <f>Scenarios!C49</f>
        <v>15</v>
      </c>
      <c r="E73" s="135">
        <f>INDEX(B$60:F$66, MATCH(D73, A$60:A$66, 0), MATCH(C73, B$59:F$59, 0))</f>
        <v>63.076146017233171</v>
      </c>
      <c r="F73" s="142">
        <f>Scenarios!C52</f>
        <v>0.1</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-65.98</v>
      </c>
    </row>
    <row r="4" spans="2:9" x14ac:dyDescent="0.15">
      <c r="B4" s="152" t="s">
        <v>146</v>
      </c>
      <c r="C4" s="120">
        <v>3</v>
      </c>
      <c r="D4" s="120"/>
      <c r="E4" s="155" t="s">
        <v>150</v>
      </c>
      <c r="F4" s="155"/>
      <c r="H4" s="247">
        <v>1</v>
      </c>
      <c r="I4" s="124">
        <f t="shared" ref="I4:I13" si="0">IF(ROW()-3 &lt; $C$76, $C$77, IF(ROW()-3 = $C$76, $C$77 + $C$60, ""))</f>
        <v>4.6470000000000002</v>
      </c>
    </row>
    <row r="5" spans="2:9" x14ac:dyDescent="0.15">
      <c r="H5" s="247">
        <v>2</v>
      </c>
      <c r="I5" s="124">
        <f t="shared" si="0"/>
        <v>4.6470000000000002</v>
      </c>
    </row>
    <row r="6" spans="2:9" x14ac:dyDescent="0.15">
      <c r="B6" s="159" t="s">
        <v>95</v>
      </c>
      <c r="C6" s="107">
        <f>DCF!C3</f>
        <v>1</v>
      </c>
      <c r="E6" s="100" t="s">
        <v>279</v>
      </c>
      <c r="F6" s="100"/>
      <c r="H6" s="247">
        <v>3</v>
      </c>
      <c r="I6" s="124">
        <f t="shared" si="0"/>
        <v>82.43260460275485</v>
      </c>
    </row>
    <row r="7" spans="2:9" ht="12.75" customHeight="1" x14ac:dyDescent="0.15">
      <c r="B7" s="100" t="s">
        <v>275</v>
      </c>
      <c r="C7" s="338">
        <f>Normalized_FCF!G8</f>
        <v>8753226430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6"/>
      <c r="H7" s="247">
        <v>4</v>
      </c>
      <c r="I7" s="124" t="str">
        <f t="shared" si="0"/>
        <v/>
      </c>
    </row>
    <row r="8" spans="2:9" x14ac:dyDescent="0.15">
      <c r="B8" s="100" t="s">
        <v>66</v>
      </c>
      <c r="C8" s="338">
        <f>Normalized_FCF!G19</f>
        <v>6391730692.7697487</v>
      </c>
      <c r="D8" t="str">
        <f>Reporting_currency</f>
        <v>CNY</v>
      </c>
      <c r="E8" s="366"/>
      <c r="F8" s="366"/>
      <c r="H8" s="247">
        <v>5</v>
      </c>
      <c r="I8" s="124" t="str">
        <f t="shared" si="0"/>
        <v/>
      </c>
    </row>
    <row r="9" spans="2:9" x14ac:dyDescent="0.15">
      <c r="B9" s="100" t="s">
        <v>57</v>
      </c>
      <c r="C9" s="338">
        <f>Normalized_FCF!C19</f>
        <v>5454354504.5036287</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4.4367851108990219E-2</v>
      </c>
      <c r="D12" s="158"/>
      <c r="E12" s="366"/>
      <c r="F12" s="366"/>
      <c r="H12" s="247">
        <v>9</v>
      </c>
      <c r="I12" s="124" t="str">
        <f t="shared" si="0"/>
        <v/>
      </c>
    </row>
    <row r="13" spans="2:9" x14ac:dyDescent="0.15">
      <c r="B13" s="148" t="s">
        <v>152</v>
      </c>
      <c r="C13" s="158">
        <f ca="1">(Normalized_FCF!G8/OFFSET(Normalized_FCF!G8, 0, $C$4))^(1/$C$4) - 1</f>
        <v>-2.0482342685147259E-2</v>
      </c>
      <c r="E13" s="366"/>
      <c r="F13" s="366"/>
      <c r="H13" s="247">
        <v>10</v>
      </c>
      <c r="I13" s="124" t="str">
        <f t="shared" si="0"/>
        <v/>
      </c>
    </row>
    <row r="14" spans="2:9" x14ac:dyDescent="0.15">
      <c r="B14" s="100" t="s">
        <v>66</v>
      </c>
      <c r="C14" s="158">
        <f ca="1">(Normalized_FCF!G19/OFFSET(Normalized_FCF!G19, 0, $C$4))^(1/$C$4) - 1</f>
        <v>-2.7852527100317714E-2</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65.98</v>
      </c>
      <c r="D21" t="str">
        <f>Market_currency</f>
        <v>CNY</v>
      </c>
      <c r="E21" s="367"/>
      <c r="F21" s="367"/>
    </row>
    <row r="22" spans="2:6" x14ac:dyDescent="0.15">
      <c r="B22" s="100" t="s">
        <v>278</v>
      </c>
      <c r="C22" s="160">
        <f>IF(valuation_method="DCF",DCF!C12,DDM!C7)</f>
        <v>74.608160497229406</v>
      </c>
      <c r="D22" t="str">
        <f>Market_currency</f>
        <v>CNY</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0.02</v>
      </c>
      <c r="D26" s="164"/>
      <c r="E26" s="365"/>
      <c r="F26" s="365"/>
    </row>
    <row r="27" spans="2:6" x14ac:dyDescent="0.15">
      <c r="B27" s="100" t="s">
        <v>113</v>
      </c>
      <c r="C27" s="160">
        <f>IF(valuation_method="DCF",DCF!E76,DDM!E71)</f>
        <v>78.11425455593627</v>
      </c>
      <c r="D27" s="160" t="str">
        <f>Market_currency</f>
        <v>CNY</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v>
      </c>
      <c r="D32" s="164"/>
      <c r="E32" s="365"/>
      <c r="F32" s="365"/>
    </row>
    <row r="33" spans="2:6" x14ac:dyDescent="0.15">
      <c r="B33" s="100" t="s">
        <v>113</v>
      </c>
      <c r="C33" s="160">
        <f>IF(valuation_method="DCF",DCF!E77,DDM!E72)</f>
        <v>74.608160497229392</v>
      </c>
      <c r="D33" t="str">
        <f>Market_currency</f>
        <v>CNY</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0.04</v>
      </c>
      <c r="D38" s="164"/>
      <c r="E38" s="365"/>
      <c r="F38" s="365"/>
    </row>
    <row r="39" spans="2:6" x14ac:dyDescent="0.15">
      <c r="B39" s="100" t="s">
        <v>113</v>
      </c>
      <c r="C39" s="160">
        <f>IF(valuation_method="DCF",DCF!E75,DDM!E70)</f>
        <v>81.959186571124121</v>
      </c>
      <c r="D39" t="str">
        <f>Market_currency</f>
        <v>CNY</v>
      </c>
      <c r="E39" s="365"/>
      <c r="F39" s="365"/>
    </row>
    <row r="40" spans="2:6" x14ac:dyDescent="0.15">
      <c r="B40" s="100" t="s">
        <v>147</v>
      </c>
      <c r="C40" s="167">
        <f>1-C28-C34</f>
        <v>0.2</v>
      </c>
      <c r="D40" s="165"/>
      <c r="E40" s="365"/>
      <c r="F40" s="365"/>
    </row>
    <row r="42" spans="2:6" x14ac:dyDescent="0.15">
      <c r="B42" s="100" t="s">
        <v>120</v>
      </c>
      <c r="C42" s="154">
        <f>C27*C28+C33*C34+C39*C40</f>
        <v>78.182022147232473</v>
      </c>
      <c r="D42" t="str">
        <f>Market_currency</f>
        <v>CNY</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-0.05</v>
      </c>
      <c r="D50" s="164"/>
      <c r="E50" s="365"/>
      <c r="F50" s="365"/>
    </row>
    <row r="51" spans="2:6" x14ac:dyDescent="0.15">
      <c r="B51" s="100" t="s">
        <v>113</v>
      </c>
      <c r="C51" s="160">
        <f>IF(valuation_method="DCF",DCF!E78,DDM!E73)</f>
        <v>63.412902058292019</v>
      </c>
      <c r="D51" t="str">
        <f>Market_currency</f>
        <v>CNY</v>
      </c>
      <c r="E51" s="365"/>
      <c r="F51" s="365"/>
    </row>
    <row r="52" spans="2:6" x14ac:dyDescent="0.15">
      <c r="B52" s="100" t="s">
        <v>147</v>
      </c>
      <c r="C52" s="165">
        <v>0.1</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7.0000000000000007E-2</v>
      </c>
      <c r="D56" s="164"/>
      <c r="E56" s="365"/>
      <c r="F56" s="365"/>
    </row>
    <row r="57" spans="2:6" x14ac:dyDescent="0.15">
      <c r="B57" s="100" t="s">
        <v>113</v>
      </c>
      <c r="C57" s="160">
        <f>IF(valuation_method="DCF",DCF!E74,DDM!E69)</f>
        <v>99.791911435560834</v>
      </c>
      <c r="D57" t="str">
        <f>Market_currency</f>
        <v>CNY</v>
      </c>
      <c r="E57" s="365"/>
      <c r="F57" s="365"/>
    </row>
    <row r="58" spans="2:6" x14ac:dyDescent="0.15">
      <c r="B58" s="100" t="s">
        <v>147</v>
      </c>
      <c r="C58" s="165">
        <v>0.05</v>
      </c>
      <c r="D58" s="165"/>
      <c r="E58" s="365"/>
      <c r="F58" s="365"/>
    </row>
    <row r="60" spans="2:6" x14ac:dyDescent="0.15">
      <c r="B60" s="100" t="s">
        <v>120</v>
      </c>
      <c r="C60" s="154">
        <f>C51*C52+C57*C58+C42*(1-C52-C58)</f>
        <v>77.785604602754844</v>
      </c>
      <c r="D60" t="str">
        <f>Market_currency</f>
        <v>CNY</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1.82133642321981E-2</v>
      </c>
      <c r="D65" s="151"/>
      <c r="E65" s="251" t="s">
        <v>312</v>
      </c>
    </row>
    <row r="66" spans="2:6" x14ac:dyDescent="0.15">
      <c r="B66" s="100" t="s">
        <v>102</v>
      </c>
      <c r="C66" s="160">
        <f>IF(valuation_method="DCF",DCF!C18,DDM!C13)</f>
        <v>77.787839467374837</v>
      </c>
      <c r="D66" s="160" t="str">
        <f>Market_currency</f>
        <v>CNY</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0.18364896670378619</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4.6470000000000002</v>
      </c>
      <c r="D77" t="str">
        <f>Market_currency</f>
        <v>CNY</v>
      </c>
    </row>
    <row r="79" spans="2:6" x14ac:dyDescent="0.15">
      <c r="B79" s="109" t="s">
        <v>301</v>
      </c>
    </row>
    <row r="80" spans="2:6" x14ac:dyDescent="0.15">
      <c r="B80" s="148" t="s">
        <v>299</v>
      </c>
      <c r="C80" s="167">
        <f>Thesis!F29</f>
        <v>0.33699999999999997</v>
      </c>
    </row>
    <row r="81" spans="2:8" x14ac:dyDescent="0.15">
      <c r="B81" s="100" t="s">
        <v>121</v>
      </c>
      <c r="C81" s="116">
        <f>PV(C80, C76, -C77, 0)</f>
        <v>8.0196797144163927</v>
      </c>
      <c r="D81" s="116"/>
      <c r="E81" s="100"/>
      <c r="F81" s="100"/>
    </row>
    <row r="82" spans="2:8" x14ac:dyDescent="0.15">
      <c r="B82" s="100" t="s">
        <v>122</v>
      </c>
      <c r="C82" s="116">
        <f>C60/(1+C80)^C76</f>
        <v>32.546553796162996</v>
      </c>
      <c r="D82" s="116"/>
    </row>
    <row r="83" spans="2:8" x14ac:dyDescent="0.15">
      <c r="B83" s="110" t="s">
        <v>101</v>
      </c>
      <c r="C83" s="111">
        <f>C81+C82</f>
        <v>40.566233510579387</v>
      </c>
      <c r="D83" t="str">
        <f>Market_currency</f>
        <v>CNY</v>
      </c>
      <c r="E83" s="146" t="s">
        <v>126</v>
      </c>
      <c r="F83" s="291">
        <f>(1-C83/C60)</f>
        <v>0.47848662078609472</v>
      </c>
    </row>
    <row r="84" spans="2:8" x14ac:dyDescent="0.15">
      <c r="E84" s="120"/>
    </row>
    <row r="85" spans="2:8" x14ac:dyDescent="0.15">
      <c r="B85" s="109" t="s">
        <v>302</v>
      </c>
    </row>
    <row r="86" spans="2:8" x14ac:dyDescent="0.15">
      <c r="B86" s="148" t="s">
        <v>300</v>
      </c>
      <c r="C86" s="116">
        <f>Market_Price</f>
        <v>65.98</v>
      </c>
      <c r="D86" t="str">
        <f>Market_currency</f>
        <v>CNY</v>
      </c>
    </row>
    <row r="87" spans="2:8" x14ac:dyDescent="0.15">
      <c r="B87" s="100" t="s">
        <v>298</v>
      </c>
      <c r="C87" s="237">
        <f ca="1">IRR(OFFSET($I$3, 0, 0, $C$76 + 1, 1))</f>
        <v>0.1232882180025836</v>
      </c>
    </row>
    <row r="88" spans="2:8" x14ac:dyDescent="0.15">
      <c r="B88" s="100"/>
    </row>
    <row r="89" spans="2:8" x14ac:dyDescent="0.15">
      <c r="B89" s="109" t="s">
        <v>412</v>
      </c>
    </row>
    <row r="90" spans="2:8" x14ac:dyDescent="0.15">
      <c r="B90" s="148" t="s">
        <v>413</v>
      </c>
      <c r="C90" s="167">
        <f>Thesis!F30</f>
        <v>0.187</v>
      </c>
    </row>
    <row r="91" spans="2:8" x14ac:dyDescent="0.15">
      <c r="B91" s="100" t="s">
        <v>121</v>
      </c>
      <c r="C91" s="116">
        <f>PV(C90, C76, -C77, 0)</f>
        <v>9.9916325637411276</v>
      </c>
      <c r="D91" s="116"/>
      <c r="E91" s="100"/>
      <c r="F91" s="100"/>
    </row>
    <row r="92" spans="2:8" x14ac:dyDescent="0.15">
      <c r="B92" s="100" t="s">
        <v>122</v>
      </c>
      <c r="C92" s="116">
        <f>C60/(1+C90)^C76</f>
        <v>46.510078747659925</v>
      </c>
      <c r="D92" s="116"/>
    </row>
    <row r="93" spans="2:8" x14ac:dyDescent="0.15">
      <c r="B93" s="110" t="s">
        <v>101</v>
      </c>
      <c r="C93" s="111">
        <f>C91+C92</f>
        <v>56.501711311401053</v>
      </c>
      <c r="D93" t="str">
        <f>Market_currency</f>
        <v>CNY</v>
      </c>
      <c r="E93" s="146" t="s">
        <v>126</v>
      </c>
      <c r="F93" s="291">
        <f>(1-C93/C60)</f>
        <v>0.27362252180270386</v>
      </c>
    </row>
    <row r="95" spans="2:8" x14ac:dyDescent="0.15">
      <c r="B95" s="109" t="s">
        <v>397</v>
      </c>
      <c r="G95" s="2"/>
      <c r="H95" s="281"/>
    </row>
    <row r="96" spans="2:8" x14ac:dyDescent="0.15">
      <c r="B96" s="148" t="s">
        <v>403</v>
      </c>
      <c r="C96" s="134">
        <f>Thesis!F31</f>
        <v>0.06</v>
      </c>
      <c r="G96" s="2"/>
      <c r="H96" s="281"/>
    </row>
    <row r="97" spans="2:8" x14ac:dyDescent="0.15">
      <c r="B97" s="100" t="s">
        <v>121</v>
      </c>
      <c r="C97" s="116">
        <f>PV(C96, C76, -C77, 0)</f>
        <v>12.421486529148241</v>
      </c>
      <c r="D97" s="116"/>
      <c r="G97" s="2"/>
      <c r="H97" s="281"/>
    </row>
    <row r="98" spans="2:8" x14ac:dyDescent="0.15">
      <c r="B98" s="100" t="s">
        <v>122</v>
      </c>
      <c r="C98" s="116">
        <f>C60/(1+C96)^C76</f>
        <v>65.310293566799118</v>
      </c>
      <c r="D98" s="116"/>
      <c r="G98" s="2"/>
      <c r="H98" s="281"/>
    </row>
    <row r="99" spans="2:8" x14ac:dyDescent="0.15">
      <c r="B99" s="110" t="s">
        <v>398</v>
      </c>
      <c r="C99" s="111">
        <f>C97+C98</f>
        <v>77.731780095947357</v>
      </c>
      <c r="D99" t="s">
        <v>396</v>
      </c>
      <c r="E99" s="146" t="s">
        <v>126</v>
      </c>
      <c r="F99" s="291">
        <f>(1-C99/C60)</f>
        <v>6.9195974091051937E-4</v>
      </c>
    </row>
    <row r="100" spans="2:8" x14ac:dyDescent="0.15">
      <c r="B100" s="100"/>
    </row>
    <row r="101" spans="2:8" x14ac:dyDescent="0.15">
      <c r="B101" s="109" t="s">
        <v>422</v>
      </c>
    </row>
    <row r="102" spans="2:8" x14ac:dyDescent="0.15">
      <c r="B102" s="148" t="s">
        <v>421</v>
      </c>
      <c r="C102" s="134">
        <f>Thesis!F32</f>
        <v>8.6999999999999994E-2</v>
      </c>
    </row>
    <row r="103" spans="2:8" x14ac:dyDescent="0.15">
      <c r="B103" s="100" t="s">
        <v>121</v>
      </c>
      <c r="C103" s="116">
        <f>PV(C102, C76, -C77, 0)</f>
        <v>11.826104101614131</v>
      </c>
      <c r="D103" s="116"/>
    </row>
    <row r="104" spans="2:8" x14ac:dyDescent="0.15">
      <c r="B104" s="100" t="s">
        <v>122</v>
      </c>
      <c r="C104" s="116">
        <f>C60/(1+C102)^C76</f>
        <v>60.563448972324863</v>
      </c>
      <c r="D104" s="116"/>
    </row>
    <row r="105" spans="2:8" x14ac:dyDescent="0.15">
      <c r="B105" s="110" t="s">
        <v>398</v>
      </c>
      <c r="C105" s="111">
        <f>C103+C104</f>
        <v>72.389553073938998</v>
      </c>
      <c r="D105" t="s">
        <v>396</v>
      </c>
      <c r="E105" s="146" t="s">
        <v>126</v>
      </c>
      <c r="F105" s="291">
        <f>(1-C105/C66)</f>
        <v>6.9397561757708282E-2</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