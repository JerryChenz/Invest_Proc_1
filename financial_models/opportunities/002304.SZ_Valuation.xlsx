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822F81B-C864-4449-85FE-7341AEEFAA3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2" i="3" l="1"/>
  <c r="C23" i="3"/>
  <c r="C19" i="3"/>
  <c r="C4" i="3"/>
  <c r="C25" i="4"/>
  <c r="B138" i="6"/>
  <c r="B137" i="6"/>
  <c r="C136" i="6"/>
  <c r="D139" i="6"/>
  <c r="C90" i="9"/>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05" i="2" s="1"/>
  <c r="G101" i="2" s="1"/>
  <c r="C88" i="6"/>
  <c r="F71" i="4"/>
  <c r="G70" i="4"/>
  <c r="E70" i="4"/>
  <c r="I71" i="4"/>
  <c r="J71" i="4"/>
  <c r="C70" i="4"/>
  <c r="O126" i="2"/>
  <c r="O91" i="2"/>
  <c r="M126" i="2"/>
  <c r="M91" i="2"/>
  <c r="K71" i="4"/>
  <c r="H70" i="4"/>
  <c r="F70" i="4"/>
  <c r="N126" i="2"/>
  <c r="N91" i="2"/>
  <c r="K70" i="4"/>
  <c r="P126" i="2"/>
  <c r="P91" i="2"/>
  <c r="J69" i="4"/>
  <c r="F69" i="4"/>
  <c r="G69" i="4"/>
  <c r="I69" i="4"/>
  <c r="J70" i="4"/>
  <c r="L126" i="2"/>
  <c r="L91" i="2"/>
  <c r="K69" i="4"/>
  <c r="H69" i="4"/>
  <c r="I70" i="4"/>
  <c r="D70" i="4"/>
  <c r="J91" i="2"/>
  <c r="I91" i="2"/>
  <c r="K126" i="2"/>
  <c r="K91" i="2"/>
  <c r="D69" i="4"/>
  <c r="H91" i="2"/>
  <c r="E69" i="4"/>
  <c r="C69" i="4"/>
  <c r="G113" i="2"/>
  <c r="G126" i="2"/>
  <c r="H113" i="2"/>
  <c r="H126" i="2"/>
  <c r="J113" i="2"/>
  <c r="J126" i="2"/>
  <c r="I113" i="2"/>
  <c r="I126" i="2"/>
  <c r="C76" i="4"/>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O8" i="2" l="1"/>
  <c r="O40" i="2"/>
  <c r="H58" i="4"/>
  <c r="H71" i="4"/>
  <c r="O30" i="2"/>
  <c r="O73" i="2"/>
  <c r="G71" i="4"/>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M48" i="2" l="1"/>
  <c r="M50" i="2" s="1"/>
  <c r="M12" i="2" s="1"/>
  <c r="O48" i="2"/>
  <c r="O50" i="2" s="1"/>
  <c r="O12" i="2" s="1"/>
  <c r="P48" i="2"/>
  <c r="L48" i="2"/>
  <c r="L50" i="2" s="1"/>
  <c r="L12" i="2" s="1"/>
  <c r="N48" i="2"/>
  <c r="N50" i="2" s="1"/>
  <c r="N12" i="2" s="1"/>
  <c r="K48" i="2"/>
  <c r="K50" i="2" s="1"/>
  <c r="K12" i="2" s="1"/>
  <c r="K43" i="2" s="1"/>
  <c r="G48" i="2"/>
  <c r="G50" i="2" s="1"/>
  <c r="G12" i="2" s="1"/>
  <c r="G43" i="2" s="1"/>
  <c r="H48" i="2"/>
  <c r="H50" i="2" s="1"/>
  <c r="H12" i="2" s="1"/>
  <c r="H80" i="2" s="1"/>
  <c r="J48" i="2"/>
  <c r="J50" i="2" s="1"/>
  <c r="J12" i="2" s="1"/>
  <c r="J80" i="2" s="1"/>
  <c r="I48" i="2"/>
  <c r="I50" i="2" s="1"/>
  <c r="I12" i="2" s="1"/>
  <c r="I80" i="2" s="1"/>
  <c r="P50" i="2"/>
  <c r="P12"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F69" i="8"/>
  <c r="B69" i="8"/>
  <c r="E68" i="8"/>
  <c r="D69" i="8"/>
  <c r="F66" i="8"/>
  <c r="D67" i="8"/>
  <c r="E66" i="8"/>
  <c r="D71" i="8"/>
  <c r="D70" i="8"/>
  <c r="C68" i="8"/>
  <c r="F70" i="8"/>
  <c r="C66" i="8"/>
  <c r="E70" i="8"/>
  <c r="F71" i="8"/>
  <c r="E69" i="8"/>
  <c r="C69" i="8"/>
  <c r="B68" i="8"/>
  <c r="B66" i="8"/>
  <c r="G54" i="2"/>
  <c r="C54" i="2" s="1"/>
  <c r="C70" i="8" l="1"/>
  <c r="D66" i="8"/>
  <c r="B70" i="8"/>
  <c r="C67" i="8"/>
  <c r="C71" i="8"/>
  <c r="B67" i="8"/>
  <c r="E67" i="8"/>
  <c r="F67" i="8"/>
  <c r="E71" i="8"/>
  <c r="D68" i="8"/>
  <c r="F68" i="8"/>
  <c r="B71" i="8"/>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<sst xmlns="http://schemas.openxmlformats.org/spreadsheetml/2006/main" count="616" uniqueCount="431">
  <si>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</si>
  <si>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</si>
  <si>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</si>
  <si>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</si>
  <si>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</si>
  <si>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</si>
  <si>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</si>
  <si>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</si>
  <si>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</si>
  <si>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</si>
  <si>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</si>
  <si>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</si>
  <si>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</si>
  <si>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</si>
  <si>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</si>
  <si>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</si>
  <si>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</si>
  <si>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</si>
  <si>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</si>
  <si>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</si>
  <si>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</si>
  <si>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</si>
  <si>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</si>
  <si>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</si>
  <si>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</si>
  <si>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</si>
  <si>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</si>
  <si>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</si>
  <si>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</si>
  <si>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</si>
  <si>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</si>
  <si>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</si>
  <si>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</si>
  <si>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</si>
  <si>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</si>
  <si>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</si>
  <si>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</si>
  <si>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</si>
  <si>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</si>
  <si>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</si>
  <si>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</si>
  <si>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</si>
  <si>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</si>
  <si>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</si>
  <si>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</si>
  <si>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</si>
  <si>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</si>
  <si>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</si>
  <si>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</si>
  <si>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</si>
  <si>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</si>
  <si>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</si>
  <si>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</si>
  <si>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</si>
  <si>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</si>
  <si>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</si>
  <si>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</si>
  <si>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</si>
  <si>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</si>
  <si>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</si>
  <si>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</si>
  <si>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</si>
  <si>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</si>
  <si>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</si>
  <si>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</si>
  <si>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</si>
  <si>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</si>
  <si>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</si>
  <si>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</si>
  <si>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</si>
  <si>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</si>
  <si>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</si>
  <si>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</si>
  <si>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</si>
  <si>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</si>
  <si>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</si>
  <si>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</si>
  <si>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</si>
  <si>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</si>
  <si>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</si>
  <si>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</si>
  <si>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</si>
  <si>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</si>
  <si>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</si>
  <si>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</si>
  <si>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</si>
  <si>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</si>
  <si>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</si>
  <si>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</si>
  <si>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</si>
  <si>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</si>
  <si>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</si>
  <si>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</si>
  <si>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</si>
  <si>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</si>
  <si>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</si>
  <si>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</si>
  <si>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</si>
  <si>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</si>
  <si>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</si>
  <si>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</si>
  <si>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</si>
  <si>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</si>
  <si>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</si>
  <si>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</si>
  <si>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</si>
  <si>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</si>
  <si>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</si>
  <si>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</si>
  <si>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</si>
  <si>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</si>
  <si>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</si>
  <si>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</si>
  <si>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</si>
  <si>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</si>
  <si>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</si>
  <si>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</si>
  <si>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</si>
  <si>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</si>
  <si>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</si>
  <si>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</si>
  <si>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</si>
  <si>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</si>
  <si>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</si>
  <si>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</si>
  <si>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</si>
  <si>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</si>
  <si>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</si>
  <si>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</si>
  <si>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</si>
  <si>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</si>
  <si>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</si>
  <si>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</si>
  <si>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</si>
  <si>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</si>
  <si>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</si>
  <si>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</si>
  <si>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</si>
  <si>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</si>
  <si>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</si>
  <si>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</si>
  <si>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</si>
  <si>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</si>
  <si>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</si>
  <si>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</si>
  <si>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</si>
  <si>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</si>
  <si>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</si>
  <si>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</si>
  <si>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</si>
  <si>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</si>
  <si>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</si>
  <si>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</si>
  <si>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</si>
  <si>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</si>
  <si>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</si>
  <si>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</si>
  <si>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</si>
  <si>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</si>
  <si>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</si>
  <si>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</si>
  <si>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</si>
  <si>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</si>
  <si>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</si>
  <si>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</si>
  <si>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</si>
  <si>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</si>
  <si>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</si>
  <si>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</si>
  <si>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</si>
  <si>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</si>
  <si>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</si>
  <si>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</si>
  <si>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</si>
  <si>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</si>
  <si>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</si>
  <si>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</si>
  <si>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</si>
  <si>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</si>
  <si>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</si>
  <si>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</si>
  <si>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</si>
  <si>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</si>
  <si>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</si>
  <si>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</si>
  <si>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</si>
  <si>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</si>
  <si>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</si>
  <si>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</si>
  <si>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</si>
  <si>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</si>
  <si>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</si>
  <si>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</si>
  <si>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</si>
  <si>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</si>
  <si>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</si>
  <si>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</si>
  <si>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</si>
  <si>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</si>
  <si>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</si>
  <si>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</si>
  <si>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</si>
  <si>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</si>
  <si>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</si>
  <si>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</si>
  <si>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</si>
  <si>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</si>
  <si>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</si>
  <si>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</si>
  <si>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</si>
  <si>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</si>
  <si>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</si>
  <si>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</si>
  <si>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</si>
  <si>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</si>
  <si>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</si>
  <si>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</si>
  <si>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</si>
  <si>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</si>
  <si>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</si>
  <si>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</si>
  <si>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</si>
  <si>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</si>
  <si>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</si>
  <si>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</si>
  <si>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</si>
  <si>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</si>
  <si>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</si>
  <si>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</si>
  <si>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</si>
  <si>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</si>
  <si>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</si>
  <si>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</si>
  <si>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</si>
  <si>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</si>
  <si>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</si>
  <si>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</si>
  <si>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</si>
  <si>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</si>
  <si>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</si>
  <si>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</si>
  <si>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</si>
  <si>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</si>
  <si>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</si>
  <si>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</si>
  <si>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</si>
  <si>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</si>
  <si>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</si>
  <si>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</si>
  <si>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</si>
  <si>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</si>
  <si>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</si>
  <si>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</si>
  <si>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</si>
  <si>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</si>
  <si>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</si>
  <si>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</si>
  <si>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</si>
  <si>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</si>
  <si>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</si>
  <si>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</si>
  <si>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</si>
  <si>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</si>
  <si>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</si>
  <si>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</si>
  <si>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</si>
  <si>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</si>
  <si>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</si>
  <si>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</si>
  <si>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</si>
  <si>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</si>
  <si>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</si>
  <si>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</si>
  <si>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</si>
  <si>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</si>
  <si>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</si>
  <si>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</si>
  <si>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</si>
  <si>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</si>
  <si>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</si>
  <si>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</si>
  <si>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</si>
  <si>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</si>
  <si>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</si>
  <si>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</si>
  <si>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</si>
  <si>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</si>
  <si>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</si>
  <si>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</si>
  <si>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</si>
  <si>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</si>
  <si>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</si>
  <si>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</si>
  <si>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</si>
  <si>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</si>
  <si>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</si>
  <si>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</si>
  <si>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</si>
  <si>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</si>
  <si>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</si>
  <si>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</si>
  <si>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</si>
  <si>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</si>
  <si>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</si>
  <si>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</si>
  <si>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</si>
  <si>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</si>
  <si>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</si>
  <si>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</si>
  <si>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</si>
  <si>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</si>
  <si>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</si>
  <si>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</si>
  <si>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</si>
  <si>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</si>
  <si>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</si>
  <si>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</si>
  <si>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</si>
  <si>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</si>
  <si>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</si>
  <si>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</si>
  <si>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</si>
  <si>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</si>
  <si>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</si>
  <si>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</si>
  <si>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</si>
  <si>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</si>
  <si>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</si>
  <si>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</si>
  <si>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</si>
  <si>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</si>
  <si>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</si>
  <si>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</si>
  <si>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</si>
  <si>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</si>
  <si>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</si>
  <si>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</si>
  <si>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</si>
  <si>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</si>
  <si>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</si>
  <si>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</si>
  <si>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</si>
  <si>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</si>
  <si>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</si>
  <si>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</si>
  <si>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</si>
  <si>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</si>
  <si>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</si>
  <si>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</si>
  <si>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</si>
  <si>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</si>
  <si>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</si>
  <si>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</si>
  <si>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</si>
  <si>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</si>
  <si>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</si>
  <si>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</si>
  <si>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</si>
  <si>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</si>
  <si>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</si>
  <si>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</si>
  <si>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</si>
  <si>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</si>
  <si>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</si>
  <si>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</si>
  <si>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</si>
  <si>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</si>
  <si>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</si>
  <si>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</si>
  <si>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</si>
  <si>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</si>
  <si>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</si>
  <si>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</si>
  <si>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</si>
  <si>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</si>
  <si>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</si>
  <si>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</si>
  <si>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</si>
  <si>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</si>
  <si>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</si>
  <si>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</si>
  <si>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</si>
  <si>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</si>
  <si>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</si>
  <si>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</si>
  <si>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</si>
  <si>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</si>
  <si>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</si>
  <si>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</si>
  <si>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</si>
  <si>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</si>
  <si>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</si>
  <si>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</si>
  <si>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</si>
  <si>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</si>
  <si>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</si>
  <si>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</si>
  <si>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</si>
  <si>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</si>
  <si>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</si>
  <si>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</si>
  <si>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</si>
  <si>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</si>
  <si>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</si>
  <si>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</si>
  <si>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</si>
  <si>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</si>
  <si>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</si>
  <si>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</si>
  <si>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</si>
  <si>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</si>
  <si>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</si>
  <si>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</si>
  <si>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</si>
  <si>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</si>
  <si>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</si>
  <si>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</si>
  <si>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</si>
  <si>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</si>
  <si>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</si>
  <si>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</si>
  <si>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</si>
  <si>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</si>
  <si>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</si>
  <si>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</si>
  <si>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</si>
  <si>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002304.SZ</t>
  </si>
  <si>
    <t>CNY</t>
  </si>
  <si>
    <t>洋河股份</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</si>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</sst>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3"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002304.SZ Stock Information</v>
      </c>
      <c r="C4" s="46"/>
      <c r="D4" s="5"/>
      <c r="E4" s="2"/>
      <c r="F4" s="2"/>
    </row>
    <row r="5" spans="1:10" ht="12.4">
      <c r="B5" s="4" t="s">
        <v>323</v>
      </c>
      <c r="C5" s="333" t="s">
        <v>428</v>
      </c>
      <c r="D5" s="49" t="s">
        <v>426</v>
      </c>
    </row>
    <row r="6" spans="1:10">
      <c r="B6" s="4" t="s">
        <v>95</v>
      </c>
      <c r="C6" s="50">
        <v>68.599999999999994</v>
      </c>
      <c r="D6" s="48" t="s">
        <v>427</v>
      </c>
      <c r="E6" s="48"/>
    </row>
    <row r="7" spans="1:10">
      <c r="B7" s="4" t="s">
        <v>0</v>
      </c>
      <c r="C7" s="51">
        <v>1506988000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(CNY):</v>
      </c>
      <c r="C10" s="35">
        <f>Thesis!C6*Thesis!C7/1000000</f>
        <v>103379.37679999998</v>
      </c>
      <c r="D10" s="32"/>
      <c r="E10" s="5"/>
    </row>
    <row r="11" spans="1:10">
      <c r="D11" s="5"/>
      <c r="E11" s="5"/>
    </row>
    <row r="12" spans="1:10" ht="24.4" customHeight="1">
      <c r="B12" s="342" t="s">
        <v>369</v>
      </c>
      <c r="C12" s="342"/>
      <c r="D12" s="342"/>
      <c r="E12" s="342"/>
      <c r="F12" s="342"/>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49.746673136282389</v>
      </c>
      <c r="D20" s="1" t="s">
        <v>315</v>
      </c>
      <c r="E20" s="330">
        <v>3</v>
      </c>
    </row>
    <row r="21" spans="1:6">
      <c r="B21" s="1" t="s">
        <v>409</v>
      </c>
      <c r="C21" s="280">
        <f ca="1">Scenarios!C87</f>
        <v>0.15986601836174463</v>
      </c>
      <c r="D21" s="5"/>
      <c r="E21" s="5"/>
    </row>
    <row r="22" spans="1:6">
      <c r="D22" s="5"/>
      <c r="E22" s="5"/>
    </row>
    <row r="23" spans="1:6" ht="13.9">
      <c r="A23" s="247" t="s">
        <v>364</v>
      </c>
      <c r="B23" s="36"/>
      <c r="C23" s="36"/>
      <c r="D23" s="36"/>
      <c r="E23" s="36"/>
      <c r="F23" s="36"/>
    </row>
    <row r="25" spans="1:6" ht="24.4" customHeight="1">
      <c r="B25" s="342" t="s">
        <v>370</v>
      </c>
      <c r="C25" s="342"/>
      <c r="D25" s="342"/>
      <c r="E25" s="342"/>
      <c r="F25" s="342"/>
    </row>
    <row r="26" spans="1:6" ht="24.4" customHeight="1">
      <c r="B26" s="345" t="s">
        <v>348</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10504024858.984821</v>
      </c>
      <c r="D30" s="1" t="str">
        <f>Reporting_currency</f>
        <v>CNY</v>
      </c>
    </row>
    <row r="31" spans="1:6">
      <c r="B31" s="47"/>
      <c r="C31" s="76"/>
    </row>
    <row r="32" spans="1:6" ht="24.4" customHeight="1">
      <c r="B32" s="343" t="s">
        <v>234</v>
      </c>
      <c r="C32" s="343"/>
      <c r="D32" s="343"/>
      <c r="E32" s="343"/>
      <c r="F32" s="343"/>
    </row>
    <row r="33" spans="2:6">
      <c r="B33" s="47" t="s">
        <v>235</v>
      </c>
      <c r="C33" s="188">
        <f>Normalized_FCF!C9</f>
        <v>697421786</v>
      </c>
      <c r="D33" s="1" t="str">
        <f>Reporting_currency</f>
        <v>CNY</v>
      </c>
    </row>
    <row r="34" spans="2:6">
      <c r="B34" s="52" t="s">
        <v>236</v>
      </c>
      <c r="C34" s="188">
        <f>Normalized_FCF!C10</f>
        <v>-697421786</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349</v>
      </c>
      <c r="C40" s="322">
        <f>Normalized_FCF!C48</f>
        <v>123170761.45263389</v>
      </c>
      <c r="D40" s="1" t="str">
        <f>Reporting_currency</f>
        <v>CNY</v>
      </c>
      <c r="E40" s="321"/>
      <c r="F40" s="321"/>
    </row>
    <row r="41" spans="2:6">
      <c r="B41" s="47" t="s">
        <v>350</v>
      </c>
      <c r="C41" s="322">
        <f>Normalized_FCF!C47</f>
        <v>-2955080</v>
      </c>
      <c r="D41" s="1" t="str">
        <f>Reporting_currency</f>
        <v>CNY</v>
      </c>
      <c r="E41" s="321"/>
      <c r="F41" s="321"/>
    </row>
    <row r="42" spans="2:6">
      <c r="B42" s="47" t="s">
        <v>239</v>
      </c>
      <c r="C42" s="188">
        <f>Normalized_FCF!C12</f>
        <v>120215681.45263389</v>
      </c>
      <c r="D42" s="1" t="str">
        <f>Reporting_currency</f>
        <v>CNY</v>
      </c>
    </row>
    <row r="44" spans="2:6">
      <c r="B44" s="1" t="s">
        <v>247</v>
      </c>
    </row>
    <row r="45" spans="2:6">
      <c r="B45" s="47" t="s">
        <v>266</v>
      </c>
      <c r="C45" s="188">
        <f>Normalized_FCF!C15</f>
        <v>-11281261.817791469</v>
      </c>
      <c r="D45" s="1" t="str">
        <f>Reporting_currency</f>
        <v>CNY</v>
      </c>
    </row>
    <row r="47" spans="2:6">
      <c r="B47" s="343" t="s">
        <v>242</v>
      </c>
      <c r="C47" s="343"/>
      <c r="D47" s="343"/>
      <c r="E47" s="343"/>
      <c r="F47" s="343"/>
    </row>
    <row r="48" spans="2:6">
      <c r="B48" s="47" t="s">
        <v>240</v>
      </c>
      <c r="C48" s="188">
        <f>Normalized_FCF!C14</f>
        <v>-2656060135.109364</v>
      </c>
      <c r="D48" s="1" t="str">
        <f>Reporting_currency</f>
        <v>CNY</v>
      </c>
    </row>
    <row r="50" spans="1:6">
      <c r="B50" s="343" t="s">
        <v>347</v>
      </c>
      <c r="C50" s="344"/>
      <c r="D50" s="344"/>
      <c r="E50" s="344"/>
      <c r="F50" s="344"/>
    </row>
    <row r="51" spans="1:6">
      <c r="B51" s="47" t="s">
        <v>243</v>
      </c>
      <c r="C51" s="1">
        <f>Normalized_FCF!C17</f>
        <v>0</v>
      </c>
      <c r="D51" s="1" t="str">
        <f>Reporting_currency</f>
        <v>CNY</v>
      </c>
    </row>
    <row r="53" spans="1:6" ht="24.4" customHeight="1">
      <c r="B53" s="342" t="s">
        <v>352</v>
      </c>
      <c r="C53" s="342"/>
      <c r="D53" s="342"/>
      <c r="E53" s="342"/>
      <c r="F53" s="342"/>
    </row>
    <row r="54" spans="1:6" ht="24.4" customHeight="1">
      <c r="B54" s="342" t="s">
        <v>371</v>
      </c>
      <c r="C54" s="342"/>
      <c r="D54" s="342"/>
      <c r="E54" s="342"/>
      <c r="F54" s="342"/>
    </row>
    <row r="56" spans="1:6">
      <c r="B56" s="47" t="s">
        <v>271</v>
      </c>
      <c r="C56" s="188">
        <f>Normalized_FCF!G19</f>
        <v>7094251918.3469982</v>
      </c>
      <c r="D56" s="1" t="str">
        <f>Reporting_currency</f>
        <v>CNY</v>
      </c>
    </row>
    <row r="57" spans="1:6">
      <c r="B57" s="47" t="s">
        <v>249</v>
      </c>
      <c r="C57" s="188">
        <f>Normalized_FCF!C19</f>
        <v>7956899143.5103006</v>
      </c>
      <c r="D57" s="1" t="str">
        <f>Reporting_currency</f>
        <v>CNY</v>
      </c>
    </row>
    <row r="58" spans="1:6">
      <c r="B58" s="254" t="s">
        <v>400</v>
      </c>
      <c r="C58" s="92">
        <f>Normalized_FCF!C125</f>
        <v>7.6967954245883027E-2</v>
      </c>
    </row>
    <row r="59" spans="1:6">
      <c r="B59" s="254" t="s">
        <v>316</v>
      </c>
      <c r="C59" s="92">
        <f>Normalized_FCF!C93</f>
        <v>6.7740524781341113E-2</v>
      </c>
    </row>
    <row r="61" spans="1:6" ht="13.9">
      <c r="A61" s="247" t="s">
        <v>365</v>
      </c>
      <c r="B61" s="36"/>
      <c r="C61" s="36"/>
      <c r="D61" s="36"/>
      <c r="E61" s="36"/>
      <c r="F61" s="36"/>
    </row>
    <row r="62" spans="1:6">
      <c r="A62" s="233"/>
    </row>
    <row r="63" spans="1:6" ht="24.4" customHeight="1">
      <c r="A63" s="17"/>
      <c r="B63" s="342" t="s">
        <v>372</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2" t="s">
        <v>373</v>
      </c>
      <c r="C73" s="342"/>
      <c r="D73" s="342"/>
      <c r="E73" s="342"/>
      <c r="F73" s="342"/>
    </row>
    <row r="74" spans="1:6" ht="24.4" customHeight="1">
      <c r="B74" s="342" t="s">
        <v>374</v>
      </c>
      <c r="C74" s="342"/>
      <c r="D74" s="342"/>
      <c r="E74" s="342"/>
      <c r="F74" s="342"/>
    </row>
    <row r="76" spans="1:6">
      <c r="B76" s="47" t="s">
        <v>252</v>
      </c>
      <c r="C76" s="263">
        <v>0</v>
      </c>
    </row>
    <row r="77" spans="1:6">
      <c r="B77" s="47" t="s">
        <v>284</v>
      </c>
      <c r="C77" s="248">
        <f>Valuation_Model!C6*scaling_factor*Exchange_Rate/Common_Shares</f>
        <v>66.000020765844681</v>
      </c>
      <c r="D77" s="1" t="str">
        <f>Market_currency</f>
        <v>CNY</v>
      </c>
    </row>
    <row r="79" spans="1:6" ht="13.9">
      <c r="A79" s="247" t="s">
        <v>367</v>
      </c>
      <c r="B79" s="36"/>
      <c r="C79" s="36"/>
      <c r="D79" s="36"/>
      <c r="E79" s="36"/>
      <c r="F79" s="36"/>
    </row>
    <row r="80" spans="1:6">
      <c r="A80" s="233"/>
    </row>
    <row r="81" spans="2:6">
      <c r="B81" s="342" t="s">
        <v>375</v>
      </c>
      <c r="C81" s="342"/>
      <c r="D81" s="342"/>
      <c r="E81" s="342"/>
      <c r="F81" s="342"/>
    </row>
    <row r="82" spans="2:6">
      <c r="B82" s="1" t="s">
        <v>254</v>
      </c>
    </row>
    <row r="84" spans="2:6">
      <c r="B84" s="234" t="s">
        <v>231</v>
      </c>
    </row>
    <row r="85" spans="2:6" ht="24.4" customHeight="1">
      <c r="B85" s="342" t="s">
        <v>353</v>
      </c>
      <c r="C85" s="342"/>
      <c r="D85" s="342"/>
      <c r="E85" s="342"/>
      <c r="F85" s="342"/>
    </row>
    <row r="86" spans="2:6">
      <c r="B86" s="47" t="s">
        <v>256</v>
      </c>
      <c r="C86" s="188">
        <f>Valuation_Model!C7</f>
        <v>40134989.460000001</v>
      </c>
      <c r="D86" s="1" t="str">
        <f>Reporting_currency</f>
        <v>CNY</v>
      </c>
    </row>
    <row r="87" spans="2:6">
      <c r="B87" s="47" t="s">
        <v>285</v>
      </c>
      <c r="C87" s="248">
        <f>C86*scaling_factor*Exchange_Rate/Common_Shares</f>
        <v>2.6632587293329478E-2</v>
      </c>
      <c r="D87" s="1" t="str">
        <f>Market_currency</f>
        <v>CNY</v>
      </c>
    </row>
    <row r="88" spans="2:6">
      <c r="B88" s="336" t="s">
        <v>414</v>
      </c>
      <c r="C88" s="337">
        <f>BS!G30/BS!G27</f>
        <v>0.30279158651211824</v>
      </c>
    </row>
    <row r="89" spans="2:6">
      <c r="B89" s="336" t="s">
        <v>415</v>
      </c>
      <c r="C89" s="337">
        <f>BS!G31/BS!G27</f>
        <v>7.7640983998987034E-4</v>
      </c>
    </row>
    <row r="90" spans="2:6">
      <c r="B90" s="336" t="s">
        <v>417</v>
      </c>
      <c r="C90" s="338">
        <f>BS!C50</f>
        <v>3.8209153156820415E-3</v>
      </c>
    </row>
    <row r="92" spans="2:6">
      <c r="B92" s="1" t="s">
        <v>255</v>
      </c>
    </row>
    <row r="93" spans="2:6">
      <c r="B93" s="47" t="s">
        <v>265</v>
      </c>
      <c r="C93" s="188">
        <f>BS!C66</f>
        <v>21748297978.369999</v>
      </c>
      <c r="D93" s="1" t="str">
        <f>Reporting_currency</f>
        <v>CNY</v>
      </c>
    </row>
    <row r="94" spans="2:6">
      <c r="B94" s="47" t="s">
        <v>267</v>
      </c>
      <c r="C94" s="188">
        <f>Valuation_Model!C8</f>
        <v>17437737876.49247</v>
      </c>
      <c r="D94" s="1" t="str">
        <f>Reporting_currency</f>
        <v>CNY</v>
      </c>
    </row>
    <row r="95" spans="2:6">
      <c r="B95" s="47" t="s">
        <v>286</v>
      </c>
      <c r="C95" s="248">
        <f>C94*scaling_factor*Exchange_Rate/Common_Shares</f>
        <v>11.571251978444732</v>
      </c>
      <c r="D95" s="1" t="str">
        <f>Market_currency</f>
        <v>CNY</v>
      </c>
    </row>
    <row r="97" spans="1:6">
      <c r="B97" s="1" t="s">
        <v>257</v>
      </c>
    </row>
    <row r="98" spans="1:6">
      <c r="B98" s="47" t="s">
        <v>258</v>
      </c>
      <c r="C98" s="188">
        <f>Valuation_Model!C9</f>
        <v>3951628136.4709997</v>
      </c>
      <c r="D98" s="1" t="str">
        <f>Reporting_currency</f>
        <v>CNY</v>
      </c>
    </row>
    <row r="99" spans="1:6">
      <c r="B99" s="47" t="s">
        <v>287</v>
      </c>
      <c r="C99" s="248">
        <f>C98*scaling_factor*Exchange_Rate/Common_Shares</f>
        <v>2.6222027889213448</v>
      </c>
      <c r="D99" s="1" t="str">
        <f>Market_currency</f>
        <v>CNY</v>
      </c>
    </row>
    <row r="101" spans="1:6" ht="24.4" customHeight="1">
      <c r="B101" s="342" t="s">
        <v>376</v>
      </c>
      <c r="C101" s="342"/>
      <c r="D101" s="342"/>
      <c r="E101" s="342"/>
      <c r="F101" s="342"/>
    </row>
    <row r="103" spans="1:6">
      <c r="B103" s="47" t="s">
        <v>283</v>
      </c>
      <c r="C103" s="248">
        <f>Valuation_Model!C12</f>
        <v>80.166842945917438</v>
      </c>
      <c r="D103" s="1" t="str">
        <f>Market_currency</f>
        <v>CNY</v>
      </c>
    </row>
    <row r="104" spans="1:6">
      <c r="B104" s="336" t="s">
        <v>416</v>
      </c>
      <c r="C104" s="248">
        <f>BS!D47</f>
        <v>15.284602440692964</v>
      </c>
      <c r="D104" s="1" t="str">
        <f>Market_currency</f>
        <v>CNY</v>
      </c>
    </row>
    <row r="106" spans="1:6" ht="13.9">
      <c r="A106" s="247" t="s">
        <v>368</v>
      </c>
      <c r="B106" s="36"/>
      <c r="C106" s="36"/>
      <c r="D106" s="36"/>
      <c r="E106" s="36"/>
      <c r="F106" s="36"/>
    </row>
    <row r="108" spans="1:6" ht="24.4" customHeight="1">
      <c r="B108" s="343" t="s">
        <v>377</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129.06 CNY</v>
      </c>
      <c r="F111" s="259">
        <f>Valuation_Model!F74</f>
        <v>0.05</v>
      </c>
    </row>
    <row r="112" spans="1:6">
      <c r="B112" s="242" t="str">
        <f>Valuation_Model!B75</f>
        <v>Optimistic</v>
      </c>
      <c r="C112" s="243">
        <f>Valuation_Model!C75</f>
        <v>0.06</v>
      </c>
      <c r="D112" s="244">
        <f>Valuation_Model!D75</f>
        <v>10</v>
      </c>
      <c r="E112" s="245" t="str">
        <f>ROUND(Valuation_Model!E75,2)&amp;" "&amp;Market_currency</f>
        <v>94.28 CNY</v>
      </c>
      <c r="F112" s="246">
        <f>Valuation_Model!F75</f>
        <v>0.18</v>
      </c>
    </row>
    <row r="113" spans="1:6">
      <c r="B113" s="242" t="str">
        <f>Valuation_Model!B76</f>
        <v>Base</v>
      </c>
      <c r="C113" s="243">
        <f>Valuation_Model!C76</f>
        <v>0.04</v>
      </c>
      <c r="D113" s="244">
        <f>Valuation_Model!D76</f>
        <v>10</v>
      </c>
      <c r="E113" s="245" t="str">
        <f>ROUND(Valuation_Model!E76,2)&amp;" "&amp;Market_currency</f>
        <v>89.12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84.43 CNY</v>
      </c>
      <c r="F114" s="246">
        <f>Valuation_Model!F77</f>
        <v>0.18</v>
      </c>
    </row>
    <row r="115" spans="1:6">
      <c r="B115" s="242" t="str">
        <f>Valuation_Model!B78</f>
        <v>Devil's advocate</v>
      </c>
      <c r="C115" s="243">
        <f>Valuation_Model!C78</f>
        <v>0</v>
      </c>
      <c r="D115" s="244">
        <f>Valuation_Model!D78</f>
        <v>15</v>
      </c>
      <c r="E115" s="245" t="str">
        <f>ROUND(Valuation_Model!E78,2)&amp;" "&amp;Market_currency</f>
        <v>80.17 CNY</v>
      </c>
      <c r="F115" s="246">
        <f>Valuation_Model!F78</f>
        <v>0.05</v>
      </c>
    </row>
    <row r="117" spans="1:6">
      <c r="B117" s="235" t="s">
        <v>259</v>
      </c>
      <c r="C117" s="241">
        <f>Scenarios!C60</f>
        <v>90.751910880412424</v>
      </c>
      <c r="D117" s="236" t="str">
        <f>Market_currency</f>
        <v>CNY</v>
      </c>
    </row>
    <row r="119" spans="1:6" ht="24.4" customHeight="1">
      <c r="B119" s="346" t="s">
        <v>380</v>
      </c>
      <c r="C119" s="346"/>
      <c r="D119" s="346"/>
      <c r="E119" s="346"/>
      <c r="F119" s="346"/>
    </row>
    <row r="121" spans="1:6" ht="13.9">
      <c r="A121" s="247" t="s">
        <v>412</v>
      </c>
      <c r="B121" s="36"/>
      <c r="C121" s="36"/>
      <c r="D121" s="36"/>
      <c r="E121" s="36"/>
      <c r="F121" s="36"/>
    </row>
    <row r="123" spans="1:6">
      <c r="B123" s="347" t="s">
        <v>378</v>
      </c>
      <c r="C123" s="347"/>
      <c r="D123" s="347"/>
      <c r="E123" s="347"/>
      <c r="F123" s="347"/>
    </row>
    <row r="124" spans="1:6" ht="24.4" customHeight="1">
      <c r="B124" s="342" t="s">
        <v>379</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4.6470000000000002</v>
      </c>
      <c r="D128" s="236" t="str">
        <f>Market_currency</f>
        <v>CNY</v>
      </c>
    </row>
    <row r="130" spans="2:4">
      <c r="B130" s="234" t="s">
        <v>420</v>
      </c>
      <c r="C130" s="337">
        <f>C19</f>
        <v>0.3</v>
      </c>
      <c r="D130" s="1" t="s">
        <v>418</v>
      </c>
    </row>
    <row r="131" spans="2:4">
      <c r="B131" s="236" t="str">
        <f>"PV("&amp;C126&amp;" yrs of Dividends)"</f>
        <v>PV(3 yrs of Dividends)</v>
      </c>
      <c r="C131" s="240">
        <f>Scenarios!C81</f>
        <v>8.4394765589440173</v>
      </c>
    </row>
    <row r="132" spans="2:4">
      <c r="B132" s="236" t="str">
        <f>"+ PV(Equity Value realized at year "&amp;C126&amp;")"</f>
        <v>+ PV(Equity Value realized at year 3)</v>
      </c>
      <c r="C132" s="240">
        <f>Scenarios!C82</f>
        <v>41.307196577338374</v>
      </c>
    </row>
    <row r="133" spans="2:4">
      <c r="B133" s="80" t="s">
        <v>261</v>
      </c>
      <c r="C133" s="239">
        <f>Scenarios!C83</f>
        <v>49.746673136282389</v>
      </c>
      <c r="D133" s="47" t="str">
        <f>Reporting_currency</f>
        <v>CNY</v>
      </c>
    </row>
    <row r="134" spans="2:4">
      <c r="B134" s="238" t="s">
        <v>263</v>
      </c>
      <c r="C134" s="92">
        <f>Scenarios!F83</f>
        <v>0.45183883563801042</v>
      </c>
    </row>
    <row r="136" spans="2:4">
      <c r="B136" s="234" t="s">
        <v>423</v>
      </c>
      <c r="C136" s="337">
        <f>Scenarios!C90</f>
        <v>0.2</v>
      </c>
      <c r="D136" s="1" t="s">
        <v>422</v>
      </c>
    </row>
    <row r="137" spans="2:4">
      <c r="B137" s="236" t="str">
        <f>"PV("&amp;C126&amp;" yrs of Dividends)"</f>
        <v>PV(3 yrs of Dividends)</v>
      </c>
      <c r="C137" s="240">
        <f>Scenarios!C91</f>
        <v>9.7888194444444441</v>
      </c>
    </row>
    <row r="138" spans="2:4">
      <c r="B138" s="236" t="str">
        <f>"+ PV(Equity Value realized at year "&amp;C126&amp;")"</f>
        <v>+ PV(Equity Value realized at year 3)</v>
      </c>
      <c r="C138" s="240">
        <f>Scenarios!C92</f>
        <v>52.518466944683119</v>
      </c>
    </row>
    <row r="139" spans="2:4">
      <c r="B139" s="80" t="s">
        <v>261</v>
      </c>
      <c r="C139" s="239">
        <f>Scenarios!C93</f>
        <v>62.307286389127562</v>
      </c>
      <c r="D139" s="47" t="str">
        <f>Reporting_currency</f>
        <v>CNY</v>
      </c>
    </row>
    <row r="140" spans="2:4">
      <c r="B140" s="238" t="s">
        <v>263</v>
      </c>
      <c r="C140" s="92">
        <f>Scenarios!F93</f>
        <v>0.31343278852571521</v>
      </c>
    </row>
    <row r="142" spans="2:4">
      <c r="B142" s="234" t="s">
        <v>410</v>
      </c>
      <c r="C142" s="92">
        <f>Scenarios!C96</f>
        <v>0.08</v>
      </c>
      <c r="D142" s="1" t="s">
        <v>421</v>
      </c>
    </row>
    <row r="143" spans="2:4">
      <c r="B143" s="236" t="str">
        <f>"PV("&amp;C126&amp;" yrs of Dividends)"</f>
        <v>PV(3 yrs of Dividends)</v>
      </c>
      <c r="C143" s="240">
        <f>Scenarios!C97</f>
        <v>11.9757696997409</v>
      </c>
    </row>
    <row r="144" spans="2:4">
      <c r="B144" s="236" t="str">
        <f>"+ PV(Equity Value realized at year "&amp;C126&amp;")"</f>
        <v>+ PV(Equity Value realized at year 3)</v>
      </c>
      <c r="C144" s="240">
        <f>Scenarios!C98</f>
        <v>72.041792791060502</v>
      </c>
    </row>
    <row r="145" spans="1:6">
      <c r="B145" s="80" t="s">
        <v>411</v>
      </c>
      <c r="C145" s="239">
        <f>Scenarios!C99</f>
        <v>84.017562490801396</v>
      </c>
      <c r="D145" s="101" t="str">
        <f>Reporting_currency</f>
        <v>CNY</v>
      </c>
    </row>
    <row r="146" spans="1:6">
      <c r="B146" s="238" t="s">
        <v>263</v>
      </c>
      <c r="C146" s="92">
        <f>Scenarios!F99</f>
        <v>7.4206133229361537E-2</v>
      </c>
    </row>
    <row r="148" spans="1:6" ht="13.9">
      <c r="A148" s="247" t="s">
        <v>384</v>
      </c>
      <c r="B148" s="36"/>
      <c r="C148" s="36"/>
      <c r="D148" s="36"/>
      <c r="E148" s="36"/>
      <c r="F148" s="36"/>
    </row>
    <row r="150" spans="1:6">
      <c r="B150" s="341" t="s">
        <v>386</v>
      </c>
      <c r="C150" s="342"/>
      <c r="D150" s="342"/>
      <c r="E150" s="342"/>
      <c r="F150" s="342"/>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3" t="s">
        <v>391</v>
      </c>
      <c r="C159" s="343"/>
      <c r="D159" s="343"/>
      <c r="E159" s="343"/>
      <c r="F159" s="343"/>
    </row>
    <row r="161" spans="2:6">
      <c r="B161" s="1" t="s">
        <v>395</v>
      </c>
    </row>
    <row r="162" spans="2:6" ht="24.4" customHeight="1">
      <c r="B162" s="340" t="s">
        <v>392</v>
      </c>
      <c r="C162" s="340"/>
      <c r="D162" s="340"/>
      <c r="E162" s="340"/>
      <c r="F162" s="340"/>
    </row>
    <row r="163" spans="2:6" ht="24.4" customHeight="1">
      <c r="B163" s="340" t="s">
        <v>393</v>
      </c>
      <c r="C163" s="340"/>
      <c r="D163" s="340"/>
      <c r="E163" s="340"/>
      <c r="F163" s="340"/>
    </row>
    <row r="165" spans="2:6">
      <c r="B165" s="1" t="s">
        <v>399</v>
      </c>
    </row>
    <row r="166" spans="2:6">
      <c r="B166" s="238" t="s">
        <v>396</v>
      </c>
    </row>
    <row r="167" spans="2:6">
      <c r="B167" s="238" t="s">
        <v>397</v>
      </c>
    </row>
    <row r="168" spans="2:6">
      <c r="B168" s="238" t="s">
        <v>398</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0" activePane="bottomRight" state="frozen"/>
      <selection pane="topRight" activeCell="C1" sqref="C1"/>
      <selection pane="bottomLeft" activeCell="A2" sqref="A2"/>
      <selection pane="bottomRight" activeCell="C24" sqref="C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8812.894363989999</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383</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382</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220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8812.894363989999</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 sqref="C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81">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3.0012732378422154E-7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360</v>
      </c>
    </row>
    <row r="74" spans="2:6" ht="15" customHeight="1">
      <c r="B74" s="288" t="s">
        <v>330</v>
      </c>
      <c r="C74" s="289">
        <f>-$C$66/C73</f>
        <v>9.6209966209831155</v>
      </c>
      <c r="D74" s="289">
        <f>-$C$66/D73</f>
        <v>10.090706295405646</v>
      </c>
      <c r="F74" s="283" t="s">
        <v>327</v>
      </c>
    </row>
    <row r="75" spans="2:6" ht="15" customHeight="1">
      <c r="B75" s="80" t="s">
        <v>328</v>
      </c>
      <c r="C75" s="293"/>
      <c r="D75" s="292">
        <f>MAX(-D73*D76,G5)</f>
        <v>4310560101.8775301</v>
      </c>
      <c r="F75" s="283" t="s">
        <v>361</v>
      </c>
    </row>
    <row r="76" spans="2:6" ht="15" customHeight="1">
      <c r="B76" s="290" t="s">
        <v>331</v>
      </c>
      <c r="C76" s="291"/>
      <c r="D76" s="327">
        <f>IF(D74&lt;=3,1,IF(D74&gt;18,6,2))</f>
        <v>2</v>
      </c>
      <c r="F76" s="283" t="s">
        <v>332</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-697421786</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8812.894363989999</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10624240540.437456</v>
      </c>
      <c r="E13" s="302"/>
      <c r="G13" s="184">
        <f>IF(G$4="","",SUM(G8:G12))</f>
        <v>9570872710.3469982</v>
      </c>
      <c r="H13" s="184">
        <f t="shared" ref="H13:Q13" si="7">IF(H$4="","",SUM(H8:H12))</f>
        <v>13100670162.603086</v>
      </c>
      <c r="I13" s="184">
        <f t="shared" si="7"/>
        <v>12582894156.052364</v>
      </c>
      <c r="J13" s="184">
        <f t="shared" si="7"/>
        <v>10158559576.410332</v>
      </c>
      <c r="K13" s="184">
        <f t="shared" si="7"/>
        <v>8044081060.4725046</v>
      </c>
      <c r="L13" s="184">
        <f t="shared" si="7"/>
        <v>9381945036.9494953</v>
      </c>
      <c r="M13" s="184">
        <f t="shared" si="7"/>
        <v>10514543051.366621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7956899143.5103006</v>
      </c>
      <c r="D16" s="61"/>
      <c r="E16" s="310"/>
      <c r="F16" s="61"/>
      <c r="G16" s="184">
        <f>IF(G$4="","",SUM(G13:G15))</f>
        <v>7094251918.3469982</v>
      </c>
      <c r="H16" s="184">
        <f t="shared" ref="H16:Q16" si="8">IF(H$4="","",SUM(H13:H15))</f>
        <v>9898767083.6030865</v>
      </c>
      <c r="I16" s="184">
        <f t="shared" si="8"/>
        <v>9457442694.0523643</v>
      </c>
      <c r="J16" s="184">
        <f t="shared" si="8"/>
        <v>7719814855.4103317</v>
      </c>
      <c r="K16" s="184">
        <f t="shared" si="8"/>
        <v>5647407802.4725046</v>
      </c>
      <c r="L16" s="184">
        <f t="shared" si="8"/>
        <v>6993963506.9494953</v>
      </c>
      <c r="M16" s="184">
        <f t="shared" si="8"/>
        <v>7790547057.366621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7956899143.5103006</v>
      </c>
      <c r="D19" s="27"/>
      <c r="E19" s="299"/>
      <c r="F19" s="27"/>
      <c r="G19" s="186">
        <f>IF(G$4="","",G16+G17)</f>
        <v>7094251918.3469982</v>
      </c>
      <c r="H19" s="186">
        <f t="shared" ref="H19:Q19" si="9">IF(H$4="","",H16+H17)</f>
        <v>9898767083.6030865</v>
      </c>
      <c r="I19" s="186">
        <f t="shared" si="9"/>
        <v>9457442694.0523643</v>
      </c>
      <c r="J19" s="186">
        <f t="shared" si="9"/>
        <v>7719814855.4103317</v>
      </c>
      <c r="K19" s="186">
        <f t="shared" si="9"/>
        <v>5647407802.4725046</v>
      </c>
      <c r="L19" s="186">
        <f t="shared" si="9"/>
        <v>6993963506.9494953</v>
      </c>
      <c r="M19" s="186">
        <f t="shared" si="9"/>
        <v>7790547057.366621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342</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342</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342</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342</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354</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351</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344</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345</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8812.894363989999</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8812.894363989999</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4.052222556797298E-7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2.3750578776664314E-2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3.0519475422424031E-7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0.36180668135579358</v>
      </c>
      <c r="D81" s="27"/>
      <c r="E81" s="299"/>
      <c r="F81" s="27"/>
      <c r="G81" s="65">
        <f t="shared" ref="G81:Q81" si="32">IF(G$4="","",G13/G$4)</f>
        <v>0.33144390751818564</v>
      </c>
      <c r="H81" s="65">
        <f t="shared" si="32"/>
        <v>0.39547667684780757</v>
      </c>
      <c r="I81" s="65">
        <f t="shared" si="32"/>
        <v>0.41796836228539969</v>
      </c>
      <c r="J81" s="65">
        <f t="shared" si="32"/>
        <v>0.40072931616738749</v>
      </c>
      <c r="K81" s="65">
        <f t="shared" si="32"/>
        <v>0.38121707824656936</v>
      </c>
      <c r="L81" s="65">
        <f t="shared" si="32"/>
        <v>0.4056798224650765</v>
      </c>
      <c r="M81" s="65">
        <f t="shared" si="32"/>
        <v>0.43520816327644829</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0.27097082958907481</v>
      </c>
      <c r="D84" s="27"/>
      <c r="E84" s="299"/>
      <c r="F84" s="27"/>
      <c r="G84" s="65">
        <f t="shared" ref="G84:Q84" si="35">IF(G$4="","",ABS(G16/G$4))</f>
        <v>0.24567734290241794</v>
      </c>
      <c r="H84" s="65">
        <f t="shared" si="35"/>
        <v>0.29881917966981014</v>
      </c>
      <c r="I84" s="65">
        <f t="shared" si="35"/>
        <v>0.31414965310979248</v>
      </c>
      <c r="J84" s="65">
        <f t="shared" si="35"/>
        <v>0.30452704487072296</v>
      </c>
      <c r="K84" s="65">
        <f t="shared" si="35"/>
        <v>0.26763632613107802</v>
      </c>
      <c r="L84" s="65">
        <f t="shared" si="35"/>
        <v>0.30242235087203578</v>
      </c>
      <c r="M84" s="65">
        <f t="shared" si="35"/>
        <v>0.3224590606735484</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0.27097082958907481</v>
      </c>
      <c r="D87" s="75"/>
      <c r="E87" s="299"/>
      <c r="F87" s="75"/>
      <c r="G87" s="65">
        <f t="shared" ref="G87:Q87" si="36">IF(G$4="","",ABS(G19/G$4))</f>
        <v>0.24567734290241794</v>
      </c>
      <c r="H87" s="65">
        <f t="shared" si="36"/>
        <v>0.29881917966981014</v>
      </c>
      <c r="I87" s="65">
        <f t="shared" si="36"/>
        <v>0.31414965310979248</v>
      </c>
      <c r="J87" s="65">
        <f t="shared" si="36"/>
        <v>0.30452704487072296</v>
      </c>
      <c r="K87" s="65">
        <f t="shared" si="36"/>
        <v>0.26763632613107802</v>
      </c>
      <c r="L87" s="65">
        <f t="shared" si="36"/>
        <v>0.30242235087203578</v>
      </c>
      <c r="M87" s="65">
        <f t="shared" si="36"/>
        <v>0.3224590606735484</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0.88011335945004043</v>
      </c>
      <c r="E92" s="302"/>
      <c r="G92" s="171">
        <f t="shared" ref="G92:Q92" si="38">IF(G$4="","",G90/(G19*scaling_factor/Common_Shares))</f>
        <v>0.98713343092441719</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6.7740524781341113E-2</v>
      </c>
      <c r="E93" s="302"/>
      <c r="G93" s="23">
        <f t="shared" ref="G93:Q93" si="39">IF(G$4="","",G90/Market_Price)</f>
        <v>6.7740524781341113E-2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0.11005974710662181</v>
      </c>
      <c r="D97" s="27"/>
      <c r="E97" s="299"/>
      <c r="F97" s="27"/>
      <c r="G97" s="6">
        <f t="shared" ref="G97:Q97" si="41">IF(H5="","",G13/H13-1)</f>
        <v>-0.26943640351561393</v>
      </c>
      <c r="H97" s="6">
        <f t="shared" si="41"/>
        <v>4.1149198278972454E-2</v>
      </c>
      <c r="I97" s="6">
        <f t="shared" si="41"/>
        <v>0.23864944251266618</v>
      </c>
      <c r="J97" s="6">
        <f t="shared" si="41"/>
        <v>0.26286141326050028</v>
      </c>
      <c r="K97" s="6">
        <f t="shared" si="41"/>
        <v>-0.14259985229160888</v>
      </c>
      <c r="L97" s="6">
        <f t="shared" si="41"/>
        <v>-0.10771728346957665</v>
      </c>
      <c r="M97" s="6">
        <f t="shared" si="41"/>
        <v>0.28770604669207467</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402</v>
      </c>
      <c r="C114" s="170"/>
      <c r="E114" s="302"/>
      <c r="G114" s="334">
        <f>IF(G$4="","",Data!C$22/G19)</f>
        <v>0.65245938405842752</v>
      </c>
      <c r="H114" s="334">
        <f>IF(H$4="","",Data!D$22/H19)</f>
        <v>0.61929135378429767</v>
      </c>
      <c r="I114" s="334">
        <f>IF(I$4="","",Data!E$22/I19)</f>
        <v>0.38568818971474528</v>
      </c>
      <c r="J114" s="334">
        <f>IF(J$4="","",Data!F$22/J19)</f>
        <v>1.9842659141319254</v>
      </c>
      <c r="K114" s="334">
        <f>IF(K$4="","",Data!G$22/K19)</f>
        <v>0.70453400483280781</v>
      </c>
      <c r="L114" s="334">
        <f>IF(L$4="","",Data!H$22/L19)</f>
        <v>0.97196559064761057</v>
      </c>
      <c r="M114" s="334">
        <f>IF(M$4="","",Data!I$22/M19)</f>
        <v>1.162530532106353</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0.36180668135579358</v>
      </c>
      <c r="E117" s="302"/>
      <c r="G117" s="23">
        <f t="shared" ref="G117:Q117" si="45">G81</f>
        <v>0.33144390751818564</v>
      </c>
      <c r="H117" s="23">
        <f t="shared" si="45"/>
        <v>0.39547667684780757</v>
      </c>
      <c r="I117" s="23">
        <f t="shared" si="45"/>
        <v>0.41796836228539969</v>
      </c>
      <c r="J117" s="23">
        <f t="shared" si="45"/>
        <v>0.40072931616738749</v>
      </c>
      <c r="K117" s="23">
        <f t="shared" si="45"/>
        <v>0.38121707824656936</v>
      </c>
      <c r="L117" s="23">
        <f t="shared" si="45"/>
        <v>0.4056798224650765</v>
      </c>
      <c r="M117" s="23">
        <f t="shared" si="45"/>
        <v>0.43520816327644829</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5.2800016612675753</v>
      </c>
      <c r="D124" s="27"/>
      <c r="E124" s="299"/>
      <c r="F124" s="27"/>
      <c r="G124" s="178">
        <f t="shared" ref="G124:Q124" si="49">IF(G$4="","",G16*$C$3/Common_Shares*Exchange_Rate)</f>
        <v>4.7075702781621338</v>
      </c>
      <c r="H124" s="178">
        <f t="shared" si="49"/>
        <v>6.5685772438818928</v>
      </c>
      <c r="I124" s="178">
        <f t="shared" si="49"/>
        <v>6.2757252838458992</v>
      </c>
      <c r="J124" s="178">
        <f t="shared" si="49"/>
        <v>5.1226783858997758</v>
      </c>
      <c r="K124" s="178">
        <f t="shared" si="49"/>
        <v>3.7474802735473038</v>
      </c>
      <c r="L124" s="178">
        <f t="shared" si="49"/>
        <v>4.6410213664272675</v>
      </c>
      <c r="M124" s="178">
        <f t="shared" si="49"/>
        <v>5.1696145273662575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7.6967954245883027E-2</v>
      </c>
      <c r="D125" s="27"/>
      <c r="E125" s="299"/>
      <c r="F125" s="27"/>
      <c r="G125" s="77">
        <f t="shared" ref="G125" si="50">IF(G$4="","",G124/Market_Price)</f>
        <v>6.8623473442596714E-2</v>
      </c>
      <c r="H125" s="77">
        <f t="shared" ref="H125" si="51">IF(H$4="","",H124/Market_Price)</f>
        <v>9.5751854867083E-2</v>
      </c>
      <c r="I125" s="77">
        <f t="shared" ref="I125" si="52">IF(I$4="","",I124/Market_Price)</f>
        <v>9.1482875857811952E-2</v>
      </c>
      <c r="J125" s="77">
        <f t="shared" ref="J125" si="53">IF(J$4="","",J124/Market_Price)</f>
        <v>7.467461203935534E-2</v>
      </c>
      <c r="K125" s="77">
        <f t="shared" ref="K125" si="54">IF(K$4="","",K124/Market_Price)</f>
        <v>5.4627992325762452E-2</v>
      </c>
      <c r="L125" s="77">
        <f t="shared" ref="L125" si="55">IF(L$4="","",L124/Market_Price)</f>
        <v>6.7653372688444138E-2</v>
      </c>
      <c r="M125" s="77">
        <f t="shared" ref="M125" si="56">IF(M$4="","",M124/Market_Price)</f>
        <v>7.5358812352277815E-2</v>
      </c>
      <c r="N125" s="77">
        <f t="shared" ref="N125" si="57">IF(N$4="","",N124/Market_Price)</f>
        <v>5.7421125864244915E-2</v>
      </c>
      <c r="O125" s="77">
        <f t="shared" ref="O125" si="58">IF(O$4="","",O124/Market_Price)</f>
        <v>5.0910442981118846E-2</v>
      </c>
      <c r="P125" s="77">
        <f t="shared" ref="P125" si="59">IF(P$4="","",P124/Market_Price)</f>
        <v>4.4279259961644502E-2</v>
      </c>
      <c r="Q125" s="77" t="str">
        <f t="shared" ref="Q125" si="60">IF(Q$4="","",Q124/Market_Price)</f>
        <v/>
      </c>
    </row>
    <row r="126" spans="1:17" ht="15.75" customHeight="1">
      <c r="B126" s="2" t="s">
        <v>404</v>
      </c>
      <c r="C126" s="170"/>
      <c r="G126" s="23">
        <f>IF(G$4="","",(Data!C47*$C$3)/(Market_Price*Common_Shares))</f>
        <v>6.4485355071322123E-2</v>
      </c>
      <c r="H126" s="23">
        <f>IF(H$4="","",(Data!D47*$C$3)/(Market_Price*Common_Shares))</f>
        <v>9.6931988431178104E-2</v>
      </c>
      <c r="I126" s="23">
        <f>IF(I$4="","",(Data!E47*$C$3)/(Market_Price*Common_Shares))</f>
        <v>9.082467375640052E-2</v>
      </c>
      <c r="J126" s="23">
        <f>IF(J$4="","",(Data!F47*$C$3)/(Market_Price*Common_Shares))</f>
        <v>7.267230302166032E-2</v>
      </c>
      <c r="K126" s="23">
        <f>IF(K$4="","",(Data!G47*$C$3)/(Market_Price*Common_Shares))</f>
        <v>7.2399414135373291E-2</v>
      </c>
      <c r="L126" s="23">
        <f>IF(L$4="","",(Data!H47*$C$3)/(Market_Price*Common_Shares))</f>
        <v>7.1446463923740752E-2</v>
      </c>
      <c r="M126" s="23">
        <f>IF(M$4="","",(Data!I47*$C$3)/(Market_Price*Common_Shares))</f>
        <v>7.8500472204432958E-2</v>
      </c>
      <c r="N126" s="23">
        <f>IF(N$4="","",(Data!J47*$C$3)/(Market_Price*Common_Shares))</f>
        <v>6.4024241090221007E-2</v>
      </c>
      <c r="O126" s="23">
        <f>IF(O$4="","",(Data!K47*$C$3)/(Market_Price*Common_Shares))</f>
        <v>5.61517131722543E-2</v>
      </c>
      <c r="P126" s="23">
        <f>IF(P$4="","",(Data!L47*$C$3)/(Market_Price*Common_Shares))</f>
        <v>5.1898158647054264E-2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7956899143.5103006</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99461239293.878754</v>
      </c>
      <c r="D6" t="str">
        <f>Reporting_currency</f>
        <v>CNY</v>
      </c>
      <c r="E6" s="348" t="s">
        <v>250</v>
      </c>
      <c r="F6" s="348"/>
      <c r="H6" s="121"/>
    </row>
    <row r="7" spans="2:8">
      <c r="B7" s="149" t="s">
        <v>225</v>
      </c>
      <c r="C7" s="226">
        <f>BS!G31</f>
        <v>40134989.460000001</v>
      </c>
      <c r="D7" t="str">
        <f>Reporting_currency</f>
        <v>CNY</v>
      </c>
      <c r="E7" s="348"/>
      <c r="F7" s="348"/>
      <c r="H7" s="121"/>
    </row>
    <row r="8" spans="2:8">
      <c r="B8" s="149" t="s">
        <v>226</v>
      </c>
      <c r="C8" s="201">
        <f>BS!D66</f>
        <v>17437737876.49247</v>
      </c>
      <c r="D8" t="str">
        <f>Reporting_currency</f>
        <v>CNY</v>
      </c>
      <c r="E8" s="348"/>
      <c r="F8" s="348"/>
      <c r="H8" s="121"/>
    </row>
    <row r="9" spans="2:8">
      <c r="B9" s="227" t="s">
        <v>191</v>
      </c>
      <c r="C9" s="229">
        <f>BS!H42</f>
        <v>3951628136.4709997</v>
      </c>
      <c r="D9" t="str">
        <f>Reporting_currency</f>
        <v>CNY</v>
      </c>
      <c r="E9" s="348"/>
      <c r="F9" s="348"/>
      <c r="H9" s="121"/>
    </row>
    <row r="10" spans="2:8" ht="13.15">
      <c r="B10" s="150" t="s">
        <v>228</v>
      </c>
      <c r="C10" s="232">
        <f>C6-C7+C8+C9</f>
        <v>120810470317.38222</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80.166842945917438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90.758798783650263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8327490693.804677</v>
      </c>
      <c r="D21" s="139">
        <f>IF($C$17&lt;B21,0,Valuation_Model!$C$16)</f>
        <v>4.6574870890079501E-2</v>
      </c>
      <c r="E21" s="125">
        <f t="shared" ref="E21:E50" si="0">IF($C$17&lt;B21,0,1/(1+Equity_Cost)^B21)</f>
        <v>0.92592592592592582</v>
      </c>
      <c r="F21" s="126">
        <f t="shared" ref="F21:F51" si="1">C21*E21</f>
        <v>7710639531.3006258</v>
      </c>
      <c r="H21" s="121"/>
    </row>
    <row r="22" spans="2:8">
      <c r="B22" s="123">
        <v>2</v>
      </c>
      <c r="C22" s="124">
        <f t="shared" ref="C22:C50" si="2">IF(ROW()-ROW($C$21)&lt;$C$17, $C$21*(1+D22)^(ROW()-ROW($C$21)), 0)</f>
        <v>8715342497.7069683</v>
      </c>
      <c r="D22" s="139">
        <f>IF($C$17&lt;B22,0,Valuation_Model!$C$16)</f>
        <v>4.6574870890079501E-2</v>
      </c>
      <c r="E22" s="125">
        <f t="shared" si="0"/>
        <v>0.85733882030178321</v>
      </c>
      <c r="F22" s="126">
        <f t="shared" si="1"/>
        <v>7472001455.5100889</v>
      </c>
      <c r="H22" s="121"/>
    </row>
    <row r="23" spans="2:8">
      <c r="B23" s="123">
        <v>3</v>
      </c>
      <c r="C23" s="124">
        <f t="shared" si="2"/>
        <v>9121258449.3004951</v>
      </c>
      <c r="D23" s="139">
        <f>IF($C$17&lt;B23,0,Valuation_Model!$C$16)</f>
        <v>4.6574870890079501E-2</v>
      </c>
      <c r="E23" s="125">
        <f t="shared" si="0"/>
        <v>0.79383224102016958</v>
      </c>
      <c r="F23" s="126">
        <f t="shared" si="1"/>
        <v>7240749035.7323685</v>
      </c>
      <c r="H23" s="121"/>
    </row>
    <row r="24" spans="2:8">
      <c r="B24" s="123">
        <v>4</v>
      </c>
      <c r="C24" s="124">
        <f t="shared" si="2"/>
        <v>9546079883.9317112</v>
      </c>
      <c r="D24" s="139">
        <f>IF($C$17&lt;B24,0,Valuation_Model!$C$16)</f>
        <v>4.6574870890079501E-2</v>
      </c>
      <c r="E24" s="125">
        <f t="shared" si="0"/>
        <v>0.73502985279645328</v>
      </c>
      <c r="F24" s="126">
        <f t="shared" si="1"/>
        <v>7016653691.8695097</v>
      </c>
      <c r="H24" s="121"/>
    </row>
    <row r="25" spans="2:8">
      <c r="B25" s="123">
        <v>5</v>
      </c>
      <c r="C25" s="124">
        <f t="shared" si="2"/>
        <v>9990687322.032217</v>
      </c>
      <c r="D25" s="139">
        <f>IF($C$17&lt;B25,0,Valuation_Model!$C$16)</f>
        <v>4.6574870890079501E-2</v>
      </c>
      <c r="E25" s="125">
        <f t="shared" si="0"/>
        <v>0.68058319703375303</v>
      </c>
      <c r="F25" s="126">
        <f t="shared" si="1"/>
        <v>6799493918.1932707</v>
      </c>
      <c r="H25" s="121"/>
    </row>
    <row r="26" spans="2:8">
      <c r="B26" s="123">
        <v>6</v>
      </c>
      <c r="C26" s="124">
        <f t="shared" si="2"/>
        <v>10456002294.159021</v>
      </c>
      <c r="D26" s="139">
        <f>IF($C$17&lt;B26,0,Valuation_Model!$C$16)</f>
        <v>4.6574870890079501E-2</v>
      </c>
      <c r="E26" s="125">
        <f t="shared" si="0"/>
        <v>0.63016962688310452</v>
      </c>
      <c r="F26" s="126">
        <f t="shared" si="1"/>
        <v>6589055064.3990755</v>
      </c>
      <c r="H26" s="121"/>
    </row>
    <row r="27" spans="2:8">
      <c r="B27" s="123">
        <v>7</v>
      </c>
      <c r="C27" s="124">
        <f t="shared" si="2"/>
        <v>10942989251.035856</v>
      </c>
      <c r="D27" s="139">
        <f>IF($C$17&lt;B27,0,Valuation_Model!$C$16)</f>
        <v>4.6574870890079501E-2</v>
      </c>
      <c r="E27" s="125">
        <f t="shared" si="0"/>
        <v>0.58349039526213387</v>
      </c>
      <c r="F27" s="126">
        <f t="shared" si="1"/>
        <v>6385129123.4361944</v>
      </c>
      <c r="H27" s="121"/>
    </row>
    <row r="28" spans="2:8">
      <c r="B28" s="123">
        <v>8</v>
      </c>
      <c r="C28" s="124">
        <f t="shared" si="2"/>
        <v>11452657562.554379</v>
      </c>
      <c r="D28" s="139">
        <f>IF($C$17&lt;B28,0,Valuation_Model!$C$16)</f>
        <v>4.6574870890079501E-2</v>
      </c>
      <c r="E28" s="125">
        <f t="shared" si="0"/>
        <v>0.54026888450197574</v>
      </c>
      <c r="F28" s="126">
        <f t="shared" si="1"/>
        <v>6187514525.9043703</v>
      </c>
      <c r="H28" s="121"/>
    </row>
    <row r="29" spans="2:8">
      <c r="B29" s="123">
        <v>9</v>
      </c>
      <c r="C29" s="124">
        <f t="shared" si="2"/>
        <v>11986063609.878641</v>
      </c>
      <c r="D29" s="139">
        <f>IF($C$17&lt;B29,0,Valuation_Model!$C$16)</f>
        <v>4.6574870890079501E-2</v>
      </c>
      <c r="E29" s="125">
        <f t="shared" si="0"/>
        <v>0.50024896713145905</v>
      </c>
      <c r="F29" s="126">
        <f t="shared" si="1"/>
        <v>5996015940.8137579</v>
      </c>
      <c r="H29" s="121"/>
    </row>
    <row r="30" spans="2:8">
      <c r="B30" s="123">
        <v>10</v>
      </c>
      <c r="C30" s="124">
        <f t="shared" si="2"/>
        <v>12544312974.989019</v>
      </c>
      <c r="D30" s="139">
        <f>IF($C$17&lt;B30,0,Valuation_Model!$C$16)</f>
        <v>4.6574870890079501E-2</v>
      </c>
      <c r="E30" s="125">
        <f t="shared" si="0"/>
        <v>0.46319348808468425</v>
      </c>
      <c r="F30" s="126">
        <f t="shared" si="1"/>
        <v>5810444082.5111265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104093633672.55846</v>
      </c>
      <c r="D51" s="140">
        <f>Terminal_Growth</f>
        <v>0</v>
      </c>
      <c r="E51" s="125">
        <f>1/(1+Equity_Cost)^C17</f>
        <v>0.46319348808468425</v>
      </c>
      <c r="F51" s="126">
        <f t="shared" si="1"/>
        <v>48215493268.201691</v>
      </c>
      <c r="H51" s="121"/>
    </row>
    <row r="52" spans="1:8">
      <c r="C52" s="115"/>
      <c r="E52" s="128" t="s">
        <v>101</v>
      </c>
      <c r="F52" s="138">
        <f>SUM(F21:F51)</f>
        <v>115423189637.87209</v>
      </c>
      <c r="H52" s="121"/>
    </row>
    <row r="53" spans="1:8">
      <c r="C53" s="115"/>
      <c r="H53" s="121"/>
    </row>
    <row r="54" spans="1:8" ht="13.15">
      <c r="B54" s="120" t="s">
        <v>130</v>
      </c>
      <c r="C54" s="137"/>
      <c r="D54" s="137"/>
      <c r="E54" s="118"/>
      <c r="F54" s="118"/>
      <c r="H54" s="121"/>
    </row>
    <row r="55" spans="1:8" ht="13.15">
      <c r="A55" s="134">
        <f>F52</f>
        <v>115423189637.87209</v>
      </c>
      <c r="B55" s="132">
        <f>C78</f>
        <v>0</v>
      </c>
      <c r="C55" s="132">
        <f>C77</f>
        <v>0.02</v>
      </c>
      <c r="D55" s="132">
        <f>C76</f>
        <v>0.04</v>
      </c>
      <c r="E55" s="132">
        <f>C75</f>
        <v>0.06</v>
      </c>
      <c r="F55" s="132">
        <f>C74</f>
        <v>0.1</v>
      </c>
      <c r="H55" s="121"/>
    </row>
    <row r="56" spans="1:8" ht="13.15">
      <c r="A56" s="144">
        <v>5</v>
      </c>
      <c r="B56" s="124">
        <f t="dataTable" ref="B56:F61" dt2D="1" dtr="1" r1="C16" r2="C17"/>
        <v>99461239293.878738</v>
      </c>
      <c r="C56" s="124">
        <v>102670379526.41306</v>
      </c>
      <c r="D56" s="124">
        <v>105975632108.49921</v>
      </c>
      <c r="E56" s="124">
        <v>109381214760.52371</v>
      </c>
      <c r="F56" s="124">
        <v>116510896194.4758</v>
      </c>
      <c r="H56" s="121"/>
    </row>
    <row r="57" spans="1:8" ht="13.15">
      <c r="A57" s="144">
        <v>10</v>
      </c>
      <c r="B57" s="124">
        <v>99461239293.878723</v>
      </c>
      <c r="C57" s="124">
        <v>105882474869.97748</v>
      </c>
      <c r="D57" s="124">
        <v>112947292112.40126</v>
      </c>
      <c r="E57" s="124">
        <v>120732713643.93181</v>
      </c>
      <c r="F57" s="124">
        <v>138817370667.01062</v>
      </c>
      <c r="H57" s="121"/>
    </row>
    <row r="58" spans="1:8" ht="13.15">
      <c r="A58" s="144">
        <v>15</v>
      </c>
      <c r="B58" s="124">
        <v>99461239293.878708</v>
      </c>
      <c r="C58" s="124">
        <v>109858333488.21954</v>
      </c>
      <c r="D58" s="124">
        <v>122035735039.5298</v>
      </c>
      <c r="E58" s="124">
        <v>136347138311.85847</v>
      </c>
      <c r="F58" s="124">
        <v>173149520249.06439</v>
      </c>
      <c r="H58" s="121"/>
    </row>
    <row r="59" spans="1:8" ht="13.15">
      <c r="A59" s="145">
        <v>20</v>
      </c>
      <c r="B59" s="124">
        <v>99461239293.878693</v>
      </c>
      <c r="C59" s="124">
        <v>113909095821.52815</v>
      </c>
      <c r="D59" s="124">
        <v>131817862960.77042</v>
      </c>
      <c r="E59" s="124">
        <v>154158952637.9407</v>
      </c>
      <c r="F59" s="124">
        <v>217506260897.88818</v>
      </c>
      <c r="H59" s="121"/>
    </row>
    <row r="60" spans="1:8" ht="13.15">
      <c r="A60" s="145">
        <v>25</v>
      </c>
      <c r="B60" s="124">
        <v>99461239293.878693</v>
      </c>
      <c r="C60" s="124">
        <v>117676529568.34595</v>
      </c>
      <c r="D60" s="124">
        <v>141453591744.15585</v>
      </c>
      <c r="E60" s="124">
        <v>172825192485.27939</v>
      </c>
      <c r="F60" s="124">
        <v>270702498161.31653</v>
      </c>
      <c r="H60" s="121"/>
    </row>
    <row r="61" spans="1:8" ht="13.15">
      <c r="A61" s="145">
        <v>30</v>
      </c>
      <c r="B61" s="124">
        <v>99461239293.878693</v>
      </c>
      <c r="C61" s="124">
        <v>120999930213.88893</v>
      </c>
      <c r="D61" s="124">
        <v>150477537143.78979</v>
      </c>
      <c r="E61" s="124">
        <v>191489060218.90814</v>
      </c>
      <c r="F61" s="124">
        <v>332125475338.44678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80.166842945917438</v>
      </c>
      <c r="C65" s="125">
        <f>C12</f>
        <v>80.166842945917438</v>
      </c>
      <c r="D65" s="125">
        <f>C12</f>
        <v>80.166842945917438</v>
      </c>
      <c r="E65" s="142">
        <f>C12</f>
        <v>80.166842945917438</v>
      </c>
      <c r="F65" s="125">
        <f>C12</f>
        <v>80.166842945917438</v>
      </c>
      <c r="H65" s="121"/>
    </row>
    <row r="66" spans="1:8" ht="13.15">
      <c r="A66" s="144">
        <f t="shared" ref="A66:A71" si="3">A56</f>
        <v>5</v>
      </c>
      <c r="B66" s="125">
        <f t="shared" ref="B66:F71" si="4">(B56-$C$7+$C$8+$C$9)/Common_Shares*$C$3*Exchange_Rate</f>
        <v>80.166842945917409</v>
      </c>
      <c r="C66" s="125">
        <f t="shared" si="4"/>
        <v>82.296349108232135</v>
      </c>
      <c r="D66" s="125">
        <f t="shared" si="4"/>
        <v>84.489633050828985</v>
      </c>
      <c r="E66" s="125">
        <f t="shared" si="4"/>
        <v>86.749493548739053</v>
      </c>
      <c r="F66" s="125">
        <f t="shared" si="4"/>
        <v>91.48057397801395</v>
      </c>
      <c r="H66" s="121"/>
    </row>
    <row r="67" spans="1:8" ht="13.15">
      <c r="A67" s="144">
        <f t="shared" si="3"/>
        <v>10</v>
      </c>
      <c r="B67" s="125">
        <f t="shared" si="4"/>
        <v>80.166842945917409</v>
      </c>
      <c r="C67" s="125">
        <f t="shared" si="4"/>
        <v>84.427816209207336</v>
      </c>
      <c r="D67" s="125">
        <f t="shared" si="4"/>
        <v>89.115854363740596</v>
      </c>
      <c r="E67" s="125">
        <f t="shared" si="4"/>
        <v>94.282067718810808</v>
      </c>
      <c r="F67" s="125">
        <f t="shared" si="4"/>
        <v>106.28259925793311</v>
      </c>
      <c r="H67" s="121"/>
    </row>
    <row r="68" spans="1:8" ht="13.15">
      <c r="A68" s="144">
        <f t="shared" si="3"/>
        <v>15</v>
      </c>
      <c r="B68" s="125">
        <f t="shared" si="4"/>
        <v>80.166842945917395</v>
      </c>
      <c r="C68" s="125">
        <f t="shared" si="4"/>
        <v>87.066097747110803</v>
      </c>
      <c r="D68" s="125">
        <f t="shared" si="4"/>
        <v>95.146720520026207</v>
      </c>
      <c r="E68" s="125">
        <f t="shared" si="4"/>
        <v>104.64341410506384</v>
      </c>
      <c r="F68" s="125">
        <f t="shared" si="4"/>
        <v>129.0645653930674</v>
      </c>
      <c r="H68" s="121"/>
    </row>
    <row r="69" spans="1:8" ht="13.15">
      <c r="A69" s="145">
        <f t="shared" si="3"/>
        <v>20</v>
      </c>
      <c r="B69" s="125">
        <f t="shared" si="4"/>
        <v>80.166842945917395</v>
      </c>
      <c r="C69" s="125">
        <f t="shared" si="4"/>
        <v>89.754083539505032</v>
      </c>
      <c r="D69" s="125">
        <f t="shared" si="4"/>
        <v>101.63789889785048</v>
      </c>
      <c r="E69" s="125">
        <f t="shared" si="4"/>
        <v>116.46289397224409</v>
      </c>
      <c r="F69" s="125">
        <f t="shared" si="4"/>
        <v>158.49860245827549</v>
      </c>
      <c r="H69" s="121"/>
    </row>
    <row r="70" spans="1:8" ht="13.15">
      <c r="A70" s="145">
        <f t="shared" si="3"/>
        <v>25</v>
      </c>
      <c r="B70" s="125">
        <f t="shared" si="4"/>
        <v>80.166842945917395</v>
      </c>
      <c r="C70" s="125">
        <f t="shared" si="4"/>
        <v>92.254059482789131</v>
      </c>
      <c r="D70" s="125">
        <f t="shared" si="4"/>
        <v>108.03193042523188</v>
      </c>
      <c r="E70" s="125">
        <f t="shared" si="4"/>
        <v>128.84934950297074</v>
      </c>
      <c r="F70" s="125">
        <f t="shared" si="4"/>
        <v>193.79831105809734</v>
      </c>
    </row>
    <row r="71" spans="1:8" ht="13.15">
      <c r="A71" s="145">
        <f t="shared" si="3"/>
        <v>30</v>
      </c>
      <c r="B71" s="125">
        <f t="shared" si="4"/>
        <v>80.166842945917395</v>
      </c>
      <c r="C71" s="125">
        <f t="shared" si="4"/>
        <v>94.459386031867808</v>
      </c>
      <c r="D71" s="125">
        <f t="shared" si="4"/>
        <v>114.01999761596859</v>
      </c>
      <c r="E71" s="125">
        <f t="shared" si="4"/>
        <v>141.23423095765304</v>
      </c>
      <c r="F71" s="125">
        <f t="shared" si="4"/>
        <v>234.55708098667691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129.0645653930674</v>
      </c>
      <c r="F74" s="143">
        <f>Scenarios!C58</f>
        <v>0.05</v>
      </c>
    </row>
    <row r="75" spans="1:8">
      <c r="B75" s="128" t="str">
        <f>Scenarios!B36</f>
        <v>Optimistic</v>
      </c>
      <c r="C75" s="143">
        <f>Scenarios!C38</f>
        <v>0.06</v>
      </c>
      <c r="D75" s="146">
        <f>Scenarios!C37</f>
        <v>10</v>
      </c>
      <c r="E75" s="136">
        <f>INDEX(B$65:F$71, MATCH(D75, A$65:A$71, 0), MATCH(C75, B$64:F$64, 0))</f>
        <v>94.282067718810808</v>
      </c>
      <c r="F75" s="143">
        <f>Scenarios!C40*(1-F$74-F$78)</f>
        <v>0.18</v>
      </c>
      <c r="H75" s="121"/>
    </row>
    <row r="76" spans="1:8">
      <c r="B76" s="128" t="str">
        <f>Scenarios!B24</f>
        <v>Base</v>
      </c>
      <c r="C76" s="143">
        <f>Scenarios!C26</f>
        <v>0.04</v>
      </c>
      <c r="D76" s="146">
        <f>Scenarios!C25</f>
        <v>10</v>
      </c>
      <c r="E76" s="136">
        <f>INDEX(B$65:F$71, MATCH(D76, A$65:A$71, 0), MATCH(C76, B$64:F$64, 0))</f>
        <v>89.115854363740596</v>
      </c>
      <c r="F76" s="143">
        <f>Scenarios!C28*(1-F$74-F$78)</f>
        <v>0.53999999999999992</v>
      </c>
      <c r="H76" s="121"/>
    </row>
    <row r="77" spans="1:8">
      <c r="B77" s="128" t="str">
        <f>Scenarios!B30</f>
        <v>Pessimistic</v>
      </c>
      <c r="C77" s="143">
        <f>Scenarios!C32</f>
        <v>0.02</v>
      </c>
      <c r="D77" s="146">
        <f>Scenarios!C31</f>
        <v>10</v>
      </c>
      <c r="E77" s="136">
        <f>INDEX(B$65:F$71, MATCH(D77, A$65:A$71, 0), MATCH(C77, B$64:F$64, 0))</f>
        <v>84.427816209207336</v>
      </c>
      <c r="F77" s="143">
        <f>Scenarios!C34*(1-F$74-F$78)</f>
        <v>0.18</v>
      </c>
      <c r="H77" s="121"/>
    </row>
    <row r="78" spans="1:8">
      <c r="B78" s="128" t="str">
        <f>Scenarios!B48</f>
        <v>Devil's advocate</v>
      </c>
      <c r="C78" s="143">
        <f>Scenarios!C50</f>
        <v>0</v>
      </c>
      <c r="D78" s="146">
        <f>Scenarios!C49</f>
        <v>15</v>
      </c>
      <c r="E78" s="136">
        <f>INDEX(B$65:F$71, MATCH(D78, A$65:A$71, 0), MATCH(C78, B$64:F$64, 0))</f>
        <v>80.166842945917395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38" zoomScale="75" zoomScaleNormal="100" workbookViewId="0">
      <selection activeCell="E69" sqref="E69"/>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-68.599999999999994</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95.39891088041243</v>
      </c>
    </row>
    <row r="7" spans="2:9" ht="12.75" customHeight="1">
      <c r="B7" s="100" t="s">
        <v>276</v>
      </c>
      <c r="C7" s="115">
        <f>Normalized_FCF!G8</f>
        <v>8753226430</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0"/>
      <c r="H7" s="276">
        <v>4</v>
      </c>
      <c r="I7" s="264" t="str">
        <f t="shared" si="0"/>
        <v/>
      </c>
    </row>
    <row r="8" spans="2:9">
      <c r="B8" s="100" t="s">
        <v>66</v>
      </c>
      <c r="C8" s="115">
        <f>Normalized_FCF!G19</f>
        <v>7094251918.3469982</v>
      </c>
      <c r="D8" t="str">
        <f>Reporting_currency</f>
        <v>CNY</v>
      </c>
      <c r="E8" s="350"/>
      <c r="F8" s="350"/>
      <c r="H8" s="276">
        <v>5</v>
      </c>
      <c r="I8" s="264" t="str">
        <f t="shared" si="0"/>
        <v/>
      </c>
    </row>
    <row r="9" spans="2:9">
      <c r="B9" s="100" t="s">
        <v>57</v>
      </c>
      <c r="C9" s="201">
        <f>Normalized_FCF!C19</f>
        <v>7956899143.5103006</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4.4367851108990219E-2</v>
      </c>
      <c r="D12" s="159"/>
      <c r="E12" s="350"/>
      <c r="F12" s="350"/>
      <c r="H12" s="276">
        <v>9</v>
      </c>
      <c r="I12" s="264" t="str">
        <f t="shared" si="0"/>
        <v/>
      </c>
    </row>
    <row r="13" spans="2:9">
      <c r="B13" s="149" t="s">
        <v>153</v>
      </c>
      <c r="C13" s="159">
        <f ca="1">(Normalized_FCF!G8/OFFSET(Normalized_FCF!G8, 0, $C$4))^(1/$C$4) - 1</f>
        <v>-2.0482342685147259E-2</v>
      </c>
      <c r="E13" s="350"/>
      <c r="F13" s="350"/>
      <c r="H13" s="276">
        <v>10</v>
      </c>
      <c r="I13" s="264" t="str">
        <f t="shared" si="0"/>
        <v/>
      </c>
    </row>
    <row r="14" spans="2:9">
      <c r="B14" s="100" t="s">
        <v>66</v>
      </c>
      <c r="C14" s="159">
        <f ca="1">(Normalized_FCF!G19/OFFSET(Normalized_FCF!G19, 0, $C$4))^(1/$C$4) - 1</f>
        <v>-2.7775471405087737E-2</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68.599999999999994</v>
      </c>
      <c r="D21" t="str">
        <f>Market_currency</f>
        <v>CNY</v>
      </c>
      <c r="E21" s="351"/>
      <c r="F21" s="351"/>
    </row>
    <row r="22" spans="2:6">
      <c r="B22" s="100" t="s">
        <v>281</v>
      </c>
      <c r="C22" s="161">
        <f>Valuation_Model!C12</f>
        <v>80.166842945917438</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89.115854363740596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84.427816209207336</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94.282067718810808</v>
      </c>
      <c r="D39" t="str">
        <f>Market_currency</f>
        <v>CNY</v>
      </c>
      <c r="E39" s="349"/>
      <c r="F39" s="349"/>
    </row>
    <row r="40" spans="2:6">
      <c r="B40" s="100" t="s">
        <v>148</v>
      </c>
      <c r="C40" s="168">
        <f>1-C28-C34</f>
        <v>0.2</v>
      </c>
      <c r="D40" s="166"/>
      <c r="E40" s="349"/>
      <c r="F40" s="349"/>
    </row>
    <row r="42" spans="2:6" ht="13.15">
      <c r="B42" s="100" t="s">
        <v>121</v>
      </c>
      <c r="C42" s="155">
        <f>C27*C28+C33*C34+C39*C40</f>
        <v>89.211489403847992</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80.166842945917395</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129.0645653930674</v>
      </c>
      <c r="D57" t="str">
        <f>Market_currency</f>
        <v>CNY</v>
      </c>
      <c r="E57" s="349"/>
      <c r="F57" s="349"/>
    </row>
    <row r="58" spans="2:6">
      <c r="B58" s="100" t="s">
        <v>148</v>
      </c>
      <c r="C58" s="166">
        <v>0.05</v>
      </c>
      <c r="D58" s="166"/>
      <c r="E58" s="349"/>
      <c r="F58" s="349"/>
    </row>
    <row r="60" spans="2:6" ht="13.15">
      <c r="B60" s="100" t="s">
        <v>121</v>
      </c>
      <c r="C60" s="155">
        <f>C51*C52+C57*C58+C42*(1-C52-C58)</f>
        <v>90.751910880412424</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90.758798783650263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0.15610494636020344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Thesis!C127</f>
        <v>0.3</v>
      </c>
    </row>
    <row r="81" spans="2:8">
      <c r="B81" s="100" t="s">
        <v>122</v>
      </c>
      <c r="C81" s="117">
        <f>PV(C80, C76, -C77, 0)</f>
        <v>8.4394765589440173</v>
      </c>
      <c r="D81" s="117"/>
      <c r="E81" s="100"/>
      <c r="F81" s="100"/>
    </row>
    <row r="82" spans="2:8">
      <c r="B82" s="100" t="s">
        <v>123</v>
      </c>
      <c r="C82" s="117">
        <f>C60/(1+C80)^C76</f>
        <v>41.307196577338374</v>
      </c>
      <c r="D82" s="117"/>
    </row>
    <row r="83" spans="2:8" ht="13.15">
      <c r="B83" s="111" t="s">
        <v>102</v>
      </c>
      <c r="C83" s="112">
        <f>C81+C82</f>
        <v>49.746673136282389</v>
      </c>
      <c r="D83" t="str">
        <f>Market_currency</f>
        <v>CNY</v>
      </c>
      <c r="E83" s="147" t="s">
        <v>127</v>
      </c>
      <c r="F83" s="329">
        <f>(1-C83/C60)</f>
        <v>0.45183883563801042</v>
      </c>
    </row>
    <row r="84" spans="2:8">
      <c r="E84" s="121"/>
    </row>
    <row r="85" spans="2:8" ht="13.15">
      <c r="B85" s="109" t="s">
        <v>309</v>
      </c>
    </row>
    <row r="86" spans="2:8">
      <c r="B86" s="149" t="s">
        <v>307</v>
      </c>
      <c r="C86" s="266">
        <f>Market_Price</f>
        <v>68.599999999999994</v>
      </c>
      <c r="D86" t="str">
        <f>Market_currency</f>
        <v>CNY</v>
      </c>
    </row>
    <row r="87" spans="2:8" ht="13.15">
      <c r="B87" s="100" t="s">
        <v>305</v>
      </c>
      <c r="C87" s="265">
        <f ca="1">IRR(OFFSET($I$3, 0, 0, $C$76 + 1, 1))</f>
        <v>0.15986601836174463</v>
      </c>
    </row>
    <row r="88" spans="2:8">
      <c r="B88" s="100"/>
    </row>
    <row r="89" spans="2:8" ht="13.15">
      <c r="B89" s="109" t="s">
        <v>424</v>
      </c>
    </row>
    <row r="90" spans="2:8">
      <c r="B90" s="149" t="s">
        <v>425</v>
      </c>
      <c r="C90" s="168">
        <f>Thesis!E19</f>
        <v>0.2</v>
      </c>
    </row>
    <row r="91" spans="2:8">
      <c r="B91" s="100" t="s">
        <v>122</v>
      </c>
      <c r="C91" s="117">
        <f>PV(C90, C76, -C77, 0)</f>
        <v>9.7888194444444441</v>
      </c>
      <c r="D91" s="117"/>
      <c r="E91" s="100"/>
      <c r="F91" s="100"/>
    </row>
    <row r="92" spans="2:8">
      <c r="B92" s="100" t="s">
        <v>123</v>
      </c>
      <c r="C92" s="117">
        <f>C60/(1+C90)^C76</f>
        <v>52.518466944683119</v>
      </c>
      <c r="D92" s="117"/>
    </row>
    <row r="93" spans="2:8" ht="13.15">
      <c r="B93" s="111" t="s">
        <v>102</v>
      </c>
      <c r="C93" s="112">
        <f>C91+C92</f>
        <v>62.307286389127562</v>
      </c>
      <c r="D93" t="str">
        <f>Market_currency</f>
        <v>CNY</v>
      </c>
      <c r="E93" s="147" t="s">
        <v>127</v>
      </c>
      <c r="F93" s="329">
        <f>(1-C93/C60)</f>
        <v>0.31343278852571521</v>
      </c>
    </row>
    <row r="95" spans="2:8" ht="13.15">
      <c r="B95" s="109" t="s">
        <v>407</v>
      </c>
      <c r="G95" s="2"/>
      <c r="H95" s="316"/>
    </row>
    <row r="96" spans="2:8">
      <c r="B96" s="149" t="s">
        <v>413</v>
      </c>
      <c r="C96" s="135">
        <f>Thesis!C67</f>
        <v>0.08</v>
      </c>
      <c r="G96" s="2"/>
      <c r="H96" s="316"/>
    </row>
    <row r="97" spans="2:8">
      <c r="B97" s="100" t="s">
        <v>122</v>
      </c>
      <c r="C97" s="117">
        <f>PV(C96, C76, -C77, 0)</f>
        <v>11.9757696997409</v>
      </c>
      <c r="D97" s="117"/>
      <c r="G97" s="2"/>
      <c r="H97" s="316"/>
    </row>
    <row r="98" spans="2:8">
      <c r="B98" s="100" t="s">
        <v>123</v>
      </c>
      <c r="C98" s="117">
        <f>C60/(1+C96)^C76</f>
        <v>72.041792791060502</v>
      </c>
      <c r="D98" s="117"/>
      <c r="G98" s="2"/>
      <c r="H98" s="316"/>
    </row>
    <row r="99" spans="2:8" ht="13.15">
      <c r="B99" s="111" t="s">
        <v>408</v>
      </c>
      <c r="C99" s="112">
        <f>C97+C98</f>
        <v>84.017562490801396</v>
      </c>
      <c r="D99" t="s">
        <v>406</v>
      </c>
      <c r="E99" s="147" t="s">
        <v>127</v>
      </c>
      <c r="F99" s="329">
        <f>(1-C99/C60)</f>
        <v>7.4206133229361537E-2</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2025-05-03T03:08:01Z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