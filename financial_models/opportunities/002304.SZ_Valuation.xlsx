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5F07C38-63A1-4725-969F-DFD04D600CF7}"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H9" i="2"/>
  <c r="D62" i="4"/>
  <c r="H10" i="2" s="1"/>
  <c r="O9" i="2"/>
  <c r="K62" i="4"/>
  <c r="O10" i="2" s="1"/>
  <c r="N9" i="2"/>
  <c r="J62" i="4"/>
  <c r="N10" i="2" s="1"/>
  <c r="M9" i="2"/>
  <c r="I62" i="4"/>
  <c r="M10" i="2" s="1"/>
  <c r="L9" i="2"/>
  <c r="H62" i="4"/>
  <c r="L10" i="2" s="1"/>
  <c r="K9" i="2"/>
  <c r="G62" i="4"/>
  <c r="K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F70" i="8"/>
  <c r="E67" i="8"/>
  <c r="B70" i="8"/>
  <c r="C66" i="8"/>
  <c r="E70" i="8"/>
  <c r="F71" i="8"/>
  <c r="C69" i="8"/>
  <c r="B68" i="8"/>
  <c r="B67" i="8"/>
  <c r="D66" i="8"/>
  <c r="B66" i="8"/>
  <c r="G54" i="2"/>
  <c r="F69" i="8" l="1"/>
  <c r="C71"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<sst xmlns="http://schemas.openxmlformats.org/spreadsheetml/2006/main" count="626" uniqueCount="439">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</sst>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68.88</v>
      </c>
      <c r="D12" s="50"/>
      <c r="E12" s="48"/>
    </row>
    <row r="13" spans="1:10">
      <c r="B13" s="1" t="s">
        <v>426</v>
      </c>
      <c r="C13" s="48" t="s">
        <v>424</v>
      </c>
      <c r="D13" s="48"/>
      <c r="E13" s="5"/>
    </row>
    <row r="14" spans="1:10">
      <c r="B14" s="4" t="s">
        <v>430</v>
      </c>
      <c r="C14" s="35">
        <f>Thesis!C12*Common_Shares/1000000</f>
        <v>103801.33344</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40.298277562480884</v>
      </c>
      <c r="D25" s="1" t="s">
        <v>315</v>
      </c>
      <c r="E25" s="330">
        <v>3</v>
      </c>
    </row>
    <row r="26" spans="1:6">
      <c r="B26" s="1" t="s">
        <v>407</v>
      </c>
      <c r="C26" s="280">
        <f ca="1">Scenarios!C87</f>
        <v>0.15653784580144725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10504024858.984821</v>
      </c>
      <c r="D35" s="1" t="str">
        <f>Reporting_currency</f>
        <v>CNY</v>
      </c>
    </row>
    <row r="36" spans="2:6">
      <c r="B36" s="47"/>
      <c r="C36" s="76"/>
    </row>
    <row r="37" spans="2:6" ht="24.4" customHeight="1">
      <c r="B37" s="344" t="s">
        <v>234</v>
      </c>
      <c r="C37" s="344"/>
      <c r="D37" s="344"/>
      <c r="E37" s="344"/>
      <c r="F37" s="344"/>
    </row>
    <row r="38" spans="2:6">
      <c r="B38" s="47" t="s">
        <v>235</v>
      </c>
      <c r="C38" s="188">
        <f>Normalized_FCF!C9</f>
        <v>697421786</v>
      </c>
      <c r="D38" s="1" t="str">
        <f>Reporting_currency</f>
        <v>CNY</v>
      </c>
    </row>
    <row r="39" spans="2:6">
      <c r="B39" s="52" t="s">
        <v>236</v>
      </c>
      <c r="C39" s="188">
        <f>Normalized_FCF!C10</f>
        <v>-742549850.49555075</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4" t="s">
        <v>242</v>
      </c>
      <c r="C52" s="344"/>
      <c r="D52" s="344"/>
      <c r="E52" s="344"/>
      <c r="F52" s="344"/>
    </row>
    <row r="53" spans="2:6">
      <c r="B53" s="47" t="s">
        <v>240</v>
      </c>
      <c r="C53" s="188">
        <f>Normalized_FCF!C14</f>
        <v>-2656060135.109364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6396830132.3469982</v>
      </c>
      <c r="D61" s="1" t="str">
        <f>Reporting_currency</f>
        <v>CNY</v>
      </c>
    </row>
    <row r="62" spans="2:6">
      <c r="B62" s="47" t="s">
        <v>249</v>
      </c>
      <c r="C62" s="188">
        <f>Normalized_FCF!C19</f>
        <v>7911771079.0147505</v>
      </c>
      <c r="D62" s="1" t="str">
        <f>Reporting_currency</f>
        <v>CNY</v>
      </c>
    </row>
    <row r="63" spans="2:6">
      <c r="B63" s="254" t="s">
        <v>398</v>
      </c>
      <c r="C63" s="92">
        <f>Normalized_FCF!C125</f>
        <v>7.6220322194492512E-2</v>
      </c>
    </row>
    <row r="64" spans="2:6">
      <c r="B64" s="254" t="s">
        <v>316</v>
      </c>
      <c r="C64" s="92">
        <f>Normalized_FCF!C93</f>
        <v>6.7465156794425094E-2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65.625697409458056</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3" t="s">
        <v>374</v>
      </c>
      <c r="C106" s="343"/>
      <c r="D106" s="343"/>
      <c r="E106" s="343"/>
      <c r="F106" s="343"/>
    </row>
    <row r="108" spans="1:6">
      <c r="B108" s="47" t="s">
        <v>283</v>
      </c>
      <c r="C108" s="248">
        <f>Valuation_Model!C12</f>
        <v>79.792519589530784</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128.41 CNY</v>
      </c>
      <c r="F116" s="259">
        <f>Valuation_Model!F74</f>
        <v>0.05</v>
      </c>
    </row>
    <row r="117" spans="1:6">
      <c r="B117" s="242" t="str">
        <f>Valuation_Model!B75</f>
        <v>Optimistic</v>
      </c>
      <c r="C117" s="243">
        <f>Valuation_Model!C75</f>
        <v>0.06</v>
      </c>
      <c r="D117" s="244">
        <f>Valuation_Model!D75</f>
        <v>10</v>
      </c>
      <c r="E117" s="245" t="str">
        <f>ROUND(Valuation_Model!E75,2)&amp;" "&amp;Market_currency</f>
        <v>93.83 CNY</v>
      </c>
      <c r="F117" s="246">
        <f>Valuation_Model!F75</f>
        <v>0.18</v>
      </c>
    </row>
    <row r="118" spans="1:6">
      <c r="B118" s="242" t="str">
        <f>Valuation_Model!B76</f>
        <v>Base</v>
      </c>
      <c r="C118" s="243">
        <f>Valuation_Model!C76</f>
        <v>0.04</v>
      </c>
      <c r="D118" s="244">
        <f>Valuation_Model!D76</f>
        <v>10</v>
      </c>
      <c r="E118" s="245" t="str">
        <f>ROUND(Valuation_Model!E76,2)&amp;" "&amp;Market_currency</f>
        <v>88.69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84.03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79.79 CNY</v>
      </c>
      <c r="F120" s="246">
        <f>Valuation_Model!F78</f>
        <v>0.05</v>
      </c>
    </row>
    <row r="122" spans="1:6">
      <c r="B122" s="235" t="s">
        <v>259</v>
      </c>
      <c r="C122" s="241">
        <f>Scenarios!C60</f>
        <v>90.317553631447524</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0.4</v>
      </c>
    </row>
    <row r="137" spans="2:6">
      <c r="B137" s="236" t="str">
        <f>"PV("&amp;C131&amp;" yrs of Dividends)"</f>
        <v>PV(3 yrs of Dividends)</v>
      </c>
      <c r="C137" s="240">
        <f>Scenarios!C81</f>
        <v>7.3837172011661796</v>
      </c>
    </row>
    <row r="138" spans="2:6">
      <c r="B138" s="236" t="str">
        <f>"+ PV(Equity Value realized at year "&amp;C131&amp;")"</f>
        <v>+ PV(Equity Value realized at year 3)</v>
      </c>
      <c r="C138" s="240">
        <f>Scenarios!C82</f>
        <v>32.914560361314706</v>
      </c>
    </row>
    <row r="139" spans="2:6">
      <c r="B139" s="80" t="s">
        <v>261</v>
      </c>
      <c r="C139" s="239">
        <f>Scenarios!C83</f>
        <v>40.298277562480884</v>
      </c>
      <c r="D139" s="342" t="str">
        <f>IF($D$11="","",C139*$E$22)</f>
        <v/>
      </c>
    </row>
    <row r="140" spans="2:6">
      <c r="B140" s="290" t="s">
        <v>426</v>
      </c>
      <c r="C140" s="340" t="str">
        <f>Market_currency</f>
        <v>CNY</v>
      </c>
      <c r="D140" s="340" t="str">
        <f>IF($D$11="","",D$13)</f>
        <v/>
      </c>
    </row>
    <row r="141" spans="2:6">
      <c r="B141" s="238" t="s">
        <v>263</v>
      </c>
      <c r="C141" s="92">
        <f>Scenarios!F83</f>
        <v>0.55381566548045336</v>
      </c>
    </row>
    <row r="143" spans="2:6">
      <c r="B143" s="234" t="s">
        <v>421</v>
      </c>
    </row>
    <row r="144" spans="2:6">
      <c r="B144" s="1" t="s">
        <v>420</v>
      </c>
      <c r="C144" s="337">
        <f>Scenarios!C90</f>
        <v>0.2</v>
      </c>
    </row>
    <row r="145" spans="1:6">
      <c r="B145" s="236" t="str">
        <f>"PV("&amp;C131&amp;" yrs of Dividends)"</f>
        <v>PV(3 yrs of Dividends)</v>
      </c>
      <c r="C145" s="240">
        <f>Scenarios!C91</f>
        <v>9.7888194444444441</v>
      </c>
    </row>
    <row r="146" spans="1:6">
      <c r="B146" s="236" t="str">
        <f>"+ PV(Equity Value realized at year "&amp;C131&amp;")"</f>
        <v>+ PV(Equity Value realized at year 3)</v>
      </c>
      <c r="C146" s="240">
        <f>Scenarios!C92</f>
        <v>52.267102795976577</v>
      </c>
    </row>
    <row r="147" spans="1:6">
      <c r="B147" s="80" t="s">
        <v>261</v>
      </c>
      <c r="C147" s="239">
        <f>Scenarios!C93</f>
        <v>62.055922240421019</v>
      </c>
      <c r="D147" s="342" t="str">
        <f>IF($D$11="","",C147*$E$22)</f>
        <v/>
      </c>
    </row>
    <row r="148" spans="1:6">
      <c r="B148" s="290" t="s">
        <v>426</v>
      </c>
      <c r="C148" s="340" t="str">
        <f>Market_currency</f>
        <v>CNY</v>
      </c>
      <c r="D148" s="340" t="str">
        <f>IF($D$11="","",D$13)</f>
        <v/>
      </c>
    </row>
    <row r="149" spans="1:6">
      <c r="B149" s="238" t="s">
        <v>263</v>
      </c>
      <c r="C149" s="92">
        <f>Scenarios!F93</f>
        <v>0.31291404887195851</v>
      </c>
    </row>
    <row r="151" spans="1:6">
      <c r="B151" s="234" t="s">
        <v>408</v>
      </c>
    </row>
    <row r="152" spans="1:6">
      <c r="B152" s="1" t="s">
        <v>419</v>
      </c>
      <c r="C152" s="92">
        <f>Scenarios!C96</f>
        <v>0.08</v>
      </c>
    </row>
    <row r="153" spans="1:6">
      <c r="B153" s="236" t="str">
        <f>"PV("&amp;C131&amp;" yrs of Dividends)"</f>
        <v>PV(3 yrs of Dividends)</v>
      </c>
      <c r="C153" s="240">
        <f>Scenarios!C97</f>
        <v>11.9757696997409</v>
      </c>
    </row>
    <row r="154" spans="1:6">
      <c r="B154" s="236" t="str">
        <f>"+ PV(Equity Value realized at year "&amp;C131&amp;")"</f>
        <v>+ PV(Equity Value realized at year 3)</v>
      </c>
      <c r="C154" s="240">
        <f>Scenarios!C98</f>
        <v>71.696986002711341</v>
      </c>
    </row>
    <row r="155" spans="1:6">
      <c r="B155" s="80" t="s">
        <v>409</v>
      </c>
      <c r="C155" s="239">
        <f>Scenarios!C99</f>
        <v>83.672755702452235</v>
      </c>
      <c r="D155" s="342" t="str">
        <f>IF($D$11="","",C155*$E$22)</f>
        <v/>
      </c>
    </row>
    <row r="156" spans="1:6">
      <c r="B156" s="290" t="s">
        <v>426</v>
      </c>
      <c r="C156" s="340" t="str">
        <f>Market_currency</f>
        <v>CNY</v>
      </c>
      <c r="D156" s="340" t="str">
        <f>IF($D$11="","",D$13)</f>
        <v/>
      </c>
    </row>
    <row r="157" spans="1:6">
      <c r="B157" s="238" t="s">
        <v>263</v>
      </c>
      <c r="C157" s="92">
        <f>Scenarios!F99</f>
        <v>7.3571500354297048E-2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436</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302"/>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302"/>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10"/>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9"/>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300" t="s">
        <v>438</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9"/>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9"/>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9"/>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302"/>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6.7465156794425094E-2</v>
      </c>
      <c r="E93" s="302"/>
      <c r="G93" s="23">
        <f t="shared" ref="G93:Q93" si="39">IF(G$4="","",G90/Market_Price)</f>
        <v>6.7465156794425094E-2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9"/>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0.72359452122917711</v>
      </c>
      <c r="H114" s="334">
        <f>IF(H$4="","",Data!D$22/H19)</f>
        <v>0.66859897667283974</v>
      </c>
      <c r="I114" s="334">
        <f>IF(I$4="","",Data!E$22/I19)</f>
        <v>0.41904903922335918</v>
      </c>
      <c r="J114" s="334">
        <f>IF(J$4="","",Data!F$22/J19)</f>
        <v>2.2007085009366882</v>
      </c>
      <c r="K114" s="334">
        <f>IF(K$4="","",Data!G$22/K19)</f>
        <v>0.81791414277282404</v>
      </c>
      <c r="L114" s="334">
        <f>IF(L$4="","",Data!H$22/L19)</f>
        <v>1.0932847057074204</v>
      </c>
      <c r="M114" s="334">
        <f>IF(M$4="","",Data!I$22/M19)</f>
        <v>1.2877319368842757</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302"/>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9"/>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7.6220322194492512E-2</v>
      </c>
      <c r="D125" s="27"/>
      <c r="E125" s="299"/>
      <c r="F125" s="27"/>
      <c r="G125" s="77">
        <f t="shared" ref="G125" si="50">IF(G$4="","",G124/Market_Price)</f>
        <v>6.1625702872541044E-2</v>
      </c>
      <c r="H125" s="77">
        <f t="shared" ref="H125" si="51">IF(H$4="","",H124/Market_Price)</f>
        <v>8.8329847794324123E-2</v>
      </c>
      <c r="I125" s="77">
        <f t="shared" ref="I125" si="52">IF(I$4="","",I124/Market_Price)</f>
        <v>8.3857570703403536E-2</v>
      </c>
      <c r="J125" s="77">
        <f t="shared" ref="J125" si="53">IF(J$4="","",J124/Market_Price)</f>
        <v>6.7056565081928601E-2</v>
      </c>
      <c r="K125" s="77">
        <f t="shared" ref="K125" si="54">IF(K$4="","",K124/Market_Price)</f>
        <v>4.6864119171304792E-2</v>
      </c>
      <c r="L125" s="77">
        <f t="shared" ref="L125" si="55">IF(L$4="","",L124/Market_Price)</f>
        <v>5.9901548187178043E-2</v>
      </c>
      <c r="M125" s="77">
        <f t="shared" ref="M125" si="56">IF(M$4="","",M124/Market_Price)</f>
        <v>6.7755401595413475E-2</v>
      </c>
      <c r="N125" s="77">
        <f t="shared" ref="N125" si="57">IF(N$4="","",N124/Market_Price)</f>
        <v>5.7187706653414647E-2</v>
      </c>
      <c r="O125" s="77">
        <f t="shared" ref="O125" si="58">IF(O$4="","",O124/Market_Price)</f>
        <v>5.0703489960870395E-2</v>
      </c>
      <c r="P125" s="77">
        <f t="shared" ref="P125" si="59">IF(P$4="","",P124/Market_Price)</f>
        <v>4.4099262969930497E-2</v>
      </c>
      <c r="Q125" s="77" t="str">
        <f t="shared" ref="Q125" si="60">IF(Q$4="","",Q124/Market_Price)</f>
        <v/>
      </c>
    </row>
    <row r="126" spans="1:17" ht="15.75" customHeight="1">
      <c r="B126" s="2" t="s">
        <v>402</v>
      </c>
      <c r="C126" s="170"/>
      <c r="G126" s="23">
        <f>IF(G$4="","",(Data!C47*$C$3)/(Market_Price*Common_Shares))</f>
        <v>6.4223219481601299E-2</v>
      </c>
      <c r="H126" s="23">
        <f>IF(H$4="","",(Data!D47*$C$3)/(Market_Price*Common_Shares))</f>
        <v>9.6537955957880617E-2</v>
      </c>
      <c r="I126" s="23">
        <f>IF(I$4="","",(Data!E47*$C$3)/(Market_Price*Common_Shares))</f>
        <v>9.0455467765520839E-2</v>
      </c>
      <c r="J126" s="23">
        <f>IF(J$4="","",(Data!F47*$C$3)/(Market_Price*Common_Shares))</f>
        <v>7.2376887155718606E-2</v>
      </c>
      <c r="K126" s="23">
        <f>IF(K$4="","",(Data!G47*$C$3)/(Market_Price*Common_Shares))</f>
        <v>7.2105107573847374E-2</v>
      </c>
      <c r="L126" s="23">
        <f>IF(L$4="","",(Data!H47*$C$3)/(Market_Price*Common_Shares))</f>
        <v>7.1156031143562934E-2</v>
      </c>
      <c r="M126" s="23">
        <f>IF(M$4="","",(Data!I47*$C$3)/(Market_Price*Common_Shares))</f>
        <v>7.8181364593845823E-2</v>
      </c>
      <c r="N126" s="23">
        <f>IF(N$4="","",(Data!J47*$C$3)/(Market_Price*Common_Shares))</f>
        <v>6.3763979947577834E-2</v>
      </c>
      <c r="O126" s="23">
        <f>IF(O$4="","",(Data!K47*$C$3)/(Market_Price*Common_Shares))</f>
        <v>5.5923454175619114E-2</v>
      </c>
      <c r="P126" s="23">
        <f>IF(P$4="","",(Data!L47*$C$3)/(Market_Price*Common_Shares))</f>
        <v>5.1687190522472733E-2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98897138487.684372</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IF($C$17&lt;B21,0,Valuation_Model!$C$16)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IF($C$17&lt;B22,0,Valuation_Model!$C$16)</f>
        <v>4.6574870890079501E-2</v>
      </c>
      <c r="E22" s="125">
        <f t="shared" si="0"/>
        <v>0.85733882030178321</v>
      </c>
      <c r="F22" s="126">
        <f t="shared" si="1"/>
        <v>7429623519.3928375</v>
      </c>
      <c r="H22" s="121"/>
    </row>
    <row r="23" spans="2:8">
      <c r="B23" s="123">
        <v>3</v>
      </c>
      <c r="C23" s="124">
        <f t="shared" si="2"/>
        <v>9069526646.2253819</v>
      </c>
      <c r="D23" s="139">
        <f>IF($C$17&lt;B23,0,Valuation_Model!$C$16)</f>
        <v>4.6574870890079501E-2</v>
      </c>
      <c r="E23" s="125">
        <f t="shared" si="0"/>
        <v>0.79383224102016958</v>
      </c>
      <c r="F23" s="126">
        <f t="shared" si="1"/>
        <v>7199682662.565238</v>
      </c>
      <c r="H23" s="121"/>
    </row>
    <row r="24" spans="2:8">
      <c r="B24" s="123">
        <v>4</v>
      </c>
      <c r="C24" s="124">
        <f t="shared" si="2"/>
        <v>9491938678.8074646</v>
      </c>
      <c r="D24" s="139">
        <f>IF($C$17&lt;B24,0,Valuation_Model!$C$16)</f>
        <v>4.6574870890079501E-2</v>
      </c>
      <c r="E24" s="125">
        <f t="shared" si="0"/>
        <v>0.73502985279645328</v>
      </c>
      <c r="F24" s="126">
        <f t="shared" si="1"/>
        <v>6976858289.836812</v>
      </c>
      <c r="H24" s="121"/>
    </row>
    <row r="25" spans="2:8">
      <c r="B25" s="123">
        <v>5</v>
      </c>
      <c r="C25" s="124">
        <f t="shared" si="2"/>
        <v>9934024497.269474</v>
      </c>
      <c r="D25" s="139">
        <f>IF($C$17&lt;B25,0,Valuation_Model!$C$16)</f>
        <v>4.6574870890079501E-2</v>
      </c>
      <c r="E25" s="125">
        <f t="shared" si="0"/>
        <v>0.68058319703375303</v>
      </c>
      <c r="F25" s="126">
        <f t="shared" si="1"/>
        <v>6760930151.7632799</v>
      </c>
      <c r="H25" s="121"/>
    </row>
    <row r="26" spans="2:8">
      <c r="B26" s="123">
        <v>6</v>
      </c>
      <c r="C26" s="124">
        <f t="shared" si="2"/>
        <v>10396700405.648687</v>
      </c>
      <c r="D26" s="139">
        <f>IF($C$17&lt;B26,0,Valuation_Model!$C$16)</f>
        <v>4.6574870890079501E-2</v>
      </c>
      <c r="E26" s="125">
        <f t="shared" si="0"/>
        <v>0.63016962688310452</v>
      </c>
      <c r="F26" s="126">
        <f t="shared" si="1"/>
        <v>6551684815.4430552</v>
      </c>
      <c r="H26" s="121"/>
    </row>
    <row r="27" spans="2:8">
      <c r="B27" s="123">
        <v>7</v>
      </c>
      <c r="C27" s="124">
        <f t="shared" si="2"/>
        <v>10880925384.724613</v>
      </c>
      <c r="D27" s="139">
        <f>IF($C$17&lt;B27,0,Valuation_Model!$C$16)</f>
        <v>4.6574870890079501E-2</v>
      </c>
      <c r="E27" s="125">
        <f t="shared" si="0"/>
        <v>0.58349039526213387</v>
      </c>
      <c r="F27" s="126">
        <f t="shared" si="1"/>
        <v>6348915453.5507507</v>
      </c>
      <c r="H27" s="121"/>
    </row>
    <row r="28" spans="2:8">
      <c r="B28" s="123">
        <v>8</v>
      </c>
      <c r="C28" s="124">
        <f t="shared" si="2"/>
        <v>11387703079.682753</v>
      </c>
      <c r="D28" s="139">
        <f>IF($C$17&lt;B28,0,Valuation_Model!$C$16)</f>
        <v>4.6574870890079501E-2</v>
      </c>
      <c r="E28" s="125">
        <f t="shared" si="0"/>
        <v>0.54026888450197574</v>
      </c>
      <c r="F28" s="126">
        <f t="shared" si="1"/>
        <v>6152421639.8999147</v>
      </c>
      <c r="H28" s="121"/>
    </row>
    <row r="29" spans="2:8">
      <c r="B29" s="123">
        <v>9</v>
      </c>
      <c r="C29" s="124">
        <f t="shared" si="2"/>
        <v>11918083880.353537</v>
      </c>
      <c r="D29" s="139">
        <f>IF($C$17&lt;B29,0,Valuation_Model!$C$16)</f>
        <v>4.6574870890079501E-2</v>
      </c>
      <c r="E29" s="125">
        <f t="shared" si="0"/>
        <v>0.50024896713145905</v>
      </c>
      <c r="F29" s="126">
        <f t="shared" si="1"/>
        <v>5962009151.3329487</v>
      </c>
      <c r="H29" s="121"/>
    </row>
    <row r="30" spans="2:8">
      <c r="B30" s="123">
        <v>10</v>
      </c>
      <c r="C30" s="124">
        <f t="shared" si="2"/>
        <v>12473167098.33814</v>
      </c>
      <c r="D30" s="139">
        <f>IF($C$17&lt;B30,0,Valuation_Model!$C$16)</f>
        <v>4.6574870890079501E-2</v>
      </c>
      <c r="E30" s="125">
        <f t="shared" si="0"/>
        <v>0.46319348808468425</v>
      </c>
      <c r="F30" s="126">
        <f t="shared" si="1"/>
        <v>5777489775.742363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-68.88</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94.964553631447529</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6396830132.3469982</v>
      </c>
      <c r="D8" t="str">
        <f>Reporting_currency</f>
        <v>CNY</v>
      </c>
      <c r="E8" s="353"/>
      <c r="F8" s="353"/>
      <c r="H8" s="276">
        <v>5</v>
      </c>
      <c r="I8" s="264" t="str">
        <f t="shared" si="0"/>
        <v/>
      </c>
    </row>
    <row r="9" spans="2:9">
      <c r="B9" s="100" t="s">
        <v>57</v>
      </c>
      <c r="C9" s="201">
        <f>Normalized_FCF!C19</f>
        <v>7911771079.0147505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-2.7759904709511951E-2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68.88</v>
      </c>
      <c r="D21" t="str">
        <f>Market_currency</f>
        <v>CNY</v>
      </c>
      <c r="E21" s="354"/>
      <c r="F21" s="354"/>
    </row>
    <row r="22" spans="2:6">
      <c r="B22" s="100" t="s">
        <v>281</v>
      </c>
      <c r="C22" s="161">
        <f>Valuation_Model!C12</f>
        <v>79.792519589530784</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88.69077611437983</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84.029326469312352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93.827688958625345</v>
      </c>
      <c r="D39" t="str">
        <f>Market_currency</f>
        <v>CNY</v>
      </c>
      <c r="E39" s="352"/>
      <c r="F39" s="352"/>
    </row>
    <row r="40" spans="2:6">
      <c r="B40" s="100" t="s">
        <v>148</v>
      </c>
      <c r="C40" s="168">
        <f>1-C28-C34</f>
        <v>0.2</v>
      </c>
      <c r="D40" s="166"/>
      <c r="E40" s="352"/>
      <c r="F40" s="352"/>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79.79251958953077</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128.41291546354199</v>
      </c>
      <c r="D57" t="str">
        <f>Market_currency</f>
        <v>CNY</v>
      </c>
      <c r="E57" s="352"/>
      <c r="F57" s="352"/>
    </row>
    <row r="58" spans="2:6">
      <c r="B58" s="100" t="s">
        <v>148</v>
      </c>
      <c r="C58" s="166">
        <v>0.05</v>
      </c>
      <c r="D58" s="166"/>
      <c r="E58" s="352"/>
      <c r="F58" s="352"/>
    </row>
    <row r="60" spans="2:6" ht="13.15">
      <c r="B60" s="100" t="s">
        <v>121</v>
      </c>
      <c r="C60" s="155">
        <f>C51*C52+C57*C58+C42*(1-C52-C58)</f>
        <v>90.317553631447524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90.324402469499802</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0.15685568984609902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9">
        <f>(1-C83/C60)</f>
        <v>0.55381566548045336</v>
      </c>
    </row>
    <row r="84" spans="2:8">
      <c r="E84" s="121"/>
    </row>
    <row r="85" spans="2:8" ht="13.15">
      <c r="B85" s="109" t="s">
        <v>309</v>
      </c>
    </row>
    <row r="86" spans="2:8">
      <c r="B86" s="149" t="s">
        <v>307</v>
      </c>
      <c r="C86" s="266">
        <f>Market_Price</f>
        <v>68.88</v>
      </c>
      <c r="D86" t="str">
        <f>Market_currency</f>
        <v>CNY</v>
      </c>
    </row>
    <row r="87" spans="2:8" ht="13.15">
      <c r="B87" s="100" t="s">
        <v>305</v>
      </c>
      <c r="C87" s="265">
        <f ca="1">IRR(OFFSET($I$3, 0, 0, $C$76 + 1, 1))</f>
        <v>0.15653784580144725</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52.267102795976577</v>
      </c>
      <c r="D92" s="117"/>
    </row>
    <row r="93" spans="2:8" ht="13.15">
      <c r="B93" s="111" t="s">
        <v>102</v>
      </c>
      <c r="C93" s="112">
        <f>C91+C92</f>
        <v>62.055922240421019</v>
      </c>
      <c r="D93" t="str">
        <f>Market_currency</f>
        <v>CNY</v>
      </c>
      <c r="E93" s="147" t="s">
        <v>127</v>
      </c>
      <c r="F93" s="329">
        <f>(1-C93/C60)</f>
        <v>0.31291404887195851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71.696986002711341</v>
      </c>
      <c r="D98" s="117"/>
      <c r="G98" s="2"/>
      <c r="H98" s="316"/>
    </row>
    <row r="99" spans="2:8" ht="13.15">
      <c r="B99" s="111" t="s">
        <v>406</v>
      </c>
      <c r="C99" s="112">
        <f>C97+C98</f>
        <v>83.672755702452235</v>
      </c>
      <c r="D99" t="s">
        <v>404</v>
      </c>
      <c r="E99" s="147" t="s">
        <v>127</v>
      </c>
      <c r="F99" s="329">
        <f>(1-C99/C60)</f>
        <v>7.3571500354297048E-2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