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976D7D1-22C0-4306-9038-3659638D9ED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2" i="10"/>
  <c r="E64" i="10"/>
  <c r="E66" i="10"/>
  <c r="F64" i="10"/>
  <c r="F66" i="10"/>
  <c r="C64" i="10"/>
  <c r="B61" i="10"/>
  <c r="F62" i="10"/>
  <c r="B66" i="10"/>
  <c r="C61" i="10"/>
  <c r="C63" i="10"/>
  <c r="C65" i="10"/>
  <c r="B62" i="10"/>
  <c r="B65" i="10"/>
  <c r="D62" i="10"/>
  <c r="D61" i="10"/>
  <c r="D63" i="10"/>
  <c r="D65" i="10"/>
  <c r="B63" i="10"/>
  <c r="F61" i="10"/>
  <c r="F65" i="10"/>
  <c r="C66" i="10"/>
  <c r="D66" i="10"/>
  <c r="E61" i="10"/>
  <c r="E63" i="10"/>
  <c r="E65" i="10"/>
  <c r="B64" i="10"/>
  <c r="F63" i="10"/>
  <c r="C62"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F70" i="8"/>
  <c r="E67" i="8"/>
  <c r="C66" i="8"/>
  <c r="E70" i="8"/>
  <c r="F71" i="8"/>
  <c r="D66" i="8"/>
  <c r="B66" i="8"/>
  <c r="G54" i="2"/>
  <c r="D69" i="8" l="1"/>
  <c r="B70" i="8"/>
  <c r="E68" i="8"/>
  <c r="D70" i="8"/>
  <c r="B69" i="8"/>
  <c r="B67"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F72" i="9"/>
  <c r="C72" i="9" s="1"/>
  <c r="C104" i="9"/>
  <c r="C105" i="9" s="1"/>
  <c r="C168" i="6" s="1"/>
  <c r="C127" i="6"/>
  <c r="C26" i="6" s="1"/>
  <c r="C82" i="9"/>
  <c r="C83" i="9" s="1"/>
  <c r="F83" i="9" s="1"/>
  <c r="C98" i="9"/>
  <c r="C99" i="9" s="1"/>
  <c r="C167" i="6"/>
  <c r="C87" i="9"/>
  <c r="H76" i="2"/>
  <c r="H120" i="2"/>
  <c r="H116" i="2" s="1"/>
  <c r="H13" i="2"/>
  <c r="C143" i="6" l="1"/>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<sst xmlns="http://schemas.openxmlformats.org/spreadsheetml/2006/main" count="681" uniqueCount="461">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</sst>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1506988000</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68.31</v>
      </c>
      <c r="D12" s="50"/>
      <c r="E12" s="48"/>
    </row>
    <row r="13" spans="1:10">
      <c r="B13" s="1" t="s">
        <v>418</v>
      </c>
      <c r="C13" s="48" t="s">
        <v>416</v>
      </c>
      <c r="D13" s="48"/>
      <c r="E13" s="5"/>
    </row>
    <row r="14" spans="1:10">
      <c r="B14" s="4" t="s">
        <v>422</v>
      </c>
      <c r="C14" s="35">
        <f>Thesis!C12*Common_Shares/1000000</f>
        <v>102942.35028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42" t="s">
        <v>457</v>
      </c>
    </row>
    <row r="22" spans="2:6">
      <c r="B22" s="2" t="s">
        <v>56</v>
      </c>
      <c r="C22" s="48" t="s">
        <v>456</v>
      </c>
      <c r="D22" s="1" t="str">
        <f>IF(valuation_method="DDM","DDM Terminal Value","")</f>
        <v/>
      </c>
      <c r="E22" s="347"/>
    </row>
    <row r="23" spans="2:6">
      <c r="B23" s="1" t="s">
        <v>436</v>
      </c>
      <c r="C23" s="290" t="s">
        <v>452</v>
      </c>
    </row>
    <row r="24" spans="2:6">
      <c r="B24" s="1" t="s">
        <v>437</v>
      </c>
      <c r="C24" s="290" t="s">
        <v>452</v>
      </c>
    </row>
    <row r="25" spans="2:6">
      <c r="B25" s="4" t="s">
        <v>348</v>
      </c>
      <c r="C25" s="48" t="s">
        <v>416</v>
      </c>
      <c r="D25" s="32" t="str">
        <f>IF(D11="","",Market_currency&amp;"/"&amp;D13&amp;":")</f>
        <v/>
      </c>
      <c r="E25" s="333" t="str">
        <f>IF(D11="","",1/Exchange_Rate*D16)</f>
        <v/>
      </c>
    </row>
    <row r="26" spans="2:6">
      <c r="B26" s="1" t="str">
        <f>"Expected Equity Value ("&amp;C13&amp;") :"</f>
        <v>Expected Equity Value (CNY) :</v>
      </c>
      <c r="C26" s="338">
        <f>C127</f>
        <v>90.317553631447524</v>
      </c>
      <c r="D26" s="1" t="s">
        <v>400</v>
      </c>
      <c r="E26" s="335">
        <f ca="1">Scenarios!C87</f>
        <v>0.15993573478625023</v>
      </c>
    </row>
    <row r="27" spans="2:6">
      <c r="D27" s="5"/>
      <c r="E27" s="5"/>
    </row>
    <row r="28" spans="2:6">
      <c r="B28" s="45" t="s">
        <v>435</v>
      </c>
      <c r="C28" s="343" t="str">
        <f>C140&amp;" ("&amp;Market_currency&amp;")"</f>
        <v>002304.SZ (CNY)</v>
      </c>
      <c r="D28" s="343" t="str">
        <f>IF(D11="","",D140&amp;" ("&amp;D13&amp;")")</f>
        <v/>
      </c>
      <c r="E28" s="339" t="s">
        <v>431</v>
      </c>
      <c r="F28" s="337">
        <v>3</v>
      </c>
    </row>
    <row r="29" spans="2:6">
      <c r="B29" s="1" t="s">
        <v>427</v>
      </c>
      <c r="C29" s="344">
        <f>C144</f>
        <v>40.298277562480884</v>
      </c>
      <c r="D29" s="344" t="str">
        <f>D144</f>
        <v/>
      </c>
      <c r="E29" s="340" t="s">
        <v>426</v>
      </c>
      <c r="F29" s="336">
        <v>0.4</v>
      </c>
    </row>
    <row r="30" spans="2:6">
      <c r="B30" s="1" t="s">
        <v>428</v>
      </c>
      <c r="C30" s="345">
        <f>C152</f>
        <v>59.586071941939053</v>
      </c>
      <c r="D30" s="345" t="str">
        <f>D152</f>
        <v/>
      </c>
      <c r="E30" s="341" t="s">
        <v>439</v>
      </c>
      <c r="F30" s="346">
        <v>0.21740000000000001</v>
      </c>
    </row>
    <row r="31" spans="2:6">
      <c r="B31" s="1" t="s">
        <v>429</v>
      </c>
      <c r="C31" s="345">
        <f>C160</f>
        <v>83.672755702452235</v>
      </c>
      <c r="D31" s="345" t="str">
        <f>D160</f>
        <v/>
      </c>
      <c r="E31" s="341" t="s">
        <v>438</v>
      </c>
      <c r="F31" s="346">
        <v>0.08</v>
      </c>
    </row>
    <row r="32" spans="2:6">
      <c r="B32" s="1" t="s">
        <v>430</v>
      </c>
      <c r="C32" s="345">
        <f>C168</f>
        <v>75.94741196324874</v>
      </c>
      <c r="D32" s="345" t="str">
        <f>D168</f>
        <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v>
      </c>
    </row>
    <row r="40" spans="1:6" ht="24.4" customHeight="1">
      <c r="B40" s="353" t="s">
        <v>232</v>
      </c>
      <c r="C40" s="353"/>
      <c r="D40" s="353"/>
      <c r="E40" s="353"/>
      <c r="F40" s="353"/>
    </row>
    <row r="41" spans="1:6">
      <c r="B41" s="47" t="s">
        <v>233</v>
      </c>
      <c r="C41" s="188">
        <f>Normalized_FCF!C8</f>
        <v>10504024858.984821</v>
      </c>
      <c r="D41" s="1" t="str">
        <f>Reporting_currency</f>
        <v>CNY</v>
      </c>
    </row>
    <row r="42" spans="1:6">
      <c r="B42" s="47"/>
      <c r="C42" s="76"/>
    </row>
    <row r="43" spans="1:6" ht="24.4" customHeight="1">
      <c r="B43" s="353" t="s">
        <v>234</v>
      </c>
      <c r="C43" s="353"/>
      <c r="D43" s="353"/>
      <c r="E43" s="353"/>
      <c r="F43" s="353"/>
    </row>
    <row r="44" spans="1:6">
      <c r="B44" s="47" t="s">
        <v>235</v>
      </c>
      <c r="C44" s="188">
        <f>Normalized_FCF!C9</f>
        <v>697421786</v>
      </c>
      <c r="D44" s="1" t="str">
        <f>Reporting_currency</f>
        <v>CNY</v>
      </c>
    </row>
    <row r="45" spans="1:6">
      <c r="B45" s="52" t="s">
        <v>236</v>
      </c>
      <c r="C45" s="188">
        <f>Normalized_FCF!C10</f>
        <v>-742549850.49555075</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341</v>
      </c>
      <c r="C51" s="316">
        <f>Normalized_FCF!C48</f>
        <v>123170761.45263389</v>
      </c>
      <c r="D51" s="1" t="str">
        <f>Reporting_currency</f>
        <v>CNY</v>
      </c>
      <c r="E51" s="315"/>
      <c r="F51" s="315"/>
    </row>
    <row r="52" spans="2:6">
      <c r="B52" s="47" t="s">
        <v>342</v>
      </c>
      <c r="C52" s="316">
        <f>Normalized_FCF!C47</f>
        <v>-2955080</v>
      </c>
      <c r="D52" s="1" t="str">
        <f>Reporting_currency</f>
        <v>CNY</v>
      </c>
      <c r="E52" s="315"/>
      <c r="F52" s="315"/>
    </row>
    <row r="53" spans="2:6">
      <c r="B53" s="47" t="s">
        <v>239</v>
      </c>
      <c r="C53" s="188">
        <f>Normalized_FCF!C12</f>
        <v>120215681.45263389</v>
      </c>
      <c r="D53" s="1" t="str">
        <f>Reporting_currency</f>
        <v>CNY</v>
      </c>
    </row>
    <row r="55" spans="2:6">
      <c r="B55" s="1" t="s">
        <v>247</v>
      </c>
    </row>
    <row r="56" spans="2:6">
      <c r="B56" s="47" t="s">
        <v>266</v>
      </c>
      <c r="C56" s="188">
        <f>Normalized_FCF!C15</f>
        <v>-11281261.817791469</v>
      </c>
      <c r="D56" s="1" t="str">
        <f>Reporting_currency</f>
        <v>CNY</v>
      </c>
    </row>
    <row r="58" spans="2:6">
      <c r="B58" s="353" t="s">
        <v>242</v>
      </c>
      <c r="C58" s="353"/>
      <c r="D58" s="353"/>
      <c r="E58" s="353"/>
      <c r="F58" s="353"/>
    </row>
    <row r="59" spans="2:6">
      <c r="B59" s="47" t="s">
        <v>240</v>
      </c>
      <c r="C59" s="188">
        <f>Normalized_FCF!C14</f>
        <v>-2656060135.109364</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6396830132.3469982</v>
      </c>
      <c r="D67" s="1" t="str">
        <f>Reporting_currency</f>
        <v>CNY</v>
      </c>
    </row>
    <row r="68" spans="1:6">
      <c r="B68" s="47" t="s">
        <v>249</v>
      </c>
      <c r="C68" s="188">
        <f>Normalized_FCF!C19</f>
        <v>7911771079.0147505</v>
      </c>
      <c r="D68" s="1" t="str">
        <f>Reporting_currency</f>
        <v>CNY</v>
      </c>
    </row>
    <row r="69" spans="1:6">
      <c r="B69" s="251" t="s">
        <v>391</v>
      </c>
      <c r="C69" s="92">
        <f>Normalized_FCF!C125</f>
        <v>7.6856328396378931E-2</v>
      </c>
      <c r="F69" s="348"/>
    </row>
    <row r="70" spans="1:6">
      <c r="B70" s="251" t="s">
        <v>309</v>
      </c>
      <c r="C70" s="92">
        <f>Normalized_FCF!C93</f>
        <v>6.8028107158541948E-2</v>
      </c>
      <c r="E70" s="47" t="s">
        <v>450</v>
      </c>
      <c r="F70" s="349">
        <f>Normalized_FCF!C92</f>
        <v>0.88513345065995985</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65.625697409458056</v>
      </c>
      <c r="D87" s="1" t="str">
        <f>Market_currency</f>
        <v>CNY</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40134989.460000001</v>
      </c>
      <c r="D96" s="1" t="str">
        <f>Reporting_currency</f>
        <v>CNY</v>
      </c>
    </row>
    <row r="97" spans="2:6">
      <c r="B97" s="47" t="s">
        <v>282</v>
      </c>
      <c r="C97" s="247">
        <f>C96*scaling_factor*Exchange_Rate/Common_Shares</f>
        <v>2.6632587293329478E-2</v>
      </c>
      <c r="D97" s="1" t="str">
        <f>Market_currency</f>
        <v>CNY</v>
      </c>
    </row>
    <row r="98" spans="2:6">
      <c r="B98" s="329" t="s">
        <v>405</v>
      </c>
      <c r="C98" s="330">
        <f>BS!G30/BS!G27</f>
        <v>0.30279158651211824</v>
      </c>
    </row>
    <row r="99" spans="2:6">
      <c r="B99" s="329" t="s">
        <v>406</v>
      </c>
      <c r="C99" s="330">
        <f>BS!G31/BS!G27</f>
        <v>7.7640983998987034E-4</v>
      </c>
    </row>
    <row r="100" spans="2:6">
      <c r="B100" s="329" t="s">
        <v>408</v>
      </c>
      <c r="C100" s="331">
        <f>BS!C50</f>
        <v>3.8209153156820415E-3</v>
      </c>
    </row>
    <row r="102" spans="2:6">
      <c r="B102" s="1" t="s">
        <v>255</v>
      </c>
    </row>
    <row r="103" spans="2:6">
      <c r="B103" s="47" t="s">
        <v>265</v>
      </c>
      <c r="C103" s="188">
        <f>BS!C66</f>
        <v>21748297978.369999</v>
      </c>
      <c r="D103" s="1" t="str">
        <f>Reporting_currency</f>
        <v>CNY</v>
      </c>
    </row>
    <row r="104" spans="2:6">
      <c r="B104" s="47" t="s">
        <v>267</v>
      </c>
      <c r="C104" s="188">
        <f>DCF!C8</f>
        <v>17437737876.49247</v>
      </c>
      <c r="D104" s="1" t="str">
        <f>Reporting_currency</f>
        <v>CNY</v>
      </c>
    </row>
    <row r="105" spans="2:6">
      <c r="B105" s="47" t="s">
        <v>283</v>
      </c>
      <c r="C105" s="247">
        <f>C104*scaling_factor*Exchange_Rate/Common_Shares</f>
        <v>11.571251978444732</v>
      </c>
      <c r="D105" s="1" t="str">
        <f>Market_currency</f>
        <v>CNY</v>
      </c>
    </row>
    <row r="107" spans="2:6">
      <c r="B107" s="1" t="s">
        <v>257</v>
      </c>
    </row>
    <row r="108" spans="2:6">
      <c r="B108" s="47" t="s">
        <v>258</v>
      </c>
      <c r="C108" s="188">
        <f>DCF!C9</f>
        <v>3951628136.4709997</v>
      </c>
      <c r="D108" s="1" t="str">
        <f>Reporting_currency</f>
        <v>CNY</v>
      </c>
    </row>
    <row r="109" spans="2:6">
      <c r="B109" s="47" t="s">
        <v>284</v>
      </c>
      <c r="C109" s="247">
        <f>C108*scaling_factor*Exchange_Rate/Common_Shares</f>
        <v>2.6222027889213448</v>
      </c>
      <c r="D109" s="1" t="str">
        <f>Market_currency</f>
        <v>CNY</v>
      </c>
    </row>
    <row r="111" spans="2:6" ht="24.4" customHeight="1">
      <c r="B111" s="352" t="s">
        <v>367</v>
      </c>
      <c r="C111" s="352"/>
      <c r="D111" s="352"/>
      <c r="E111" s="352"/>
      <c r="F111" s="352"/>
    </row>
    <row r="113" spans="1:6">
      <c r="B113" s="47" t="s">
        <v>451</v>
      </c>
      <c r="C113" s="247">
        <f>IF(valuation_method="DCF",DCF!C12,DDM!C7)</f>
        <v>79.792519589530784</v>
      </c>
      <c r="D113" s="1" t="str">
        <f>Market_currency</f>
        <v>CNY</v>
      </c>
    </row>
    <row r="114" spans="1:6">
      <c r="B114" s="329" t="s">
        <v>407</v>
      </c>
      <c r="C114" s="247">
        <f>BS!D47</f>
        <v>15.284602440692964</v>
      </c>
      <c r="D114" s="1" t="str">
        <f>Market_currency</f>
        <v>CNY</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0.1</v>
      </c>
      <c r="D121" s="254">
        <f>DCF!D74</f>
        <v>15</v>
      </c>
      <c r="E121" s="255" t="str">
        <f>ROUND(IF(valuation_method="DCF",DCF!E74,DDM!E69),2)&amp;" "&amp;Market_currency</f>
        <v>128.41 CNY</v>
      </c>
      <c r="F121" s="256">
        <f>DCF!F74</f>
        <v>0.05</v>
      </c>
    </row>
    <row r="122" spans="1:6">
      <c r="B122" s="242" t="str">
        <f>DCF!B75</f>
        <v>Optimistic</v>
      </c>
      <c r="C122" s="243">
        <f>DCF!C75</f>
        <v>0.06</v>
      </c>
      <c r="D122" s="244">
        <f>DCF!D75</f>
        <v>10</v>
      </c>
      <c r="E122" s="255" t="str">
        <f>ROUND(IF(valuation_method="DCF",DCF!E75,DDM!E70),2)&amp;" "&amp;Market_currency</f>
        <v>93.83 CNY</v>
      </c>
      <c r="F122" s="245">
        <f>DCF!F75</f>
        <v>0.18</v>
      </c>
    </row>
    <row r="123" spans="1:6">
      <c r="B123" s="242" t="str">
        <f>DCF!B76</f>
        <v>Base</v>
      </c>
      <c r="C123" s="243">
        <f>DCF!C76</f>
        <v>0.04</v>
      </c>
      <c r="D123" s="244">
        <f>DCF!D76</f>
        <v>10</v>
      </c>
      <c r="E123" s="255" t="str">
        <f>ROUND(IF(valuation_method="DCF",DCF!E76,DDM!E71),2)&amp;" "&amp;Market_currency</f>
        <v>88.69 CNY</v>
      </c>
      <c r="F123" s="245">
        <f>DCF!F76</f>
        <v>0.53999999999999992</v>
      </c>
    </row>
    <row r="124" spans="1:6">
      <c r="B124" s="242" t="str">
        <f>DCF!B77</f>
        <v>Pessimistic</v>
      </c>
      <c r="C124" s="243">
        <f>DCF!C77</f>
        <v>0.02</v>
      </c>
      <c r="D124" s="244">
        <f>DCF!D77</f>
        <v>10</v>
      </c>
      <c r="E124" s="255" t="str">
        <f>ROUND(IF(valuation_method="DCF",DCF!E77,DDM!E72),2)&amp;" "&amp;Market_currency</f>
        <v>84.03 CNY</v>
      </c>
      <c r="F124" s="245">
        <f>DCF!F77</f>
        <v>0.18</v>
      </c>
    </row>
    <row r="125" spans="1:6">
      <c r="B125" s="242" t="str">
        <f>DCF!B78</f>
        <v>Devil's advocate</v>
      </c>
      <c r="C125" s="243">
        <f>DCF!C78</f>
        <v>0</v>
      </c>
      <c r="D125" s="244">
        <f>DCF!D78</f>
        <v>15</v>
      </c>
      <c r="E125" s="255" t="str">
        <f>ROUND(IF(valuation_method="DCF",DCF!E78,DDM!E73),2)&amp;" "&amp;Market_currency</f>
        <v>79.79 CNY</v>
      </c>
      <c r="F125" s="245">
        <f>DCF!F78</f>
        <v>0.05</v>
      </c>
    </row>
    <row r="127" spans="1:6">
      <c r="B127" s="235" t="s">
        <v>259</v>
      </c>
      <c r="C127" s="241">
        <f>Scenarios!C60</f>
        <v>90.317553631447524</v>
      </c>
      <c r="D127" s="236" t="str">
        <f>Market_currency</f>
        <v>CNY</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4.6470000000000002</v>
      </c>
      <c r="D138" s="236" t="str">
        <f>Market_currency</f>
        <v>CNY</v>
      </c>
    </row>
    <row r="140" spans="1:6">
      <c r="B140" s="234" t="s">
        <v>410</v>
      </c>
      <c r="C140" s="267" t="str">
        <f>C11</f>
        <v>002304.SZ</v>
      </c>
      <c r="D140" s="267" t="str">
        <f>IF(D11="","",D11)</f>
        <v/>
      </c>
    </row>
    <row r="141" spans="1:6">
      <c r="B141" s="1" t="s">
        <v>409</v>
      </c>
      <c r="C141" s="330">
        <f>F29</f>
        <v>0.4</v>
      </c>
    </row>
    <row r="142" spans="1:6">
      <c r="B142" s="236" t="str">
        <f>"PV("&amp;C136&amp;" yrs of Dividends)"</f>
        <v>PV(3 yrs of Dividends)</v>
      </c>
      <c r="C142" s="240">
        <f>Scenarios!C81</f>
        <v>7.3837172011661796</v>
      </c>
    </row>
    <row r="143" spans="1:6">
      <c r="B143" s="236" t="str">
        <f>"+ PV(Equity Value realized at year "&amp;C136&amp;")"</f>
        <v>+ PV(Equity Value realized at year 3)</v>
      </c>
      <c r="C143" s="240">
        <f>Scenarios!C82</f>
        <v>32.914560361314706</v>
      </c>
    </row>
    <row r="144" spans="1:6">
      <c r="B144" s="80" t="s">
        <v>261</v>
      </c>
      <c r="C144" s="239">
        <f>Scenarios!C83</f>
        <v>40.298277562480884</v>
      </c>
      <c r="D144" s="334" t="str">
        <f>IF($D$11="","",C144*$E$25)</f>
        <v/>
      </c>
    </row>
    <row r="145" spans="2:4">
      <c r="B145" s="285" t="s">
        <v>418</v>
      </c>
      <c r="C145" s="332" t="str">
        <f>Market_currency</f>
        <v>CNY</v>
      </c>
      <c r="D145" s="332" t="str">
        <f>IF($D$11="","",D$13)</f>
        <v/>
      </c>
    </row>
    <row r="146" spans="2:4">
      <c r="B146" s="238" t="s">
        <v>263</v>
      </c>
      <c r="C146" s="92">
        <f>Scenarios!F83</f>
        <v>0.55381566548045336</v>
      </c>
    </row>
    <row r="148" spans="2:4">
      <c r="B148" s="234" t="s">
        <v>413</v>
      </c>
    </row>
    <row r="149" spans="2:4">
      <c r="B149" s="1" t="s">
        <v>412</v>
      </c>
      <c r="C149" s="330">
        <f>Scenarios!C90</f>
        <v>0.21740000000000001</v>
      </c>
    </row>
    <row r="150" spans="2:4">
      <c r="B150" s="236" t="str">
        <f>"PV("&amp;C136&amp;" yrs of Dividends)"</f>
        <v>PV(3 yrs of Dividends)</v>
      </c>
      <c r="C150" s="240">
        <f>Scenarios!C91</f>
        <v>9.528212628500361</v>
      </c>
    </row>
    <row r="151" spans="2:4">
      <c r="B151" s="236" t="str">
        <f>"+ PV(Equity Value realized at year "&amp;C136&amp;")"</f>
        <v>+ PV(Equity Value realized at year 3)</v>
      </c>
      <c r="C151" s="240">
        <f>Scenarios!C92</f>
        <v>50.057859313438691</v>
      </c>
    </row>
    <row r="152" spans="2:4">
      <c r="B152" s="80" t="s">
        <v>261</v>
      </c>
      <c r="C152" s="239">
        <f>Scenarios!C93</f>
        <v>59.586071941939053</v>
      </c>
      <c r="D152" s="334" t="str">
        <f>IF($D$11="","",C152*$E$25)</f>
        <v/>
      </c>
    </row>
    <row r="153" spans="2:4">
      <c r="B153" s="285" t="s">
        <v>418</v>
      </c>
      <c r="C153" s="332" t="str">
        <f>Market_currency</f>
        <v>CNY</v>
      </c>
      <c r="D153" s="332" t="str">
        <f>IF($D$11="","",D$13)</f>
        <v/>
      </c>
    </row>
    <row r="154" spans="2:4">
      <c r="B154" s="238" t="s">
        <v>263</v>
      </c>
      <c r="C154" s="92">
        <f>Scenarios!F93</f>
        <v>0.34026034202512023</v>
      </c>
    </row>
    <row r="156" spans="2:4">
      <c r="B156" s="234" t="s">
        <v>401</v>
      </c>
    </row>
    <row r="157" spans="2:4">
      <c r="B157" s="1" t="s">
        <v>411</v>
      </c>
      <c r="C157" s="92">
        <f>Scenarios!C96</f>
        <v>0.08</v>
      </c>
    </row>
    <row r="158" spans="2:4">
      <c r="B158" s="236" t="str">
        <f>"PV("&amp;C136&amp;" yrs of Dividends)"</f>
        <v>PV(3 yrs of Dividends)</v>
      </c>
      <c r="C158" s="240">
        <f>Scenarios!C97</f>
        <v>11.9757696997409</v>
      </c>
    </row>
    <row r="159" spans="2:4">
      <c r="B159" s="236" t="str">
        <f>"+ PV(Equity Value realized at year "&amp;C136&amp;")"</f>
        <v>+ PV(Equity Value realized at year 3)</v>
      </c>
      <c r="C159" s="240">
        <f>Scenarios!C98</f>
        <v>71.696986002711341</v>
      </c>
    </row>
    <row r="160" spans="2:4">
      <c r="B160" s="80" t="s">
        <v>402</v>
      </c>
      <c r="C160" s="239">
        <f>Scenarios!C99</f>
        <v>83.672755702452235</v>
      </c>
      <c r="D160" s="334" t="str">
        <f>IF($D$11="","",C160*$E$25)</f>
        <v/>
      </c>
    </row>
    <row r="161" spans="1:6">
      <c r="B161" s="285" t="s">
        <v>418</v>
      </c>
      <c r="C161" s="332" t="str">
        <f>Market_currency</f>
        <v>CNY</v>
      </c>
      <c r="D161" s="332" t="str">
        <f>IF($D$11="","",D$13)</f>
        <v/>
      </c>
    </row>
    <row r="162" spans="1:6">
      <c r="B162" s="238" t="s">
        <v>263</v>
      </c>
      <c r="C162" s="92">
        <f>Scenarios!F99</f>
        <v>7.3571500354297048E-2</v>
      </c>
    </row>
    <row r="164" spans="1:6">
      <c r="B164" s="234" t="s">
        <v>434</v>
      </c>
    </row>
    <row r="165" spans="1:6">
      <c r="B165" s="1" t="s">
        <v>425</v>
      </c>
      <c r="C165" s="92">
        <f>F32</f>
        <v>0.1174</v>
      </c>
    </row>
    <row r="166" spans="1:6">
      <c r="B166" s="236" t="str">
        <f>"PV("&amp;C136&amp;" yrs of Dividends)"</f>
        <v>PV(3 yrs of Dividends)</v>
      </c>
      <c r="C166" s="240">
        <f>Scenarios!C103</f>
        <v>11.211366726236903</v>
      </c>
    </row>
    <row r="167" spans="1:6">
      <c r="B167" s="236" t="str">
        <f>"+ PV(Equity Value realized at year "&amp;C136&amp;")"</f>
        <v>+ PV(Equity Value realized at year 3)</v>
      </c>
      <c r="C167" s="240">
        <f>Scenarios!C104</f>
        <v>64.736045237011837</v>
      </c>
    </row>
    <row r="168" spans="1:6">
      <c r="B168" s="80" t="s">
        <v>402</v>
      </c>
      <c r="C168" s="239">
        <f>Scenarios!C105</f>
        <v>75.94741196324874</v>
      </c>
      <c r="D168" s="334" t="str">
        <f>IF($D$11="","",C168*$E$25)</f>
        <v/>
      </c>
    </row>
    <row r="169" spans="1:6">
      <c r="B169" s="285" t="s">
        <v>418</v>
      </c>
      <c r="C169" s="332" t="str">
        <f>Market_currency</f>
        <v>CNY</v>
      </c>
      <c r="D169" s="332" t="str">
        <f>IF($D$11="","",D$13)</f>
        <v/>
      </c>
    </row>
    <row r="170" spans="1:6">
      <c r="B170" s="238" t="s">
        <v>263</v>
      </c>
      <c r="C170" s="92">
        <f>Scenarios!F105</f>
        <v>0.15917061295928081</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374</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373</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458</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8"/>
      <c r="J77" s="328"/>
      <c r="K77" s="328"/>
      <c r="L77" s="328"/>
      <c r="M77" s="328"/>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8"/>
      <c r="J78" s="328"/>
      <c r="K78" s="328"/>
      <c r="L78" s="328"/>
      <c r="M78" s="328"/>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89">
        <v>0.6</v>
      </c>
      <c r="E4" s="25"/>
      <c r="F4" s="4" t="s">
        <v>78</v>
      </c>
      <c r="G4" s="19">
        <v>21748297978.369999</v>
      </c>
      <c r="H4" s="289">
        <v>0.9</v>
      </c>
    </row>
    <row r="5" spans="2:8" ht="15" customHeight="1">
      <c r="B5" s="1" t="s">
        <v>33</v>
      </c>
      <c r="C5" s="19">
        <v>0</v>
      </c>
      <c r="D5" s="289">
        <v>0.6</v>
      </c>
      <c r="E5" s="25"/>
      <c r="F5" s="1" t="s">
        <v>29</v>
      </c>
      <c r="G5" s="19">
        <v>0</v>
      </c>
      <c r="H5" s="289">
        <v>0.7</v>
      </c>
    </row>
    <row r="6" spans="2:8" ht="15" customHeight="1">
      <c r="B6" s="4" t="s">
        <v>10</v>
      </c>
      <c r="C6" s="19">
        <v>19732881051.73</v>
      </c>
      <c r="D6" s="289">
        <v>0.5</v>
      </c>
      <c r="E6" s="25"/>
      <c r="F6" s="4" t="s">
        <v>178</v>
      </c>
      <c r="G6" s="19">
        <v>0</v>
      </c>
      <c r="H6" s="289">
        <v>0.6</v>
      </c>
    </row>
    <row r="7" spans="2:8" ht="15" customHeight="1">
      <c r="B7" s="1" t="s">
        <v>69</v>
      </c>
      <c r="C7" s="19">
        <v>0</v>
      </c>
      <c r="D7" s="289">
        <v>0.6</v>
      </c>
      <c r="E7" s="25"/>
      <c r="F7" s="4" t="s">
        <v>179</v>
      </c>
      <c r="G7" s="19">
        <v>6380145437.1400003</v>
      </c>
      <c r="H7" s="289">
        <v>0.6</v>
      </c>
    </row>
    <row r="8" spans="2:8" ht="15" customHeight="1">
      <c r="B8" s="1" t="s">
        <v>174</v>
      </c>
      <c r="C8" s="19">
        <v>0</v>
      </c>
      <c r="D8" s="289">
        <v>0.6</v>
      </c>
      <c r="E8" s="25"/>
      <c r="F8" s="1" t="s">
        <v>180</v>
      </c>
      <c r="G8" s="19">
        <v>0</v>
      </c>
      <c r="H8" s="289">
        <v>0.6</v>
      </c>
    </row>
    <row r="9" spans="2:8" ht="15" customHeight="1">
      <c r="B9" s="4" t="s">
        <v>25</v>
      </c>
      <c r="C9" s="19">
        <v>23310180.68</v>
      </c>
      <c r="D9" s="289">
        <v>0.1</v>
      </c>
      <c r="E9" s="25"/>
      <c r="F9" s="4" t="s">
        <v>181</v>
      </c>
      <c r="G9" s="19">
        <v>0</v>
      </c>
      <c r="H9" s="289">
        <v>0.6</v>
      </c>
    </row>
    <row r="10" spans="2:8" ht="15" customHeight="1">
      <c r="B10" s="4" t="s">
        <v>11</v>
      </c>
      <c r="C10" s="19">
        <v>0</v>
      </c>
      <c r="D10" s="289">
        <v>0.9</v>
      </c>
      <c r="H10" s="290"/>
    </row>
    <row r="11" spans="2:8" ht="15" customHeight="1">
      <c r="B11" s="4" t="s">
        <v>12</v>
      </c>
      <c r="C11" s="19">
        <v>909932715.44000006</v>
      </c>
      <c r="D11" s="289">
        <v>0.05</v>
      </c>
      <c r="H11" s="290"/>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4614148799.21</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5571618070.98+1912601220.28+66814914.62</f>
        <v>7551034205.8799992</v>
      </c>
      <c r="D19" s="289">
        <v>0.1</v>
      </c>
      <c r="F19" s="4" t="s">
        <v>183</v>
      </c>
      <c r="G19" s="19">
        <v>1235408741.8699999</v>
      </c>
      <c r="H19" s="289">
        <v>0.1</v>
      </c>
    </row>
    <row r="20" spans="2:8" ht="15" customHeight="1">
      <c r="B20" s="4" t="s">
        <v>18</v>
      </c>
      <c r="C20" s="19">
        <v>0</v>
      </c>
      <c r="D20" s="289">
        <v>0.05</v>
      </c>
      <c r="F20" s="4" t="s">
        <v>180</v>
      </c>
      <c r="G20" s="19">
        <v>0</v>
      </c>
      <c r="H20" s="289">
        <v>0.2</v>
      </c>
    </row>
    <row r="21" spans="2:8" ht="15" customHeight="1">
      <c r="B21" s="4" t="s">
        <v>19</v>
      </c>
      <c r="C21" s="19">
        <v>1804220059.96</v>
      </c>
      <c r="D21" s="289">
        <v>0.05</v>
      </c>
      <c r="F21" s="1" t="s">
        <v>181</v>
      </c>
      <c r="G21" s="19">
        <v>0</v>
      </c>
      <c r="H21" s="289">
        <v>0.1</v>
      </c>
    </row>
    <row r="22" spans="2:8" ht="15" customHeight="1">
      <c r="B22" s="4" t="s">
        <v>20</v>
      </c>
      <c r="C22" s="19">
        <f>1242507668.92+180606719.81</f>
        <v>1423114388.73</v>
      </c>
      <c r="D22" s="289">
        <v>0.9</v>
      </c>
      <c r="H22" s="290"/>
    </row>
    <row r="23" spans="2:8" ht="15" customHeight="1">
      <c r="B23" s="4" t="s">
        <v>21</v>
      </c>
      <c r="C23" s="19">
        <f>276001989.95+116472530.48</f>
        <v>392474520.43000001</v>
      </c>
      <c r="D23" s="289">
        <v>0</v>
      </c>
      <c r="H23" s="290"/>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51588243128.649994</v>
      </c>
      <c r="D46" s="188">
        <f>H29</f>
        <v>23033712462.895008</v>
      </c>
      <c r="F46" s="279"/>
    </row>
    <row r="47" spans="2:8" ht="15" customHeight="1">
      <c r="B47" s="1" t="str">
        <f>"Equity per share ("&amp;Market_currency&amp;")"</f>
        <v>Equity per share (CNY)</v>
      </c>
      <c r="C47" s="148">
        <f>C46*H1/Common_Shares*Exchange_Rate</f>
        <v>34.232683424585993</v>
      </c>
      <c r="D47" s="148">
        <f>D46*H1/Common_Shares*Exchange_Rate</f>
        <v>15.284602440692964</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3.8209153156820415E-3</v>
      </c>
      <c r="D50" s="95">
        <f>G31/Normalized_FCF!G8</f>
        <v>4.5851652280403769E-3</v>
      </c>
      <c r="F50" s="279"/>
    </row>
    <row r="51" spans="2:8" ht="15" customHeight="1">
      <c r="B51" s="1" t="s">
        <v>177</v>
      </c>
      <c r="C51" s="202"/>
      <c r="D51" s="92">
        <f>G29/G32</f>
        <v>0.76602628203208212</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0.2765569791142819</v>
      </c>
      <c r="D54" s="92">
        <f>Normalized_FCF!G8/G35</f>
        <v>0.23046078921961435</v>
      </c>
      <c r="F54" s="279"/>
    </row>
    <row r="55" spans="2:8" ht="15" customHeight="1">
      <c r="B55" s="1" t="s">
        <v>142</v>
      </c>
      <c r="C55" s="92">
        <f>Normalized_FCF!C11/G40</f>
        <v>0</v>
      </c>
      <c r="D55" s="92">
        <f>Normalized_FCF!G11/G40</f>
        <v>3.0012732378422159E-7</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9.2361094783138031E-2</v>
      </c>
      <c r="F58" s="5"/>
    </row>
    <row r="59" spans="2:8" ht="15" customHeight="1">
      <c r="B59" s="1" t="s">
        <v>93</v>
      </c>
      <c r="C59" s="98"/>
      <c r="D59" s="92">
        <f>G39/G32</f>
        <v>0.1121242032569815</v>
      </c>
      <c r="F59" s="279"/>
    </row>
    <row r="60" spans="2:8" ht="15" customHeight="1">
      <c r="F60" s="279"/>
    </row>
    <row r="61" spans="2:8" ht="15" customHeight="1">
      <c r="B61" s="158" t="s">
        <v>275</v>
      </c>
      <c r="C61" s="259" t="s">
        <v>138</v>
      </c>
      <c r="D61" s="218" t="s">
        <v>96</v>
      </c>
      <c r="F61" s="279"/>
    </row>
    <row r="62" spans="2:8" ht="15" customHeight="1">
      <c r="B62" s="1" t="s">
        <v>246</v>
      </c>
      <c r="C62" s="92">
        <f>IF(G28&lt;=0,0,G28/G29)</f>
        <v>2.0315234416617856E-3</v>
      </c>
      <c r="D62" s="92">
        <f>G28/G29</f>
        <v>2.0315234416617856E-3</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21748297978.369999</v>
      </c>
      <c r="D66" s="188">
        <f>C66-D75</f>
        <v>17437737876.49247</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21748297978.369999</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-2260503650</v>
      </c>
      <c r="D73" s="188">
        <f>(Normalized_FCF!C25+Normalized_FCF!C35-Normalized_FCF!C91)/12</f>
        <v>-2155280050.938765</v>
      </c>
      <c r="F73" s="1" t="s">
        <v>352</v>
      </c>
    </row>
    <row r="74" spans="2:6" ht="15" customHeight="1">
      <c r="B74" s="283" t="s">
        <v>322</v>
      </c>
      <c r="C74" s="284">
        <f>-$C$66/C73</f>
        <v>9.6209966209831155</v>
      </c>
      <c r="D74" s="284">
        <f>-$C$66/D73</f>
        <v>10.090706295405646</v>
      </c>
      <c r="F74" s="279" t="s">
        <v>320</v>
      </c>
    </row>
    <row r="75" spans="2:6" ht="15" customHeight="1">
      <c r="B75" s="80" t="s">
        <v>321</v>
      </c>
      <c r="C75" s="288"/>
      <c r="D75" s="287">
        <f>MAX(-D73*D76,G5)</f>
        <v>4310560101.8775301</v>
      </c>
      <c r="F75" s="279" t="s">
        <v>353</v>
      </c>
    </row>
    <row r="76" spans="2:6" ht="15" customHeight="1">
      <c r="B76" s="285" t="s">
        <v>323</v>
      </c>
      <c r="C76" s="286"/>
      <c r="D76" s="321">
        <f>IF(D74&lt;=3,1,IF(D74&gt;18,6,2))</f>
        <v>2</v>
      </c>
      <c r="F76" s="279" t="s">
        <v>324</v>
      </c>
    </row>
    <row r="77" spans="2:6" ht="15" customHeight="1">
      <c r="F77" s="279"/>
    </row>
    <row r="78" spans="2:6" ht="15" customHeight="1">
      <c r="B78" s="16" t="s">
        <v>190</v>
      </c>
      <c r="C78" s="258" t="s">
        <v>137</v>
      </c>
      <c r="D78" s="204" t="s">
        <v>35</v>
      </c>
      <c r="F78" s="279"/>
    </row>
    <row r="79" spans="2:6" ht="15" customHeight="1">
      <c r="B79" s="105" t="s">
        <v>179</v>
      </c>
      <c r="C79" s="20">
        <f>G7+G17</f>
        <v>6380145437.1400003</v>
      </c>
      <c r="D79" s="188">
        <f>G7*H7+G17*H17</f>
        <v>3828087262.2839999</v>
      </c>
      <c r="F79" s="279"/>
    </row>
    <row r="80" spans="2:6" ht="15" customHeight="1">
      <c r="B80" s="105" t="s">
        <v>183</v>
      </c>
      <c r="C80" s="20">
        <f>G19</f>
        <v>1235408741.8699999</v>
      </c>
      <c r="D80" s="188">
        <f>G19*H19</f>
        <v>123540874.18699999</v>
      </c>
      <c r="F80" s="279"/>
    </row>
    <row r="81" spans="2:8" ht="15" customHeight="1">
      <c r="B81" s="105" t="s">
        <v>181</v>
      </c>
      <c r="C81" s="20">
        <f>G9+G21</f>
        <v>0</v>
      </c>
      <c r="D81" s="188">
        <f>G9*H9+G21*H21</f>
        <v>0</v>
      </c>
      <c r="F81" s="279"/>
    </row>
    <row r="82" spans="2:8" ht="15" customHeight="1">
      <c r="B82" s="80" t="s">
        <v>190</v>
      </c>
      <c r="C82" s="81">
        <f>SUM(C79:C81)</f>
        <v>7615554179.0100002</v>
      </c>
      <c r="D82" s="81">
        <f>SUM(D79:D81)</f>
        <v>3951628136.4709997</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-40134989.460000001</v>
      </c>
      <c r="D86" s="247">
        <f>C86*scaling_factor/Common_Shares</f>
        <v>-2.6632587293329478E-2</v>
      </c>
      <c r="E86" s="266" t="str">
        <f>Market_currency</f>
        <v>CNY</v>
      </c>
    </row>
    <row r="87" spans="2:8" ht="15" customHeight="1">
      <c r="B87" s="264" t="s">
        <v>288</v>
      </c>
      <c r="C87" s="188">
        <f>DCF!C8*Exchange_Rate</f>
        <v>17437737876.49247</v>
      </c>
      <c r="D87" s="247">
        <f>C87*scaling_factor/Common_Shares</f>
        <v>11.571251978444732</v>
      </c>
      <c r="E87" s="266" t="str">
        <f>Market_currency</f>
        <v>CNY</v>
      </c>
    </row>
    <row r="88" spans="2:8" ht="15" customHeight="1">
      <c r="B88" s="265" t="s">
        <v>190</v>
      </c>
      <c r="C88" s="188">
        <f>DCF!C9*Exchange_Rate</f>
        <v>3951628136.4709997</v>
      </c>
      <c r="D88" s="247">
        <f>C88*scaling_factor/Common_Shares</f>
        <v>2.6222027889213448</v>
      </c>
      <c r="E88" s="266" t="str">
        <f>Market_currency</f>
        <v>CNY</v>
      </c>
    </row>
    <row r="89" spans="2:8" ht="15" customHeight="1">
      <c r="B89" s="80" t="s">
        <v>292</v>
      </c>
      <c r="C89" s="187">
        <f>SUM(C86:C88)</f>
        <v>21349231023.503471</v>
      </c>
      <c r="D89" s="268">
        <f>SUM(D86:D88)</f>
        <v>14.166822180072746</v>
      </c>
      <c r="E89" s="266"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7"/>
      <c r="F3" s="9"/>
      <c r="G3" s="9"/>
    </row>
    <row r="4" spans="1:17" ht="15.75" customHeight="1">
      <c r="A4" s="10"/>
      <c r="B4" s="26" t="s">
        <v>2</v>
      </c>
      <c r="C4" s="190">
        <f>AVERAGE(G4:J4)</f>
        <v>29364412234.25</v>
      </c>
      <c r="D4" s="57"/>
      <c r="E4" s="295"/>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297"/>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7"/>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297"/>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3"/>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297"/>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297"/>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296"/>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297"/>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297"/>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297"/>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4"/>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05"/>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4"/>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-12129601276.881763</v>
      </c>
      <c r="D23" s="58"/>
      <c r="E23" s="296"/>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4"/>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2"/>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0.41307148190536791</v>
      </c>
      <c r="D28" s="26"/>
      <c r="E28" s="295"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5"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7"/>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-1863726721.5</v>
      </c>
      <c r="E33" s="295" t="s">
        <v>334</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295" t="s">
        <v>334</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6"/>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6.3468892434570531E-2</v>
      </c>
      <c r="D38" s="27"/>
      <c r="E38" s="294"/>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4"/>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7"/>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-2955080</v>
      </c>
      <c r="E47" s="297"/>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346</v>
      </c>
      <c r="C48" s="191">
        <f>BS!D75*C53</f>
        <v>123170761.45263389</v>
      </c>
      <c r="E48" s="297"/>
      <c r="G48" s="322">
        <f>IFERROR(IF(G$4="","",($C$48/$C$49)*G49),0)</f>
        <v>123170761.45263389</v>
      </c>
      <c r="H48" s="322">
        <f t="shared" ref="H48:Q48" si="19">IFERROR(IF(H$4="","",($C$48/$C$49)*H49),0)</f>
        <v>151697919.76771277</v>
      </c>
      <c r="I48" s="322">
        <f t="shared" si="19"/>
        <v>128000242.61810873</v>
      </c>
      <c r="J48" s="322">
        <f t="shared" si="19"/>
        <v>86004563.664204091</v>
      </c>
      <c r="K48" s="322">
        <f t="shared" si="19"/>
        <v>20711167.472504321</v>
      </c>
      <c r="L48" s="322">
        <f t="shared" si="19"/>
        <v>15378408.949495818</v>
      </c>
      <c r="M48" s="322">
        <f t="shared" si="19"/>
        <v>13702426.366621511</v>
      </c>
      <c r="N48" s="322">
        <f t="shared" si="19"/>
        <v>0</v>
      </c>
      <c r="O48" s="322">
        <f t="shared" si="19"/>
        <v>0</v>
      </c>
      <c r="P48" s="322">
        <f t="shared" si="19"/>
        <v>0</v>
      </c>
      <c r="Q48" s="322" t="str">
        <f t="shared" si="19"/>
        <v/>
      </c>
    </row>
    <row r="49" spans="1:17" ht="15.75" customHeight="1">
      <c r="A49" s="10"/>
      <c r="B49" s="317" t="s">
        <v>343</v>
      </c>
      <c r="C49" s="318">
        <f>BS!$C$66*C53</f>
        <v>621439989</v>
      </c>
      <c r="D49" s="319"/>
      <c r="E49" s="320"/>
      <c r="F49" s="319"/>
      <c r="G49" s="318">
        <f>Data!C52</f>
        <v>621439989</v>
      </c>
      <c r="H49" s="318">
        <f>Data!D52</f>
        <v>765369577</v>
      </c>
      <c r="I49" s="318">
        <f>Data!E52</f>
        <v>645806427</v>
      </c>
      <c r="J49" s="318">
        <f>Data!F52</f>
        <v>433923396</v>
      </c>
      <c r="K49" s="318">
        <f>Data!G52</f>
        <v>104495154</v>
      </c>
      <c r="L49" s="318">
        <f>Data!H52</f>
        <v>77589504</v>
      </c>
      <c r="M49" s="318">
        <f>Data!I52</f>
        <v>69133580</v>
      </c>
      <c r="N49" s="318">
        <f>Data!J52</f>
        <v>0</v>
      </c>
      <c r="O49" s="318">
        <f>Data!K52</f>
        <v>0</v>
      </c>
      <c r="P49" s="318">
        <f>Data!L52</f>
        <v>0</v>
      </c>
      <c r="Q49" s="318" t="str">
        <f>Data!M52</f>
        <v/>
      </c>
    </row>
    <row r="50" spans="1:17" ht="15.75" customHeight="1">
      <c r="A50" s="10"/>
      <c r="B50" s="70" t="s">
        <v>68</v>
      </c>
      <c r="C50" s="184">
        <f>C47+C48</f>
        <v>120215681.45263389</v>
      </c>
      <c r="E50" s="297"/>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2.8574189558100579E-2</v>
      </c>
      <c r="E53" s="294" t="s">
        <v>336</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4" t="s">
        <v>337</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7"/>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338</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297"/>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0.57114253397020309</v>
      </c>
      <c r="D73" s="27"/>
      <c r="E73" s="294"/>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4"/>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4"/>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4"/>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4"/>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5" t="s">
        <v>460</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4"/>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4"/>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4"/>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3">
        <f>MIN(BS!C62,MAX(G83:K83))</f>
        <v>3.841814277703558E-4</v>
      </c>
      <c r="D83" s="27"/>
      <c r="E83" s="294"/>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4"/>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4"/>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(CNY)</v>
      </c>
      <c r="C90" s="114">
        <f>G90</f>
        <v>4.6470000000000002</v>
      </c>
      <c r="E90" s="297"/>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7"/>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7"/>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6.8028107158541948E-2</v>
      </c>
      <c r="E93" s="297"/>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1.6903664633710624E-2</v>
      </c>
      <c r="D96" s="27"/>
      <c r="E96" s="294"/>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4"/>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67345265219.619995</v>
      </c>
      <c r="D101" s="26"/>
      <c r="E101" s="298"/>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299"/>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299"/>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298"/>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298"/>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8"/>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8"/>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0.69432864508205805</v>
      </c>
      <c r="H113" s="327">
        <f>IF(H$4="","",Data!D$22/Data!D15)</f>
        <v>0.61175156713199319</v>
      </c>
      <c r="I113" s="327">
        <f>IF(I$4="","",Data!E$22/Data!E15)</f>
        <v>0.38848325372610293</v>
      </c>
      <c r="J113" s="327">
        <f>IF(J$4="","",Data!F$22/Data!F15)</f>
        <v>2.0389375478654403</v>
      </c>
      <c r="K113" s="327">
        <f>IF(K$4="","",Data!G$22/Data!G15)</f>
        <v>0.53159654216650631</v>
      </c>
      <c r="L113" s="327">
        <f>IF(L$4="","",Data!H$22/Data!H15)</f>
        <v>0.92036395831447737</v>
      </c>
      <c r="M113" s="327">
        <f>IF(M$4="","",Data!I$22/Data!I15)</f>
        <v>1.1160050094303653</v>
      </c>
      <c r="N113" s="327">
        <f>IF(N$4="","",Data!J$22/Data!J15)</f>
        <v>1.0399444322943818</v>
      </c>
      <c r="O113" s="327">
        <f>IF(O$4="","",Data!K$22/Data!K15)</f>
        <v>1.2756477220610554</v>
      </c>
      <c r="P113" s="327">
        <f>IF(P$4="","",Data!L$22/Data!L15)</f>
        <v>1.0878170604353194</v>
      </c>
      <c r="Q113" s="327" t="str">
        <f>IF(Q$4="","",Data!M$22/Data!M15)</f>
        <v/>
      </c>
    </row>
    <row r="114" spans="1:17" ht="15.75" customHeight="1">
      <c r="A114" s="10"/>
      <c r="B114" s="2" t="s">
        <v>393</v>
      </c>
      <c r="C114" s="170"/>
      <c r="E114" s="297"/>
      <c r="G114" s="327">
        <f>IF(G$4="","",Data!C$22/G19)</f>
        <v>0.72359452122917711</v>
      </c>
      <c r="H114" s="327">
        <f>IF(H$4="","",Data!D$22/H19)</f>
        <v>0.66859897667283974</v>
      </c>
      <c r="I114" s="327">
        <f>IF(I$4="","",Data!E$22/I19)</f>
        <v>0.41904903922335918</v>
      </c>
      <c r="J114" s="327">
        <f>IF(J$4="","",Data!F$22/J19)</f>
        <v>2.2007085009366882</v>
      </c>
      <c r="K114" s="327">
        <f>IF(K$4="","",Data!G$22/K19)</f>
        <v>0.81791414277282404</v>
      </c>
      <c r="L114" s="327">
        <f>IF(L$4="","",Data!H$22/L19)</f>
        <v>1.0932847057074204</v>
      </c>
      <c r="M114" s="327">
        <f>IF(M$4="","",Data!I$22/M19)</f>
        <v>1.2877319368842757</v>
      </c>
      <c r="N114" s="327">
        <f>IF(N$4="","",Data!J$22/N19)</f>
        <v>1.1595323507076634</v>
      </c>
      <c r="O114" s="327">
        <f>IF(O$4="","",Data!K$22/O19)</f>
        <v>1.4069766594758819</v>
      </c>
      <c r="P114" s="327">
        <f>IF(P$4="","",Data!L$22/P19)</f>
        <v>1.2749920037134175</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7"/>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7"/>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1"/>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0"/>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4"/>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4"/>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395</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98897138487.684372</v>
      </c>
      <c r="D6" t="str">
        <f>Reporting_currency</f>
        <v>CNY</v>
      </c>
      <c r="E6" s="358" t="s">
        <v>250</v>
      </c>
      <c r="F6" s="358"/>
      <c r="H6" s="121"/>
    </row>
    <row r="7" spans="2:8">
      <c r="B7" s="149" t="s">
        <v>225</v>
      </c>
      <c r="C7" s="226">
        <f>BS!G31</f>
        <v>40134989.460000001</v>
      </c>
      <c r="D7" t="str">
        <f>Reporting_currency</f>
        <v>CNY</v>
      </c>
      <c r="E7" s="358"/>
      <c r="F7" s="358"/>
      <c r="H7" s="121"/>
    </row>
    <row r="8" spans="2:8">
      <c r="B8" s="149" t="s">
        <v>226</v>
      </c>
      <c r="C8" s="201">
        <f>BS!D66</f>
        <v>17437737876.49247</v>
      </c>
      <c r="D8" t="str">
        <f>Reporting_currency</f>
        <v>CNY</v>
      </c>
      <c r="E8" s="358"/>
      <c r="F8" s="358"/>
      <c r="H8" s="121"/>
    </row>
    <row r="9" spans="2:8">
      <c r="B9" s="227" t="s">
        <v>191</v>
      </c>
      <c r="C9" s="229">
        <f>BS!H42</f>
        <v>3951628136.4709997</v>
      </c>
      <c r="D9" t="str">
        <f>Reporting_currency</f>
        <v>CNY</v>
      </c>
      <c r="E9" s="358"/>
      <c r="F9" s="358"/>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IF($C$17&lt;B21,0,DCF!$C$16)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IF($C$17&lt;B22,0,DCF!$C$16)</f>
        <v>4.6574870890079501E-2</v>
      </c>
      <c r="E22" s="125">
        <f t="shared" si="0"/>
        <v>0.85733882030178321</v>
      </c>
      <c r="F22" s="126">
        <f t="shared" si="1"/>
        <v>7429623519.3928375</v>
      </c>
      <c r="H22" s="121"/>
    </row>
    <row r="23" spans="2:8">
      <c r="B23" s="123">
        <v>3</v>
      </c>
      <c r="C23" s="124">
        <f t="shared" si="2"/>
        <v>9069526646.2253819</v>
      </c>
      <c r="D23" s="139">
        <f>IF($C$17&lt;B23,0,DCF!$C$16)</f>
        <v>4.6574870890079501E-2</v>
      </c>
      <c r="E23" s="125">
        <f t="shared" si="0"/>
        <v>0.79383224102016958</v>
      </c>
      <c r="F23" s="126">
        <f t="shared" si="1"/>
        <v>7199682662.565238</v>
      </c>
      <c r="H23" s="121"/>
    </row>
    <row r="24" spans="2:8">
      <c r="B24" s="123">
        <v>4</v>
      </c>
      <c r="C24" s="124">
        <f t="shared" si="2"/>
        <v>9491938678.8074646</v>
      </c>
      <c r="D24" s="139">
        <f>IF($C$17&lt;B24,0,DCF!$C$16)</f>
        <v>4.6574870890079501E-2</v>
      </c>
      <c r="E24" s="125">
        <f t="shared" si="0"/>
        <v>0.73502985279645328</v>
      </c>
      <c r="F24" s="126">
        <f t="shared" si="1"/>
        <v>6976858289.836812</v>
      </c>
      <c r="H24" s="121"/>
    </row>
    <row r="25" spans="2:8">
      <c r="B25" s="123">
        <v>5</v>
      </c>
      <c r="C25" s="124">
        <f t="shared" si="2"/>
        <v>9934024497.269474</v>
      </c>
      <c r="D25" s="139">
        <f>IF($C$17&lt;B25,0,DCF!$C$16)</f>
        <v>4.6574870890079501E-2</v>
      </c>
      <c r="E25" s="125">
        <f t="shared" si="0"/>
        <v>0.68058319703375303</v>
      </c>
      <c r="F25" s="126">
        <f t="shared" si="1"/>
        <v>6760930151.7632799</v>
      </c>
      <c r="H25" s="121"/>
    </row>
    <row r="26" spans="2:8">
      <c r="B26" s="123">
        <v>6</v>
      </c>
      <c r="C26" s="124">
        <f t="shared" si="2"/>
        <v>10396700405.648687</v>
      </c>
      <c r="D26" s="139">
        <f>IF($C$17&lt;B26,0,DCF!$C$16)</f>
        <v>4.6574870890079501E-2</v>
      </c>
      <c r="E26" s="125">
        <f t="shared" si="0"/>
        <v>0.63016962688310452</v>
      </c>
      <c r="F26" s="126">
        <f t="shared" si="1"/>
        <v>6551684815.4430552</v>
      </c>
      <c r="H26" s="121"/>
    </row>
    <row r="27" spans="2:8">
      <c r="B27" s="123">
        <v>7</v>
      </c>
      <c r="C27" s="124">
        <f t="shared" si="2"/>
        <v>10880925384.724613</v>
      </c>
      <c r="D27" s="139">
        <f>IF($C$17&lt;B27,0,DCF!$C$16)</f>
        <v>4.6574870890079501E-2</v>
      </c>
      <c r="E27" s="125">
        <f t="shared" si="0"/>
        <v>0.58349039526213387</v>
      </c>
      <c r="F27" s="126">
        <f t="shared" si="1"/>
        <v>6348915453.5507507</v>
      </c>
      <c r="H27" s="121"/>
    </row>
    <row r="28" spans="2:8">
      <c r="B28" s="123">
        <v>8</v>
      </c>
      <c r="C28" s="124">
        <f t="shared" si="2"/>
        <v>11387703079.682753</v>
      </c>
      <c r="D28" s="139">
        <f>IF($C$17&lt;B28,0,DCF!$C$16)</f>
        <v>4.6574870890079501E-2</v>
      </c>
      <c r="E28" s="125">
        <f t="shared" si="0"/>
        <v>0.54026888450197574</v>
      </c>
      <c r="F28" s="126">
        <f t="shared" si="1"/>
        <v>6152421639.8999147</v>
      </c>
      <c r="H28" s="121"/>
    </row>
    <row r="29" spans="2:8">
      <c r="B29" s="123">
        <v>9</v>
      </c>
      <c r="C29" s="124">
        <f t="shared" si="2"/>
        <v>11918083880.353537</v>
      </c>
      <c r="D29" s="139">
        <f>IF($C$17&lt;B29,0,DCF!$C$16)</f>
        <v>4.6574870890079501E-2</v>
      </c>
      <c r="E29" s="125">
        <f t="shared" si="0"/>
        <v>0.50024896713145905</v>
      </c>
      <c r="F29" s="126">
        <f t="shared" si="1"/>
        <v>5962009151.3329487</v>
      </c>
      <c r="H29" s="121"/>
    </row>
    <row r="30" spans="2:8">
      <c r="B30" s="123">
        <v>10</v>
      </c>
      <c r="C30" s="124">
        <f t="shared" si="2"/>
        <v>12473167098.33814</v>
      </c>
      <c r="D30" s="139">
        <f>IF($C$17&lt;B30,0,DCF!$C$16)</f>
        <v>4.6574870890079501E-2</v>
      </c>
      <c r="E30" s="125">
        <f t="shared" si="0"/>
        <v>0.46319348808468425</v>
      </c>
      <c r="F30" s="126">
        <f t="shared" si="1"/>
        <v>5777489775.742363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7002973236</v>
      </c>
      <c r="D4" t="str">
        <f>Market_currency</f>
        <v>CNY</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87537165450</v>
      </c>
      <c r="D6" t="str">
        <f>Reporting_currency</f>
        <v>CNY</v>
      </c>
      <c r="E6" s="358"/>
      <c r="F6" s="358"/>
      <c r="H6" s="121"/>
    </row>
    <row r="7" spans="2:8" ht="13.15">
      <c r="B7" s="150" t="s">
        <v>446</v>
      </c>
      <c r="C7" s="112">
        <f>(C6*scaling_factor)/Common_Shares*Exchange_Rate</f>
        <v>58.087499999999999</v>
      </c>
      <c r="D7" t="str">
        <f>Market_currency</f>
        <v>CNY</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4.6574870890079501E-2</v>
      </c>
      <c r="H11" s="121"/>
    </row>
    <row r="12" spans="2:8" ht="13.35" customHeight="1">
      <c r="B12" s="119" t="s">
        <v>135</v>
      </c>
      <c r="C12" s="163">
        <f>Scenarios!C64</f>
        <v>10</v>
      </c>
      <c r="H12" s="121"/>
    </row>
    <row r="13" spans="2:8" ht="13.35" customHeight="1">
      <c r="B13" s="154" t="s">
        <v>107</v>
      </c>
      <c r="C13" s="141">
        <f>F47/Common_Shares*scaling_factor</f>
        <v>67.40962183549351</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7329135810.3133821</v>
      </c>
      <c r="D16" s="139">
        <f>IF($C$12&lt;B16,0,DDM!$C$11)</f>
        <v>4.6574870890079501E-2</v>
      </c>
      <c r="E16" s="125">
        <f t="shared" ref="E16:E45" si="0">IF($C$12&lt;B16,0,1/(1+Equity_Cost)^B16)</f>
        <v>0.92592592592592582</v>
      </c>
      <c r="F16" s="126">
        <f t="shared" ref="F16:F46" si="1">C16*E16</f>
        <v>6786236861.4012794</v>
      </c>
      <c r="H16" s="121"/>
    </row>
    <row r="17" spans="2:8">
      <c r="B17" s="123">
        <v>2</v>
      </c>
      <c r="C17" s="124">
        <f t="shared" ref="C17:C45" si="2">IF(ROW()-ROW($C$16)&lt;$C$12, $C$16*(1+D17)^(ROW()-ROW($C$16)), 0)</f>
        <v>7670489364.4145861</v>
      </c>
      <c r="D17" s="139">
        <f>IF($C$12&lt;B17,0,DDM!$C$11)</f>
        <v>4.6574870890079501E-2</v>
      </c>
      <c r="E17" s="125">
        <f t="shared" si="0"/>
        <v>0.85733882030178321</v>
      </c>
      <c r="F17" s="126">
        <f t="shared" si="1"/>
        <v>6576208302.8245764</v>
      </c>
      <c r="H17" s="121"/>
    </row>
    <row r="18" spans="2:8">
      <c r="B18" s="123">
        <v>3</v>
      </c>
      <c r="C18" s="124">
        <f t="shared" si="2"/>
        <v>8027741416.2259245</v>
      </c>
      <c r="D18" s="139">
        <f>IF($C$12&lt;B18,0,DDM!$C$11)</f>
        <v>4.6574870890079501E-2</v>
      </c>
      <c r="E18" s="125">
        <f t="shared" si="0"/>
        <v>0.79383224102016958</v>
      </c>
      <c r="F18" s="126">
        <f t="shared" si="1"/>
        <v>6372679958.773056</v>
      </c>
      <c r="H18" s="121"/>
    </row>
    <row r="19" spans="2:8">
      <c r="B19" s="123">
        <v>4</v>
      </c>
      <c r="C19" s="124">
        <f t="shared" si="2"/>
        <v>8401632436.2255907</v>
      </c>
      <c r="D19" s="139">
        <f>IF($C$12&lt;B19,0,DDM!$C$11)</f>
        <v>4.6574870890079501E-2</v>
      </c>
      <c r="E19" s="125">
        <f t="shared" si="0"/>
        <v>0.73502985279645328</v>
      </c>
      <c r="F19" s="126">
        <f t="shared" si="1"/>
        <v>6175450652.8488035</v>
      </c>
      <c r="H19" s="121"/>
    </row>
    <row r="20" spans="2:8">
      <c r="B20" s="123">
        <v>5</v>
      </c>
      <c r="C20" s="124">
        <f t="shared" si="2"/>
        <v>8792937382.2087021</v>
      </c>
      <c r="D20" s="139">
        <f>IF($C$12&lt;B20,0,DDM!$C$11)</f>
        <v>4.6574870890079501E-2</v>
      </c>
      <c r="E20" s="125">
        <f t="shared" si="0"/>
        <v>0.68058319703375303</v>
      </c>
      <c r="F20" s="126">
        <f t="shared" si="1"/>
        <v>5984325434.9011974</v>
      </c>
      <c r="H20" s="121"/>
    </row>
    <row r="21" spans="2:8">
      <c r="B21" s="123">
        <v>6</v>
      </c>
      <c r="C21" s="124">
        <f t="shared" si="2"/>
        <v>9202467305.5296268</v>
      </c>
      <c r="D21" s="139">
        <f>IF($C$12&lt;B21,0,DDM!$C$11)</f>
        <v>4.6574870890079501E-2</v>
      </c>
      <c r="E21" s="125">
        <f t="shared" si="0"/>
        <v>0.63016962688310452</v>
      </c>
      <c r="F21" s="126">
        <f t="shared" si="1"/>
        <v>5799115388.3295727</v>
      </c>
      <c r="H21" s="121"/>
    </row>
    <row r="22" spans="2:8">
      <c r="B22" s="123">
        <v>7</v>
      </c>
      <c r="C22" s="124">
        <f t="shared" si="2"/>
        <v>9631071032.1548481</v>
      </c>
      <c r="D22" s="139">
        <f>IF($C$12&lt;B22,0,DDM!$C$11)</f>
        <v>4.6574870890079501E-2</v>
      </c>
      <c r="E22" s="125">
        <f t="shared" si="0"/>
        <v>0.58349039526213387</v>
      </c>
      <c r="F22" s="126">
        <f t="shared" si="1"/>
        <v>5619637443.34972</v>
      </c>
      <c r="H22" s="121"/>
    </row>
    <row r="23" spans="2:8">
      <c r="B23" s="123">
        <v>8</v>
      </c>
      <c r="C23" s="124">
        <f t="shared" si="2"/>
        <v>10079636922.010645</v>
      </c>
      <c r="D23" s="139">
        <f>IF($C$12&lt;B23,0,DDM!$C$11)</f>
        <v>4.6574870890079501E-2</v>
      </c>
      <c r="E23" s="125">
        <f t="shared" si="0"/>
        <v>0.54026888450197574</v>
      </c>
      <c r="F23" s="126">
        <f t="shared" si="1"/>
        <v>5445714196.0396194</v>
      </c>
      <c r="H23" s="121"/>
    </row>
    <row r="24" spans="2:8">
      <c r="B24" s="123">
        <v>9</v>
      </c>
      <c r="C24" s="124">
        <f t="shared" si="2"/>
        <v>10549094710.272169</v>
      </c>
      <c r="D24" s="139">
        <f>IF($C$12&lt;B24,0,DDM!$C$11)</f>
        <v>4.6574870890079501E-2</v>
      </c>
      <c r="E24" s="125">
        <f t="shared" si="0"/>
        <v>0.50024896713145905</v>
      </c>
      <c r="F24" s="126">
        <f t="shared" si="1"/>
        <v>5277173732.9855909</v>
      </c>
      <c r="H24" s="121"/>
    </row>
    <row r="25" spans="2:8">
      <c r="B25" s="123">
        <v>10</v>
      </c>
      <c r="C25" s="124">
        <f t="shared" si="2"/>
        <v>11040417434.410316</v>
      </c>
      <c r="D25" s="139">
        <f>IF($C$12&lt;B25,0,DDM!$C$11)</f>
        <v>4.6574870890079501E-2</v>
      </c>
      <c r="E25" s="125">
        <f t="shared" si="0"/>
        <v>0.46319348808468425</v>
      </c>
      <c r="F25" s="126">
        <f t="shared" si="1"/>
        <v>5113849461.3554754</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91614197628.917282</v>
      </c>
      <c r="D46" s="140">
        <f>Terminal_Growth</f>
        <v>0</v>
      </c>
      <c r="E46" s="125">
        <f>1/(1+Equity_Cost)^C12</f>
        <v>0.46319348808468425</v>
      </c>
      <c r="F46" s="126">
        <f t="shared" si="1"/>
        <v>42435099757.817802</v>
      </c>
      <c r="H46" s="121"/>
    </row>
    <row r="47" spans="2:8">
      <c r="C47" s="115"/>
      <c r="E47" s="128" t="s">
        <v>101</v>
      </c>
      <c r="F47" s="138">
        <f>SUM(F16:F46)</f>
        <v>101585491190.62669</v>
      </c>
      <c r="H47" s="121"/>
    </row>
    <row r="48" spans="2:8">
      <c r="C48" s="115"/>
      <c r="H48" s="121"/>
    </row>
    <row r="49" spans="1:8" ht="13.15">
      <c r="B49" s="120" t="s">
        <v>130</v>
      </c>
      <c r="C49" s="137"/>
      <c r="D49" s="137"/>
      <c r="E49" s="118"/>
      <c r="F49" s="118"/>
      <c r="H49" s="121"/>
    </row>
    <row r="50" spans="1:8" ht="13.15">
      <c r="A50" s="134">
        <f>F47</f>
        <v>101585491190.62669</v>
      </c>
      <c r="B50" s="132">
        <f>C73</f>
        <v>0</v>
      </c>
      <c r="C50" s="132">
        <f>C72</f>
        <v>0.02</v>
      </c>
      <c r="D50" s="132">
        <f>C71</f>
        <v>0.04</v>
      </c>
      <c r="E50" s="132">
        <f>C70</f>
        <v>0.06</v>
      </c>
      <c r="F50" s="132">
        <f>C69</f>
        <v>0.1</v>
      </c>
      <c r="H50" s="121"/>
    </row>
    <row r="51" spans="1:8" ht="13.15">
      <c r="A51" s="144">
        <v>5</v>
      </c>
      <c r="B51" s="124">
        <f t="dataTable" ref="B51:F56" dt2D="1" dtr="1" r1="C11" r2="C12"/>
        <v>87537165449.999985</v>
      </c>
      <c r="C51" s="124">
        <v>90361572641.00206</v>
      </c>
      <c r="D51" s="124">
        <v>93270569594.852798</v>
      </c>
      <c r="E51" s="124">
        <v>96267868383.610886</v>
      </c>
      <c r="F51" s="124">
        <v>102542796262.25502</v>
      </c>
      <c r="H51" s="121"/>
    </row>
    <row r="52" spans="1:8" ht="13.15">
      <c r="A52" s="144">
        <v>10</v>
      </c>
      <c r="B52" s="124">
        <v>87537165449.999969</v>
      </c>
      <c r="C52" s="124">
        <v>93188580664.700378</v>
      </c>
      <c r="D52" s="124">
        <v>99406420701.830536</v>
      </c>
      <c r="E52" s="124">
        <v>106258474200.68056</v>
      </c>
      <c r="F52" s="124">
        <v>122175022447.76418</v>
      </c>
      <c r="H52" s="121"/>
    </row>
    <row r="53" spans="1:8" ht="13.15">
      <c r="A53" s="144">
        <v>15</v>
      </c>
      <c r="B53" s="124">
        <v>87537165449.999969</v>
      </c>
      <c r="C53" s="124">
        <v>96687786949.899811</v>
      </c>
      <c r="D53" s="124">
        <v>107405280738.59561</v>
      </c>
      <c r="E53" s="124">
        <v>120000937951.04907</v>
      </c>
      <c r="F53" s="124">
        <v>152391205953.56683</v>
      </c>
      <c r="H53" s="121"/>
    </row>
    <row r="54" spans="1:8" ht="13.15">
      <c r="A54" s="145">
        <v>20</v>
      </c>
      <c r="B54" s="124">
        <v>87537165449.999969</v>
      </c>
      <c r="C54" s="124">
        <v>100252916995.4017</v>
      </c>
      <c r="D54" s="124">
        <v>116014662205.92873</v>
      </c>
      <c r="E54" s="124">
        <v>135677353695.47769</v>
      </c>
      <c r="F54" s="124">
        <v>191430165980.25726</v>
      </c>
      <c r="H54" s="121"/>
    </row>
    <row r="55" spans="1:8" ht="13.15">
      <c r="A55" s="145">
        <v>25</v>
      </c>
      <c r="B55" s="124">
        <v>87537165449.999969</v>
      </c>
      <c r="C55" s="124">
        <v>103568685766.819</v>
      </c>
      <c r="D55" s="124">
        <v>124495195836.22354</v>
      </c>
      <c r="E55" s="124">
        <v>152105760755.81912</v>
      </c>
      <c r="F55" s="124">
        <v>238248885068.27466</v>
      </c>
      <c r="H55" s="121"/>
    </row>
    <row r="56" spans="1:8" ht="13.15">
      <c r="A56" s="145">
        <v>30</v>
      </c>
      <c r="B56" s="124">
        <v>87537165449.999969</v>
      </c>
      <c r="C56" s="124">
        <v>106493655073.76625</v>
      </c>
      <c r="D56" s="124">
        <v>132437290737.38911</v>
      </c>
      <c r="E56" s="124">
        <v>168532080087.19437</v>
      </c>
      <c r="F56" s="124">
        <v>292308067859.06183</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58.087499999999999</v>
      </c>
      <c r="C60" s="125">
        <f>C7</f>
        <v>58.087499999999999</v>
      </c>
      <c r="D60" s="125">
        <f>C7</f>
        <v>58.087499999999999</v>
      </c>
      <c r="E60" s="142">
        <f>C7</f>
        <v>58.087499999999999</v>
      </c>
      <c r="F60" s="125">
        <f>C7</f>
        <v>58.087499999999999</v>
      </c>
      <c r="H60" s="121"/>
    </row>
    <row r="61" spans="1:8" ht="13.15">
      <c r="A61" s="144">
        <f t="shared" ref="A61:A66" si="3">A51</f>
        <v>5</v>
      </c>
      <c r="B61" s="125">
        <f t="shared" ref="B61:F66" si="4">B51/Common_Shares*$C$3*Exchange_Rate</f>
        <v>58.087499999999991</v>
      </c>
      <c r="C61" s="125">
        <f t="shared" si="4"/>
        <v>59.961706822484359</v>
      </c>
      <c r="D61" s="125">
        <f t="shared" si="4"/>
        <v>61.892045321431091</v>
      </c>
      <c r="E61" s="125">
        <f t="shared" si="4"/>
        <v>63.880978736135184</v>
      </c>
      <c r="F61" s="125">
        <f t="shared" si="4"/>
        <v>68.044865826572618</v>
      </c>
      <c r="H61" s="121"/>
    </row>
    <row r="62" spans="1:8" ht="13.15">
      <c r="A62" s="144">
        <f t="shared" si="3"/>
        <v>10</v>
      </c>
      <c r="B62" s="125">
        <f t="shared" si="4"/>
        <v>58.087499999999977</v>
      </c>
      <c r="C62" s="125">
        <f t="shared" si="4"/>
        <v>61.837639493280889</v>
      </c>
      <c r="D62" s="125">
        <f t="shared" si="4"/>
        <v>65.963644502697122</v>
      </c>
      <c r="E62" s="125">
        <f t="shared" si="4"/>
        <v>70.510497894263622</v>
      </c>
      <c r="F62" s="125">
        <f t="shared" si="4"/>
        <v>81.072326022346672</v>
      </c>
      <c r="H62" s="121"/>
    </row>
    <row r="63" spans="1:8" ht="13.15">
      <c r="A63" s="144">
        <f t="shared" si="3"/>
        <v>15</v>
      </c>
      <c r="B63" s="125">
        <f t="shared" si="4"/>
        <v>58.087499999999977</v>
      </c>
      <c r="C63" s="125">
        <f t="shared" si="4"/>
        <v>64.159626320780134</v>
      </c>
      <c r="D63" s="125">
        <f t="shared" si="4"/>
        <v>71.271490375899219</v>
      </c>
      <c r="E63" s="125">
        <f t="shared" si="4"/>
        <v>79.62965727069431</v>
      </c>
      <c r="F63" s="125">
        <f t="shared" si="4"/>
        <v>101.12303877241679</v>
      </c>
      <c r="H63" s="121"/>
    </row>
    <row r="64" spans="1:8" ht="13.15">
      <c r="A64" s="145">
        <f t="shared" si="3"/>
        <v>20</v>
      </c>
      <c r="B64" s="125">
        <f t="shared" si="4"/>
        <v>58.087499999999977</v>
      </c>
      <c r="C64" s="125">
        <f t="shared" si="4"/>
        <v>66.52535852667819</v>
      </c>
      <c r="D64" s="125">
        <f t="shared" si="4"/>
        <v>76.984463184795587</v>
      </c>
      <c r="E64" s="125">
        <f t="shared" si="4"/>
        <v>90.03213940355046</v>
      </c>
      <c r="F64" s="125">
        <f t="shared" si="4"/>
        <v>127.02832801605405</v>
      </c>
      <c r="H64" s="121"/>
    </row>
    <row r="65" spans="1:8" ht="13.15">
      <c r="A65" s="145">
        <f t="shared" si="3"/>
        <v>25</v>
      </c>
      <c r="B65" s="125">
        <f t="shared" si="4"/>
        <v>58.087499999999977</v>
      </c>
      <c r="C65" s="125">
        <f t="shared" si="4"/>
        <v>68.725620752666245</v>
      </c>
      <c r="D65" s="125">
        <f t="shared" si="4"/>
        <v>82.611935752788696</v>
      </c>
      <c r="E65" s="125">
        <f t="shared" si="4"/>
        <v>100.9336243923768</v>
      </c>
      <c r="F65" s="125">
        <f t="shared" si="4"/>
        <v>158.09607313945079</v>
      </c>
    </row>
    <row r="66" spans="1:8" ht="13.15">
      <c r="A66" s="145">
        <f t="shared" si="3"/>
        <v>30</v>
      </c>
      <c r="B66" s="125">
        <f t="shared" si="4"/>
        <v>58.087499999999977</v>
      </c>
      <c r="C66" s="125">
        <f t="shared" si="4"/>
        <v>70.66655811046023</v>
      </c>
      <c r="D66" s="125">
        <f t="shared" si="4"/>
        <v>87.882113684640558</v>
      </c>
      <c r="E66" s="125">
        <f t="shared" si="4"/>
        <v>111.83372401584775</v>
      </c>
      <c r="F66" s="125">
        <f t="shared" si="4"/>
        <v>193.96841106834415</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101.12303877241679</v>
      </c>
      <c r="F69" s="143">
        <f>Scenarios!C58</f>
        <v>0.05</v>
      </c>
    </row>
    <row r="70" spans="1:8">
      <c r="B70" s="128" t="str">
        <f>Scenarios!B36</f>
        <v>Optimistic</v>
      </c>
      <c r="C70" s="143">
        <f>Scenarios!C38</f>
        <v>0.06</v>
      </c>
      <c r="D70" s="146">
        <f>Scenarios!C37</f>
        <v>10</v>
      </c>
      <c r="E70" s="136">
        <f>INDEX(B$60:F$66, MATCH(D70, A$60:A$66, 0), MATCH(C70, B$59:F$59, 0))</f>
        <v>70.510497894263622</v>
      </c>
      <c r="F70" s="143">
        <f>Scenarios!C40*(1-F$69-F$73)</f>
        <v>0.18</v>
      </c>
      <c r="H70" s="121"/>
    </row>
    <row r="71" spans="1:8">
      <c r="B71" s="128" t="str">
        <f>Scenarios!B24</f>
        <v>Base</v>
      </c>
      <c r="C71" s="143">
        <f>Scenarios!C26</f>
        <v>0.04</v>
      </c>
      <c r="D71" s="146">
        <f>Scenarios!C25</f>
        <v>10</v>
      </c>
      <c r="E71" s="136">
        <f>INDEX(B$60:F$66, MATCH(D71, A$60:A$66, 0), MATCH(C71, B$59:F$59, 0))</f>
        <v>65.963644502697122</v>
      </c>
      <c r="F71" s="143">
        <f>Scenarios!C28*(1-F$69-F$73)</f>
        <v>0.53999999999999992</v>
      </c>
      <c r="H71" s="121"/>
    </row>
    <row r="72" spans="1:8">
      <c r="B72" s="128" t="str">
        <f>Scenarios!B30</f>
        <v>Pessimistic</v>
      </c>
      <c r="C72" s="143">
        <f>Scenarios!C32</f>
        <v>0.02</v>
      </c>
      <c r="D72" s="146">
        <f>Scenarios!C31</f>
        <v>10</v>
      </c>
      <c r="E72" s="136">
        <f>INDEX(B$60:F$66, MATCH(D72, A$60:A$66, 0), MATCH(C72, B$59:F$59, 0))</f>
        <v>61.837639493280889</v>
      </c>
      <c r="F72" s="143">
        <f>Scenarios!C34*(1-F$69-F$73)</f>
        <v>0.18</v>
      </c>
      <c r="H72" s="121"/>
    </row>
    <row r="73" spans="1:8">
      <c r="B73" s="128" t="str">
        <f>Scenarios!B48</f>
        <v>Devil's advocate</v>
      </c>
      <c r="C73" s="143">
        <f>Scenarios!C50</f>
        <v>0</v>
      </c>
      <c r="D73" s="146">
        <f>Scenarios!C49</f>
        <v>15</v>
      </c>
      <c r="E73" s="136">
        <f>INDEX(B$60:F$66, MATCH(D73, A$60:A$66, 0), MATCH(C73, B$59:F$59, 0))</f>
        <v>58.087499999999977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-68.31</v>
      </c>
    </row>
    <row r="4" spans="2:9">
      <c r="B4" s="153" t="s">
        <v>147</v>
      </c>
      <c r="C4" s="121">
        <v>3</v>
      </c>
      <c r="D4" s="121"/>
      <c r="E4" s="156" t="s">
        <v>151</v>
      </c>
      <c r="F4" s="156"/>
      <c r="H4" s="273">
        <v>1</v>
      </c>
      <c r="I4" s="261">
        <f t="shared" ref="I4:I13" si="0">IF(ROW()-3 &lt; $C$76, $C$77, IF(ROW()-3 = $C$76, $C$77 + $C$60, ""))</f>
        <v>4.6470000000000002</v>
      </c>
    </row>
    <row r="5" spans="2:9">
      <c r="H5" s="273">
        <v>2</v>
      </c>
      <c r="I5" s="261">
        <f t="shared" si="0"/>
        <v>4.6470000000000002</v>
      </c>
    </row>
    <row r="6" spans="2:9" ht="13.15">
      <c r="B6" s="160" t="s">
        <v>96</v>
      </c>
      <c r="C6" s="107">
        <f>DCF!C3</f>
        <v>1</v>
      </c>
      <c r="E6" s="100" t="s">
        <v>280</v>
      </c>
      <c r="F6" s="100"/>
      <c r="H6" s="273">
        <v>3</v>
      </c>
      <c r="I6" s="261">
        <f t="shared" si="0"/>
        <v>94.964553631447529</v>
      </c>
    </row>
    <row r="7" spans="2:9" ht="12.75" customHeight="1">
      <c r="B7" s="100" t="s">
        <v>276</v>
      </c>
      <c r="C7" s="115">
        <f>Normalized_FCF!G8</f>
        <v>8753226430</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0"/>
      <c r="H7" s="273">
        <v>4</v>
      </c>
      <c r="I7" s="261" t="str">
        <f t="shared" si="0"/>
        <v/>
      </c>
    </row>
    <row r="8" spans="2:9">
      <c r="B8" s="100" t="s">
        <v>66</v>
      </c>
      <c r="C8" s="115">
        <f>Normalized_FCF!G19</f>
        <v>6396830132.3469982</v>
      </c>
      <c r="D8" t="str">
        <f>Reporting_currency</f>
        <v>CNY</v>
      </c>
      <c r="E8" s="360"/>
      <c r="F8" s="360"/>
      <c r="H8" s="273">
        <v>5</v>
      </c>
      <c r="I8" s="261" t="str">
        <f t="shared" si="0"/>
        <v/>
      </c>
    </row>
    <row r="9" spans="2:9">
      <c r="B9" s="100" t="s">
        <v>57</v>
      </c>
      <c r="C9" s="201">
        <f>Normalized_FCF!C19</f>
        <v>7911771079.0147505</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4.4367851108990219E-2</v>
      </c>
      <c r="D12" s="159"/>
      <c r="E12" s="360"/>
      <c r="F12" s="360"/>
      <c r="H12" s="273">
        <v>9</v>
      </c>
      <c r="I12" s="261" t="str">
        <f t="shared" si="0"/>
        <v/>
      </c>
    </row>
    <row r="13" spans="2:9">
      <c r="B13" s="149" t="s">
        <v>153</v>
      </c>
      <c r="C13" s="159">
        <f ca="1">(Normalized_FCF!G8/OFFSET(Normalized_FCF!G8, 0, $C$4))^(1/$C$4) - 1</f>
        <v>-2.0482342685147259E-2</v>
      </c>
      <c r="E13" s="360"/>
      <c r="F13" s="360"/>
      <c r="H13" s="273">
        <v>10</v>
      </c>
      <c r="I13" s="261" t="str">
        <f t="shared" si="0"/>
        <v/>
      </c>
    </row>
    <row r="14" spans="2:9">
      <c r="B14" s="100" t="s">
        <v>66</v>
      </c>
      <c r="C14" s="159">
        <f ca="1">(Normalized_FCF!G19/OFFSET(Normalized_FCF!G19, 0, $C$4))^(1/$C$4) - 1</f>
        <v>-2.7759904709511951E-2</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68.31</v>
      </c>
      <c r="D21" t="str">
        <f>Market_currency</f>
        <v>CNY</v>
      </c>
      <c r="E21" s="361"/>
      <c r="F21" s="361"/>
    </row>
    <row r="22" spans="2:6">
      <c r="B22" s="100" t="s">
        <v>279</v>
      </c>
      <c r="C22" s="161">
        <f>IF(valuation_method="DCF",DCF!C12,DDM!C7)</f>
        <v>79.792519589530784</v>
      </c>
      <c r="D22" t="str">
        <f>Market_currency</f>
        <v>CNY</v>
      </c>
      <c r="E22" s="361"/>
      <c r="F22" s="361"/>
    </row>
    <row r="24" spans="2:6" ht="13.15">
      <c r="B24" s="160" t="s">
        <v>116</v>
      </c>
      <c r="E24" s="160" t="s">
        <v>150</v>
      </c>
      <c r="F24" s="160"/>
    </row>
    <row r="25" spans="2:6">
      <c r="B25" s="153" t="s">
        <v>134</v>
      </c>
      <c r="C25" s="167">
        <f>C18</f>
        <v>10</v>
      </c>
      <c r="D25" s="164"/>
      <c r="E25" s="359"/>
      <c r="F25" s="359"/>
    </row>
    <row r="26" spans="2:6">
      <c r="B26" s="119" t="s">
        <v>135</v>
      </c>
      <c r="C26" s="165">
        <v>0.04</v>
      </c>
      <c r="D26" s="165"/>
      <c r="E26" s="359"/>
      <c r="F26" s="359"/>
    </row>
    <row r="27" spans="2:6">
      <c r="B27" s="100" t="s">
        <v>114</v>
      </c>
      <c r="C27" s="161">
        <f>IF(valuation_method="DCF",DCF!E76,DDM!E71)</f>
        <v>88.69077611437983</v>
      </c>
      <c r="D27" s="161" t="str">
        <f>Market_currency</f>
        <v>CNY</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0.02</v>
      </c>
      <c r="D32" s="165"/>
      <c r="E32" s="359"/>
      <c r="F32" s="359"/>
    </row>
    <row r="33" spans="2:6">
      <c r="B33" s="100" t="s">
        <v>114</v>
      </c>
      <c r="C33" s="161">
        <f>IF(valuation_method="DCF",DCF!E77,DDM!E72)</f>
        <v>84.029326469312352</v>
      </c>
      <c r="D33" t="str">
        <f>Market_currency</f>
        <v>CNY</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0.06</v>
      </c>
      <c r="D38" s="165"/>
      <c r="E38" s="359"/>
      <c r="F38" s="359"/>
    </row>
    <row r="39" spans="2:6">
      <c r="B39" s="100" t="s">
        <v>114</v>
      </c>
      <c r="C39" s="161">
        <f>IF(valuation_method="DCF",DCF!E75,DDM!E70)</f>
        <v>93.827688958625345</v>
      </c>
      <c r="D39" t="str">
        <f>Market_currency</f>
        <v>CNY</v>
      </c>
      <c r="E39" s="359"/>
      <c r="F39" s="359"/>
    </row>
    <row r="40" spans="2:6">
      <c r="B40" s="100" t="s">
        <v>148</v>
      </c>
      <c r="C40" s="168">
        <f>1-C28-C34</f>
        <v>0.2</v>
      </c>
      <c r="D40" s="166"/>
      <c r="E40" s="359"/>
      <c r="F40" s="359"/>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79.79251958953077</v>
      </c>
      <c r="D51" t="str">
        <f>Market_currency</f>
        <v>CNY</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0.1</v>
      </c>
      <c r="D56" s="165"/>
      <c r="E56" s="359"/>
      <c r="F56" s="359"/>
    </row>
    <row r="57" spans="2:6">
      <c r="B57" s="100" t="s">
        <v>114</v>
      </c>
      <c r="C57" s="161">
        <f>IF(valuation_method="DCF",DCF!E74,DDM!E69)</f>
        <v>128.41291546354199</v>
      </c>
      <c r="D57" t="str">
        <f>Market_currency</f>
        <v>CNY</v>
      </c>
      <c r="E57" s="359"/>
      <c r="F57" s="359"/>
    </row>
    <row r="58" spans="2:6">
      <c r="B58" s="100" t="s">
        <v>148</v>
      </c>
      <c r="C58" s="166">
        <v>0.05</v>
      </c>
      <c r="D58" s="166"/>
      <c r="E58" s="359"/>
      <c r="F58" s="359"/>
    </row>
    <row r="60" spans="2:6" ht="13.15">
      <c r="B60" s="100" t="s">
        <v>121</v>
      </c>
      <c r="C60" s="155">
        <f>C51*C52+C57*C58+C42*(1-C52-C58)</f>
        <v>90.317553631447524</v>
      </c>
      <c r="D60" t="str">
        <f>Market_currency</f>
        <v>CNY</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4.6574870890079501E-2</v>
      </c>
      <c r="D65" s="152"/>
      <c r="E65" s="277" t="s">
        <v>313</v>
      </c>
    </row>
    <row r="66" spans="2:6">
      <c r="B66" s="100" t="s">
        <v>103</v>
      </c>
      <c r="C66" s="161">
        <f>IF(valuation_method="DCF",DCF!C18,DDM!C13)</f>
        <v>90.324402469499802</v>
      </c>
      <c r="D66" s="161" t="str">
        <f>Market_currency</f>
        <v>CNY</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0.15685568984609902</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4.6470000000000002</v>
      </c>
      <c r="D77" t="str">
        <f>Market_currency</f>
        <v>CNY</v>
      </c>
    </row>
    <row r="79" spans="2:6" ht="13.15">
      <c r="B79" s="109" t="s">
        <v>302</v>
      </c>
    </row>
    <row r="80" spans="2:6">
      <c r="B80" s="149" t="s">
        <v>300</v>
      </c>
      <c r="C80" s="168">
        <f>Thesis!F29</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3">
        <f>(1-C83/C60)</f>
        <v>0.55381566548045336</v>
      </c>
    </row>
    <row r="84" spans="2:8">
      <c r="E84" s="121"/>
    </row>
    <row r="85" spans="2:8" ht="13.15">
      <c r="B85" s="109" t="s">
        <v>303</v>
      </c>
    </row>
    <row r="86" spans="2:8">
      <c r="B86" s="149" t="s">
        <v>301</v>
      </c>
      <c r="C86" s="263">
        <f>Market_Price</f>
        <v>68.31</v>
      </c>
      <c r="D86" t="str">
        <f>Market_currency</f>
        <v>CNY</v>
      </c>
    </row>
    <row r="87" spans="2:8" ht="13.15">
      <c r="B87" s="100" t="s">
        <v>299</v>
      </c>
      <c r="C87" s="262">
        <f ca="1">IRR(OFFSET($I$3, 0, 0, $C$76 + 1, 1))</f>
        <v>0.15993573478625023</v>
      </c>
    </row>
    <row r="88" spans="2:8">
      <c r="B88" s="100"/>
    </row>
    <row r="89" spans="2:8" ht="13.15">
      <c r="B89" s="109" t="s">
        <v>414</v>
      </c>
    </row>
    <row r="90" spans="2:8">
      <c r="B90" s="149" t="s">
        <v>415</v>
      </c>
      <c r="C90" s="168">
        <f>Thesis!F30</f>
        <v>0.21740000000000001</v>
      </c>
    </row>
    <row r="91" spans="2:8">
      <c r="B91" s="100" t="s">
        <v>122</v>
      </c>
      <c r="C91" s="117">
        <f>PV(C90, C76, -C77, 0)</f>
        <v>9.528212628500361</v>
      </c>
      <c r="D91" s="117"/>
      <c r="E91" s="100"/>
      <c r="F91" s="100"/>
    </row>
    <row r="92" spans="2:8">
      <c r="B92" s="100" t="s">
        <v>123</v>
      </c>
      <c r="C92" s="117">
        <f>C60/(1+C90)^C76</f>
        <v>50.057859313438691</v>
      </c>
      <c r="D92" s="117"/>
    </row>
    <row r="93" spans="2:8" ht="13.15">
      <c r="B93" s="111" t="s">
        <v>102</v>
      </c>
      <c r="C93" s="112">
        <f>C91+C92</f>
        <v>59.586071941939053</v>
      </c>
      <c r="D93" t="str">
        <f>Market_currency</f>
        <v>CNY</v>
      </c>
      <c r="E93" s="147" t="s">
        <v>127</v>
      </c>
      <c r="F93" s="323">
        <f>(1-C93/C60)</f>
        <v>0.34026034202512023</v>
      </c>
    </row>
    <row r="95" spans="2:8" ht="13.15">
      <c r="B95" s="109" t="s">
        <v>398</v>
      </c>
      <c r="G95" s="2"/>
      <c r="H95" s="310"/>
    </row>
    <row r="96" spans="2:8">
      <c r="B96" s="149" t="s">
        <v>404</v>
      </c>
      <c r="C96" s="135">
        <f>Thesis!F31</f>
        <v>0.08</v>
      </c>
      <c r="G96" s="2"/>
      <c r="H96" s="310"/>
    </row>
    <row r="97" spans="2:8">
      <c r="B97" s="100" t="s">
        <v>122</v>
      </c>
      <c r="C97" s="117">
        <f>PV(C96, C76, -C77, 0)</f>
        <v>11.9757696997409</v>
      </c>
      <c r="D97" s="117"/>
      <c r="G97" s="2"/>
      <c r="H97" s="310"/>
    </row>
    <row r="98" spans="2:8">
      <c r="B98" s="100" t="s">
        <v>123</v>
      </c>
      <c r="C98" s="117">
        <f>C60/(1+C96)^C76</f>
        <v>71.696986002711341</v>
      </c>
      <c r="D98" s="117"/>
      <c r="G98" s="2"/>
      <c r="H98" s="310"/>
    </row>
    <row r="99" spans="2:8" ht="13.15">
      <c r="B99" s="111" t="s">
        <v>399</v>
      </c>
      <c r="C99" s="112">
        <f>C97+C98</f>
        <v>83.672755702452235</v>
      </c>
      <c r="D99" t="s">
        <v>397</v>
      </c>
      <c r="E99" s="147" t="s">
        <v>127</v>
      </c>
      <c r="F99" s="323">
        <f>(1-C99/C60)</f>
        <v>7.3571500354297048E-2</v>
      </c>
    </row>
    <row r="100" spans="2:8">
      <c r="B100" s="100"/>
    </row>
    <row r="101" spans="2:8" ht="13.15">
      <c r="B101" s="109" t="s">
        <v>424</v>
      </c>
    </row>
    <row r="102" spans="2:8">
      <c r="B102" s="149" t="s">
        <v>423</v>
      </c>
      <c r="C102" s="135">
        <f>Thesis!F32</f>
        <v>0.1174</v>
      </c>
    </row>
    <row r="103" spans="2:8">
      <c r="B103" s="100" t="s">
        <v>122</v>
      </c>
      <c r="C103" s="117">
        <f>PV(C102, C76, -C77, 0)</f>
        <v>11.211366726236903</v>
      </c>
      <c r="D103" s="117"/>
    </row>
    <row r="104" spans="2:8">
      <c r="B104" s="100" t="s">
        <v>123</v>
      </c>
      <c r="C104" s="117">
        <f>C60/(1+C102)^C76</f>
        <v>64.736045237011837</v>
      </c>
      <c r="D104" s="117"/>
    </row>
    <row r="105" spans="2:8" ht="13.15">
      <c r="B105" s="111" t="s">
        <v>399</v>
      </c>
      <c r="C105" s="112">
        <f>C103+C104</f>
        <v>75.94741196324874</v>
      </c>
      <c r="D105" t="s">
        <v>397</v>
      </c>
      <c r="E105" s="147" t="s">
        <v>127</v>
      </c>
      <c r="F105" s="323">
        <f>(1-C105/C66)</f>
        <v>0.15917061295928081</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