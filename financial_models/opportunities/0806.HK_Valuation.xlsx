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EB364152-12EB-4016-9ECE-A58D74FD02DA}" xr6:coauthVersionLast="47" xr6:coauthVersionMax="47" xr10:uidLastSave="{00000000-0000-0000-0000-000000000000}"/>
  <bookViews>
    <workbookView xWindow="-98" yWindow="-98" windowWidth="17115" windowHeight="10755" activeTab="3"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53" i="2"/>
  <c r="C54" i="2"/>
  <c r="C34" i="2"/>
  <c r="C28" i="2"/>
  <c r="C29" i="2"/>
  <c r="C4" i="2"/>
  <c r="G19" i="3"/>
  <c r="C19" i="3"/>
  <c r="C4" i="3"/>
  <c r="C28" i="4" s="1"/>
  <c r="C6" i="4"/>
  <c r="D6" i="4"/>
  <c r="C10" i="4"/>
  <c r="D10" i="4"/>
  <c r="C29" i="4"/>
  <c r="C30" i="4"/>
  <c r="C32" i="4"/>
  <c r="C64" i="9"/>
  <c r="M69" i="4"/>
  <c r="M70" i="4"/>
  <c r="M71" i="4"/>
  <c r="M72" i="4"/>
  <c r="D64" i="4"/>
  <c r="E64" i="4"/>
  <c r="F64" i="4"/>
  <c r="G64" i="4"/>
  <c r="H64" i="4"/>
  <c r="I64" i="4"/>
  <c r="J64" i="4"/>
  <c r="K64" i="4"/>
  <c r="L64" i="4"/>
  <c r="M64" i="4"/>
  <c r="C64" i="4"/>
  <c r="D41" i="6"/>
  <c r="D40" i="6"/>
  <c r="F60" i="9"/>
  <c r="B10" i="6"/>
  <c r="B20" i="6"/>
  <c r="C40" i="3" l="1"/>
  <c r="C3" i="2" l="1"/>
  <c r="B91" i="2"/>
  <c r="B90" i="2"/>
  <c r="C9" i="6"/>
  <c r="C71" i="9"/>
  <c r="D66" i="9"/>
  <c r="D18" i="8"/>
  <c r="D22" i="9"/>
  <c r="D21" i="9"/>
  <c r="D9" i="9"/>
  <c r="D86" i="9"/>
  <c r="C86" i="9"/>
  <c r="C76" i="9"/>
  <c r="E87" i="3"/>
  <c r="E88" i="3"/>
  <c r="E89" i="3"/>
  <c r="E86" i="3"/>
  <c r="I3" i="9"/>
  <c r="C69" i="6" l="1"/>
  <c r="C68" i="6"/>
  <c r="C70" i="6" l="1"/>
  <c r="D96" i="6"/>
  <c r="D92" i="6"/>
  <c r="D87" i="6"/>
  <c r="D77" i="6"/>
  <c r="E7" i="9"/>
  <c r="D8" i="9"/>
  <c r="D7" i="9"/>
  <c r="C21" i="9"/>
  <c r="D56" i="6"/>
  <c r="B124" i="2"/>
  <c r="C122" i="6"/>
  <c r="C123" i="6"/>
  <c r="C80" i="9" s="1"/>
  <c r="D90" i="6"/>
  <c r="D100" i="6"/>
  <c r="D124" i="6"/>
  <c r="D113" i="6"/>
  <c r="F78" i="8"/>
  <c r="F74" i="8"/>
  <c r="F107" i="6" s="1"/>
  <c r="D95" i="6"/>
  <c r="D91" i="6"/>
  <c r="D86" i="6"/>
  <c r="F4" i="8"/>
  <c r="D57" i="6"/>
  <c r="D45" i="6"/>
  <c r="B83" i="2"/>
  <c r="D51" i="6"/>
  <c r="D48" i="6"/>
  <c r="D42" i="6"/>
  <c r="D37" i="6"/>
  <c r="D34" i="6"/>
  <c r="D33" i="6"/>
  <c r="D30" i="6"/>
  <c r="B127" i="6" l="1"/>
  <c r="B128" i="6"/>
  <c r="F76" i="8"/>
  <c r="F109" i="6" s="1"/>
  <c r="F77" i="8"/>
  <c r="F110" i="6" s="1"/>
  <c r="F111"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K58" i="4"/>
  <c r="O62"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K44" i="4"/>
  <c r="M44" i="4"/>
  <c r="B25" i="4"/>
  <c r="G39" i="3" l="1"/>
  <c r="H39" i="3"/>
  <c r="D24" i="3"/>
  <c r="G36" i="3"/>
  <c r="D12" i="3"/>
  <c r="G66" i="2"/>
  <c r="C58" i="2" s="1"/>
  <c r="D79" i="3"/>
  <c r="D82" i="3" s="1"/>
  <c r="H42" i="3" s="1"/>
  <c r="C9" i="8" s="1"/>
  <c r="C88" i="3" s="1"/>
  <c r="C79" i="3"/>
  <c r="C82" i="3" s="1"/>
  <c r="G42" i="3" s="1"/>
  <c r="B47" i="3"/>
  <c r="D83" i="9"/>
  <c r="D77" i="9"/>
  <c r="D60" i="9"/>
  <c r="D57" i="9"/>
  <c r="D51" i="9"/>
  <c r="D42" i="9"/>
  <c r="D39" i="9"/>
  <c r="D27" i="9"/>
  <c r="D33" i="9"/>
  <c r="D12" i="8"/>
  <c r="C11" i="8"/>
  <c r="D10" i="8"/>
  <c r="H1" i="3"/>
  <c r="B78" i="8"/>
  <c r="B111" i="6" s="1"/>
  <c r="B77" i="8"/>
  <c r="B110" i="6" s="1"/>
  <c r="B76" i="8"/>
  <c r="B109" i="6" s="1"/>
  <c r="B75" i="8"/>
  <c r="B108" i="6" s="1"/>
  <c r="B74" i="8"/>
  <c r="B107" i="6" s="1"/>
  <c r="C74" i="8"/>
  <c r="C55" i="9"/>
  <c r="D74" i="8" s="1"/>
  <c r="D107" i="6" s="1"/>
  <c r="C49" i="9"/>
  <c r="C40" i="9"/>
  <c r="F75" i="8" s="1"/>
  <c r="F108"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D88" i="3" l="1"/>
  <c r="F55" i="8"/>
  <c r="F64" i="8" s="1"/>
  <c r="C107" i="6"/>
  <c r="C95" i="6"/>
  <c r="G67" i="2"/>
  <c r="C59" i="2" s="1"/>
  <c r="C77" i="8" l="1"/>
  <c r="C31" i="9"/>
  <c r="D77" i="8" s="1"/>
  <c r="D110" i="6" s="1"/>
  <c r="D78" i="8"/>
  <c r="D111" i="6" s="1"/>
  <c r="C25" i="9"/>
  <c r="D76" i="8" s="1"/>
  <c r="D109" i="6" s="1"/>
  <c r="C76" i="8"/>
  <c r="C5" i="8"/>
  <c r="C78" i="8"/>
  <c r="D75" i="8"/>
  <c r="D108" i="6" s="1"/>
  <c r="C75" i="8"/>
  <c r="C17" i="8"/>
  <c r="C16" i="8"/>
  <c r="Q96" i="2"/>
  <c r="D51" i="8"/>
  <c r="D129" i="6"/>
  <c r="A71" i="8"/>
  <c r="A70" i="8"/>
  <c r="C61" i="2" l="1"/>
  <c r="C63" i="2" s="1"/>
  <c r="D55" i="8"/>
  <c r="C109" i="6"/>
  <c r="B55" i="8"/>
  <c r="B64" i="8" s="1"/>
  <c r="C111" i="6"/>
  <c r="C55" i="8"/>
  <c r="C110" i="6"/>
  <c r="E55" i="8"/>
  <c r="C108"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5" i="4" l="1"/>
  <c r="M90" i="2" s="1"/>
  <c r="J65" i="4"/>
  <c r="N90" i="2" s="1"/>
  <c r="K65" i="4"/>
  <c r="O90" i="2" s="1"/>
  <c r="L65" i="4"/>
  <c r="P90" i="2" s="1"/>
  <c r="M65" i="4"/>
  <c r="Q90" i="2" s="1"/>
  <c r="C28" i="6" l="1"/>
  <c r="C102" i="2"/>
  <c r="C103" i="2"/>
  <c r="K76" i="4"/>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D17" i="6"/>
  <c r="D11" i="8" s="1"/>
  <c r="D1" i="4"/>
  <c r="L76" i="4" l="1"/>
  <c r="C96" i="6"/>
  <c r="J76" i="4"/>
  <c r="I76" i="4"/>
  <c r="H76" i="4"/>
  <c r="F76" i="4"/>
  <c r="E76" i="4"/>
  <c r="G76" i="4"/>
  <c r="C46" i="4" l="1"/>
  <c r="G14" i="2" s="1"/>
  <c r="C47" i="4"/>
  <c r="C48" i="4"/>
  <c r="G15" i="2" s="1"/>
  <c r="C66" i="3"/>
  <c r="C24" i="3"/>
  <c r="G24" i="3"/>
  <c r="G12" i="3"/>
  <c r="C12" i="3"/>
  <c r="K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L45" i="4" l="1"/>
  <c r="C77" i="9"/>
  <c r="C124" i="6" s="1"/>
  <c r="C93" i="2"/>
  <c r="C59" i="6" s="1"/>
  <c r="C70" i="3"/>
  <c r="C69" i="2" s="1"/>
  <c r="C90"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G72" i="4" l="1"/>
  <c r="G69" i="4"/>
  <c r="G71" i="4"/>
  <c r="G70" i="4"/>
  <c r="I71" i="4"/>
  <c r="I70" i="4"/>
  <c r="I72" i="4"/>
  <c r="I69" i="4"/>
  <c r="F72" i="4"/>
  <c r="E72" i="4"/>
  <c r="D72" i="4"/>
  <c r="J70" i="4"/>
  <c r="J72" i="4"/>
  <c r="J71" i="4"/>
  <c r="J69" i="4"/>
  <c r="H71" i="4"/>
  <c r="H70" i="4"/>
  <c r="H72" i="4"/>
  <c r="H69" i="4"/>
  <c r="L69" i="4"/>
  <c r="L70" i="4"/>
  <c r="L72" i="4"/>
  <c r="L71" i="4"/>
  <c r="K70" i="4"/>
  <c r="K72" i="4"/>
  <c r="K71" i="4"/>
  <c r="K69" i="4"/>
  <c r="C72" i="4"/>
  <c r="C70" i="4"/>
  <c r="I4" i="9"/>
  <c r="I5" i="9"/>
  <c r="C81" i="9"/>
  <c r="C127" i="6" s="1"/>
  <c r="C9" i="2"/>
  <c r="C33" i="6" s="1"/>
  <c r="G41" i="3"/>
  <c r="G32" i="3"/>
  <c r="G27" i="3" s="1"/>
  <c r="L68" i="4"/>
  <c r="D68" i="4"/>
  <c r="K68" i="4"/>
  <c r="C68" i="4"/>
  <c r="J68" i="4"/>
  <c r="I68" i="4"/>
  <c r="E68" i="4"/>
  <c r="H68" i="4"/>
  <c r="G68" i="4"/>
  <c r="F68" i="4"/>
  <c r="J4" i="2"/>
  <c r="Q4" i="2"/>
  <c r="P4" i="2"/>
  <c r="I4" i="2"/>
  <c r="G4" i="2"/>
  <c r="H4" i="2"/>
  <c r="L4" i="2"/>
  <c r="K4" i="2"/>
  <c r="K38" i="4"/>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C10" i="6"/>
  <c r="B4" i="6"/>
  <c r="C31" i="4" l="1"/>
  <c r="C80" i="4" s="1"/>
  <c r="K126" i="2"/>
  <c r="E70" i="4"/>
  <c r="M126" i="2"/>
  <c r="M48" i="2"/>
  <c r="E69" i="4"/>
  <c r="F70" i="4"/>
  <c r="D70" i="4"/>
  <c r="F69" i="4"/>
  <c r="N126" i="2"/>
  <c r="N48" i="2"/>
  <c r="P126" i="2"/>
  <c r="P48" i="2"/>
  <c r="O126" i="2"/>
  <c r="O48" i="2"/>
  <c r="Q126" i="2"/>
  <c r="Q48" i="2"/>
  <c r="D69" i="4"/>
  <c r="L126" i="2"/>
  <c r="L48" i="2"/>
  <c r="C69" i="4"/>
  <c r="G113" i="2"/>
  <c r="G126" i="2"/>
  <c r="H113" i="2"/>
  <c r="H126" i="2"/>
  <c r="J113" i="2"/>
  <c r="J126" i="2"/>
  <c r="I113" i="2"/>
  <c r="I126" i="2"/>
  <c r="K113" i="2"/>
  <c r="M113" i="2"/>
  <c r="L114" i="2"/>
  <c r="L113" i="2"/>
  <c r="N114" i="2"/>
  <c r="N113" i="2"/>
  <c r="P113" i="2"/>
  <c r="O114" i="2"/>
  <c r="O113" i="2"/>
  <c r="Q113" i="2"/>
  <c r="Q114" i="2"/>
  <c r="Q19" i="2"/>
  <c r="Q50" i="2"/>
  <c r="Q12" i="2" s="1"/>
  <c r="O19" i="2"/>
  <c r="O50" i="2"/>
  <c r="O12" i="2" s="1"/>
  <c r="L19" i="2"/>
  <c r="L50" i="2"/>
  <c r="L12" i="2" s="1"/>
  <c r="L80" i="2" s="1"/>
  <c r="Q93" i="2"/>
  <c r="O93" i="2"/>
  <c r="K93" i="2"/>
  <c r="P93" i="2"/>
  <c r="J93" i="2"/>
  <c r="H93" i="2"/>
  <c r="I93" i="2"/>
  <c r="L43" i="2"/>
  <c r="L93" i="2"/>
  <c r="M93" i="2"/>
  <c r="N93" i="2"/>
  <c r="G93" i="2"/>
  <c r="O81" i="2"/>
  <c r="O117" i="2" s="1"/>
  <c r="O43" i="2"/>
  <c r="Q81" i="2"/>
  <c r="Q117" i="2" s="1"/>
  <c r="Q43" i="2"/>
  <c r="C12" i="9"/>
  <c r="H101" i="2"/>
  <c r="P101" i="2"/>
  <c r="P119" i="2" s="1"/>
  <c r="M101" i="2"/>
  <c r="N101" i="2"/>
  <c r="Q55" i="2"/>
  <c r="Q124" i="2"/>
  <c r="Q125" i="2"/>
  <c r="Q101" i="2"/>
  <c r="K101" i="2"/>
  <c r="I101" i="2"/>
  <c r="O55" i="2"/>
  <c r="O124" i="2"/>
  <c r="O125" i="2"/>
  <c r="O101" i="2"/>
  <c r="J101" i="2"/>
  <c r="L101" i="2"/>
  <c r="G110" i="2"/>
  <c r="N103" i="2"/>
  <c r="N109" i="2" s="1"/>
  <c r="N102" i="2"/>
  <c r="N108" i="2" s="1"/>
  <c r="O8" i="2"/>
  <c r="O103" i="2"/>
  <c r="O102" i="2"/>
  <c r="J102" i="2"/>
  <c r="J108" i="2" s="1"/>
  <c r="J103" i="2"/>
  <c r="J109" i="2" s="1"/>
  <c r="M103" i="2"/>
  <c r="M109" i="2" s="1"/>
  <c r="M102" i="2"/>
  <c r="M108" i="2" s="1"/>
  <c r="H102" i="2"/>
  <c r="H108" i="2" s="1"/>
  <c r="H103" i="2"/>
  <c r="H109" i="2" s="1"/>
  <c r="I102" i="2"/>
  <c r="I108" i="2" s="1"/>
  <c r="I103" i="2"/>
  <c r="I109" i="2" s="1"/>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3" i="2"/>
  <c r="O61" i="2"/>
  <c r="O11" i="2" s="1"/>
  <c r="L61" i="2"/>
  <c r="L11" i="2" s="1"/>
  <c r="F58" i="4"/>
  <c r="J62" i="2" s="1"/>
  <c r="D58" i="4"/>
  <c r="H62" i="2" s="1"/>
  <c r="G58" i="4"/>
  <c r="H44" i="4"/>
  <c r="H58" i="4" s="1"/>
  <c r="E44" i="4"/>
  <c r="C44" i="4"/>
  <c r="Q13" i="2"/>
  <c r="Q16" i="2"/>
  <c r="O13" i="2"/>
  <c r="O16" i="2"/>
  <c r="C105" i="2"/>
  <c r="G53" i="2"/>
  <c r="Q92" i="2"/>
  <c r="O92" i="2"/>
  <c r="M96" i="2"/>
  <c r="O96" i="2"/>
  <c r="P96" i="2"/>
  <c r="N96" i="2"/>
  <c r="L96" i="2"/>
  <c r="G96" i="2"/>
  <c r="I96" i="2"/>
  <c r="C101" i="2"/>
  <c r="D59" i="3"/>
  <c r="K96" i="2"/>
  <c r="H96" i="2"/>
  <c r="J96" i="2"/>
  <c r="O91" i="2"/>
  <c r="Q91" i="2"/>
  <c r="P91" i="2"/>
  <c r="Q119" i="2"/>
  <c r="Q120" i="2"/>
  <c r="O120" i="2"/>
  <c r="O119" i="2"/>
  <c r="O109" i="2"/>
  <c r="O108" i="2"/>
  <c r="Q108" i="2"/>
  <c r="Q109" i="2"/>
  <c r="P108" i="2"/>
  <c r="P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O80" i="2"/>
  <c r="K35" i="2"/>
  <c r="I35" i="2"/>
  <c r="I40" i="2" s="1"/>
  <c r="M82" i="2"/>
  <c r="M39" i="2"/>
  <c r="M35" i="2"/>
  <c r="M7" i="2" s="1"/>
  <c r="M75" i="2" s="1"/>
  <c r="M28" i="2"/>
  <c r="M29" i="2"/>
  <c r="M25" i="2"/>
  <c r="M5" i="2" s="1"/>
  <c r="M38" i="2"/>
  <c r="N28" i="2"/>
  <c r="N82" i="2"/>
  <c r="N35" i="2"/>
  <c r="N7" i="2" s="1"/>
  <c r="N75" i="2" s="1"/>
  <c r="N38" i="2"/>
  <c r="N39" i="2"/>
  <c r="N25" i="2"/>
  <c r="N5" i="2" s="1"/>
  <c r="N29" i="2"/>
  <c r="O87" i="2"/>
  <c r="O84" i="2"/>
  <c r="O38" i="2"/>
  <c r="O39" i="2"/>
  <c r="O30" i="2"/>
  <c r="O29" i="2"/>
  <c r="O25" i="2"/>
  <c r="O5" i="2" s="1"/>
  <c r="N97" i="2" s="1"/>
  <c r="O35" i="2"/>
  <c r="O7" i="2" s="1"/>
  <c r="O6" i="2"/>
  <c r="O82" i="2"/>
  <c r="O76" i="2"/>
  <c r="O73" i="2"/>
  <c r="O74" i="2"/>
  <c r="O40" i="2"/>
  <c r="O28" i="2"/>
  <c r="O75" i="2"/>
  <c r="G105" i="2" l="1"/>
  <c r="G101" i="2" s="1"/>
  <c r="C76" i="4"/>
  <c r="E58" i="4"/>
  <c r="E71" i="4"/>
  <c r="C58" i="4"/>
  <c r="C71" i="4"/>
  <c r="D71" i="4"/>
  <c r="P40" i="2"/>
  <c r="P30" i="2"/>
  <c r="P63" i="2"/>
  <c r="P6" i="2"/>
  <c r="P73" i="2"/>
  <c r="C23" i="2"/>
  <c r="C49" i="2"/>
  <c r="C24" i="2"/>
  <c r="C110" i="2"/>
  <c r="G30" i="2"/>
  <c r="C17" i="2"/>
  <c r="C51" i="6" s="1"/>
  <c r="M63" i="2"/>
  <c r="M11" i="2"/>
  <c r="N63" i="2"/>
  <c r="N11" i="2"/>
  <c r="G69" i="2"/>
  <c r="G11" i="2"/>
  <c r="N73" i="2"/>
  <c r="M6" i="2"/>
  <c r="M8" i="2"/>
  <c r="C96" i="2"/>
  <c r="J63" i="2"/>
  <c r="J79" i="2" s="1"/>
  <c r="H63" i="2"/>
  <c r="H79" i="2" s="1"/>
  <c r="N40" i="2"/>
  <c r="N119" i="2"/>
  <c r="M119" i="2"/>
  <c r="M74" i="2"/>
  <c r="M40" i="2"/>
  <c r="N6" i="2"/>
  <c r="N8" i="2" s="1"/>
  <c r="M30" i="2"/>
  <c r="M73" i="2"/>
  <c r="N30" i="2"/>
  <c r="K62" i="2"/>
  <c r="L62" i="2"/>
  <c r="G62" i="2"/>
  <c r="G63" i="2" s="1"/>
  <c r="I62" i="2"/>
  <c r="C119" i="2"/>
  <c r="C55" i="3"/>
  <c r="L119" i="2"/>
  <c r="J119" i="2"/>
  <c r="G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55" i="2" l="1"/>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L55" i="2" s="1"/>
  <c r="J6" i="2"/>
  <c r="J8" i="2" s="1"/>
  <c r="C75" i="2"/>
  <c r="C40" i="2"/>
  <c r="P120" i="2" l="1"/>
  <c r="P55" i="2"/>
  <c r="P76" i="2"/>
  <c r="C30" i="2"/>
  <c r="C5" i="2"/>
  <c r="C6" i="2" s="1"/>
  <c r="C8" i="2" s="1"/>
  <c r="C34" i="6"/>
  <c r="I55" i="2"/>
  <c r="H55" i="2"/>
  <c r="J55" i="2"/>
  <c r="G55" i="2"/>
  <c r="C7" i="9"/>
  <c r="K55" i="2"/>
  <c r="C13" i="9"/>
  <c r="G79" i="2"/>
  <c r="L74" i="2"/>
  <c r="I74" i="2"/>
  <c r="H74" i="2"/>
  <c r="G74" i="2"/>
  <c r="K74" i="2"/>
  <c r="J74" i="2"/>
  <c r="C104" i="2"/>
  <c r="D55" i="3" l="1"/>
  <c r="G29" i="3"/>
  <c r="D62" i="3" s="1"/>
  <c r="D51" i="3" l="1"/>
  <c r="C46" i="3"/>
  <c r="C47" i="3" s="1"/>
  <c r="C62" i="3"/>
  <c r="C15" i="2" l="1"/>
  <c r="G1" i="2"/>
  <c r="C45" i="6" l="1"/>
  <c r="N91" i="2"/>
  <c r="M91" i="2"/>
  <c r="C3" i="8"/>
  <c r="C91" i="2"/>
  <c r="D73" i="3" s="1"/>
  <c r="J91" i="2"/>
  <c r="I91" i="2"/>
  <c r="K91" i="2"/>
  <c r="L91" i="2"/>
  <c r="H91" i="2"/>
  <c r="G91" i="2"/>
  <c r="C73" i="3" s="1"/>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91" i="6" s="1"/>
  <c r="C92" i="6" s="1"/>
  <c r="C73" i="2"/>
  <c r="C41" i="3"/>
  <c r="G48" i="2" l="1"/>
  <c r="G50" i="2" s="1"/>
  <c r="G12" i="2" s="1"/>
  <c r="G43" i="2" s="1"/>
  <c r="I48" i="2"/>
  <c r="K48" i="2"/>
  <c r="H48" i="2"/>
  <c r="H50" i="2" s="1"/>
  <c r="H12" i="2" s="1"/>
  <c r="H80" i="2" s="1"/>
  <c r="J48" i="2"/>
  <c r="M50" i="2"/>
  <c r="M12" i="2" s="1"/>
  <c r="P50" i="2"/>
  <c r="P12" i="2" s="1"/>
  <c r="J50" i="2"/>
  <c r="J12" i="2" s="1"/>
  <c r="J80" i="2" s="1"/>
  <c r="N50" i="2"/>
  <c r="N12" i="2" s="1"/>
  <c r="C40" i="6"/>
  <c r="I50" i="2"/>
  <c r="I12" i="2" s="1"/>
  <c r="I80" i="2" s="1"/>
  <c r="K50" i="2"/>
  <c r="K12" i="2" s="1"/>
  <c r="K43" i="2" s="1"/>
  <c r="C87" i="3"/>
  <c r="D87" i="3" s="1"/>
  <c r="C31" i="3"/>
  <c r="K80" i="2" l="1"/>
  <c r="P80" i="2"/>
  <c r="P13" i="2"/>
  <c r="P43" i="2"/>
  <c r="M80" i="2"/>
  <c r="M43" i="2"/>
  <c r="J43" i="2"/>
  <c r="H43" i="2"/>
  <c r="I43" i="2"/>
  <c r="N80" i="2"/>
  <c r="N43" i="2"/>
  <c r="G80" i="2"/>
  <c r="C30" i="6"/>
  <c r="C74" i="2"/>
  <c r="C32" i="3"/>
  <c r="G31" i="3"/>
  <c r="C7" i="8" s="1"/>
  <c r="C86" i="3" s="1"/>
  <c r="B1" i="2"/>
  <c r="P81" i="2" l="1"/>
  <c r="P117" i="2" s="1"/>
  <c r="P16" i="2"/>
  <c r="O97" i="2"/>
  <c r="C89" i="3"/>
  <c r="D86" i="3"/>
  <c r="D89" i="3" s="1"/>
  <c r="C86" i="6"/>
  <c r="C87"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4" i="2"/>
  <c r="P84" i="2" l="1"/>
  <c r="P19" i="2"/>
  <c r="P124" i="2"/>
  <c r="P125" i="2" s="1"/>
  <c r="C47" i="2"/>
  <c r="P114" i="2" l="1"/>
  <c r="P87" i="2"/>
  <c r="P92" i="2"/>
  <c r="C55" i="2"/>
  <c r="C41" i="6"/>
  <c r="E78" i="8"/>
  <c r="E111" i="6" s="1"/>
  <c r="C50" i="2"/>
  <c r="C12" i="2" s="1"/>
  <c r="I1" i="2"/>
  <c r="C13" i="2" l="1"/>
  <c r="C14" i="2"/>
  <c r="C48" i="6" s="1"/>
  <c r="C42" i="6"/>
  <c r="C51" i="9"/>
  <c r="C80" i="2"/>
  <c r="J1" i="2"/>
  <c r="K1" i="2" s="1"/>
  <c r="L1" i="2" s="1"/>
  <c r="M1" i="2" s="1"/>
  <c r="N1" i="2" s="1"/>
  <c r="O1" i="2" s="1"/>
  <c r="P1" i="2" s="1"/>
  <c r="Q1" i="2" s="1"/>
  <c r="C16" i="2" l="1"/>
  <c r="C19" i="2" s="1"/>
  <c r="C4" i="8" s="1"/>
  <c r="G118"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7" i="6" s="1"/>
  <c r="E75" i="8"/>
  <c r="E108" i="6" s="1"/>
  <c r="E77" i="8"/>
  <c r="E110" i="6" s="1"/>
  <c r="E76" i="8"/>
  <c r="E109" i="6" s="1"/>
  <c r="C27" i="9" l="1"/>
  <c r="C57" i="9"/>
  <c r="C33" i="9"/>
  <c r="C39" i="9"/>
  <c r="C42" i="9" l="1"/>
  <c r="C60" i="9" s="1"/>
  <c r="F72" i="9" s="1"/>
  <c r="C72" i="9" s="1"/>
  <c r="I6" i="9" l="1"/>
  <c r="C82" i="9"/>
  <c r="C113" i="6"/>
  <c r="C87" i="9" l="1"/>
  <c r="C21" i="6" s="1"/>
  <c r="C83" i="9"/>
  <c r="F83" i="9" s="1"/>
  <c r="C128" i="6"/>
  <c r="H76" i="2"/>
  <c r="H120" i="2"/>
  <c r="H116" i="2" s="1"/>
  <c r="H13" i="2"/>
  <c r="C130" i="6" l="1"/>
  <c r="C129" i="6"/>
  <c r="C20" i="6" s="1"/>
  <c r="H16" i="2"/>
  <c r="H19" i="2" s="1"/>
  <c r="H114" i="2" s="1"/>
  <c r="H81" i="2"/>
  <c r="H117" i="2" s="1"/>
  <c r="H124" i="2" l="1"/>
  <c r="H125" i="2" s="1"/>
  <c r="H84" i="2"/>
  <c r="H92" i="2"/>
  <c r="G120" i="2"/>
  <c r="G116" i="2" s="1"/>
  <c r="G76" i="2"/>
  <c r="D54" i="3"/>
  <c r="D50" i="3"/>
  <c r="G13" i="2"/>
  <c r="G97" i="2" s="1"/>
  <c r="H87" i="2" l="1"/>
  <c r="G16" i="2"/>
  <c r="G19" i="2" s="1"/>
  <c r="G114" i="2" s="1"/>
  <c r="G81" i="2"/>
  <c r="G117" i="2" s="1"/>
  <c r="G124" i="2" l="1"/>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K114" i="2" s="1"/>
  <c r="N13" i="2"/>
  <c r="M13" i="2"/>
  <c r="I13" i="2"/>
  <c r="K76" i="2"/>
  <c r="G92" i="2" l="1"/>
  <c r="C8" i="9"/>
  <c r="C56" i="6"/>
  <c r="G87" i="2"/>
  <c r="K81" i="2"/>
  <c r="K117" i="2" s="1"/>
  <c r="K97" i="2"/>
  <c r="L97" i="2"/>
  <c r="M97" i="2"/>
  <c r="I97" i="2"/>
  <c r="H97" i="2"/>
  <c r="J97" i="2"/>
  <c r="I16" i="2"/>
  <c r="I19" i="2" s="1"/>
  <c r="I114" i="2" s="1"/>
  <c r="I81" i="2"/>
  <c r="I117" i="2" s="1"/>
  <c r="N16" i="2"/>
  <c r="N19" i="2" s="1"/>
  <c r="N81" i="2"/>
  <c r="N117" i="2" s="1"/>
  <c r="L16" i="2"/>
  <c r="L124" i="2" s="1"/>
  <c r="L125" i="2" s="1"/>
  <c r="L81" i="2"/>
  <c r="L117" i="2" s="1"/>
  <c r="J16" i="2"/>
  <c r="J19" i="2" s="1"/>
  <c r="J114" i="2" s="1"/>
  <c r="J81" i="2"/>
  <c r="J117" i="2" s="1"/>
  <c r="M16" i="2"/>
  <c r="M81" i="2"/>
  <c r="M117" i="2" s="1"/>
  <c r="K124" i="2"/>
  <c r="K125" i="2" s="1"/>
  <c r="K84" i="2"/>
  <c r="N84" i="2"/>
  <c r="M124" i="2" l="1"/>
  <c r="M125" i="2" s="1"/>
  <c r="M19" i="2"/>
  <c r="M114" i="2" s="1"/>
  <c r="I124" i="2"/>
  <c r="I125" i="2" s="1"/>
  <c r="J84" i="2"/>
  <c r="J92" i="2"/>
  <c r="K92" i="2"/>
  <c r="N124" i="2"/>
  <c r="N125" i="2" s="1"/>
  <c r="M84" i="2"/>
  <c r="I87" i="2"/>
  <c r="I84" i="2"/>
  <c r="J124" i="2"/>
  <c r="J125" i="2" s="1"/>
  <c r="L87" i="2"/>
  <c r="K87" i="2"/>
  <c r="L84" i="2"/>
  <c r="N87" i="2"/>
  <c r="N92" i="2"/>
  <c r="C76" i="2"/>
  <c r="C50" i="3"/>
  <c r="C54" i="3"/>
  <c r="C120" i="2"/>
  <c r="M92" i="2" l="1"/>
  <c r="I92" i="2"/>
  <c r="C14" i="9"/>
  <c r="M87" i="2"/>
  <c r="C81" i="2"/>
  <c r="C117" i="2" s="1"/>
  <c r="C97" i="2"/>
  <c r="J87" i="2"/>
  <c r="L92" i="2"/>
  <c r="C82" i="2"/>
  <c r="C124" i="2" l="1"/>
  <c r="C84" i="2" l="1"/>
  <c r="C9" i="9"/>
  <c r="C57" i="6" l="1"/>
  <c r="C125" i="2"/>
  <c r="C58" i="6" s="1"/>
  <c r="C92" i="2"/>
  <c r="C87" i="2"/>
  <c r="C6" i="8" l="1"/>
  <c r="C7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0" i="6" l="1"/>
  <c r="C22" i="9"/>
  <c r="C69" i="9" s="1"/>
  <c r="E65" i="8"/>
  <c r="F65" i="8"/>
  <c r="C65" i="8"/>
  <c r="B65" i="8"/>
  <c r="D65" i="8"/>
  <c r="F52" i="8"/>
  <c r="C70" i="9" l="1"/>
  <c r="C15" i="6" s="1"/>
  <c r="C18" i="8"/>
  <c r="C66" i="9" s="1"/>
  <c r="A55" i="8"/>
</calcChain>
</file>

<file path=xl/sharedStrings.xml><?xml version="1.0" encoding="utf-8"?>
<sst xmlns="http://schemas.openxmlformats.org/spreadsheetml/2006/main" count="589" uniqueCount="415">
  <si>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</si>
  <si>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</si>
  <si>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</si>
  <si>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</si>
  <si>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</si>
  <si>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</si>
  <si>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</si>
  <si>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</si>
  <si>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</si>
  <si>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</si>
  <si>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</si>
  <si>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</si>
  <si>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</si>
  <si>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</si>
  <si>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</si>
  <si>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</si>
  <si>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</si>
  <si>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</si>
  <si>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</si>
  <si>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</si>
  <si>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</si>
  <si>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</si>
  <si>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</si>
  <si>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</si>
  <si>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</si>
  <si>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</si>
  <si>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</si>
  <si>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</si>
  <si>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</si>
  <si>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</si>
  <si>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</si>
  <si>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</si>
  <si>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</si>
  <si>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</si>
  <si>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</si>
  <si>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</si>
  <si>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</si>
  <si>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</si>
  <si>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</si>
  <si>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</si>
  <si>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</si>
  <si>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</si>
  <si>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</si>
  <si>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</si>
  <si>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</si>
  <si>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</si>
  <si>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</si>
  <si>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</si>
  <si>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</si>
  <si>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</si>
  <si>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</si>
  <si>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</si>
  <si>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</si>
  <si>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</si>
  <si>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</si>
  <si>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</si>
  <si>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</si>
  <si>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</si>
  <si>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</si>
  <si>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</si>
  <si>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</si>
  <si>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</si>
  <si>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</si>
  <si>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</si>
  <si>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</si>
  <si>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</si>
  <si>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</si>
  <si>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</si>
  <si>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</si>
  <si>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</si>
  <si>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</si>
  <si>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</si>
  <si>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</si>
  <si>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</si>
  <si>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</si>
  <si>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</si>
  <si>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</si>
  <si>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</si>
  <si>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</si>
  <si>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</si>
  <si>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</si>
  <si>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</si>
  <si>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</si>
  <si>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</si>
  <si>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</si>
  <si>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</si>
  <si>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</si>
  <si>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</si>
  <si>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</si>
  <si>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</si>
  <si>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</si>
  <si>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</si>
  <si>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</si>
  <si>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</si>
  <si>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</si>
  <si>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</si>
  <si>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</si>
  <si>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</si>
  <si>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</si>
  <si>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</si>
  <si>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</si>
  <si>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</si>
  <si>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</si>
  <si>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</si>
  <si>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</si>
  <si>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</si>
  <si>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</si>
  <si>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</si>
  <si>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</si>
  <si>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</si>
  <si>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</si>
  <si>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</si>
  <si>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</si>
  <si>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</si>
  <si>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</si>
  <si>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</si>
  <si>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</si>
  <si>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</si>
  <si>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</si>
  <si>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</si>
  <si>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</si>
  <si>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</si>
  <si>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</si>
  <si>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</si>
  <si>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</si>
  <si>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</si>
  <si>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</si>
  <si>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</si>
  <si>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</si>
  <si>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</si>
  <si>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</si>
  <si>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</si>
  <si>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</si>
  <si>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</si>
  <si>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</si>
  <si>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</si>
  <si>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</si>
  <si>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</si>
  <si>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</si>
  <si>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</si>
  <si>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</si>
  <si>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</si>
  <si>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</si>
  <si>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</si>
  <si>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</si>
  <si>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</si>
  <si>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</si>
  <si>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</si>
  <si>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</si>
  <si>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</si>
  <si>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</si>
  <si>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</si>
  <si>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</si>
  <si>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</si>
  <si>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</si>
  <si>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</si>
  <si>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</si>
  <si>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</si>
  <si>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</si>
  <si>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</si>
  <si>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</si>
  <si>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</si>
  <si>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</si>
  <si>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</si>
  <si>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</si>
  <si>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</si>
  <si>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</si>
  <si>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</si>
  <si>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</si>
  <si>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</si>
  <si>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</si>
  <si>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</si>
  <si>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</si>
  <si>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</si>
  <si>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</si>
  <si>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</si>
  <si>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</si>
  <si>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</si>
  <si>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</si>
  <si>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</si>
  <si>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</si>
  <si>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</si>
  <si>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</si>
  <si>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</si>
  <si>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</si>
  <si>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</si>
  <si>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</si>
  <si>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</si>
  <si>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</si>
  <si>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</si>
  <si>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</si>
  <si>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</si>
  <si>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</si>
  <si>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</si>
  <si>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</si>
  <si>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</si>
  <si>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</si>
  <si>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</si>
  <si>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</si>
  <si>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</si>
  <si>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</si>
  <si>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</si>
  <si>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</si>
  <si>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</si>
  <si>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</si>
  <si>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</si>
  <si>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</si>
  <si>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</si>
  <si>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</si>
  <si>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</si>
  <si>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</si>
  <si>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</si>
  <si>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</si>
  <si>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</si>
  <si>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</si>
  <si>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</si>
  <si>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</si>
  <si>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</si>
  <si>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</si>
  <si>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</si>
  <si>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</si>
  <si>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</si>
  <si>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</si>
  <si>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</si>
  <si>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</si>
  <si>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</si>
  <si>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</si>
  <si>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</si>
  <si>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</si>
  <si>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</si>
  <si>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</si>
  <si>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</si>
  <si>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</si>
  <si>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</si>
  <si>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</si>
  <si>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</si>
  <si>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</si>
  <si>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</si>
  <si>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</si>
  <si>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</si>
  <si>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</si>
  <si>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</si>
  <si>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</si>
  <si>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</si>
  <si>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</si>
  <si>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</si>
  <si>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</si>
  <si>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</si>
  <si>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</si>
  <si>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</si>
  <si>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</si>
  <si>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</si>
  <si>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</si>
  <si>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</si>
  <si>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</si>
  <si>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</si>
  <si>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</si>
  <si>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</si>
  <si>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</si>
  <si>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</si>
  <si>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</si>
  <si>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</si>
  <si>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</si>
  <si>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</si>
  <si>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</si>
  <si>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</si>
  <si>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</si>
  <si>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</si>
  <si>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</si>
  <si>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</si>
  <si>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</si>
  <si>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</si>
  <si>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</si>
  <si>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</si>
  <si>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</si>
  <si>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</si>
  <si>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</si>
  <si>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</si>
  <si>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</si>
  <si>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</si>
  <si>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</si>
  <si>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</si>
  <si>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</si>
  <si>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</si>
  <si>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</si>
  <si>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</si>
  <si>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</si>
  <si>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</si>
  <si>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</si>
  <si>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</si>
  <si>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</si>
  <si>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</si>
  <si>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</si>
  <si>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</si>
  <si>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</si>
  <si>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</si>
  <si>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</si>
  <si>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</si>
  <si>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</si>
  <si>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</si>
  <si>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</si>
  <si>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</si>
  <si>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</si>
  <si>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</si>
  <si>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</si>
  <si>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</si>
  <si>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</si>
  <si>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</si>
  <si>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</si>
  <si>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</si>
  <si>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</si>
  <si>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</si>
  <si>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</si>
  <si>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</si>
  <si>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</si>
  <si>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</si>
  <si>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</si>
  <si>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</si>
  <si>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</si>
  <si>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</si>
  <si>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</si>
  <si>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</si>
  <si>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</si>
  <si>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</si>
  <si>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</si>
  <si>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</si>
  <si>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</si>
  <si>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</si>
  <si>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</si>
  <si>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</si>
  <si>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</si>
  <si>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</si>
  <si>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</si>
  <si>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</si>
  <si>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</si>
  <si>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</si>
  <si>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</si>
  <si>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</si>
  <si>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</si>
  <si>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</si>
  <si>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</si>
  <si>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</si>
  <si>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</si>
  <si>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</si>
  <si>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</si>
  <si>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</si>
  <si>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</si>
  <si>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</si>
  <si>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</si>
  <si>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</si>
  <si>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</si>
  <si>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</si>
  <si>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</si>
  <si>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</si>
  <si>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</si>
  <si>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</si>
  <si>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</si>
  <si>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</si>
  <si>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</si>
  <si>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</si>
  <si>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</si>
  <si>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</si>
  <si>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</si>
  <si>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</si>
  <si>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</si>
  <si>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</si>
  <si>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</si>
  <si>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</si>
  <si>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</si>
  <si>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</si>
  <si>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</si>
  <si>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</si>
  <si>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t>Step 5: Determining the Investment Decision (Calculating Target Buy Price)</t>
    <phoneticPr fontId="2" type="noConversion"/>
  </si>
  <si>
    <t>Implied Market Annual Return:</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</si>
  <si>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</si>
  <si>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</si>
  <si>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</si>
  <si>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</si>
  <si>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</si>
  <si>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</si>
  <si>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</si>
  <si>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</si>
  <si>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</si>
  <si>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</si>
  <si>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</si>
  <si>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</si>
  <si>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</si>
  <si>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</si>
  <si>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</si>
  <si>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</si>
  <si>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</si>
  <si>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</si>
  <si>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</si>
  <si>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</si>
  <si>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</si>
  <si>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</si>
  <si>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</si>
  <si>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</si>
  <si>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</si>
  <si>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</si>
  <si>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</si>
  <si>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</si>
  <si>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</si>
  <si>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</si>
  <si>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</si>
  <si>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</si>
  <si>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</si>
  <si>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</si>
  <si>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</si>
  <si>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</si>
  <si>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</si>
  <si>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惠理集團</t>
    <phoneticPr fontId="2" type="noConversion"/>
  </si>
  <si>
    <t>0806.HK</t>
    <phoneticPr fontId="2" type="noConversion"/>
  </si>
  <si>
    <t>FIN_02</t>
    <phoneticPr fontId="2" type="noConversion"/>
  </si>
  <si>
    <t>Latest Asset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</si>
</sst>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 numFmtId="193" formatCode="0\x"/>
  </numFmts>
  <fonts count="59"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4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89" fontId="3" fillId="0" borderId="0" xfId="0" applyNumberFormat="1" applyFont="1" applyAlignment="1">
      <alignment horizontal="right" wrapText="1"/>
    </xf>
    <xf numFmtId="0" fontId="12" fillId="0" borderId="1" xfId="0" applyFont="1" applyBorder="1" applyAlignment="1">
      <alignment horizontal="left" indent="1"/>
    </xf>
    <xf numFmtId="189" fontId="12" fillId="0" borderId="1" xfId="0" applyNumberFormat="1" applyFont="1" applyBorder="1"/>
    <xf numFmtId="0" fontId="12" fillId="0" borderId="1" xfId="0" applyFont="1" applyBorder="1"/>
    <xf numFmtId="0" fontId="49" fillId="0" borderId="1" xfId="0" applyFont="1" applyBorder="1"/>
    <xf numFmtId="193" fontId="46" fillId="0" borderId="0" xfId="0" applyNumberFormat="1" applyFont="1"/>
    <xf numFmtId="189" fontId="8" fillId="0" borderId="1" xfId="0" applyNumberFormat="1" applyFont="1" applyBorder="1"/>
    <xf numFmtId="10" fontId="0" fillId="0" borderId="0" xfId="0" applyNumberFormat="1" applyAlignment="1">
      <alignment horizontal="left"/>
    </xf>
    <xf numFmtId="187"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89" fontId="12" fillId="0" borderId="0" xfId="0" applyNumberFormat="1" applyFont="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52"/>
  <sheetViews>
    <sheetView showGridLines="0" zoomScaleNormal="100" workbookViewId="0">
      <selection activeCell="C18" sqref="C18"/>
    </sheetView>
  </sheetViews>
  <sheetFormatPr defaultColWidth="9" defaultRowHeight="11.65" x14ac:dyDescent="0.35"/>
  <cols>
    <col min="1" max="1" width="2.6640625" style="1" customWidth="1"/>
    <col min="2" max="2" width="32.59765625" style="1" customWidth="1"/>
    <col min="3" max="3" width="25.59765625" style="1" customWidth="1"/>
    <col min="4" max="4" width="22.86328125" style="1" customWidth="1"/>
    <col min="5" max="6" width="15.59765625" style="1" customWidth="1"/>
    <col min="7" max="16384" width="9" style="1"/>
  </cols>
  <sheetData>
    <row r="1" spans="1:10" x14ac:dyDescent="0.35">
      <c r="B1" s="3" t="s">
        <v>42</v>
      </c>
      <c r="C1" s="44">
        <v>45754</v>
      </c>
      <c r="D1" s="52"/>
      <c r="E1" s="331" t="s">
        <v>365</v>
      </c>
      <c r="F1" s="284" t="s">
        <v>332</v>
      </c>
    </row>
    <row r="2" spans="1:10" ht="13.9" x14ac:dyDescent="0.45">
      <c r="A2" s="247" t="s">
        <v>270</v>
      </c>
      <c r="B2" s="36"/>
      <c r="C2" s="36"/>
      <c r="D2" s="36"/>
      <c r="E2" s="36"/>
      <c r="F2" s="36"/>
      <c r="G2" s="22"/>
      <c r="H2" s="22"/>
      <c r="I2" s="22"/>
      <c r="J2" s="22"/>
    </row>
    <row r="4" spans="1:10" x14ac:dyDescent="0.35">
      <c r="B4" s="45" t="str">
        <f>D5&amp;" Stock Information"</f>
        <v>0806.HK Stock Information</v>
      </c>
      <c r="C4" s="46"/>
      <c r="D4" s="5"/>
      <c r="E4" s="2"/>
      <c r="F4" s="2"/>
    </row>
    <row r="5" spans="1:10" ht="12.4" x14ac:dyDescent="0.4">
      <c r="B5" s="4" t="s">
        <v>326</v>
      </c>
      <c r="C5" s="333" t="s">
        <v>411</v>
      </c>
      <c r="D5" s="49" t="s">
        <v>412</v>
      </c>
    </row>
    <row r="6" spans="1:10" x14ac:dyDescent="0.35">
      <c r="B6" s="4" t="s">
        <v>96</v>
      </c>
      <c r="C6" s="50">
        <v>1.35</v>
      </c>
      <c r="D6" s="48" t="s">
        <v>41</v>
      </c>
      <c r="E6" s="48"/>
    </row>
    <row r="7" spans="1:10" x14ac:dyDescent="0.35">
      <c r="B7" s="4" t="s">
        <v>0</v>
      </c>
      <c r="C7" s="51">
        <v>1826709831</v>
      </c>
      <c r="D7" s="34"/>
      <c r="E7" s="34"/>
    </row>
    <row r="8" spans="1:10" x14ac:dyDescent="0.35">
      <c r="B8" s="2" t="s">
        <v>317</v>
      </c>
      <c r="C8" s="279">
        <v>6</v>
      </c>
      <c r="D8" s="5"/>
      <c r="E8" s="48"/>
    </row>
    <row r="9" spans="1:10" x14ac:dyDescent="0.35">
      <c r="B9" s="1" t="s">
        <v>271</v>
      </c>
      <c r="C9" s="33">
        <f>EOMONTH(EDATE(BS!C1,C8+2),0)</f>
        <v>45900</v>
      </c>
      <c r="D9" s="5"/>
      <c r="E9" s="5"/>
    </row>
    <row r="10" spans="1:10" x14ac:dyDescent="0.35">
      <c r="B10" s="4" t="str">
        <f>"Capitalization ("&amp;Market_currency&amp;"):"</f>
        <v>Capitalization (HKD):</v>
      </c>
      <c r="C10" s="35">
        <f>Thesis!C6*Thesis!C7/1000000</f>
        <v>2466.0582718500004</v>
      </c>
      <c r="D10" s="32"/>
      <c r="E10" s="5"/>
    </row>
    <row r="11" spans="1:10" x14ac:dyDescent="0.35">
      <c r="D11" s="5"/>
      <c r="E11" s="5"/>
    </row>
    <row r="12" spans="1:10" ht="24.4" customHeight="1" x14ac:dyDescent="0.35">
      <c r="B12" s="336" t="s">
        <v>374</v>
      </c>
      <c r="C12" s="336"/>
      <c r="D12" s="336"/>
      <c r="E12" s="336"/>
      <c r="F12" s="336"/>
    </row>
    <row r="14" spans="1:10" x14ac:dyDescent="0.35">
      <c r="B14" s="45" t="s">
        <v>316</v>
      </c>
      <c r="C14" s="46"/>
      <c r="D14" s="5"/>
    </row>
    <row r="15" spans="1:10" x14ac:dyDescent="0.35">
      <c r="B15" s="2" t="s">
        <v>360</v>
      </c>
      <c r="C15" s="32" t="str">
        <f>IF(Scenarios!C69="Y",Scenarios!B69,"")&amp;IF(Scenarios!C70="Y",Scenarios!B70,"")&amp;IF(Scenarios!C71="Y",Scenarios!B71,"")&amp;" "&amp;IF(Scenarios!C72="Y",Scenarios!B72,"")</f>
        <v>Low Growth Asset Play</v>
      </c>
      <c r="E15" s="5"/>
    </row>
    <row r="16" spans="1:10" x14ac:dyDescent="0.35">
      <c r="B16" s="4" t="s">
        <v>359</v>
      </c>
      <c r="C16" s="48" t="s">
        <v>41</v>
      </c>
      <c r="D16" s="32"/>
      <c r="E16" s="5"/>
    </row>
    <row r="17" spans="1:6" x14ac:dyDescent="0.35">
      <c r="B17" s="4" t="s">
        <v>1</v>
      </c>
      <c r="C17" s="50">
        <v>1</v>
      </c>
      <c r="D17" s="32" t="str">
        <f>IF(C16=D6,D6,C16&amp;"/"&amp;D6)</f>
        <v>HKD</v>
      </c>
      <c r="E17" s="5"/>
    </row>
    <row r="18" spans="1:6" x14ac:dyDescent="0.35">
      <c r="B18" s="2" t="s">
        <v>57</v>
      </c>
      <c r="C18" s="48" t="s">
        <v>413</v>
      </c>
      <c r="E18" s="5"/>
    </row>
    <row r="19" spans="1:6" x14ac:dyDescent="0.35">
      <c r="B19" s="2" t="s">
        <v>280</v>
      </c>
      <c r="C19" s="249">
        <v>0.25</v>
      </c>
      <c r="E19" s="5"/>
    </row>
    <row r="20" spans="1:6" x14ac:dyDescent="0.35">
      <c r="B20" s="2" t="str">
        <f>"Target Buy Price ("&amp;Market_currency&amp;"):"</f>
        <v>Target Buy Price (HKD):</v>
      </c>
      <c r="C20" s="252">
        <f>C129</f>
        <v>0.28748108885958823</v>
      </c>
      <c r="D20" s="1" t="s">
        <v>318</v>
      </c>
      <c r="E20" s="330">
        <v>3</v>
      </c>
    </row>
    <row r="21" spans="1:6" x14ac:dyDescent="0.35">
      <c r="B21" s="1" t="s">
        <v>373</v>
      </c>
      <c r="C21" s="280">
        <f ca="1">Scenarios!C87</f>
        <v>-0.26037178228763347</v>
      </c>
      <c r="D21" s="5"/>
      <c r="E21" s="5"/>
    </row>
    <row r="22" spans="1:6" x14ac:dyDescent="0.35">
      <c r="D22" s="5"/>
      <c r="E22" s="5"/>
    </row>
    <row r="23" spans="1:6" ht="13.9" x14ac:dyDescent="0.45">
      <c r="A23" s="247" t="s">
        <v>367</v>
      </c>
      <c r="B23" s="36"/>
      <c r="C23" s="36"/>
      <c r="D23" s="36"/>
      <c r="E23" s="36"/>
      <c r="F23" s="36"/>
    </row>
    <row r="25" spans="1:6" ht="24.4" customHeight="1" x14ac:dyDescent="0.35">
      <c r="B25" s="336" t="s">
        <v>375</v>
      </c>
      <c r="C25" s="336"/>
      <c r="D25" s="336"/>
      <c r="E25" s="336"/>
      <c r="F25" s="336"/>
    </row>
    <row r="26" spans="1:6" ht="24.4" customHeight="1" x14ac:dyDescent="0.35">
      <c r="B26" s="338" t="s">
        <v>351</v>
      </c>
      <c r="C26" s="338"/>
      <c r="D26" s="338"/>
      <c r="E26" s="338"/>
      <c r="F26" s="338"/>
    </row>
    <row r="28" spans="1:6" x14ac:dyDescent="0.35">
      <c r="B28" s="234" t="s">
        <v>232</v>
      </c>
      <c r="C28" s="108">
        <f>Data!C3</f>
        <v>1000</v>
      </c>
    </row>
    <row r="29" spans="1:6" ht="24.4" customHeight="1" x14ac:dyDescent="0.35">
      <c r="B29" s="337" t="s">
        <v>233</v>
      </c>
      <c r="C29" s="337"/>
      <c r="D29" s="337"/>
      <c r="E29" s="337"/>
      <c r="F29" s="337"/>
    </row>
    <row r="30" spans="1:6" x14ac:dyDescent="0.35">
      <c r="B30" s="47" t="s">
        <v>234</v>
      </c>
      <c r="C30" s="188">
        <f>Normalized_FCF!C8</f>
        <v>-62266</v>
      </c>
      <c r="D30" s="1" t="str">
        <f>Reporting_currency</f>
        <v>HKD</v>
      </c>
    </row>
    <row r="31" spans="1:6" x14ac:dyDescent="0.35">
      <c r="B31" s="47"/>
      <c r="C31" s="76"/>
    </row>
    <row r="32" spans="1:6" ht="24.4" customHeight="1" x14ac:dyDescent="0.35">
      <c r="B32" s="337" t="s">
        <v>235</v>
      </c>
      <c r="C32" s="337"/>
      <c r="D32" s="337"/>
      <c r="E32" s="337"/>
      <c r="F32" s="337"/>
    </row>
    <row r="33" spans="2:6" x14ac:dyDescent="0.35">
      <c r="B33" s="47" t="s">
        <v>236</v>
      </c>
      <c r="C33" s="188">
        <f>Normalized_FCF!C9</f>
        <v>0</v>
      </c>
      <c r="D33" s="1" t="str">
        <f>Reporting_currency</f>
        <v>HKD</v>
      </c>
    </row>
    <row r="34" spans="2:6" x14ac:dyDescent="0.35">
      <c r="B34" s="52" t="s">
        <v>237</v>
      </c>
      <c r="C34" s="188">
        <f>Normalized_FCF!C10</f>
        <v>0</v>
      </c>
      <c r="D34" s="1" t="str">
        <f>Reporting_currency</f>
        <v>HKD</v>
      </c>
    </row>
    <row r="36" spans="2:6" x14ac:dyDescent="0.35">
      <c r="B36" s="337" t="s">
        <v>238</v>
      </c>
      <c r="C36" s="337"/>
      <c r="D36" s="337"/>
      <c r="E36" s="337"/>
      <c r="F36" s="337"/>
    </row>
    <row r="37" spans="2:6" x14ac:dyDescent="0.35">
      <c r="B37" s="47" t="s">
        <v>239</v>
      </c>
      <c r="C37" s="188">
        <f>Normalized_FCF!C11</f>
        <v>70547.28</v>
      </c>
      <c r="D37" s="1" t="str">
        <f>Reporting_currency</f>
        <v>HKD</v>
      </c>
    </row>
    <row r="39" spans="2:6" x14ac:dyDescent="0.35">
      <c r="B39" s="337" t="s">
        <v>242</v>
      </c>
      <c r="C39" s="337"/>
      <c r="D39" s="337"/>
      <c r="E39" s="337"/>
      <c r="F39" s="337"/>
    </row>
    <row r="40" spans="2:6" x14ac:dyDescent="0.35">
      <c r="B40" s="47" t="s">
        <v>352</v>
      </c>
      <c r="C40" s="322">
        <f>Normalized_FCF!C48</f>
        <v>5314.0835920166228</v>
      </c>
      <c r="D40" s="1" t="str">
        <f>Reporting_currency</f>
        <v>HKD</v>
      </c>
      <c r="E40" s="321"/>
      <c r="F40" s="321"/>
    </row>
    <row r="41" spans="2:6" x14ac:dyDescent="0.35">
      <c r="B41" s="47" t="s">
        <v>353</v>
      </c>
      <c r="C41" s="322">
        <f>Normalized_FCF!C47</f>
        <v>-8148.9999999999991</v>
      </c>
      <c r="D41" s="1" t="str">
        <f>Reporting_currency</f>
        <v>HKD</v>
      </c>
      <c r="E41" s="321"/>
      <c r="F41" s="321"/>
    </row>
    <row r="42" spans="2:6" x14ac:dyDescent="0.35">
      <c r="B42" s="47" t="s">
        <v>240</v>
      </c>
      <c r="C42" s="188">
        <f>Normalized_FCF!C12</f>
        <v>-2834.9164079833763</v>
      </c>
      <c r="D42" s="1" t="str">
        <f>Reporting_currency</f>
        <v>HKD</v>
      </c>
    </row>
    <row r="44" spans="2:6" x14ac:dyDescent="0.35">
      <c r="B44" s="1" t="s">
        <v>248</v>
      </c>
    </row>
    <row r="45" spans="2:6" x14ac:dyDescent="0.35">
      <c r="B45" s="47" t="s">
        <v>268</v>
      </c>
      <c r="C45" s="188">
        <f>Normalized_FCF!C15</f>
        <v>0</v>
      </c>
      <c r="D45" s="1" t="str">
        <f>Reporting_currency</f>
        <v>HKD</v>
      </c>
    </row>
    <row r="47" spans="2:6" x14ac:dyDescent="0.35">
      <c r="B47" s="337" t="s">
        <v>243</v>
      </c>
      <c r="C47" s="337"/>
      <c r="D47" s="337"/>
      <c r="E47" s="337"/>
      <c r="F47" s="337"/>
    </row>
    <row r="48" spans="2:6" x14ac:dyDescent="0.35">
      <c r="B48" s="47" t="s">
        <v>241</v>
      </c>
      <c r="C48" s="188">
        <f>Normalized_FCF!C14</f>
        <v>-1361.5908980041556</v>
      </c>
      <c r="D48" s="1" t="str">
        <f>Reporting_currency</f>
        <v>HKD</v>
      </c>
    </row>
    <row r="50" spans="1:6" x14ac:dyDescent="0.35">
      <c r="B50" s="337" t="s">
        <v>350</v>
      </c>
      <c r="C50" s="340"/>
      <c r="D50" s="340"/>
      <c r="E50" s="340"/>
      <c r="F50" s="340"/>
    </row>
    <row r="51" spans="1:6" x14ac:dyDescent="0.35">
      <c r="B51" s="47" t="s">
        <v>244</v>
      </c>
      <c r="C51" s="1">
        <f>Normalized_FCF!C17</f>
        <v>0</v>
      </c>
      <c r="D51" s="1" t="str">
        <f>Reporting_currency</f>
        <v>HKD</v>
      </c>
    </row>
    <row r="53" spans="1:6" ht="24.4" customHeight="1" x14ac:dyDescent="0.35">
      <c r="B53" s="336" t="s">
        <v>355</v>
      </c>
      <c r="C53" s="336"/>
      <c r="D53" s="336"/>
      <c r="E53" s="336"/>
      <c r="F53" s="336"/>
    </row>
    <row r="54" spans="1:6" ht="24.4" customHeight="1" x14ac:dyDescent="0.35">
      <c r="B54" s="336" t="s">
        <v>376</v>
      </c>
      <c r="C54" s="336"/>
      <c r="D54" s="336"/>
      <c r="E54" s="336"/>
      <c r="F54" s="336"/>
    </row>
    <row r="56" spans="1:6" x14ac:dyDescent="0.35">
      <c r="B56" s="47" t="s">
        <v>273</v>
      </c>
      <c r="C56" s="188">
        <f>Normalized_FCF!G19</f>
        <v>-263415.91040798335</v>
      </c>
      <c r="D56" s="1" t="str">
        <f>Reporting_currency</f>
        <v>HKD</v>
      </c>
    </row>
    <row r="57" spans="1:6" x14ac:dyDescent="0.35">
      <c r="B57" s="47" t="s">
        <v>250</v>
      </c>
      <c r="C57" s="188">
        <f>Normalized_FCF!C19</f>
        <v>4084.7726940124667</v>
      </c>
      <c r="D57" s="1" t="str">
        <f>Reporting_currency</f>
        <v>HKD</v>
      </c>
    </row>
    <row r="58" spans="1:6" x14ac:dyDescent="0.35">
      <c r="B58" s="254" t="s">
        <v>405</v>
      </c>
      <c r="C58" s="92">
        <f>Normalized_FCF!C125</f>
        <v>1.6563974747231462E-3</v>
      </c>
    </row>
    <row r="59" spans="1:6" x14ac:dyDescent="0.35">
      <c r="B59" s="254" t="s">
        <v>319</v>
      </c>
      <c r="C59" s="92">
        <f>Normalized_FCF!C93</f>
        <v>7.4074074074074068E-3</v>
      </c>
    </row>
    <row r="61" spans="1:6" ht="13.9" x14ac:dyDescent="0.45">
      <c r="A61" s="247" t="s">
        <v>368</v>
      </c>
      <c r="B61" s="36"/>
      <c r="C61" s="36"/>
      <c r="D61" s="36"/>
      <c r="E61" s="36"/>
      <c r="F61" s="36"/>
    </row>
    <row r="62" spans="1:6" x14ac:dyDescent="0.35">
      <c r="A62" s="233"/>
    </row>
    <row r="63" spans="1:6" ht="24.4" customHeight="1" x14ac:dyDescent="0.35">
      <c r="A63" s="17"/>
      <c r="B63" s="336" t="s">
        <v>377</v>
      </c>
      <c r="C63" s="336"/>
      <c r="D63" s="336"/>
      <c r="E63" s="336"/>
      <c r="F63" s="336"/>
    </row>
    <row r="64" spans="1:6" x14ac:dyDescent="0.35">
      <c r="B64" s="338" t="s">
        <v>254</v>
      </c>
      <c r="C64" s="338"/>
      <c r="D64" s="338"/>
      <c r="E64" s="338"/>
      <c r="F64" s="338"/>
    </row>
    <row r="66" spans="1:6" x14ac:dyDescent="0.35">
      <c r="B66" s="234" t="s">
        <v>232</v>
      </c>
    </row>
    <row r="67" spans="1:6" x14ac:dyDescent="0.35">
      <c r="B67" s="1" t="s">
        <v>291</v>
      </c>
      <c r="C67" s="311">
        <v>0.08</v>
      </c>
    </row>
    <row r="68" spans="1:6" x14ac:dyDescent="0.35">
      <c r="B68" s="1" t="s">
        <v>293</v>
      </c>
      <c r="C68" s="263">
        <f>IF(D68="Y",1%,0)</f>
        <v>0</v>
      </c>
      <c r="D68" s="286" t="s">
        <v>332</v>
      </c>
    </row>
    <row r="69" spans="1:6" x14ac:dyDescent="0.35">
      <c r="B69" s="1" t="s">
        <v>292</v>
      </c>
      <c r="C69" s="263">
        <f>IF(D69="Y",1%,0)</f>
        <v>0</v>
      </c>
      <c r="D69" s="286" t="s">
        <v>332</v>
      </c>
    </row>
    <row r="70" spans="1:6" x14ac:dyDescent="0.35">
      <c r="B70" s="80" t="s">
        <v>249</v>
      </c>
      <c r="C70" s="263">
        <f>SUM(C67:C69)</f>
        <v>0.08</v>
      </c>
    </row>
    <row r="71" spans="1:6" x14ac:dyDescent="0.35">
      <c r="C71" s="122"/>
    </row>
    <row r="72" spans="1:6" x14ac:dyDescent="0.35">
      <c r="B72" s="332" t="s">
        <v>369</v>
      </c>
      <c r="C72" s="122"/>
    </row>
    <row r="73" spans="1:6" ht="24.4" customHeight="1" x14ac:dyDescent="0.35">
      <c r="B73" s="336" t="s">
        <v>378</v>
      </c>
      <c r="C73" s="336"/>
      <c r="D73" s="336"/>
      <c r="E73" s="336"/>
      <c r="F73" s="336"/>
    </row>
    <row r="74" spans="1:6" ht="24.4" customHeight="1" x14ac:dyDescent="0.35">
      <c r="B74" s="336" t="s">
        <v>379</v>
      </c>
      <c r="C74" s="336"/>
      <c r="D74" s="336"/>
      <c r="E74" s="336"/>
      <c r="F74" s="336"/>
    </row>
    <row r="76" spans="1:6" x14ac:dyDescent="0.35">
      <c r="B76" s="47" t="s">
        <v>253</v>
      </c>
      <c r="C76" s="263">
        <v>0</v>
      </c>
    </row>
    <row r="77" spans="1:6" x14ac:dyDescent="0.35">
      <c r="B77" s="47" t="s">
        <v>287</v>
      </c>
      <c r="C77" s="248">
        <f>Valuation_Model!C6*C28*Exchange_Rate/Common_Shares</f>
        <v>2.7951707385953099E-2</v>
      </c>
      <c r="D77" s="1" t="str">
        <f>Market_currency</f>
        <v>HKD</v>
      </c>
    </row>
    <row r="79" spans="1:6" ht="13.9" x14ac:dyDescent="0.45">
      <c r="A79" s="247" t="s">
        <v>370</v>
      </c>
      <c r="B79" s="36"/>
      <c r="C79" s="36"/>
      <c r="D79" s="36"/>
      <c r="E79" s="36"/>
      <c r="F79" s="36"/>
    </row>
    <row r="80" spans="1:6" x14ac:dyDescent="0.35">
      <c r="A80" s="233"/>
    </row>
    <row r="81" spans="2:6" x14ac:dyDescent="0.35">
      <c r="B81" s="336" t="s">
        <v>380</v>
      </c>
      <c r="C81" s="336"/>
      <c r="D81" s="336"/>
      <c r="E81" s="336"/>
      <c r="F81" s="336"/>
    </row>
    <row r="82" spans="2:6" x14ac:dyDescent="0.35">
      <c r="B82" s="1" t="s">
        <v>255</v>
      </c>
    </row>
    <row r="84" spans="2:6" x14ac:dyDescent="0.35">
      <c r="B84" s="234" t="s">
        <v>232</v>
      </c>
    </row>
    <row r="85" spans="2:6" ht="24.4" customHeight="1" x14ac:dyDescent="0.35">
      <c r="B85" s="336" t="s">
        <v>356</v>
      </c>
      <c r="C85" s="336"/>
      <c r="D85" s="336"/>
      <c r="E85" s="336"/>
      <c r="F85" s="336"/>
    </row>
    <row r="86" spans="2:6" x14ac:dyDescent="0.35">
      <c r="B86" s="47" t="s">
        <v>257</v>
      </c>
      <c r="C86" s="188">
        <f>Valuation_Model!C7</f>
        <v>97365</v>
      </c>
      <c r="D86" s="1" t="str">
        <f>Reporting_currency</f>
        <v>HKD</v>
      </c>
    </row>
    <row r="87" spans="2:6" x14ac:dyDescent="0.35">
      <c r="B87" s="47" t="s">
        <v>288</v>
      </c>
      <c r="C87" s="248">
        <f>C86*C28*Exchange_Rate/Common_Shares</f>
        <v>5.3300747796763789E-2</v>
      </c>
      <c r="D87" s="1" t="str">
        <f>Market_currency</f>
        <v>HKD</v>
      </c>
    </row>
    <row r="89" spans="2:6" x14ac:dyDescent="0.35">
      <c r="B89" s="1" t="s">
        <v>256</v>
      </c>
    </row>
    <row r="90" spans="2:6" x14ac:dyDescent="0.35">
      <c r="B90" s="47" t="s">
        <v>267</v>
      </c>
      <c r="C90" s="188">
        <f>BS!C66</f>
        <v>1077437</v>
      </c>
      <c r="D90" s="1" t="str">
        <f>Reporting_currency</f>
        <v>HKD</v>
      </c>
    </row>
    <row r="91" spans="2:6" x14ac:dyDescent="0.35">
      <c r="B91" s="47" t="s">
        <v>269</v>
      </c>
      <c r="C91" s="188">
        <f>Valuation_Model!C8</f>
        <v>913534.95084499998</v>
      </c>
      <c r="D91" s="1" t="str">
        <f>Reporting_currency</f>
        <v>HKD</v>
      </c>
    </row>
    <row r="92" spans="2:6" x14ac:dyDescent="0.35">
      <c r="B92" s="47" t="s">
        <v>289</v>
      </c>
      <c r="C92" s="248">
        <f>C91*C28*Exchange_Rate/Common_Shares</f>
        <v>0.5000985571665213</v>
      </c>
      <c r="D92" s="1" t="str">
        <f>Market_currency</f>
        <v>HKD</v>
      </c>
    </row>
    <row r="94" spans="2:6" x14ac:dyDescent="0.35">
      <c r="B94" s="1" t="s">
        <v>258</v>
      </c>
    </row>
    <row r="95" spans="2:6" x14ac:dyDescent="0.35">
      <c r="B95" s="47" t="s">
        <v>259</v>
      </c>
      <c r="C95" s="188">
        <f>Valuation_Model!C9</f>
        <v>84349.6</v>
      </c>
      <c r="D95" s="1" t="str">
        <f>Reporting_currency</f>
        <v>HKD</v>
      </c>
    </row>
    <row r="96" spans="2:6" x14ac:dyDescent="0.35">
      <c r="B96" s="47" t="s">
        <v>290</v>
      </c>
      <c r="C96" s="248">
        <f>C95*C28*Exchange_Rate/Common_Shares</f>
        <v>4.617569718438768E-2</v>
      </c>
      <c r="D96" s="1" t="str">
        <f>Market_currency</f>
        <v>HKD</v>
      </c>
    </row>
    <row r="98" spans="1:6" ht="24.4" customHeight="1" x14ac:dyDescent="0.35">
      <c r="B98" s="336" t="s">
        <v>381</v>
      </c>
      <c r="C98" s="336"/>
      <c r="D98" s="336"/>
      <c r="E98" s="336"/>
      <c r="F98" s="336"/>
    </row>
    <row r="100" spans="1:6" x14ac:dyDescent="0.35">
      <c r="B100" s="47" t="s">
        <v>286</v>
      </c>
      <c r="C100" s="248">
        <f>Valuation_Model!C12</f>
        <v>0.52092521394009828</v>
      </c>
      <c r="D100" s="1" t="str">
        <f>Market_currency</f>
        <v>HKD</v>
      </c>
    </row>
    <row r="102" spans="1:6" ht="13.9" x14ac:dyDescent="0.45">
      <c r="A102" s="247" t="s">
        <v>371</v>
      </c>
      <c r="B102" s="36"/>
      <c r="C102" s="36"/>
      <c r="D102" s="36"/>
      <c r="E102" s="36"/>
      <c r="F102" s="36"/>
    </row>
    <row r="104" spans="1:6" ht="24.4" customHeight="1" x14ac:dyDescent="0.35">
      <c r="B104" s="337" t="s">
        <v>382</v>
      </c>
      <c r="C104" s="337"/>
      <c r="D104" s="337"/>
      <c r="E104" s="337"/>
      <c r="F104" s="337"/>
    </row>
    <row r="106" spans="1:6" ht="12.4" x14ac:dyDescent="0.4">
      <c r="B106" s="260" t="s">
        <v>119</v>
      </c>
      <c r="C106" s="260" t="s">
        <v>134</v>
      </c>
      <c r="D106" s="260" t="s">
        <v>114</v>
      </c>
      <c r="E106" s="260" t="s">
        <v>261</v>
      </c>
      <c r="F106" s="260" t="s">
        <v>149</v>
      </c>
    </row>
    <row r="107" spans="1:6" x14ac:dyDescent="0.35">
      <c r="B107" s="255" t="str">
        <f>Valuation_Model!B74</f>
        <v>Snowball Scenario</v>
      </c>
      <c r="C107" s="256">
        <f>Valuation_Model!C74</f>
        <v>0.1</v>
      </c>
      <c r="D107" s="257">
        <f>Valuation_Model!D74</f>
        <v>15</v>
      </c>
      <c r="E107" s="258" t="str">
        <f>ROUND(Valuation_Model!E74,2)&amp;" "&amp;Market_currency</f>
        <v>0.54 HKD</v>
      </c>
      <c r="F107" s="259">
        <f>Valuation_Model!F74</f>
        <v>0.05</v>
      </c>
    </row>
    <row r="108" spans="1:6" x14ac:dyDescent="0.35">
      <c r="B108" s="242" t="str">
        <f>Valuation_Model!B75</f>
        <v>Optimistic</v>
      </c>
      <c r="C108" s="243">
        <f>Valuation_Model!C75</f>
        <v>0.06</v>
      </c>
      <c r="D108" s="244">
        <f>Valuation_Model!D75</f>
        <v>10</v>
      </c>
      <c r="E108" s="245" t="str">
        <f>ROUND(Valuation_Model!E75,2)&amp;" "&amp;Market_currency</f>
        <v>0.53 HKD</v>
      </c>
      <c r="F108" s="246">
        <f>Valuation_Model!F75</f>
        <v>0.18</v>
      </c>
    </row>
    <row r="109" spans="1:6" x14ac:dyDescent="0.35">
      <c r="B109" s="242" t="str">
        <f>Valuation_Model!B76</f>
        <v>Base</v>
      </c>
      <c r="C109" s="243">
        <f>Valuation_Model!C76</f>
        <v>0</v>
      </c>
      <c r="D109" s="244">
        <f>Valuation_Model!D76</f>
        <v>10</v>
      </c>
      <c r="E109" s="245" t="str">
        <f>ROUND(Valuation_Model!E76,2)&amp;" "&amp;Market_currency</f>
        <v>0.52 HKD</v>
      </c>
      <c r="F109" s="246">
        <f>Valuation_Model!F76</f>
        <v>0.53999999999999992</v>
      </c>
    </row>
    <row r="110" spans="1:6" x14ac:dyDescent="0.35">
      <c r="B110" s="242" t="str">
        <f>Valuation_Model!B77</f>
        <v>Pessimistic</v>
      </c>
      <c r="C110" s="243">
        <f>Valuation_Model!C77</f>
        <v>0.02</v>
      </c>
      <c r="D110" s="244">
        <f>Valuation_Model!D77</f>
        <v>10</v>
      </c>
      <c r="E110" s="245" t="str">
        <f>ROUND(Valuation_Model!E77,2)&amp;" "&amp;Market_currency</f>
        <v>0.52 HKD</v>
      </c>
      <c r="F110" s="246">
        <f>Valuation_Model!F77</f>
        <v>0.18</v>
      </c>
    </row>
    <row r="111" spans="1:6" x14ac:dyDescent="0.35">
      <c r="B111" s="242" t="str">
        <f>Valuation_Model!B78</f>
        <v>Devil's advocate</v>
      </c>
      <c r="C111" s="243">
        <f>Valuation_Model!C78</f>
        <v>0</v>
      </c>
      <c r="D111" s="244">
        <f>Valuation_Model!D78</f>
        <v>15</v>
      </c>
      <c r="E111" s="245" t="str">
        <f>ROUND(Valuation_Model!E78,2)&amp;" "&amp;Market_currency</f>
        <v>0.52 HKD</v>
      </c>
      <c r="F111" s="246">
        <f>Valuation_Model!F78</f>
        <v>0.05</v>
      </c>
    </row>
    <row r="113" spans="1:6" x14ac:dyDescent="0.35">
      <c r="B113" s="235" t="s">
        <v>260</v>
      </c>
      <c r="C113" s="241">
        <f>Scenarios!C60</f>
        <v>0.52336150167888329</v>
      </c>
      <c r="D113" s="236" t="str">
        <f>Market_currency</f>
        <v>HKD</v>
      </c>
    </row>
    <row r="115" spans="1:6" ht="24.4" customHeight="1" x14ac:dyDescent="0.35">
      <c r="B115" s="341" t="s">
        <v>385</v>
      </c>
      <c r="C115" s="341"/>
      <c r="D115" s="341"/>
      <c r="E115" s="341"/>
      <c r="F115" s="341"/>
    </row>
    <row r="117" spans="1:6" ht="13.9" x14ac:dyDescent="0.45">
      <c r="A117" s="247" t="s">
        <v>372</v>
      </c>
      <c r="B117" s="36"/>
      <c r="C117" s="36"/>
      <c r="D117" s="36"/>
      <c r="E117" s="36"/>
      <c r="F117" s="36"/>
    </row>
    <row r="119" spans="1:6" x14ac:dyDescent="0.35">
      <c r="B119" s="339" t="s">
        <v>383</v>
      </c>
      <c r="C119" s="339"/>
      <c r="D119" s="339"/>
      <c r="E119" s="339"/>
      <c r="F119" s="339"/>
    </row>
    <row r="120" spans="1:6" ht="24.4" customHeight="1" x14ac:dyDescent="0.35">
      <c r="B120" s="336" t="s">
        <v>384</v>
      </c>
      <c r="C120" s="336"/>
      <c r="D120" s="336"/>
      <c r="E120" s="336"/>
      <c r="F120" s="336"/>
    </row>
    <row r="121" spans="1:6" x14ac:dyDescent="0.35">
      <c r="B121" s="234" t="s">
        <v>232</v>
      </c>
    </row>
    <row r="122" spans="1:6" x14ac:dyDescent="0.35">
      <c r="B122" s="1" t="s">
        <v>266</v>
      </c>
      <c r="C122" s="251">
        <f>E20</f>
        <v>3</v>
      </c>
    </row>
    <row r="123" spans="1:6" x14ac:dyDescent="0.35">
      <c r="B123" s="1" t="s">
        <v>281</v>
      </c>
      <c r="C123" s="250">
        <f>C19</f>
        <v>0.25</v>
      </c>
    </row>
    <row r="124" spans="1:6" x14ac:dyDescent="0.35">
      <c r="B124" s="236" t="s">
        <v>263</v>
      </c>
      <c r="C124" s="237">
        <f>Scenarios!C77</f>
        <v>0.01</v>
      </c>
      <c r="D124" s="236" t="str">
        <f>Market_currency</f>
        <v>HKD</v>
      </c>
    </row>
    <row r="126" spans="1:6" x14ac:dyDescent="0.35">
      <c r="B126" s="234" t="s">
        <v>265</v>
      </c>
    </row>
    <row r="127" spans="1:6" x14ac:dyDescent="0.35">
      <c r="B127" s="236" t="str">
        <f>"PV("&amp;C122&amp;" yrs of Dividends)"</f>
        <v>PV(3 yrs of Dividends)</v>
      </c>
      <c r="C127" s="240">
        <f>Scenarios!C81</f>
        <v>1.9519999999999999E-2</v>
      </c>
    </row>
    <row r="128" spans="1:6" x14ac:dyDescent="0.35">
      <c r="B128" s="236" t="str">
        <f>"+ PV(Equity Value realized at year "&amp;C122&amp;")"</f>
        <v>+ PV(Equity Value realized at year 3)</v>
      </c>
      <c r="C128" s="240">
        <f>Scenarios!C82</f>
        <v>0.26796108885958825</v>
      </c>
    </row>
    <row r="129" spans="1:6" x14ac:dyDescent="0.35">
      <c r="B129" s="80" t="s">
        <v>262</v>
      </c>
      <c r="C129" s="239">
        <f>Scenarios!C83</f>
        <v>0.28748108885958823</v>
      </c>
      <c r="D129" s="47" t="str">
        <f>Reporting_currency</f>
        <v>HKD</v>
      </c>
    </row>
    <row r="130" spans="1:6" x14ac:dyDescent="0.35">
      <c r="B130" s="238" t="s">
        <v>264</v>
      </c>
      <c r="C130" s="92">
        <f>Scenarios!F83</f>
        <v>0.45070264446776831</v>
      </c>
    </row>
    <row r="132" spans="1:6" ht="13.9" x14ac:dyDescent="0.45">
      <c r="A132" s="247" t="s">
        <v>389</v>
      </c>
      <c r="B132" s="36"/>
      <c r="C132" s="36"/>
      <c r="D132" s="36"/>
      <c r="E132" s="36"/>
      <c r="F132" s="36"/>
    </row>
    <row r="134" spans="1:6" x14ac:dyDescent="0.35">
      <c r="B134" s="343" t="s">
        <v>391</v>
      </c>
      <c r="C134" s="336"/>
      <c r="D134" s="336"/>
      <c r="E134" s="336"/>
      <c r="F134" s="336"/>
    </row>
    <row r="136" spans="1:6" x14ac:dyDescent="0.35">
      <c r="B136" s="234" t="s">
        <v>390</v>
      </c>
    </row>
    <row r="137" spans="1:6" x14ac:dyDescent="0.35">
      <c r="B137" s="340" t="s">
        <v>395</v>
      </c>
      <c r="C137" s="340"/>
      <c r="D137" s="340"/>
      <c r="E137" s="340"/>
      <c r="F137" s="340"/>
    </row>
    <row r="138" spans="1:6" x14ac:dyDescent="0.35">
      <c r="B138" s="238" t="s">
        <v>392</v>
      </c>
    </row>
    <row r="139" spans="1:6" x14ac:dyDescent="0.35">
      <c r="B139" s="238" t="s">
        <v>393</v>
      </c>
    </row>
    <row r="140" spans="1:6" x14ac:dyDescent="0.35">
      <c r="B140" s="238" t="s">
        <v>394</v>
      </c>
    </row>
    <row r="142" spans="1:6" x14ac:dyDescent="0.35">
      <c r="B142" s="1" t="s">
        <v>399</v>
      </c>
    </row>
    <row r="143" spans="1:6" ht="46.5" customHeight="1" x14ac:dyDescent="0.35">
      <c r="B143" s="337" t="s">
        <v>396</v>
      </c>
      <c r="C143" s="337"/>
      <c r="D143" s="337"/>
      <c r="E143" s="337"/>
      <c r="F143" s="337"/>
    </row>
    <row r="145" spans="2:6" x14ac:dyDescent="0.35">
      <c r="B145" s="1" t="s">
        <v>400</v>
      </c>
    </row>
    <row r="146" spans="2:6" ht="24.4" customHeight="1" x14ac:dyDescent="0.35">
      <c r="B146" s="342" t="s">
        <v>397</v>
      </c>
      <c r="C146" s="342"/>
      <c r="D146" s="342"/>
      <c r="E146" s="342"/>
      <c r="F146" s="342"/>
    </row>
    <row r="147" spans="2:6" ht="24.4" customHeight="1" x14ac:dyDescent="0.35">
      <c r="B147" s="342" t="s">
        <v>398</v>
      </c>
      <c r="C147" s="342"/>
      <c r="D147" s="342"/>
      <c r="E147" s="342"/>
      <c r="F147" s="342"/>
    </row>
    <row r="149" spans="2:6" x14ac:dyDescent="0.35">
      <c r="B149" s="1" t="s">
        <v>404</v>
      </c>
    </row>
    <row r="150" spans="2:6" x14ac:dyDescent="0.35">
      <c r="B150" s="238" t="s">
        <v>401</v>
      </c>
    </row>
    <row r="151" spans="2:6" x14ac:dyDescent="0.35">
      <c r="B151" s="238" t="s">
        <v>402</v>
      </c>
    </row>
    <row r="152" spans="2:6" x14ac:dyDescent="0.35">
      <c r="B152" s="238" t="s">
        <v>403</v>
      </c>
    </row>
  </sheetData>
  <mergeCells count="27">
    <mergeCell ref="B146:F146"/>
    <mergeCell ref="B147:F147"/>
    <mergeCell ref="B134:F134"/>
    <mergeCell ref="B143:F143"/>
    <mergeCell ref="B137:F137"/>
    <mergeCell ref="B64:F64"/>
    <mergeCell ref="B104:F104"/>
    <mergeCell ref="B73:F73"/>
    <mergeCell ref="B115:F115"/>
    <mergeCell ref="B53:F53"/>
    <mergeCell ref="B85:F85"/>
    <mergeCell ref="B120:F120"/>
    <mergeCell ref="B36:F36"/>
    <mergeCell ref="B12:F12"/>
    <mergeCell ref="B25:F25"/>
    <mergeCell ref="B26:F26"/>
    <mergeCell ref="B29:F29"/>
    <mergeCell ref="B32:F32"/>
    <mergeCell ref="B74:F74"/>
    <mergeCell ref="B81:F81"/>
    <mergeCell ref="B98:F98"/>
    <mergeCell ref="B119:F119"/>
    <mergeCell ref="B39:F39"/>
    <mergeCell ref="B47:F47"/>
    <mergeCell ref="B50:F50"/>
    <mergeCell ref="B54:F54"/>
    <mergeCell ref="B63:F63"/>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"Y, N"</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13" sqref="C13"/>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0" t="str">
        <f>Thesis!C16</f>
        <v>HKD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x14ac:dyDescent="0.45">
      <c r="B2" s="36" t="s">
        <v>99</v>
      </c>
      <c r="C2" s="37"/>
      <c r="D2" s="37"/>
      <c r="E2" s="37"/>
      <c r="F2" s="37"/>
      <c r="G2" s="37"/>
      <c r="H2" s="37"/>
      <c r="I2" s="37"/>
      <c r="J2" s="37"/>
      <c r="K2" s="37"/>
      <c r="L2" s="37"/>
      <c r="M2" s="37"/>
    </row>
    <row r="3" spans="2:13" x14ac:dyDescent="0.35">
      <c r="B3" s="16" t="s">
        <v>27</v>
      </c>
      <c r="C3" s="106">
        <v>1000</v>
      </c>
    </row>
    <row r="4" spans="2:13" x14ac:dyDescent="0.35">
      <c r="B4" s="32" t="s">
        <v>2</v>
      </c>
      <c r="C4" s="181">
        <v>247271</v>
      </c>
      <c r="D4" s="181">
        <v>281951</v>
      </c>
      <c r="E4" s="181">
        <v>331953</v>
      </c>
      <c r="F4" s="181">
        <v>755414</v>
      </c>
      <c r="G4" s="181">
        <v>2050629</v>
      </c>
      <c r="H4" s="181"/>
      <c r="I4" s="181"/>
      <c r="J4" s="181"/>
      <c r="K4" s="181"/>
      <c r="L4" s="181"/>
      <c r="M4" s="181"/>
    </row>
    <row r="5" spans="2:13" x14ac:dyDescent="0.35">
      <c r="B5" s="40" t="s">
        <v>44</v>
      </c>
      <c r="C5" s="181">
        <v>219537</v>
      </c>
      <c r="D5" s="181">
        <v>232905</v>
      </c>
      <c r="E5" s="181"/>
      <c r="F5" s="181"/>
      <c r="G5" s="181"/>
      <c r="H5" s="181"/>
      <c r="I5" s="181"/>
      <c r="J5" s="181"/>
      <c r="K5" s="181"/>
      <c r="L5" s="181"/>
      <c r="M5" s="181"/>
    </row>
    <row r="6" spans="2:13" x14ac:dyDescent="0.35">
      <c r="B6" s="40" t="s">
        <v>55</v>
      </c>
      <c r="C6" s="181">
        <f>227454+5669+14513+113831</f>
        <v>361467</v>
      </c>
      <c r="D6" s="181">
        <f>250848+7069+19250+113116</f>
        <v>390283</v>
      </c>
      <c r="E6" s="181">
        <v>330088</v>
      </c>
      <c r="F6" s="181">
        <v>389543</v>
      </c>
      <c r="G6" s="181">
        <v>672911</v>
      </c>
      <c r="H6" s="181"/>
      <c r="I6" s="181"/>
      <c r="J6" s="181"/>
      <c r="K6" s="181"/>
      <c r="L6" s="181"/>
      <c r="M6" s="181"/>
    </row>
    <row r="7" spans="2:13" x14ac:dyDescent="0.35">
      <c r="B7" s="69" t="s">
        <v>62</v>
      </c>
      <c r="C7" s="189"/>
      <c r="D7" s="189"/>
      <c r="E7" s="189"/>
      <c r="F7" s="189"/>
      <c r="G7" s="189"/>
      <c r="H7" s="189"/>
      <c r="I7" s="189"/>
      <c r="J7" s="189"/>
      <c r="K7" s="189"/>
      <c r="L7" s="189"/>
      <c r="M7" s="189"/>
    </row>
    <row r="8" spans="2:13" x14ac:dyDescent="0.35">
      <c r="B8" s="40" t="s">
        <v>50</v>
      </c>
      <c r="C8" s="181"/>
      <c r="D8" s="181"/>
      <c r="E8" s="181"/>
      <c r="F8" s="181"/>
      <c r="G8" s="181"/>
      <c r="H8" s="181"/>
      <c r="I8" s="181"/>
      <c r="J8" s="181"/>
      <c r="K8" s="181"/>
      <c r="L8" s="181"/>
      <c r="M8" s="181"/>
    </row>
    <row r="9" spans="2:13" x14ac:dyDescent="0.35">
      <c r="B9" s="40" t="s">
        <v>161</v>
      </c>
      <c r="C9" s="181"/>
      <c r="D9" s="181"/>
      <c r="E9" s="181"/>
      <c r="F9" s="181"/>
      <c r="G9" s="181"/>
      <c r="H9" s="181"/>
      <c r="I9" s="181"/>
      <c r="J9" s="181"/>
      <c r="K9" s="181"/>
      <c r="L9" s="181"/>
      <c r="M9" s="181"/>
    </row>
    <row r="10" spans="2:13" x14ac:dyDescent="0.35">
      <c r="B10" s="40" t="s">
        <v>169</v>
      </c>
      <c r="C10" s="181">
        <f>52198+11417</f>
        <v>63615</v>
      </c>
      <c r="D10" s="181">
        <f>48974+5641</f>
        <v>54615</v>
      </c>
      <c r="E10" s="181"/>
      <c r="F10" s="181"/>
      <c r="G10" s="181"/>
      <c r="H10" s="181"/>
      <c r="I10" s="181"/>
      <c r="J10" s="181"/>
      <c r="K10" s="181"/>
      <c r="L10" s="181"/>
      <c r="M10" s="181"/>
    </row>
    <row r="11" spans="2:13" x14ac:dyDescent="0.35">
      <c r="B11" s="40" t="s">
        <v>160</v>
      </c>
      <c r="C11" s="181">
        <v>12454</v>
      </c>
      <c r="D11" s="181">
        <v>12191</v>
      </c>
      <c r="E11" s="181"/>
      <c r="F11" s="181"/>
      <c r="G11" s="181"/>
      <c r="H11" s="181"/>
      <c r="I11" s="181"/>
      <c r="J11" s="181"/>
      <c r="K11" s="181"/>
      <c r="L11" s="181"/>
      <c r="M11" s="181"/>
    </row>
    <row r="12" spans="2:13" x14ac:dyDescent="0.35">
      <c r="B12" s="40" t="s">
        <v>39</v>
      </c>
      <c r="C12" s="181">
        <v>8149</v>
      </c>
      <c r="D12" s="181">
        <v>7447</v>
      </c>
      <c r="E12" s="181">
        <v>5293</v>
      </c>
      <c r="F12" s="181">
        <v>3968</v>
      </c>
      <c r="G12" s="181">
        <v>0</v>
      </c>
      <c r="H12" s="181"/>
      <c r="I12" s="181"/>
      <c r="J12" s="181"/>
      <c r="K12" s="181"/>
      <c r="L12" s="181"/>
      <c r="M12" s="181"/>
    </row>
    <row r="13" spans="2:13" x14ac:dyDescent="0.35">
      <c r="B13" s="40" t="s">
        <v>68</v>
      </c>
      <c r="C13" s="181">
        <v>34933</v>
      </c>
      <c r="D13" s="181">
        <v>42648</v>
      </c>
      <c r="E13" s="181"/>
      <c r="F13" s="181"/>
      <c r="G13" s="181"/>
      <c r="H13" s="181"/>
      <c r="I13" s="181"/>
      <c r="J13" s="181"/>
      <c r="K13" s="181"/>
      <c r="L13" s="181"/>
      <c r="M13" s="181"/>
    </row>
    <row r="14" spans="2:13" x14ac:dyDescent="0.35">
      <c r="B14" s="40" t="s">
        <v>51</v>
      </c>
      <c r="C14" s="181">
        <v>2918</v>
      </c>
      <c r="D14" s="181">
        <v>4507</v>
      </c>
      <c r="E14" s="181">
        <v>3959</v>
      </c>
      <c r="F14" s="181">
        <v>50081</v>
      </c>
      <c r="G14" s="181">
        <v>221776</v>
      </c>
      <c r="H14" s="181"/>
      <c r="I14" s="181"/>
      <c r="J14" s="181"/>
      <c r="K14" s="181"/>
      <c r="L14" s="181"/>
      <c r="M14" s="181"/>
    </row>
    <row r="15" spans="2:13" x14ac:dyDescent="0.35">
      <c r="B15" s="43" t="s">
        <v>43</v>
      </c>
      <c r="C15" s="182">
        <v>30811</v>
      </c>
      <c r="D15" s="182">
        <v>23088</v>
      </c>
      <c r="E15" s="182">
        <v>-544315</v>
      </c>
      <c r="F15" s="182">
        <v>457813</v>
      </c>
      <c r="G15" s="182">
        <v>1379475</v>
      </c>
      <c r="H15" s="182"/>
      <c r="I15" s="182"/>
      <c r="J15" s="182"/>
      <c r="K15" s="182"/>
      <c r="L15" s="182"/>
      <c r="M15" s="182"/>
    </row>
    <row r="16" spans="2:13" x14ac:dyDescent="0.35">
      <c r="B16" s="28" t="s">
        <v>45</v>
      </c>
      <c r="C16" s="181">
        <v>-424</v>
      </c>
      <c r="D16" s="181">
        <v>0</v>
      </c>
      <c r="E16" s="181">
        <v>0</v>
      </c>
      <c r="F16" s="181">
        <v>0</v>
      </c>
      <c r="G16" s="181">
        <v>0</v>
      </c>
      <c r="H16" s="181"/>
      <c r="I16" s="181"/>
      <c r="J16" s="181"/>
      <c r="K16" s="181"/>
      <c r="L16" s="181"/>
      <c r="M16" s="181"/>
    </row>
    <row r="18" spans="2:13" x14ac:dyDescent="0.35">
      <c r="B18" s="16" t="s">
        <v>52</v>
      </c>
      <c r="C18" s="9"/>
    </row>
    <row r="19" spans="2:13" x14ac:dyDescent="0.35">
      <c r="B19" s="27" t="s">
        <v>48</v>
      </c>
      <c r="C19" s="181"/>
      <c r="D19" s="181"/>
      <c r="E19" s="181"/>
      <c r="F19" s="181"/>
      <c r="G19" s="181"/>
      <c r="H19" s="181"/>
      <c r="I19" s="181"/>
      <c r="J19" s="181"/>
      <c r="K19" s="181"/>
      <c r="L19" s="181"/>
      <c r="M19" s="181"/>
    </row>
    <row r="20" spans="2:13" x14ac:dyDescent="0.35">
      <c r="B20" s="27" t="s">
        <v>54</v>
      </c>
      <c r="C20" s="181">
        <v>-1.006</v>
      </c>
      <c r="D20" s="181">
        <v>-1.006</v>
      </c>
      <c r="E20" s="181">
        <v>-0.98599999999999999</v>
      </c>
      <c r="F20" s="181">
        <v>-5.18</v>
      </c>
      <c r="G20" s="181">
        <v>-8.4450000000000003</v>
      </c>
      <c r="H20" s="181"/>
      <c r="I20" s="181"/>
      <c r="J20" s="181"/>
      <c r="K20" s="181"/>
      <c r="L20" s="181"/>
      <c r="M20" s="181"/>
    </row>
    <row r="21" spans="2:13" x14ac:dyDescent="0.35">
      <c r="B21" s="27" t="s">
        <v>53</v>
      </c>
      <c r="C21" s="181">
        <v>34.15</v>
      </c>
      <c r="D21" s="181">
        <v>34.15</v>
      </c>
      <c r="E21" s="181">
        <v>-39.787999999999997</v>
      </c>
      <c r="F21" s="181">
        <v>0.91</v>
      </c>
      <c r="G21" s="181">
        <v>980.62800000000004</v>
      </c>
      <c r="H21" s="181"/>
      <c r="I21" s="181"/>
      <c r="J21" s="181"/>
      <c r="K21" s="181"/>
      <c r="L21" s="181"/>
      <c r="M21" s="181"/>
    </row>
    <row r="22" spans="2:13" x14ac:dyDescent="0.35">
      <c r="B22" s="27" t="s">
        <v>386</v>
      </c>
      <c r="C22" s="181">
        <v>-2094</v>
      </c>
      <c r="D22" s="181">
        <v>56325</v>
      </c>
      <c r="E22" s="181">
        <v>-76641</v>
      </c>
      <c r="F22" s="181">
        <v>1075649</v>
      </c>
      <c r="G22" s="181">
        <v>212852</v>
      </c>
      <c r="H22" s="181"/>
      <c r="I22" s="181"/>
      <c r="J22" s="181"/>
      <c r="K22" s="181"/>
      <c r="L22" s="181"/>
      <c r="M22" s="181"/>
    </row>
    <row r="23" spans="2:13" x14ac:dyDescent="0.35">
      <c r="B23" s="27" t="s">
        <v>388</v>
      </c>
      <c r="C23" s="181">
        <v>459814</v>
      </c>
      <c r="D23" s="181">
        <v>-67601</v>
      </c>
      <c r="E23" s="181">
        <v>398831</v>
      </c>
      <c r="F23" s="181">
        <v>-706056</v>
      </c>
      <c r="G23" s="181">
        <v>-13297</v>
      </c>
      <c r="H23" s="181"/>
      <c r="I23" s="181"/>
      <c r="J23" s="181"/>
      <c r="K23" s="181"/>
      <c r="L23" s="181"/>
      <c r="M23" s="181"/>
    </row>
    <row r="24" spans="2:13" x14ac:dyDescent="0.35">
      <c r="B24" s="27" t="s">
        <v>387</v>
      </c>
      <c r="C24" s="181">
        <v>-937078</v>
      </c>
      <c r="D24" s="181">
        <v>-89539</v>
      </c>
      <c r="E24" s="181">
        <v>-232800</v>
      </c>
      <c r="F24" s="181">
        <v>-678918</v>
      </c>
      <c r="G24" s="181">
        <v>-439768</v>
      </c>
      <c r="H24" s="181"/>
      <c r="I24" s="181"/>
      <c r="J24" s="181"/>
      <c r="K24" s="181"/>
      <c r="L24" s="181"/>
      <c r="M24" s="181"/>
    </row>
    <row r="25" spans="2:13" x14ac:dyDescent="0.35">
      <c r="B25" s="24" t="str">
        <f>"Dividend per share ("&amp;Market_currency&amp;")"</f>
        <v>Dividend per share (HKD)</v>
      </c>
      <c r="C25" s="39">
        <v>0.01</v>
      </c>
      <c r="D25" s="39">
        <v>0</v>
      </c>
      <c r="E25" s="39">
        <v>3.4000000000000002E-2</v>
      </c>
      <c r="F25" s="39">
        <v>0.08</v>
      </c>
      <c r="G25" s="39">
        <v>0.26</v>
      </c>
      <c r="H25" s="39"/>
      <c r="I25" s="39"/>
      <c r="J25" s="39"/>
      <c r="K25" s="39"/>
      <c r="L25" s="39"/>
      <c r="M25" s="39"/>
    </row>
    <row r="27" spans="2:13" x14ac:dyDescent="0.35">
      <c r="B27" s="16" t="s">
        <v>28</v>
      </c>
      <c r="C27" s="97" t="s">
        <v>414</v>
      </c>
    </row>
    <row r="28" spans="2:13" x14ac:dyDescent="0.35">
      <c r="B28" s="26" t="s">
        <v>24</v>
      </c>
      <c r="C28" s="183">
        <f>BS!C4</f>
        <v>83455</v>
      </c>
      <c r="D28" s="181">
        <v>56325</v>
      </c>
      <c r="E28" s="181">
        <v>67131</v>
      </c>
      <c r="F28" s="181">
        <v>190060</v>
      </c>
      <c r="G28" s="181">
        <v>1495304</v>
      </c>
      <c r="H28" s="181"/>
      <c r="I28" s="181"/>
      <c r="J28" s="181"/>
      <c r="K28" s="181"/>
      <c r="L28" s="181"/>
      <c r="M28" s="181"/>
    </row>
    <row r="29" spans="2:13" x14ac:dyDescent="0.35">
      <c r="B29" s="26" t="s">
        <v>32</v>
      </c>
      <c r="C29" s="183">
        <f>BS!C6</f>
        <v>0</v>
      </c>
      <c r="D29" s="181">
        <v>0</v>
      </c>
      <c r="E29" s="181">
        <v>0</v>
      </c>
      <c r="F29" s="181">
        <v>0</v>
      </c>
      <c r="G29" s="181">
        <v>0</v>
      </c>
      <c r="H29" s="181"/>
      <c r="I29" s="181"/>
      <c r="J29" s="181"/>
      <c r="K29" s="181"/>
      <c r="L29" s="181"/>
      <c r="M29" s="181"/>
    </row>
    <row r="30" spans="2:13" x14ac:dyDescent="0.35">
      <c r="B30" s="29" t="s">
        <v>40</v>
      </c>
      <c r="C30" s="186">
        <f>BS!C33+BS!C42</f>
        <v>215440</v>
      </c>
      <c r="D30" s="182">
        <v>1135384</v>
      </c>
      <c r="E30" s="182">
        <v>253658</v>
      </c>
      <c r="F30" s="182">
        <v>405587</v>
      </c>
      <c r="G30" s="182">
        <v>880771</v>
      </c>
      <c r="H30" s="182"/>
      <c r="I30" s="182"/>
      <c r="J30" s="182"/>
      <c r="K30" s="182"/>
      <c r="L30" s="182"/>
      <c r="M30" s="182"/>
    </row>
    <row r="31" spans="2:13" x14ac:dyDescent="0.35">
      <c r="B31" s="29" t="s">
        <v>30</v>
      </c>
      <c r="C31" s="186">
        <f>BS!G27</f>
        <v>3559773</v>
      </c>
      <c r="D31" s="182">
        <v>3542698</v>
      </c>
      <c r="E31" s="182">
        <v>4494199</v>
      </c>
      <c r="F31" s="182">
        <v>5264755</v>
      </c>
      <c r="G31" s="182">
        <v>5418042</v>
      </c>
      <c r="H31" s="182"/>
      <c r="I31" s="182"/>
      <c r="J31" s="182"/>
      <c r="K31" s="182"/>
      <c r="L31" s="182"/>
      <c r="M31" s="182"/>
    </row>
    <row r="32" spans="2:13" x14ac:dyDescent="0.35">
      <c r="B32" s="26" t="s">
        <v>174</v>
      </c>
      <c r="C32" s="183">
        <f>BS!G28</f>
        <v>7710</v>
      </c>
      <c r="D32" s="181">
        <v>0</v>
      </c>
      <c r="E32" s="181">
        <v>0</v>
      </c>
      <c r="F32" s="181">
        <v>0</v>
      </c>
      <c r="G32" s="182">
        <v>0</v>
      </c>
      <c r="H32" s="182"/>
      <c r="I32" s="182"/>
      <c r="J32" s="182"/>
      <c r="K32" s="182"/>
      <c r="L32" s="182"/>
      <c r="M32" s="182"/>
    </row>
    <row r="34" spans="2:13" ht="13.9" x14ac:dyDescent="0.45">
      <c r="B34" s="36" t="s">
        <v>83</v>
      </c>
      <c r="C34" s="37"/>
      <c r="D34" s="37"/>
      <c r="E34" s="37"/>
      <c r="F34" s="37"/>
      <c r="G34" s="37"/>
      <c r="H34" s="37"/>
      <c r="I34" s="37"/>
      <c r="J34" s="37"/>
      <c r="K34" s="37"/>
      <c r="L34" s="37"/>
      <c r="M34" s="37"/>
    </row>
    <row r="35" spans="2:13" x14ac:dyDescent="0.35">
      <c r="B35" s="16" t="s">
        <v>27</v>
      </c>
    </row>
    <row r="36" spans="2:13" x14ac:dyDescent="0.35">
      <c r="B36" s="32" t="s">
        <v>2</v>
      </c>
      <c r="C36" s="183">
        <f t="shared" ref="C36:M36" si="1">IF(C$4="","",C4)</f>
        <v>247271</v>
      </c>
      <c r="D36" s="183">
        <f t="shared" si="1"/>
        <v>281951</v>
      </c>
      <c r="E36" s="183">
        <f t="shared" si="1"/>
        <v>331953</v>
      </c>
      <c r="F36" s="183">
        <f t="shared" si="1"/>
        <v>755414</v>
      </c>
      <c r="G36" s="183">
        <f t="shared" si="1"/>
        <v>2050629</v>
      </c>
      <c r="H36" s="183" t="str">
        <f t="shared" si="1"/>
        <v/>
      </c>
      <c r="I36" s="183" t="str">
        <f t="shared" si="1"/>
        <v/>
      </c>
      <c r="J36" s="183" t="str">
        <f t="shared" si="1"/>
        <v/>
      </c>
      <c r="K36" s="183" t="str">
        <f t="shared" si="1"/>
        <v/>
      </c>
      <c r="L36" s="183" t="str">
        <f t="shared" si="1"/>
        <v/>
      </c>
      <c r="M36" s="183" t="str">
        <f t="shared" si="1"/>
        <v/>
      </c>
    </row>
    <row r="37" spans="2:13" x14ac:dyDescent="0.35">
      <c r="B37" s="40" t="s">
        <v>44</v>
      </c>
      <c r="C37" s="183">
        <f t="shared" ref="C37:M37" si="2">IF(C$4="","",-C5)</f>
        <v>-219537</v>
      </c>
      <c r="D37" s="183">
        <f t="shared" si="2"/>
        <v>-232905</v>
      </c>
      <c r="E37" s="183">
        <f t="shared" si="2"/>
        <v>0</v>
      </c>
      <c r="F37" s="183">
        <f t="shared" si="2"/>
        <v>0</v>
      </c>
      <c r="G37" s="183">
        <f t="shared" si="2"/>
        <v>0</v>
      </c>
      <c r="H37" s="183" t="str">
        <f t="shared" si="2"/>
        <v/>
      </c>
      <c r="I37" s="183" t="str">
        <f t="shared" si="2"/>
        <v/>
      </c>
      <c r="J37" s="183" t="str">
        <f t="shared" si="2"/>
        <v/>
      </c>
      <c r="K37" s="183" t="str">
        <f t="shared" si="2"/>
        <v/>
      </c>
      <c r="L37" s="183" t="str">
        <f t="shared" si="2"/>
        <v/>
      </c>
      <c r="M37" s="183" t="str">
        <f t="shared" si="2"/>
        <v/>
      </c>
    </row>
    <row r="38" spans="2:13" x14ac:dyDescent="0.35">
      <c r="B38" s="31" t="s">
        <v>59</v>
      </c>
      <c r="C38" s="184">
        <f>IF(C36="","",C36+C37)</f>
        <v>27734</v>
      </c>
      <c r="D38" s="184">
        <f t="shared" ref="D38" si="3">IF(D36="","",D36+D37)</f>
        <v>49046</v>
      </c>
      <c r="E38" s="184">
        <f t="shared" ref="E38" si="4">IF(E36="","",E36+E37)</f>
        <v>331953</v>
      </c>
      <c r="F38" s="184">
        <f t="shared" ref="F38" si="5">IF(F36="","",F36+F37)</f>
        <v>755414</v>
      </c>
      <c r="G38" s="184">
        <f t="shared" ref="G38" si="6">IF(G36="","",G36+G37)</f>
        <v>2050629</v>
      </c>
      <c r="H38" s="184" t="str">
        <f t="shared" ref="H38" si="7">IF(H36="","",H36+H37)</f>
        <v/>
      </c>
      <c r="I38" s="184" t="str">
        <f t="shared" ref="I38" si="8">IF(I36="","",I36+I37)</f>
        <v/>
      </c>
      <c r="J38" s="184" t="str">
        <f t="shared" ref="J38" si="9">IF(J36="","",J36+J37)</f>
        <v/>
      </c>
      <c r="K38" s="184" t="str">
        <f t="shared" ref="K38" si="10">IF(K36="","",K36+K37)</f>
        <v/>
      </c>
      <c r="L38" s="184" t="str">
        <f t="shared" ref="L38" si="11">IF(L36="","",L36+L37)</f>
        <v/>
      </c>
      <c r="M38" s="184" t="str">
        <f t="shared" ref="M38" si="12">IF(M36="","",M36+M37)</f>
        <v/>
      </c>
    </row>
    <row r="39" spans="2:13" x14ac:dyDescent="0.35">
      <c r="B39" s="40" t="s">
        <v>55</v>
      </c>
      <c r="C39" s="183">
        <f t="shared" ref="C39:M39" si="13">IF(C$4="","",-C6)</f>
        <v>-361467</v>
      </c>
      <c r="D39" s="183">
        <f t="shared" si="13"/>
        <v>-390283</v>
      </c>
      <c r="E39" s="183">
        <f t="shared" si="13"/>
        <v>-330088</v>
      </c>
      <c r="F39" s="183">
        <f t="shared" si="13"/>
        <v>-389543</v>
      </c>
      <c r="G39" s="183">
        <f t="shared" si="13"/>
        <v>-672911</v>
      </c>
      <c r="H39" s="183" t="str">
        <f t="shared" si="13"/>
        <v/>
      </c>
      <c r="I39" s="183" t="str">
        <f t="shared" si="13"/>
        <v/>
      </c>
      <c r="J39" s="183" t="str">
        <f t="shared" si="13"/>
        <v/>
      </c>
      <c r="K39" s="183" t="str">
        <f t="shared" si="13"/>
        <v/>
      </c>
      <c r="L39" s="183" t="str">
        <f t="shared" si="13"/>
        <v/>
      </c>
      <c r="M39" s="183" t="str">
        <f t="shared" si="13"/>
        <v/>
      </c>
    </row>
    <row r="40" spans="2:13" x14ac:dyDescent="0.35">
      <c r="B40" s="69" t="s">
        <v>62</v>
      </c>
      <c r="C40" s="185">
        <f t="shared" ref="C40:M40" si="14">IF(C$4="","",-C7)</f>
        <v>0</v>
      </c>
      <c r="D40" s="185">
        <f t="shared" si="14"/>
        <v>0</v>
      </c>
      <c r="E40" s="185">
        <f t="shared" si="14"/>
        <v>0</v>
      </c>
      <c r="F40" s="185">
        <f t="shared" si="14"/>
        <v>0</v>
      </c>
      <c r="G40" s="185">
        <f t="shared" si="14"/>
        <v>0</v>
      </c>
      <c r="H40" s="185" t="str">
        <f t="shared" si="14"/>
        <v/>
      </c>
      <c r="I40" s="185" t="str">
        <f t="shared" si="14"/>
        <v/>
      </c>
      <c r="J40" s="185" t="str">
        <f t="shared" si="14"/>
        <v/>
      </c>
      <c r="K40" s="185" t="str">
        <f t="shared" si="14"/>
        <v/>
      </c>
      <c r="L40" s="185" t="str">
        <f t="shared" si="14"/>
        <v/>
      </c>
      <c r="M40" s="185" t="str">
        <f t="shared" si="14"/>
        <v/>
      </c>
    </row>
    <row r="41" spans="2:13" x14ac:dyDescent="0.35">
      <c r="B41" s="69" t="s">
        <v>65</v>
      </c>
      <c r="C41" s="185">
        <f>IF(C$4="","",C39-C40)</f>
        <v>-361467</v>
      </c>
      <c r="D41" s="185">
        <f t="shared" ref="D41:M41" si="15">IF(D$4="","",D39-D40)</f>
        <v>-390283</v>
      </c>
      <c r="E41" s="185">
        <f t="shared" si="15"/>
        <v>-330088</v>
      </c>
      <c r="F41" s="185">
        <f t="shared" si="15"/>
        <v>-389543</v>
      </c>
      <c r="G41" s="185">
        <f t="shared" si="15"/>
        <v>-672911</v>
      </c>
      <c r="H41" s="185" t="str">
        <f t="shared" si="15"/>
        <v/>
      </c>
      <c r="I41" s="185" t="str">
        <f t="shared" si="15"/>
        <v/>
      </c>
      <c r="J41" s="185" t="str">
        <f t="shared" si="15"/>
        <v/>
      </c>
      <c r="K41" s="185" t="str">
        <f t="shared" si="15"/>
        <v/>
      </c>
      <c r="L41" s="185" t="str">
        <f t="shared" si="15"/>
        <v/>
      </c>
      <c r="M41" s="185" t="str">
        <f t="shared" si="15"/>
        <v/>
      </c>
    </row>
    <row r="42" spans="2:13" x14ac:dyDescent="0.35">
      <c r="B42" s="40" t="s">
        <v>50</v>
      </c>
      <c r="C42" s="183">
        <f t="shared" ref="C42:M42" si="16">IF(C$4="","",-C8)</f>
        <v>0</v>
      </c>
      <c r="D42" s="183">
        <f t="shared" si="16"/>
        <v>0</v>
      </c>
      <c r="E42" s="183">
        <f t="shared" si="16"/>
        <v>0</v>
      </c>
      <c r="F42" s="183">
        <f t="shared" si="16"/>
        <v>0</v>
      </c>
      <c r="G42" s="183">
        <f t="shared" si="16"/>
        <v>0</v>
      </c>
      <c r="H42" s="183" t="str">
        <f t="shared" si="16"/>
        <v/>
      </c>
      <c r="I42" s="183" t="str">
        <f t="shared" si="16"/>
        <v/>
      </c>
      <c r="J42" s="183" t="str">
        <f t="shared" si="16"/>
        <v/>
      </c>
      <c r="K42" s="183" t="str">
        <f t="shared" si="16"/>
        <v/>
      </c>
      <c r="L42" s="183" t="str">
        <f t="shared" si="16"/>
        <v/>
      </c>
      <c r="M42" s="183" t="str">
        <f t="shared" si="16"/>
        <v/>
      </c>
    </row>
    <row r="43" spans="2:13" x14ac:dyDescent="0.35">
      <c r="B43" s="43" t="s">
        <v>154</v>
      </c>
      <c r="C43" s="186">
        <f>IF(C$4="","",C38+C39+C42)</f>
        <v>-333733</v>
      </c>
      <c r="D43" s="186">
        <f t="shared" ref="D43:M43" si="17">IF(D$4="","",D38+D39+D42)</f>
        <v>-341237</v>
      </c>
      <c r="E43" s="186">
        <f t="shared" si="17"/>
        <v>1865</v>
      </c>
      <c r="F43" s="186">
        <f t="shared" si="17"/>
        <v>365871</v>
      </c>
      <c r="G43" s="186">
        <f t="shared" si="17"/>
        <v>1377718</v>
      </c>
      <c r="H43" s="186" t="str">
        <f t="shared" si="17"/>
        <v/>
      </c>
      <c r="I43" s="186" t="str">
        <f t="shared" si="17"/>
        <v/>
      </c>
      <c r="J43" s="186" t="str">
        <f t="shared" si="17"/>
        <v/>
      </c>
      <c r="K43" s="186" t="str">
        <f t="shared" si="17"/>
        <v/>
      </c>
      <c r="L43" s="186" t="str">
        <f t="shared" si="17"/>
        <v/>
      </c>
      <c r="M43" s="186" t="str">
        <f t="shared" si="17"/>
        <v/>
      </c>
    </row>
    <row r="44" spans="2:13" x14ac:dyDescent="0.35">
      <c r="B44" s="43" t="s">
        <v>170</v>
      </c>
      <c r="C44" s="187">
        <f t="shared" ref="C44:M44" si="18">IF(C$4="","",C47-C46-C45-C43)</f>
        <v>340678</v>
      </c>
      <c r="D44" s="187">
        <f t="shared" si="18"/>
        <v>333631</v>
      </c>
      <c r="E44" s="187">
        <f t="shared" si="18"/>
        <v>-536928</v>
      </c>
      <c r="F44" s="187">
        <f t="shared" si="18"/>
        <v>145991</v>
      </c>
      <c r="G44" s="187">
        <f t="shared" si="18"/>
        <v>223533</v>
      </c>
      <c r="H44" s="187" t="str">
        <f t="shared" si="18"/>
        <v/>
      </c>
      <c r="I44" s="187" t="str">
        <f t="shared" si="18"/>
        <v/>
      </c>
      <c r="J44" s="187" t="str">
        <f t="shared" si="18"/>
        <v/>
      </c>
      <c r="K44" s="187" t="str">
        <f t="shared" si="18"/>
        <v/>
      </c>
      <c r="L44" s="187" t="str">
        <f t="shared" si="18"/>
        <v/>
      </c>
      <c r="M44" s="187" t="str">
        <f t="shared" si="18"/>
        <v/>
      </c>
    </row>
    <row r="45" spans="2:13" x14ac:dyDescent="0.35">
      <c r="B45" s="40" t="s">
        <v>69</v>
      </c>
      <c r="C45" s="188">
        <f t="shared" ref="C45:M45" si="19">IF(C$4="","",C51+C52)</f>
        <v>26784</v>
      </c>
      <c r="D45" s="188">
        <f t="shared" si="19"/>
        <v>35201</v>
      </c>
      <c r="E45" s="188">
        <f t="shared" si="19"/>
        <v>-5293</v>
      </c>
      <c r="F45" s="188">
        <f t="shared" si="19"/>
        <v>-3968</v>
      </c>
      <c r="G45" s="188">
        <f t="shared" si="19"/>
        <v>0</v>
      </c>
      <c r="H45" s="188" t="str">
        <f t="shared" si="19"/>
        <v/>
      </c>
      <c r="I45" s="188" t="str">
        <f t="shared" si="19"/>
        <v/>
      </c>
      <c r="J45" s="188" t="str">
        <f t="shared" si="19"/>
        <v/>
      </c>
      <c r="K45" s="188" t="str">
        <f t="shared" si="19"/>
        <v/>
      </c>
      <c r="L45" s="188" t="str">
        <f t="shared" si="19"/>
        <v/>
      </c>
      <c r="M45" s="188" t="str">
        <f t="shared" si="19"/>
        <v/>
      </c>
    </row>
    <row r="46" spans="2:13" x14ac:dyDescent="0.35">
      <c r="B46" s="40" t="s">
        <v>51</v>
      </c>
      <c r="C46" s="183">
        <f t="shared" ref="C46:M46" si="20">IF(C$4="","",-C14)</f>
        <v>-2918</v>
      </c>
      <c r="D46" s="183">
        <f t="shared" si="20"/>
        <v>-4507</v>
      </c>
      <c r="E46" s="183">
        <f t="shared" si="20"/>
        <v>-3959</v>
      </c>
      <c r="F46" s="183">
        <f t="shared" si="20"/>
        <v>-50081</v>
      </c>
      <c r="G46" s="183">
        <f t="shared" si="20"/>
        <v>-221776</v>
      </c>
      <c r="H46" s="183" t="str">
        <f t="shared" si="20"/>
        <v/>
      </c>
      <c r="I46" s="183" t="str">
        <f t="shared" si="20"/>
        <v/>
      </c>
      <c r="J46" s="183" t="str">
        <f t="shared" si="20"/>
        <v/>
      </c>
      <c r="K46" s="183" t="str">
        <f t="shared" si="20"/>
        <v/>
      </c>
      <c r="L46" s="183" t="str">
        <f t="shared" si="20"/>
        <v/>
      </c>
      <c r="M46" s="183" t="str">
        <f t="shared" si="20"/>
        <v/>
      </c>
    </row>
    <row r="47" spans="2:13" x14ac:dyDescent="0.35">
      <c r="B47" s="43" t="s">
        <v>43</v>
      </c>
      <c r="C47" s="186">
        <f t="shared" ref="C47:M47" si="21">IF(C$4="","",C15)</f>
        <v>30811</v>
      </c>
      <c r="D47" s="186">
        <f t="shared" si="21"/>
        <v>23088</v>
      </c>
      <c r="E47" s="186">
        <f t="shared" si="21"/>
        <v>-544315</v>
      </c>
      <c r="F47" s="186">
        <f t="shared" si="21"/>
        <v>457813</v>
      </c>
      <c r="G47" s="186">
        <f t="shared" si="21"/>
        <v>1379475</v>
      </c>
      <c r="H47" s="186" t="str">
        <f t="shared" si="21"/>
        <v/>
      </c>
      <c r="I47" s="186" t="str">
        <f t="shared" si="21"/>
        <v/>
      </c>
      <c r="J47" s="186" t="str">
        <f t="shared" si="21"/>
        <v/>
      </c>
      <c r="K47" s="186" t="str">
        <f t="shared" si="21"/>
        <v/>
      </c>
      <c r="L47" s="186" t="str">
        <f t="shared" si="21"/>
        <v/>
      </c>
      <c r="M47" s="186" t="str">
        <f t="shared" si="21"/>
        <v/>
      </c>
    </row>
    <row r="48" spans="2:13" x14ac:dyDescent="0.35">
      <c r="B48" s="28" t="s">
        <v>45</v>
      </c>
      <c r="C48" s="183">
        <f t="shared" ref="C48:M48" si="22">IF(C$4="","",MIN(-C16,0))</f>
        <v>0</v>
      </c>
      <c r="D48" s="183">
        <f t="shared" si="22"/>
        <v>0</v>
      </c>
      <c r="E48" s="183">
        <f t="shared" si="22"/>
        <v>0</v>
      </c>
      <c r="F48" s="183">
        <f t="shared" si="22"/>
        <v>0</v>
      </c>
      <c r="G48" s="183">
        <f t="shared" si="22"/>
        <v>0</v>
      </c>
      <c r="H48" s="183" t="str">
        <f t="shared" si="22"/>
        <v/>
      </c>
      <c r="I48" s="183" t="str">
        <f t="shared" si="22"/>
        <v/>
      </c>
      <c r="J48" s="183" t="str">
        <f t="shared" si="22"/>
        <v/>
      </c>
      <c r="K48" s="183" t="str">
        <f t="shared" si="22"/>
        <v/>
      </c>
      <c r="L48" s="183" t="str">
        <f t="shared" si="22"/>
        <v/>
      </c>
      <c r="M48" s="183" t="str">
        <f t="shared" si="22"/>
        <v/>
      </c>
    </row>
    <row r="50" spans="2:13" x14ac:dyDescent="0.35">
      <c r="B50" s="16" t="s">
        <v>69</v>
      </c>
    </row>
    <row r="51" spans="2:13" x14ac:dyDescent="0.35">
      <c r="B51" s="40" t="s">
        <v>39</v>
      </c>
      <c r="C51" s="183">
        <f t="shared" ref="C51:M51" si="23">IF(C$4="","",-C12)</f>
        <v>-8149</v>
      </c>
      <c r="D51" s="183">
        <f t="shared" si="23"/>
        <v>-7447</v>
      </c>
      <c r="E51" s="183">
        <f t="shared" si="23"/>
        <v>-5293</v>
      </c>
      <c r="F51" s="183">
        <f t="shared" si="23"/>
        <v>-3968</v>
      </c>
      <c r="G51" s="183">
        <f t="shared" si="23"/>
        <v>0</v>
      </c>
      <c r="H51" s="183" t="str">
        <f t="shared" si="23"/>
        <v/>
      </c>
      <c r="I51" s="183" t="str">
        <f t="shared" si="23"/>
        <v/>
      </c>
      <c r="J51" s="183" t="str">
        <f t="shared" si="23"/>
        <v/>
      </c>
      <c r="K51" s="183" t="str">
        <f t="shared" si="23"/>
        <v/>
      </c>
      <c r="L51" s="183" t="str">
        <f t="shared" si="23"/>
        <v/>
      </c>
      <c r="M51" s="183" t="str">
        <f t="shared" si="23"/>
        <v/>
      </c>
    </row>
    <row r="52" spans="2:13" x14ac:dyDescent="0.35">
      <c r="B52" s="40" t="s">
        <v>68</v>
      </c>
      <c r="C52" s="183">
        <f t="shared" ref="C52:M52" si="24">IF(C$4="","",C13)</f>
        <v>34933</v>
      </c>
      <c r="D52" s="183">
        <f t="shared" si="24"/>
        <v>42648</v>
      </c>
      <c r="E52" s="183">
        <f t="shared" si="24"/>
        <v>0</v>
      </c>
      <c r="F52" s="183">
        <f t="shared" si="24"/>
        <v>0</v>
      </c>
      <c r="G52" s="183">
        <f t="shared" si="24"/>
        <v>0</v>
      </c>
      <c r="H52" s="183" t="str">
        <f t="shared" si="24"/>
        <v/>
      </c>
      <c r="I52" s="183" t="str">
        <f t="shared" si="24"/>
        <v/>
      </c>
      <c r="J52" s="183" t="str">
        <f t="shared" si="24"/>
        <v/>
      </c>
      <c r="K52" s="183" t="str">
        <f t="shared" si="24"/>
        <v/>
      </c>
      <c r="L52" s="183" t="str">
        <f t="shared" si="24"/>
        <v/>
      </c>
      <c r="M52" s="183" t="str">
        <f t="shared" si="24"/>
        <v/>
      </c>
    </row>
    <row r="54" spans="2:13" x14ac:dyDescent="0.35">
      <c r="B54" s="175" t="s">
        <v>170</v>
      </c>
    </row>
    <row r="55" spans="2:13" x14ac:dyDescent="0.35">
      <c r="B55" s="40" t="s">
        <v>161</v>
      </c>
      <c r="C55" s="188">
        <f t="shared" ref="C55:M55" si="25">IF(C$4="","",C9)</f>
        <v>0</v>
      </c>
      <c r="D55" s="188">
        <f t="shared" si="25"/>
        <v>0</v>
      </c>
      <c r="E55" s="188">
        <f t="shared" si="25"/>
        <v>0</v>
      </c>
      <c r="F55" s="188">
        <f t="shared" si="25"/>
        <v>0</v>
      </c>
      <c r="G55" s="188">
        <f t="shared" si="25"/>
        <v>0</v>
      </c>
      <c r="H55" s="188" t="str">
        <f t="shared" si="25"/>
        <v/>
      </c>
      <c r="I55" s="188" t="str">
        <f t="shared" si="25"/>
        <v/>
      </c>
      <c r="J55" s="188" t="str">
        <f t="shared" si="25"/>
        <v/>
      </c>
      <c r="K55" s="188" t="str">
        <f t="shared" si="25"/>
        <v/>
      </c>
      <c r="L55" s="188" t="str">
        <f t="shared" si="25"/>
        <v/>
      </c>
      <c r="M55" s="188" t="str">
        <f t="shared" si="25"/>
        <v/>
      </c>
    </row>
    <row r="56" spans="2:13" x14ac:dyDescent="0.35">
      <c r="B56" s="40" t="s">
        <v>169</v>
      </c>
      <c r="C56" s="188">
        <f t="shared" ref="C56:M56" si="26">IF(C$4="","",C10)</f>
        <v>63615</v>
      </c>
      <c r="D56" s="188">
        <f t="shared" si="26"/>
        <v>54615</v>
      </c>
      <c r="E56" s="188">
        <f t="shared" si="26"/>
        <v>0</v>
      </c>
      <c r="F56" s="188">
        <f t="shared" si="26"/>
        <v>0</v>
      </c>
      <c r="G56" s="188">
        <f t="shared" si="26"/>
        <v>0</v>
      </c>
      <c r="H56" s="188" t="str">
        <f t="shared" si="26"/>
        <v/>
      </c>
      <c r="I56" s="188" t="str">
        <f t="shared" si="26"/>
        <v/>
      </c>
      <c r="J56" s="188" t="str">
        <f t="shared" si="26"/>
        <v/>
      </c>
      <c r="K56" s="188" t="str">
        <f t="shared" si="26"/>
        <v/>
      </c>
      <c r="L56" s="188" t="str">
        <f t="shared" si="26"/>
        <v/>
      </c>
      <c r="M56" s="188" t="str">
        <f t="shared" si="26"/>
        <v/>
      </c>
    </row>
    <row r="57" spans="2:13" x14ac:dyDescent="0.35">
      <c r="B57" s="40" t="s">
        <v>160</v>
      </c>
      <c r="C57" s="188">
        <f t="shared" ref="C57:M57" si="27">IF(C$4="","",C11)</f>
        <v>12454</v>
      </c>
      <c r="D57" s="188">
        <f t="shared" si="27"/>
        <v>12191</v>
      </c>
      <c r="E57" s="188">
        <f t="shared" si="27"/>
        <v>0</v>
      </c>
      <c r="F57" s="188">
        <f t="shared" si="27"/>
        <v>0</v>
      </c>
      <c r="G57" s="188">
        <f t="shared" si="27"/>
        <v>0</v>
      </c>
      <c r="H57" s="188" t="str">
        <f t="shared" si="27"/>
        <v/>
      </c>
      <c r="I57" s="188" t="str">
        <f t="shared" si="27"/>
        <v/>
      </c>
      <c r="J57" s="188" t="str">
        <f t="shared" si="27"/>
        <v/>
      </c>
      <c r="K57" s="188" t="str">
        <f t="shared" si="27"/>
        <v/>
      </c>
      <c r="L57" s="188" t="str">
        <f t="shared" si="27"/>
        <v/>
      </c>
      <c r="M57" s="188" t="str">
        <f t="shared" si="27"/>
        <v/>
      </c>
    </row>
    <row r="58" spans="2:13" x14ac:dyDescent="0.35">
      <c r="B58" s="40" t="s">
        <v>162</v>
      </c>
      <c r="C58" s="188">
        <f>IF(C$4="","",C44-C55-C56-C57)</f>
        <v>264609</v>
      </c>
      <c r="D58" s="188">
        <f t="shared" ref="D58:M58" si="28">IF(D$4="","",D44-D55-D56-D57)</f>
        <v>266825</v>
      </c>
      <c r="E58" s="188">
        <f t="shared" si="28"/>
        <v>-536928</v>
      </c>
      <c r="F58" s="188">
        <f t="shared" si="28"/>
        <v>145991</v>
      </c>
      <c r="G58" s="188">
        <f t="shared" si="28"/>
        <v>223533</v>
      </c>
      <c r="H58" s="188" t="str">
        <f t="shared" si="28"/>
        <v/>
      </c>
      <c r="I58" s="188" t="str">
        <f t="shared" si="28"/>
        <v/>
      </c>
      <c r="J58" s="188" t="str">
        <f t="shared" si="28"/>
        <v/>
      </c>
      <c r="K58" s="188" t="str">
        <f t="shared" si="28"/>
        <v/>
      </c>
      <c r="L58" s="188" t="str">
        <f t="shared" si="28"/>
        <v/>
      </c>
      <c r="M58" s="188" t="str">
        <f t="shared" si="28"/>
        <v/>
      </c>
    </row>
    <row r="60" spans="2:13" x14ac:dyDescent="0.35">
      <c r="B60" s="16" t="s">
        <v>52</v>
      </c>
      <c r="C60" s="9"/>
    </row>
    <row r="61" spans="2:13" x14ac:dyDescent="0.35">
      <c r="B61" s="27" t="s">
        <v>48</v>
      </c>
      <c r="C61" s="183">
        <f>IF(C$4="","",-C19)</f>
        <v>0</v>
      </c>
      <c r="D61" s="183">
        <f t="shared" ref="D61:M61" si="29">IF(D$4="","",-D19)</f>
        <v>0</v>
      </c>
      <c r="E61" s="183">
        <f t="shared" si="29"/>
        <v>0</v>
      </c>
      <c r="F61" s="183">
        <f t="shared" si="29"/>
        <v>0</v>
      </c>
      <c r="G61" s="183">
        <f t="shared" si="29"/>
        <v>0</v>
      </c>
      <c r="H61" s="183" t="str">
        <f t="shared" si="29"/>
        <v/>
      </c>
      <c r="I61" s="183" t="str">
        <f t="shared" si="29"/>
        <v/>
      </c>
      <c r="J61" s="183" t="str">
        <f t="shared" si="29"/>
        <v/>
      </c>
      <c r="K61" s="183" t="str">
        <f t="shared" si="29"/>
        <v/>
      </c>
      <c r="L61" s="183" t="str">
        <f t="shared" si="29"/>
        <v/>
      </c>
      <c r="M61" s="183" t="str">
        <f t="shared" si="29"/>
        <v/>
      </c>
    </row>
    <row r="62" spans="2:13" x14ac:dyDescent="0.35">
      <c r="B62" s="27" t="s">
        <v>54</v>
      </c>
      <c r="C62" s="183">
        <f>IF(C$4="","",-C20)</f>
        <v>1.006</v>
      </c>
      <c r="D62" s="183">
        <f t="shared" ref="D62:M62" si="30">IF(D$4="","",-D20)</f>
        <v>1.006</v>
      </c>
      <c r="E62" s="183">
        <f t="shared" si="30"/>
        <v>0.98599999999999999</v>
      </c>
      <c r="F62" s="183">
        <f t="shared" si="30"/>
        <v>5.18</v>
      </c>
      <c r="G62" s="183">
        <f t="shared" si="30"/>
        <v>8.4450000000000003</v>
      </c>
      <c r="H62" s="183" t="str">
        <f t="shared" si="30"/>
        <v/>
      </c>
      <c r="I62" s="183" t="str">
        <f t="shared" si="30"/>
        <v/>
      </c>
      <c r="J62" s="183" t="str">
        <f t="shared" si="30"/>
        <v/>
      </c>
      <c r="K62" s="183" t="str">
        <f t="shared" si="30"/>
        <v/>
      </c>
      <c r="L62" s="183" t="str">
        <f t="shared" si="30"/>
        <v/>
      </c>
      <c r="M62" s="183" t="str">
        <f t="shared" si="30"/>
        <v/>
      </c>
    </row>
    <row r="63" spans="2:13" x14ac:dyDescent="0.35">
      <c r="B63" s="27" t="s">
        <v>53</v>
      </c>
      <c r="C63" s="183">
        <f>IF(C$4="","",-C21)</f>
        <v>-34.15</v>
      </c>
      <c r="D63" s="183">
        <f t="shared" ref="D63:M63" si="31">IF(D$4="","",-D21)</f>
        <v>-34.15</v>
      </c>
      <c r="E63" s="183">
        <f t="shared" si="31"/>
        <v>39.787999999999997</v>
      </c>
      <c r="F63" s="183">
        <f t="shared" si="31"/>
        <v>-0.91</v>
      </c>
      <c r="G63" s="183">
        <f t="shared" si="31"/>
        <v>-980.62800000000004</v>
      </c>
      <c r="H63" s="183" t="str">
        <f t="shared" si="31"/>
        <v/>
      </c>
      <c r="I63" s="183" t="str">
        <f t="shared" si="31"/>
        <v/>
      </c>
      <c r="J63" s="183" t="str">
        <f t="shared" si="31"/>
        <v/>
      </c>
      <c r="K63" s="183" t="str">
        <f t="shared" si="31"/>
        <v/>
      </c>
      <c r="L63" s="183" t="str">
        <f t="shared" si="31"/>
        <v/>
      </c>
      <c r="M63" s="183" t="str">
        <f t="shared" si="31"/>
        <v/>
      </c>
    </row>
    <row r="64" spans="2:13" x14ac:dyDescent="0.35">
      <c r="B64" s="27" t="s">
        <v>408</v>
      </c>
      <c r="C64" s="183">
        <f>IF(C$4="","",C22+C23+C24)</f>
        <v>-479358</v>
      </c>
      <c r="D64" s="183">
        <f t="shared" ref="D64:M64" si="32">IF(D$4="","",D22+D23+D24)</f>
        <v>-100815</v>
      </c>
      <c r="E64" s="183">
        <f t="shared" si="32"/>
        <v>89390</v>
      </c>
      <c r="F64" s="183">
        <f t="shared" si="32"/>
        <v>-309325</v>
      </c>
      <c r="G64" s="183">
        <f t="shared" si="32"/>
        <v>-240213</v>
      </c>
      <c r="H64" s="183" t="str">
        <f t="shared" si="32"/>
        <v/>
      </c>
      <c r="I64" s="183" t="str">
        <f t="shared" si="32"/>
        <v/>
      </c>
      <c r="J64" s="183" t="str">
        <f t="shared" si="32"/>
        <v/>
      </c>
      <c r="K64" s="183" t="str">
        <f t="shared" si="32"/>
        <v/>
      </c>
      <c r="L64" s="183" t="str">
        <f t="shared" si="32"/>
        <v/>
      </c>
      <c r="M64" s="183" t="str">
        <f t="shared" si="32"/>
        <v/>
      </c>
    </row>
    <row r="65" spans="2:13" x14ac:dyDescent="0.35">
      <c r="B65" s="24" t="s">
        <v>36</v>
      </c>
      <c r="C65" s="73">
        <f>IF(C$4="","",C25)</f>
        <v>0.01</v>
      </c>
      <c r="D65" s="73">
        <f t="shared" ref="D65:M65" si="33">IF(D$4="","",D25)</f>
        <v>0</v>
      </c>
      <c r="E65" s="73">
        <f t="shared" si="33"/>
        <v>3.4000000000000002E-2</v>
      </c>
      <c r="F65" s="73">
        <f t="shared" si="33"/>
        <v>0.08</v>
      </c>
      <c r="G65" s="73">
        <f t="shared" si="33"/>
        <v>0.26</v>
      </c>
      <c r="H65" s="73" t="str">
        <f t="shared" si="33"/>
        <v/>
      </c>
      <c r="I65" s="73" t="str">
        <f t="shared" si="33"/>
        <v/>
      </c>
      <c r="J65" s="73" t="str">
        <f t="shared" si="33"/>
        <v/>
      </c>
      <c r="K65" s="73" t="str">
        <f t="shared" si="33"/>
        <v/>
      </c>
      <c r="L65" s="73" t="str">
        <f t="shared" si="33"/>
        <v/>
      </c>
      <c r="M65" s="73" t="str">
        <f t="shared" si="33"/>
        <v/>
      </c>
    </row>
    <row r="67" spans="2:13" x14ac:dyDescent="0.35">
      <c r="B67" s="91" t="s">
        <v>86</v>
      </c>
    </row>
    <row r="68" spans="2:13" x14ac:dyDescent="0.35">
      <c r="B68" s="1" t="str">
        <f>B36</f>
        <v>Sales</v>
      </c>
      <c r="C68" s="92">
        <f t="shared" ref="C68:M68" si="34">IF(D$36="","",C36/D36-1)</f>
        <v>-0.12300009576132021</v>
      </c>
      <c r="D68" s="92">
        <f t="shared" si="34"/>
        <v>-0.15062975782716226</v>
      </c>
      <c r="E68" s="92">
        <f t="shared" si="34"/>
        <v>-0.56056811231986692</v>
      </c>
      <c r="F68" s="92">
        <f t="shared" si="34"/>
        <v>-0.63161839611163206</v>
      </c>
      <c r="G68" s="92" t="str">
        <f t="shared" si="34"/>
        <v/>
      </c>
      <c r="H68" s="92" t="str">
        <f t="shared" si="34"/>
        <v/>
      </c>
      <c r="I68" s="92" t="str">
        <f t="shared" si="34"/>
        <v/>
      </c>
      <c r="J68" s="92" t="str">
        <f t="shared" si="34"/>
        <v/>
      </c>
      <c r="K68" s="92" t="str">
        <f t="shared" si="34"/>
        <v/>
      </c>
      <c r="L68" s="92" t="str">
        <f t="shared" si="34"/>
        <v/>
      </c>
      <c r="M68" s="92" t="str">
        <f t="shared" si="34"/>
        <v/>
      </c>
    </row>
    <row r="69" spans="2:13" x14ac:dyDescent="0.35">
      <c r="B69" s="31" t="s">
        <v>59</v>
      </c>
      <c r="C69" s="92">
        <f>IF(D$36="","",C38/D38-1)</f>
        <v>-0.43453084859111857</v>
      </c>
      <c r="D69" s="92">
        <f t="shared" ref="D69:M69" si="35">IF(E$36="","",D38/E38-1)</f>
        <v>-0.85225016794546216</v>
      </c>
      <c r="E69" s="92">
        <f t="shared" si="35"/>
        <v>-0.56056811231986692</v>
      </c>
      <c r="F69" s="92">
        <f t="shared" si="35"/>
        <v>-0.63161839611163206</v>
      </c>
      <c r="G69" s="92" t="str">
        <f t="shared" si="35"/>
        <v/>
      </c>
      <c r="H69" s="92" t="str">
        <f t="shared" si="35"/>
        <v/>
      </c>
      <c r="I69" s="92" t="str">
        <f t="shared" si="35"/>
        <v/>
      </c>
      <c r="J69" s="92" t="str">
        <f t="shared" si="35"/>
        <v/>
      </c>
      <c r="K69" s="92" t="str">
        <f t="shared" si="35"/>
        <v/>
      </c>
      <c r="L69" s="92" t="str">
        <f t="shared" si="35"/>
        <v/>
      </c>
      <c r="M69" s="92" t="str">
        <f t="shared" si="35"/>
        <v/>
      </c>
    </row>
    <row r="70" spans="2:13" x14ac:dyDescent="0.35">
      <c r="B70" s="80" t="str">
        <f>B43</f>
        <v>Operating EBIT</v>
      </c>
      <c r="C70" s="101">
        <f>IF(D$36="","",C43/D43-1)</f>
        <v>-2.199058132617504E-2</v>
      </c>
      <c r="D70" s="101">
        <f t="shared" ref="D70:M70" si="36">IF(E$36="","",D43/E43-1)</f>
        <v>-183.96890080428955</v>
      </c>
      <c r="E70" s="101">
        <f t="shared" si="36"/>
        <v>-0.99490257495128065</v>
      </c>
      <c r="F70" s="101">
        <f t="shared" si="36"/>
        <v>-0.73443694573200036</v>
      </c>
      <c r="G70" s="101" t="str">
        <f t="shared" si="36"/>
        <v/>
      </c>
      <c r="H70" s="101" t="str">
        <f t="shared" si="36"/>
        <v/>
      </c>
      <c r="I70" s="101" t="str">
        <f t="shared" si="36"/>
        <v/>
      </c>
      <c r="J70" s="101" t="str">
        <f t="shared" si="36"/>
        <v/>
      </c>
      <c r="K70" s="101" t="str">
        <f t="shared" si="36"/>
        <v/>
      </c>
      <c r="L70" s="101" t="str">
        <f t="shared" si="36"/>
        <v/>
      </c>
      <c r="M70" s="101" t="str">
        <f t="shared" si="36"/>
        <v/>
      </c>
    </row>
    <row r="71" spans="2:13" x14ac:dyDescent="0.35">
      <c r="B71" s="43" t="s">
        <v>170</v>
      </c>
      <c r="C71" s="101">
        <f>IF(D$36="","",C44/D44-1)</f>
        <v>2.1122137930827733E-2</v>
      </c>
      <c r="D71" s="101">
        <f t="shared" ref="D71:M71" si="37">IF(E$36="","",D44/E44-1)</f>
        <v>-1.6213700905894273</v>
      </c>
      <c r="E71" s="101">
        <f t="shared" si="37"/>
        <v>-4.6778157557657662</v>
      </c>
      <c r="F71" s="101">
        <f t="shared" si="37"/>
        <v>-0.34689285250947288</v>
      </c>
      <c r="G71" s="101" t="str">
        <f t="shared" si="37"/>
        <v/>
      </c>
      <c r="H71" s="101" t="str">
        <f t="shared" si="37"/>
        <v/>
      </c>
      <c r="I71" s="101" t="str">
        <f t="shared" si="37"/>
        <v/>
      </c>
      <c r="J71" s="101" t="str">
        <f t="shared" si="37"/>
        <v/>
      </c>
      <c r="K71" s="101" t="str">
        <f t="shared" si="37"/>
        <v/>
      </c>
      <c r="L71" s="101" t="str">
        <f t="shared" si="37"/>
        <v/>
      </c>
      <c r="M71" s="101" t="str">
        <f t="shared" si="37"/>
        <v/>
      </c>
    </row>
    <row r="72" spans="2:13" x14ac:dyDescent="0.35">
      <c r="B72" s="80" t="str">
        <f>B47</f>
        <v>Reported Net Income</v>
      </c>
      <c r="C72" s="101">
        <f>IF(D$36="","",C47/D47-1)</f>
        <v>0.33450277200277201</v>
      </c>
      <c r="D72" s="101">
        <f t="shared" ref="D72:M72" si="38">IF(E$36="","",D47/E47-1)</f>
        <v>-1.0424166153789625</v>
      </c>
      <c r="E72" s="101">
        <f t="shared" si="38"/>
        <v>-2.1889461417653058</v>
      </c>
      <c r="F72" s="101">
        <f t="shared" si="38"/>
        <v>-0.6681251925551388</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x14ac:dyDescent="0.45">
      <c r="B74" s="36" t="s">
        <v>84</v>
      </c>
      <c r="C74" s="37"/>
      <c r="D74" s="37"/>
      <c r="E74" s="37"/>
      <c r="F74" s="37"/>
      <c r="G74" s="37"/>
      <c r="H74" s="37"/>
      <c r="I74" s="37"/>
      <c r="J74" s="37"/>
      <c r="K74" s="37"/>
      <c r="L74" s="37"/>
      <c r="M74" s="37"/>
    </row>
    <row r="75" spans="2:13" x14ac:dyDescent="0.35">
      <c r="B75" s="16" t="s">
        <v>28</v>
      </c>
      <c r="C75" s="9"/>
    </row>
    <row r="76" spans="2:13" x14ac:dyDescent="0.35">
      <c r="B76" s="26" t="s">
        <v>3</v>
      </c>
      <c r="C76" s="188">
        <f>IF(C$4="","",C79+C80)</f>
        <v>3775213</v>
      </c>
      <c r="D76" s="188">
        <f t="shared" ref="D76:M76" si="39">IF(D$4="","",D79+D80)</f>
        <v>4678082</v>
      </c>
      <c r="E76" s="188">
        <f t="shared" si="39"/>
        <v>4747857</v>
      </c>
      <c r="F76" s="188">
        <f t="shared" si="39"/>
        <v>5670342</v>
      </c>
      <c r="G76" s="188">
        <f t="shared" si="39"/>
        <v>6298813</v>
      </c>
      <c r="H76" s="188" t="str">
        <f t="shared" si="39"/>
        <v/>
      </c>
      <c r="I76" s="188" t="str">
        <f t="shared" si="39"/>
        <v/>
      </c>
      <c r="J76" s="188" t="str">
        <f t="shared" si="39"/>
        <v/>
      </c>
      <c r="K76" s="188" t="str">
        <f t="shared" si="39"/>
        <v/>
      </c>
      <c r="L76" s="188" t="str">
        <f t="shared" si="39"/>
        <v/>
      </c>
      <c r="M76" s="188" t="str">
        <f t="shared" si="39"/>
        <v/>
      </c>
    </row>
    <row r="77" spans="2:13" x14ac:dyDescent="0.35">
      <c r="B77" s="93" t="s">
        <v>87</v>
      </c>
      <c r="C77" s="185">
        <f t="shared" ref="C77:H78" si="40">IF(C$4="","",C28)</f>
        <v>83455</v>
      </c>
      <c r="D77" s="185">
        <f t="shared" si="40"/>
        <v>56325</v>
      </c>
      <c r="E77" s="185">
        <f t="shared" si="40"/>
        <v>67131</v>
      </c>
      <c r="F77" s="185">
        <f t="shared" si="40"/>
        <v>190060</v>
      </c>
      <c r="G77" s="185">
        <f t="shared" si="40"/>
        <v>1495304</v>
      </c>
      <c r="H77" s="185" t="str">
        <f t="shared" si="40"/>
        <v/>
      </c>
      <c r="I77" s="335"/>
      <c r="J77" s="335"/>
      <c r="K77" s="335"/>
      <c r="L77" s="335"/>
      <c r="M77" s="335"/>
    </row>
    <row r="78" spans="2:13" x14ac:dyDescent="0.35">
      <c r="B78" s="93" t="s">
        <v>88</v>
      </c>
      <c r="C78" s="185">
        <f t="shared" si="40"/>
        <v>0</v>
      </c>
      <c r="D78" s="185">
        <f t="shared" si="40"/>
        <v>0</v>
      </c>
      <c r="E78" s="185">
        <f t="shared" si="40"/>
        <v>0</v>
      </c>
      <c r="F78" s="185">
        <f t="shared" si="40"/>
        <v>0</v>
      </c>
      <c r="G78" s="185">
        <f t="shared" si="40"/>
        <v>0</v>
      </c>
      <c r="H78" s="185" t="str">
        <f t="shared" si="40"/>
        <v/>
      </c>
      <c r="I78" s="335"/>
      <c r="J78" s="335"/>
      <c r="K78" s="335"/>
      <c r="L78" s="335"/>
      <c r="M78" s="335"/>
    </row>
    <row r="79" spans="2:13" x14ac:dyDescent="0.35">
      <c r="B79" s="26" t="s">
        <v>40</v>
      </c>
      <c r="C79" s="183">
        <f t="shared" ref="C79:M79" si="41">IF(C$4="","",C30)</f>
        <v>215440</v>
      </c>
      <c r="D79" s="183">
        <f t="shared" si="41"/>
        <v>1135384</v>
      </c>
      <c r="E79" s="183">
        <f t="shared" si="41"/>
        <v>253658</v>
      </c>
      <c r="F79" s="183">
        <f t="shared" si="41"/>
        <v>405587</v>
      </c>
      <c r="G79" s="183">
        <f t="shared" si="41"/>
        <v>880771</v>
      </c>
      <c r="H79" s="183" t="str">
        <f t="shared" si="41"/>
        <v/>
      </c>
      <c r="I79" s="183" t="str">
        <f t="shared" si="41"/>
        <v/>
      </c>
      <c r="J79" s="183" t="str">
        <f t="shared" si="41"/>
        <v/>
      </c>
      <c r="K79" s="183" t="str">
        <f t="shared" si="41"/>
        <v/>
      </c>
      <c r="L79" s="183" t="str">
        <f t="shared" si="41"/>
        <v/>
      </c>
      <c r="M79" s="183" t="str">
        <f t="shared" si="41"/>
        <v/>
      </c>
    </row>
    <row r="80" spans="2:13" x14ac:dyDescent="0.35">
      <c r="B80" s="26" t="s">
        <v>30</v>
      </c>
      <c r="C80" s="183">
        <f t="shared" ref="C80:M80" si="42">IF(C$4="","",C31)</f>
        <v>3559773</v>
      </c>
      <c r="D80" s="183">
        <f t="shared" si="42"/>
        <v>3542698</v>
      </c>
      <c r="E80" s="183">
        <f t="shared" si="42"/>
        <v>4494199</v>
      </c>
      <c r="F80" s="183">
        <f t="shared" si="42"/>
        <v>5264755</v>
      </c>
      <c r="G80" s="183">
        <f t="shared" si="42"/>
        <v>5418042</v>
      </c>
      <c r="H80" s="183" t="str">
        <f t="shared" si="42"/>
        <v/>
      </c>
      <c r="I80" s="183" t="str">
        <f t="shared" si="42"/>
        <v/>
      </c>
      <c r="J80" s="183" t="str">
        <f t="shared" si="42"/>
        <v/>
      </c>
      <c r="K80" s="183" t="str">
        <f t="shared" si="42"/>
        <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0" zoomScaleNormal="100" workbookViewId="0">
      <selection activeCell="B80" sqref="B80"/>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37</v>
      </c>
      <c r="C1" s="99">
        <v>45657</v>
      </c>
      <c r="F1" s="86" t="str">
        <f>IF(MONTH(C1)=MONTH(Normalized_FCF!G1),"FY","Quarter")&amp;" Report"</f>
        <v>FY Report</v>
      </c>
      <c r="H1" s="107">
        <f>Data!C3</f>
        <v>1000</v>
      </c>
    </row>
    <row r="2" spans="2:8" ht="15" customHeight="1" x14ac:dyDescent="0.35">
      <c r="B2" s="79" t="s">
        <v>158</v>
      </c>
      <c r="C2" s="37"/>
      <c r="D2" s="37"/>
      <c r="E2" s="37"/>
      <c r="F2" s="37"/>
      <c r="G2" s="37"/>
      <c r="H2" s="37"/>
    </row>
    <row r="3" spans="2:8" ht="15" customHeight="1" x14ac:dyDescent="0.35">
      <c r="B3" s="16" t="s">
        <v>186</v>
      </c>
      <c r="C3" s="203" t="s">
        <v>138</v>
      </c>
      <c r="D3" s="204" t="s">
        <v>35</v>
      </c>
      <c r="F3" s="16" t="s">
        <v>187</v>
      </c>
      <c r="G3" s="203" t="s">
        <v>138</v>
      </c>
      <c r="H3" s="204" t="s">
        <v>35</v>
      </c>
    </row>
    <row r="4" spans="2:8" ht="15" customHeight="1" x14ac:dyDescent="0.35">
      <c r="B4" s="4" t="s">
        <v>24</v>
      </c>
      <c r="C4" s="19">
        <f>37674+19634+26147</f>
        <v>83455</v>
      </c>
      <c r="D4" s="294">
        <v>0.6</v>
      </c>
      <c r="E4" s="25"/>
      <c r="F4" s="4" t="s">
        <v>79</v>
      </c>
      <c r="G4" s="19">
        <v>1077437</v>
      </c>
      <c r="H4" s="294">
        <v>0.9</v>
      </c>
    </row>
    <row r="5" spans="2:8" ht="15" customHeight="1" x14ac:dyDescent="0.35">
      <c r="B5" s="1" t="s">
        <v>33</v>
      </c>
      <c r="C5" s="19">
        <v>0</v>
      </c>
      <c r="D5" s="294">
        <v>0.6</v>
      </c>
      <c r="E5" s="25"/>
      <c r="F5" s="1" t="s">
        <v>29</v>
      </c>
      <c r="G5" s="19">
        <v>0</v>
      </c>
      <c r="H5" s="294">
        <v>0.7</v>
      </c>
    </row>
    <row r="6" spans="2:8" ht="15" customHeight="1" x14ac:dyDescent="0.35">
      <c r="B6" s="4" t="s">
        <v>10</v>
      </c>
      <c r="C6" s="19">
        <v>0</v>
      </c>
      <c r="D6" s="294">
        <v>0.5</v>
      </c>
      <c r="E6" s="25"/>
      <c r="F6" s="4" t="s">
        <v>179</v>
      </c>
      <c r="G6" s="19">
        <v>0</v>
      </c>
      <c r="H6" s="294">
        <v>0.6</v>
      </c>
    </row>
    <row r="7" spans="2:8" ht="15" customHeight="1" x14ac:dyDescent="0.35">
      <c r="B7" s="1" t="s">
        <v>70</v>
      </c>
      <c r="C7" s="19">
        <v>0</v>
      </c>
      <c r="D7" s="294">
        <v>0.6</v>
      </c>
      <c r="E7" s="25"/>
      <c r="F7" s="4" t="s">
        <v>180</v>
      </c>
      <c r="G7" s="19">
        <v>60407</v>
      </c>
      <c r="H7" s="294">
        <v>0.6</v>
      </c>
    </row>
    <row r="8" spans="2:8" ht="15" customHeight="1" x14ac:dyDescent="0.35">
      <c r="B8" s="1" t="s">
        <v>175</v>
      </c>
      <c r="C8" s="19">
        <v>0</v>
      </c>
      <c r="D8" s="294">
        <v>0.6</v>
      </c>
      <c r="E8" s="25"/>
      <c r="F8" s="1" t="s">
        <v>181</v>
      </c>
      <c r="G8" s="19">
        <v>0</v>
      </c>
      <c r="H8" s="294">
        <v>0.6</v>
      </c>
    </row>
    <row r="9" spans="2:8" ht="15" customHeight="1" x14ac:dyDescent="0.35">
      <c r="B9" s="4" t="s">
        <v>25</v>
      </c>
      <c r="C9" s="19">
        <v>15614</v>
      </c>
      <c r="D9" s="294">
        <v>0.1</v>
      </c>
      <c r="E9" s="25"/>
      <c r="F9" s="4" t="s">
        <v>182</v>
      </c>
      <c r="G9" s="19">
        <v>0</v>
      </c>
      <c r="H9" s="294">
        <v>0.6</v>
      </c>
    </row>
    <row r="10" spans="2:8" ht="15" customHeight="1" x14ac:dyDescent="0.35">
      <c r="B10" s="4" t="s">
        <v>11</v>
      </c>
      <c r="C10" s="19">
        <v>0</v>
      </c>
      <c r="D10" s="294">
        <v>0.9</v>
      </c>
      <c r="H10" s="295"/>
    </row>
    <row r="11" spans="2:8" ht="15" customHeight="1" x14ac:dyDescent="0.35">
      <c r="B11" s="4" t="s">
        <v>12</v>
      </c>
      <c r="C11" s="19">
        <v>0</v>
      </c>
      <c r="D11" s="294">
        <v>0.05</v>
      </c>
      <c r="H11" s="295"/>
    </row>
    <row r="12" spans="2:8" ht="15" customHeight="1" x14ac:dyDescent="0.35">
      <c r="B12" s="80" t="s">
        <v>73</v>
      </c>
      <c r="C12" s="81">
        <f>SUM(C4:C11)</f>
        <v>99069</v>
      </c>
      <c r="D12" s="20">
        <f>C4*D4+C5*D5+C9*D9+C6*D6+C8*D8+C7*D7+C10*D10+C11*D11</f>
        <v>51634.400000000001</v>
      </c>
      <c r="F12" s="80" t="s">
        <v>71</v>
      </c>
      <c r="G12" s="81">
        <f>SUM(G4:G9)</f>
        <v>1137844</v>
      </c>
      <c r="H12" s="20">
        <f>G4*H4+G5*H5+G6*H6+G7*H7+G8*H8+G9*H9</f>
        <v>1005937.5</v>
      </c>
    </row>
    <row r="13" spans="2:8" ht="15" customHeight="1" x14ac:dyDescent="0.35">
      <c r="F13" s="80"/>
      <c r="G13" s="81"/>
      <c r="H13" s="20"/>
    </row>
    <row r="14" spans="2:8" ht="15" customHeight="1" x14ac:dyDescent="0.35">
      <c r="B14" s="16" t="s">
        <v>185</v>
      </c>
      <c r="C14" s="203" t="s">
        <v>138</v>
      </c>
      <c r="D14" s="204" t="s">
        <v>35</v>
      </c>
      <c r="F14" s="16" t="s">
        <v>188</v>
      </c>
      <c r="G14" s="203" t="s">
        <v>138</v>
      </c>
      <c r="H14" s="204" t="s">
        <v>35</v>
      </c>
    </row>
    <row r="15" spans="2:8" ht="15" customHeight="1" x14ac:dyDescent="0.35">
      <c r="B15" s="4" t="s">
        <v>74</v>
      </c>
      <c r="C15" s="19">
        <v>0</v>
      </c>
      <c r="D15" s="294">
        <v>0.4</v>
      </c>
      <c r="F15" s="4" t="s">
        <v>80</v>
      </c>
      <c r="G15" s="19">
        <v>0</v>
      </c>
      <c r="H15" s="294">
        <v>0.8</v>
      </c>
    </row>
    <row r="16" spans="2:8" ht="15" customHeight="1" x14ac:dyDescent="0.35">
      <c r="B16" s="1" t="s">
        <v>34</v>
      </c>
      <c r="C16" s="19">
        <v>0</v>
      </c>
      <c r="D16" s="294">
        <v>0.5</v>
      </c>
      <c r="F16" s="4" t="s">
        <v>179</v>
      </c>
      <c r="G16" s="19">
        <v>1688685</v>
      </c>
      <c r="H16" s="294">
        <v>0.6</v>
      </c>
    </row>
    <row r="17" spans="2:8" ht="15" customHeight="1" x14ac:dyDescent="0.35">
      <c r="B17" s="1" t="s">
        <v>70</v>
      </c>
      <c r="C17" s="19">
        <v>0</v>
      </c>
      <c r="D17" s="294">
        <v>0.6</v>
      </c>
      <c r="F17" s="4" t="s">
        <v>180</v>
      </c>
      <c r="G17" s="19">
        <v>0</v>
      </c>
      <c r="H17" s="294">
        <v>0.6</v>
      </c>
    </row>
    <row r="18" spans="2:8" ht="15" customHeight="1" x14ac:dyDescent="0.35">
      <c r="B18" s="4" t="s">
        <v>175</v>
      </c>
      <c r="C18" s="19">
        <v>0</v>
      </c>
      <c r="D18" s="294">
        <v>0.6</v>
      </c>
      <c r="F18" s="4" t="s">
        <v>183</v>
      </c>
      <c r="G18" s="19">
        <v>0</v>
      </c>
      <c r="H18" s="294">
        <v>0.1</v>
      </c>
    </row>
    <row r="19" spans="2:8" ht="15" customHeight="1" x14ac:dyDescent="0.35">
      <c r="B19" s="4" t="s">
        <v>26</v>
      </c>
      <c r="C19" s="19">
        <f>145400+31250</f>
        <v>176650</v>
      </c>
      <c r="D19" s="294">
        <v>0.1</v>
      </c>
      <c r="F19" s="4" t="s">
        <v>184</v>
      </c>
      <c r="G19" s="19">
        <f>479666+1388</f>
        <v>481054</v>
      </c>
      <c r="H19" s="294">
        <v>0.1</v>
      </c>
    </row>
    <row r="20" spans="2:8" ht="15" customHeight="1" x14ac:dyDescent="0.35">
      <c r="B20" s="4" t="s">
        <v>18</v>
      </c>
      <c r="C20" s="19">
        <v>0</v>
      </c>
      <c r="D20" s="294">
        <v>0.05</v>
      </c>
      <c r="F20" s="4" t="s">
        <v>181</v>
      </c>
      <c r="G20" s="19">
        <v>173307</v>
      </c>
      <c r="H20" s="294">
        <v>0.2</v>
      </c>
    </row>
    <row r="21" spans="2:8" ht="15" customHeight="1" x14ac:dyDescent="0.35">
      <c r="B21" s="4" t="s">
        <v>19</v>
      </c>
      <c r="C21" s="19">
        <v>9357</v>
      </c>
      <c r="D21" s="294">
        <v>0.05</v>
      </c>
      <c r="F21" s="1" t="s">
        <v>182</v>
      </c>
      <c r="G21" s="19">
        <v>0</v>
      </c>
      <c r="H21" s="294">
        <v>0.1</v>
      </c>
    </row>
    <row r="22" spans="2:8" ht="15" customHeight="1" x14ac:dyDescent="0.35">
      <c r="B22" s="4" t="s">
        <v>20</v>
      </c>
      <c r="C22" s="19">
        <v>2304</v>
      </c>
      <c r="D22" s="294">
        <v>0.9</v>
      </c>
      <c r="H22" s="295"/>
    </row>
    <row r="23" spans="2:8" ht="15" customHeight="1" x14ac:dyDescent="0.35">
      <c r="B23" s="4" t="s">
        <v>21</v>
      </c>
      <c r="C23" s="19">
        <v>6943</v>
      </c>
      <c r="D23" s="294">
        <v>0</v>
      </c>
      <c r="H23" s="295"/>
    </row>
    <row r="24" spans="2:8" ht="15" customHeight="1" x14ac:dyDescent="0.35">
      <c r="B24" s="80" t="s">
        <v>75</v>
      </c>
      <c r="C24" s="81">
        <f>SUM(C15:C23)</f>
        <v>195254</v>
      </c>
      <c r="D24" s="20">
        <f>C15*D15+C16*D16+C18*D18+C17*D17+C19*D19+C20*D20+C21*D21+C22*D22+C23*D23</f>
        <v>20206.449999999997</v>
      </c>
      <c r="F24" s="80" t="s">
        <v>72</v>
      </c>
      <c r="G24" s="81">
        <f>SUM(G15:G21)</f>
        <v>2343046</v>
      </c>
      <c r="H24" s="20">
        <f>G15*H15+G16*H16+G17*H17+G18*H18+G19*H19+G20*H20+G21*H21</f>
        <v>1095977.7999999998</v>
      </c>
    </row>
    <row r="26" spans="2:8" ht="15" customHeight="1" x14ac:dyDescent="0.35">
      <c r="B26" s="16" t="s">
        <v>202</v>
      </c>
      <c r="C26" s="203" t="s">
        <v>138</v>
      </c>
      <c r="F26" s="205" t="s">
        <v>198</v>
      </c>
      <c r="G26" s="206" t="s">
        <v>138</v>
      </c>
      <c r="H26" s="207" t="s">
        <v>35</v>
      </c>
    </row>
    <row r="27" spans="2:8" ht="15" customHeight="1" x14ac:dyDescent="0.35">
      <c r="B27" s="4" t="s">
        <v>5</v>
      </c>
      <c r="C27" s="19">
        <v>65941</v>
      </c>
      <c r="F27" s="208" t="s">
        <v>30</v>
      </c>
      <c r="G27" s="85">
        <f>G32-G30</f>
        <v>3559773</v>
      </c>
      <c r="H27" s="209">
        <f>H32-G30</f>
        <v>1958316.15</v>
      </c>
    </row>
    <row r="28" spans="2:8" ht="15" customHeight="1" x14ac:dyDescent="0.35">
      <c r="B28" s="4" t="s">
        <v>6</v>
      </c>
      <c r="C28" s="19">
        <v>12865</v>
      </c>
      <c r="F28" s="210" t="s">
        <v>246</v>
      </c>
      <c r="G28" s="181">
        <v>7710</v>
      </c>
      <c r="H28" s="209"/>
    </row>
    <row r="29" spans="2:8" ht="15" customHeight="1" x14ac:dyDescent="0.35">
      <c r="B29" s="4" t="s">
        <v>7</v>
      </c>
      <c r="C29" s="19">
        <v>0</v>
      </c>
      <c r="F29" s="211" t="s">
        <v>77</v>
      </c>
      <c r="G29" s="14">
        <f>G27-G28</f>
        <v>3552063</v>
      </c>
      <c r="H29" s="209">
        <f>H27-G28</f>
        <v>1950606.15</v>
      </c>
    </row>
    <row r="30" spans="2:8" ht="15" customHeight="1" x14ac:dyDescent="0.35">
      <c r="B30" s="2" t="s">
        <v>8</v>
      </c>
      <c r="C30" s="19">
        <v>0</v>
      </c>
      <c r="F30" s="208" t="s">
        <v>23</v>
      </c>
      <c r="G30" s="85">
        <f>C33+C42</f>
        <v>215440</v>
      </c>
      <c r="H30" s="209"/>
    </row>
    <row r="31" spans="2:8" ht="15" customHeight="1" x14ac:dyDescent="0.35">
      <c r="B31" s="80" t="s">
        <v>205</v>
      </c>
      <c r="C31" s="81">
        <f>SUM(C27:C30)</f>
        <v>78806</v>
      </c>
      <c r="F31" s="211" t="s">
        <v>78</v>
      </c>
      <c r="G31" s="212">
        <f>C31+C40</f>
        <v>97365</v>
      </c>
      <c r="H31" s="209"/>
    </row>
    <row r="32" spans="2:8" ht="15" customHeight="1" x14ac:dyDescent="0.35">
      <c r="B32" s="4" t="s">
        <v>9</v>
      </c>
      <c r="C32" s="21">
        <f>C33-C31</f>
        <v>116223</v>
      </c>
      <c r="F32" s="213" t="s">
        <v>76</v>
      </c>
      <c r="G32" s="214">
        <f>G35+G40</f>
        <v>3775213</v>
      </c>
      <c r="H32" s="209">
        <f>H35+H40</f>
        <v>2173756.15</v>
      </c>
    </row>
    <row r="33" spans="2:8" ht="15" customHeight="1" x14ac:dyDescent="0.35">
      <c r="B33" s="83" t="s">
        <v>4</v>
      </c>
      <c r="C33" s="84">
        <v>195029</v>
      </c>
      <c r="F33" s="215"/>
      <c r="G33" s="2"/>
      <c r="H33" s="216"/>
    </row>
    <row r="34" spans="2:8" ht="15" customHeight="1" x14ac:dyDescent="0.35">
      <c r="B34" s="83"/>
      <c r="C34" s="84"/>
      <c r="F34" s="217" t="s">
        <v>204</v>
      </c>
      <c r="G34" s="218" t="s">
        <v>138</v>
      </c>
      <c r="H34" s="219" t="s">
        <v>35</v>
      </c>
    </row>
    <row r="35" spans="2:8" ht="15" customHeight="1" x14ac:dyDescent="0.35">
      <c r="B35" s="16" t="s">
        <v>203</v>
      </c>
      <c r="C35" s="203" t="s">
        <v>138</v>
      </c>
      <c r="F35" s="220" t="s">
        <v>31</v>
      </c>
      <c r="G35" s="214">
        <f>C12+C24</f>
        <v>294323</v>
      </c>
      <c r="H35" s="221">
        <f>D12+D24</f>
        <v>71840.850000000006</v>
      </c>
    </row>
    <row r="36" spans="2:8" ht="15" customHeight="1" x14ac:dyDescent="0.35">
      <c r="B36" s="4" t="s">
        <v>13</v>
      </c>
      <c r="C36" s="19">
        <v>0</v>
      </c>
      <c r="F36" s="211" t="s">
        <v>199</v>
      </c>
      <c r="G36" s="212">
        <f>C4+C15</f>
        <v>83455</v>
      </c>
      <c r="H36" s="216"/>
    </row>
    <row r="37" spans="2:8" ht="15" customHeight="1" x14ac:dyDescent="0.35">
      <c r="B37" s="4" t="s">
        <v>14</v>
      </c>
      <c r="C37" s="19">
        <v>18559</v>
      </c>
      <c r="F37" s="211" t="s">
        <v>200</v>
      </c>
      <c r="G37" s="212">
        <f>C6</f>
        <v>0</v>
      </c>
      <c r="H37" s="216"/>
    </row>
    <row r="38" spans="2:8" ht="15" customHeight="1" x14ac:dyDescent="0.35">
      <c r="B38" s="4" t="s">
        <v>15</v>
      </c>
      <c r="C38" s="19">
        <v>0</v>
      </c>
      <c r="F38" s="211" t="s">
        <v>201</v>
      </c>
      <c r="G38" s="212">
        <f>C7+C17</f>
        <v>0</v>
      </c>
      <c r="H38" s="216"/>
    </row>
    <row r="39" spans="2:8" ht="15" customHeight="1" x14ac:dyDescent="0.35">
      <c r="B39" s="2" t="s">
        <v>16</v>
      </c>
      <c r="C39" s="19">
        <v>0</v>
      </c>
      <c r="F39" s="211" t="s">
        <v>81</v>
      </c>
      <c r="G39" s="212">
        <f>C7+C17+C19+C20</f>
        <v>176650</v>
      </c>
      <c r="H39" s="209">
        <f>C7*D7+C17*D17+C19*D19+C20*D20</f>
        <v>17665</v>
      </c>
    </row>
    <row r="40" spans="2:8" ht="15" customHeight="1" x14ac:dyDescent="0.35">
      <c r="B40" s="80" t="s">
        <v>206</v>
      </c>
      <c r="C40" s="81">
        <f>SUM(C36:C39)</f>
        <v>18559</v>
      </c>
      <c r="F40" s="220" t="s">
        <v>140</v>
      </c>
      <c r="G40" s="214">
        <f>G12+G24</f>
        <v>3480890</v>
      </c>
      <c r="H40" s="221">
        <f>H12+H24</f>
        <v>2101915.2999999998</v>
      </c>
    </row>
    <row r="41" spans="2:8" ht="15" customHeight="1" x14ac:dyDescent="0.35">
      <c r="B41" s="4" t="s">
        <v>17</v>
      </c>
      <c r="C41" s="21">
        <f>C42-C40</f>
        <v>1852</v>
      </c>
      <c r="F41" s="211" t="s">
        <v>193</v>
      </c>
      <c r="G41" s="212">
        <f>C70</f>
        <v>2939429</v>
      </c>
      <c r="H41" s="221">
        <f>H40-H42</f>
        <v>2017565.6999999997</v>
      </c>
    </row>
    <row r="42" spans="2:8" ht="15" customHeight="1" x14ac:dyDescent="0.35">
      <c r="B42" s="83" t="s">
        <v>22</v>
      </c>
      <c r="C42" s="84">
        <v>20411</v>
      </c>
      <c r="F42" s="222" t="s">
        <v>194</v>
      </c>
      <c r="G42" s="223">
        <f>C82</f>
        <v>541461</v>
      </c>
      <c r="H42" s="224">
        <f>D82</f>
        <v>84349.6</v>
      </c>
    </row>
    <row r="44" spans="2:8" ht="15" customHeight="1" x14ac:dyDescent="0.35">
      <c r="B44" s="79" t="s">
        <v>98</v>
      </c>
      <c r="C44" s="37"/>
      <c r="D44" s="37"/>
      <c r="E44" s="37"/>
      <c r="F44" s="37"/>
      <c r="G44" s="37"/>
      <c r="H44" s="37"/>
    </row>
    <row r="45" spans="2:8" ht="15" customHeight="1" x14ac:dyDescent="0.35">
      <c r="B45" s="16" t="s">
        <v>274</v>
      </c>
      <c r="C45" s="261" t="s">
        <v>138</v>
      </c>
      <c r="D45" s="203" t="s">
        <v>275</v>
      </c>
      <c r="F45" s="287" t="s">
        <v>60</v>
      </c>
    </row>
    <row r="46" spans="2:8" ht="15" customHeight="1" x14ac:dyDescent="0.35">
      <c r="B46" s="1" t="s">
        <v>277</v>
      </c>
      <c r="C46" s="188">
        <f>G29</f>
        <v>3552063</v>
      </c>
      <c r="D46" s="188">
        <f>H29</f>
        <v>1950606.15</v>
      </c>
      <c r="F46" s="283"/>
    </row>
    <row r="47" spans="2:8" ht="15" customHeight="1" x14ac:dyDescent="0.35">
      <c r="B47" s="1" t="str">
        <f>"Equity per share ("&amp;Market_currency&amp;")"</f>
        <v>Equity per share (HKD)</v>
      </c>
      <c r="C47" s="148">
        <f>C46*H1/Common_Shares*Exchange_Rate</f>
        <v>1.9445140874155618</v>
      </c>
      <c r="D47" s="148">
        <f>D46*H1/Common_Shares*Exchange_Rate</f>
        <v>1.0678248492986842</v>
      </c>
      <c r="F47" s="283"/>
    </row>
    <row r="48" spans="2:8" ht="15" customHeight="1" x14ac:dyDescent="0.35">
      <c r="F48" s="283"/>
    </row>
    <row r="49" spans="2:8" ht="15" customHeight="1" x14ac:dyDescent="0.35">
      <c r="B49" s="158" t="s">
        <v>145</v>
      </c>
      <c r="C49" s="262" t="s">
        <v>58</v>
      </c>
      <c r="D49" s="218" t="s">
        <v>97</v>
      </c>
      <c r="E49" s="2"/>
      <c r="F49" s="283"/>
    </row>
    <row r="50" spans="2:8" ht="15" customHeight="1" x14ac:dyDescent="0.35">
      <c r="B50" s="8" t="s">
        <v>95</v>
      </c>
      <c r="C50" s="95">
        <f>G31/Normalized_FCF!C8</f>
        <v>-1.5636944721035557</v>
      </c>
      <c r="D50" s="95">
        <f>G31/Normalized_FCF!G8</f>
        <v>-0.29174519750818767</v>
      </c>
      <c r="F50" s="283"/>
    </row>
    <row r="51" spans="2:8" ht="15" customHeight="1" x14ac:dyDescent="0.35">
      <c r="B51" s="1" t="s">
        <v>178</v>
      </c>
      <c r="C51" s="202"/>
      <c r="D51" s="92">
        <f>G29/G32</f>
        <v>0.94089075238933539</v>
      </c>
      <c r="F51" s="283"/>
    </row>
    <row r="52" spans="2:8" ht="15" customHeight="1" x14ac:dyDescent="0.35">
      <c r="F52" s="283"/>
    </row>
    <row r="53" spans="2:8" ht="15" customHeight="1" x14ac:dyDescent="0.35">
      <c r="B53" s="158" t="s">
        <v>144</v>
      </c>
      <c r="C53" s="262" t="s">
        <v>58</v>
      </c>
      <c r="D53" s="218" t="s">
        <v>97</v>
      </c>
      <c r="F53" s="283"/>
    </row>
    <row r="54" spans="2:8" ht="15" customHeight="1" x14ac:dyDescent="0.35">
      <c r="B54" s="1" t="s">
        <v>141</v>
      </c>
      <c r="C54" s="92">
        <f>Normalized_FCF!C8/G35</f>
        <v>-0.21155669111826123</v>
      </c>
      <c r="D54" s="92">
        <f>Normalized_FCF!G8/G35</f>
        <v>-1.1339005106634548</v>
      </c>
      <c r="F54" s="283"/>
    </row>
    <row r="55" spans="2:8" ht="15" customHeight="1" x14ac:dyDescent="0.35">
      <c r="B55" s="1" t="s">
        <v>143</v>
      </c>
      <c r="C55" s="92">
        <f>Normalized_FCF!C11/G40</f>
        <v>2.026702366348836E-2</v>
      </c>
      <c r="D55" s="92">
        <f>Normalized_FCF!G11/G40</f>
        <v>2.185331912240835E-2</v>
      </c>
      <c r="F55" s="283"/>
    </row>
    <row r="56" spans="2:8" ht="15" customHeight="1" x14ac:dyDescent="0.35">
      <c r="F56" s="283"/>
    </row>
    <row r="57" spans="2:8" ht="15" customHeight="1" x14ac:dyDescent="0.35">
      <c r="B57" s="158" t="s">
        <v>177</v>
      </c>
      <c r="C57" s="262" t="s">
        <v>58</v>
      </c>
      <c r="D57" s="218" t="s">
        <v>97</v>
      </c>
      <c r="F57" s="283"/>
    </row>
    <row r="58" spans="2:8" ht="15" customHeight="1" x14ac:dyDescent="0.35">
      <c r="B58" s="2" t="s">
        <v>91</v>
      </c>
      <c r="C58" s="98"/>
      <c r="D58" s="23">
        <f>Normalized_FCF!G9/BS!$G$39</f>
        <v>0</v>
      </c>
      <c r="F58" s="5"/>
    </row>
    <row r="59" spans="2:8" ht="15" customHeight="1" x14ac:dyDescent="0.35">
      <c r="B59" s="1" t="s">
        <v>94</v>
      </c>
      <c r="C59" s="98"/>
      <c r="D59" s="92">
        <f>G39/G32</f>
        <v>4.6792061798897173E-2</v>
      </c>
      <c r="F59" s="283"/>
    </row>
    <row r="60" spans="2:8" ht="15" customHeight="1" x14ac:dyDescent="0.35">
      <c r="F60" s="283"/>
    </row>
    <row r="61" spans="2:8" ht="15" customHeight="1" x14ac:dyDescent="0.35">
      <c r="B61" s="158" t="s">
        <v>278</v>
      </c>
      <c r="C61" s="262" t="s">
        <v>139</v>
      </c>
      <c r="D61" s="218" t="s">
        <v>97</v>
      </c>
      <c r="F61" s="283"/>
    </row>
    <row r="62" spans="2:8" ht="15" customHeight="1" x14ac:dyDescent="0.35">
      <c r="B62" s="1" t="s">
        <v>247</v>
      </c>
      <c r="C62" s="92">
        <f>IF(G28&lt;=0,0,G28/G29)</f>
        <v>2.1705696098295556E-3</v>
      </c>
      <c r="D62" s="92">
        <f>G28/G29</f>
        <v>2.1705696098295556E-3</v>
      </c>
      <c r="F62" s="283" t="s">
        <v>276</v>
      </c>
    </row>
    <row r="64" spans="2:8" ht="15" customHeight="1" x14ac:dyDescent="0.35">
      <c r="B64" s="79" t="s">
        <v>195</v>
      </c>
      <c r="C64" s="37"/>
      <c r="D64" s="37"/>
      <c r="E64" s="37"/>
      <c r="F64" s="37"/>
      <c r="G64" s="37"/>
      <c r="H64" s="37"/>
    </row>
    <row r="65" spans="2:6" ht="15" customHeight="1" x14ac:dyDescent="0.35">
      <c r="B65" s="16" t="s">
        <v>190</v>
      </c>
      <c r="C65" s="261" t="s">
        <v>138</v>
      </c>
      <c r="D65" s="204" t="s">
        <v>295</v>
      </c>
      <c r="F65" s="287" t="s">
        <v>60</v>
      </c>
    </row>
    <row r="66" spans="2:6" ht="15" customHeight="1" x14ac:dyDescent="0.35">
      <c r="B66" s="105" t="s">
        <v>189</v>
      </c>
      <c r="C66" s="20">
        <f>G4+G5+G15</f>
        <v>1077437</v>
      </c>
      <c r="D66" s="188">
        <f>C66-D75</f>
        <v>913534.95084499998</v>
      </c>
      <c r="F66" s="5" t="s">
        <v>228</v>
      </c>
    </row>
    <row r="67" spans="2:6" ht="15" customHeight="1" x14ac:dyDescent="0.35">
      <c r="B67" s="105" t="s">
        <v>179</v>
      </c>
      <c r="C67" s="20">
        <f>G6+G16</f>
        <v>1688685</v>
      </c>
      <c r="F67" s="283"/>
    </row>
    <row r="68" spans="2:6" ht="15" customHeight="1" x14ac:dyDescent="0.35">
      <c r="B68" s="105" t="s">
        <v>183</v>
      </c>
      <c r="C68" s="20">
        <f>G18</f>
        <v>0</v>
      </c>
      <c r="F68" s="283"/>
    </row>
    <row r="69" spans="2:6" ht="15" customHeight="1" x14ac:dyDescent="0.35">
      <c r="B69" s="105" t="s">
        <v>181</v>
      </c>
      <c r="C69" s="20">
        <f>G8+G20</f>
        <v>173307</v>
      </c>
      <c r="F69" s="283"/>
    </row>
    <row r="70" spans="2:6" ht="15" customHeight="1" x14ac:dyDescent="0.35">
      <c r="B70" s="80" t="s">
        <v>190</v>
      </c>
      <c r="C70" s="81">
        <f>SUM(C66:C69)</f>
        <v>2939429</v>
      </c>
      <c r="F70" s="283"/>
    </row>
    <row r="71" spans="2:6" ht="15" customHeight="1" x14ac:dyDescent="0.35">
      <c r="F71" s="283"/>
    </row>
    <row r="72" spans="2:6" ht="15" customHeight="1" x14ac:dyDescent="0.35">
      <c r="B72" s="285" t="s">
        <v>329</v>
      </c>
      <c r="C72" s="261" t="s">
        <v>97</v>
      </c>
      <c r="D72" s="203" t="s">
        <v>58</v>
      </c>
      <c r="F72" s="283"/>
    </row>
    <row r="73" spans="2:6" ht="15" customHeight="1" x14ac:dyDescent="0.35">
      <c r="B73" s="105" t="s">
        <v>328</v>
      </c>
      <c r="C73" s="188">
        <f>(Normalized_FCF!G25+Normalized_FCF!G35-Normalized_FCF!G91)/12</f>
        <v>-49939.258192500005</v>
      </c>
      <c r="D73" s="188">
        <f>(Normalized_FCF!C25+Normalized_FCF!C35-Normalized_FCF!C91)/12</f>
        <v>-27317.008192499998</v>
      </c>
      <c r="F73" s="1" t="s">
        <v>363</v>
      </c>
    </row>
    <row r="74" spans="2:6" ht="15" customHeight="1" x14ac:dyDescent="0.35">
      <c r="B74" s="288" t="s">
        <v>333</v>
      </c>
      <c r="C74" s="289">
        <f>-$C$66/C73</f>
        <v>21.574950029229949</v>
      </c>
      <c r="D74" s="289">
        <f>-$C$66/D73</f>
        <v>39.441983997933384</v>
      </c>
      <c r="F74" s="283" t="s">
        <v>330</v>
      </c>
    </row>
    <row r="75" spans="2:6" ht="15" customHeight="1" x14ac:dyDescent="0.35">
      <c r="B75" s="80" t="s">
        <v>331</v>
      </c>
      <c r="C75" s="293"/>
      <c r="D75" s="292">
        <f>MAX(-D73*D76,G5)</f>
        <v>163902.04915499999</v>
      </c>
      <c r="F75" s="283" t="s">
        <v>364</v>
      </c>
    </row>
    <row r="76" spans="2:6" ht="15" customHeight="1" x14ac:dyDescent="0.35">
      <c r="B76" s="290" t="s">
        <v>334</v>
      </c>
      <c r="C76" s="291"/>
      <c r="D76" s="327">
        <f>IF(D74&lt;=3,1,IF(D74&gt;18,6,2))</f>
        <v>6</v>
      </c>
      <c r="F76" s="283" t="s">
        <v>335</v>
      </c>
    </row>
    <row r="77" spans="2:6" ht="15" customHeight="1" x14ac:dyDescent="0.35">
      <c r="F77" s="283"/>
    </row>
    <row r="78" spans="2:6" ht="15" customHeight="1" x14ac:dyDescent="0.35">
      <c r="B78" s="16" t="s">
        <v>191</v>
      </c>
      <c r="C78" s="261" t="s">
        <v>138</v>
      </c>
      <c r="D78" s="204" t="s">
        <v>35</v>
      </c>
      <c r="F78" s="283"/>
    </row>
    <row r="79" spans="2:6" ht="15" customHeight="1" x14ac:dyDescent="0.35">
      <c r="B79" s="105" t="s">
        <v>180</v>
      </c>
      <c r="C79" s="20">
        <f>G7+G17</f>
        <v>60407</v>
      </c>
      <c r="D79" s="188">
        <f>G7*H7+G17*H17</f>
        <v>36244.199999999997</v>
      </c>
      <c r="F79" s="283"/>
    </row>
    <row r="80" spans="2:6" ht="15" customHeight="1" x14ac:dyDescent="0.35">
      <c r="B80" s="105" t="s">
        <v>184</v>
      </c>
      <c r="C80" s="20">
        <f>G19</f>
        <v>481054</v>
      </c>
      <c r="D80" s="188">
        <f>G19*H19</f>
        <v>48105.4</v>
      </c>
      <c r="F80" s="283"/>
    </row>
    <row r="81" spans="2:8" ht="15" customHeight="1" x14ac:dyDescent="0.35">
      <c r="B81" s="105" t="s">
        <v>182</v>
      </c>
      <c r="C81" s="20">
        <f>G9+G21</f>
        <v>0</v>
      </c>
      <c r="D81" s="188">
        <f>G9*H9+G21*H21</f>
        <v>0</v>
      </c>
      <c r="F81" s="283"/>
    </row>
    <row r="82" spans="2:8" ht="15" customHeight="1" x14ac:dyDescent="0.35">
      <c r="B82" s="80" t="s">
        <v>191</v>
      </c>
      <c r="C82" s="81">
        <f>SUM(C79:C81)</f>
        <v>541461</v>
      </c>
      <c r="D82" s="81">
        <f>SUM(D79:D81)</f>
        <v>84349.6</v>
      </c>
      <c r="F82" s="283"/>
    </row>
    <row r="84" spans="2:8" ht="15" customHeight="1" x14ac:dyDescent="0.35">
      <c r="B84" s="79" t="s">
        <v>298</v>
      </c>
      <c r="C84" s="37"/>
      <c r="D84" s="37"/>
      <c r="E84" s="37"/>
      <c r="F84" s="37"/>
      <c r="G84" s="37"/>
      <c r="H84" s="37"/>
    </row>
    <row r="85" spans="2:8" ht="15" customHeight="1" x14ac:dyDescent="0.35">
      <c r="B85" s="16" t="s">
        <v>299</v>
      </c>
      <c r="D85" s="270" t="s">
        <v>300</v>
      </c>
    </row>
    <row r="86" spans="2:8" ht="15" customHeight="1" x14ac:dyDescent="0.35">
      <c r="B86" s="267" t="s">
        <v>296</v>
      </c>
      <c r="C86" s="188">
        <f>-Valuation_Model!C7*Exchange_Rate</f>
        <v>-97365</v>
      </c>
      <c r="D86" s="248">
        <f>C86*$H$1/Common_Shares</f>
        <v>-5.3300747796763789E-2</v>
      </c>
      <c r="E86" s="269" t="str">
        <f>Market_currency</f>
        <v>HKD</v>
      </c>
    </row>
    <row r="87" spans="2:8" ht="15" customHeight="1" x14ac:dyDescent="0.35">
      <c r="B87" s="267" t="s">
        <v>297</v>
      </c>
      <c r="C87" s="188">
        <f>Valuation_Model!C8*Exchange_Rate</f>
        <v>913534.95084499998</v>
      </c>
      <c r="D87" s="248">
        <f>C87*$H$1/Common_Shares</f>
        <v>0.5000985571665213</v>
      </c>
      <c r="E87" s="269" t="str">
        <f>Market_currency</f>
        <v>HKD</v>
      </c>
    </row>
    <row r="88" spans="2:8" ht="15" customHeight="1" x14ac:dyDescent="0.35">
      <c r="B88" s="268" t="s">
        <v>191</v>
      </c>
      <c r="C88" s="188">
        <f>Valuation_Model!C9*Exchange_Rate</f>
        <v>84349.6</v>
      </c>
      <c r="D88" s="248">
        <f>C88*$H$1/Common_Shares</f>
        <v>4.617569718438768E-2</v>
      </c>
      <c r="E88" s="269" t="str">
        <f>Market_currency</f>
        <v>HKD</v>
      </c>
    </row>
    <row r="89" spans="2:8" ht="15" customHeight="1" x14ac:dyDescent="0.35">
      <c r="B89" s="80" t="s">
        <v>301</v>
      </c>
      <c r="C89" s="187">
        <f>SUM(C86:C88)</f>
        <v>900519.55084499996</v>
      </c>
      <c r="D89" s="271">
        <f>SUM(D86:D88)</f>
        <v>0.49297350655414518</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tabSelected="1" zoomScale="90" zoomScaleNormal="90" workbookViewId="0">
      <pane xSplit="2" ySplit="1" topLeftCell="F20" activePane="bottomRight" state="frozen"/>
      <selection pane="topRight" activeCell="C1" sqref="C1"/>
      <selection pane="bottomLeft" activeCell="A2" sqref="A2"/>
      <selection pane="bottomRight" activeCell="G48" sqref="G48:Q48"/>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0" t="str">
        <f>Thesis!C16</f>
        <v>HKD</v>
      </c>
      <c r="C1" s="53" t="s">
        <v>58</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x14ac:dyDescent="0.5">
      <c r="A2" s="3"/>
      <c r="B2" s="54" t="s">
        <v>101</v>
      </c>
      <c r="C2" s="54"/>
      <c r="D2" s="56"/>
      <c r="E2" s="66" t="s">
        <v>60</v>
      </c>
      <c r="F2" s="56"/>
      <c r="G2" s="37"/>
      <c r="H2" s="37"/>
      <c r="I2" s="37"/>
      <c r="J2" s="37"/>
      <c r="K2" s="37"/>
      <c r="L2" s="37"/>
      <c r="M2" s="37"/>
      <c r="N2" s="37"/>
      <c r="O2" s="37"/>
      <c r="P2" s="37"/>
      <c r="Q2" s="37"/>
    </row>
    <row r="3" spans="1:17" ht="15.75" customHeight="1" x14ac:dyDescent="0.35">
      <c r="A3" s="10"/>
      <c r="B3" s="16" t="s">
        <v>67</v>
      </c>
      <c r="C3" s="107">
        <f>Data!C3</f>
        <v>1000</v>
      </c>
      <c r="D3" s="9"/>
      <c r="E3" s="302"/>
      <c r="F3" s="9"/>
      <c r="G3" s="9"/>
    </row>
    <row r="4" spans="1:17" ht="15.75" customHeight="1" x14ac:dyDescent="0.35">
      <c r="A4" s="10"/>
      <c r="B4" s="26" t="s">
        <v>2</v>
      </c>
      <c r="C4" s="190">
        <f>G4</f>
        <v>247271</v>
      </c>
      <c r="D4" s="57"/>
      <c r="E4" s="300"/>
      <c r="F4" s="57"/>
      <c r="G4" s="183">
        <f>Data!C36</f>
        <v>247271</v>
      </c>
      <c r="H4" s="183">
        <f>Data!D36</f>
        <v>281951</v>
      </c>
      <c r="I4" s="183">
        <f>Data!E36</f>
        <v>331953</v>
      </c>
      <c r="J4" s="183">
        <f>Data!F36</f>
        <v>755414</v>
      </c>
      <c r="K4" s="183">
        <f>Data!G36</f>
        <v>2050629</v>
      </c>
      <c r="L4" s="183" t="str">
        <f>Data!H36</f>
        <v/>
      </c>
      <c r="M4" s="183" t="str">
        <f>Data!I36</f>
        <v/>
      </c>
      <c r="N4" s="183" t="str">
        <f>Data!J36</f>
        <v/>
      </c>
      <c r="O4" s="183" t="str">
        <f>Data!K36</f>
        <v/>
      </c>
      <c r="P4" s="183" t="str">
        <f>Data!L36</f>
        <v/>
      </c>
      <c r="Q4" s="183" t="str">
        <f>Data!M36</f>
        <v/>
      </c>
    </row>
    <row r="5" spans="1:17" ht="15.75" customHeight="1" x14ac:dyDescent="0.35">
      <c r="A5" s="10"/>
      <c r="B5" s="2" t="s">
        <v>47</v>
      </c>
      <c r="C5" s="191">
        <f>C25</f>
        <v>-219537</v>
      </c>
      <c r="E5" s="302"/>
      <c r="G5" s="183">
        <f t="shared" ref="G5:Q5" si="1">G25</f>
        <v>-219537</v>
      </c>
      <c r="H5" s="183">
        <f t="shared" si="1"/>
        <v>-232905</v>
      </c>
      <c r="I5" s="183">
        <f t="shared" si="1"/>
        <v>0</v>
      </c>
      <c r="J5" s="183">
        <f t="shared" si="1"/>
        <v>0</v>
      </c>
      <c r="K5" s="183">
        <f t="shared" si="1"/>
        <v>0</v>
      </c>
      <c r="L5" s="183" t="str">
        <f t="shared" si="1"/>
        <v/>
      </c>
      <c r="M5" s="183" t="str">
        <f t="shared" si="1"/>
        <v/>
      </c>
      <c r="N5" s="183" t="str">
        <f t="shared" si="1"/>
        <v/>
      </c>
      <c r="O5" s="183" t="str">
        <f t="shared" si="1"/>
        <v/>
      </c>
      <c r="P5" s="183" t="str">
        <f t="shared" si="1"/>
        <v/>
      </c>
      <c r="Q5" s="183" t="str">
        <f t="shared" si="1"/>
        <v/>
      </c>
    </row>
    <row r="6" spans="1:17" ht="15.75" customHeight="1" x14ac:dyDescent="0.35">
      <c r="A6" s="10"/>
      <c r="B6" s="31" t="s">
        <v>49</v>
      </c>
      <c r="C6" s="184">
        <f>C4+C5</f>
        <v>27734</v>
      </c>
      <c r="E6" s="302"/>
      <c r="G6" s="184">
        <f>IF(G4="","",G4+G5)</f>
        <v>27734</v>
      </c>
      <c r="H6" s="184">
        <f t="shared" ref="H6:Q6" si="2">IF(H4="","",H4+H5)</f>
        <v>49046</v>
      </c>
      <c r="I6" s="184">
        <f t="shared" si="2"/>
        <v>331953</v>
      </c>
      <c r="J6" s="184">
        <f t="shared" si="2"/>
        <v>755414</v>
      </c>
      <c r="K6" s="184">
        <f t="shared" si="2"/>
        <v>2050629</v>
      </c>
      <c r="L6" s="184" t="str">
        <f t="shared" si="2"/>
        <v/>
      </c>
      <c r="M6" s="184" t="str">
        <f t="shared" si="2"/>
        <v/>
      </c>
      <c r="N6" s="184" t="str">
        <f t="shared" si="2"/>
        <v/>
      </c>
      <c r="O6" s="184" t="str">
        <f t="shared" si="2"/>
        <v/>
      </c>
      <c r="P6" s="184" t="str">
        <f t="shared" si="2"/>
        <v/>
      </c>
      <c r="Q6" s="184" t="str">
        <f t="shared" si="2"/>
        <v/>
      </c>
    </row>
    <row r="7" spans="1:17" ht="15.75" customHeight="1" x14ac:dyDescent="0.35">
      <c r="A7" s="10"/>
      <c r="B7" s="8" t="s">
        <v>46</v>
      </c>
      <c r="C7" s="191">
        <f>C35</f>
        <v>-90000</v>
      </c>
      <c r="E7" s="302"/>
      <c r="G7" s="191">
        <f t="shared" ref="G7:Q7" si="3">G35</f>
        <v>-361467</v>
      </c>
      <c r="H7" s="191">
        <f t="shared" si="3"/>
        <v>-390283</v>
      </c>
      <c r="I7" s="191">
        <f t="shared" si="3"/>
        <v>-330088</v>
      </c>
      <c r="J7" s="191">
        <f t="shared" si="3"/>
        <v>-389543</v>
      </c>
      <c r="K7" s="191">
        <f t="shared" si="3"/>
        <v>-672911</v>
      </c>
      <c r="L7" s="191" t="str">
        <f t="shared" si="3"/>
        <v/>
      </c>
      <c r="M7" s="191" t="str">
        <f t="shared" si="3"/>
        <v/>
      </c>
      <c r="N7" s="191" t="str">
        <f t="shared" si="3"/>
        <v/>
      </c>
      <c r="O7" s="191" t="str">
        <f t="shared" si="3"/>
        <v/>
      </c>
      <c r="P7" s="191" t="str">
        <f t="shared" si="3"/>
        <v/>
      </c>
      <c r="Q7" s="191" t="str">
        <f t="shared" si="3"/>
        <v/>
      </c>
    </row>
    <row r="8" spans="1:17" ht="15.75" customHeight="1" x14ac:dyDescent="0.35">
      <c r="A8" s="10"/>
      <c r="B8" s="29" t="s">
        <v>154</v>
      </c>
      <c r="C8" s="192">
        <f>C6+C7</f>
        <v>-62266</v>
      </c>
      <c r="D8" s="59"/>
      <c r="E8" s="308"/>
      <c r="F8" s="59"/>
      <c r="G8" s="184">
        <f>IF(G$4="","",G6+G7)</f>
        <v>-333733</v>
      </c>
      <c r="H8" s="184">
        <f t="shared" ref="H8:Q8" si="4">IF(H$4="","",H6+H7)</f>
        <v>-341237</v>
      </c>
      <c r="I8" s="184">
        <f t="shared" si="4"/>
        <v>1865</v>
      </c>
      <c r="J8" s="184">
        <f t="shared" si="4"/>
        <v>365871</v>
      </c>
      <c r="K8" s="184">
        <f t="shared" si="4"/>
        <v>1377718</v>
      </c>
      <c r="L8" s="184" t="str">
        <f t="shared" si="4"/>
        <v/>
      </c>
      <c r="M8" s="184" t="str">
        <f t="shared" si="4"/>
        <v/>
      </c>
      <c r="N8" s="184" t="str">
        <f t="shared" si="4"/>
        <v/>
      </c>
      <c r="O8" s="184" t="str">
        <f t="shared" si="4"/>
        <v/>
      </c>
      <c r="P8" s="184" t="str">
        <f t="shared" si="4"/>
        <v/>
      </c>
      <c r="Q8" s="184" t="str">
        <f t="shared" si="4"/>
        <v/>
      </c>
    </row>
    <row r="9" spans="1:17" ht="15.75" customHeight="1" x14ac:dyDescent="0.35">
      <c r="A9" s="10"/>
      <c r="B9" s="2" t="s">
        <v>66</v>
      </c>
      <c r="C9" s="191">
        <f>BS!$G$39*BS!D58</f>
        <v>0</v>
      </c>
      <c r="E9" s="302"/>
      <c r="G9" s="191">
        <f>IF(Data!C61="","",-Data!C61)</f>
        <v>0</v>
      </c>
      <c r="H9" s="191">
        <f>IF(Data!D61="","",-Data!D61)</f>
        <v>0</v>
      </c>
      <c r="I9" s="191">
        <f>IF(Data!E61="","",-Data!E61)</f>
        <v>0</v>
      </c>
      <c r="J9" s="191">
        <f>IF(Data!F61="","",-Data!F61)</f>
        <v>0</v>
      </c>
      <c r="K9" s="191">
        <f>IF(Data!G61="","",-Data!G61)</f>
        <v>0</v>
      </c>
      <c r="L9" s="191" t="str">
        <f>IF(Data!H61="","",-Data!H61)</f>
        <v/>
      </c>
      <c r="M9" s="191" t="str">
        <f>IF(Data!I61="","",-Data!I61)</f>
        <v/>
      </c>
      <c r="N9" s="191" t="str">
        <f>IF(Data!J61="","",-Data!J61)</f>
        <v/>
      </c>
      <c r="O9" s="191" t="str">
        <f>IF(Data!K61="","",-Data!K61)</f>
        <v/>
      </c>
      <c r="P9" s="191" t="str">
        <f>IF(Data!L61="","",-Data!L61)</f>
        <v/>
      </c>
      <c r="Q9" s="191" t="str">
        <f>IF(Data!M61="","",-Data!M61)</f>
        <v/>
      </c>
    </row>
    <row r="10" spans="1:17" ht="15.75" customHeight="1" x14ac:dyDescent="0.35">
      <c r="A10" s="10"/>
      <c r="B10" s="2" t="s">
        <v>82</v>
      </c>
      <c r="C10" s="191">
        <f>-C4*C78</f>
        <v>0</v>
      </c>
      <c r="E10" s="302"/>
      <c r="G10" s="191">
        <f>Data!C62</f>
        <v>1.006</v>
      </c>
      <c r="H10" s="191">
        <f>Data!D62</f>
        <v>1.006</v>
      </c>
      <c r="I10" s="191">
        <f>Data!E62</f>
        <v>0.98599999999999999</v>
      </c>
      <c r="J10" s="191">
        <f>Data!F62</f>
        <v>5.18</v>
      </c>
      <c r="K10" s="191">
        <f>Data!G62</f>
        <v>8.4450000000000003</v>
      </c>
      <c r="L10" s="191" t="str">
        <f>Data!H62</f>
        <v/>
      </c>
      <c r="M10" s="191" t="str">
        <f>Data!I62</f>
        <v/>
      </c>
      <c r="N10" s="191" t="str">
        <f>Data!J62</f>
        <v/>
      </c>
      <c r="O10" s="191" t="str">
        <f>Data!K62</f>
        <v/>
      </c>
      <c r="P10" s="191" t="str">
        <f>Data!L62</f>
        <v/>
      </c>
      <c r="Q10" s="191" t="str">
        <f>Data!M62</f>
        <v/>
      </c>
    </row>
    <row r="11" spans="1:17" ht="15.75" customHeight="1" x14ac:dyDescent="0.35">
      <c r="A11" s="10"/>
      <c r="B11" s="31" t="s">
        <v>196</v>
      </c>
      <c r="C11" s="193">
        <f>C63</f>
        <v>70547.28</v>
      </c>
      <c r="D11" s="169"/>
      <c r="E11" s="301"/>
      <c r="F11" s="169"/>
      <c r="G11" s="186">
        <f>G61</f>
        <v>76069</v>
      </c>
      <c r="H11" s="186">
        <f t="shared" ref="H11:Q11" si="5">H61</f>
        <v>66806</v>
      </c>
      <c r="I11" s="186">
        <f t="shared" si="5"/>
        <v>0</v>
      </c>
      <c r="J11" s="186">
        <f t="shared" si="5"/>
        <v>0</v>
      </c>
      <c r="K11" s="186">
        <f t="shared" si="5"/>
        <v>0</v>
      </c>
      <c r="L11" s="186" t="str">
        <f t="shared" si="5"/>
        <v/>
      </c>
      <c r="M11" s="186" t="str">
        <f t="shared" si="5"/>
        <v/>
      </c>
      <c r="N11" s="186" t="str">
        <f t="shared" si="5"/>
        <v/>
      </c>
      <c r="O11" s="186" t="str">
        <f t="shared" si="5"/>
        <v/>
      </c>
      <c r="P11" s="186" t="str">
        <f t="shared" si="5"/>
        <v/>
      </c>
      <c r="Q11" s="186" t="str">
        <f t="shared" si="5"/>
        <v/>
      </c>
    </row>
    <row r="12" spans="1:17" ht="15.75" customHeight="1" x14ac:dyDescent="0.35">
      <c r="A12" s="10"/>
      <c r="B12" s="2" t="s">
        <v>69</v>
      </c>
      <c r="C12" s="191">
        <f>C50</f>
        <v>-2834.9164079833763</v>
      </c>
      <c r="E12" s="302"/>
      <c r="G12" s="191">
        <f>G50</f>
        <v>-2834.9164079833772</v>
      </c>
      <c r="H12" s="191">
        <f t="shared" ref="H12:Q12" si="6">H50</f>
        <v>-959.29390455085741</v>
      </c>
      <c r="I12" s="191">
        <f t="shared" si="6"/>
        <v>-5293</v>
      </c>
      <c r="J12" s="191">
        <f t="shared" si="6"/>
        <v>-3968</v>
      </c>
      <c r="K12" s="191">
        <f t="shared" si="6"/>
        <v>0</v>
      </c>
      <c r="L12" s="191" t="str">
        <f t="shared" si="6"/>
        <v/>
      </c>
      <c r="M12" s="191" t="str">
        <f t="shared" si="6"/>
        <v/>
      </c>
      <c r="N12" s="191" t="str">
        <f t="shared" si="6"/>
        <v/>
      </c>
      <c r="O12" s="191" t="str">
        <f t="shared" si="6"/>
        <v/>
      </c>
      <c r="P12" s="191" t="str">
        <f t="shared" si="6"/>
        <v/>
      </c>
      <c r="Q12" s="191" t="str">
        <f t="shared" si="6"/>
        <v/>
      </c>
    </row>
    <row r="13" spans="1:17" ht="15.75" customHeight="1" x14ac:dyDescent="0.35">
      <c r="A13" s="10"/>
      <c r="B13" s="70" t="s">
        <v>166</v>
      </c>
      <c r="C13" s="184">
        <f>SUM(C8:C12)</f>
        <v>5446.3635920166225</v>
      </c>
      <c r="E13" s="302"/>
      <c r="G13" s="184">
        <f>IF(G$4="","",SUM(G8:G12))</f>
        <v>-260497.91040798338</v>
      </c>
      <c r="H13" s="184">
        <f t="shared" ref="H13:Q13" si="7">IF(H$4="","",SUM(H8:H12))</f>
        <v>-275389.28790455085</v>
      </c>
      <c r="I13" s="184">
        <f t="shared" si="7"/>
        <v>-3427.0140000000001</v>
      </c>
      <c r="J13" s="184">
        <f t="shared" si="7"/>
        <v>361908.18</v>
      </c>
      <c r="K13" s="184">
        <f t="shared" si="7"/>
        <v>1377726.4450000001</v>
      </c>
      <c r="L13" s="184" t="str">
        <f t="shared" si="7"/>
        <v/>
      </c>
      <c r="M13" s="184" t="str">
        <f t="shared" si="7"/>
        <v/>
      </c>
      <c r="N13" s="184" t="str">
        <f t="shared" si="7"/>
        <v/>
      </c>
      <c r="O13" s="184" t="str">
        <f t="shared" si="7"/>
        <v/>
      </c>
      <c r="P13" s="184" t="str">
        <f t="shared" si="7"/>
        <v/>
      </c>
      <c r="Q13" s="184" t="str">
        <f t="shared" si="7"/>
        <v/>
      </c>
    </row>
    <row r="14" spans="1:17" ht="15.75" customHeight="1" x14ac:dyDescent="0.35">
      <c r="A14" s="10"/>
      <c r="B14" s="2" t="s">
        <v>64</v>
      </c>
      <c r="C14" s="191">
        <f>-SUM(C8+C11,C12)*C43</f>
        <v>-1361.5908980041556</v>
      </c>
      <c r="E14" s="302"/>
      <c r="G14" s="191">
        <f>Data!C46</f>
        <v>-2918</v>
      </c>
      <c r="H14" s="191">
        <f>Data!D46</f>
        <v>-4507</v>
      </c>
      <c r="I14" s="191">
        <f>Data!E46</f>
        <v>-3959</v>
      </c>
      <c r="J14" s="191">
        <f>Data!F46</f>
        <v>-50081</v>
      </c>
      <c r="K14" s="191">
        <f>Data!G46</f>
        <v>-221776</v>
      </c>
      <c r="L14" s="191" t="str">
        <f>Data!H46</f>
        <v/>
      </c>
      <c r="M14" s="191" t="str">
        <f>Data!I46</f>
        <v/>
      </c>
      <c r="N14" s="191" t="str">
        <f>Data!J46</f>
        <v/>
      </c>
      <c r="O14" s="191" t="str">
        <f>Data!K46</f>
        <v/>
      </c>
      <c r="P14" s="191" t="str">
        <f>Data!L46</f>
        <v/>
      </c>
      <c r="Q14" s="191" t="str">
        <f>Data!M46</f>
        <v/>
      </c>
    </row>
    <row r="15" spans="1:17" ht="15.75" customHeight="1" x14ac:dyDescent="0.35">
      <c r="A15" s="10"/>
      <c r="B15" s="40" t="s">
        <v>245</v>
      </c>
      <c r="C15" s="191">
        <f>-C4*C83</f>
        <v>0</v>
      </c>
      <c r="D15" s="60"/>
      <c r="E15" s="309"/>
      <c r="F15" s="60"/>
      <c r="G15" s="183">
        <f>Data!C48</f>
        <v>0</v>
      </c>
      <c r="H15" s="183">
        <f>Data!D48</f>
        <v>0</v>
      </c>
      <c r="I15" s="183">
        <f>Data!E48</f>
        <v>0</v>
      </c>
      <c r="J15" s="183">
        <f>Data!F48</f>
        <v>0</v>
      </c>
      <c r="K15" s="183">
        <f>Data!G48</f>
        <v>0</v>
      </c>
      <c r="L15" s="183" t="str">
        <f>Data!H48</f>
        <v/>
      </c>
      <c r="M15" s="183" t="str">
        <f>Data!I48</f>
        <v/>
      </c>
      <c r="N15" s="183" t="str">
        <f>Data!J48</f>
        <v/>
      </c>
      <c r="O15" s="183" t="str">
        <f>Data!K48</f>
        <v/>
      </c>
      <c r="P15" s="183" t="str">
        <f>Data!L48</f>
        <v/>
      </c>
      <c r="Q15" s="183" t="str">
        <f>Data!M48</f>
        <v/>
      </c>
    </row>
    <row r="16" spans="1:17" ht="15.75" customHeight="1" x14ac:dyDescent="0.35">
      <c r="A16" s="10"/>
      <c r="B16" s="41" t="s">
        <v>156</v>
      </c>
      <c r="C16" s="194">
        <f>SUM(C13:C15)</f>
        <v>4084.7726940124667</v>
      </c>
      <c r="D16" s="61"/>
      <c r="E16" s="310"/>
      <c r="F16" s="61"/>
      <c r="G16" s="184">
        <f>IF(G$4="","",SUM(G13:G15))</f>
        <v>-263415.91040798335</v>
      </c>
      <c r="H16" s="184">
        <f t="shared" ref="H16:Q16" si="8">IF(H$4="","",SUM(H13:H15))</f>
        <v>-279896.28790455085</v>
      </c>
      <c r="I16" s="184">
        <f t="shared" si="8"/>
        <v>-7386.0140000000001</v>
      </c>
      <c r="J16" s="184">
        <f t="shared" si="8"/>
        <v>311827.18</v>
      </c>
      <c r="K16" s="184">
        <f t="shared" si="8"/>
        <v>1155950.4450000001</v>
      </c>
      <c r="L16" s="184" t="str">
        <f t="shared" si="8"/>
        <v/>
      </c>
      <c r="M16" s="184" t="str">
        <f t="shared" si="8"/>
        <v/>
      </c>
      <c r="N16" s="184" t="str">
        <f t="shared" si="8"/>
        <v/>
      </c>
      <c r="O16" s="184" t="str">
        <f t="shared" si="8"/>
        <v/>
      </c>
      <c r="P16" s="184" t="str">
        <f t="shared" si="8"/>
        <v/>
      </c>
      <c r="Q16" s="184" t="str">
        <f t="shared" si="8"/>
        <v/>
      </c>
    </row>
    <row r="17" spans="1:17" ht="15.75" customHeight="1" x14ac:dyDescent="0.35">
      <c r="A17" s="10"/>
      <c r="B17" s="27" t="s">
        <v>53</v>
      </c>
      <c r="C17" s="191">
        <f>-C4*C85</f>
        <v>0</v>
      </c>
      <c r="D17" s="58"/>
      <c r="E17" s="301" t="s">
        <v>343</v>
      </c>
      <c r="F17" s="58"/>
      <c r="G17" s="195"/>
      <c r="H17" s="195"/>
      <c r="I17" s="195"/>
      <c r="J17" s="195"/>
      <c r="K17" s="195"/>
      <c r="L17" s="195"/>
      <c r="M17" s="195"/>
      <c r="N17" s="195"/>
      <c r="O17" s="195"/>
      <c r="P17" s="195"/>
      <c r="Q17" s="195"/>
    </row>
    <row r="18" spans="1:17" ht="15.75" customHeight="1" x14ac:dyDescent="0.35">
      <c r="A18" s="10"/>
      <c r="B18" s="27" t="s">
        <v>100</v>
      </c>
      <c r="C18" s="191">
        <v>0</v>
      </c>
      <c r="D18" s="58"/>
      <c r="E18" s="301" t="s">
        <v>344</v>
      </c>
      <c r="F18" s="58"/>
      <c r="G18" s="196"/>
      <c r="H18" s="196"/>
      <c r="I18" s="196"/>
      <c r="J18" s="196"/>
      <c r="K18" s="196"/>
      <c r="L18" s="196"/>
      <c r="M18" s="196"/>
      <c r="N18" s="196"/>
      <c r="O18" s="196"/>
      <c r="P18" s="196"/>
      <c r="Q18" s="196"/>
    </row>
    <row r="19" spans="1:17" ht="15.75" customHeight="1" x14ac:dyDescent="0.35">
      <c r="A19" s="10"/>
      <c r="B19" s="31" t="s">
        <v>67</v>
      </c>
      <c r="C19" s="184">
        <f>C16+C17</f>
        <v>4084.7726940124667</v>
      </c>
      <c r="D19" s="27"/>
      <c r="E19" s="299"/>
      <c r="F19" s="27"/>
      <c r="G19" s="186">
        <f>IF(G$4="","",G16+G17)</f>
        <v>-263415.91040798335</v>
      </c>
      <c r="H19" s="186">
        <f t="shared" ref="H19:Q19" si="9">IF(H$4="","",H16+H17)</f>
        <v>-279896.28790455085</v>
      </c>
      <c r="I19" s="186">
        <f t="shared" si="9"/>
        <v>-7386.0140000000001</v>
      </c>
      <c r="J19" s="186">
        <f t="shared" si="9"/>
        <v>311827.18</v>
      </c>
      <c r="K19" s="186">
        <f t="shared" si="9"/>
        <v>1155950.4450000001</v>
      </c>
      <c r="L19" s="186" t="str">
        <f t="shared" si="9"/>
        <v/>
      </c>
      <c r="M19" s="186" t="str">
        <f t="shared" si="9"/>
        <v/>
      </c>
      <c r="N19" s="186" t="str">
        <f t="shared" si="9"/>
        <v/>
      </c>
      <c r="O19" s="186" t="str">
        <f t="shared" si="9"/>
        <v/>
      </c>
      <c r="P19" s="186" t="str">
        <f t="shared" si="9"/>
        <v/>
      </c>
      <c r="Q19" s="186" t="str">
        <f t="shared" si="9"/>
        <v/>
      </c>
    </row>
    <row r="20" spans="1:17" ht="15.75" customHeight="1" x14ac:dyDescent="0.35">
      <c r="A20" s="10"/>
      <c r="B20" s="27"/>
      <c r="C20" s="62"/>
      <c r="D20" s="27"/>
      <c r="E20" s="67"/>
      <c r="F20" s="27"/>
      <c r="G20" s="12"/>
      <c r="H20" s="12"/>
      <c r="I20" s="12"/>
      <c r="J20" s="12"/>
      <c r="K20" s="12"/>
      <c r="L20" s="12"/>
      <c r="M20" s="12"/>
      <c r="N20" s="12"/>
      <c r="O20" s="12"/>
      <c r="P20" s="12"/>
      <c r="Q20" s="12"/>
    </row>
    <row r="21" spans="1:17" ht="15.75" customHeight="1" x14ac:dyDescent="0.5">
      <c r="A21" s="10"/>
      <c r="B21" s="54" t="s">
        <v>207</v>
      </c>
      <c r="C21" s="54"/>
      <c r="D21" s="56"/>
      <c r="E21" s="66" t="s">
        <v>60</v>
      </c>
      <c r="F21" s="56"/>
      <c r="G21" s="37"/>
      <c r="H21" s="37"/>
      <c r="I21" s="37"/>
      <c r="J21" s="37"/>
      <c r="K21" s="37"/>
      <c r="L21" s="37"/>
      <c r="M21" s="37"/>
      <c r="N21" s="37"/>
      <c r="O21" s="37"/>
      <c r="P21" s="37"/>
      <c r="Q21" s="37"/>
    </row>
    <row r="22" spans="1:17" ht="15.75" customHeight="1" x14ac:dyDescent="0.35">
      <c r="A22" s="10"/>
      <c r="B22" s="64" t="s">
        <v>47</v>
      </c>
      <c r="C22" s="62"/>
      <c r="D22" s="27"/>
      <c r="E22" s="299"/>
      <c r="F22" s="27"/>
      <c r="G22" s="12"/>
      <c r="H22" s="12"/>
      <c r="I22" s="12"/>
      <c r="J22" s="12"/>
      <c r="K22" s="12"/>
      <c r="L22" s="12"/>
      <c r="M22" s="12"/>
      <c r="N22" s="12"/>
      <c r="O22" s="12"/>
      <c r="P22" s="12"/>
      <c r="Q22" s="12"/>
    </row>
    <row r="23" spans="1:17" ht="15.75" customHeight="1" x14ac:dyDescent="0.35">
      <c r="A23" s="10"/>
      <c r="B23" s="27" t="s">
        <v>44</v>
      </c>
      <c r="C23" s="197">
        <f>-C4*C28</f>
        <v>-219537</v>
      </c>
      <c r="D23" s="58"/>
      <c r="E23" s="301"/>
      <c r="F23" s="58"/>
      <c r="G23" s="183">
        <f>Data!C37</f>
        <v>-219537</v>
      </c>
      <c r="H23" s="183">
        <f>Data!D37</f>
        <v>-232905</v>
      </c>
      <c r="I23" s="183">
        <f>Data!E37</f>
        <v>0</v>
      </c>
      <c r="J23" s="183">
        <f>Data!F37</f>
        <v>0</v>
      </c>
      <c r="K23" s="183">
        <f>Data!G37</f>
        <v>0</v>
      </c>
      <c r="L23" s="183" t="str">
        <f>Data!H37</f>
        <v/>
      </c>
      <c r="M23" s="183" t="str">
        <f>Data!I37</f>
        <v/>
      </c>
      <c r="N23" s="183" t="str">
        <f>Data!J37</f>
        <v/>
      </c>
      <c r="O23" s="183" t="str">
        <f>Data!K37</f>
        <v/>
      </c>
      <c r="P23" s="183" t="str">
        <f>Data!L37</f>
        <v/>
      </c>
      <c r="Q23" s="183" t="str">
        <f>Data!M37</f>
        <v/>
      </c>
    </row>
    <row r="24" spans="1:17" ht="15.75" customHeight="1" x14ac:dyDescent="0.4">
      <c r="A24" s="10"/>
      <c r="B24" s="68" t="s">
        <v>63</v>
      </c>
      <c r="C24" s="191">
        <f>-C4*C29</f>
        <v>0</v>
      </c>
      <c r="D24" s="27"/>
      <c r="E24" s="299"/>
      <c r="F24" s="27"/>
      <c r="G24" s="183">
        <f>Data!C40</f>
        <v>0</v>
      </c>
      <c r="H24" s="183">
        <f>Data!D40</f>
        <v>0</v>
      </c>
      <c r="I24" s="183">
        <f>Data!E40</f>
        <v>0</v>
      </c>
      <c r="J24" s="183">
        <f>Data!F40</f>
        <v>0</v>
      </c>
      <c r="K24" s="183">
        <f>Data!G40</f>
        <v>0</v>
      </c>
      <c r="L24" s="183" t="str">
        <f>Data!H40</f>
        <v/>
      </c>
      <c r="M24" s="183" t="str">
        <f>Data!I40</f>
        <v/>
      </c>
      <c r="N24" s="183" t="str">
        <f>Data!J40</f>
        <v/>
      </c>
      <c r="O24" s="183" t="str">
        <f>Data!K40</f>
        <v/>
      </c>
      <c r="P24" s="183" t="str">
        <f>Data!L40</f>
        <v/>
      </c>
      <c r="Q24" s="183" t="str">
        <f>Data!M40</f>
        <v/>
      </c>
    </row>
    <row r="25" spans="1:17" ht="15.75" customHeight="1" x14ac:dyDescent="0.35">
      <c r="A25" s="10"/>
      <c r="B25" s="70" t="s">
        <v>47</v>
      </c>
      <c r="C25" s="184">
        <f>C23+C24</f>
        <v>-219537</v>
      </c>
      <c r="D25" s="9"/>
      <c r="E25" s="307"/>
      <c r="F25" s="9"/>
      <c r="G25" s="184">
        <f t="shared" ref="G25:Q25" si="10">IF(G$4="","",G23+G24)</f>
        <v>-219537</v>
      </c>
      <c r="H25" s="184">
        <f t="shared" si="10"/>
        <v>-232905</v>
      </c>
      <c r="I25" s="184">
        <f t="shared" si="10"/>
        <v>0</v>
      </c>
      <c r="J25" s="184">
        <f t="shared" si="10"/>
        <v>0</v>
      </c>
      <c r="K25" s="184">
        <f t="shared" si="10"/>
        <v>0</v>
      </c>
      <c r="L25" s="184" t="str">
        <f t="shared" si="10"/>
        <v/>
      </c>
      <c r="M25" s="184" t="str">
        <f t="shared" si="10"/>
        <v/>
      </c>
      <c r="N25" s="184" t="str">
        <f t="shared" si="10"/>
        <v/>
      </c>
      <c r="O25" s="184" t="str">
        <f t="shared" si="10"/>
        <v/>
      </c>
      <c r="P25" s="184" t="str">
        <f t="shared" si="10"/>
        <v/>
      </c>
      <c r="Q25" s="184" t="str">
        <f t="shared" si="10"/>
        <v/>
      </c>
    </row>
    <row r="26" spans="1:17" ht="15.75" customHeight="1" x14ac:dyDescent="0.35">
      <c r="A26" s="10"/>
      <c r="E26" s="302"/>
    </row>
    <row r="27" spans="1:17" ht="15.75" customHeight="1" x14ac:dyDescent="0.35">
      <c r="A27" s="10"/>
      <c r="B27" s="64" t="s">
        <v>208</v>
      </c>
      <c r="E27" s="302"/>
    </row>
    <row r="28" spans="1:17" ht="15.75" customHeight="1" x14ac:dyDescent="0.35">
      <c r="A28" s="10"/>
      <c r="B28" s="26" t="s">
        <v>44</v>
      </c>
      <c r="C28" s="63">
        <f>G28</f>
        <v>0.88783965770349127</v>
      </c>
      <c r="D28" s="26"/>
      <c r="E28" s="300" t="s">
        <v>345</v>
      </c>
      <c r="F28" s="26"/>
      <c r="G28" s="13">
        <f t="shared" ref="G28:Q28" si="11">IF(G$4="","",ABS(G23/G$4))</f>
        <v>0.88783965770349127</v>
      </c>
      <c r="H28" s="13">
        <f t="shared" si="11"/>
        <v>0.82604778844551008</v>
      </c>
      <c r="I28" s="13">
        <f t="shared" si="11"/>
        <v>0</v>
      </c>
      <c r="J28" s="13">
        <f t="shared" si="11"/>
        <v>0</v>
      </c>
      <c r="K28" s="13">
        <f t="shared" si="11"/>
        <v>0</v>
      </c>
      <c r="L28" s="13" t="str">
        <f t="shared" si="11"/>
        <v/>
      </c>
      <c r="M28" s="13" t="str">
        <f t="shared" si="11"/>
        <v/>
      </c>
      <c r="N28" s="13" t="str">
        <f t="shared" si="11"/>
        <v/>
      </c>
      <c r="O28" s="13" t="str">
        <f t="shared" si="11"/>
        <v/>
      </c>
      <c r="P28" s="13" t="str">
        <f t="shared" si="11"/>
        <v/>
      </c>
      <c r="Q28" s="13" t="str">
        <f t="shared" si="11"/>
        <v/>
      </c>
    </row>
    <row r="29" spans="1:17" ht="15.75" customHeight="1" x14ac:dyDescent="0.4">
      <c r="A29" s="10"/>
      <c r="B29" s="68" t="str">
        <f>B24</f>
        <v>Selling Expenses</v>
      </c>
      <c r="C29" s="63">
        <f>AVERAGE(G29:J29)</f>
        <v>0</v>
      </c>
      <c r="D29" s="26"/>
      <c r="E29" s="300" t="s">
        <v>345</v>
      </c>
      <c r="F29" s="26"/>
      <c r="G29" s="13">
        <f t="shared" ref="G29:Q29" si="12">IF(G$4="","",ABS(G24/G$4))</f>
        <v>0</v>
      </c>
      <c r="H29" s="13">
        <f t="shared" si="12"/>
        <v>0</v>
      </c>
      <c r="I29" s="13">
        <f t="shared" si="12"/>
        <v>0</v>
      </c>
      <c r="J29" s="13">
        <f t="shared" si="12"/>
        <v>0</v>
      </c>
      <c r="K29" s="13">
        <f t="shared" si="12"/>
        <v>0</v>
      </c>
      <c r="L29" s="13" t="str">
        <f t="shared" si="12"/>
        <v/>
      </c>
      <c r="M29" s="13" t="str">
        <f t="shared" si="12"/>
        <v/>
      </c>
      <c r="N29" s="13" t="str">
        <f t="shared" si="12"/>
        <v/>
      </c>
      <c r="O29" s="13" t="str">
        <f t="shared" si="12"/>
        <v/>
      </c>
      <c r="P29" s="13" t="str">
        <f t="shared" si="12"/>
        <v/>
      </c>
      <c r="Q29" s="13" t="str">
        <f t="shared" si="12"/>
        <v/>
      </c>
    </row>
    <row r="30" spans="1:17" ht="15.75" customHeight="1" x14ac:dyDescent="0.35">
      <c r="A30" s="10"/>
      <c r="B30" s="70" t="s">
        <v>47</v>
      </c>
      <c r="C30" s="71">
        <f>ABS(C25/$C$4)</f>
        <v>0.88783965770349127</v>
      </c>
      <c r="E30" s="302"/>
      <c r="G30" s="30">
        <f t="shared" ref="G30:Q30" si="13">IF(G$4="","",ABS(G25/G$4))</f>
        <v>0.88783965770349127</v>
      </c>
      <c r="H30" s="30">
        <f t="shared" si="13"/>
        <v>0.82604778844551008</v>
      </c>
      <c r="I30" s="30">
        <f t="shared" si="13"/>
        <v>0</v>
      </c>
      <c r="J30" s="30">
        <f t="shared" si="13"/>
        <v>0</v>
      </c>
      <c r="K30" s="30">
        <f t="shared" si="13"/>
        <v>0</v>
      </c>
      <c r="L30" s="30" t="str">
        <f t="shared" si="13"/>
        <v/>
      </c>
      <c r="M30" s="30" t="str">
        <f t="shared" si="13"/>
        <v/>
      </c>
      <c r="N30" s="30" t="str">
        <f t="shared" si="13"/>
        <v/>
      </c>
      <c r="O30" s="30" t="str">
        <f t="shared" si="13"/>
        <v/>
      </c>
      <c r="P30" s="30" t="str">
        <f t="shared" si="13"/>
        <v/>
      </c>
      <c r="Q30" s="30" t="str">
        <f t="shared" si="13"/>
        <v/>
      </c>
    </row>
    <row r="31" spans="1:17" ht="15.75" customHeight="1" x14ac:dyDescent="0.35">
      <c r="A31" s="10"/>
      <c r="E31" s="302"/>
    </row>
    <row r="32" spans="1:17" ht="15.75" customHeight="1" x14ac:dyDescent="0.35">
      <c r="A32" s="10"/>
      <c r="B32" s="64" t="s">
        <v>46</v>
      </c>
      <c r="E32" s="302"/>
    </row>
    <row r="33" spans="1:17" ht="15.75" customHeight="1" x14ac:dyDescent="0.35">
      <c r="A33" s="10"/>
      <c r="B33" s="8" t="s">
        <v>176</v>
      </c>
      <c r="C33" s="198">
        <v>-90000</v>
      </c>
      <c r="E33" s="300" t="s">
        <v>345</v>
      </c>
      <c r="G33" s="191">
        <f>Data!C41</f>
        <v>-361467</v>
      </c>
      <c r="H33" s="191">
        <f>Data!D41</f>
        <v>-390283</v>
      </c>
      <c r="I33" s="191">
        <f>Data!E41</f>
        <v>-330088</v>
      </c>
      <c r="J33" s="191">
        <f>Data!F41</f>
        <v>-389543</v>
      </c>
      <c r="K33" s="191">
        <f>Data!G41</f>
        <v>-672911</v>
      </c>
      <c r="L33" s="191" t="str">
        <f>Data!H41</f>
        <v/>
      </c>
      <c r="M33" s="191" t="str">
        <f>Data!I41</f>
        <v/>
      </c>
      <c r="N33" s="191" t="str">
        <f>Data!J41</f>
        <v/>
      </c>
      <c r="O33" s="191" t="str">
        <f>Data!K41</f>
        <v/>
      </c>
      <c r="P33" s="191" t="str">
        <f>Data!L41</f>
        <v/>
      </c>
      <c r="Q33" s="191" t="str">
        <f>Data!M41</f>
        <v/>
      </c>
    </row>
    <row r="34" spans="1:17" ht="15.75" customHeight="1" x14ac:dyDescent="0.35">
      <c r="A34" s="10"/>
      <c r="B34" s="27" t="s">
        <v>50</v>
      </c>
      <c r="C34" s="198">
        <f>AVERAGE(G34:J34)</f>
        <v>0</v>
      </c>
      <c r="D34" s="58"/>
      <c r="E34" s="300" t="s">
        <v>345</v>
      </c>
      <c r="F34" s="58"/>
      <c r="G34" s="183">
        <f>Data!C42</f>
        <v>0</v>
      </c>
      <c r="H34" s="183">
        <f>Data!D42</f>
        <v>0</v>
      </c>
      <c r="I34" s="183">
        <f>Data!E42</f>
        <v>0</v>
      </c>
      <c r="J34" s="183">
        <f>Data!F42</f>
        <v>0</v>
      </c>
      <c r="K34" s="183">
        <f>Data!G42</f>
        <v>0</v>
      </c>
      <c r="L34" s="183" t="str">
        <f>Data!H42</f>
        <v/>
      </c>
      <c r="M34" s="183" t="str">
        <f>Data!I42</f>
        <v/>
      </c>
      <c r="N34" s="183" t="str">
        <f>Data!J42</f>
        <v/>
      </c>
      <c r="O34" s="183" t="str">
        <f>Data!K42</f>
        <v/>
      </c>
      <c r="P34" s="183" t="str">
        <f>Data!L42</f>
        <v/>
      </c>
      <c r="Q34" s="183" t="str">
        <f>Data!M42</f>
        <v/>
      </c>
    </row>
    <row r="35" spans="1:17" ht="15.75" customHeight="1" x14ac:dyDescent="0.35">
      <c r="A35" s="10"/>
      <c r="B35" s="70" t="s">
        <v>46</v>
      </c>
      <c r="C35" s="184">
        <f>C33+C34</f>
        <v>-90000</v>
      </c>
      <c r="D35" s="58"/>
      <c r="E35" s="301"/>
      <c r="F35" s="58"/>
      <c r="G35" s="184">
        <f t="shared" ref="G35:Q35" si="14">IF(G4="","",G33+G34)</f>
        <v>-361467</v>
      </c>
      <c r="H35" s="184">
        <f t="shared" si="14"/>
        <v>-390283</v>
      </c>
      <c r="I35" s="184">
        <f t="shared" si="14"/>
        <v>-330088</v>
      </c>
      <c r="J35" s="184">
        <f t="shared" si="14"/>
        <v>-389543</v>
      </c>
      <c r="K35" s="184">
        <f t="shared" si="14"/>
        <v>-672911</v>
      </c>
      <c r="L35" s="184" t="str">
        <f t="shared" si="14"/>
        <v/>
      </c>
      <c r="M35" s="184" t="str">
        <f t="shared" si="14"/>
        <v/>
      </c>
      <c r="N35" s="184" t="str">
        <f t="shared" si="14"/>
        <v/>
      </c>
      <c r="O35" s="184" t="str">
        <f t="shared" si="14"/>
        <v/>
      </c>
      <c r="P35" s="184" t="str">
        <f t="shared" si="14"/>
        <v/>
      </c>
      <c r="Q35" s="184" t="str">
        <f t="shared" si="14"/>
        <v/>
      </c>
    </row>
    <row r="36" spans="1:17" ht="15.75" customHeight="1" x14ac:dyDescent="0.35">
      <c r="A36" s="10"/>
      <c r="E36" s="302"/>
    </row>
    <row r="37" spans="1:17" ht="15.75" customHeight="1" x14ac:dyDescent="0.35">
      <c r="A37" s="10"/>
      <c r="B37" s="64" t="s">
        <v>209</v>
      </c>
      <c r="E37" s="302"/>
    </row>
    <row r="38" spans="1:17" ht="15.75" customHeight="1" x14ac:dyDescent="0.35">
      <c r="A38" s="10"/>
      <c r="B38" s="2" t="str">
        <f>B33</f>
        <v>G&amp;A and other Opex</v>
      </c>
      <c r="C38" s="23">
        <f>ABS(C33/$C$4)</f>
        <v>0.36397313069466292</v>
      </c>
      <c r="D38" s="27"/>
      <c r="E38" s="299"/>
      <c r="F38" s="27"/>
      <c r="G38" s="13">
        <f t="shared" ref="G38:Q38" si="15">IF(G$4="","",ABS(G33/G$4))</f>
        <v>1.4618252848089748</v>
      </c>
      <c r="H38" s="13">
        <f t="shared" si="15"/>
        <v>1.3842227904848714</v>
      </c>
      <c r="I38" s="13">
        <f t="shared" si="15"/>
        <v>0.99438173476365632</v>
      </c>
      <c r="J38" s="13">
        <f t="shared" si="15"/>
        <v>0.5156682296065469</v>
      </c>
      <c r="K38" s="13">
        <f t="shared" si="15"/>
        <v>0.32814858270316083</v>
      </c>
      <c r="L38" s="13" t="str">
        <f t="shared" si="15"/>
        <v/>
      </c>
      <c r="M38" s="13" t="str">
        <f t="shared" si="15"/>
        <v/>
      </c>
      <c r="N38" s="13" t="str">
        <f t="shared" si="15"/>
        <v/>
      </c>
      <c r="O38" s="13" t="str">
        <f t="shared" si="15"/>
        <v/>
      </c>
      <c r="P38" s="13" t="str">
        <f t="shared" si="15"/>
        <v/>
      </c>
      <c r="Q38" s="13" t="str">
        <f t="shared" si="15"/>
        <v/>
      </c>
    </row>
    <row r="39" spans="1:17" ht="15.75" customHeight="1" x14ac:dyDescent="0.35">
      <c r="A39" s="10"/>
      <c r="B39" s="27" t="str">
        <f>B34</f>
        <v>R&amp;D</v>
      </c>
      <c r="C39" s="23">
        <f>ABS(C34/$C$4)</f>
        <v>0</v>
      </c>
      <c r="D39" s="27"/>
      <c r="E39" s="299"/>
      <c r="F39" s="27"/>
      <c r="G39" s="13">
        <f t="shared" ref="G39:Q39" si="16">IF(G$4="","",ABS(G34/G$4))</f>
        <v>0</v>
      </c>
      <c r="H39" s="13">
        <f t="shared" si="16"/>
        <v>0</v>
      </c>
      <c r="I39" s="13">
        <f t="shared" si="16"/>
        <v>0</v>
      </c>
      <c r="J39" s="13">
        <f t="shared" si="16"/>
        <v>0</v>
      </c>
      <c r="K39" s="13">
        <f t="shared" si="16"/>
        <v>0</v>
      </c>
      <c r="L39" s="13" t="str">
        <f t="shared" si="16"/>
        <v/>
      </c>
      <c r="M39" s="13" t="str">
        <f t="shared" si="16"/>
        <v/>
      </c>
      <c r="N39" s="13" t="str">
        <f t="shared" si="16"/>
        <v/>
      </c>
      <c r="O39" s="13" t="str">
        <f t="shared" si="16"/>
        <v/>
      </c>
      <c r="P39" s="13" t="str">
        <f t="shared" si="16"/>
        <v/>
      </c>
      <c r="Q39" s="13" t="str">
        <f t="shared" si="16"/>
        <v/>
      </c>
    </row>
    <row r="40" spans="1:17" ht="15.75" customHeight="1" x14ac:dyDescent="0.35">
      <c r="A40" s="10"/>
      <c r="B40" s="70" t="s">
        <v>46</v>
      </c>
      <c r="C40" s="71">
        <f>ABS(C35/$C$4)</f>
        <v>0.36397313069466292</v>
      </c>
      <c r="E40" s="302"/>
      <c r="G40" s="30">
        <f t="shared" ref="G40:Q40" si="17">IF(G$4="","",ABS(G35/G$4))</f>
        <v>1.4618252848089748</v>
      </c>
      <c r="H40" s="30">
        <f t="shared" si="17"/>
        <v>1.3842227904848714</v>
      </c>
      <c r="I40" s="30">
        <f t="shared" si="17"/>
        <v>0.99438173476365632</v>
      </c>
      <c r="J40" s="30">
        <f t="shared" si="17"/>
        <v>0.5156682296065469</v>
      </c>
      <c r="K40" s="30">
        <f t="shared" si="17"/>
        <v>0.32814858270316083</v>
      </c>
      <c r="L40" s="30" t="str">
        <f t="shared" si="17"/>
        <v/>
      </c>
      <c r="M40" s="30" t="str">
        <f t="shared" si="17"/>
        <v/>
      </c>
      <c r="N40" s="30" t="str">
        <f t="shared" si="17"/>
        <v/>
      </c>
      <c r="O40" s="30" t="str">
        <f t="shared" si="17"/>
        <v/>
      </c>
      <c r="P40" s="30" t="str">
        <f t="shared" si="17"/>
        <v/>
      </c>
      <c r="Q40" s="30" t="str">
        <f t="shared" si="17"/>
        <v/>
      </c>
    </row>
    <row r="41" spans="1:17" ht="15.75" customHeight="1" x14ac:dyDescent="0.35">
      <c r="A41" s="10"/>
      <c r="E41" s="302"/>
    </row>
    <row r="42" spans="1:17" ht="15.75" customHeight="1" x14ac:dyDescent="0.35">
      <c r="A42" s="10"/>
      <c r="B42" s="64" t="s">
        <v>210</v>
      </c>
      <c r="E42" s="302"/>
    </row>
    <row r="43" spans="1:17" ht="15.75" customHeight="1" x14ac:dyDescent="0.35">
      <c r="A43" s="10"/>
      <c r="B43" s="27" t="s">
        <v>173</v>
      </c>
      <c r="C43" s="296">
        <v>0.25</v>
      </c>
      <c r="D43" s="27"/>
      <c r="E43" s="299" t="s">
        <v>346</v>
      </c>
      <c r="F43" s="27"/>
      <c r="G43" s="6">
        <f t="shared" ref="G43:Q43" si="18">IF(G$4="","",-G14/SUM(G8+G11,G12))</f>
        <v>-1.1201582103435474E-2</v>
      </c>
      <c r="H43" s="6">
        <f t="shared" si="18"/>
        <v>-1.6365863647910945E-2</v>
      </c>
      <c r="I43" s="6">
        <f t="shared" si="18"/>
        <v>-1.1549008168028005</v>
      </c>
      <c r="J43" s="6">
        <f t="shared" si="18"/>
        <v>0.13838238423002849</v>
      </c>
      <c r="K43" s="6">
        <f t="shared" si="18"/>
        <v>0.16097343578293963</v>
      </c>
      <c r="L43" s="6" t="str">
        <f t="shared" si="18"/>
        <v/>
      </c>
      <c r="M43" s="6" t="str">
        <f t="shared" si="18"/>
        <v/>
      </c>
      <c r="N43" s="6" t="str">
        <f t="shared" si="18"/>
        <v/>
      </c>
      <c r="O43" s="6" t="str">
        <f t="shared" si="18"/>
        <v/>
      </c>
      <c r="P43" s="6" t="str">
        <f t="shared" si="18"/>
        <v/>
      </c>
      <c r="Q43" s="6" t="str">
        <f t="shared" si="18"/>
        <v/>
      </c>
    </row>
    <row r="44" spans="1:17" ht="15.75" customHeight="1" x14ac:dyDescent="0.35">
      <c r="A44" s="10"/>
    </row>
    <row r="45" spans="1:17" ht="15.75" customHeight="1" x14ac:dyDescent="0.5">
      <c r="A45" s="10"/>
      <c r="B45" s="54" t="s">
        <v>211</v>
      </c>
      <c r="C45" s="54"/>
      <c r="D45" s="56"/>
      <c r="E45" s="66" t="s">
        <v>60</v>
      </c>
      <c r="F45" s="56"/>
      <c r="G45" s="37"/>
      <c r="H45" s="37"/>
      <c r="I45" s="37"/>
      <c r="J45" s="37"/>
      <c r="K45" s="37"/>
      <c r="L45" s="37"/>
      <c r="M45" s="37"/>
      <c r="N45" s="37"/>
      <c r="O45" s="37"/>
      <c r="P45" s="37"/>
      <c r="Q45" s="37"/>
    </row>
    <row r="46" spans="1:17" ht="15.75" customHeight="1" x14ac:dyDescent="0.35">
      <c r="A46" s="10"/>
      <c r="B46" s="64" t="s">
        <v>61</v>
      </c>
      <c r="E46" s="302"/>
    </row>
    <row r="47" spans="1:17" ht="15.75" customHeight="1" x14ac:dyDescent="0.35">
      <c r="A47" s="10"/>
      <c r="B47" s="2" t="s">
        <v>39</v>
      </c>
      <c r="C47" s="191">
        <f>-BS!G31*Normalized_FCF!C54</f>
        <v>-8148.9999999999991</v>
      </c>
      <c r="E47" s="302"/>
      <c r="G47" s="191">
        <f>Data!C51</f>
        <v>-8149</v>
      </c>
      <c r="H47" s="191">
        <f>Data!D51</f>
        <v>-7447</v>
      </c>
      <c r="I47" s="191">
        <f>Data!E51</f>
        <v>-5293</v>
      </c>
      <c r="J47" s="191">
        <f>Data!F51</f>
        <v>-3968</v>
      </c>
      <c r="K47" s="191">
        <f>Data!G51</f>
        <v>0</v>
      </c>
      <c r="L47" s="191" t="str">
        <f>Data!H51</f>
        <v/>
      </c>
      <c r="M47" s="191" t="str">
        <f>Data!I51</f>
        <v/>
      </c>
      <c r="N47" s="191" t="str">
        <f>Data!J51</f>
        <v/>
      </c>
      <c r="O47" s="191" t="str">
        <f>Data!K51</f>
        <v/>
      </c>
      <c r="P47" s="191" t="str">
        <f>Data!L51</f>
        <v/>
      </c>
      <c r="Q47" s="191" t="str">
        <f>Data!M51</f>
        <v/>
      </c>
    </row>
    <row r="48" spans="1:17" ht="15.75" customHeight="1" x14ac:dyDescent="0.35">
      <c r="A48" s="10"/>
      <c r="B48" s="2" t="s">
        <v>357</v>
      </c>
      <c r="C48" s="191">
        <f>BS!D75*C53</f>
        <v>5314.0835920166228</v>
      </c>
      <c r="E48" s="302"/>
      <c r="G48" s="328">
        <f>IFERROR(IF(G$4="","",($C$48/$C$49)*G49),0)</f>
        <v>5314.0835920166228</v>
      </c>
      <c r="H48" s="328">
        <f t="shared" ref="H48:Q48" si="19">IFERROR(IF(H$4="","",($C$48/$C$49)*H49),0)</f>
        <v>6487.7060954491426</v>
      </c>
      <c r="I48" s="328">
        <f t="shared" si="19"/>
        <v>0</v>
      </c>
      <c r="J48" s="328">
        <f t="shared" si="19"/>
        <v>0</v>
      </c>
      <c r="K48" s="328">
        <f t="shared" si="19"/>
        <v>0</v>
      </c>
      <c r="L48" s="328" t="str">
        <f t="shared" si="19"/>
        <v/>
      </c>
      <c r="M48" s="328" t="str">
        <f t="shared" si="19"/>
        <v/>
      </c>
      <c r="N48" s="328" t="str">
        <f t="shared" si="19"/>
        <v/>
      </c>
      <c r="O48" s="328" t="str">
        <f t="shared" si="19"/>
        <v/>
      </c>
      <c r="P48" s="328" t="str">
        <f t="shared" si="19"/>
        <v/>
      </c>
      <c r="Q48" s="328" t="str">
        <f t="shared" si="19"/>
        <v/>
      </c>
    </row>
    <row r="49" spans="1:17" ht="15.75" customHeight="1" x14ac:dyDescent="0.35">
      <c r="A49" s="10"/>
      <c r="B49" s="323" t="s">
        <v>354</v>
      </c>
      <c r="C49" s="324">
        <f>BS!$C$66*C53</f>
        <v>34933</v>
      </c>
      <c r="D49" s="325"/>
      <c r="E49" s="326"/>
      <c r="F49" s="325"/>
      <c r="G49" s="324">
        <f>Data!C52</f>
        <v>34933</v>
      </c>
      <c r="H49" s="324">
        <f>Data!D52</f>
        <v>42648</v>
      </c>
      <c r="I49" s="324">
        <f>Data!E52</f>
        <v>0</v>
      </c>
      <c r="J49" s="324">
        <f>Data!F52</f>
        <v>0</v>
      </c>
      <c r="K49" s="324">
        <f>Data!G52</f>
        <v>0</v>
      </c>
      <c r="L49" s="324" t="str">
        <f>Data!H52</f>
        <v/>
      </c>
      <c r="M49" s="324" t="str">
        <f>Data!I52</f>
        <v/>
      </c>
      <c r="N49" s="324" t="str">
        <f>Data!J52</f>
        <v/>
      </c>
      <c r="O49" s="324" t="str">
        <f>Data!K52</f>
        <v/>
      </c>
      <c r="P49" s="324" t="str">
        <f>Data!L52</f>
        <v/>
      </c>
      <c r="Q49" s="324" t="str">
        <f>Data!M52</f>
        <v/>
      </c>
    </row>
    <row r="50" spans="1:17" ht="15.75" customHeight="1" x14ac:dyDescent="0.35">
      <c r="A50" s="10"/>
      <c r="B50" s="70" t="s">
        <v>69</v>
      </c>
      <c r="C50" s="184">
        <f>C47+C48</f>
        <v>-2834.9164079833763</v>
      </c>
      <c r="E50" s="302"/>
      <c r="G50" s="184">
        <f>IF(G$4="","",(G47+G48))</f>
        <v>-2834.9164079833772</v>
      </c>
      <c r="H50" s="184">
        <f t="shared" ref="H50:Q50" si="20">IF(H$4="","",(H47+H48))</f>
        <v>-959.29390455085741</v>
      </c>
      <c r="I50" s="184">
        <f t="shared" si="20"/>
        <v>-5293</v>
      </c>
      <c r="J50" s="184">
        <f t="shared" si="20"/>
        <v>-3968</v>
      </c>
      <c r="K50" s="184">
        <f t="shared" si="20"/>
        <v>0</v>
      </c>
      <c r="L50" s="184" t="str">
        <f t="shared" si="20"/>
        <v/>
      </c>
      <c r="M50" s="184" t="str">
        <f t="shared" si="20"/>
        <v/>
      </c>
      <c r="N50" s="184" t="str">
        <f t="shared" si="20"/>
        <v/>
      </c>
      <c r="O50" s="184" t="str">
        <f t="shared" si="20"/>
        <v/>
      </c>
      <c r="P50" s="184" t="str">
        <f t="shared" si="20"/>
        <v/>
      </c>
      <c r="Q50" s="184" t="str">
        <f t="shared" si="20"/>
        <v/>
      </c>
    </row>
    <row r="51" spans="1:17" ht="15.75" customHeight="1" x14ac:dyDescent="0.35">
      <c r="A51" s="10"/>
      <c r="E51" s="302"/>
    </row>
    <row r="52" spans="1:17" ht="15.75" customHeight="1" x14ac:dyDescent="0.35">
      <c r="A52" s="10"/>
      <c r="B52" s="72" t="s">
        <v>157</v>
      </c>
      <c r="E52" s="302"/>
      <c r="G52" s="97" t="s">
        <v>221</v>
      </c>
    </row>
    <row r="53" spans="1:17" ht="15.75" customHeight="1" x14ac:dyDescent="0.35">
      <c r="A53" s="10"/>
      <c r="B53" s="8" t="s">
        <v>90</v>
      </c>
      <c r="C53" s="87">
        <f>G53</f>
        <v>3.2422313323191981E-2</v>
      </c>
      <c r="E53" s="299" t="s">
        <v>347</v>
      </c>
      <c r="G53" s="6">
        <f>IF(Normalized_FCF!G4="","",Normalized_FCF!G49/BS!$C$66)</f>
        <v>3.2422313323191981E-2</v>
      </c>
      <c r="H53" s="170"/>
      <c r="I53" s="170"/>
      <c r="J53" s="170"/>
      <c r="K53" s="170"/>
      <c r="L53" s="170"/>
      <c r="M53" s="170"/>
      <c r="N53" s="170"/>
      <c r="O53" s="170"/>
      <c r="P53" s="170"/>
      <c r="Q53" s="170"/>
    </row>
    <row r="54" spans="1:17" ht="15.75" customHeight="1" x14ac:dyDescent="0.35">
      <c r="A54" s="10"/>
      <c r="B54" s="8" t="s">
        <v>89</v>
      </c>
      <c r="C54" s="82">
        <f>G54</f>
        <v>8.3695373080675803E-2</v>
      </c>
      <c r="E54" s="299" t="s">
        <v>348</v>
      </c>
      <c r="G54" s="23">
        <f>IFERROR(ABS(Normalized_FCF!G47/BS!$G$31),0)</f>
        <v>8.3695373080675803E-2</v>
      </c>
      <c r="H54" s="170"/>
      <c r="I54" s="170"/>
      <c r="J54" s="170"/>
      <c r="K54" s="170"/>
      <c r="L54" s="170"/>
      <c r="M54" s="170"/>
      <c r="N54" s="170"/>
      <c r="O54" s="170"/>
      <c r="P54" s="170"/>
      <c r="Q54" s="170"/>
    </row>
    <row r="55" spans="1:17" ht="15.75" customHeight="1" x14ac:dyDescent="0.35">
      <c r="A55" s="10"/>
      <c r="B55" s="26" t="s">
        <v>92</v>
      </c>
      <c r="C55" s="42">
        <f>-C8/C47</f>
        <v>-7.6409375383482647</v>
      </c>
      <c r="E55" s="302"/>
      <c r="G55" s="42">
        <f t="shared" ref="G55:Q55" si="21">IF(G4="","",-G8/G47)</f>
        <v>-40.953859369247759</v>
      </c>
      <c r="H55" s="42">
        <f t="shared" si="21"/>
        <v>-45.822076003759904</v>
      </c>
      <c r="I55" s="42">
        <f t="shared" si="21"/>
        <v>0.35235216323446061</v>
      </c>
      <c r="J55" s="42">
        <f t="shared" si="21"/>
        <v>92.205393145161295</v>
      </c>
      <c r="K55" s="42" t="e">
        <f t="shared" si="21"/>
        <v>#DIV/0!</v>
      </c>
      <c r="L55" s="42" t="str">
        <f t="shared" si="21"/>
        <v/>
      </c>
      <c r="M55" s="42" t="str">
        <f t="shared" si="21"/>
        <v/>
      </c>
      <c r="N55" s="42" t="str">
        <f t="shared" si="21"/>
        <v/>
      </c>
      <c r="O55" s="42" t="str">
        <f t="shared" si="21"/>
        <v/>
      </c>
      <c r="P55" s="42" t="str">
        <f t="shared" si="21"/>
        <v/>
      </c>
      <c r="Q55" s="42" t="str">
        <f t="shared" si="21"/>
        <v/>
      </c>
    </row>
    <row r="56" spans="1:17" ht="15.75" customHeight="1" x14ac:dyDescent="0.35">
      <c r="A56" s="10"/>
      <c r="E56" s="302"/>
    </row>
    <row r="57" spans="1:17" ht="15.75" customHeight="1" x14ac:dyDescent="0.35">
      <c r="A57" s="10"/>
      <c r="B57" s="64" t="s">
        <v>170</v>
      </c>
      <c r="E57" s="302"/>
      <c r="G57" s="97" t="s">
        <v>221</v>
      </c>
    </row>
    <row r="58" spans="1:17" ht="15.75" customHeight="1" x14ac:dyDescent="0.35">
      <c r="A58" s="10"/>
      <c r="B58" s="40" t="s">
        <v>169</v>
      </c>
      <c r="C58" s="191">
        <f>BS!$C67*C66</f>
        <v>63615</v>
      </c>
      <c r="E58" s="302"/>
      <c r="G58" s="191">
        <f>Data!C56</f>
        <v>63615</v>
      </c>
      <c r="H58" s="191">
        <f>Data!D56</f>
        <v>54615</v>
      </c>
      <c r="I58" s="191">
        <f>Data!E56</f>
        <v>0</v>
      </c>
      <c r="J58" s="191">
        <f>Data!F56</f>
        <v>0</v>
      </c>
      <c r="K58" s="191">
        <f>Data!G56</f>
        <v>0</v>
      </c>
      <c r="L58" s="191" t="str">
        <f>Data!H56</f>
        <v/>
      </c>
      <c r="M58" s="191" t="str">
        <f>Data!I56</f>
        <v/>
      </c>
      <c r="N58" s="191" t="str">
        <f>Data!J56</f>
        <v/>
      </c>
      <c r="O58" s="191" t="str">
        <f>Data!K56</f>
        <v/>
      </c>
      <c r="P58" s="191" t="str">
        <f>Data!L56</f>
        <v/>
      </c>
      <c r="Q58" s="191" t="str">
        <f>Data!M56</f>
        <v/>
      </c>
    </row>
    <row r="59" spans="1:17" ht="15.75" customHeight="1" x14ac:dyDescent="0.35">
      <c r="A59" s="10"/>
      <c r="B59" s="40" t="s">
        <v>161</v>
      </c>
      <c r="C59" s="191">
        <f>BS!$C68*C67</f>
        <v>0</v>
      </c>
      <c r="E59" s="302"/>
      <c r="G59" s="191">
        <f>Data!C55</f>
        <v>0</v>
      </c>
      <c r="H59" s="191">
        <f>Data!D55</f>
        <v>0</v>
      </c>
      <c r="I59" s="191">
        <f>Data!E55</f>
        <v>0</v>
      </c>
      <c r="J59" s="191">
        <f>Data!F55</f>
        <v>0</v>
      </c>
      <c r="K59" s="191">
        <f>Data!G55</f>
        <v>0</v>
      </c>
      <c r="L59" s="191" t="str">
        <f>Data!H55</f>
        <v/>
      </c>
      <c r="M59" s="191" t="str">
        <f>Data!I55</f>
        <v/>
      </c>
      <c r="N59" s="191" t="str">
        <f>Data!J55</f>
        <v/>
      </c>
      <c r="O59" s="191" t="str">
        <f>Data!K55</f>
        <v/>
      </c>
      <c r="P59" s="191" t="str">
        <f>Data!L55</f>
        <v/>
      </c>
      <c r="Q59" s="191" t="str">
        <f>Data!M55</f>
        <v/>
      </c>
    </row>
    <row r="60" spans="1:17" ht="15.75" customHeight="1" x14ac:dyDescent="0.35">
      <c r="A60" s="10"/>
      <c r="B60" s="40" t="s">
        <v>160</v>
      </c>
      <c r="C60" s="191">
        <f>BS!$C69*C68</f>
        <v>6932.28</v>
      </c>
      <c r="E60" s="302"/>
      <c r="G60" s="191">
        <f>Data!C57</f>
        <v>12454</v>
      </c>
      <c r="H60" s="191">
        <f>Data!D57</f>
        <v>12191</v>
      </c>
      <c r="I60" s="191">
        <f>Data!E57</f>
        <v>0</v>
      </c>
      <c r="J60" s="191">
        <f>Data!F57</f>
        <v>0</v>
      </c>
      <c r="K60" s="191">
        <f>Data!G57</f>
        <v>0</v>
      </c>
      <c r="L60" s="191" t="str">
        <f>Data!H57</f>
        <v/>
      </c>
      <c r="M60" s="191" t="str">
        <f>Data!I57</f>
        <v/>
      </c>
      <c r="N60" s="191" t="str">
        <f>Data!J57</f>
        <v/>
      </c>
      <c r="O60" s="191" t="str">
        <f>Data!K57</f>
        <v/>
      </c>
      <c r="P60" s="191" t="str">
        <f>Data!L57</f>
        <v/>
      </c>
      <c r="Q60" s="191" t="str">
        <f>Data!M57</f>
        <v/>
      </c>
    </row>
    <row r="61" spans="1:17" ht="15.75" customHeight="1" x14ac:dyDescent="0.35">
      <c r="A61" s="10"/>
      <c r="B61" s="31" t="s">
        <v>196</v>
      </c>
      <c r="C61" s="184">
        <f>SUM(C58:C60)</f>
        <v>70547.28</v>
      </c>
      <c r="E61" s="302"/>
      <c r="G61" s="184">
        <f t="shared" ref="G61:Q61" si="22">IF(G4="","",SUM(G58:G60))</f>
        <v>76069</v>
      </c>
      <c r="H61" s="184">
        <f t="shared" si="22"/>
        <v>66806</v>
      </c>
      <c r="I61" s="184">
        <f t="shared" si="22"/>
        <v>0</v>
      </c>
      <c r="J61" s="184">
        <f t="shared" si="22"/>
        <v>0</v>
      </c>
      <c r="K61" s="184">
        <f t="shared" si="22"/>
        <v>0</v>
      </c>
      <c r="L61" s="184" t="str">
        <f t="shared" si="22"/>
        <v/>
      </c>
      <c r="M61" s="184" t="str">
        <f t="shared" si="22"/>
        <v/>
      </c>
      <c r="N61" s="184" t="str">
        <f t="shared" si="22"/>
        <v/>
      </c>
      <c r="O61" s="184" t="str">
        <f t="shared" si="22"/>
        <v/>
      </c>
      <c r="P61" s="184" t="str">
        <f t="shared" si="22"/>
        <v/>
      </c>
      <c r="Q61" s="184" t="str">
        <f t="shared" si="22"/>
        <v/>
      </c>
    </row>
    <row r="62" spans="1:17" ht="15.75" customHeight="1" x14ac:dyDescent="0.35">
      <c r="A62" s="10"/>
      <c r="B62" s="40" t="s">
        <v>162</v>
      </c>
      <c r="C62" s="297">
        <v>0</v>
      </c>
      <c r="E62" s="300" t="s">
        <v>349</v>
      </c>
      <c r="G62" s="191">
        <f>Data!C58</f>
        <v>264609</v>
      </c>
      <c r="H62" s="191">
        <f>Data!D58</f>
        <v>266825</v>
      </c>
      <c r="I62" s="191">
        <f>Data!E58</f>
        <v>-536928</v>
      </c>
      <c r="J62" s="191">
        <f>Data!F58</f>
        <v>145991</v>
      </c>
      <c r="K62" s="191">
        <f>Data!G58</f>
        <v>223533</v>
      </c>
      <c r="L62" s="191" t="str">
        <f>Data!H58</f>
        <v/>
      </c>
      <c r="M62" s="191" t="str">
        <f>Data!I58</f>
        <v/>
      </c>
      <c r="N62" s="191" t="str">
        <f>Data!J58</f>
        <v/>
      </c>
      <c r="O62" s="191" t="str">
        <f>Data!K58</f>
        <v/>
      </c>
      <c r="P62" s="191" t="str">
        <f>Data!L58</f>
        <v/>
      </c>
      <c r="Q62" s="191" t="str">
        <f>Data!M58</f>
        <v/>
      </c>
    </row>
    <row r="63" spans="1:17" ht="15.75" customHeight="1" x14ac:dyDescent="0.35">
      <c r="A63" s="10"/>
      <c r="B63" s="31" t="s">
        <v>197</v>
      </c>
      <c r="C63" s="184">
        <f>C61+C62</f>
        <v>70547.28</v>
      </c>
      <c r="E63" s="302"/>
      <c r="G63" s="184">
        <f t="shared" ref="G63:Q63" si="23">IF(G4="","",G61+G62)</f>
        <v>340678</v>
      </c>
      <c r="H63" s="184">
        <f t="shared" si="23"/>
        <v>333631</v>
      </c>
      <c r="I63" s="184">
        <f t="shared" si="23"/>
        <v>-536928</v>
      </c>
      <c r="J63" s="184">
        <f t="shared" si="23"/>
        <v>145991</v>
      </c>
      <c r="K63" s="184">
        <f t="shared" si="23"/>
        <v>223533</v>
      </c>
      <c r="L63" s="184" t="str">
        <f t="shared" si="23"/>
        <v/>
      </c>
      <c r="M63" s="184" t="str">
        <f t="shared" si="23"/>
        <v/>
      </c>
      <c r="N63" s="184" t="str">
        <f t="shared" si="23"/>
        <v/>
      </c>
      <c r="O63" s="184" t="str">
        <f t="shared" si="23"/>
        <v/>
      </c>
      <c r="P63" s="184" t="str">
        <f t="shared" si="23"/>
        <v/>
      </c>
      <c r="Q63" s="184" t="str">
        <f t="shared" si="23"/>
        <v/>
      </c>
    </row>
    <row r="64" spans="1:17" ht="15.75" customHeight="1" x14ac:dyDescent="0.35">
      <c r="A64" s="10"/>
      <c r="E64" s="302"/>
    </row>
    <row r="65" spans="1:17" ht="15.75" customHeight="1" x14ac:dyDescent="0.35">
      <c r="A65" s="10"/>
      <c r="B65" s="96" t="s">
        <v>171</v>
      </c>
      <c r="E65" s="302"/>
      <c r="G65" s="97" t="s">
        <v>221</v>
      </c>
    </row>
    <row r="66" spans="1:17" ht="15.75" customHeight="1" x14ac:dyDescent="0.35">
      <c r="A66" s="10"/>
      <c r="B66" s="40" t="s">
        <v>169</v>
      </c>
      <c r="C66" s="177">
        <f>G66</f>
        <v>3.767132413682836E-2</v>
      </c>
      <c r="E66" s="302"/>
      <c r="G66" s="23">
        <f>IFERROR(G58/BS!$C$67,0)</f>
        <v>3.767132413682836E-2</v>
      </c>
      <c r="H66" s="176"/>
      <c r="I66" s="176"/>
      <c r="J66" s="176"/>
      <c r="K66" s="176"/>
      <c r="L66" s="176"/>
      <c r="M66" s="176"/>
      <c r="N66" s="176"/>
      <c r="O66" s="176"/>
      <c r="P66" s="176"/>
      <c r="Q66" s="176"/>
    </row>
    <row r="67" spans="1:17" ht="15.75" customHeight="1" x14ac:dyDescent="0.35">
      <c r="A67" s="10"/>
      <c r="B67" s="105" t="s">
        <v>159</v>
      </c>
      <c r="C67" s="177">
        <f>G67</f>
        <v>0</v>
      </c>
      <c r="E67" s="302"/>
      <c r="G67" s="23">
        <f>IFERROR(G59/BS!$C$68,0)</f>
        <v>0</v>
      </c>
      <c r="H67" s="176"/>
      <c r="I67" s="176"/>
      <c r="J67" s="176"/>
      <c r="K67" s="176"/>
      <c r="L67" s="176"/>
      <c r="M67" s="176"/>
      <c r="N67" s="176"/>
      <c r="O67" s="176"/>
      <c r="P67" s="176"/>
      <c r="Q67" s="176"/>
    </row>
    <row r="68" spans="1:17" ht="15.75" customHeight="1" x14ac:dyDescent="0.35">
      <c r="A68" s="10"/>
      <c r="B68" s="105" t="s">
        <v>160</v>
      </c>
      <c r="C68" s="177">
        <v>0.04</v>
      </c>
      <c r="E68" s="302"/>
      <c r="G68" s="23">
        <f>IFERROR(G60/BS!$C$69,0)</f>
        <v>7.1860917331671548E-2</v>
      </c>
      <c r="H68" s="176"/>
      <c r="I68" s="176"/>
      <c r="J68" s="176"/>
      <c r="K68" s="176"/>
      <c r="L68" s="176"/>
      <c r="M68" s="176"/>
      <c r="N68" s="176"/>
      <c r="O68" s="176"/>
      <c r="P68" s="176"/>
      <c r="Q68" s="176"/>
    </row>
    <row r="69" spans="1:17" ht="15.75" customHeight="1" x14ac:dyDescent="0.35">
      <c r="A69" s="10"/>
      <c r="B69" s="31" t="s">
        <v>196</v>
      </c>
      <c r="C69" s="71">
        <f>C61/BS!C70</f>
        <v>2.4000334758893647E-2</v>
      </c>
      <c r="D69" s="9"/>
      <c r="E69" s="307"/>
      <c r="F69" s="9"/>
      <c r="G69" s="71">
        <f>G61/BS!C70</f>
        <v>2.5878835651413933E-2</v>
      </c>
      <c r="H69" s="176"/>
      <c r="I69" s="176"/>
      <c r="J69" s="176"/>
      <c r="K69" s="176"/>
      <c r="L69" s="176"/>
      <c r="M69" s="176"/>
      <c r="N69" s="176"/>
      <c r="O69" s="176"/>
      <c r="P69" s="176"/>
      <c r="Q69" s="176"/>
    </row>
    <row r="70" spans="1:17" ht="15.75" customHeight="1" x14ac:dyDescent="0.35">
      <c r="A70" s="10"/>
    </row>
    <row r="71" spans="1:17" ht="15.75" customHeight="1" x14ac:dyDescent="0.5">
      <c r="A71" s="10"/>
      <c r="B71" s="54" t="s">
        <v>214</v>
      </c>
      <c r="C71" s="54"/>
      <c r="D71" s="56"/>
      <c r="E71" s="66" t="s">
        <v>60</v>
      </c>
      <c r="F71" s="56"/>
      <c r="G71" s="37"/>
      <c r="H71" s="37"/>
      <c r="I71" s="37"/>
      <c r="J71" s="37"/>
      <c r="K71" s="37"/>
      <c r="L71" s="37"/>
      <c r="M71" s="37"/>
      <c r="N71" s="37"/>
      <c r="O71" s="37"/>
      <c r="P71" s="37"/>
      <c r="Q71" s="37"/>
    </row>
    <row r="72" spans="1:17" ht="15.75" customHeight="1" x14ac:dyDescent="0.35">
      <c r="A72" s="10"/>
      <c r="B72" s="72" t="s">
        <v>218</v>
      </c>
      <c r="C72" s="62"/>
      <c r="D72" s="27"/>
      <c r="E72" s="299"/>
      <c r="F72" s="27"/>
      <c r="G72" s="97"/>
      <c r="H72" s="12"/>
      <c r="I72" s="12"/>
      <c r="J72" s="12"/>
      <c r="K72" s="12"/>
      <c r="L72" s="12"/>
      <c r="M72" s="12"/>
      <c r="N72" s="12"/>
      <c r="O72" s="12"/>
      <c r="P72" s="12"/>
      <c r="Q72" s="12"/>
    </row>
    <row r="73" spans="1:17" ht="15.75" customHeight="1" x14ac:dyDescent="0.35">
      <c r="A73" s="10"/>
      <c r="B73" s="2" t="s">
        <v>47</v>
      </c>
      <c r="C73" s="77">
        <f>ABS(C5/C$4)</f>
        <v>0.88783965770349127</v>
      </c>
      <c r="D73" s="27"/>
      <c r="E73" s="299"/>
      <c r="F73" s="27"/>
      <c r="G73" s="6">
        <f t="shared" ref="G73:Q73" si="24">IF(G$4="","",ABS(G5/G$4))</f>
        <v>0.88783965770349127</v>
      </c>
      <c r="H73" s="6">
        <f t="shared" si="24"/>
        <v>0.82604778844551008</v>
      </c>
      <c r="I73" s="6">
        <f t="shared" si="24"/>
        <v>0</v>
      </c>
      <c r="J73" s="6">
        <f t="shared" si="24"/>
        <v>0</v>
      </c>
      <c r="K73" s="6">
        <f t="shared" si="24"/>
        <v>0</v>
      </c>
      <c r="L73" s="6" t="str">
        <f t="shared" si="24"/>
        <v/>
      </c>
      <c r="M73" s="6" t="str">
        <f t="shared" si="24"/>
        <v/>
      </c>
      <c r="N73" s="6" t="str">
        <f t="shared" si="24"/>
        <v/>
      </c>
      <c r="O73" s="6" t="str">
        <f t="shared" si="24"/>
        <v/>
      </c>
      <c r="P73" s="6" t="str">
        <f t="shared" si="24"/>
        <v/>
      </c>
      <c r="Q73" s="6" t="str">
        <f t="shared" si="24"/>
        <v/>
      </c>
    </row>
    <row r="74" spans="1:17" ht="15.75" customHeight="1" x14ac:dyDescent="0.35">
      <c r="A74" s="10"/>
      <c r="B74" s="31" t="s">
        <v>49</v>
      </c>
      <c r="C74" s="78">
        <f>ABS(C6/C$4)</f>
        <v>0.11216034229650869</v>
      </c>
      <c r="D74" s="27"/>
      <c r="E74" s="299"/>
      <c r="F74" s="27"/>
      <c r="G74" s="65">
        <f t="shared" ref="G74:Q74" si="25">IF(G$4="","",ABS(G6/G$4))</f>
        <v>0.11216034229650869</v>
      </c>
      <c r="H74" s="65">
        <f t="shared" si="25"/>
        <v>0.17395221155448998</v>
      </c>
      <c r="I74" s="65">
        <f t="shared" si="25"/>
        <v>1</v>
      </c>
      <c r="J74" s="65">
        <f t="shared" si="25"/>
        <v>1</v>
      </c>
      <c r="K74" s="65">
        <f t="shared" si="25"/>
        <v>1</v>
      </c>
      <c r="L74" s="65" t="str">
        <f t="shared" si="25"/>
        <v/>
      </c>
      <c r="M74" s="65" t="str">
        <f t="shared" si="25"/>
        <v/>
      </c>
      <c r="N74" s="65" t="str">
        <f t="shared" si="25"/>
        <v/>
      </c>
      <c r="O74" s="65" t="str">
        <f t="shared" si="25"/>
        <v/>
      </c>
      <c r="P74" s="65" t="str">
        <f t="shared" si="25"/>
        <v/>
      </c>
      <c r="Q74" s="65" t="str">
        <f t="shared" si="25"/>
        <v/>
      </c>
    </row>
    <row r="75" spans="1:17" ht="15.75" customHeight="1" x14ac:dyDescent="0.35">
      <c r="A75" s="10"/>
      <c r="B75" s="8" t="s">
        <v>46</v>
      </c>
      <c r="C75" s="77">
        <f>ABS(C7/C$4)</f>
        <v>0.36397313069466292</v>
      </c>
      <c r="D75" s="27"/>
      <c r="E75" s="299"/>
      <c r="F75" s="27"/>
      <c r="G75" s="6">
        <f t="shared" ref="G75:Q75" si="26">IF(G$4="","",ABS(G7/G$4))</f>
        <v>1.4618252848089748</v>
      </c>
      <c r="H75" s="6">
        <f t="shared" si="26"/>
        <v>1.3842227904848714</v>
      </c>
      <c r="I75" s="6">
        <f t="shared" si="26"/>
        <v>0.99438173476365632</v>
      </c>
      <c r="J75" s="6">
        <f t="shared" si="26"/>
        <v>0.5156682296065469</v>
      </c>
      <c r="K75" s="6">
        <f t="shared" si="26"/>
        <v>0.32814858270316083</v>
      </c>
      <c r="L75" s="6" t="str">
        <f t="shared" si="26"/>
        <v/>
      </c>
      <c r="M75" s="6" t="str">
        <f t="shared" si="26"/>
        <v/>
      </c>
      <c r="N75" s="6" t="str">
        <f t="shared" si="26"/>
        <v/>
      </c>
      <c r="O75" s="6" t="str">
        <f t="shared" si="26"/>
        <v/>
      </c>
      <c r="P75" s="6" t="str">
        <f t="shared" si="26"/>
        <v/>
      </c>
      <c r="Q75" s="6" t="str">
        <f t="shared" si="26"/>
        <v/>
      </c>
    </row>
    <row r="76" spans="1:17" ht="15.75" customHeight="1" x14ac:dyDescent="0.35">
      <c r="A76" s="10"/>
      <c r="B76" s="29" t="s">
        <v>154</v>
      </c>
      <c r="C76" s="78">
        <f>ABS(C8/C$4)</f>
        <v>0.25181278839815424</v>
      </c>
      <c r="D76" s="27"/>
      <c r="E76" s="299"/>
      <c r="F76" s="27"/>
      <c r="G76" s="65">
        <f t="shared" ref="G76:Q76" si="27">IF(G$4="","",ABS(G8/G$4))</f>
        <v>1.349664942512466</v>
      </c>
      <c r="H76" s="65">
        <f t="shared" si="27"/>
        <v>1.2102705789303816</v>
      </c>
      <c r="I76" s="65">
        <f t="shared" si="27"/>
        <v>5.6182652363436988E-3</v>
      </c>
      <c r="J76" s="65">
        <f t="shared" si="27"/>
        <v>0.48433177039345315</v>
      </c>
      <c r="K76" s="65">
        <f t="shared" si="27"/>
        <v>0.67185141729683917</v>
      </c>
      <c r="L76" s="65" t="str">
        <f t="shared" si="27"/>
        <v/>
      </c>
      <c r="M76" s="65" t="str">
        <f t="shared" si="27"/>
        <v/>
      </c>
      <c r="N76" s="65" t="str">
        <f t="shared" si="27"/>
        <v/>
      </c>
      <c r="O76" s="65" t="str">
        <f t="shared" si="27"/>
        <v/>
      </c>
      <c r="P76" s="65" t="str">
        <f t="shared" si="27"/>
        <v/>
      </c>
      <c r="Q76" s="65" t="str">
        <f t="shared" si="27"/>
        <v/>
      </c>
    </row>
    <row r="77" spans="1:17" ht="15.75" customHeight="1" x14ac:dyDescent="0.35">
      <c r="A77" s="10"/>
      <c r="B77" s="2" t="s">
        <v>66</v>
      </c>
      <c r="C77" s="77">
        <f>ABS(C9/C$4)</f>
        <v>0</v>
      </c>
      <c r="D77" s="27"/>
      <c r="E77" s="299"/>
      <c r="F77" s="27"/>
      <c r="G77" s="6">
        <f t="shared" ref="G77:Q77" si="28">IF(G$4="","",G9/G$4)</f>
        <v>0</v>
      </c>
      <c r="H77" s="6">
        <f t="shared" si="28"/>
        <v>0</v>
      </c>
      <c r="I77" s="6">
        <f t="shared" si="28"/>
        <v>0</v>
      </c>
      <c r="J77" s="6">
        <f t="shared" si="28"/>
        <v>0</v>
      </c>
      <c r="K77" s="6">
        <f t="shared" si="28"/>
        <v>0</v>
      </c>
      <c r="L77" s="6" t="str">
        <f t="shared" si="28"/>
        <v/>
      </c>
      <c r="M77" s="6" t="str">
        <f t="shared" si="28"/>
        <v/>
      </c>
      <c r="N77" s="6" t="str">
        <f t="shared" si="28"/>
        <v/>
      </c>
      <c r="O77" s="6" t="str">
        <f t="shared" si="28"/>
        <v/>
      </c>
      <c r="P77" s="6" t="str">
        <f t="shared" si="28"/>
        <v/>
      </c>
      <c r="Q77" s="6" t="str">
        <f t="shared" si="28"/>
        <v/>
      </c>
    </row>
    <row r="78" spans="1:17" ht="15.75" customHeight="1" x14ac:dyDescent="0.35">
      <c r="A78" s="10"/>
      <c r="B78" s="2" t="s">
        <v>82</v>
      </c>
      <c r="C78" s="88">
        <f>MAX(AVERAGE(G78:J78),C77)</f>
        <v>0</v>
      </c>
      <c r="D78" s="27"/>
      <c r="E78" s="300" t="s">
        <v>366</v>
      </c>
      <c r="F78" s="27"/>
      <c r="G78" s="6">
        <f t="shared" ref="G78:Q78" si="29">IF(G$4="","",-G10/G$4)</f>
        <v>-4.0684107719870103E-6</v>
      </c>
      <c r="H78" s="6">
        <f t="shared" si="29"/>
        <v>-3.5679958574362212E-6</v>
      </c>
      <c r="I78" s="6">
        <f t="shared" si="29"/>
        <v>-2.9703000123511462E-6</v>
      </c>
      <c r="J78" s="6">
        <f t="shared" si="29"/>
        <v>-6.8571670633586344E-6</v>
      </c>
      <c r="K78" s="6">
        <f t="shared" si="29"/>
        <v>-4.1182485959186182E-6</v>
      </c>
      <c r="L78" s="6" t="str">
        <f t="shared" si="29"/>
        <v/>
      </c>
      <c r="M78" s="6" t="str">
        <f t="shared" si="29"/>
        <v/>
      </c>
      <c r="N78" s="6" t="str">
        <f t="shared" si="29"/>
        <v/>
      </c>
      <c r="O78" s="6" t="str">
        <f t="shared" si="29"/>
        <v/>
      </c>
      <c r="P78" s="6" t="str">
        <f t="shared" si="29"/>
        <v/>
      </c>
      <c r="Q78" s="6" t="str">
        <f t="shared" si="29"/>
        <v/>
      </c>
    </row>
    <row r="79" spans="1:17" ht="15.75" customHeight="1" x14ac:dyDescent="0.35">
      <c r="A79" s="10"/>
      <c r="B79" s="31" t="s">
        <v>155</v>
      </c>
      <c r="C79" s="78">
        <f>ABS(C11/C$4)</f>
        <v>0.28530349292881091</v>
      </c>
      <c r="D79" s="27"/>
      <c r="E79" s="299"/>
      <c r="F79" s="27"/>
      <c r="G79" s="65">
        <f t="shared" ref="G79:Q79" si="30">IF(G$4="","",G11/G$4)</f>
        <v>0.30763413420902574</v>
      </c>
      <c r="H79" s="65">
        <f t="shared" si="30"/>
        <v>0.23694187997205188</v>
      </c>
      <c r="I79" s="65">
        <f t="shared" si="30"/>
        <v>0</v>
      </c>
      <c r="J79" s="65">
        <f t="shared" si="30"/>
        <v>0</v>
      </c>
      <c r="K79" s="65">
        <f t="shared" si="30"/>
        <v>0</v>
      </c>
      <c r="L79" s="65" t="str">
        <f t="shared" si="30"/>
        <v/>
      </c>
      <c r="M79" s="65" t="str">
        <f t="shared" si="30"/>
        <v/>
      </c>
      <c r="N79" s="65" t="str">
        <f t="shared" si="30"/>
        <v/>
      </c>
      <c r="O79" s="65" t="str">
        <f t="shared" si="30"/>
        <v/>
      </c>
      <c r="P79" s="65" t="str">
        <f t="shared" si="30"/>
        <v/>
      </c>
      <c r="Q79" s="65" t="str">
        <f t="shared" si="30"/>
        <v/>
      </c>
    </row>
    <row r="80" spans="1:17" ht="15.75" customHeight="1" x14ac:dyDescent="0.35">
      <c r="A80" s="10"/>
      <c r="B80" s="2" t="s">
        <v>69</v>
      </c>
      <c r="C80" s="77">
        <f>ABS(C12/C$4)</f>
        <v>1.1464815558570865E-2</v>
      </c>
      <c r="D80" s="27"/>
      <c r="E80" s="299"/>
      <c r="F80" s="27"/>
      <c r="G80" s="6">
        <f t="shared" ref="G80:Q80" si="31">IF(G$4="","",ABS(G12/G$4))</f>
        <v>1.1464815558570868E-2</v>
      </c>
      <c r="H80" s="6">
        <f t="shared" si="31"/>
        <v>3.4023426217706532E-3</v>
      </c>
      <c r="I80" s="6">
        <f t="shared" si="31"/>
        <v>1.5945028362448901E-2</v>
      </c>
      <c r="J80" s="6">
        <f t="shared" si="31"/>
        <v>5.2527488238237573E-3</v>
      </c>
      <c r="K80" s="6">
        <f t="shared" si="31"/>
        <v>0</v>
      </c>
      <c r="L80" s="6" t="str">
        <f t="shared" si="31"/>
        <v/>
      </c>
      <c r="M80" s="6" t="str">
        <f t="shared" si="31"/>
        <v/>
      </c>
      <c r="N80" s="6" t="str">
        <f t="shared" si="31"/>
        <v/>
      </c>
      <c r="O80" s="6" t="str">
        <f t="shared" si="31"/>
        <v/>
      </c>
      <c r="P80" s="6" t="str">
        <f t="shared" si="31"/>
        <v/>
      </c>
      <c r="Q80" s="6" t="str">
        <f t="shared" si="31"/>
        <v/>
      </c>
    </row>
    <row r="81" spans="1:17" ht="15.75" customHeight="1" x14ac:dyDescent="0.35">
      <c r="A81" s="10"/>
      <c r="B81" s="70" t="s">
        <v>166</v>
      </c>
      <c r="C81" s="78">
        <f>C13/C4</f>
        <v>2.2025888972085777E-2</v>
      </c>
      <c r="D81" s="27"/>
      <c r="E81" s="299"/>
      <c r="F81" s="27"/>
      <c r="G81" s="65">
        <f t="shared" ref="G81:Q81" si="32">IF(G$4="","",G13/G$4)</f>
        <v>-1.0534915554512392</v>
      </c>
      <c r="H81" s="65">
        <f t="shared" si="32"/>
        <v>-0.97672747358424283</v>
      </c>
      <c r="I81" s="65">
        <f t="shared" si="32"/>
        <v>-1.032379282609285E-2</v>
      </c>
      <c r="J81" s="65">
        <f t="shared" si="32"/>
        <v>0.47908587873669273</v>
      </c>
      <c r="K81" s="65">
        <f t="shared" si="32"/>
        <v>0.67185553554543509</v>
      </c>
      <c r="L81" s="65" t="str">
        <f t="shared" si="32"/>
        <v/>
      </c>
      <c r="M81" s="65" t="str">
        <f t="shared" si="32"/>
        <v/>
      </c>
      <c r="N81" s="65" t="str">
        <f t="shared" si="32"/>
        <v/>
      </c>
      <c r="O81" s="65" t="str">
        <f t="shared" si="32"/>
        <v/>
      </c>
      <c r="P81" s="65" t="str">
        <f t="shared" si="32"/>
        <v/>
      </c>
      <c r="Q81" s="65" t="str">
        <f t="shared" si="32"/>
        <v/>
      </c>
    </row>
    <row r="82" spans="1:17" ht="15.75" customHeight="1" x14ac:dyDescent="0.35">
      <c r="A82" s="10"/>
      <c r="B82" s="2" t="s">
        <v>64</v>
      </c>
      <c r="C82" s="77">
        <f>ABS(C14/C$4)</f>
        <v>5.5064722430214442E-3</v>
      </c>
      <c r="D82" s="27"/>
      <c r="E82" s="299"/>
      <c r="F82" s="27"/>
      <c r="G82" s="6">
        <f t="shared" ref="G82:Q82" si="33">IF(G$4="","",ABS(G14/G$4))</f>
        <v>1.1800817726300294E-2</v>
      </c>
      <c r="H82" s="6">
        <f t="shared" si="33"/>
        <v>1.5985047047181958E-2</v>
      </c>
      <c r="I82" s="6">
        <f t="shared" si="33"/>
        <v>1.1926387169267938E-2</v>
      </c>
      <c r="J82" s="6">
        <f t="shared" si="33"/>
        <v>6.6296097239394558E-2</v>
      </c>
      <c r="K82" s="6">
        <f t="shared" si="33"/>
        <v>0.10815023097790971</v>
      </c>
      <c r="L82" s="6" t="str">
        <f t="shared" si="33"/>
        <v/>
      </c>
      <c r="M82" s="6" t="str">
        <f t="shared" si="33"/>
        <v/>
      </c>
      <c r="N82" s="6" t="str">
        <f t="shared" si="33"/>
        <v/>
      </c>
      <c r="O82" s="6" t="str">
        <f t="shared" si="33"/>
        <v/>
      </c>
      <c r="P82" s="6" t="str">
        <f t="shared" si="33"/>
        <v/>
      </c>
      <c r="Q82" s="6" t="str">
        <f t="shared" si="33"/>
        <v/>
      </c>
    </row>
    <row r="83" spans="1:17" ht="15.75" customHeight="1" x14ac:dyDescent="0.35">
      <c r="A83" s="10"/>
      <c r="B83" s="40" t="str">
        <f>B15</f>
        <v>NCI’s Share of Profits</v>
      </c>
      <c r="C83" s="298">
        <f>MIN(BS!C62,MAX(G83:K83))</f>
        <v>0</v>
      </c>
      <c r="D83" s="27"/>
      <c r="E83" s="299"/>
      <c r="F83" s="27"/>
      <c r="G83" s="6">
        <f t="shared" ref="G83:Q83" si="34">IF(G$4="","",-G15/G$4)</f>
        <v>0</v>
      </c>
      <c r="H83" s="6">
        <f t="shared" si="34"/>
        <v>0</v>
      </c>
      <c r="I83" s="6">
        <f t="shared" si="34"/>
        <v>0</v>
      </c>
      <c r="J83" s="6">
        <f t="shared" si="34"/>
        <v>0</v>
      </c>
      <c r="K83" s="6">
        <f t="shared" si="34"/>
        <v>0</v>
      </c>
      <c r="L83" s="6" t="str">
        <f t="shared" si="34"/>
        <v/>
      </c>
      <c r="M83" s="6" t="str">
        <f t="shared" si="34"/>
        <v/>
      </c>
      <c r="N83" s="6" t="str">
        <f t="shared" si="34"/>
        <v/>
      </c>
      <c r="O83" s="6" t="str">
        <f t="shared" si="34"/>
        <v/>
      </c>
      <c r="P83" s="6" t="str">
        <f t="shared" si="34"/>
        <v/>
      </c>
      <c r="Q83" s="6" t="str">
        <f t="shared" si="34"/>
        <v/>
      </c>
    </row>
    <row r="84" spans="1:17" ht="15.75" customHeight="1" x14ac:dyDescent="0.35">
      <c r="A84" s="10"/>
      <c r="B84" s="41" t="s">
        <v>156</v>
      </c>
      <c r="C84" s="78">
        <f>ABS(C16/C$4)</f>
        <v>1.6519416729064332E-2</v>
      </c>
      <c r="D84" s="27"/>
      <c r="E84" s="299"/>
      <c r="F84" s="27"/>
      <c r="G84" s="65">
        <f t="shared" ref="G84:Q84" si="35">IF(G$4="","",ABS(G16/G$4))</f>
        <v>1.0652923731775394</v>
      </c>
      <c r="H84" s="65">
        <f t="shared" si="35"/>
        <v>0.99271252063142479</v>
      </c>
      <c r="I84" s="65">
        <f t="shared" si="35"/>
        <v>2.2250179995360789E-2</v>
      </c>
      <c r="J84" s="65">
        <f t="shared" si="35"/>
        <v>0.41278978149729817</v>
      </c>
      <c r="K84" s="65">
        <f t="shared" si="35"/>
        <v>0.56370530456752543</v>
      </c>
      <c r="L84" s="65" t="str">
        <f t="shared" si="35"/>
        <v/>
      </c>
      <c r="M84" s="65" t="str">
        <f t="shared" si="35"/>
        <v/>
      </c>
      <c r="N84" s="65" t="str">
        <f t="shared" si="35"/>
        <v/>
      </c>
      <c r="O84" s="65" t="str">
        <f t="shared" si="35"/>
        <v/>
      </c>
      <c r="P84" s="65" t="str">
        <f t="shared" si="35"/>
        <v/>
      </c>
      <c r="Q84" s="65" t="str">
        <f t="shared" si="35"/>
        <v/>
      </c>
    </row>
    <row r="85" spans="1:17" ht="15.75" customHeight="1" x14ac:dyDescent="0.35">
      <c r="A85" s="10"/>
      <c r="B85" s="27" t="s">
        <v>53</v>
      </c>
      <c r="C85" s="298">
        <v>0</v>
      </c>
      <c r="D85" s="27"/>
      <c r="E85" s="301" t="str">
        <f>E17</f>
        <v>WCInv is by default excluded</v>
      </c>
      <c r="F85" s="27"/>
      <c r="G85" s="253"/>
      <c r="H85" s="253"/>
      <c r="I85" s="253"/>
      <c r="J85" s="253"/>
      <c r="K85" s="253"/>
      <c r="L85" s="253"/>
      <c r="M85" s="253"/>
      <c r="N85" s="253"/>
      <c r="O85" s="253"/>
      <c r="P85" s="253"/>
      <c r="Q85" s="253"/>
    </row>
    <row r="86" spans="1:17" ht="15.75" customHeight="1" x14ac:dyDescent="0.35">
      <c r="A86" s="10"/>
      <c r="B86" s="8" t="s">
        <v>100</v>
      </c>
      <c r="C86" s="77">
        <v>0</v>
      </c>
      <c r="E86" s="301" t="str">
        <f>E18</f>
        <v>Net borrowing is excluded</v>
      </c>
      <c r="G86" s="170"/>
      <c r="H86" s="170"/>
      <c r="I86" s="170"/>
      <c r="J86" s="170"/>
      <c r="K86" s="170"/>
      <c r="L86" s="170"/>
      <c r="M86" s="170"/>
      <c r="N86" s="170"/>
      <c r="O86" s="170"/>
      <c r="P86" s="170"/>
      <c r="Q86" s="170"/>
    </row>
    <row r="87" spans="1:17" ht="15.75" customHeight="1" x14ac:dyDescent="0.35">
      <c r="A87" s="10"/>
      <c r="B87" s="31" t="s">
        <v>142</v>
      </c>
      <c r="C87" s="78">
        <f>ABS(C19/C$4)</f>
        <v>1.6519416729064332E-2</v>
      </c>
      <c r="D87" s="75"/>
      <c r="E87" s="299"/>
      <c r="F87" s="75"/>
      <c r="G87" s="65">
        <f t="shared" ref="G87:Q87" si="36">IF(G$4="","",ABS(G19/G$4))</f>
        <v>1.0652923731775394</v>
      </c>
      <c r="H87" s="65">
        <f t="shared" si="36"/>
        <v>0.99271252063142479</v>
      </c>
      <c r="I87" s="65">
        <f t="shared" si="36"/>
        <v>2.2250179995360789E-2</v>
      </c>
      <c r="J87" s="65">
        <f t="shared" si="36"/>
        <v>0.41278978149729817</v>
      </c>
      <c r="K87" s="65">
        <f t="shared" si="36"/>
        <v>0.56370530456752543</v>
      </c>
      <c r="L87" s="65" t="str">
        <f t="shared" si="36"/>
        <v/>
      </c>
      <c r="M87" s="65" t="str">
        <f t="shared" si="36"/>
        <v/>
      </c>
      <c r="N87" s="65" t="str">
        <f t="shared" si="36"/>
        <v/>
      </c>
      <c r="O87" s="65" t="str">
        <f t="shared" si="36"/>
        <v/>
      </c>
      <c r="P87" s="65" t="str">
        <f t="shared" si="36"/>
        <v/>
      </c>
      <c r="Q87" s="65" t="str">
        <f t="shared" si="36"/>
        <v/>
      </c>
    </row>
    <row r="88" spans="1:17" ht="15.75" customHeight="1" x14ac:dyDescent="0.35">
      <c r="A88" s="10"/>
      <c r="E88" s="302"/>
    </row>
    <row r="89" spans="1:17" ht="15.75" customHeight="1" x14ac:dyDescent="0.35">
      <c r="A89" s="10"/>
      <c r="B89" s="64" t="s">
        <v>216</v>
      </c>
      <c r="E89" s="302"/>
    </row>
    <row r="90" spans="1:17" ht="15.75" customHeight="1" x14ac:dyDescent="0.35">
      <c r="A90" s="10"/>
      <c r="B90" s="2" t="str">
        <f>"Dividend per share ("&amp;Market_currency&amp;")"</f>
        <v>Dividend per share (HKD)</v>
      </c>
      <c r="C90" s="114">
        <f>G90</f>
        <v>0.01</v>
      </c>
      <c r="E90" s="302"/>
      <c r="G90" s="113">
        <f>Data!C65</f>
        <v>0.01</v>
      </c>
      <c r="H90" s="113">
        <f>Data!D65</f>
        <v>0</v>
      </c>
      <c r="I90" s="113">
        <f>Data!E65</f>
        <v>3.4000000000000002E-2</v>
      </c>
      <c r="J90" s="113">
        <f>Data!F65</f>
        <v>0.08</v>
      </c>
      <c r="K90" s="113">
        <f>Data!G65</f>
        <v>0.26</v>
      </c>
      <c r="L90" s="113" t="str">
        <f>Data!H65</f>
        <v/>
      </c>
      <c r="M90" s="113" t="str">
        <f>Data!I65</f>
        <v/>
      </c>
      <c r="N90" s="113" t="str">
        <f>Data!J65</f>
        <v/>
      </c>
      <c r="O90" s="113" t="str">
        <f>Data!K65</f>
        <v/>
      </c>
      <c r="P90" s="113" t="str">
        <f>Data!L65</f>
        <v/>
      </c>
      <c r="Q90" s="113" t="str">
        <f>Data!M65</f>
        <v/>
      </c>
    </row>
    <row r="91" spans="1:17" ht="15.75" customHeight="1" x14ac:dyDescent="0.35">
      <c r="A91" s="10"/>
      <c r="B91" s="2" t="str">
        <f>"Dividend ("&amp;Market_currency&amp;")"</f>
        <v>Dividend (HKD)</v>
      </c>
      <c r="C91" s="74">
        <f>C90*Common_Shares/$C$3</f>
        <v>18267.098309999998</v>
      </c>
      <c r="E91" s="302"/>
      <c r="G91" s="74">
        <f t="shared" ref="G91:Q91" si="37">IF(G$4="","",G90*Common_Shares/$C$3)</f>
        <v>18267.098309999998</v>
      </c>
      <c r="H91" s="74">
        <f t="shared" si="37"/>
        <v>0</v>
      </c>
      <c r="I91" s="74">
        <f t="shared" si="37"/>
        <v>62108.134254000011</v>
      </c>
      <c r="J91" s="74">
        <f t="shared" si="37"/>
        <v>146136.78647999998</v>
      </c>
      <c r="K91" s="74">
        <f t="shared" si="37"/>
        <v>474944.55605999997</v>
      </c>
      <c r="L91" s="74" t="str">
        <f t="shared" si="37"/>
        <v/>
      </c>
      <c r="M91" s="74" t="str">
        <f t="shared" si="37"/>
        <v/>
      </c>
      <c r="N91" s="74" t="str">
        <f t="shared" si="37"/>
        <v/>
      </c>
      <c r="O91" s="74" t="str">
        <f t="shared" si="37"/>
        <v/>
      </c>
      <c r="P91" s="74" t="str">
        <f t="shared" si="37"/>
        <v/>
      </c>
      <c r="Q91" s="74" t="str">
        <f t="shared" si="37"/>
        <v/>
      </c>
    </row>
    <row r="92" spans="1:17" ht="15.75" customHeight="1" x14ac:dyDescent="0.35">
      <c r="A92" s="10"/>
      <c r="B92" s="2" t="s">
        <v>215</v>
      </c>
      <c r="C92" s="23">
        <f>C90/(C19*$C$3/Common_Shares)</f>
        <v>4.4719987324573145</v>
      </c>
      <c r="E92" s="302"/>
      <c r="G92" s="171">
        <f t="shared" ref="G92:Q92" si="38">IF(G$4="","",G90/(G19*$C$3/Common_Shares))</f>
        <v>-6.9346981667537042E-2</v>
      </c>
      <c r="H92" s="171">
        <f t="shared" si="38"/>
        <v>0</v>
      </c>
      <c r="I92" s="171">
        <f t="shared" si="38"/>
        <v>-8.4088839059877234</v>
      </c>
      <c r="J92" s="171">
        <f t="shared" si="38"/>
        <v>0.46864672438111399</v>
      </c>
      <c r="K92" s="171">
        <f t="shared" si="38"/>
        <v>0.41086930509378367</v>
      </c>
      <c r="L92" s="171" t="str">
        <f t="shared" si="38"/>
        <v/>
      </c>
      <c r="M92" s="171" t="str">
        <f t="shared" si="38"/>
        <v/>
      </c>
      <c r="N92" s="171" t="str">
        <f t="shared" si="38"/>
        <v/>
      </c>
      <c r="O92" s="171" t="str">
        <f t="shared" si="38"/>
        <v/>
      </c>
      <c r="P92" s="171" t="str">
        <f t="shared" si="38"/>
        <v/>
      </c>
      <c r="Q92" s="171" t="str">
        <f t="shared" si="38"/>
        <v/>
      </c>
    </row>
    <row r="93" spans="1:17" ht="15.75" customHeight="1" x14ac:dyDescent="0.35">
      <c r="A93" s="10"/>
      <c r="B93" s="2" t="s">
        <v>320</v>
      </c>
      <c r="C93" s="23">
        <f>C90/Market_Price</f>
        <v>7.4074074074074068E-3</v>
      </c>
      <c r="E93" s="302"/>
      <c r="G93" s="23">
        <f t="shared" ref="G93:Q93" si="39">IF(G$4="","",G90/Market_Price)</f>
        <v>7.4074074074074068E-3</v>
      </c>
      <c r="H93" s="23">
        <f t="shared" si="39"/>
        <v>0</v>
      </c>
      <c r="I93" s="23">
        <f t="shared" si="39"/>
        <v>2.5185185185185185E-2</v>
      </c>
      <c r="J93" s="23">
        <f t="shared" si="39"/>
        <v>5.9259259259259255E-2</v>
      </c>
      <c r="K93" s="23">
        <f t="shared" si="39"/>
        <v>0.19259259259259259</v>
      </c>
      <c r="L93" s="23" t="str">
        <f t="shared" si="39"/>
        <v/>
      </c>
      <c r="M93" s="23" t="str">
        <f t="shared" si="39"/>
        <v/>
      </c>
      <c r="N93" s="23" t="str">
        <f t="shared" si="39"/>
        <v/>
      </c>
      <c r="O93" s="23" t="str">
        <f t="shared" si="39"/>
        <v/>
      </c>
      <c r="P93" s="23" t="str">
        <f t="shared" si="39"/>
        <v/>
      </c>
      <c r="Q93" s="23" t="str">
        <f t="shared" si="39"/>
        <v/>
      </c>
    </row>
    <row r="94" spans="1:17" ht="15.75" customHeight="1" x14ac:dyDescent="0.35">
      <c r="A94" s="10"/>
      <c r="E94" s="302"/>
    </row>
    <row r="95" spans="1:17" ht="15.75" customHeight="1" x14ac:dyDescent="0.35">
      <c r="A95" s="10"/>
      <c r="B95" s="158" t="s">
        <v>86</v>
      </c>
      <c r="C95" s="62"/>
      <c r="D95" s="27"/>
      <c r="E95" s="299"/>
      <c r="F95" s="27"/>
      <c r="G95" s="12"/>
      <c r="H95" s="12"/>
      <c r="I95" s="12"/>
      <c r="J95" s="12"/>
      <c r="K95" s="12"/>
      <c r="L95" s="12"/>
      <c r="M95" s="12"/>
      <c r="N95" s="12"/>
      <c r="O95" s="12"/>
      <c r="P95" s="12"/>
      <c r="Q95" s="12"/>
    </row>
    <row r="96" spans="1:17" ht="15.75" customHeight="1" x14ac:dyDescent="0.35">
      <c r="A96" s="10"/>
      <c r="B96" s="27" t="s">
        <v>146</v>
      </c>
      <c r="C96" s="77">
        <f>C4/G4-1</f>
        <v>0</v>
      </c>
      <c r="D96" s="27"/>
      <c r="E96" s="299"/>
      <c r="F96" s="27"/>
      <c r="G96" s="6">
        <f t="shared" ref="G96:Q96" si="40">IF(H4="","",G4/H4-1)</f>
        <v>-0.12300009576132021</v>
      </c>
      <c r="H96" s="6">
        <f t="shared" si="40"/>
        <v>-0.15062975782716226</v>
      </c>
      <c r="I96" s="6">
        <f t="shared" si="40"/>
        <v>-0.56056811231986692</v>
      </c>
      <c r="J96" s="6">
        <f t="shared" si="40"/>
        <v>-0.63161839611163206</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35">
      <c r="A97" s="10"/>
      <c r="B97" s="70" t="s">
        <v>166</v>
      </c>
      <c r="C97" s="77">
        <f>C13/G13-1</f>
        <v>-1.0209075135515933</v>
      </c>
      <c r="D97" s="27"/>
      <c r="E97" s="299"/>
      <c r="F97" s="27"/>
      <c r="G97" s="6">
        <f t="shared" ref="G97:Q97" si="41">IF(H5="","",G13/H13-1)</f>
        <v>-5.4073916999011096E-2</v>
      </c>
      <c r="H97" s="6">
        <f t="shared" si="41"/>
        <v>79.358378432230168</v>
      </c>
      <c r="I97" s="6">
        <f t="shared" si="41"/>
        <v>-1.0094692913545087</v>
      </c>
      <c r="J97" s="6">
        <f t="shared" si="41"/>
        <v>-0.73731492103281804</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x14ac:dyDescent="0.35">
      <c r="A98" s="10"/>
    </row>
    <row r="99" spans="1:17" ht="15.75" customHeight="1" x14ac:dyDescent="0.5">
      <c r="A99" s="3"/>
      <c r="B99" s="54" t="s">
        <v>217</v>
      </c>
      <c r="C99" s="54"/>
      <c r="D99" s="56"/>
      <c r="E99" s="66" t="s">
        <v>60</v>
      </c>
      <c r="F99" s="56"/>
      <c r="G99" s="37"/>
      <c r="H99" s="37"/>
      <c r="I99" s="37"/>
      <c r="J99" s="37"/>
      <c r="K99" s="37"/>
      <c r="L99" s="37"/>
      <c r="M99" s="37"/>
      <c r="N99" s="37"/>
      <c r="O99" s="37"/>
      <c r="P99" s="37"/>
      <c r="Q99" s="37"/>
    </row>
    <row r="100" spans="1:17" ht="15.75" customHeight="1" x14ac:dyDescent="0.35">
      <c r="A100" s="10"/>
      <c r="B100" s="64" t="s">
        <v>28</v>
      </c>
      <c r="E100" s="302"/>
      <c r="G100" s="97" t="s">
        <v>221</v>
      </c>
    </row>
    <row r="101" spans="1:17" ht="15.75" customHeight="1" x14ac:dyDescent="0.35">
      <c r="A101" s="10"/>
      <c r="B101" s="26" t="s">
        <v>3</v>
      </c>
      <c r="C101" s="199">
        <f>BS!G32</f>
        <v>3775213</v>
      </c>
      <c r="D101" s="26"/>
      <c r="E101" s="303"/>
      <c r="F101" s="26"/>
      <c r="G101" s="183">
        <f t="shared" ref="G101:Q101" si="42">IF(G$4="","",G105+G104)</f>
        <v>3775213</v>
      </c>
      <c r="H101" s="183">
        <f t="shared" si="42"/>
        <v>4678082</v>
      </c>
      <c r="I101" s="183">
        <f t="shared" si="42"/>
        <v>4747857</v>
      </c>
      <c r="J101" s="183">
        <f t="shared" si="42"/>
        <v>5670342</v>
      </c>
      <c r="K101" s="183">
        <f t="shared" si="42"/>
        <v>6298813</v>
      </c>
      <c r="L101" s="183" t="str">
        <f t="shared" si="42"/>
        <v/>
      </c>
      <c r="M101" s="183" t="str">
        <f t="shared" si="42"/>
        <v/>
      </c>
      <c r="N101" s="183" t="str">
        <f t="shared" si="42"/>
        <v/>
      </c>
      <c r="O101" s="183" t="str">
        <f t="shared" si="42"/>
        <v/>
      </c>
      <c r="P101" s="183" t="str">
        <f t="shared" si="42"/>
        <v/>
      </c>
      <c r="Q101" s="183" t="str">
        <f t="shared" si="42"/>
        <v/>
      </c>
    </row>
    <row r="102" spans="1:17" ht="15.75" customHeight="1" x14ac:dyDescent="0.35">
      <c r="A102" s="10"/>
      <c r="B102" s="93" t="s">
        <v>212</v>
      </c>
      <c r="C102" s="200">
        <f>BS!C4</f>
        <v>83455</v>
      </c>
      <c r="D102" s="89"/>
      <c r="E102" s="304"/>
      <c r="F102" s="89"/>
      <c r="G102" s="185">
        <f>IF(G$4="","",Data!D77)</f>
        <v>56325</v>
      </c>
      <c r="H102" s="185">
        <f>IF(H$4="","",Data!E77)</f>
        <v>67131</v>
      </c>
      <c r="I102" s="185">
        <f>IF(I$4="","",Data!F77)</f>
        <v>190060</v>
      </c>
      <c r="J102" s="185">
        <f>IF(J$4="","",Data!G77)</f>
        <v>1495304</v>
      </c>
      <c r="K102" s="185" t="str">
        <f>IF(K$4="","",Data!H77)</f>
        <v/>
      </c>
      <c r="L102" s="185" t="str">
        <f>IF(L$4="","",Data!I77)</f>
        <v/>
      </c>
      <c r="M102" s="185" t="str">
        <f>IF(M$4="","",Data!J77)</f>
        <v/>
      </c>
      <c r="N102" s="185" t="str">
        <f>IF(N$4="","",Data!K77)</f>
        <v/>
      </c>
      <c r="O102" s="185" t="str">
        <f>IF(O$4="","",Data!L77)</f>
        <v/>
      </c>
      <c r="P102" s="185" t="str">
        <f>IF(P$4="","",Data!M77)</f>
        <v/>
      </c>
      <c r="Q102" s="185" t="str">
        <f>IF(Q$4="","",Data!N77)</f>
        <v/>
      </c>
    </row>
    <row r="103" spans="1:17" ht="15.75" customHeight="1" x14ac:dyDescent="0.35">
      <c r="A103" s="10"/>
      <c r="B103" s="93" t="s">
        <v>213</v>
      </c>
      <c r="C103" s="200">
        <f>BS!C6+BS!C7</f>
        <v>0</v>
      </c>
      <c r="D103" s="89"/>
      <c r="E103" s="304"/>
      <c r="F103" s="89"/>
      <c r="G103" s="185">
        <f>IF(G$4="","",Data!D78)</f>
        <v>0</v>
      </c>
      <c r="H103" s="185">
        <f>IF(H$4="","",Data!E78)</f>
        <v>0</v>
      </c>
      <c r="I103" s="185">
        <f>IF(I$4="","",Data!F78)</f>
        <v>0</v>
      </c>
      <c r="J103" s="185">
        <f>IF(J$4="","",Data!G78)</f>
        <v>0</v>
      </c>
      <c r="K103" s="185" t="str">
        <f>IF(K$4="","",Data!H78)</f>
        <v/>
      </c>
      <c r="L103" s="185" t="str">
        <f>IF(L$4="","",Data!I78)</f>
        <v/>
      </c>
      <c r="M103" s="185" t="str">
        <f>IF(M$4="","",Data!J78)</f>
        <v/>
      </c>
      <c r="N103" s="185" t="str">
        <f>IF(N$4="","",Data!K78)</f>
        <v/>
      </c>
      <c r="O103" s="185" t="str">
        <f>IF(O$4="","",Data!L78)</f>
        <v/>
      </c>
      <c r="P103" s="185" t="str">
        <f>IF(P$4="","",Data!M78)</f>
        <v/>
      </c>
      <c r="Q103" s="185" t="str">
        <f>IF(Q$4="","",Data!N78)</f>
        <v/>
      </c>
    </row>
    <row r="104" spans="1:17" ht="15.75" customHeight="1" x14ac:dyDescent="0.35">
      <c r="A104" s="10"/>
      <c r="B104" s="26" t="s">
        <v>40</v>
      </c>
      <c r="C104" s="199">
        <f>BS!G30</f>
        <v>215440</v>
      </c>
      <c r="D104" s="26"/>
      <c r="E104" s="303"/>
      <c r="F104" s="26"/>
      <c r="G104" s="183">
        <f>Data!C79</f>
        <v>215440</v>
      </c>
      <c r="H104" s="183">
        <f>Data!D79</f>
        <v>1135384</v>
      </c>
      <c r="I104" s="183">
        <f>Data!E79</f>
        <v>253658</v>
      </c>
      <c r="J104" s="183">
        <f>Data!F79</f>
        <v>405587</v>
      </c>
      <c r="K104" s="183">
        <f>Data!G79</f>
        <v>880771</v>
      </c>
      <c r="L104" s="183" t="str">
        <f>Data!H79</f>
        <v/>
      </c>
      <c r="M104" s="183" t="str">
        <f>Data!I79</f>
        <v/>
      </c>
      <c r="N104" s="183" t="str">
        <f>Data!J79</f>
        <v/>
      </c>
      <c r="O104" s="183" t="str">
        <f>Data!K79</f>
        <v/>
      </c>
      <c r="P104" s="183" t="str">
        <f>Data!L79</f>
        <v/>
      </c>
      <c r="Q104" s="183" t="str">
        <f>Data!M79</f>
        <v/>
      </c>
    </row>
    <row r="105" spans="1:17" ht="15.75" customHeight="1" x14ac:dyDescent="0.35">
      <c r="A105" s="10"/>
      <c r="B105" s="26" t="s">
        <v>30</v>
      </c>
      <c r="C105" s="199">
        <f>BS!G27</f>
        <v>3559773</v>
      </c>
      <c r="D105" s="26"/>
      <c r="E105" s="303"/>
      <c r="F105" s="26"/>
      <c r="G105" s="183">
        <f>Data!C80</f>
        <v>3559773</v>
      </c>
      <c r="H105" s="183">
        <f>Data!D80</f>
        <v>3542698</v>
      </c>
      <c r="I105" s="183">
        <f>Data!E80</f>
        <v>4494199</v>
      </c>
      <c r="J105" s="183">
        <f>Data!F80</f>
        <v>5264755</v>
      </c>
      <c r="K105" s="183">
        <f>Data!G80</f>
        <v>5418042</v>
      </c>
      <c r="L105" s="183" t="str">
        <f>Data!H80</f>
        <v/>
      </c>
      <c r="M105" s="183" t="str">
        <f>Data!I80</f>
        <v/>
      </c>
      <c r="N105" s="183" t="str">
        <f>Data!J80</f>
        <v/>
      </c>
      <c r="O105" s="183" t="str">
        <f>Data!K80</f>
        <v/>
      </c>
      <c r="P105" s="183" t="str">
        <f>Data!L80</f>
        <v/>
      </c>
      <c r="Q105" s="183" t="str">
        <f>Data!M80</f>
        <v/>
      </c>
    </row>
    <row r="106" spans="1:17" ht="15.75" customHeight="1" x14ac:dyDescent="0.35">
      <c r="A106" s="10"/>
      <c r="E106" s="302"/>
    </row>
    <row r="107" spans="1:17" ht="15.75" customHeight="1" x14ac:dyDescent="0.35">
      <c r="A107" s="10"/>
      <c r="B107" s="91" t="s">
        <v>222</v>
      </c>
      <c r="C107" s="26"/>
      <c r="D107" s="26"/>
      <c r="E107" s="303"/>
      <c r="F107" s="26"/>
      <c r="G107" s="97" t="s">
        <v>221</v>
      </c>
      <c r="H107" s="12"/>
      <c r="I107" s="12"/>
      <c r="J107" s="12"/>
      <c r="K107" s="12"/>
      <c r="L107" s="12"/>
      <c r="M107" s="12"/>
      <c r="N107" s="12"/>
      <c r="O107" s="12"/>
      <c r="P107" s="12"/>
      <c r="Q107" s="12"/>
    </row>
    <row r="108" spans="1:17" ht="15.75" customHeight="1" x14ac:dyDescent="0.35">
      <c r="A108" s="10"/>
      <c r="B108" s="26" t="s">
        <v>219</v>
      </c>
      <c r="C108" s="94">
        <f>C102/C$4</f>
        <v>0.33750419580136776</v>
      </c>
      <c r="D108" s="26"/>
      <c r="E108" s="303"/>
      <c r="F108" s="26"/>
      <c r="G108" s="94">
        <f t="shared" ref="G108:Q108" si="43">IF(G$4="","",G102/G$4)</f>
        <v>0.22778651762640989</v>
      </c>
      <c r="H108" s="94">
        <f t="shared" si="43"/>
        <v>0.23809456253036876</v>
      </c>
      <c r="I108" s="94">
        <f t="shared" si="43"/>
        <v>0.57255093341527263</v>
      </c>
      <c r="J108" s="94">
        <f t="shared" si="43"/>
        <v>1.9794496792487299</v>
      </c>
      <c r="K108" s="94" t="e">
        <f t="shared" si="43"/>
        <v>#VALUE!</v>
      </c>
      <c r="L108" s="94" t="str">
        <f t="shared" si="43"/>
        <v/>
      </c>
      <c r="M108" s="94" t="str">
        <f t="shared" si="43"/>
        <v/>
      </c>
      <c r="N108" s="94" t="str">
        <f t="shared" si="43"/>
        <v/>
      </c>
      <c r="O108" s="94" t="str">
        <f t="shared" si="43"/>
        <v/>
      </c>
      <c r="P108" s="94" t="str">
        <f t="shared" si="43"/>
        <v/>
      </c>
      <c r="Q108" s="94" t="str">
        <f t="shared" si="43"/>
        <v/>
      </c>
    </row>
    <row r="109" spans="1:17" ht="15.75" customHeight="1" x14ac:dyDescent="0.35">
      <c r="A109" s="10"/>
      <c r="B109" s="26" t="s">
        <v>220</v>
      </c>
      <c r="C109" s="94">
        <f>C103/C$4</f>
        <v>0</v>
      </c>
      <c r="D109" s="26"/>
      <c r="E109" s="303"/>
      <c r="F109" s="26"/>
      <c r="G109" s="94">
        <f t="shared" ref="G109:Q109" si="44">IF(G$4="","",G103/G$4)</f>
        <v>0</v>
      </c>
      <c r="H109" s="94">
        <f t="shared" si="44"/>
        <v>0</v>
      </c>
      <c r="I109" s="94">
        <f t="shared" si="44"/>
        <v>0</v>
      </c>
      <c r="J109" s="94">
        <f t="shared" si="44"/>
        <v>0</v>
      </c>
      <c r="K109" s="94" t="e">
        <f t="shared" si="44"/>
        <v>#VALUE!</v>
      </c>
      <c r="L109" s="94" t="str">
        <f t="shared" si="44"/>
        <v/>
      </c>
      <c r="M109" s="94" t="str">
        <f t="shared" si="44"/>
        <v/>
      </c>
      <c r="N109" s="94" t="str">
        <f t="shared" si="44"/>
        <v/>
      </c>
      <c r="O109" s="94" t="str">
        <f t="shared" si="44"/>
        <v/>
      </c>
      <c r="P109" s="94" t="str">
        <f t="shared" si="44"/>
        <v/>
      </c>
      <c r="Q109" s="94" t="str">
        <f t="shared" si="44"/>
        <v/>
      </c>
    </row>
    <row r="110" spans="1:17" ht="15.75" customHeight="1" x14ac:dyDescent="0.35">
      <c r="A110" s="10"/>
      <c r="B110" s="26" t="s">
        <v>70</v>
      </c>
      <c r="C110" s="94">
        <f>BS!$G$38/C$4</f>
        <v>0</v>
      </c>
      <c r="D110" s="26"/>
      <c r="E110" s="303"/>
      <c r="F110" s="26"/>
      <c r="G110" s="94">
        <f>BS!$G$38/G$4</f>
        <v>0</v>
      </c>
      <c r="H110" s="225"/>
      <c r="I110" s="225"/>
      <c r="J110" s="225"/>
      <c r="K110" s="225"/>
      <c r="L110" s="225"/>
      <c r="M110" s="225"/>
      <c r="N110" s="225"/>
      <c r="O110" s="225"/>
      <c r="P110" s="225"/>
      <c r="Q110" s="225"/>
    </row>
    <row r="111" spans="1:17" ht="15.75" customHeight="1" x14ac:dyDescent="0.35">
      <c r="A111" s="10"/>
      <c r="E111" s="302"/>
    </row>
    <row r="112" spans="1:17" ht="15.75" customHeight="1" x14ac:dyDescent="0.35">
      <c r="A112" s="10"/>
      <c r="B112" s="64" t="s">
        <v>52</v>
      </c>
      <c r="E112" s="302"/>
    </row>
    <row r="113" spans="1:17" ht="15.75" customHeight="1" x14ac:dyDescent="0.35">
      <c r="A113" s="10"/>
      <c r="B113" s="2" t="s">
        <v>406</v>
      </c>
      <c r="C113" s="170"/>
      <c r="E113" s="302"/>
      <c r="G113" s="334">
        <f>IF(G$4="","",Data!C$22/Data!C15)</f>
        <v>-6.7962740579663103E-2</v>
      </c>
      <c r="H113" s="334">
        <f>IF(H$4="","",Data!D$22/Data!D15)</f>
        <v>2.439579002079002</v>
      </c>
      <c r="I113" s="334">
        <f>IF(I$4="","",Data!E$22/Data!E15)</f>
        <v>0.14080266022431864</v>
      </c>
      <c r="J113" s="334">
        <f>IF(J$4="","",Data!F$22/Data!F15)</f>
        <v>2.3495379117674684</v>
      </c>
      <c r="K113" s="334">
        <f>IF(K$4="","",Data!G$22/Data!G15)</f>
        <v>0.15429928052338751</v>
      </c>
      <c r="L113" s="334" t="str">
        <f>IF(L$4="","",Data!H$22/Data!H15)</f>
        <v/>
      </c>
      <c r="M113" s="334" t="str">
        <f>IF(M$4="","",Data!I$22/Data!I15)</f>
        <v/>
      </c>
      <c r="N113" s="334" t="str">
        <f>IF(N$4="","",Data!J$22/Data!J15)</f>
        <v/>
      </c>
      <c r="O113" s="334" t="str">
        <f>IF(O$4="","",Data!K$22/Data!K15)</f>
        <v/>
      </c>
      <c r="P113" s="334" t="str">
        <f>IF(P$4="","",Data!L$22/Data!L15)</f>
        <v/>
      </c>
      <c r="Q113" s="334" t="str">
        <f>IF(Q$4="","",Data!M$22/Data!M15)</f>
        <v/>
      </c>
    </row>
    <row r="114" spans="1:17" ht="15.75" customHeight="1" x14ac:dyDescent="0.35">
      <c r="A114" s="10"/>
      <c r="B114" s="2" t="s">
        <v>407</v>
      </c>
      <c r="C114" s="170"/>
      <c r="E114" s="302"/>
      <c r="G114" s="334">
        <f>IF(G$4="","",Data!C$22/G19)</f>
        <v>7.9494059290373727E-3</v>
      </c>
      <c r="H114" s="334">
        <f>IF(H$4="","",Data!D$22/H19)</f>
        <v>-0.20123525189161398</v>
      </c>
      <c r="I114" s="334">
        <f>IF(I$4="","",Data!E$22/I19)</f>
        <v>10.376503483475661</v>
      </c>
      <c r="J114" s="334">
        <f>IF(J$4="","",Data!F$22/J19)</f>
        <v>3.4495036641770613</v>
      </c>
      <c r="K114" s="334">
        <f>IF(K$4="","",Data!G$22/K19)</f>
        <v>0.18413592115533983</v>
      </c>
      <c r="L114" s="334" t="str">
        <f>IF(L$4="","",Data!H$22/L19)</f>
        <v/>
      </c>
      <c r="M114" s="334" t="str">
        <f>IF(M$4="","",Data!I$22/M19)</f>
        <v/>
      </c>
      <c r="N114" s="334" t="str">
        <f>IF(N$4="","",Data!J$22/N19)</f>
        <v/>
      </c>
      <c r="O114" s="334" t="str">
        <f>IF(O$4="","",Data!K$22/O19)</f>
        <v/>
      </c>
      <c r="P114" s="334" t="str">
        <f>IF(P$4="","",Data!L$22/P19)</f>
        <v/>
      </c>
      <c r="Q114" s="334" t="str">
        <f>IF(Q$4="","",Data!M$22/Q19)</f>
        <v/>
      </c>
    </row>
    <row r="115" spans="1:17" ht="15.75" customHeight="1" x14ac:dyDescent="0.35">
      <c r="A115" s="10"/>
      <c r="E115" s="302"/>
    </row>
    <row r="116" spans="1:17" ht="15.75" customHeight="1" x14ac:dyDescent="0.35">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x14ac:dyDescent="0.35">
      <c r="A117" s="10"/>
      <c r="B117" s="7" t="s">
        <v>223</v>
      </c>
      <c r="C117" s="23">
        <f>C81</f>
        <v>2.2025888972085777E-2</v>
      </c>
      <c r="E117" s="302"/>
      <c r="G117" s="23">
        <f t="shared" ref="G117:Q117" si="45">G81</f>
        <v>-1.0534915554512392</v>
      </c>
      <c r="H117" s="23">
        <f t="shared" si="45"/>
        <v>-0.97672747358424283</v>
      </c>
      <c r="I117" s="23">
        <f t="shared" si="45"/>
        <v>-1.032379282609285E-2</v>
      </c>
      <c r="J117" s="23">
        <f t="shared" si="45"/>
        <v>0.47908587873669273</v>
      </c>
      <c r="K117" s="23">
        <f t="shared" si="45"/>
        <v>0.67185553554543509</v>
      </c>
      <c r="L117" s="23" t="str">
        <f t="shared" si="45"/>
        <v/>
      </c>
      <c r="M117" s="23" t="str">
        <f t="shared" si="45"/>
        <v/>
      </c>
      <c r="N117" s="23" t="str">
        <f t="shared" si="45"/>
        <v/>
      </c>
      <c r="O117" s="23" t="str">
        <f t="shared" si="45"/>
        <v/>
      </c>
      <c r="P117" s="23" t="str">
        <f t="shared" si="45"/>
        <v/>
      </c>
      <c r="Q117" s="23" t="str">
        <f t="shared" si="45"/>
        <v/>
      </c>
    </row>
    <row r="118" spans="1:17" ht="15.75" customHeight="1" x14ac:dyDescent="0.35">
      <c r="B118" s="7" t="s">
        <v>85</v>
      </c>
      <c r="C118" s="42">
        <f>C4/C101</f>
        <v>6.5498555975517139E-2</v>
      </c>
      <c r="E118" s="302"/>
      <c r="G118" s="42">
        <f t="shared" ref="G118:Q118" si="46">IF(G4="","",G4/G101)</f>
        <v>6.5498555975517139E-2</v>
      </c>
      <c r="H118" s="42">
        <f t="shared" si="46"/>
        <v>6.0270640831007236E-2</v>
      </c>
      <c r="I118" s="42">
        <f t="shared" si="46"/>
        <v>6.9916385434523401E-2</v>
      </c>
      <c r="J118" s="42">
        <f t="shared" si="46"/>
        <v>0.13322194675382895</v>
      </c>
      <c r="K118" s="42">
        <f t="shared" si="46"/>
        <v>0.3255580059290536</v>
      </c>
      <c r="L118" s="42" t="str">
        <f t="shared" si="46"/>
        <v/>
      </c>
      <c r="M118" s="42" t="str">
        <f t="shared" si="46"/>
        <v/>
      </c>
      <c r="N118" s="42" t="str">
        <f t="shared" si="46"/>
        <v/>
      </c>
      <c r="O118" s="42" t="str">
        <f t="shared" si="46"/>
        <v/>
      </c>
      <c r="P118" s="42" t="str">
        <f t="shared" si="46"/>
        <v/>
      </c>
      <c r="Q118" s="42" t="str">
        <f t="shared" si="46"/>
        <v/>
      </c>
    </row>
    <row r="119" spans="1:17" ht="15.75" customHeight="1" x14ac:dyDescent="0.35">
      <c r="B119" s="7" t="s">
        <v>93</v>
      </c>
      <c r="C119" s="15">
        <f>C101/C105</f>
        <v>1.0605207129780467</v>
      </c>
      <c r="D119" s="11"/>
      <c r="E119" s="306"/>
      <c r="F119" s="11"/>
      <c r="G119" s="15">
        <f t="shared" ref="G119:Q119" si="47">IF(G$4="","",G101/G105)</f>
        <v>1.0605207129780467</v>
      </c>
      <c r="H119" s="15">
        <f t="shared" si="47"/>
        <v>1.3204856863328458</v>
      </c>
      <c r="I119" s="15">
        <f t="shared" si="47"/>
        <v>1.0564412034269066</v>
      </c>
      <c r="J119" s="15">
        <f t="shared" si="47"/>
        <v>1.0770381527725412</v>
      </c>
      <c r="K119" s="15">
        <f t="shared" si="47"/>
        <v>1.1625626010281944</v>
      </c>
      <c r="L119" s="15" t="str">
        <f t="shared" si="47"/>
        <v/>
      </c>
      <c r="M119" s="15" t="str">
        <f t="shared" si="47"/>
        <v/>
      </c>
      <c r="N119" s="15" t="str">
        <f t="shared" si="47"/>
        <v/>
      </c>
      <c r="O119" s="15" t="str">
        <f t="shared" si="47"/>
        <v/>
      </c>
      <c r="P119" s="15" t="str">
        <f t="shared" si="47"/>
        <v/>
      </c>
      <c r="Q119" s="15" t="str">
        <f t="shared" si="47"/>
        <v/>
      </c>
    </row>
    <row r="120" spans="1:17" ht="15.75" customHeight="1" x14ac:dyDescent="0.35">
      <c r="A120" s="10"/>
      <c r="B120" s="70" t="s">
        <v>224</v>
      </c>
      <c r="C120" s="102">
        <f>C8/C105</f>
        <v>-1.749156477112445E-2</v>
      </c>
      <c r="D120" s="103"/>
      <c r="E120" s="305"/>
      <c r="F120" s="103"/>
      <c r="G120" s="102">
        <f t="shared" ref="G120:Q120" si="48">IF(G$4="","",G8/G105)</f>
        <v>-9.3751202675002032E-2</v>
      </c>
      <c r="H120" s="102">
        <f t="shared" si="48"/>
        <v>-9.6321221848433031E-2</v>
      </c>
      <c r="I120" s="102">
        <f t="shared" si="48"/>
        <v>4.1497939899857571E-4</v>
      </c>
      <c r="J120" s="102">
        <f t="shared" si="48"/>
        <v>6.9494401923736238E-2</v>
      </c>
      <c r="K120" s="102">
        <f t="shared" si="48"/>
        <v>0.25428337395686484</v>
      </c>
      <c r="L120" s="102" t="str">
        <f t="shared" si="48"/>
        <v/>
      </c>
      <c r="M120" s="102" t="str">
        <f t="shared" si="48"/>
        <v/>
      </c>
      <c r="N120" s="102" t="str">
        <f t="shared" si="48"/>
        <v/>
      </c>
      <c r="O120" s="102" t="str">
        <f t="shared" si="48"/>
        <v/>
      </c>
      <c r="P120" s="102" t="str">
        <f t="shared" si="48"/>
        <v/>
      </c>
      <c r="Q120" s="102" t="str">
        <f t="shared" si="48"/>
        <v/>
      </c>
    </row>
    <row r="121" spans="1:17" ht="15.75" customHeight="1" x14ac:dyDescent="0.35">
      <c r="A121" s="10"/>
      <c r="B121" s="27"/>
      <c r="C121" s="62"/>
      <c r="D121" s="27"/>
      <c r="E121" s="67"/>
      <c r="F121" s="27"/>
      <c r="G121" s="12"/>
      <c r="H121" s="12"/>
      <c r="I121" s="12"/>
      <c r="J121" s="12"/>
      <c r="K121" s="12"/>
      <c r="L121" s="12"/>
      <c r="M121" s="12"/>
      <c r="N121" s="12"/>
      <c r="O121" s="12"/>
      <c r="P121" s="12"/>
      <c r="Q121" s="12"/>
    </row>
    <row r="122" spans="1:17" ht="15.75" customHeight="1" x14ac:dyDescent="0.5">
      <c r="A122" s="10"/>
      <c r="B122" s="54" t="s">
        <v>225</v>
      </c>
      <c r="C122" s="54"/>
      <c r="D122" s="56"/>
      <c r="E122" s="66" t="s">
        <v>60</v>
      </c>
      <c r="F122" s="56"/>
      <c r="G122" s="37"/>
      <c r="H122" s="37"/>
      <c r="I122" s="37"/>
      <c r="J122" s="37"/>
      <c r="K122" s="37"/>
      <c r="L122" s="37"/>
      <c r="M122" s="37"/>
      <c r="N122" s="37"/>
      <c r="O122" s="37"/>
      <c r="P122" s="37"/>
      <c r="Q122" s="37"/>
    </row>
    <row r="123" spans="1:17" ht="15.75" customHeight="1" x14ac:dyDescent="0.35">
      <c r="A123" s="10"/>
      <c r="B123" s="179" t="s">
        <v>172</v>
      </c>
      <c r="C123" s="180"/>
      <c r="D123" s="27"/>
      <c r="E123" s="299"/>
      <c r="F123" s="27"/>
      <c r="G123" s="12"/>
      <c r="H123" s="12"/>
      <c r="I123" s="12"/>
      <c r="J123" s="12"/>
      <c r="K123" s="12"/>
      <c r="L123" s="12"/>
      <c r="M123" s="12"/>
      <c r="N123" s="12"/>
      <c r="O123" s="12"/>
      <c r="P123" s="12"/>
      <c r="Q123" s="12"/>
    </row>
    <row r="124" spans="1:17" ht="15.75" customHeight="1" x14ac:dyDescent="0.35">
      <c r="A124" s="10"/>
      <c r="B124" s="27" t="str">
        <f>"FCFE per share ("&amp;Market_currency&amp;")"</f>
        <v>FCFE per share (HKD)</v>
      </c>
      <c r="C124" s="178">
        <f>C16*$C$3/Common_Shares*Exchange_Rate</f>
        <v>2.2361365908762478E-3</v>
      </c>
      <c r="D124" s="27"/>
      <c r="E124" s="299"/>
      <c r="F124" s="27"/>
      <c r="G124" s="178">
        <f t="shared" ref="G124:Q124" si="49">IF(G$4="","",G16*$C$3/Common_Shares*Exchange_Rate)</f>
        <v>-0.1442023828512386</v>
      </c>
      <c r="H124" s="178">
        <f t="shared" si="49"/>
        <v>-0.15322427413188364</v>
      </c>
      <c r="I124" s="178">
        <f t="shared" si="49"/>
        <v>-4.0433427765353717E-3</v>
      </c>
      <c r="J124" s="178">
        <f t="shared" si="49"/>
        <v>0.17070427645823513</v>
      </c>
      <c r="K124" s="178">
        <f t="shared" si="49"/>
        <v>0.63280463343605886</v>
      </c>
      <c r="L124" s="178" t="str">
        <f t="shared" si="49"/>
        <v/>
      </c>
      <c r="M124" s="178" t="str">
        <f t="shared" si="49"/>
        <v/>
      </c>
      <c r="N124" s="178" t="str">
        <f t="shared" si="49"/>
        <v/>
      </c>
      <c r="O124" s="178" t="str">
        <f t="shared" si="49"/>
        <v/>
      </c>
      <c r="P124" s="178" t="str">
        <f t="shared" si="49"/>
        <v/>
      </c>
      <c r="Q124" s="178" t="str">
        <f t="shared" si="49"/>
        <v/>
      </c>
    </row>
    <row r="125" spans="1:17" ht="15.75" customHeight="1" x14ac:dyDescent="0.35">
      <c r="A125" s="10"/>
      <c r="B125" s="27" t="s">
        <v>272</v>
      </c>
      <c r="C125" s="77">
        <f>C19*Exchange_Rate*$C$3/(Market_Price*Common_Shares)</f>
        <v>1.6563974747231462E-3</v>
      </c>
      <c r="D125" s="27"/>
      <c r="E125" s="299"/>
      <c r="F125" s="27"/>
      <c r="G125" s="77">
        <f t="shared" ref="G125" si="50">IF(G$4="","",G124/Market_Price)</f>
        <v>-0.10681657988980636</v>
      </c>
      <c r="H125" s="77">
        <f t="shared" ref="H125" si="51">IF(H$4="","",H124/Market_Price)</f>
        <v>-0.1134994623199138</v>
      </c>
      <c r="I125" s="77">
        <f t="shared" ref="I125" si="52">IF(I$4="","",I124/Market_Price)</f>
        <v>-2.9950687233595342E-3</v>
      </c>
      <c r="J125" s="77">
        <f t="shared" ref="J125" si="53">IF(J$4="","",J124/Market_Price)</f>
        <v>0.12644761219128528</v>
      </c>
      <c r="K125" s="77">
        <f t="shared" ref="K125" si="54">IF(K$4="","",K124/Market_Price)</f>
        <v>0.46874417291559911</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x14ac:dyDescent="0.35">
      <c r="B126" s="2" t="s">
        <v>409</v>
      </c>
      <c r="C126" s="170"/>
      <c r="G126" s="23">
        <f>IF(G$4="","",(Data!C47*$C$3)/(Market_Price*Common_Shares))</f>
        <v>1.2494027554704148E-2</v>
      </c>
      <c r="H126" s="23">
        <f>IF(H$4="","",(Data!D47*$C$3)/(Market_Price*Common_Shares))</f>
        <v>9.3623091812342803E-3</v>
      </c>
      <c r="I126" s="23">
        <f>IF(I$4="","",(Data!E47*$C$3)/(Market_Price*Common_Shares))</f>
        <v>-0.22072268373109569</v>
      </c>
      <c r="J126" s="23">
        <f>IF(J$4="","",(Data!F47*$C$3)/(Market_Price*Common_Shares))</f>
        <v>0.18564565372437669</v>
      </c>
      <c r="K126" s="23">
        <f>IF(K$4="","",(Data!G47*$C$3)/(Market_Price*Common_Shares))</f>
        <v>0.55938459189982492</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C4" sqref="C4"/>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56</v>
      </c>
      <c r="C2" s="37"/>
      <c r="D2" s="37"/>
      <c r="E2" s="37"/>
      <c r="F2" s="37"/>
      <c r="H2" s="131" t="s">
        <v>60</v>
      </c>
    </row>
    <row r="3" spans="2:8" ht="13.15" x14ac:dyDescent="0.4">
      <c r="B3" s="109" t="s">
        <v>165</v>
      </c>
      <c r="C3" s="107">
        <f>Normalized_FCF!C3</f>
        <v>1000</v>
      </c>
      <c r="E3" s="109" t="s">
        <v>126</v>
      </c>
      <c r="H3" s="121"/>
    </row>
    <row r="4" spans="2:8" x14ac:dyDescent="0.35">
      <c r="B4" s="100" t="s">
        <v>130</v>
      </c>
      <c r="C4" s="110">
        <f>Normalized_FCF!C19</f>
        <v>4084.7726940124667</v>
      </c>
      <c r="D4" t="str">
        <f>Reporting_currency</f>
        <v>HKD</v>
      </c>
      <c r="E4" s="100" t="s">
        <v>252</v>
      </c>
      <c r="F4" s="135">
        <f>Thesis!C76</f>
        <v>0</v>
      </c>
      <c r="H4" s="121"/>
    </row>
    <row r="5" spans="2:8" x14ac:dyDescent="0.35">
      <c r="B5" s="227" t="s">
        <v>125</v>
      </c>
      <c r="C5" s="228">
        <f>Thesis!C70</f>
        <v>0.08</v>
      </c>
      <c r="E5" s="149"/>
      <c r="H5" s="121"/>
    </row>
    <row r="6" spans="2:8" ht="13.15" customHeight="1" x14ac:dyDescent="0.4">
      <c r="B6" s="150" t="s">
        <v>230</v>
      </c>
      <c r="C6" s="232">
        <f>(C4*(1+Terminal_Growth))/(Equity_Cost-Terminal_Growth)</f>
        <v>51059.658675155835</v>
      </c>
      <c r="D6" t="str">
        <f>Reporting_currency</f>
        <v>HKD</v>
      </c>
      <c r="E6" s="344" t="s">
        <v>251</v>
      </c>
      <c r="F6" s="344"/>
      <c r="H6" s="121"/>
    </row>
    <row r="7" spans="2:8" x14ac:dyDescent="0.35">
      <c r="B7" s="149" t="s">
        <v>226</v>
      </c>
      <c r="C7" s="226">
        <f>BS!G31</f>
        <v>97365</v>
      </c>
      <c r="D7" t="str">
        <f>Reporting_currency</f>
        <v>HKD</v>
      </c>
      <c r="E7" s="344"/>
      <c r="F7" s="344"/>
      <c r="H7" s="121"/>
    </row>
    <row r="8" spans="2:8" x14ac:dyDescent="0.35">
      <c r="B8" s="149" t="s">
        <v>227</v>
      </c>
      <c r="C8" s="201">
        <f>BS!D66</f>
        <v>913534.95084499998</v>
      </c>
      <c r="D8" t="str">
        <f>Reporting_currency</f>
        <v>HKD</v>
      </c>
      <c r="E8" s="344"/>
      <c r="F8" s="344"/>
      <c r="H8" s="121"/>
    </row>
    <row r="9" spans="2:8" x14ac:dyDescent="0.35">
      <c r="B9" s="227" t="s">
        <v>192</v>
      </c>
      <c r="C9" s="229">
        <f>BS!H42</f>
        <v>84349.6</v>
      </c>
      <c r="D9" t="str">
        <f>Reporting_currency</f>
        <v>HKD</v>
      </c>
      <c r="E9" s="344"/>
      <c r="F9" s="344"/>
      <c r="H9" s="121"/>
    </row>
    <row r="10" spans="2:8" ht="13.15" x14ac:dyDescent="0.4">
      <c r="B10" s="150" t="s">
        <v>229</v>
      </c>
      <c r="C10" s="232">
        <f>C6-C7+C8+C9</f>
        <v>951579.2095201558</v>
      </c>
      <c r="D10" t="str">
        <f>Reporting_currency</f>
        <v>HKD</v>
      </c>
      <c r="H10" s="121"/>
    </row>
    <row r="11" spans="2:8" ht="13.15" thickBot="1" x14ac:dyDescent="0.4">
      <c r="B11" s="230" t="s">
        <v>168</v>
      </c>
      <c r="C11" s="231">
        <f>Exchange_Rate</f>
        <v>1</v>
      </c>
      <c r="D11" t="str">
        <f>Thesis!D17</f>
        <v>HKD</v>
      </c>
      <c r="H11" s="121"/>
    </row>
    <row r="12" spans="2:8" ht="13.5" thickTop="1" x14ac:dyDescent="0.4">
      <c r="B12" s="150" t="s">
        <v>104</v>
      </c>
      <c r="C12" s="112">
        <f>(C10*C3)/Common_Shares*C11</f>
        <v>0.52092521394009828</v>
      </c>
      <c r="D12" t="str">
        <f>Market_currency</f>
        <v>HKD</v>
      </c>
      <c r="H12" s="121"/>
    </row>
    <row r="13" spans="2:8" x14ac:dyDescent="0.35">
      <c r="H13" s="121"/>
    </row>
    <row r="14" spans="2:8" ht="13.9" x14ac:dyDescent="0.45">
      <c r="B14" s="36" t="s">
        <v>231</v>
      </c>
      <c r="C14" s="37"/>
      <c r="D14" s="37"/>
      <c r="E14" s="37"/>
      <c r="F14" s="37"/>
      <c r="H14" s="121"/>
    </row>
    <row r="15" spans="2:8" ht="13.15" x14ac:dyDescent="0.35">
      <c r="B15" s="120" t="s">
        <v>137</v>
      </c>
      <c r="H15" s="121"/>
    </row>
    <row r="16" spans="2:8" ht="13.25" customHeight="1" x14ac:dyDescent="0.35">
      <c r="B16" s="153" t="s">
        <v>135</v>
      </c>
      <c r="C16" s="162">
        <f>Scenarios!C65</f>
        <v>4.6574870890079501E-2</v>
      </c>
      <c r="H16" s="121"/>
    </row>
    <row r="17" spans="2:8" ht="13.25" customHeight="1" x14ac:dyDescent="0.35">
      <c r="B17" s="119" t="s">
        <v>136</v>
      </c>
      <c r="C17" s="163">
        <f>Scenarios!C64</f>
        <v>10</v>
      </c>
      <c r="H17" s="121"/>
    </row>
    <row r="18" spans="2:8" ht="13.25" customHeight="1" x14ac:dyDescent="0.4">
      <c r="B18" s="154" t="s">
        <v>108</v>
      </c>
      <c r="C18" s="141">
        <f>(F52-C7+C8+C9)*Exchange_Rate/Common_Shares*C3</f>
        <v>0.52541101935024537</v>
      </c>
      <c r="D18" t="str">
        <f>Market_currency</f>
        <v>HKD</v>
      </c>
      <c r="H18" s="121"/>
    </row>
    <row r="19" spans="2:8" x14ac:dyDescent="0.35">
      <c r="H19" s="121"/>
    </row>
    <row r="20" spans="2:8" ht="13.15" x14ac:dyDescent="0.4">
      <c r="B20" s="129" t="s">
        <v>109</v>
      </c>
      <c r="C20" s="129" t="s">
        <v>110</v>
      </c>
      <c r="D20" s="129" t="s">
        <v>120</v>
      </c>
      <c r="E20" s="129" t="s">
        <v>111</v>
      </c>
      <c r="F20" s="130" t="s">
        <v>112</v>
      </c>
      <c r="H20" s="121"/>
    </row>
    <row r="21" spans="2:8" x14ac:dyDescent="0.35">
      <c r="B21" s="123">
        <v>1</v>
      </c>
      <c r="C21" s="124">
        <f>C4*(1+D21)</f>
        <v>4275.0204548514193</v>
      </c>
      <c r="D21" s="139">
        <f>IF($C$17&lt;B21,0,Valuation_Model!$C$16)</f>
        <v>4.6574870890079501E-2</v>
      </c>
      <c r="E21" s="125">
        <f t="shared" ref="E21:E50" si="0">IF($C$17&lt;B21,0,1/(1+Equity_Cost)^B21)</f>
        <v>0.92592592592592582</v>
      </c>
      <c r="F21" s="126">
        <f t="shared" ref="F21:F51" si="1">C21*E21</f>
        <v>3958.3522730105728</v>
      </c>
      <c r="H21" s="121"/>
    </row>
    <row r="22" spans="2:8" x14ac:dyDescent="0.35">
      <c r="B22" s="123">
        <v>2</v>
      </c>
      <c r="C22" s="124">
        <f t="shared" ref="C22:C50" si="2">IF(ROW()-ROW($C$21)&lt;$C$17, $C$21*(1+D22)^(ROW()-ROW($C$21)), 0)</f>
        <v>4474.1289805885735</v>
      </c>
      <c r="D22" s="139">
        <f>IF($C$17&lt;B22,0,Valuation_Model!$C$16)</f>
        <v>4.6574870890079501E-2</v>
      </c>
      <c r="E22" s="125">
        <f t="shared" si="0"/>
        <v>0.85733882030178321</v>
      </c>
      <c r="F22" s="126">
        <f t="shared" si="1"/>
        <v>3835.8444620958276</v>
      </c>
      <c r="H22" s="121"/>
    </row>
    <row r="23" spans="2:8" x14ac:dyDescent="0.35">
      <c r="B23" s="123">
        <v>3</v>
      </c>
      <c r="C23" s="124">
        <f t="shared" si="2"/>
        <v>4682.5109602050497</v>
      </c>
      <c r="D23" s="139">
        <f>IF($C$17&lt;B23,0,Valuation_Model!$C$16)</f>
        <v>4.6574870890079501E-2</v>
      </c>
      <c r="E23" s="125">
        <f t="shared" si="0"/>
        <v>0.79383224102016958</v>
      </c>
      <c r="F23" s="126">
        <f t="shared" si="1"/>
        <v>3717.1281691410809</v>
      </c>
      <c r="H23" s="121"/>
    </row>
    <row r="24" spans="2:8" x14ac:dyDescent="0.35">
      <c r="B24" s="123">
        <v>4</v>
      </c>
      <c r="C24" s="124">
        <f t="shared" si="2"/>
        <v>4900.5983036179823</v>
      </c>
      <c r="D24" s="139">
        <f>IF($C$17&lt;B24,0,Valuation_Model!$C$16)</f>
        <v>4.6574870890079501E-2</v>
      </c>
      <c r="E24" s="125">
        <f t="shared" si="0"/>
        <v>0.73502985279645328</v>
      </c>
      <c r="F24" s="126">
        <f t="shared" si="1"/>
        <v>3602.0860497228741</v>
      </c>
      <c r="H24" s="121"/>
    </row>
    <row r="25" spans="2:8" x14ac:dyDescent="0.35">
      <c r="B25" s="123">
        <v>5</v>
      </c>
      <c r="C25" s="124">
        <f t="shared" si="2"/>
        <v>5128.8430368931322</v>
      </c>
      <c r="D25" s="139">
        <f>IF($C$17&lt;B25,0,Valuation_Model!$C$16)</f>
        <v>4.6574870890079501E-2</v>
      </c>
      <c r="E25" s="125">
        <f t="shared" si="0"/>
        <v>0.68058319703375303</v>
      </c>
      <c r="F25" s="126">
        <f t="shared" si="1"/>
        <v>3490.6043911330307</v>
      </c>
      <c r="H25" s="121"/>
    </row>
    <row r="26" spans="2:8" x14ac:dyDescent="0.35">
      <c r="B26" s="123">
        <v>6</v>
      </c>
      <c r="C26" s="124">
        <f t="shared" si="2"/>
        <v>5367.7182391519127</v>
      </c>
      <c r="D26" s="139">
        <f>IF($C$17&lt;B26,0,Valuation_Model!$C$16)</f>
        <v>4.6574870890079501E-2</v>
      </c>
      <c r="E26" s="125">
        <f t="shared" si="0"/>
        <v>0.63016962688310452</v>
      </c>
      <c r="F26" s="126">
        <f t="shared" si="1"/>
        <v>3382.5729999799955</v>
      </c>
      <c r="H26" s="121"/>
    </row>
    <row r="27" spans="2:8" x14ac:dyDescent="0.35">
      <c r="B27" s="123">
        <v>7</v>
      </c>
      <c r="C27" s="124">
        <f t="shared" si="2"/>
        <v>5617.7190231147397</v>
      </c>
      <c r="D27" s="139">
        <f>IF($C$17&lt;B27,0,Valuation_Model!$C$16)</f>
        <v>4.6574870890079501E-2</v>
      </c>
      <c r="E27" s="125">
        <f t="shared" si="0"/>
        <v>0.58349039526213387</v>
      </c>
      <c r="F27" s="126">
        <f t="shared" si="1"/>
        <v>3277.8850932688279</v>
      </c>
      <c r="H27" s="121"/>
    </row>
    <row r="28" spans="2:8" x14ac:dyDescent="0.35">
      <c r="B28" s="123">
        <v>8</v>
      </c>
      <c r="C28" s="124">
        <f t="shared" si="2"/>
        <v>5879.3635613130518</v>
      </c>
      <c r="D28" s="139">
        <f>IF($C$17&lt;B28,0,Valuation_Model!$C$16)</f>
        <v>4.6574870890079501E-2</v>
      </c>
      <c r="E28" s="125">
        <f t="shared" si="0"/>
        <v>0.54026888450197574</v>
      </c>
      <c r="F28" s="126">
        <f t="shared" si="1"/>
        <v>3176.4371928521659</v>
      </c>
      <c r="H28" s="121"/>
    </row>
    <row r="29" spans="2:8" x14ac:dyDescent="0.35">
      <c r="B29" s="123">
        <v>9</v>
      </c>
      <c r="C29" s="124">
        <f t="shared" si="2"/>
        <v>6153.1941600970458</v>
      </c>
      <c r="D29" s="139">
        <f>IF($C$17&lt;B29,0,Valuation_Model!$C$16)</f>
        <v>4.6574870890079501E-2</v>
      </c>
      <c r="E29" s="125">
        <f t="shared" si="0"/>
        <v>0.50024896713145905</v>
      </c>
      <c r="F29" s="126">
        <f t="shared" si="1"/>
        <v>3078.1290231478729</v>
      </c>
      <c r="H29" s="121"/>
    </row>
    <row r="30" spans="2:8" x14ac:dyDescent="0.35">
      <c r="B30" s="123">
        <v>10</v>
      </c>
      <c r="C30" s="124">
        <f t="shared" si="2"/>
        <v>6439.778383665157</v>
      </c>
      <c r="D30" s="139">
        <f>IF($C$17&lt;B30,0,Valuation_Model!$C$16)</f>
        <v>4.6574870890079501E-2</v>
      </c>
      <c r="E30" s="125">
        <f t="shared" si="0"/>
        <v>0.46319348808468425</v>
      </c>
      <c r="F30" s="126">
        <f t="shared" si="1"/>
        <v>2982.8634120222141</v>
      </c>
      <c r="H30" s="121"/>
    </row>
    <row r="31" spans="2:8" x14ac:dyDescent="0.35">
      <c r="B31" s="123">
        <v>11</v>
      </c>
      <c r="C31" s="124">
        <f t="shared" si="2"/>
        <v>0</v>
      </c>
      <c r="D31" s="139">
        <f>IF($C$17&lt;B31,0,Valuation_Model!$C$16)</f>
        <v>0</v>
      </c>
      <c r="E31" s="125">
        <f t="shared" si="0"/>
        <v>0</v>
      </c>
      <c r="F31" s="126">
        <f t="shared" si="1"/>
        <v>0</v>
      </c>
      <c r="H31" s="121"/>
    </row>
    <row r="32" spans="2:8" x14ac:dyDescent="0.35">
      <c r="B32" s="123">
        <v>12</v>
      </c>
      <c r="C32" s="124">
        <f t="shared" si="2"/>
        <v>0</v>
      </c>
      <c r="D32" s="139">
        <f>IF($C$17&lt;B32,0,Valuation_Model!$C$16)</f>
        <v>0</v>
      </c>
      <c r="E32" s="125">
        <f t="shared" si="0"/>
        <v>0</v>
      </c>
      <c r="F32" s="126">
        <f t="shared" si="1"/>
        <v>0</v>
      </c>
      <c r="H32" s="121"/>
    </row>
    <row r="33" spans="2:8" x14ac:dyDescent="0.35">
      <c r="B33" s="123">
        <v>13</v>
      </c>
      <c r="C33" s="124">
        <f t="shared" si="2"/>
        <v>0</v>
      </c>
      <c r="D33" s="139">
        <f>IF($C$17&lt;B33,0,Valuation_Model!$C$16)</f>
        <v>0</v>
      </c>
      <c r="E33" s="125">
        <f t="shared" si="0"/>
        <v>0</v>
      </c>
      <c r="F33" s="126">
        <f t="shared" si="1"/>
        <v>0</v>
      </c>
      <c r="H33" s="121"/>
    </row>
    <row r="34" spans="2:8" x14ac:dyDescent="0.35">
      <c r="B34" s="123">
        <v>14</v>
      </c>
      <c r="C34" s="124">
        <f t="shared" si="2"/>
        <v>0</v>
      </c>
      <c r="D34" s="139">
        <f>IF($C$17&lt;B34,0,Valuation_Model!$C$16)</f>
        <v>0</v>
      </c>
      <c r="E34" s="125">
        <f t="shared" si="0"/>
        <v>0</v>
      </c>
      <c r="F34" s="126">
        <f t="shared" si="1"/>
        <v>0</v>
      </c>
      <c r="H34" s="121"/>
    </row>
    <row r="35" spans="2:8" x14ac:dyDescent="0.35">
      <c r="B35" s="123">
        <v>15</v>
      </c>
      <c r="C35" s="124">
        <f t="shared" si="2"/>
        <v>0</v>
      </c>
      <c r="D35" s="139">
        <f>IF($C$17&lt;B35,0,Valuation_Model!$C$16)</f>
        <v>0</v>
      </c>
      <c r="E35" s="125">
        <f t="shared" si="0"/>
        <v>0</v>
      </c>
      <c r="F35" s="126">
        <f t="shared" si="1"/>
        <v>0</v>
      </c>
      <c r="H35" s="121"/>
    </row>
    <row r="36" spans="2:8" x14ac:dyDescent="0.35">
      <c r="B36" s="123">
        <v>16</v>
      </c>
      <c r="C36" s="124">
        <f t="shared" si="2"/>
        <v>0</v>
      </c>
      <c r="D36" s="139">
        <f>IF($C$17&lt;B36,0,Valuation_Model!$C$16)</f>
        <v>0</v>
      </c>
      <c r="E36" s="125">
        <f t="shared" si="0"/>
        <v>0</v>
      </c>
      <c r="F36" s="126">
        <f t="shared" si="1"/>
        <v>0</v>
      </c>
      <c r="H36" s="121"/>
    </row>
    <row r="37" spans="2:8" x14ac:dyDescent="0.35">
      <c r="B37" s="123">
        <v>17</v>
      </c>
      <c r="C37" s="124">
        <f t="shared" si="2"/>
        <v>0</v>
      </c>
      <c r="D37" s="139">
        <f>IF($C$17&lt;B37,0,Valuation_Model!$C$16)</f>
        <v>0</v>
      </c>
      <c r="E37" s="125">
        <f t="shared" si="0"/>
        <v>0</v>
      </c>
      <c r="F37" s="126">
        <f t="shared" si="1"/>
        <v>0</v>
      </c>
      <c r="H37" s="121"/>
    </row>
    <row r="38" spans="2:8" x14ac:dyDescent="0.35">
      <c r="B38" s="123">
        <v>18</v>
      </c>
      <c r="C38" s="124">
        <f t="shared" si="2"/>
        <v>0</v>
      </c>
      <c r="D38" s="139">
        <f>IF($C$17&lt;B38,0,Valuation_Model!$C$16)</f>
        <v>0</v>
      </c>
      <c r="E38" s="125">
        <f t="shared" si="0"/>
        <v>0</v>
      </c>
      <c r="F38" s="126">
        <f t="shared" si="1"/>
        <v>0</v>
      </c>
      <c r="H38" s="121"/>
    </row>
    <row r="39" spans="2:8" x14ac:dyDescent="0.35">
      <c r="B39" s="123">
        <v>19</v>
      </c>
      <c r="C39" s="124">
        <f t="shared" si="2"/>
        <v>0</v>
      </c>
      <c r="D39" s="139">
        <f>IF($C$17&lt;B39,0,Valuation_Model!$C$16)</f>
        <v>0</v>
      </c>
      <c r="E39" s="125">
        <f t="shared" si="0"/>
        <v>0</v>
      </c>
      <c r="F39" s="126">
        <f t="shared" si="1"/>
        <v>0</v>
      </c>
      <c r="H39" s="121"/>
    </row>
    <row r="40" spans="2:8" x14ac:dyDescent="0.35">
      <c r="B40" s="123">
        <v>20</v>
      </c>
      <c r="C40" s="124">
        <f t="shared" si="2"/>
        <v>0</v>
      </c>
      <c r="D40" s="139">
        <f>IF($C$17&lt;B40,0,Valuation_Model!$C$16)</f>
        <v>0</v>
      </c>
      <c r="E40" s="125">
        <f t="shared" si="0"/>
        <v>0</v>
      </c>
      <c r="F40" s="126">
        <f t="shared" si="1"/>
        <v>0</v>
      </c>
      <c r="H40" s="121"/>
    </row>
    <row r="41" spans="2:8" x14ac:dyDescent="0.35">
      <c r="B41" s="123">
        <v>21</v>
      </c>
      <c r="C41" s="124">
        <f t="shared" si="2"/>
        <v>0</v>
      </c>
      <c r="D41" s="139">
        <f>IF($C$17&lt;B41,0,Valuation_Model!$C$16)</f>
        <v>0</v>
      </c>
      <c r="E41" s="125">
        <f t="shared" si="0"/>
        <v>0</v>
      </c>
      <c r="F41" s="126">
        <f t="shared" si="1"/>
        <v>0</v>
      </c>
      <c r="H41" s="121"/>
    </row>
    <row r="42" spans="2:8" x14ac:dyDescent="0.35">
      <c r="B42" s="123">
        <v>22</v>
      </c>
      <c r="C42" s="124">
        <f t="shared" si="2"/>
        <v>0</v>
      </c>
      <c r="D42" s="139">
        <f>IF($C$17&lt;B42,0,Valuation_Model!$C$16)</f>
        <v>0</v>
      </c>
      <c r="E42" s="125">
        <f t="shared" si="0"/>
        <v>0</v>
      </c>
      <c r="F42" s="126">
        <f t="shared" si="1"/>
        <v>0</v>
      </c>
      <c r="H42" s="121"/>
    </row>
    <row r="43" spans="2:8" x14ac:dyDescent="0.35">
      <c r="B43" s="123">
        <v>23</v>
      </c>
      <c r="C43" s="124">
        <f t="shared" si="2"/>
        <v>0</v>
      </c>
      <c r="D43" s="139">
        <f>IF($C$17&lt;B43,0,Valuation_Model!$C$16)</f>
        <v>0</v>
      </c>
      <c r="E43" s="125">
        <f t="shared" si="0"/>
        <v>0</v>
      </c>
      <c r="F43" s="126">
        <f t="shared" si="1"/>
        <v>0</v>
      </c>
      <c r="H43" s="121"/>
    </row>
    <row r="44" spans="2:8" x14ac:dyDescent="0.35">
      <c r="B44" s="123">
        <v>24</v>
      </c>
      <c r="C44" s="124">
        <f t="shared" si="2"/>
        <v>0</v>
      </c>
      <c r="D44" s="139">
        <f>IF($C$17&lt;B44,0,Valuation_Model!$C$16)</f>
        <v>0</v>
      </c>
      <c r="E44" s="125">
        <f t="shared" si="0"/>
        <v>0</v>
      </c>
      <c r="F44" s="126">
        <f t="shared" si="1"/>
        <v>0</v>
      </c>
      <c r="H44" s="121"/>
    </row>
    <row r="45" spans="2:8" x14ac:dyDescent="0.35">
      <c r="B45" s="123">
        <v>25</v>
      </c>
      <c r="C45" s="124">
        <f t="shared" si="2"/>
        <v>0</v>
      </c>
      <c r="D45" s="139">
        <f>IF($C$17&lt;B45,0,Valuation_Model!$C$16)</f>
        <v>0</v>
      </c>
      <c r="E45" s="125">
        <f t="shared" si="0"/>
        <v>0</v>
      </c>
      <c r="F45" s="126">
        <f t="shared" si="1"/>
        <v>0</v>
      </c>
      <c r="H45" s="121"/>
    </row>
    <row r="46" spans="2:8" x14ac:dyDescent="0.35">
      <c r="B46" s="123">
        <v>26</v>
      </c>
      <c r="C46" s="124">
        <f t="shared" si="2"/>
        <v>0</v>
      </c>
      <c r="D46" s="139">
        <f>IF($C$17&lt;B46,0,Valuation_Model!$C$16)</f>
        <v>0</v>
      </c>
      <c r="E46" s="125">
        <f t="shared" si="0"/>
        <v>0</v>
      </c>
      <c r="F46" s="126">
        <f t="shared" si="1"/>
        <v>0</v>
      </c>
      <c r="H46" s="121"/>
    </row>
    <row r="47" spans="2:8" x14ac:dyDescent="0.35">
      <c r="B47" s="123">
        <v>27</v>
      </c>
      <c r="C47" s="124">
        <f t="shared" si="2"/>
        <v>0</v>
      </c>
      <c r="D47" s="139">
        <f>IF($C$17&lt;B47,0,Valuation_Model!$C$16)</f>
        <v>0</v>
      </c>
      <c r="E47" s="125">
        <f t="shared" si="0"/>
        <v>0</v>
      </c>
      <c r="F47" s="126">
        <f t="shared" si="1"/>
        <v>0</v>
      </c>
      <c r="H47" s="121"/>
    </row>
    <row r="48" spans="2:8" x14ac:dyDescent="0.35">
      <c r="B48" s="123">
        <v>28</v>
      </c>
      <c r="C48" s="124">
        <f t="shared" si="2"/>
        <v>0</v>
      </c>
      <c r="D48" s="139">
        <f>IF($C$17&lt;B48,0,Valuation_Model!$C$16)</f>
        <v>0</v>
      </c>
      <c r="E48" s="125">
        <f t="shared" si="0"/>
        <v>0</v>
      </c>
      <c r="F48" s="126">
        <f t="shared" si="1"/>
        <v>0</v>
      </c>
      <c r="H48" s="121"/>
    </row>
    <row r="49" spans="1:8" x14ac:dyDescent="0.35">
      <c r="B49" s="123">
        <v>29</v>
      </c>
      <c r="C49" s="124">
        <f t="shared" si="2"/>
        <v>0</v>
      </c>
      <c r="D49" s="139">
        <f>IF($C$17&lt;B49,0,Valuation_Model!$C$16)</f>
        <v>0</v>
      </c>
      <c r="E49" s="125">
        <f t="shared" si="0"/>
        <v>0</v>
      </c>
      <c r="F49" s="126">
        <f t="shared" si="1"/>
        <v>0</v>
      </c>
      <c r="H49" s="121"/>
    </row>
    <row r="50" spans="1:8" x14ac:dyDescent="0.35">
      <c r="B50" s="123">
        <v>30</v>
      </c>
      <c r="C50" s="124">
        <f t="shared" si="2"/>
        <v>0</v>
      </c>
      <c r="D50" s="139">
        <f>IF($C$17&lt;B50,0,Valuation_Model!$C$16)</f>
        <v>0</v>
      </c>
      <c r="E50" s="125">
        <f t="shared" si="0"/>
        <v>0</v>
      </c>
      <c r="F50" s="126">
        <f t="shared" si="1"/>
        <v>0</v>
      </c>
      <c r="H50" s="121"/>
    </row>
    <row r="51" spans="1:8" x14ac:dyDescent="0.35">
      <c r="B51" s="127" t="s">
        <v>133</v>
      </c>
      <c r="C51" s="124">
        <f>C$21*(1+Terminal_Growth)^$C$17/Equity_Cost</f>
        <v>53437.75568564274</v>
      </c>
      <c r="D51" s="140">
        <f>Terminal_Growth</f>
        <v>0</v>
      </c>
      <c r="E51" s="125">
        <f>1/(1+Equity_Cost)^C17</f>
        <v>0.46319348808468425</v>
      </c>
      <c r="F51" s="126">
        <f t="shared" si="1"/>
        <v>24752.020451450029</v>
      </c>
      <c r="H51" s="121"/>
    </row>
    <row r="52" spans="1:8" x14ac:dyDescent="0.35">
      <c r="C52" s="115"/>
      <c r="E52" s="128" t="s">
        <v>102</v>
      </c>
      <c r="F52" s="138">
        <f>SUM(F21:F51)</f>
        <v>59253.923517824493</v>
      </c>
      <c r="H52" s="121"/>
    </row>
    <row r="53" spans="1:8" x14ac:dyDescent="0.35">
      <c r="C53" s="115"/>
      <c r="H53" s="121"/>
    </row>
    <row r="54" spans="1:8" ht="13.15" x14ac:dyDescent="0.35">
      <c r="B54" s="120" t="s">
        <v>131</v>
      </c>
      <c r="C54" s="137"/>
      <c r="D54" s="137"/>
      <c r="E54" s="118"/>
      <c r="F54" s="118"/>
      <c r="H54" s="121"/>
    </row>
    <row r="55" spans="1:8" ht="13.15" x14ac:dyDescent="0.4">
      <c r="A55" s="134">
        <f>F52</f>
        <v>59253.923517824493</v>
      </c>
      <c r="B55" s="132">
        <f>C78</f>
        <v>0</v>
      </c>
      <c r="C55" s="132">
        <f>C77</f>
        <v>0.02</v>
      </c>
      <c r="D55" s="132">
        <f>C76</f>
        <v>0</v>
      </c>
      <c r="E55" s="132">
        <f>C75</f>
        <v>0.06</v>
      </c>
      <c r="F55" s="132">
        <f>C74</f>
        <v>0.1</v>
      </c>
      <c r="H55" s="121"/>
    </row>
    <row r="56" spans="1:8" ht="13.15" x14ac:dyDescent="0.4">
      <c r="A56" s="144">
        <v>5</v>
      </c>
      <c r="B56" s="124">
        <f t="dataTable" ref="B56:F61" dt2D="1" dtr="1" r1="C16" r2="C17"/>
        <v>51059.658675155828</v>
      </c>
      <c r="C56" s="124">
        <v>52707.110547636141</v>
      </c>
      <c r="D56" s="124">
        <v>51059.658675155828</v>
      </c>
      <c r="E56" s="124">
        <v>56152.200905564008</v>
      </c>
      <c r="F56" s="124">
        <v>59812.311146142863</v>
      </c>
      <c r="H56" s="121"/>
    </row>
    <row r="57" spans="1:8" ht="13.15" x14ac:dyDescent="0.4">
      <c r="A57" s="144">
        <v>10</v>
      </c>
      <c r="B57" s="124">
        <v>51059.658675155821</v>
      </c>
      <c r="C57" s="124">
        <v>54356.079462952592</v>
      </c>
      <c r="D57" s="124">
        <v>51059.658675155821</v>
      </c>
      <c r="E57" s="124">
        <v>61979.63340643674</v>
      </c>
      <c r="F57" s="124">
        <v>71263.616005198637</v>
      </c>
      <c r="H57" s="121"/>
    </row>
    <row r="58" spans="1:8" ht="13.15" x14ac:dyDescent="0.4">
      <c r="A58" s="144">
        <v>15</v>
      </c>
      <c r="B58" s="124">
        <v>51059.658675155806</v>
      </c>
      <c r="C58" s="124">
        <v>56397.135711892872</v>
      </c>
      <c r="D58" s="124">
        <v>51059.658675155806</v>
      </c>
      <c r="E58" s="124">
        <v>69995.491640392371</v>
      </c>
      <c r="F58" s="124">
        <v>88888.450078143316</v>
      </c>
      <c r="H58" s="121"/>
    </row>
    <row r="59" spans="1:8" ht="13.15" x14ac:dyDescent="0.4">
      <c r="A59" s="145">
        <v>20</v>
      </c>
      <c r="B59" s="124">
        <v>51059.658675155806</v>
      </c>
      <c r="C59" s="124">
        <v>58476.644710386157</v>
      </c>
      <c r="D59" s="124">
        <v>51059.658675155806</v>
      </c>
      <c r="E59" s="124">
        <v>79139.407062437414</v>
      </c>
      <c r="F59" s="124">
        <v>111659.53209512297</v>
      </c>
      <c r="H59" s="121"/>
    </row>
    <row r="60" spans="1:8" ht="13.15" x14ac:dyDescent="0.4">
      <c r="A60" s="145">
        <v>25</v>
      </c>
      <c r="B60" s="124">
        <v>51059.658675155792</v>
      </c>
      <c r="C60" s="124">
        <v>60410.703470959234</v>
      </c>
      <c r="D60" s="124">
        <v>51059.658675155792</v>
      </c>
      <c r="E60" s="124">
        <v>88721.952404926051</v>
      </c>
      <c r="F60" s="124">
        <v>138968.47914582014</v>
      </c>
      <c r="H60" s="121"/>
    </row>
    <row r="61" spans="1:8" ht="13.15" x14ac:dyDescent="0.4">
      <c r="A61" s="145">
        <v>30</v>
      </c>
      <c r="B61" s="124">
        <v>51059.658675155777</v>
      </c>
      <c r="C61" s="124">
        <v>62116.812341177792</v>
      </c>
      <c r="D61" s="124">
        <v>51059.658675155777</v>
      </c>
      <c r="E61" s="124">
        <v>98303.279993471282</v>
      </c>
      <c r="F61" s="124">
        <v>170500.72499095276</v>
      </c>
      <c r="H61" s="121"/>
    </row>
    <row r="62" spans="1:8" x14ac:dyDescent="0.35">
      <c r="C62" s="115"/>
      <c r="D62" s="115"/>
      <c r="E62" s="115"/>
      <c r="F62" s="115"/>
      <c r="H62" s="121"/>
    </row>
    <row r="63" spans="1:8" ht="13.15" x14ac:dyDescent="0.35">
      <c r="B63" s="120" t="s">
        <v>132</v>
      </c>
      <c r="C63" s="115"/>
      <c r="D63" s="115"/>
      <c r="E63" s="115"/>
      <c r="F63" s="115"/>
      <c r="H63" s="121"/>
    </row>
    <row r="64" spans="1:8" ht="13.15" x14ac:dyDescent="0.4">
      <c r="B64" s="133">
        <f>B55</f>
        <v>0</v>
      </c>
      <c r="C64" s="133">
        <f>C55</f>
        <v>0.02</v>
      </c>
      <c r="D64" s="133">
        <f>D55</f>
        <v>0</v>
      </c>
      <c r="E64" s="133">
        <f>E55</f>
        <v>0.06</v>
      </c>
      <c r="F64" s="133">
        <f>F55</f>
        <v>0.1</v>
      </c>
      <c r="H64" s="121"/>
    </row>
    <row r="65" spans="1:8" ht="13.15" x14ac:dyDescent="0.4">
      <c r="A65" s="144">
        <v>0</v>
      </c>
      <c r="B65" s="125">
        <f>C12</f>
        <v>0.52092521394009828</v>
      </c>
      <c r="C65" s="125">
        <f>C12</f>
        <v>0.52092521394009828</v>
      </c>
      <c r="D65" s="125">
        <f>C12</f>
        <v>0.52092521394009828</v>
      </c>
      <c r="E65" s="142">
        <f>C12</f>
        <v>0.52092521394009828</v>
      </c>
      <c r="F65" s="125">
        <f>C12</f>
        <v>0.52092521394009828</v>
      </c>
      <c r="H65" s="121"/>
    </row>
    <row r="66" spans="1:8" ht="13.15" x14ac:dyDescent="0.4">
      <c r="A66" s="144">
        <f t="shared" ref="A66:A71" si="3">A56</f>
        <v>5</v>
      </c>
      <c r="B66" s="125">
        <f t="shared" ref="B66:F71" si="4">(B56-$C$7+$C$8+$C$9)/Common_Shares*$C$3*Exchange_Rate</f>
        <v>0.52092521394009828</v>
      </c>
      <c r="C66" s="125">
        <f t="shared" si="4"/>
        <v>0.52182708234006103</v>
      </c>
      <c r="D66" s="125">
        <f t="shared" si="4"/>
        <v>0.52092521394009828</v>
      </c>
      <c r="E66" s="125">
        <f t="shared" si="4"/>
        <v>0.52371303614589448</v>
      </c>
      <c r="F66" s="125">
        <f t="shared" si="4"/>
        <v>0.52571669878484539</v>
      </c>
      <c r="H66" s="121"/>
    </row>
    <row r="67" spans="1:8" ht="13.15" x14ac:dyDescent="0.4">
      <c r="A67" s="144">
        <f t="shared" si="3"/>
        <v>10</v>
      </c>
      <c r="B67" s="125">
        <f t="shared" si="4"/>
        <v>0.52092521394009828</v>
      </c>
      <c r="C67" s="125">
        <f t="shared" si="4"/>
        <v>0.5227297812183026</v>
      </c>
      <c r="D67" s="125">
        <f t="shared" si="4"/>
        <v>0.52092521394009828</v>
      </c>
      <c r="E67" s="125">
        <f t="shared" si="4"/>
        <v>0.52690316103709456</v>
      </c>
      <c r="F67" s="125">
        <f t="shared" si="4"/>
        <v>0.53198551316615683</v>
      </c>
      <c r="H67" s="121"/>
    </row>
    <row r="68" spans="1:8" ht="13.15" x14ac:dyDescent="0.4">
      <c r="A68" s="144">
        <f t="shared" si="3"/>
        <v>15</v>
      </c>
      <c r="B68" s="125">
        <f t="shared" si="4"/>
        <v>0.52092521394009828</v>
      </c>
      <c r="C68" s="125">
        <f t="shared" si="4"/>
        <v>0.52384712137507128</v>
      </c>
      <c r="D68" s="125">
        <f t="shared" si="4"/>
        <v>0.52092521394009828</v>
      </c>
      <c r="E68" s="125">
        <f t="shared" si="4"/>
        <v>0.53129130090360377</v>
      </c>
      <c r="F68" s="125">
        <f t="shared" si="4"/>
        <v>0.54163391696507668</v>
      </c>
      <c r="H68" s="121"/>
    </row>
    <row r="69" spans="1:8" ht="13.15" x14ac:dyDescent="0.4">
      <c r="A69" s="145">
        <f t="shared" si="3"/>
        <v>20</v>
      </c>
      <c r="B69" s="125">
        <f t="shared" si="4"/>
        <v>0.52092521394009828</v>
      </c>
      <c r="C69" s="125">
        <f t="shared" si="4"/>
        <v>0.52498551180972219</v>
      </c>
      <c r="D69" s="125">
        <f t="shared" si="4"/>
        <v>0.52092521394009828</v>
      </c>
      <c r="E69" s="125">
        <f t="shared" si="4"/>
        <v>0.53629697573321777</v>
      </c>
      <c r="F69" s="125">
        <f t="shared" si="4"/>
        <v>0.55409954321317867</v>
      </c>
      <c r="H69" s="121"/>
    </row>
    <row r="70" spans="1:8" ht="13.15" x14ac:dyDescent="0.4">
      <c r="A70" s="145">
        <f t="shared" si="3"/>
        <v>25</v>
      </c>
      <c r="B70" s="125">
        <f t="shared" si="4"/>
        <v>0.52092521394009828</v>
      </c>
      <c r="C70" s="125">
        <f t="shared" si="4"/>
        <v>0.52604427808324372</v>
      </c>
      <c r="D70" s="125">
        <f t="shared" si="4"/>
        <v>0.52092521394009828</v>
      </c>
      <c r="E70" s="125">
        <f t="shared" si="4"/>
        <v>0.54154277075762125</v>
      </c>
      <c r="F70" s="125">
        <f t="shared" si="4"/>
        <v>0.56904934344266966</v>
      </c>
    </row>
    <row r="71" spans="1:8" ht="13.15" x14ac:dyDescent="0.4">
      <c r="A71" s="145">
        <f t="shared" si="3"/>
        <v>30</v>
      </c>
      <c r="B71" s="125">
        <f t="shared" si="4"/>
        <v>0.52092521394009828</v>
      </c>
      <c r="C71" s="125">
        <f t="shared" si="4"/>
        <v>0.5269782572195385</v>
      </c>
      <c r="D71" s="125">
        <f t="shared" si="4"/>
        <v>0.52092521394009828</v>
      </c>
      <c r="E71" s="125">
        <f t="shared" si="4"/>
        <v>0.54678789914415871</v>
      </c>
      <c r="F71" s="125">
        <f t="shared" si="4"/>
        <v>0.586311113927515</v>
      </c>
    </row>
    <row r="73" spans="1:8" ht="13.15" x14ac:dyDescent="0.4">
      <c r="B73" s="172" t="s">
        <v>119</v>
      </c>
      <c r="C73" s="172" t="s">
        <v>134</v>
      </c>
      <c r="D73" s="172" t="s">
        <v>114</v>
      </c>
      <c r="E73" s="173" t="s">
        <v>115</v>
      </c>
      <c r="F73" s="173" t="s">
        <v>121</v>
      </c>
    </row>
    <row r="74" spans="1:8" x14ac:dyDescent="0.35">
      <c r="B74" s="128" t="str">
        <f>Scenarios!B54</f>
        <v>Snowball Scenario</v>
      </c>
      <c r="C74" s="143">
        <f>Scenarios!C56</f>
        <v>0.1</v>
      </c>
      <c r="D74" s="146">
        <f>Scenarios!C55</f>
        <v>15</v>
      </c>
      <c r="E74" s="136">
        <f>INDEX(B$65:F$71, MATCH(D74, A$65:A$71, 0), MATCH(C74, B$64:F$64, 0))</f>
        <v>0.54163391696507668</v>
      </c>
      <c r="F74" s="143">
        <f>Scenarios!C58</f>
        <v>0.05</v>
      </c>
    </row>
    <row r="75" spans="1:8" x14ac:dyDescent="0.35">
      <c r="B75" s="128" t="str">
        <f>Scenarios!B36</f>
        <v>Optimistic</v>
      </c>
      <c r="C75" s="143">
        <f>Scenarios!C38</f>
        <v>0.06</v>
      </c>
      <c r="D75" s="146">
        <f>Scenarios!C37</f>
        <v>10</v>
      </c>
      <c r="E75" s="136">
        <f>INDEX(B$65:F$71, MATCH(D75, A$65:A$71, 0), MATCH(C75, B$64:F$64, 0))</f>
        <v>0.52690316103709456</v>
      </c>
      <c r="F75" s="143">
        <f>Scenarios!C40*(1-F$74-F$78)</f>
        <v>0.18</v>
      </c>
      <c r="H75" s="121"/>
    </row>
    <row r="76" spans="1:8" x14ac:dyDescent="0.35">
      <c r="B76" s="128" t="str">
        <f>Scenarios!B24</f>
        <v>Base</v>
      </c>
      <c r="C76" s="143">
        <f>Scenarios!C26</f>
        <v>0</v>
      </c>
      <c r="D76" s="146">
        <f>Scenarios!C25</f>
        <v>10</v>
      </c>
      <c r="E76" s="136">
        <f>INDEX(B$65:F$71, MATCH(D76, A$65:A$71, 0), MATCH(C76, B$64:F$64, 0))</f>
        <v>0.52092521394009828</v>
      </c>
      <c r="F76" s="143">
        <f>Scenarios!C28*(1-F$74-F$78)</f>
        <v>0.53999999999999992</v>
      </c>
      <c r="H76" s="121"/>
    </row>
    <row r="77" spans="1:8" x14ac:dyDescent="0.35">
      <c r="B77" s="128" t="str">
        <f>Scenarios!B30</f>
        <v>Pessimistic</v>
      </c>
      <c r="C77" s="143">
        <f>Scenarios!C32</f>
        <v>0.02</v>
      </c>
      <c r="D77" s="146">
        <f>Scenarios!C31</f>
        <v>10</v>
      </c>
      <c r="E77" s="136">
        <f>INDEX(B$65:F$71, MATCH(D77, A$65:A$71, 0), MATCH(C77, B$64:F$64, 0))</f>
        <v>0.5227297812183026</v>
      </c>
      <c r="F77" s="143">
        <f>Scenarios!C34*(1-F$74-F$78)</f>
        <v>0.18</v>
      </c>
      <c r="H77" s="121"/>
    </row>
    <row r="78" spans="1:8" x14ac:dyDescent="0.35">
      <c r="B78" s="128" t="str">
        <f>Scenarios!B48</f>
        <v>Devil's advocate</v>
      </c>
      <c r="C78" s="143">
        <f>Scenarios!C50</f>
        <v>0</v>
      </c>
      <c r="D78" s="146">
        <f>Scenarios!C49</f>
        <v>15</v>
      </c>
      <c r="E78" s="136">
        <f>INDEX(B$65:F$71, MATCH(D78, A$65:A$71, 0), MATCH(C78, B$64:F$64, 0))</f>
        <v>0.52092521394009828</v>
      </c>
      <c r="F78" s="143">
        <f>Scenarios!C52</f>
        <v>0.05</v>
      </c>
    </row>
    <row r="79" spans="1:8" x14ac:dyDescent="0.35">
      <c r="B79" s="156"/>
      <c r="C79" s="156"/>
      <c r="D79" s="156"/>
      <c r="E79" s="156"/>
      <c r="F79" s="157"/>
    </row>
    <row r="80" spans="1:8" x14ac:dyDescent="0.35">
      <c r="B80" s="156" t="s">
        <v>321</v>
      </c>
      <c r="C80" s="156" t="s">
        <v>107</v>
      </c>
    </row>
    <row r="81" spans="3:3" x14ac:dyDescent="0.35">
      <c r="C81" s="156" t="s">
        <v>106</v>
      </c>
    </row>
    <row r="82" spans="3:3" x14ac:dyDescent="0.35">
      <c r="C82" s="156" t="s">
        <v>105</v>
      </c>
    </row>
    <row r="92" spans="3:3" x14ac:dyDescent="0.35">
      <c r="C92" s="116"/>
    </row>
    <row r="93" spans="3:3" x14ac:dyDescent="0.35">
      <c r="C93" s="116"/>
    </row>
    <row r="94" spans="3:3" x14ac:dyDescent="0.35">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topLeftCell="A15" zoomScale="75" zoomScaleNormal="100" workbookViewId="0">
      <selection activeCell="E68" sqref="E68"/>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147</v>
      </c>
      <c r="C2" s="37"/>
      <c r="D2" s="37"/>
      <c r="E2" s="37"/>
      <c r="F2" s="37"/>
      <c r="H2" s="277" t="s">
        <v>305</v>
      </c>
      <c r="I2" s="278"/>
    </row>
    <row r="3" spans="2:9" ht="13.15" x14ac:dyDescent="0.4">
      <c r="B3" s="160" t="s">
        <v>150</v>
      </c>
      <c r="H3" s="276">
        <v>0</v>
      </c>
      <c r="I3" s="264">
        <f>-Market_Price</f>
        <v>-1.35</v>
      </c>
    </row>
    <row r="4" spans="2:9" x14ac:dyDescent="0.35">
      <c r="B4" s="153" t="s">
        <v>148</v>
      </c>
      <c r="C4" s="121">
        <v>3</v>
      </c>
      <c r="D4" s="121"/>
      <c r="E4" s="156" t="s">
        <v>152</v>
      </c>
      <c r="F4" s="156"/>
      <c r="H4" s="276">
        <v>1</v>
      </c>
      <c r="I4" s="264">
        <f t="shared" ref="I4:I13" si="0">IF(ROW()-3 &lt; $C$76, $C$77, IF(ROW()-3 = $C$76, $C$77 + $C$60, ""))</f>
        <v>0.01</v>
      </c>
    </row>
    <row r="5" spans="2:9" x14ac:dyDescent="0.35">
      <c r="H5" s="276">
        <v>2</v>
      </c>
      <c r="I5" s="264">
        <f t="shared" si="0"/>
        <v>0.01</v>
      </c>
    </row>
    <row r="6" spans="2:9" ht="13.15" x14ac:dyDescent="0.4">
      <c r="B6" s="160" t="s">
        <v>97</v>
      </c>
      <c r="C6" s="107">
        <f>Valuation_Model!C3</f>
        <v>1000</v>
      </c>
      <c r="E6" s="100" t="s">
        <v>285</v>
      </c>
      <c r="F6" s="100"/>
      <c r="H6" s="276">
        <v>3</v>
      </c>
      <c r="I6" s="264">
        <f t="shared" si="0"/>
        <v>0.5333615016788833</v>
      </c>
    </row>
    <row r="7" spans="2:9" ht="12.75" customHeight="1" x14ac:dyDescent="0.35">
      <c r="B7" s="100" t="s">
        <v>279</v>
      </c>
      <c r="C7" s="115">
        <f>Normalized_FCF!G8</f>
        <v>-333733</v>
      </c>
      <c r="D7" t="str">
        <f>Reporting_currency</f>
        <v>HKD</v>
      </c>
      <c r="E7" s="346"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惠理集團(0806.HK). Each scenario should include the Compound Growth Rate, the Probability Assessment, and the Business Narrative.</v>
      </c>
      <c r="F7" s="346"/>
      <c r="H7" s="276">
        <v>4</v>
      </c>
      <c r="I7" s="264" t="str">
        <f t="shared" si="0"/>
        <v/>
      </c>
    </row>
    <row r="8" spans="2:9" x14ac:dyDescent="0.35">
      <c r="B8" s="100" t="s">
        <v>67</v>
      </c>
      <c r="C8" s="115">
        <f>Normalized_FCF!G19</f>
        <v>-263415.91040798335</v>
      </c>
      <c r="D8" t="str">
        <f>Reporting_currency</f>
        <v>HKD</v>
      </c>
      <c r="E8" s="346"/>
      <c r="F8" s="346"/>
      <c r="H8" s="276">
        <v>5</v>
      </c>
      <c r="I8" s="264" t="str">
        <f t="shared" si="0"/>
        <v/>
      </c>
    </row>
    <row r="9" spans="2:9" x14ac:dyDescent="0.35">
      <c r="B9" s="100" t="s">
        <v>58</v>
      </c>
      <c r="C9" s="201">
        <f>Normalized_FCF!C19</f>
        <v>4084.7726940124667</v>
      </c>
      <c r="D9" t="str">
        <f>Reporting_currency</f>
        <v>HKD</v>
      </c>
      <c r="E9" s="346"/>
      <c r="F9" s="346"/>
      <c r="H9" s="276">
        <v>6</v>
      </c>
      <c r="I9" s="264" t="str">
        <f t="shared" si="0"/>
        <v/>
      </c>
    </row>
    <row r="10" spans="2:9" x14ac:dyDescent="0.35">
      <c r="E10" s="346"/>
      <c r="F10" s="346"/>
      <c r="H10" s="276">
        <v>7</v>
      </c>
      <c r="I10" s="264" t="str">
        <f t="shared" si="0"/>
        <v/>
      </c>
    </row>
    <row r="11" spans="2:9" ht="13.15" x14ac:dyDescent="0.4">
      <c r="B11" s="160" t="s">
        <v>282</v>
      </c>
      <c r="E11" s="346"/>
      <c r="F11" s="346"/>
      <c r="H11" s="276">
        <v>8</v>
      </c>
      <c r="I11" s="264" t="str">
        <f t="shared" si="0"/>
        <v/>
      </c>
    </row>
    <row r="12" spans="2:9" x14ac:dyDescent="0.35">
      <c r="B12" s="119" t="s">
        <v>146</v>
      </c>
      <c r="C12" s="159">
        <f ca="1">(Normalized_FCF!G4/OFFSET(Normalized_FCF!G4, 0, $C$4))^(1/$C$4) - 1</f>
        <v>-0.3108252056910602</v>
      </c>
      <c r="D12" s="159"/>
      <c r="E12" s="346"/>
      <c r="F12" s="346"/>
      <c r="H12" s="276">
        <v>9</v>
      </c>
      <c r="I12" s="264" t="str">
        <f t="shared" si="0"/>
        <v/>
      </c>
    </row>
    <row r="13" spans="2:9" x14ac:dyDescent="0.35">
      <c r="B13" s="149" t="s">
        <v>154</v>
      </c>
      <c r="C13" s="159">
        <f ca="1">(Normalized_FCF!G8/OFFSET(Normalized_FCF!G8, 0, $C$4))^(1/$C$4) - 1</f>
        <v>-1.969818330286587</v>
      </c>
      <c r="E13" s="346"/>
      <c r="F13" s="346"/>
      <c r="H13" s="276">
        <v>10</v>
      </c>
      <c r="I13" s="264" t="str">
        <f t="shared" si="0"/>
        <v/>
      </c>
    </row>
    <row r="14" spans="2:9" x14ac:dyDescent="0.35">
      <c r="B14" s="100" t="s">
        <v>67</v>
      </c>
      <c r="C14" s="159">
        <f ca="1">(Normalized_FCF!G19/OFFSET(Normalized_FCF!G19, 0, $C$4))^(1/$C$4) - 1</f>
        <v>-1.9453138304791633</v>
      </c>
      <c r="E14" s="346"/>
      <c r="F14" s="346"/>
    </row>
    <row r="16" spans="2:9" ht="13.9" x14ac:dyDescent="0.45">
      <c r="B16" s="36" t="s">
        <v>164</v>
      </c>
      <c r="C16" s="37"/>
      <c r="D16" s="37"/>
      <c r="E16" s="37"/>
      <c r="F16" s="37"/>
    </row>
    <row r="17" spans="2:6" ht="13.15" x14ac:dyDescent="0.4">
      <c r="B17" s="109" t="s">
        <v>153</v>
      </c>
      <c r="E17" s="160" t="s">
        <v>341</v>
      </c>
    </row>
    <row r="18" spans="2:6" x14ac:dyDescent="0.35">
      <c r="B18" s="153" t="s">
        <v>135</v>
      </c>
      <c r="C18" s="151">
        <v>10</v>
      </c>
      <c r="E18" s="346" t="s">
        <v>342</v>
      </c>
      <c r="F18" s="347"/>
    </row>
    <row r="19" spans="2:6" x14ac:dyDescent="0.35">
      <c r="E19" s="347"/>
      <c r="F19" s="347"/>
    </row>
    <row r="20" spans="2:6" ht="13.15" x14ac:dyDescent="0.4">
      <c r="B20" s="160" t="s">
        <v>313</v>
      </c>
      <c r="E20" s="347"/>
      <c r="F20" s="347"/>
    </row>
    <row r="21" spans="2:6" x14ac:dyDescent="0.35">
      <c r="B21" s="100" t="s">
        <v>283</v>
      </c>
      <c r="C21" s="161">
        <f>Market_Price</f>
        <v>1.35</v>
      </c>
      <c r="D21" t="str">
        <f>Market_currency</f>
        <v>HKD</v>
      </c>
      <c r="E21" s="347"/>
      <c r="F21" s="347"/>
    </row>
    <row r="22" spans="2:6" x14ac:dyDescent="0.35">
      <c r="B22" s="100" t="s">
        <v>284</v>
      </c>
      <c r="C22" s="161">
        <f>Valuation_Model!C12</f>
        <v>0.52092521394009828</v>
      </c>
      <c r="D22" t="str">
        <f>Market_currency</f>
        <v>HKD</v>
      </c>
      <c r="E22" s="347"/>
      <c r="F22" s="347"/>
    </row>
    <row r="24" spans="2:6" ht="13.15" x14ac:dyDescent="0.4">
      <c r="B24" s="160" t="s">
        <v>117</v>
      </c>
      <c r="E24" s="160" t="s">
        <v>151</v>
      </c>
      <c r="F24" s="160"/>
    </row>
    <row r="25" spans="2:6" x14ac:dyDescent="0.35">
      <c r="B25" s="153" t="s">
        <v>135</v>
      </c>
      <c r="C25" s="167">
        <f>C18</f>
        <v>10</v>
      </c>
      <c r="D25" s="164"/>
      <c r="E25" s="345"/>
      <c r="F25" s="345"/>
    </row>
    <row r="26" spans="2:6" x14ac:dyDescent="0.35">
      <c r="B26" s="119" t="s">
        <v>136</v>
      </c>
      <c r="C26" s="165">
        <v>0</v>
      </c>
      <c r="D26" s="165"/>
      <c r="E26" s="345"/>
      <c r="F26" s="345"/>
    </row>
    <row r="27" spans="2:6" x14ac:dyDescent="0.35">
      <c r="B27" s="100" t="s">
        <v>115</v>
      </c>
      <c r="C27" s="161">
        <f>Valuation_Model!E76</f>
        <v>0.52092521394009828</v>
      </c>
      <c r="D27" s="161" t="str">
        <f>Market_currency</f>
        <v>HKD</v>
      </c>
      <c r="E27" s="345"/>
      <c r="F27" s="345"/>
    </row>
    <row r="28" spans="2:6" x14ac:dyDescent="0.35">
      <c r="B28" s="100" t="s">
        <v>149</v>
      </c>
      <c r="C28" s="166">
        <v>0.6</v>
      </c>
      <c r="D28" s="166"/>
      <c r="E28" s="345"/>
      <c r="F28" s="345"/>
    </row>
    <row r="30" spans="2:6" ht="13.15" x14ac:dyDescent="0.4">
      <c r="B30" s="160" t="s">
        <v>118</v>
      </c>
      <c r="E30" s="160" t="s">
        <v>151</v>
      </c>
      <c r="F30" s="160"/>
    </row>
    <row r="31" spans="2:6" x14ac:dyDescent="0.35">
      <c r="B31" s="153" t="s">
        <v>135</v>
      </c>
      <c r="C31" s="167">
        <f>C18</f>
        <v>10</v>
      </c>
      <c r="D31" s="164"/>
      <c r="E31" s="345"/>
      <c r="F31" s="345"/>
    </row>
    <row r="32" spans="2:6" x14ac:dyDescent="0.35">
      <c r="B32" s="119" t="s">
        <v>136</v>
      </c>
      <c r="C32" s="165">
        <v>0.02</v>
      </c>
      <c r="D32" s="165"/>
      <c r="E32" s="345"/>
      <c r="F32" s="345"/>
    </row>
    <row r="33" spans="2:6" x14ac:dyDescent="0.35">
      <c r="B33" s="100" t="s">
        <v>115</v>
      </c>
      <c r="C33" s="161">
        <f>Valuation_Model!E77</f>
        <v>0.5227297812183026</v>
      </c>
      <c r="D33" t="str">
        <f>Market_currency</f>
        <v>HKD</v>
      </c>
      <c r="E33" s="345"/>
      <c r="F33" s="345"/>
    </row>
    <row r="34" spans="2:6" x14ac:dyDescent="0.35">
      <c r="B34" s="100" t="s">
        <v>149</v>
      </c>
      <c r="C34" s="166">
        <v>0.2</v>
      </c>
      <c r="D34" s="166"/>
      <c r="E34" s="345"/>
      <c r="F34" s="345"/>
    </row>
    <row r="36" spans="2:6" ht="13.15" x14ac:dyDescent="0.4">
      <c r="B36" s="160" t="s">
        <v>116</v>
      </c>
      <c r="E36" s="160" t="s">
        <v>151</v>
      </c>
      <c r="F36" s="160"/>
    </row>
    <row r="37" spans="2:6" x14ac:dyDescent="0.35">
      <c r="B37" s="153" t="s">
        <v>135</v>
      </c>
      <c r="C37" s="167">
        <f>C18</f>
        <v>10</v>
      </c>
      <c r="D37" s="164"/>
      <c r="E37" s="345"/>
      <c r="F37" s="345"/>
    </row>
    <row r="38" spans="2:6" x14ac:dyDescent="0.35">
      <c r="B38" s="119" t="s">
        <v>136</v>
      </c>
      <c r="C38" s="165">
        <v>0.06</v>
      </c>
      <c r="D38" s="165"/>
      <c r="E38" s="345"/>
      <c r="F38" s="345"/>
    </row>
    <row r="39" spans="2:6" x14ac:dyDescent="0.35">
      <c r="B39" s="100" t="s">
        <v>115</v>
      </c>
      <c r="C39" s="161">
        <f>Valuation_Model!E75</f>
        <v>0.52690316103709456</v>
      </c>
      <c r="D39" t="str">
        <f>Market_currency</f>
        <v>HKD</v>
      </c>
      <c r="E39" s="345"/>
      <c r="F39" s="345"/>
    </row>
    <row r="40" spans="2:6" x14ac:dyDescent="0.35">
      <c r="B40" s="100" t="s">
        <v>149</v>
      </c>
      <c r="C40" s="168">
        <f>1-C28-C34</f>
        <v>0.2</v>
      </c>
      <c r="D40" s="166"/>
      <c r="E40" s="345"/>
      <c r="F40" s="345"/>
    </row>
    <row r="42" spans="2:6" ht="13.15" x14ac:dyDescent="0.4">
      <c r="B42" s="100" t="s">
        <v>122</v>
      </c>
      <c r="C42" s="155">
        <f>C27*C28+C33*C34+C39*C40</f>
        <v>0.52248171681513844</v>
      </c>
      <c r="D42" t="str">
        <f>Market_currency</f>
        <v>HKD</v>
      </c>
    </row>
    <row r="44" spans="2:6" ht="13.9" x14ac:dyDescent="0.45">
      <c r="B44" s="36" t="s">
        <v>163</v>
      </c>
      <c r="C44" s="37"/>
      <c r="D44" s="37"/>
      <c r="E44" s="37"/>
      <c r="F44" s="37"/>
    </row>
    <row r="45" spans="2:6" ht="13.15" x14ac:dyDescent="0.4">
      <c r="B45" s="109" t="s">
        <v>153</v>
      </c>
    </row>
    <row r="46" spans="2:6" x14ac:dyDescent="0.35">
      <c r="B46" s="153" t="s">
        <v>135</v>
      </c>
      <c r="C46" s="151">
        <v>15</v>
      </c>
      <c r="E46" s="100"/>
      <c r="F46" s="100"/>
    </row>
    <row r="47" spans="2:6" ht="13.15" x14ac:dyDescent="0.4">
      <c r="B47" s="160"/>
      <c r="E47" s="160"/>
      <c r="F47" s="160"/>
    </row>
    <row r="48" spans="2:6" ht="13.15" x14ac:dyDescent="0.4">
      <c r="B48" s="160" t="s">
        <v>167</v>
      </c>
      <c r="E48" s="160" t="s">
        <v>151</v>
      </c>
      <c r="F48" s="160"/>
    </row>
    <row r="49" spans="2:6" ht="12.75" customHeight="1" x14ac:dyDescent="0.35">
      <c r="B49" s="153" t="s">
        <v>135</v>
      </c>
      <c r="C49" s="167">
        <f>C46</f>
        <v>15</v>
      </c>
      <c r="D49" s="164"/>
      <c r="E49" s="345"/>
      <c r="F49" s="345"/>
    </row>
    <row r="50" spans="2:6" x14ac:dyDescent="0.35">
      <c r="B50" s="119" t="s">
        <v>136</v>
      </c>
      <c r="C50" s="165">
        <v>0</v>
      </c>
      <c r="D50" s="165"/>
      <c r="E50" s="345"/>
      <c r="F50" s="345"/>
    </row>
    <row r="51" spans="2:6" x14ac:dyDescent="0.35">
      <c r="B51" s="100" t="s">
        <v>115</v>
      </c>
      <c r="C51" s="161">
        <f>Valuation_Model!E78</f>
        <v>0.52092521394009828</v>
      </c>
      <c r="D51" t="str">
        <f>Market_currency</f>
        <v>HKD</v>
      </c>
      <c r="E51" s="345"/>
      <c r="F51" s="345"/>
    </row>
    <row r="52" spans="2:6" x14ac:dyDescent="0.35">
      <c r="B52" s="100" t="s">
        <v>149</v>
      </c>
      <c r="C52" s="166">
        <v>0.05</v>
      </c>
      <c r="D52" s="166"/>
      <c r="E52" s="345"/>
      <c r="F52" s="345"/>
    </row>
    <row r="54" spans="2:6" ht="13.15" x14ac:dyDescent="0.4">
      <c r="B54" s="160" t="s">
        <v>327</v>
      </c>
      <c r="E54" s="160" t="s">
        <v>151</v>
      </c>
      <c r="F54" s="160"/>
    </row>
    <row r="55" spans="2:6" x14ac:dyDescent="0.35">
      <c r="B55" s="153" t="s">
        <v>135</v>
      </c>
      <c r="C55" s="167">
        <f>C46</f>
        <v>15</v>
      </c>
      <c r="D55" s="164"/>
      <c r="E55" s="345"/>
      <c r="F55" s="345"/>
    </row>
    <row r="56" spans="2:6" x14ac:dyDescent="0.35">
      <c r="B56" s="119" t="s">
        <v>136</v>
      </c>
      <c r="C56" s="165">
        <v>0.1</v>
      </c>
      <c r="D56" s="165"/>
      <c r="E56" s="345"/>
      <c r="F56" s="345"/>
    </row>
    <row r="57" spans="2:6" x14ac:dyDescent="0.35">
      <c r="B57" s="100" t="s">
        <v>115</v>
      </c>
      <c r="C57" s="161">
        <f>Valuation_Model!E74</f>
        <v>0.54163391696507668</v>
      </c>
      <c r="D57" t="str">
        <f>Market_currency</f>
        <v>HKD</v>
      </c>
      <c r="E57" s="345"/>
      <c r="F57" s="345"/>
    </row>
    <row r="58" spans="2:6" x14ac:dyDescent="0.35">
      <c r="B58" s="100" t="s">
        <v>149</v>
      </c>
      <c r="C58" s="166">
        <v>0.05</v>
      </c>
      <c r="D58" s="166"/>
      <c r="E58" s="345"/>
      <c r="F58" s="345"/>
    </row>
    <row r="60" spans="2:6" ht="13.15" x14ac:dyDescent="0.4">
      <c r="B60" s="100" t="s">
        <v>122</v>
      </c>
      <c r="C60" s="155">
        <f>C51*C52+C57*C58+C42*(1-C52-C58)</f>
        <v>0.52336150167888329</v>
      </c>
      <c r="D60" t="str">
        <f>Market_currency</f>
        <v>HKD</v>
      </c>
      <c r="E60" s="100" t="s">
        <v>306</v>
      </c>
      <c r="F60" s="312">
        <f>Thesis!E20</f>
        <v>3</v>
      </c>
    </row>
    <row r="62" spans="2:6" ht="13.9" x14ac:dyDescent="0.45">
      <c r="B62" s="36" t="s">
        <v>361</v>
      </c>
      <c r="C62" s="37"/>
      <c r="D62" s="37"/>
      <c r="E62" s="37"/>
      <c r="F62" s="37"/>
    </row>
    <row r="63" spans="2:6" ht="13.15" x14ac:dyDescent="0.4">
      <c r="B63" s="109" t="s">
        <v>314</v>
      </c>
      <c r="E63" s="282" t="s">
        <v>322</v>
      </c>
    </row>
    <row r="64" spans="2:6" x14ac:dyDescent="0.35">
      <c r="B64" s="153" t="s">
        <v>135</v>
      </c>
      <c r="C64" s="167">
        <f>C18</f>
        <v>10</v>
      </c>
      <c r="D64" s="151"/>
      <c r="E64" s="281" t="s">
        <v>410</v>
      </c>
    </row>
    <row r="65" spans="2:6" x14ac:dyDescent="0.35">
      <c r="B65" s="119" t="s">
        <v>136</v>
      </c>
      <c r="C65" s="152">
        <v>4.6574870890079501E-2</v>
      </c>
      <c r="D65" s="152"/>
      <c r="E65" s="281" t="s">
        <v>323</v>
      </c>
    </row>
    <row r="66" spans="2:6" x14ac:dyDescent="0.35">
      <c r="B66" s="100" t="s">
        <v>104</v>
      </c>
      <c r="C66" s="161">
        <f>Valuation_Model!C18</f>
        <v>0.52541101935024537</v>
      </c>
      <c r="D66" s="161" t="str">
        <f>Market_currency</f>
        <v>HKD</v>
      </c>
      <c r="E66" s="281" t="s">
        <v>324</v>
      </c>
    </row>
    <row r="68" spans="2:6" ht="13.15" x14ac:dyDescent="0.4">
      <c r="B68" s="109" t="s">
        <v>362</v>
      </c>
      <c r="E68" s="282" t="s">
        <v>325</v>
      </c>
    </row>
    <row r="69" spans="2:6" x14ac:dyDescent="0.35">
      <c r="B69" s="100" t="s">
        <v>315</v>
      </c>
      <c r="C69" s="273" t="str">
        <f>IF(C60&lt;C22,"Y","N")</f>
        <v>N</v>
      </c>
      <c r="E69" s="135"/>
    </row>
    <row r="70" spans="2:6" x14ac:dyDescent="0.35">
      <c r="B70" s="100" t="s">
        <v>303</v>
      </c>
      <c r="C70" s="273" t="str">
        <f>IF(C69="Y","N",IF(C65&gt;8%,"N","Y"))</f>
        <v>Y</v>
      </c>
      <c r="E70" s="281" t="s">
        <v>304</v>
      </c>
    </row>
    <row r="71" spans="2:6" x14ac:dyDescent="0.35">
      <c r="B71" s="100" t="s">
        <v>302</v>
      </c>
      <c r="C71" s="273" t="str">
        <f>IF(C65&gt;8%,"Y","N")</f>
        <v>N</v>
      </c>
      <c r="E71" s="281"/>
    </row>
    <row r="72" spans="2:6" x14ac:dyDescent="0.35">
      <c r="B72" s="100" t="s">
        <v>294</v>
      </c>
      <c r="C72" s="272" t="str">
        <f>IF(F72&gt;50%,"Y","N")</f>
        <v>Y</v>
      </c>
      <c r="E72" s="135" t="s">
        <v>358</v>
      </c>
      <c r="F72" s="329">
        <f>BS!D89/C60</f>
        <v>0.94193689251644053</v>
      </c>
    </row>
    <row r="74" spans="2:6" ht="13.9" x14ac:dyDescent="0.45">
      <c r="B74" s="36" t="s">
        <v>129</v>
      </c>
      <c r="C74" s="37"/>
      <c r="D74" s="37"/>
      <c r="E74" s="37"/>
      <c r="F74" s="37"/>
    </row>
    <row r="75" spans="2:6" ht="13.15" x14ac:dyDescent="0.4">
      <c r="B75" s="109" t="s">
        <v>127</v>
      </c>
    </row>
    <row r="76" spans="2:6" x14ac:dyDescent="0.35">
      <c r="B76" s="275" t="s">
        <v>307</v>
      </c>
      <c r="C76" s="274">
        <f>F60</f>
        <v>3</v>
      </c>
      <c r="D76" s="135"/>
    </row>
    <row r="77" spans="2:6" x14ac:dyDescent="0.35">
      <c r="B77" s="100" t="s">
        <v>113</v>
      </c>
      <c r="C77" s="174">
        <f>Normalized_FCF!C90</f>
        <v>0.01</v>
      </c>
      <c r="D77" t="str">
        <f>Market_currency</f>
        <v>HKD</v>
      </c>
    </row>
    <row r="79" spans="2:6" ht="13.15" x14ac:dyDescent="0.4">
      <c r="B79" s="109" t="s">
        <v>311</v>
      </c>
    </row>
    <row r="80" spans="2:6" x14ac:dyDescent="0.35">
      <c r="B80" s="149" t="s">
        <v>309</v>
      </c>
      <c r="C80" s="168">
        <f>Thesis!C123</f>
        <v>0.25</v>
      </c>
    </row>
    <row r="81" spans="2:8" x14ac:dyDescent="0.35">
      <c r="B81" s="100" t="s">
        <v>123</v>
      </c>
      <c r="C81" s="117">
        <f>PV(C80, C76, -C77, 0)</f>
        <v>1.9519999999999999E-2</v>
      </c>
      <c r="D81" s="117"/>
      <c r="E81" s="100"/>
      <c r="F81" s="100"/>
    </row>
    <row r="82" spans="2:8" x14ac:dyDescent="0.35">
      <c r="B82" s="100" t="s">
        <v>124</v>
      </c>
      <c r="C82" s="117">
        <f>C60/(1+C80)^C76</f>
        <v>0.26796108885958825</v>
      </c>
      <c r="D82" s="117"/>
    </row>
    <row r="83" spans="2:8" ht="13.15" x14ac:dyDescent="0.4">
      <c r="B83" s="111" t="s">
        <v>103</v>
      </c>
      <c r="C83" s="112">
        <f>C81+C82</f>
        <v>0.28748108885958823</v>
      </c>
      <c r="D83" t="str">
        <f>Market_currency</f>
        <v>HKD</v>
      </c>
      <c r="E83" s="147" t="s">
        <v>128</v>
      </c>
      <c r="F83" s="329">
        <f>(1-C83/C60)</f>
        <v>0.45070264446776831</v>
      </c>
    </row>
    <row r="84" spans="2:8" x14ac:dyDescent="0.35">
      <c r="E84" s="121"/>
    </row>
    <row r="85" spans="2:8" ht="13.15" x14ac:dyDescent="0.4">
      <c r="B85" s="109" t="s">
        <v>312</v>
      </c>
    </row>
    <row r="86" spans="2:8" x14ac:dyDescent="0.35">
      <c r="B86" s="149" t="s">
        <v>310</v>
      </c>
      <c r="C86" s="266">
        <f>Market_Price</f>
        <v>1.35</v>
      </c>
      <c r="D86" t="str">
        <f>Market_currency</f>
        <v>HKD</v>
      </c>
    </row>
    <row r="87" spans="2:8" ht="13.15" x14ac:dyDescent="0.4">
      <c r="B87" s="100" t="s">
        <v>308</v>
      </c>
      <c r="C87" s="265">
        <f ca="1">IRR(OFFSET($I$3, 0, 0, $C$76 + 1, 1))</f>
        <v>-0.26037178228763347</v>
      </c>
    </row>
    <row r="88" spans="2:8" x14ac:dyDescent="0.35">
      <c r="B88" s="100"/>
    </row>
    <row r="89" spans="2:8" ht="14.65" x14ac:dyDescent="0.5">
      <c r="E89" s="320" t="s">
        <v>336</v>
      </c>
      <c r="F89" s="317"/>
      <c r="G89" s="2"/>
      <c r="H89" s="316"/>
    </row>
    <row r="90" spans="2:8" ht="13.9" x14ac:dyDescent="0.45">
      <c r="E90" s="313" t="s">
        <v>337</v>
      </c>
      <c r="F90" s="318" t="s">
        <v>338</v>
      </c>
      <c r="G90" s="2"/>
      <c r="H90" s="316"/>
    </row>
    <row r="91" spans="2:8" ht="13.9" x14ac:dyDescent="0.45">
      <c r="E91" s="314" t="s">
        <v>337</v>
      </c>
      <c r="F91" s="318" t="s">
        <v>339</v>
      </c>
      <c r="G91" s="2"/>
      <c r="H91" s="316"/>
    </row>
    <row r="92" spans="2:8" ht="13.9" x14ac:dyDescent="0.45">
      <c r="E92" s="315" t="s">
        <v>337</v>
      </c>
      <c r="F92" s="319" t="s">
        <v>340</v>
      </c>
      <c r="G92" s="2"/>
      <c r="H92" s="316"/>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2025-04-17T07:22:26Z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