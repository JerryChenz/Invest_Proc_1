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11B321-8EE0-4BB6-A5D7-2AD12AAD8D65}" xr6:coauthVersionLast="47" xr6:coauthVersionMax="47" xr10:uidLastSave="{00000000-0000-0000-0000-000000000000}"/>
  <bookViews>
    <workbookView xWindow="-98" yWindow="-98" windowWidth="17115" windowHeight="10755"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<sst xmlns="http://schemas.openxmlformats.org/spreadsheetml/2006/main" count="836" uniqueCount="559">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</sst>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3.41</v>
      </c>
      <c r="D12" s="50"/>
      <c r="E12" s="48"/>
    </row>
    <row r="13" spans="1:10">
      <c r="B13" s="1" t="s">
        <v>485</v>
      </c>
      <c r="C13" s="32" t="str">
        <f>Market_currency</f>
        <v>HKD</v>
      </c>
      <c r="D13" s="48"/>
      <c r="E13" s="5"/>
    </row>
    <row r="14" spans="1:10">
      <c r="B14" s="4" t="s">
        <v>486</v>
      </c>
      <c r="C14" s="35">
        <f>投资主题!C12*Common_Shares/1000000</f>
        <v>1661.8915438400002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0.18570680150592267</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3.41</v>
      </c>
      <c r="D12" s="50"/>
      <c r="E12" s="48"/>
    </row>
    <row r="13" spans="1:10">
      <c r="B13" s="1" t="s">
        <v>464</v>
      </c>
      <c r="C13" s="48" t="s">
        <v>377</v>
      </c>
      <c r="D13" s="48"/>
      <c r="E13" s="5"/>
    </row>
    <row r="14" spans="1:10">
      <c r="B14" s="4" t="s">
        <v>465</v>
      </c>
      <c r="C14" s="35">
        <f>Thesis!C12*Common_Shares/1000000</f>
        <v>1661.8915438400002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0.18570680150592267</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375</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-3.41</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3.41</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3.41</v>
      </c>
      <c r="D86" t="str">
        <f>Market_currency</f>
        <v>HKD</v>
      </c>
    </row>
    <row r="87" spans="2:8" ht="13.15">
      <c r="B87" s="100" t="s">
        <v>293</v>
      </c>
      <c r="C87" s="237">
        <f ca="1">IRR(OFFSET($I$3, 0, 0, $C$76 + 1, 1))</f>
        <v>0.18570680150592267</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