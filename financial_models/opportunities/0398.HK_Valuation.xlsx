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F018A7-4E48-4248-B836-3809FE68F9B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C64" i="10"/>
  <c r="C66" i="10"/>
  <c r="B66" i="10"/>
  <c r="F62" i="10"/>
  <c r="F66" i="10"/>
  <c r="D63" i="10"/>
  <c r="E61" i="10"/>
  <c r="F65" i="10"/>
  <c r="D62" i="10"/>
  <c r="D64" i="10"/>
  <c r="D66" i="10"/>
  <c r="B61" i="10"/>
  <c r="D65" i="10"/>
  <c r="E63" i="10"/>
  <c r="B65" i="10"/>
  <c r="E62" i="10"/>
  <c r="E64" i="10"/>
  <c r="E66" i="10"/>
  <c r="F64" i="10"/>
  <c r="D61" i="10"/>
  <c r="B63" i="10"/>
  <c r="E65" i="10"/>
  <c r="F61" i="10"/>
  <c r="C61" i="10"/>
  <c r="C63" i="10"/>
  <c r="C65" i="10"/>
  <c r="B62" i="10"/>
  <c r="B64" i="10"/>
  <c r="F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F70" i="8"/>
  <c r="E67" i="8"/>
  <c r="B70" i="8"/>
  <c r="F71" i="8"/>
  <c r="B68" i="8"/>
  <c r="B67" i="8"/>
  <c r="D66" i="8"/>
  <c r="B66" i="8"/>
  <c r="G54" i="2"/>
  <c r="C54" i="2" s="1"/>
  <c r="C67" i="8" l="1"/>
  <c r="E70" i="8"/>
  <c r="C66" i="8"/>
  <c r="F66" i="8"/>
  <c r="D69" i="8"/>
  <c r="E68"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<sst xmlns="http://schemas.openxmlformats.org/spreadsheetml/2006/main" count="682" uniqueCount="462">
  <si>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</si>
  <si>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</si>
  <si>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</si>
  <si>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</si>
  <si>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</si>
  <si>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</si>
  <si>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</si>
  <si>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</si>
  <si>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</si>
  <si>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</si>
  <si>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</si>
  <si>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</si>
  <si>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</si>
  <si>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</si>
  <si>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</si>
  <si>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</si>
  <si>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</si>
  <si>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</si>
  <si>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</si>
  <si>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</si>
  <si>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</si>
  <si>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</si>
  <si>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</si>
  <si>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</si>
  <si>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</si>
  <si>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</si>
  <si>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</si>
  <si>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</si>
  <si>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</si>
  <si>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</si>
  <si>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</si>
  <si>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</si>
  <si>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</si>
  <si>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</si>
  <si>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</si>
  <si>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</si>
  <si>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</si>
  <si>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</si>
  <si>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</si>
  <si>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</si>
  <si>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</si>
  <si>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</si>
  <si>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</si>
  <si>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</si>
  <si>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</si>
  <si>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</si>
  <si>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</si>
  <si>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</si>
  <si>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</si>
  <si>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</si>
  <si>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</si>
  <si>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</si>
  <si>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</si>
  <si>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</si>
  <si>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</si>
  <si>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</si>
  <si>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</si>
  <si>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</si>
  <si>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</si>
  <si>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</si>
  <si>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</si>
  <si>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</si>
  <si>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</si>
  <si>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</si>
  <si>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</si>
  <si>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</si>
  <si>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</si>
  <si>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</si>
  <si>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</si>
  <si>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</si>
  <si>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</si>
  <si>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</si>
  <si>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</si>
  <si>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</si>
  <si>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</si>
  <si>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</si>
  <si>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</si>
  <si>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</si>
  <si>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</si>
  <si>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</si>
  <si>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</si>
  <si>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</si>
  <si>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</si>
  <si>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</si>
  <si>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</si>
  <si>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</si>
  <si>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</si>
  <si>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</si>
  <si>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</si>
  <si>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</si>
  <si>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</si>
  <si>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</si>
  <si>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</si>
  <si>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</si>
  <si>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</si>
  <si>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</si>
  <si>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</si>
  <si>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</si>
  <si>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</si>
  <si>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</si>
  <si>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</si>
  <si>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</si>
  <si>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</si>
  <si>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</si>
  <si>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</si>
  <si>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</si>
  <si>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</si>
  <si>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</si>
  <si>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</si>
  <si>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</si>
  <si>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</si>
  <si>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</si>
  <si>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</si>
  <si>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</si>
  <si>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</si>
  <si>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</si>
  <si>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</si>
  <si>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</si>
  <si>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</si>
  <si>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</si>
  <si>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</si>
  <si>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</si>
  <si>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</si>
  <si>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</si>
  <si>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</si>
  <si>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</si>
  <si>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</si>
  <si>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</si>
  <si>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</si>
  <si>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</si>
  <si>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</si>
  <si>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</si>
  <si>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</si>
  <si>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</si>
  <si>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</si>
  <si>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</si>
  <si>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</si>
  <si>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</si>
  <si>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</si>
  <si>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</si>
  <si>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</si>
  <si>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</si>
  <si>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</si>
  <si>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</si>
  <si>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</si>
  <si>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</si>
  <si>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</si>
  <si>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</si>
  <si>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</si>
  <si>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</si>
  <si>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</si>
  <si>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</si>
  <si>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</si>
  <si>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</si>
  <si>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</si>
  <si>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</si>
  <si>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</si>
  <si>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</si>
  <si>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</si>
  <si>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</si>
  <si>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</si>
  <si>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</si>
  <si>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</si>
  <si>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</si>
  <si>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</si>
  <si>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</si>
  <si>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</si>
  <si>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</si>
  <si>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</si>
  <si>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</si>
  <si>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</si>
  <si>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</si>
  <si>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</si>
  <si>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</si>
  <si>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</si>
  <si>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</si>
  <si>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</si>
  <si>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</si>
  <si>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</si>
  <si>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</si>
  <si>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</si>
  <si>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</si>
  <si>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</si>
  <si>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</si>
  <si>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</si>
  <si>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</si>
  <si>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</si>
  <si>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</si>
  <si>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</si>
  <si>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</si>
  <si>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</si>
  <si>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</si>
  <si>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</si>
  <si>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</si>
  <si>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</si>
  <si>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</si>
  <si>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</si>
  <si>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</si>
  <si>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</si>
  <si>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</si>
  <si>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</si>
  <si>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</si>
  <si>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</si>
  <si>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</si>
  <si>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</si>
  <si>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</si>
  <si>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</si>
  <si>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</si>
  <si>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</si>
  <si>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</si>
  <si>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</si>
  <si>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</si>
  <si>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</si>
  <si>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</si>
  <si>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</si>
  <si>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</si>
  <si>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</si>
  <si>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</si>
  <si>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</si>
  <si>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</si>
  <si>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</si>
  <si>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</si>
  <si>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</si>
  <si>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</si>
  <si>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</si>
  <si>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</si>
  <si>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</si>
  <si>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</si>
  <si>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</si>
  <si>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</si>
  <si>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</si>
  <si>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</si>
  <si>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</si>
  <si>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</si>
  <si>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</si>
  <si>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</si>
  <si>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</si>
  <si>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</si>
  <si>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</si>
  <si>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</si>
  <si>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</si>
  <si>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</si>
  <si>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</si>
  <si>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</si>
  <si>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</si>
  <si>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</si>
  <si>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</si>
  <si>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</si>
  <si>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</si>
  <si>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</si>
  <si>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</si>
  <si>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</si>
  <si>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</si>
  <si>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</si>
  <si>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</si>
  <si>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</si>
  <si>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</si>
  <si>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</si>
  <si>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</si>
  <si>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</si>
  <si>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</si>
  <si>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</si>
  <si>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</si>
  <si>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</si>
  <si>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</si>
  <si>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</si>
  <si>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</si>
  <si>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</si>
  <si>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</si>
  <si>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</si>
  <si>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</si>
  <si>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</si>
  <si>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</si>
  <si>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</si>
  <si>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</si>
  <si>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</si>
  <si>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</si>
  <si>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</si>
  <si>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</si>
  <si>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</si>
  <si>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</si>
  <si>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</si>
  <si>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</si>
  <si>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</si>
  <si>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</si>
  <si>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</si>
  <si>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</si>
  <si>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</si>
  <si>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</si>
  <si>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</si>
  <si>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</si>
  <si>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</si>
  <si>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</si>
  <si>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</si>
  <si>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</si>
  <si>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</si>
  <si>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</si>
  <si>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</si>
  <si>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</si>
  <si>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</si>
  <si>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</si>
  <si>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</si>
  <si>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</si>
  <si>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</si>
  <si>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</si>
  <si>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</si>
  <si>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</si>
  <si>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</si>
  <si>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</si>
  <si>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</si>
  <si>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</si>
  <si>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</si>
  <si>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</si>
  <si>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</si>
  <si>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</si>
  <si>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</si>
  <si>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</si>
  <si>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</si>
  <si>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</si>
  <si>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</si>
  <si>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</si>
  <si>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</si>
  <si>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</si>
  <si>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</si>
  <si>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</si>
  <si>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</si>
  <si>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</si>
  <si>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</si>
  <si>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</si>
  <si>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</si>
  <si>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</si>
  <si>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</si>
  <si>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</si>
  <si>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</si>
  <si>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</si>
  <si>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</si>
  <si>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</si>
  <si>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</si>
  <si>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</si>
  <si>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</si>
  <si>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</si>
  <si>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</si>
  <si>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</si>
  <si>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</si>
  <si>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</si>
  <si>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</si>
  <si>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</si>
  <si>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</si>
  <si>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</si>
  <si>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</si>
  <si>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</si>
  <si>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</si>
  <si>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</si>
  <si>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</si>
  <si>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</si>
  <si>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</si>
  <si>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</si>
  <si>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</si>
  <si>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</si>
  <si>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</si>
  <si>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</si>
  <si>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</si>
  <si>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</si>
  <si>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</si>
  <si>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</si>
  <si>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</si>
  <si>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</si>
  <si>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</si>
  <si>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</si>
  <si>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</si>
  <si>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</si>
  <si>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</si>
  <si>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</si>
  <si>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</si>
  <si>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</si>
  <si>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</si>
  <si>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</si>
  <si>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</si>
  <si>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</si>
  <si>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</si>
  <si>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</si>
  <si>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</si>
  <si>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</si>
  <si>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</si>
  <si>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</si>
  <si>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</si>
  <si>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</si>
  <si>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</si>
  <si>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</si>
  <si>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</si>
  <si>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</si>
  <si>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</si>
  <si>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</si>
  <si>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</si>
  <si>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</si>
  <si>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</si>
  <si>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</si>
  <si>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</si>
  <si>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</si>
  <si>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</si>
  <si>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</si>
  <si>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</si>
  <si>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</si>
  <si>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</si>
  <si>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</si>
  <si>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</si>
  <si>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</si>
  <si>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</si>
  <si>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</si>
  <si>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</si>
  <si>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</si>
  <si>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</si>
  <si>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</si>
  <si>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</si>
  <si>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</si>
  <si>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</si>
  <si>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</si>
  <si>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</si>
  <si>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</si>
  <si>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</si>
  <si>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</si>
  <si>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</si>
  <si>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</si>
  <si>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</si>
  <si>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</si>
  <si>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</si>
  <si>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</si>
  <si>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</si>
  <si>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</si>
  <si>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</si>
  <si>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</si>
  <si>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</si>
  <si>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</si>
  <si>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</si>
  <si>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</si>
  <si>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</si>
  <si>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</si>
  <si>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</si>
  <si>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</si>
  <si>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</si>
  <si>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</si>
  <si>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</si>
  <si>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</si>
  <si>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</si>
  <si>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</si>
  <si>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</si>
  <si>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</si>
  <si>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</si>
  <si>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</si>
  <si>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</si>
  <si>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</si>
  <si>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</si>
  <si>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東方表行集團</t>
  </si>
  <si>
    <t>0398.HK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</si>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</sst>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487358224</v>
      </c>
      <c r="E6" s="48"/>
    </row>
    <row r="7" spans="1:10">
      <c r="B7" s="2" t="s">
        <v>308</v>
      </c>
      <c r="C7" s="272">
        <v>6</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3.59</v>
      </c>
      <c r="D12" s="50"/>
      <c r="E12" s="48"/>
    </row>
    <row r="13" spans="1:10">
      <c r="B13" s="1" t="s">
        <v>417</v>
      </c>
      <c r="C13" s="48" t="s">
        <v>397</v>
      </c>
      <c r="D13" s="48"/>
      <c r="E13" s="5"/>
    </row>
    <row r="14" spans="1:10">
      <c r="B14" s="4" t="s">
        <v>421</v>
      </c>
      <c r="C14" s="35">
        <f>Thesis!C12*Common_Shares/1000000</f>
        <v>1749.6160241599998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5.2246962590200807</v>
      </c>
      <c r="D26" s="1" t="s">
        <v>400</v>
      </c>
      <c r="E26" s="331">
        <f ca="1">Scenarios!C87</f>
        <v>0.16494017618254819</v>
      </c>
    </row>
    <row r="27" spans="2:6">
      <c r="D27" s="5"/>
      <c r="E27" s="5"/>
    </row>
    <row r="28" spans="2:6">
      <c r="B28" s="45" t="s">
        <v>434</v>
      </c>
      <c r="C28" s="339" t="str">
        <f>C140&amp;" ("&amp;Market_currency&amp;")"</f>
        <v>0398.HK (HKD)</v>
      </c>
      <c r="D28" s="339" t="str">
        <f>IF(D11="","",D140&amp;" ("&amp;D13&amp;")")</f>
        <v/>
      </c>
      <c r="E28" s="335" t="s">
        <v>430</v>
      </c>
      <c r="F28" s="333">
        <v>3</v>
      </c>
    </row>
    <row r="29" spans="2:6">
      <c r="B29" s="1" t="s">
        <v>426</v>
      </c>
      <c r="C29" s="340">
        <f>C144</f>
        <v>2.2556276815093281</v>
      </c>
      <c r="D29" s="340" t="str">
        <f>D144</f>
        <v/>
      </c>
      <c r="E29" s="336" t="s">
        <v>425</v>
      </c>
      <c r="F29" s="332">
        <v>0.3674</v>
      </c>
    </row>
    <row r="30" spans="2:6">
      <c r="B30" s="1" t="s">
        <v>427</v>
      </c>
      <c r="C30" s="341">
        <f>C152</f>
        <v>3.1582019073444916</v>
      </c>
      <c r="D30" s="341" t="str">
        <f>D152</f>
        <v/>
      </c>
      <c r="E30" s="337" t="s">
        <v>438</v>
      </c>
      <c r="F30" s="342">
        <v>0.21740000000000001</v>
      </c>
    </row>
    <row r="31" spans="2:6">
      <c r="B31" s="1" t="s">
        <v>428</v>
      </c>
      <c r="C31" s="341">
        <f>C160</f>
        <v>4.5385417708791076</v>
      </c>
      <c r="D31" s="341" t="str">
        <f>D160</f>
        <v/>
      </c>
      <c r="E31" s="337" t="s">
        <v>437</v>
      </c>
      <c r="F31" s="342">
        <v>7.4999999999999997E-2</v>
      </c>
    </row>
    <row r="32" spans="2:6">
      <c r="B32" s="1" t="s">
        <v>429</v>
      </c>
      <c r="C32" s="341">
        <f>C168</f>
        <v>4.0536685441183486</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v>
      </c>
    </row>
    <row r="40" spans="1:6" ht="24.5" customHeight="1">
      <c r="B40" s="350" t="s">
        <v>232</v>
      </c>
      <c r="C40" s="350"/>
      <c r="D40" s="350"/>
      <c r="E40" s="350"/>
      <c r="F40" s="350"/>
    </row>
    <row r="41" spans="1:6">
      <c r="B41" s="47" t="s">
        <v>233</v>
      </c>
      <c r="C41" s="76">
        <f>Normalized_FCF!C8</f>
        <v>198948.88436097838</v>
      </c>
      <c r="D41" s="1" t="str">
        <f>Reporting_currency</f>
        <v>HKD</v>
      </c>
    </row>
    <row r="42" spans="1:6">
      <c r="B42" s="47"/>
      <c r="C42" s="76"/>
    </row>
    <row r="43" spans="1:6" ht="24.5" customHeight="1">
      <c r="B43" s="350" t="s">
        <v>234</v>
      </c>
      <c r="C43" s="350"/>
      <c r="D43" s="350"/>
      <c r="E43" s="350"/>
      <c r="F43" s="350"/>
    </row>
    <row r="44" spans="1:6">
      <c r="B44" s="47" t="s">
        <v>235</v>
      </c>
      <c r="C44" s="76">
        <f>Normalized_FCF!C9</f>
        <v>0</v>
      </c>
      <c r="D44" s="1" t="str">
        <f>Reporting_currency</f>
        <v>HKD</v>
      </c>
    </row>
    <row r="45" spans="1:6">
      <c r="B45" s="52" t="s">
        <v>236</v>
      </c>
      <c r="C45" s="76">
        <f>Normalized_FCF!C10</f>
        <v>0</v>
      </c>
      <c r="D45" s="1" t="str">
        <f>Reporting_currency</f>
        <v>HKD</v>
      </c>
    </row>
    <row r="47" spans="1:6">
      <c r="B47" s="350" t="s">
        <v>237</v>
      </c>
      <c r="C47" s="350"/>
      <c r="D47" s="350"/>
      <c r="E47" s="350"/>
      <c r="F47" s="350"/>
    </row>
    <row r="48" spans="1:6">
      <c r="B48" s="47" t="s">
        <v>238</v>
      </c>
      <c r="C48" s="76">
        <f>Normalized_FCF!C11</f>
        <v>0</v>
      </c>
      <c r="D48" s="1" t="str">
        <f>Reporting_currency</f>
        <v>HKD</v>
      </c>
    </row>
    <row r="50" spans="2:6">
      <c r="B50" s="350" t="s">
        <v>241</v>
      </c>
      <c r="C50" s="350"/>
      <c r="D50" s="350"/>
      <c r="E50" s="350"/>
      <c r="F50" s="350"/>
    </row>
    <row r="51" spans="2:6">
      <c r="B51" s="47" t="s">
        <v>341</v>
      </c>
      <c r="C51" s="312">
        <f>Normalized_FCF!C48</f>
        <v>0</v>
      </c>
      <c r="D51" s="1" t="str">
        <f>Reporting_currency</f>
        <v>HKD</v>
      </c>
      <c r="E51" s="311"/>
      <c r="F51" s="311"/>
    </row>
    <row r="52" spans="2:6">
      <c r="B52" s="47" t="s">
        <v>342</v>
      </c>
      <c r="C52" s="312">
        <f>Normalized_FCF!C47</f>
        <v>-13663</v>
      </c>
      <c r="D52" s="1" t="str">
        <f>Reporting_currency</f>
        <v>HKD</v>
      </c>
      <c r="E52" s="311"/>
      <c r="F52" s="311"/>
    </row>
    <row r="53" spans="2:6">
      <c r="B53" s="47" t="s">
        <v>239</v>
      </c>
      <c r="C53" s="76">
        <f>Normalized_FCF!C12</f>
        <v>-13663</v>
      </c>
      <c r="D53" s="1" t="str">
        <f>Reporting_currency</f>
        <v>HKD</v>
      </c>
    </row>
    <row r="55" spans="2:6">
      <c r="B55" s="1" t="s">
        <v>247</v>
      </c>
    </row>
    <row r="56" spans="2:6">
      <c r="B56" s="47" t="s">
        <v>266</v>
      </c>
      <c r="C56" s="76">
        <f>Normalized_FCF!C15</f>
        <v>-572.93535914055167</v>
      </c>
      <c r="D56" s="1" t="str">
        <f>Reporting_currency</f>
        <v>HKD</v>
      </c>
    </row>
    <row r="58" spans="2:6">
      <c r="B58" s="350" t="s">
        <v>242</v>
      </c>
      <c r="C58" s="350"/>
      <c r="D58" s="350"/>
      <c r="E58" s="350"/>
      <c r="F58" s="350"/>
    </row>
    <row r="59" spans="2:6">
      <c r="B59" s="47" t="s">
        <v>240</v>
      </c>
      <c r="C59" s="76">
        <f>Normalized_FCF!C14</f>
        <v>-46321.471090244595</v>
      </c>
      <c r="D59" s="1" t="str">
        <f>Reporting_currency</f>
        <v>HKD</v>
      </c>
    </row>
    <row r="61" spans="2:6">
      <c r="B61" s="350" t="s">
        <v>339</v>
      </c>
      <c r="C61" s="351"/>
      <c r="D61" s="351"/>
      <c r="E61" s="351"/>
      <c r="F61" s="351"/>
    </row>
    <row r="62" spans="2:6">
      <c r="B62" s="47" t="s">
        <v>243</v>
      </c>
      <c r="C62" s="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194373</v>
      </c>
      <c r="D67" s="1" t="str">
        <f>Reporting_currency</f>
        <v>HKD</v>
      </c>
    </row>
    <row r="68" spans="1:6">
      <c r="B68" s="47" t="s">
        <v>249</v>
      </c>
      <c r="C68" s="76">
        <f>Normalized_FCF!C19</f>
        <v>138391.47791159325</v>
      </c>
      <c r="D68" s="1" t="str">
        <f>Reporting_currency</f>
        <v>HKD</v>
      </c>
    </row>
    <row r="69" spans="1:6">
      <c r="B69" s="249" t="s">
        <v>391</v>
      </c>
      <c r="C69" s="92">
        <f>Normalized_FCF!C125</f>
        <v>7.9098199833895419E-2</v>
      </c>
      <c r="F69" s="344"/>
    </row>
    <row r="70" spans="1:6">
      <c r="B70" s="249" t="s">
        <v>309</v>
      </c>
      <c r="C70" s="92">
        <f>Normalized_FCF!C93</f>
        <v>3.5654596100278553E-2</v>
      </c>
      <c r="E70" s="47" t="s">
        <v>449</v>
      </c>
      <c r="F70" s="345">
        <f>Normalized_FCF!C92</f>
        <v>0.45076368583801485</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3.78616716538246</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195066</v>
      </c>
      <c r="D96" s="1" t="str">
        <f>Reporting_currency</f>
        <v>HKD</v>
      </c>
    </row>
    <row r="97" spans="2:6">
      <c r="B97" s="47" t="s">
        <v>282</v>
      </c>
      <c r="C97" s="245">
        <f>C96*scaling_factor*Exchange_Rate/Common_Shares</f>
        <v>0.40025178686632773</v>
      </c>
      <c r="D97" s="1" t="str">
        <f>Market_currency</f>
        <v>HKD</v>
      </c>
    </row>
    <row r="98" spans="2:6">
      <c r="B98" s="325" t="s">
        <v>405</v>
      </c>
      <c r="C98" s="326">
        <f>BS!G30/BS!G27</f>
        <v>0.40000523965699897</v>
      </c>
    </row>
    <row r="99" spans="2:6">
      <c r="B99" s="325" t="s">
        <v>406</v>
      </c>
      <c r="C99" s="326">
        <f>BS!G31/BS!G27</f>
        <v>0.10646655543311496</v>
      </c>
    </row>
    <row r="100" spans="2:6">
      <c r="B100" s="325" t="s">
        <v>408</v>
      </c>
      <c r="C100" s="327">
        <f>BS!C50</f>
        <v>0.9804830051022897</v>
      </c>
    </row>
    <row r="102" spans="2:6">
      <c r="B102" s="1" t="s">
        <v>255</v>
      </c>
    </row>
    <row r="103" spans="2:6">
      <c r="B103" s="47" t="s">
        <v>265</v>
      </c>
      <c r="C103" s="76">
        <f>BS!C66</f>
        <v>1089388</v>
      </c>
      <c r="D103" s="1" t="str">
        <f>Reporting_currency</f>
        <v>HKD</v>
      </c>
    </row>
    <row r="104" spans="2:6">
      <c r="B104" s="47" t="s">
        <v>267</v>
      </c>
      <c r="C104" s="76">
        <f>DCF!C8</f>
        <v>587281.82009631116</v>
      </c>
      <c r="D104" s="1" t="str">
        <f>Reporting_currency</f>
        <v>HKD</v>
      </c>
    </row>
    <row r="105" spans="2:6">
      <c r="B105" s="47" t="s">
        <v>283</v>
      </c>
      <c r="C105" s="245">
        <f>C104*scaling_factor*Exchange_Rate/Common_Shares</f>
        <v>1.2050311068441337</v>
      </c>
      <c r="D105" s="1" t="str">
        <f>Market_currency</f>
        <v>HKD</v>
      </c>
    </row>
    <row r="107" spans="2:6">
      <c r="B107" s="1" t="s">
        <v>257</v>
      </c>
    </row>
    <row r="108" spans="2:6">
      <c r="B108" s="47" t="s">
        <v>258</v>
      </c>
      <c r="C108" s="76">
        <f>DCF!C9</f>
        <v>18907.900000000001</v>
      </c>
      <c r="D108" s="1" t="str">
        <f>Reporting_currency</f>
        <v>HKD</v>
      </c>
    </row>
    <row r="109" spans="2:6">
      <c r="B109" s="47" t="s">
        <v>284</v>
      </c>
      <c r="C109" s="245">
        <f>C108*scaling_factor*Exchange_Rate/Common_Shares</f>
        <v>3.8796718858693152E-2</v>
      </c>
      <c r="D109" s="1" t="str">
        <f>Market_currency</f>
        <v>HKD</v>
      </c>
    </row>
    <row r="111" spans="2:6" ht="24.5" customHeight="1">
      <c r="B111" s="349" t="s">
        <v>367</v>
      </c>
      <c r="C111" s="349"/>
      <c r="D111" s="349"/>
      <c r="E111" s="349"/>
      <c r="F111" s="349"/>
    </row>
    <row r="113" spans="1:6">
      <c r="B113" s="47" t="s">
        <v>450</v>
      </c>
      <c r="C113" s="245">
        <f>IF(valuation_method="DCF",DCF!C12,DDM!C7)</f>
        <v>4.6297432042189586</v>
      </c>
      <c r="D113" s="1" t="str">
        <f>Market_currency</f>
        <v>HKD</v>
      </c>
    </row>
    <row r="114" spans="1:6">
      <c r="B114" s="325" t="s">
        <v>407</v>
      </c>
      <c r="C114" s="245">
        <f>BS!D47</f>
        <v>1.6698226477450393</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0.1</v>
      </c>
      <c r="D121" s="252">
        <f>DCF!D74</f>
        <v>15</v>
      </c>
      <c r="E121" s="253" t="str">
        <f>ROUND(IF(valuation_method="DCF",DCF!E74,DDM!E69),2)&amp;" "&amp;Market_currency</f>
        <v>7.4 HKD</v>
      </c>
      <c r="F121" s="254">
        <f>DCF!F74</f>
        <v>0.05</v>
      </c>
    </row>
    <row r="122" spans="1:6">
      <c r="B122" s="240" t="str">
        <f>DCF!B75</f>
        <v>Optimistic</v>
      </c>
      <c r="C122" s="241">
        <f>DCF!C75</f>
        <v>0.06</v>
      </c>
      <c r="D122" s="242">
        <f>DCF!D75</f>
        <v>10</v>
      </c>
      <c r="E122" s="253" t="str">
        <f>ROUND(IF(valuation_method="DCF",DCF!E75,DDM!E70),2)&amp;" "&amp;Market_currency</f>
        <v>5.42 HKD</v>
      </c>
      <c r="F122" s="243">
        <f>DCF!F75</f>
        <v>0.18</v>
      </c>
    </row>
    <row r="123" spans="1:6">
      <c r="B123" s="240" t="str">
        <f>DCF!B76</f>
        <v>Base</v>
      </c>
      <c r="C123" s="241">
        <f>DCF!C76</f>
        <v>0.04</v>
      </c>
      <c r="D123" s="242">
        <f>DCF!D76</f>
        <v>10</v>
      </c>
      <c r="E123" s="253" t="str">
        <f>ROUND(IF(valuation_method="DCF",DCF!E76,DDM!E71),2)&amp;" "&amp;Market_currency</f>
        <v>5.13 HKD</v>
      </c>
      <c r="F123" s="243">
        <f>DCF!F76</f>
        <v>0.53999999999999992</v>
      </c>
    </row>
    <row r="124" spans="1:6">
      <c r="B124" s="240" t="str">
        <f>DCF!B77</f>
        <v>Pessimistic</v>
      </c>
      <c r="C124" s="241">
        <f>DCF!C77</f>
        <v>0.02</v>
      </c>
      <c r="D124" s="242">
        <f>DCF!D77</f>
        <v>10</v>
      </c>
      <c r="E124" s="253" t="str">
        <f>ROUND(IF(valuation_method="DCF",DCF!E77,DDM!E72),2)&amp;" "&amp;Market_currency</f>
        <v>4.87 HKD</v>
      </c>
      <c r="F124" s="243">
        <f>DCF!F77</f>
        <v>0.18</v>
      </c>
    </row>
    <row r="125" spans="1:6">
      <c r="B125" s="240" t="str">
        <f>DCF!B78</f>
        <v>Devil's advocate</v>
      </c>
      <c r="C125" s="241">
        <f>DCF!C78</f>
        <v>0</v>
      </c>
      <c r="D125" s="242">
        <f>DCF!D78</f>
        <v>15</v>
      </c>
      <c r="E125" s="253" t="str">
        <f>ROUND(IF(valuation_method="DCF",DCF!E78,DDM!E73),2)&amp;" "&amp;Market_currency</f>
        <v>4.63 HKD</v>
      </c>
      <c r="F125" s="243">
        <f>DCF!F78</f>
        <v>0.05</v>
      </c>
    </row>
    <row r="127" spans="1:6">
      <c r="B127" s="233" t="s">
        <v>259</v>
      </c>
      <c r="C127" s="239">
        <f>Scenarios!C60</f>
        <v>5.2246962590200807</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0.128</v>
      </c>
      <c r="D138" s="234" t="str">
        <f>Market_currency</f>
        <v>HKD</v>
      </c>
    </row>
    <row r="140" spans="1:6">
      <c r="B140" s="232" t="s">
        <v>410</v>
      </c>
      <c r="C140" s="263" t="str">
        <f>C11</f>
        <v>0398.HK</v>
      </c>
      <c r="D140" s="263" t="str">
        <f>IF(D11="","",D11)</f>
        <v/>
      </c>
    </row>
    <row r="141" spans="1:6">
      <c r="B141" s="1" t="s">
        <v>409</v>
      </c>
      <c r="C141" s="326">
        <f>F29</f>
        <v>0.3674</v>
      </c>
    </row>
    <row r="142" spans="1:6">
      <c r="B142" s="234" t="str">
        <f>"PV("&amp;C136&amp;" yrs of Dividends)"</f>
        <v>PV(3 yrs of Dividends)</v>
      </c>
      <c r="C142" s="238">
        <f>Scenarios!C81</f>
        <v>0.21212919287870191</v>
      </c>
    </row>
    <row r="143" spans="1:6">
      <c r="B143" s="234" t="str">
        <f>"+ PV(Equity Value realized at year "&amp;C136&amp;")"</f>
        <v>+ PV(Equity Value realized at year 3)</v>
      </c>
      <c r="C143" s="238">
        <f>Scenarios!C82</f>
        <v>2.0434984886306262</v>
      </c>
    </row>
    <row r="144" spans="1:6">
      <c r="B144" s="80" t="s">
        <v>261</v>
      </c>
      <c r="C144" s="237">
        <f>Scenarios!C83</f>
        <v>2.2556276815093281</v>
      </c>
      <c r="D144" s="330" t="str">
        <f>IF($D$11="","",C144*$E$25)</f>
        <v/>
      </c>
    </row>
    <row r="145" spans="2:4">
      <c r="B145" s="281" t="s">
        <v>417</v>
      </c>
      <c r="C145" s="328" t="str">
        <f>Market_currency</f>
        <v>HKD</v>
      </c>
      <c r="D145" s="328" t="str">
        <f>IF($D$11="","",D$13)</f>
        <v/>
      </c>
    </row>
    <row r="146" spans="2:4">
      <c r="B146" s="236" t="s">
        <v>263</v>
      </c>
      <c r="C146" s="92">
        <f>Scenarios!F83</f>
        <v>0.56827582510368113</v>
      </c>
    </row>
    <row r="148" spans="2:4">
      <c r="B148" s="232" t="s">
        <v>413</v>
      </c>
    </row>
    <row r="149" spans="2:4">
      <c r="B149" s="1" t="s">
        <v>412</v>
      </c>
      <c r="C149" s="326">
        <f>Scenarios!C90</f>
        <v>0.21740000000000001</v>
      </c>
    </row>
    <row r="150" spans="2:4">
      <c r="B150" s="234" t="str">
        <f>"PV("&amp;C136&amp;" yrs of Dividends)"</f>
        <v>PV(3 yrs of Dividends)</v>
      </c>
      <c r="C150" s="238">
        <f>Scenarios!C91</f>
        <v>0.2624513054547119</v>
      </c>
    </row>
    <row r="151" spans="2:4">
      <c r="B151" s="234" t="str">
        <f>"+ PV(Equity Value realized at year "&amp;C136&amp;")"</f>
        <v>+ PV(Equity Value realized at year 3)</v>
      </c>
      <c r="C151" s="238">
        <f>Scenarios!C92</f>
        <v>2.8957506018897798</v>
      </c>
    </row>
    <row r="152" spans="2:4">
      <c r="B152" s="80" t="s">
        <v>261</v>
      </c>
      <c r="C152" s="237">
        <f>Scenarios!C93</f>
        <v>3.1582019073444916</v>
      </c>
      <c r="D152" s="330" t="str">
        <f>IF($D$11="","",C152*$E$25)</f>
        <v/>
      </c>
    </row>
    <row r="153" spans="2:4">
      <c r="B153" s="281" t="s">
        <v>417</v>
      </c>
      <c r="C153" s="328" t="str">
        <f>Market_currency</f>
        <v>HKD</v>
      </c>
      <c r="D153" s="328" t="str">
        <f>IF($D$11="","",D$13)</f>
        <v/>
      </c>
    </row>
    <row r="154" spans="2:4">
      <c r="B154" s="236" t="s">
        <v>263</v>
      </c>
      <c r="C154" s="92">
        <f>Scenarios!F93</f>
        <v>0.39552430404120198</v>
      </c>
    </row>
    <row r="156" spans="2:4">
      <c r="B156" s="232" t="s">
        <v>401</v>
      </c>
    </row>
    <row r="157" spans="2:4">
      <c r="B157" s="1" t="s">
        <v>411</v>
      </c>
      <c r="C157" s="92">
        <f>Scenarios!C96</f>
        <v>7.4999999999999997E-2</v>
      </c>
    </row>
    <row r="158" spans="2:4">
      <c r="B158" s="234" t="str">
        <f>"PV("&amp;C136&amp;" yrs of Dividends)"</f>
        <v>PV(3 yrs of Dividends)</v>
      </c>
      <c r="C158" s="238">
        <f>Scenarios!C97</f>
        <v>0.33286729470361087</v>
      </c>
    </row>
    <row r="159" spans="2:4">
      <c r="B159" s="234" t="str">
        <f>"+ PV(Equity Value realized at year "&amp;C136&amp;")"</f>
        <v>+ PV(Equity Value realized at year 3)</v>
      </c>
      <c r="C159" s="238">
        <f>Scenarios!C98</f>
        <v>4.2056744761754965</v>
      </c>
    </row>
    <row r="160" spans="2:4">
      <c r="B160" s="80" t="s">
        <v>402</v>
      </c>
      <c r="C160" s="237">
        <f>Scenarios!C99</f>
        <v>4.5385417708791076</v>
      </c>
      <c r="D160" s="330" t="str">
        <f>IF($D$11="","",C160*$E$25)</f>
        <v/>
      </c>
    </row>
    <row r="161" spans="1:6">
      <c r="B161" s="281" t="s">
        <v>417</v>
      </c>
      <c r="C161" s="328" t="str">
        <f>Market_currency</f>
        <v>HKD</v>
      </c>
      <c r="D161" s="328" t="str">
        <f>IF($D$11="","",D$13)</f>
        <v/>
      </c>
    </row>
    <row r="162" spans="1:6">
      <c r="B162" s="236" t="s">
        <v>263</v>
      </c>
      <c r="C162" s="92">
        <f>Scenarios!F99</f>
        <v>0.13132906759055596</v>
      </c>
    </row>
    <row r="164" spans="1:6">
      <c r="B164" s="232" t="s">
        <v>433</v>
      </c>
    </row>
    <row r="165" spans="1:6">
      <c r="B165" s="1" t="s">
        <v>424</v>
      </c>
      <c r="C165" s="92">
        <f>F32</f>
        <v>0.1174</v>
      </c>
    </row>
    <row r="166" spans="1:6">
      <c r="B166" s="234" t="str">
        <f>"PV("&amp;C136&amp;" yrs of Dividends)"</f>
        <v>PV(3 yrs of Dividends)</v>
      </c>
      <c r="C166" s="238">
        <f>Scenarios!C103</f>
        <v>0.30881320012014707</v>
      </c>
    </row>
    <row r="167" spans="1:6">
      <c r="B167" s="234" t="str">
        <f>"+ PV(Equity Value realized at year "&amp;C136&amp;")"</f>
        <v>+ PV(Equity Value realized at year 3)</v>
      </c>
      <c r="C167" s="238">
        <f>Scenarios!C104</f>
        <v>3.7448553439982017</v>
      </c>
    </row>
    <row r="168" spans="1:6">
      <c r="B168" s="80" t="s">
        <v>402</v>
      </c>
      <c r="C168" s="237">
        <f>Scenarios!C105</f>
        <v>4.0536685441183486</v>
      </c>
      <c r="D168" s="330" t="str">
        <f>IF($D$11="","",C168*$E$25)</f>
        <v/>
      </c>
    </row>
    <row r="169" spans="1:6">
      <c r="B169" s="281" t="s">
        <v>417</v>
      </c>
      <c r="C169" s="328" t="str">
        <f>Market_currency</f>
        <v>HKD</v>
      </c>
      <c r="D169" s="328" t="str">
        <f>IF($D$11="","",D$13)</f>
        <v/>
      </c>
    </row>
    <row r="170" spans="1:6">
      <c r="B170" s="236" t="s">
        <v>263</v>
      </c>
      <c r="C170" s="92">
        <f>Scenarios!F105</f>
        <v>0.22401578084943807</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8">
        <v>543502</v>
      </c>
      <c r="D7" s="188">
        <v>527090</v>
      </c>
      <c r="E7" s="188">
        <v>504718</v>
      </c>
      <c r="F7" s="188">
        <v>431450</v>
      </c>
      <c r="G7" s="188">
        <v>334415</v>
      </c>
      <c r="H7" s="188">
        <v>197943</v>
      </c>
      <c r="I7" s="188">
        <v>206424</v>
      </c>
      <c r="J7" s="188">
        <v>190447</v>
      </c>
      <c r="K7" s="188">
        <v>199533</v>
      </c>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346987</v>
      </c>
      <c r="D22" s="181">
        <v>421974</v>
      </c>
      <c r="E22" s="181">
        <v>732665</v>
      </c>
      <c r="F22" s="181">
        <v>643498</v>
      </c>
      <c r="G22" s="181">
        <v>306436</v>
      </c>
      <c r="H22" s="181">
        <v>269780</v>
      </c>
      <c r="I22" s="181">
        <v>503072</v>
      </c>
      <c r="J22" s="181">
        <v>266577</v>
      </c>
      <c r="K22" s="181">
        <v>204101</v>
      </c>
      <c r="L22" s="181"/>
      <c r="M22" s="181"/>
    </row>
    <row r="23" spans="2:13">
      <c r="B23" s="27" t="s">
        <v>374</v>
      </c>
      <c r="C23" s="181">
        <v>-67837</v>
      </c>
      <c r="D23" s="181">
        <v>-37092</v>
      </c>
      <c r="E23" s="181">
        <v>-77565</v>
      </c>
      <c r="F23" s="181">
        <v>-47993</v>
      </c>
      <c r="G23" s="181">
        <v>-48419</v>
      </c>
      <c r="H23" s="181">
        <v>-39236</v>
      </c>
      <c r="I23" s="181">
        <v>-17998</v>
      </c>
      <c r="J23" s="181">
        <v>89956</v>
      </c>
      <c r="K23" s="181">
        <v>-13332</v>
      </c>
      <c r="L23" s="181"/>
      <c r="M23" s="181"/>
    </row>
    <row r="24" spans="2:13">
      <c r="B24" s="27" t="s">
        <v>373</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458</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394</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24"/>
      <c r="J77" s="324"/>
      <c r="K77" s="324"/>
      <c r="L77" s="324"/>
      <c r="M77" s="324"/>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24"/>
      <c r="J78" s="324"/>
      <c r="K78" s="324"/>
      <c r="L78" s="324"/>
      <c r="M78" s="324"/>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83075+265532</f>
        <v>348607</v>
      </c>
      <c r="D4" s="285">
        <v>0.6</v>
      </c>
      <c r="E4" s="25"/>
      <c r="F4" s="4" t="s">
        <v>78</v>
      </c>
      <c r="G4" s="19">
        <v>1089388</v>
      </c>
      <c r="H4" s="285">
        <v>0.9</v>
      </c>
    </row>
    <row r="5" spans="2:8" ht="15" customHeight="1">
      <c r="B5" s="1" t="s">
        <v>33</v>
      </c>
      <c r="C5" s="19">
        <v>0</v>
      </c>
      <c r="D5" s="285">
        <v>0.6</v>
      </c>
      <c r="E5" s="25"/>
      <c r="F5" s="1" t="s">
        <v>29</v>
      </c>
      <c r="G5" s="19">
        <v>0</v>
      </c>
      <c r="H5" s="285">
        <v>0.7</v>
      </c>
    </row>
    <row r="6" spans="2:8" ht="15" customHeight="1">
      <c r="B6" s="4" t="s">
        <v>10</v>
      </c>
      <c r="C6" s="19">
        <v>506592</v>
      </c>
      <c r="D6" s="285">
        <v>0.5</v>
      </c>
      <c r="E6" s="25"/>
      <c r="F6" s="4" t="s">
        <v>178</v>
      </c>
      <c r="G6" s="19">
        <v>0</v>
      </c>
      <c r="H6" s="285">
        <v>0.6</v>
      </c>
    </row>
    <row r="7" spans="2:8" ht="15" customHeight="1">
      <c r="B7" s="1" t="s">
        <v>69</v>
      </c>
      <c r="C7" s="19">
        <v>0</v>
      </c>
      <c r="D7" s="285">
        <v>0.6</v>
      </c>
      <c r="E7" s="25"/>
      <c r="F7" s="4" t="s">
        <v>179</v>
      </c>
      <c r="G7" s="19">
        <v>10851</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8727</v>
      </c>
      <c r="D10" s="285">
        <v>0.9</v>
      </c>
      <c r="H10" s="286"/>
    </row>
    <row r="11" spans="2:8" ht="15" customHeight="1">
      <c r="B11" s="4" t="s">
        <v>12</v>
      </c>
      <c r="C11" s="19">
        <v>0</v>
      </c>
      <c r="D11" s="285">
        <v>0.05</v>
      </c>
      <c r="H11" s="286"/>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f>29657+19498</f>
        <v>49155</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233391+169651+360+16234</f>
        <v>419636</v>
      </c>
      <c r="D19" s="285">
        <v>0.1</v>
      </c>
      <c r="F19" s="4" t="s">
        <v>183</v>
      </c>
      <c r="G19" s="19">
        <f>64831+22181</f>
        <v>87012</v>
      </c>
      <c r="H19" s="285">
        <v>0.1</v>
      </c>
    </row>
    <row r="20" spans="2:8" ht="15" customHeight="1">
      <c r="B20" s="4" t="s">
        <v>18</v>
      </c>
      <c r="C20" s="19">
        <v>0</v>
      </c>
      <c r="D20" s="285">
        <v>0.05</v>
      </c>
      <c r="F20" s="4" t="s">
        <v>180</v>
      </c>
      <c r="G20" s="19">
        <v>0</v>
      </c>
      <c r="H20" s="285">
        <v>0.2</v>
      </c>
    </row>
    <row r="21" spans="2:8" ht="15" customHeight="1">
      <c r="B21" s="4" t="s">
        <v>19</v>
      </c>
      <c r="C21" s="19">
        <v>0</v>
      </c>
      <c r="D21" s="285">
        <v>0.05</v>
      </c>
      <c r="F21" s="1" t="s">
        <v>181</v>
      </c>
      <c r="G21" s="19">
        <v>36961</v>
      </c>
      <c r="H21" s="285">
        <v>0.1</v>
      </c>
    </row>
    <row r="22" spans="2:8" ht="15" customHeight="1">
      <c r="B22" s="4" t="s">
        <v>20</v>
      </c>
      <c r="C22" s="19">
        <v>8134</v>
      </c>
      <c r="D22" s="285">
        <v>0.9</v>
      </c>
      <c r="H22" s="286"/>
    </row>
    <row r="23" spans="2:8" ht="15" customHeight="1">
      <c r="B23" s="4" t="s">
        <v>21</v>
      </c>
      <c r="C23" s="19">
        <v>0</v>
      </c>
      <c r="D23" s="285">
        <v>0</v>
      </c>
      <c r="H23" s="286"/>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1" t="s">
        <v>137</v>
      </c>
      <c r="F26" s="203" t="s">
        <v>197</v>
      </c>
      <c r="G26" s="204" t="s">
        <v>137</v>
      </c>
      <c r="H26" s="205" t="s">
        <v>35</v>
      </c>
    </row>
    <row r="27" spans="2:8" ht="15" customHeight="1">
      <c r="B27" s="4" t="s">
        <v>5</v>
      </c>
      <c r="C27" s="19">
        <v>0</v>
      </c>
      <c r="F27" s="206" t="s">
        <v>30</v>
      </c>
      <c r="G27" s="85">
        <f>G32-G30</f>
        <v>1832181</v>
      </c>
      <c r="H27" s="207">
        <f>H32-G30</f>
        <v>815566.8</v>
      </c>
    </row>
    <row r="28" spans="2:8" ht="15" customHeight="1">
      <c r="B28" s="4" t="s">
        <v>6</v>
      </c>
      <c r="C28" s="19">
        <v>112451</v>
      </c>
      <c r="F28" s="208" t="s">
        <v>245</v>
      </c>
      <c r="G28" s="12">
        <v>1765</v>
      </c>
      <c r="H28" s="207"/>
    </row>
    <row r="29" spans="2:8" ht="15" customHeight="1">
      <c r="B29" s="4" t="s">
        <v>7</v>
      </c>
      <c r="C29" s="19">
        <v>0</v>
      </c>
      <c r="F29" s="209" t="s">
        <v>76</v>
      </c>
      <c r="G29" s="14">
        <f>G27-G28</f>
        <v>1830416</v>
      </c>
      <c r="H29" s="207">
        <f>H27-G28</f>
        <v>813801.8</v>
      </c>
    </row>
    <row r="30" spans="2:8" ht="15" customHeight="1">
      <c r="B30" s="2" t="s">
        <v>8</v>
      </c>
      <c r="C30" s="19">
        <v>0</v>
      </c>
      <c r="F30" s="206" t="s">
        <v>23</v>
      </c>
      <c r="G30" s="85">
        <f>C33+C42</f>
        <v>732882</v>
      </c>
      <c r="H30" s="207"/>
    </row>
    <row r="31" spans="2:8" ht="15" customHeight="1">
      <c r="B31" s="80" t="s">
        <v>204</v>
      </c>
      <c r="C31" s="81">
        <f>SUM(C27:C30)</f>
        <v>112451</v>
      </c>
      <c r="F31" s="209" t="s">
        <v>77</v>
      </c>
      <c r="G31" s="210">
        <f>C31+C40</f>
        <v>195066</v>
      </c>
      <c r="H31" s="207"/>
    </row>
    <row r="32" spans="2:8" ht="15" customHeight="1">
      <c r="B32" s="4" t="s">
        <v>9</v>
      </c>
      <c r="C32" s="21">
        <f>C33-C31</f>
        <v>511396</v>
      </c>
      <c r="F32" s="211" t="s">
        <v>75</v>
      </c>
      <c r="G32" s="212">
        <f>G35+G40</f>
        <v>2565063</v>
      </c>
      <c r="H32" s="207">
        <f>H35+H40</f>
        <v>1548448.8</v>
      </c>
    </row>
    <row r="33" spans="2:8" ht="15" customHeight="1">
      <c r="B33" s="83" t="s">
        <v>4</v>
      </c>
      <c r="C33" s="84">
        <v>623847</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1291696</v>
      </c>
      <c r="H35" s="219">
        <f>D12+D24</f>
        <v>519598.69999999995</v>
      </c>
    </row>
    <row r="36" spans="2:8" ht="15" customHeight="1">
      <c r="B36" s="4" t="s">
        <v>13</v>
      </c>
      <c r="C36" s="19">
        <v>0</v>
      </c>
      <c r="F36" s="209" t="s">
        <v>198</v>
      </c>
      <c r="G36" s="210">
        <f>C4+C15</f>
        <v>348607</v>
      </c>
      <c r="H36" s="214"/>
    </row>
    <row r="37" spans="2:8" ht="15" customHeight="1">
      <c r="B37" s="4" t="s">
        <v>14</v>
      </c>
      <c r="C37" s="19">
        <v>82615</v>
      </c>
      <c r="F37" s="209" t="s">
        <v>199</v>
      </c>
      <c r="G37" s="210">
        <f>C6</f>
        <v>506592</v>
      </c>
      <c r="H37" s="214"/>
    </row>
    <row r="38" spans="2:8" ht="15" customHeight="1">
      <c r="B38" s="4" t="s">
        <v>15</v>
      </c>
      <c r="C38" s="19">
        <v>0</v>
      </c>
      <c r="F38" s="209" t="s">
        <v>200</v>
      </c>
      <c r="G38" s="210">
        <f>C7+C17</f>
        <v>0</v>
      </c>
      <c r="H38" s="214"/>
    </row>
    <row r="39" spans="2:8" ht="15" customHeight="1">
      <c r="B39" s="2" t="s">
        <v>16</v>
      </c>
      <c r="C39" s="19">
        <v>0</v>
      </c>
      <c r="F39" s="209" t="s">
        <v>80</v>
      </c>
      <c r="G39" s="210">
        <f>C7+C17+C19+C20</f>
        <v>419636</v>
      </c>
      <c r="H39" s="207">
        <f>C7*D7+C17*D17+C19*D19+C20*D20</f>
        <v>41963.600000000006</v>
      </c>
    </row>
    <row r="40" spans="2:8" ht="15" customHeight="1">
      <c r="B40" s="80" t="s">
        <v>205</v>
      </c>
      <c r="C40" s="81">
        <f>SUM(C36:C39)</f>
        <v>82615</v>
      </c>
      <c r="F40" s="218" t="s">
        <v>139</v>
      </c>
      <c r="G40" s="212">
        <f>G12+G24</f>
        <v>1273367</v>
      </c>
      <c r="H40" s="219">
        <f>H12+H24</f>
        <v>1028850.1000000001</v>
      </c>
    </row>
    <row r="41" spans="2:8" ht="15" customHeight="1">
      <c r="B41" s="4" t="s">
        <v>17</v>
      </c>
      <c r="C41" s="21">
        <f>C42-C40</f>
        <v>26420</v>
      </c>
      <c r="F41" s="209" t="s">
        <v>192</v>
      </c>
      <c r="G41" s="210">
        <f>C70</f>
        <v>1138543</v>
      </c>
      <c r="H41" s="219">
        <f>H40-H42</f>
        <v>1009942.2000000001</v>
      </c>
    </row>
    <row r="42" spans="2:8" ht="15" customHeight="1">
      <c r="B42" s="83" t="s">
        <v>22</v>
      </c>
      <c r="C42" s="84">
        <v>109035</v>
      </c>
      <c r="F42" s="220" t="s">
        <v>193</v>
      </c>
      <c r="G42" s="221">
        <f>C82</f>
        <v>134824</v>
      </c>
      <c r="H42" s="222">
        <f>D82</f>
        <v>18907.900000000001</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1830416</v>
      </c>
      <c r="D46" s="76">
        <f>H29</f>
        <v>813801.8</v>
      </c>
      <c r="F46" s="275"/>
    </row>
    <row r="47" spans="2:8" ht="15" customHeight="1">
      <c r="B47" s="1" t="str">
        <f>"Equity per share ("&amp;Market_currency&amp;")"</f>
        <v>Equity per share (HKD)</v>
      </c>
      <c r="C47" s="148">
        <f>C46*H1/Common_Shares*Exchange_Rate</f>
        <v>3.7557917561682514</v>
      </c>
      <c r="D47" s="148">
        <f>D46*H1/Common_Shares*Exchange_Rate</f>
        <v>1.6698226477450393</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0.9804830051022897</v>
      </c>
      <c r="D50" s="95">
        <f>G31/Normalized_FCF!G8</f>
        <v>0.55099965538864815</v>
      </c>
      <c r="F50" s="275"/>
    </row>
    <row r="51" spans="2:8" ht="15" customHeight="1">
      <c r="B51" s="1" t="s">
        <v>177</v>
      </c>
      <c r="C51" s="200"/>
      <c r="D51" s="92">
        <f>G29/G32</f>
        <v>0.71359494874005047</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0.15402144495374948</v>
      </c>
      <c r="D54" s="92">
        <f>Normalized_FCF!G8/G35</f>
        <v>0.274075324224895</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0.1635967615610221</v>
      </c>
      <c r="F59" s="275"/>
    </row>
    <row r="60" spans="2:8" ht="15" customHeight="1">
      <c r="F60" s="275"/>
    </row>
    <row r="61" spans="2:8" ht="15" customHeight="1">
      <c r="B61" s="158" t="s">
        <v>275</v>
      </c>
      <c r="C61" s="257" t="s">
        <v>138</v>
      </c>
      <c r="D61" s="216" t="s">
        <v>96</v>
      </c>
      <c r="F61" s="275"/>
    </row>
    <row r="62" spans="2:8" ht="15" customHeight="1">
      <c r="B62" s="1" t="s">
        <v>246</v>
      </c>
      <c r="C62" s="92">
        <f>IF(G28&lt;=0,0,G28/G29)</f>
        <v>9.6426167603430037E-4</v>
      </c>
      <c r="D62" s="92">
        <f>G28/G29</f>
        <v>9.6426167603430037E-4</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1089388</v>
      </c>
      <c r="D66" s="76">
        <f>C66-D75</f>
        <v>587281.82009631116</v>
      </c>
      <c r="F66" s="5" t="s">
        <v>227</v>
      </c>
    </row>
    <row r="67" spans="2:6" ht="15" customHeight="1">
      <c r="B67" s="105" t="s">
        <v>178</v>
      </c>
      <c r="C67" s="20">
        <f>G6+G16</f>
        <v>49155</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1138543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-278926.48772266664</v>
      </c>
      <c r="D73" s="76">
        <f>(Normalized_FCF!C25+Normalized_FCF!C35-Normalized_FCF!C91)/12</f>
        <v>-251053.08995184439</v>
      </c>
      <c r="F73" s="1" t="s">
        <v>352</v>
      </c>
    </row>
    <row r="74" spans="2:6" ht="15" customHeight="1">
      <c r="B74" s="279" t="s">
        <v>322</v>
      </c>
      <c r="C74" s="280">
        <f>-$C$66/C73</f>
        <v>3.9056455659498561</v>
      </c>
      <c r="D74" s="280">
        <f>-$C$66/D73</f>
        <v>4.3392734190563456</v>
      </c>
      <c r="F74" s="275" t="s">
        <v>320</v>
      </c>
    </row>
    <row r="75" spans="2:6" ht="15" customHeight="1">
      <c r="B75" s="80" t="s">
        <v>321</v>
      </c>
      <c r="C75" s="284"/>
      <c r="D75" s="283">
        <f>MAX(-D73*D76,G5)</f>
        <v>502106.17990368878</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10851</v>
      </c>
      <c r="D79" s="76">
        <f>G7*H7+G17*H17</f>
        <v>6510.5999999999995</v>
      </c>
      <c r="F79" s="275"/>
    </row>
    <row r="80" spans="2:6" ht="15" customHeight="1">
      <c r="B80" s="105" t="s">
        <v>183</v>
      </c>
      <c r="C80" s="20">
        <f>G19</f>
        <v>87012</v>
      </c>
      <c r="D80" s="76">
        <f>G19*H19</f>
        <v>8701.2000000000007</v>
      </c>
      <c r="F80" s="275"/>
    </row>
    <row r="81" spans="2:8" ht="15" customHeight="1">
      <c r="B81" s="105" t="s">
        <v>181</v>
      </c>
      <c r="C81" s="20">
        <f>G9+G21</f>
        <v>36961</v>
      </c>
      <c r="D81" s="76">
        <f>G9*H9+G21*H21</f>
        <v>3696.1000000000004</v>
      </c>
      <c r="F81" s="275"/>
    </row>
    <row r="82" spans="2:8" ht="15" customHeight="1">
      <c r="B82" s="80" t="s">
        <v>190</v>
      </c>
      <c r="C82" s="81">
        <f>SUM(C79:C81)</f>
        <v>134824</v>
      </c>
      <c r="D82" s="81">
        <f>SUM(D79:D81)</f>
        <v>18907.900000000001</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-195066</v>
      </c>
      <c r="D86" s="245">
        <f>C86*scaling_factor/Common_Shares</f>
        <v>-0.40025178686632773</v>
      </c>
      <c r="E86" s="262" t="str">
        <f>Market_currency</f>
        <v>HKD</v>
      </c>
    </row>
    <row r="87" spans="2:8" ht="15" customHeight="1">
      <c r="B87" s="260" t="s">
        <v>288</v>
      </c>
      <c r="C87" s="76">
        <f>DCF!C8*Exchange_Rate</f>
        <v>587281.82009631116</v>
      </c>
      <c r="D87" s="245">
        <f>C87*scaling_factor/Common_Shares</f>
        <v>1.2050311068441337</v>
      </c>
      <c r="E87" s="262" t="str">
        <f>Market_currency</f>
        <v>HKD</v>
      </c>
    </row>
    <row r="88" spans="2:8" ht="15" customHeight="1">
      <c r="B88" s="261" t="s">
        <v>190</v>
      </c>
      <c r="C88" s="76">
        <f>DCF!C9*Exchange_Rate</f>
        <v>18907.900000000001</v>
      </c>
      <c r="D88" s="245">
        <f>C88*scaling_factor/Common_Shares</f>
        <v>3.8796718858693152E-2</v>
      </c>
      <c r="E88" s="262" t="str">
        <f>Market_currency</f>
        <v>HKD</v>
      </c>
    </row>
    <row r="89" spans="2:8" ht="15" customHeight="1">
      <c r="B89" s="80" t="s">
        <v>292</v>
      </c>
      <c r="C89" s="187">
        <f>SUM(C86:C88)</f>
        <v>411123.72009631118</v>
      </c>
      <c r="D89" s="264">
        <f>SUM(D86:D88)</f>
        <v>0.84357603883649912</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AVERAGE(G4:O4)</f>
        <v>3149204.111111111</v>
      </c>
      <c r="D4" s="57"/>
      <c r="E4" s="291"/>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0">
        <f>C25</f>
        <v>-2697049.2267501326</v>
      </c>
      <c r="E5" s="293"/>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293"/>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0">
        <f>C35</f>
        <v>-253206</v>
      </c>
      <c r="E7" s="293"/>
      <c r="G7" s="190">
        <f t="shared" ref="G7:Q7" si="3">G35</f>
        <v>-253206</v>
      </c>
      <c r="H7" s="190">
        <f t="shared" si="3"/>
        <v>-252912</v>
      </c>
      <c r="I7" s="190">
        <f t="shared" si="3"/>
        <v>-243704</v>
      </c>
      <c r="J7" s="190">
        <f t="shared" si="3"/>
        <v>-211994</v>
      </c>
      <c r="K7" s="190">
        <f t="shared" si="3"/>
        <v>-155328</v>
      </c>
      <c r="L7" s="190">
        <f t="shared" si="3"/>
        <v>-277575</v>
      </c>
      <c r="M7" s="190">
        <f t="shared" si="3"/>
        <v>-275423</v>
      </c>
      <c r="N7" s="190">
        <f t="shared" si="3"/>
        <v>-311367</v>
      </c>
      <c r="O7" s="190">
        <f t="shared" si="3"/>
        <v>-332430</v>
      </c>
      <c r="P7" s="190" t="str">
        <f t="shared" si="3"/>
        <v/>
      </c>
      <c r="Q7" s="190" t="str">
        <f t="shared" si="3"/>
        <v/>
      </c>
    </row>
    <row r="8" spans="1:17" ht="15.75" customHeight="1">
      <c r="A8" s="10"/>
      <c r="B8" s="29" t="s">
        <v>153</v>
      </c>
      <c r="C8" s="191">
        <f>C6+C7</f>
        <v>198948.88436097838</v>
      </c>
      <c r="D8" s="59"/>
      <c r="E8" s="299"/>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0">
        <f>C50</f>
        <v>-13663</v>
      </c>
      <c r="E12" s="293"/>
      <c r="G12" s="190">
        <f>G50</f>
        <v>-13663</v>
      </c>
      <c r="H12" s="190">
        <f t="shared" ref="H12:Q12" si="6">H50</f>
        <v>-14612</v>
      </c>
      <c r="I12" s="190">
        <f t="shared" si="6"/>
        <v>-12033</v>
      </c>
      <c r="J12" s="190">
        <f t="shared" si="6"/>
        <v>-10203</v>
      </c>
      <c r="K12" s="190">
        <f t="shared" si="6"/>
        <v>-14210</v>
      </c>
      <c r="L12" s="190">
        <f t="shared" si="6"/>
        <v>-1959</v>
      </c>
      <c r="M12" s="190">
        <f t="shared" si="6"/>
        <v>-1843</v>
      </c>
      <c r="N12" s="190">
        <f t="shared" si="6"/>
        <v>-3730</v>
      </c>
      <c r="O12" s="190">
        <f t="shared" si="6"/>
        <v>-6942</v>
      </c>
      <c r="P12" s="190" t="str">
        <f t="shared" si="6"/>
        <v/>
      </c>
      <c r="Q12" s="190" t="str">
        <f t="shared" si="6"/>
        <v/>
      </c>
    </row>
    <row r="13" spans="1:17" ht="15.75" customHeight="1">
      <c r="A13" s="10"/>
      <c r="B13" s="70" t="s">
        <v>165</v>
      </c>
      <c r="C13" s="184">
        <f>SUM(C8:C12)</f>
        <v>185285.88436097838</v>
      </c>
      <c r="E13" s="293"/>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0">
        <f>-SUM(C8+C11,C12)*C43</f>
        <v>-46321.471090244595</v>
      </c>
      <c r="E14" s="293"/>
      <c r="G14" s="190">
        <f>Data!C46</f>
        <v>-145324</v>
      </c>
      <c r="H14" s="190">
        <f>Data!D46</f>
        <v>-144534</v>
      </c>
      <c r="I14" s="190">
        <f>Data!E46</f>
        <v>-150461</v>
      </c>
      <c r="J14" s="190">
        <f>Data!F46</f>
        <v>-123112</v>
      </c>
      <c r="K14" s="190">
        <f>Data!G46</f>
        <v>-28324</v>
      </c>
      <c r="L14" s="190">
        <f>Data!H46</f>
        <v>-21936</v>
      </c>
      <c r="M14" s="190">
        <f>Data!I46</f>
        <v>-26006</v>
      </c>
      <c r="N14" s="190">
        <f>Data!J46</f>
        <v>-9352</v>
      </c>
      <c r="O14" s="190">
        <f>Data!K46</f>
        <v>-3042</v>
      </c>
      <c r="P14" s="190" t="str">
        <f>Data!L46</f>
        <v/>
      </c>
      <c r="Q14" s="190" t="str">
        <f>Data!M46</f>
        <v/>
      </c>
    </row>
    <row r="15" spans="1:17" ht="15.75" customHeight="1">
      <c r="A15" s="10"/>
      <c r="B15" s="40" t="s">
        <v>244</v>
      </c>
      <c r="C15" s="190">
        <f>-C4*C83</f>
        <v>-572.93535914055167</v>
      </c>
      <c r="D15" s="60"/>
      <c r="E15" s="300"/>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3">
        <f>SUM(C13:C15)</f>
        <v>138391.47791159325</v>
      </c>
      <c r="D16" s="61"/>
      <c r="E16" s="301"/>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138391.47791159325</v>
      </c>
      <c r="D19" s="27"/>
      <c r="E19" s="290"/>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-2226669.2968957396</v>
      </c>
      <c r="D23" s="58"/>
      <c r="E23" s="292"/>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0">
        <f>-C4*C29</f>
        <v>-470379.92985439295</v>
      </c>
      <c r="D24" s="27"/>
      <c r="E24" s="290"/>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298"/>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AVERAGE(G28:L28)</f>
        <v>0.70705778931239871</v>
      </c>
      <c r="D28" s="26"/>
      <c r="E28" s="291"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91"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93"/>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G33</f>
        <v>-253206</v>
      </c>
      <c r="E33" s="291" t="s">
        <v>334</v>
      </c>
      <c r="G33" s="190">
        <f>Data!C41</f>
        <v>-253206</v>
      </c>
      <c r="H33" s="190">
        <f>Data!D41</f>
        <v>-252912</v>
      </c>
      <c r="I33" s="190">
        <f>Data!E41</f>
        <v>-243704</v>
      </c>
      <c r="J33" s="190">
        <f>Data!F41</f>
        <v>-211994</v>
      </c>
      <c r="K33" s="190">
        <f>Data!G41</f>
        <v>-155328</v>
      </c>
      <c r="L33" s="190">
        <f>Data!H41</f>
        <v>-277575</v>
      </c>
      <c r="M33" s="190">
        <f>Data!I41</f>
        <v>-275423</v>
      </c>
      <c r="N33" s="190">
        <f>Data!J41</f>
        <v>-311367</v>
      </c>
      <c r="O33" s="190">
        <f>Data!K41</f>
        <v>-332430</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292"/>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8.0403172060722089E-2</v>
      </c>
      <c r="D38" s="27"/>
      <c r="E38" s="290"/>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93"/>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-13663</v>
      </c>
      <c r="E47" s="293"/>
      <c r="G47" s="190">
        <f>Data!C51</f>
        <v>-13663</v>
      </c>
      <c r="H47" s="190">
        <f>Data!D51</f>
        <v>-14612</v>
      </c>
      <c r="I47" s="190">
        <f>Data!E51</f>
        <v>-12033</v>
      </c>
      <c r="J47" s="190">
        <f>Data!F51</f>
        <v>-10203</v>
      </c>
      <c r="K47" s="190">
        <f>Data!G51</f>
        <v>-14210</v>
      </c>
      <c r="L47" s="190">
        <f>Data!H51</f>
        <v>-1959</v>
      </c>
      <c r="M47" s="190">
        <f>Data!I51</f>
        <v>-1843</v>
      </c>
      <c r="N47" s="190">
        <f>Data!J51</f>
        <v>-3730</v>
      </c>
      <c r="O47" s="190">
        <f>Data!K51</f>
        <v>-6942</v>
      </c>
      <c r="P47" s="190" t="str">
        <f>Data!L51</f>
        <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c r="A50" s="10"/>
      <c r="B50" s="70" t="s">
        <v>68</v>
      </c>
      <c r="C50" s="184">
        <f>C47+C48</f>
        <v>-13663</v>
      </c>
      <c r="E50" s="293"/>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0" t="s">
        <v>337</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293"/>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88">
        <v>0</v>
      </c>
      <c r="E62" s="291" t="s">
        <v>338</v>
      </c>
      <c r="G62" s="190">
        <f>Data!C58</f>
        <v>56115</v>
      </c>
      <c r="H62" s="190">
        <f>Data!D58</f>
        <v>45962</v>
      </c>
      <c r="I62" s="190">
        <f>Data!E58</f>
        <v>93607</v>
      </c>
      <c r="J62" s="190">
        <f>Data!F58</f>
        <v>47267</v>
      </c>
      <c r="K62" s="190">
        <f>Data!G58</f>
        <v>-13941</v>
      </c>
      <c r="L62" s="190">
        <f>Data!H58</f>
        <v>34492</v>
      </c>
      <c r="M62" s="190">
        <f>Data!I58</f>
        <v>41506</v>
      </c>
      <c r="N62" s="190">
        <f>Data!J58</f>
        <v>22726</v>
      </c>
      <c r="O62" s="190">
        <f>Data!K58</f>
        <v>40583</v>
      </c>
      <c r="P62" s="190" t="str">
        <f>Data!L58</f>
        <v/>
      </c>
      <c r="Q62" s="190" t="str">
        <f>Data!M58</f>
        <v/>
      </c>
    </row>
    <row r="63" spans="1:17" ht="15.75" customHeight="1">
      <c r="A63" s="10"/>
      <c r="B63" s="31" t="s">
        <v>196</v>
      </c>
      <c r="C63" s="184">
        <f>C61+C62</f>
        <v>0</v>
      </c>
      <c r="E63" s="293"/>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0.85642249012514848</v>
      </c>
      <c r="D73" s="27"/>
      <c r="E73" s="290"/>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0"/>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0"/>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0"/>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0"/>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0"/>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0"/>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89">
        <f>MIN(BS!C62,MAX(G83:K83))</f>
        <v>1.819302080545065E-4</v>
      </c>
      <c r="D83" s="27"/>
      <c r="E83" s="290"/>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0"/>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0"/>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0.128</v>
      </c>
      <c r="E90" s="293"/>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293"/>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93"/>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310</v>
      </c>
      <c r="C93" s="23">
        <f>C90/Market_Price</f>
        <v>3.5654596100278553E-2</v>
      </c>
      <c r="E93" s="293"/>
      <c r="G93" s="23">
        <f t="shared" ref="G93:Q93" si="39">IF(G$4="","",G90/Market_Price)</f>
        <v>3.5654596100278553E-2</v>
      </c>
      <c r="H93" s="23">
        <f t="shared" si="39"/>
        <v>4.2618384401114207E-2</v>
      </c>
      <c r="I93" s="23">
        <f t="shared" si="39"/>
        <v>5.1810584958217269E-2</v>
      </c>
      <c r="J93" s="23">
        <f t="shared" si="39"/>
        <v>4.1225626740947076E-2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-0.13453873241608505</v>
      </c>
      <c r="D96" s="27"/>
      <c r="E96" s="290"/>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0"/>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2565063</v>
      </c>
      <c r="D101" s="26"/>
      <c r="E101" s="294"/>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199">
        <f>BS!C4</f>
        <v>348607</v>
      </c>
      <c r="D102" s="89"/>
      <c r="E102" s="295"/>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199">
        <f>BS!C6+BS!C7</f>
        <v>506592</v>
      </c>
      <c r="D103" s="89"/>
      <c r="E103" s="295"/>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8">
        <f>BS!G30</f>
        <v>732882</v>
      </c>
      <c r="D104" s="26"/>
      <c r="E104" s="294"/>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8">
        <f>BS!G27</f>
        <v>1832181</v>
      </c>
      <c r="D105" s="26"/>
      <c r="E105" s="294"/>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94"/>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94"/>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1.3815926737009756</v>
      </c>
      <c r="H113" s="323">
        <f>IF(H$4="","",Data!D$22/Data!D15)</f>
        <v>1.4278840297234743</v>
      </c>
      <c r="I113" s="323">
        <f>IF(I$4="","",Data!E$22/Data!E15)</f>
        <v>2.018494335713656</v>
      </c>
      <c r="J113" s="323">
        <f>IF(J$4="","",Data!F$22/Data!F15)</f>
        <v>2.7662579957356077</v>
      </c>
      <c r="K113" s="323">
        <f>IF(K$4="","",Data!G$22/Data!G15)</f>
        <v>3.0919089083736089</v>
      </c>
      <c r="L113" s="323">
        <f>IF(L$4="","",Data!H$22/Data!H15)</f>
        <v>1.9543752128021792</v>
      </c>
      <c r="M113" s="323">
        <f>IF(M$4="","",Data!I$22/Data!I15)</f>
        <v>3.6274434870389731</v>
      </c>
      <c r="N113" s="323">
        <f>IF(N$4="","",Data!J$22/Data!J15)</f>
        <v>16.560663477666647</v>
      </c>
      <c r="O113" s="323">
        <f>IF(O$4="","",Data!K$22/Data!K15)</f>
        <v>-12.951392854876579</v>
      </c>
      <c r="P113" s="323" t="str">
        <f>IF(P$4="","",Data!L$22/Data!L15)</f>
        <v/>
      </c>
      <c r="Q113" s="323" t="str">
        <f>IF(Q$4="","",Data!M$22/Data!M15)</f>
        <v/>
      </c>
    </row>
    <row r="114" spans="1:17" ht="15.75" customHeight="1">
      <c r="A114" s="10"/>
      <c r="B114" s="2" t="s">
        <v>393</v>
      </c>
      <c r="C114" s="170"/>
      <c r="E114" s="293"/>
      <c r="G114" s="323">
        <f>IF(G$4="","",Data!C$22/G19)</f>
        <v>1.7851604903973288</v>
      </c>
      <c r="H114" s="323">
        <f>IF(H$4="","",Data!D$22/H19)</f>
        <v>1.6914819417164388</v>
      </c>
      <c r="I114" s="323">
        <f>IF(I$4="","",Data!E$22/I19)</f>
        <v>2.7239958805355302</v>
      </c>
      <c r="J114" s="323">
        <f>IF(J$4="","",Data!F$22/J19)</f>
        <v>3.4716681862567911</v>
      </c>
      <c r="K114" s="323">
        <f>IF(K$4="","",Data!G$22/K19)</f>
        <v>2.7106236178681997</v>
      </c>
      <c r="L114" s="323">
        <f>IF(L$4="","",Data!H$22/L19)</f>
        <v>2.6053869257438653</v>
      </c>
      <c r="M114" s="323">
        <f>IF(M$4="","",Data!I$22/M19)</f>
        <v>5.1767562950843287</v>
      </c>
      <c r="N114" s="323">
        <f>IF(N$4="","",Data!J$22/N19)</f>
        <v>-40.213757731181175</v>
      </c>
      <c r="O114" s="323">
        <f>IF(O$4="","",Data!K$22/O19)</f>
        <v>-3.6225373611160414</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93"/>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93"/>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97"/>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296"/>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0"/>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7.9098199833895419E-2</v>
      </c>
      <c r="D125" s="27"/>
      <c r="E125" s="290"/>
      <c r="F125" s="27"/>
      <c r="G125" s="77">
        <f t="shared" ref="G125" si="50">IF(G$4="","",G124/Market_Price)</f>
        <v>0.11109466152341599</v>
      </c>
      <c r="H125" s="77">
        <f t="shared" ref="H125" si="51">IF(H$4="","",H124/Market_Price)</f>
        <v>0.14258557109396153</v>
      </c>
      <c r="I125" s="77">
        <f t="shared" ref="I125" si="52">IF(I$4="","",I124/Market_Price)</f>
        <v>0.15372915901883816</v>
      </c>
      <c r="J125" s="77">
        <f t="shared" ref="J125" si="53">IF(J$4="","",J124/Market_Price)</f>
        <v>0.10594153085045668</v>
      </c>
      <c r="K125" s="77">
        <f t="shared" ref="K125" si="54">IF(K$4="","",K124/Market_Price)</f>
        <v>6.461417730457511E-2</v>
      </c>
      <c r="L125" s="77">
        <f t="shared" ref="L125" si="55">IF(L$4="","",L124/Market_Price)</f>
        <v>5.9182699843934879E-2</v>
      </c>
      <c r="M125" s="77">
        <f t="shared" ref="M125" si="56">IF(M$4="","",M124/Market_Price)</f>
        <v>5.5543044106866911E-2</v>
      </c>
      <c r="N125" s="77">
        <f t="shared" ref="N125" si="57">IF(N$4="","",N124/Market_Price)</f>
        <v>-3.7888313255376241E-3</v>
      </c>
      <c r="O125" s="77">
        <f t="shared" ref="O125" si="58">IF(O$4="","",O124/Market_Price)</f>
        <v>-3.2202494274165154E-2</v>
      </c>
      <c r="P125" s="77" t="str">
        <f t="shared" ref="P125" si="59">IF(P$4="","",P124/Market_Price)</f>
        <v/>
      </c>
      <c r="Q125" s="77" t="str">
        <f t="shared" ref="Q125" si="60">IF(Q$4="","",Q124/Market_Price)</f>
        <v/>
      </c>
    </row>
    <row r="126" spans="1:17" ht="15.75" customHeight="1">
      <c r="B126" s="2" t="s">
        <v>395</v>
      </c>
      <c r="C126" s="170"/>
      <c r="G126" s="23">
        <f>IF(G$4="","",(Data!C47*$C$3)/(Market_Price*Common_Shares))</f>
        <v>0.14354578177836391</v>
      </c>
      <c r="H126" s="23">
        <f>IF(H$4="","",(Data!D47*$C$3)/(Market_Price*Common_Shares))</f>
        <v>0.16890791803411989</v>
      </c>
      <c r="I126" s="23">
        <f>IF(I$4="","",(Data!E47*$C$3)/(Market_Price*Common_Shares))</f>
        <v>0.20746037701287443</v>
      </c>
      <c r="J126" s="23">
        <f>IF(J$4="","",(Data!F47*$C$3)/(Market_Price*Common_Shares))</f>
        <v>0.13295717276691268</v>
      </c>
      <c r="K126" s="23">
        <f>IF(K$4="","",(Data!G47*$C$3)/(Market_Price*Common_Shares))</f>
        <v>5.6646143285971999E-2</v>
      </c>
      <c r="L126" s="23">
        <f>IF(L$4="","",(Data!H47*$C$3)/(Market_Price*Common_Shares))</f>
        <v>7.8896739681081324E-2</v>
      </c>
      <c r="M126" s="23">
        <f>IF(M$4="","",(Data!I47*$C$3)/(Market_Price*Common_Shares))</f>
        <v>7.9265963551393176E-2</v>
      </c>
      <c r="N126" s="23">
        <f>IF(N$4="","",(Data!J47*$C$3)/(Market_Price*Common_Shares))</f>
        <v>9.2003043969194655E-3</v>
      </c>
      <c r="O126" s="23">
        <f>IF(O$4="","",(Data!K47*$C$3)/(Market_Price*Common_Shares))</f>
        <v>-9.0071191520813727E-3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1845219.70548791</v>
      </c>
      <c r="D6" t="str">
        <f>Reporting_currency</f>
        <v>HKD</v>
      </c>
      <c r="E6" s="355" t="s">
        <v>250</v>
      </c>
      <c r="F6" s="355"/>
      <c r="H6" s="121"/>
    </row>
    <row r="7" spans="2:8">
      <c r="B7" s="149" t="s">
        <v>225</v>
      </c>
      <c r="C7" s="224">
        <f>BS!G31</f>
        <v>195066</v>
      </c>
      <c r="D7" t="str">
        <f>Reporting_currency</f>
        <v>HKD</v>
      </c>
      <c r="E7" s="355"/>
      <c r="F7" s="355"/>
      <c r="H7" s="121"/>
    </row>
    <row r="8" spans="2:8">
      <c r="B8" s="149" t="s">
        <v>226</v>
      </c>
      <c r="C8" s="115">
        <f>BS!D66</f>
        <v>587281.82009631116</v>
      </c>
      <c r="D8" t="str">
        <f>Reporting_currency</f>
        <v>HKD</v>
      </c>
      <c r="E8" s="355"/>
      <c r="F8" s="355"/>
      <c r="H8" s="121"/>
    </row>
    <row r="9" spans="2:8">
      <c r="B9" s="225" t="s">
        <v>191</v>
      </c>
      <c r="C9" s="227">
        <f>BS!H42</f>
        <v>18907.900000000001</v>
      </c>
      <c r="D9" t="str">
        <f>Reporting_currency</f>
        <v>HKD</v>
      </c>
      <c r="E9" s="355"/>
      <c r="F9" s="355"/>
      <c r="H9" s="121"/>
    </row>
    <row r="10" spans="2:8" ht="13.15">
      <c r="B10" s="150" t="s">
        <v>228</v>
      </c>
      <c r="C10" s="230">
        <f>C6-C7+C8+C9</f>
        <v>2256343.4255842208</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4.6297432042189586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5.2239059043697216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IF($C$17&lt;B21,0,DCF!$C$16)</f>
        <v>4.6574870890079501E-2</v>
      </c>
      <c r="E21" s="125">
        <f t="shared" ref="E21:E50" si="0">IF($C$17&lt;B21,0,1/(1+Equity_Cost)^B21)</f>
        <v>0.93023255813953487</v>
      </c>
      <c r="F21" s="126">
        <f t="shared" ref="F21:F51" si="1">C21*E21</f>
        <v>134732.13314196558</v>
      </c>
      <c r="H21" s="121"/>
    </row>
    <row r="22" spans="2:8">
      <c r="B22" s="123">
        <v>2</v>
      </c>
      <c r="C22" s="124">
        <f t="shared" ref="C22:C50" si="2">IF(ROW()-ROW($C$21)&lt;$C$17, $C$21*(1+D22)^(ROW()-ROW($C$21)), 0)</f>
        <v>151582.80971138246</v>
      </c>
      <c r="D22" s="139">
        <f>IF($C$17&lt;B22,0,DCF!$C$16)</f>
        <v>4.6574870890079501E-2</v>
      </c>
      <c r="E22" s="125">
        <f t="shared" si="0"/>
        <v>0.86533261222282321</v>
      </c>
      <c r="F22" s="126">
        <f t="shared" si="1"/>
        <v>131169.54869562571</v>
      </c>
      <c r="H22" s="121"/>
    </row>
    <row r="23" spans="2:8">
      <c r="B23" s="123">
        <v>3</v>
      </c>
      <c r="C23" s="124">
        <f t="shared" si="2"/>
        <v>158642.75950284558</v>
      </c>
      <c r="D23" s="139">
        <f>IF($C$17&lt;B23,0,DCF!$C$16)</f>
        <v>4.6574870890079501E-2</v>
      </c>
      <c r="E23" s="125">
        <f t="shared" si="0"/>
        <v>0.80496056950960304</v>
      </c>
      <c r="F23" s="126">
        <f t="shared" si="1"/>
        <v>127701.16603798557</v>
      </c>
      <c r="H23" s="121"/>
    </row>
    <row r="24" spans="2:8">
      <c r="B24" s="123">
        <v>4</v>
      </c>
      <c r="C24" s="124">
        <f t="shared" si="2"/>
        <v>166031.52554433656</v>
      </c>
      <c r="D24" s="139">
        <f>IF($C$17&lt;B24,0,DCF!$C$16)</f>
        <v>4.6574870890079501E-2</v>
      </c>
      <c r="E24" s="125">
        <f t="shared" si="0"/>
        <v>0.7488005297763749</v>
      </c>
      <c r="F24" s="126">
        <f t="shared" si="1"/>
        <v>124324.49428717894</v>
      </c>
      <c r="H24" s="121"/>
    </row>
    <row r="25" spans="2:8">
      <c r="B25" s="123">
        <v>5</v>
      </c>
      <c r="C25" s="124">
        <f t="shared" si="2"/>
        <v>173764.422410247</v>
      </c>
      <c r="D25" s="139">
        <f>IF($C$17&lt;B25,0,DCF!$C$16)</f>
        <v>4.6574870890079501E-2</v>
      </c>
      <c r="E25" s="125">
        <f t="shared" si="0"/>
        <v>0.69655863235011617</v>
      </c>
      <c r="F25" s="126">
        <f t="shared" si="1"/>
        <v>121037.10842518952</v>
      </c>
      <c r="H25" s="121"/>
    </row>
    <row r="26" spans="2:8">
      <c r="B26" s="123">
        <v>6</v>
      </c>
      <c r="C26" s="124">
        <f t="shared" si="2"/>
        <v>181857.47794929348</v>
      </c>
      <c r="D26" s="139">
        <f>IF($C$17&lt;B26,0,DCF!$C$16)</f>
        <v>4.6574870890079501E-2</v>
      </c>
      <c r="E26" s="125">
        <f t="shared" si="0"/>
        <v>0.64796151846522443</v>
      </c>
      <c r="F26" s="126">
        <f t="shared" si="1"/>
        <v>117836.64755628027</v>
      </c>
      <c r="H26" s="121"/>
    </row>
    <row r="27" spans="2:8">
      <c r="B27" s="123">
        <v>7</v>
      </c>
      <c r="C27" s="124">
        <f t="shared" si="2"/>
        <v>190327.46650517735</v>
      </c>
      <c r="D27" s="139">
        <f>IF($C$17&lt;B27,0,DCF!$C$16)</f>
        <v>4.6574870890079501E-2</v>
      </c>
      <c r="E27" s="125">
        <f t="shared" si="0"/>
        <v>0.60275490089788319</v>
      </c>
      <c r="F27" s="126">
        <f t="shared" si="1"/>
        <v>114720.81321147336</v>
      </c>
      <c r="H27" s="121"/>
    </row>
    <row r="28" spans="2:8">
      <c r="B28" s="123">
        <v>8</v>
      </c>
      <c r="C28" s="124">
        <f t="shared" si="2"/>
        <v>199191.94368449191</v>
      </c>
      <c r="D28" s="139">
        <f>IF($C$17&lt;B28,0,DCF!$C$16)</f>
        <v>4.6574870890079501E-2</v>
      </c>
      <c r="E28" s="125">
        <f t="shared" si="0"/>
        <v>0.56070223339337966</v>
      </c>
      <c r="F28" s="126">
        <f t="shared" si="1"/>
        <v>111687.36769786292</v>
      </c>
      <c r="H28" s="121"/>
    </row>
    <row r="29" spans="2:8">
      <c r="B29" s="123">
        <v>9</v>
      </c>
      <c r="C29" s="124">
        <f t="shared" si="2"/>
        <v>208469.28274394112</v>
      </c>
      <c r="D29" s="139">
        <f>IF($C$17&lt;B29,0,DCF!$C$16)</f>
        <v>4.6574870890079501E-2</v>
      </c>
      <c r="E29" s="125">
        <f t="shared" si="0"/>
        <v>0.52158347292407414</v>
      </c>
      <c r="F29" s="126">
        <f t="shared" si="1"/>
        <v>108734.13249157557</v>
      </c>
      <c r="H29" s="121"/>
    </row>
    <row r="30" spans="2:8">
      <c r="B30" s="123">
        <v>10</v>
      </c>
      <c r="C30" s="124">
        <f t="shared" si="2"/>
        <v>218178.71267228766</v>
      </c>
      <c r="D30" s="139">
        <f>IF($C$17&lt;B30,0,DCF!$C$16)</f>
        <v>4.6574870890079501E-2</v>
      </c>
      <c r="E30" s="125">
        <f t="shared" si="0"/>
        <v>0.48519392830146441</v>
      </c>
      <c r="F30" s="126">
        <f t="shared" si="1"/>
        <v>105858.98667322374</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1931160.57503484</v>
      </c>
      <c r="D51" s="140">
        <f>Terminal_Growth</f>
        <v>0</v>
      </c>
      <c r="E51" s="125">
        <f>1/(1+Equity_Cost)^C17</f>
        <v>0.48519392830146441</v>
      </c>
      <c r="F51" s="126">
        <f t="shared" si="1"/>
        <v>936987.38558206894</v>
      </c>
      <c r="H51" s="121"/>
    </row>
    <row r="52" spans="1:8">
      <c r="C52" s="115"/>
      <c r="E52" s="128" t="s">
        <v>101</v>
      </c>
      <c r="F52" s="138">
        <f>SUM(F21:F51)</f>
        <v>2134789.7838004301</v>
      </c>
      <c r="H52" s="121"/>
    </row>
    <row r="53" spans="1:8">
      <c r="C53" s="115"/>
      <c r="H53" s="121"/>
    </row>
    <row r="54" spans="1:8" ht="13.15">
      <c r="B54" s="120" t="s">
        <v>130</v>
      </c>
      <c r="C54" s="137"/>
      <c r="D54" s="137"/>
      <c r="E54" s="118"/>
      <c r="F54" s="118"/>
      <c r="H54" s="121"/>
    </row>
    <row r="55" spans="1:8" ht="13.15">
      <c r="A55" s="134">
        <f>F52</f>
        <v>2134789.7838004301</v>
      </c>
      <c r="B55" s="132">
        <f>C78</f>
        <v>0</v>
      </c>
      <c r="C55" s="132">
        <f>C77</f>
        <v>0.02</v>
      </c>
      <c r="D55" s="132">
        <f>C76</f>
        <v>0.04</v>
      </c>
      <c r="E55" s="132">
        <f>C75</f>
        <v>0.06</v>
      </c>
      <c r="F55" s="132">
        <f>C74</f>
        <v>0.1</v>
      </c>
      <c r="H55" s="121"/>
    </row>
    <row r="56" spans="1:8" ht="13.15">
      <c r="A56" s="144">
        <v>5</v>
      </c>
      <c r="B56" s="124">
        <f t="dataTable" ref="B56:F61" dt2D="1" dtr="1" r1="C16" r2="C17"/>
        <v>1845219.7054879102</v>
      </c>
      <c r="C56" s="124">
        <v>1903732.5510763344</v>
      </c>
      <c r="D56" s="124">
        <v>1963949.9900522388</v>
      </c>
      <c r="E56" s="124">
        <v>2025946.9564576221</v>
      </c>
      <c r="F56" s="124">
        <v>2155590.8587459349</v>
      </c>
      <c r="H56" s="121"/>
    </row>
    <row r="57" spans="1:8" ht="13.15">
      <c r="A57" s="144">
        <v>10</v>
      </c>
      <c r="B57" s="124">
        <v>1845219.7054879104</v>
      </c>
      <c r="C57" s="124">
        <v>1961755.5456893134</v>
      </c>
      <c r="D57" s="124">
        <v>2089897.2573272167</v>
      </c>
      <c r="E57" s="124">
        <v>2231038.337726613</v>
      </c>
      <c r="F57" s="124">
        <v>2558688.7194257439</v>
      </c>
      <c r="H57" s="121"/>
    </row>
    <row r="58" spans="1:8" ht="13.15">
      <c r="A58" s="144">
        <v>15</v>
      </c>
      <c r="B58" s="124">
        <v>1845219.7054879102</v>
      </c>
      <c r="C58" s="124">
        <v>2035219.4517333307</v>
      </c>
      <c r="D58" s="124">
        <v>2257845.7291086544</v>
      </c>
      <c r="E58" s="124">
        <v>2519612.9100684039</v>
      </c>
      <c r="F58" s="124">
        <v>3193331.3278640071</v>
      </c>
      <c r="H58" s="121"/>
    </row>
    <row r="59" spans="1:8" ht="13.15">
      <c r="A59" s="145">
        <v>20</v>
      </c>
      <c r="B59" s="124">
        <v>1845219.7054879109</v>
      </c>
      <c r="C59" s="124">
        <v>2111806.7723140484</v>
      </c>
      <c r="D59" s="124">
        <v>2442814.7330809613</v>
      </c>
      <c r="E59" s="124">
        <v>2856451.9377206154</v>
      </c>
      <c r="F59" s="124">
        <v>4032363.9187480891</v>
      </c>
      <c r="H59" s="121"/>
    </row>
    <row r="60" spans="1:8" ht="13.15">
      <c r="A60" s="145">
        <v>25</v>
      </c>
      <c r="B60" s="124">
        <v>1845219.7054879111</v>
      </c>
      <c r="C60" s="124">
        <v>2184700.2252792544</v>
      </c>
      <c r="D60" s="124">
        <v>2629270.087203749</v>
      </c>
      <c r="E60" s="124">
        <v>3217694.2785887066</v>
      </c>
      <c r="F60" s="124">
        <v>5062122.4857187551</v>
      </c>
      <c r="H60" s="121"/>
    </row>
    <row r="61" spans="1:8" ht="13.15">
      <c r="A61" s="145">
        <v>30</v>
      </c>
      <c r="B61" s="124">
        <v>1845219.7054879111</v>
      </c>
      <c r="C61" s="124">
        <v>2250506.6958236932</v>
      </c>
      <c r="D61" s="124">
        <v>2807972.9740084624</v>
      </c>
      <c r="E61" s="124">
        <v>3587344.5103175333</v>
      </c>
      <c r="F61" s="124">
        <v>6278979.7610744182</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4.6297432042189586</v>
      </c>
      <c r="C65" s="125">
        <f>C12</f>
        <v>4.6297432042189586</v>
      </c>
      <c r="D65" s="125">
        <f>C12</f>
        <v>4.6297432042189586</v>
      </c>
      <c r="E65" s="142">
        <f>C12</f>
        <v>4.6297432042189586</v>
      </c>
      <c r="F65" s="125">
        <f>C12</f>
        <v>4.6297432042189586</v>
      </c>
      <c r="H65" s="121"/>
    </row>
    <row r="66" spans="1:8" ht="13.15">
      <c r="A66" s="144">
        <f t="shared" ref="A66:A71" si="3">A56</f>
        <v>5</v>
      </c>
      <c r="B66" s="125">
        <f t="shared" ref="B66:F71" si="4">(B56-$C$7+$C$8+$C$9)/Common_Shares*$C$3*Exchange_Rate</f>
        <v>4.6297432042189586</v>
      </c>
      <c r="C66" s="125">
        <f t="shared" si="4"/>
        <v>4.7498044706692903</v>
      </c>
      <c r="D66" s="125">
        <f t="shared" si="4"/>
        <v>4.8733633561266227</v>
      </c>
      <c r="E66" s="125">
        <f t="shared" si="4"/>
        <v>5.0005736161619252</v>
      </c>
      <c r="F66" s="125">
        <f t="shared" si="4"/>
        <v>5.2665871887333653</v>
      </c>
      <c r="H66" s="121"/>
    </row>
    <row r="67" spans="1:8" ht="13.15">
      <c r="A67" s="144">
        <f t="shared" si="3"/>
        <v>10</v>
      </c>
      <c r="B67" s="125">
        <f t="shared" si="4"/>
        <v>4.6297432042189595</v>
      </c>
      <c r="C67" s="125">
        <f t="shared" si="4"/>
        <v>4.8688606222958182</v>
      </c>
      <c r="D67" s="125">
        <f t="shared" si="4"/>
        <v>5.1317918817422639</v>
      </c>
      <c r="E67" s="125">
        <f t="shared" si="4"/>
        <v>5.4213962701549159</v>
      </c>
      <c r="F67" s="125">
        <f t="shared" si="4"/>
        <v>6.0936951369103287</v>
      </c>
      <c r="H67" s="121"/>
    </row>
    <row r="68" spans="1:8" ht="13.15">
      <c r="A68" s="144">
        <f t="shared" si="3"/>
        <v>15</v>
      </c>
      <c r="B68" s="125">
        <f t="shared" si="4"/>
        <v>4.6297432042189586</v>
      </c>
      <c r="C68" s="125">
        <f t="shared" si="4"/>
        <v>5.0195996524922535</v>
      </c>
      <c r="D68" s="125">
        <f t="shared" si="4"/>
        <v>5.4764017877842672</v>
      </c>
      <c r="E68" s="125">
        <f t="shared" si="4"/>
        <v>6.0135163127250619</v>
      </c>
      <c r="F68" s="125">
        <f t="shared" si="4"/>
        <v>7.3959048405435714</v>
      </c>
      <c r="H68" s="121"/>
    </row>
    <row r="69" spans="1:8" ht="13.15">
      <c r="A69" s="145">
        <f t="shared" si="3"/>
        <v>20</v>
      </c>
      <c r="B69" s="125">
        <f t="shared" si="4"/>
        <v>4.6297432042189595</v>
      </c>
      <c r="C69" s="125">
        <f t="shared" si="4"/>
        <v>5.1767475507099672</v>
      </c>
      <c r="D69" s="125">
        <f t="shared" si="4"/>
        <v>5.855935762719934</v>
      </c>
      <c r="E69" s="125">
        <f t="shared" si="4"/>
        <v>6.7046691671646572</v>
      </c>
      <c r="F69" s="125">
        <f t="shared" si="4"/>
        <v>9.1174980128054646</v>
      </c>
      <c r="H69" s="121"/>
    </row>
    <row r="70" spans="1:8" ht="13.15">
      <c r="A70" s="145">
        <f t="shared" si="3"/>
        <v>25</v>
      </c>
      <c r="B70" s="125">
        <f t="shared" si="4"/>
        <v>4.6297432042189604</v>
      </c>
      <c r="C70" s="125">
        <f t="shared" si="4"/>
        <v>5.3263160803367615</v>
      </c>
      <c r="D70" s="125">
        <f t="shared" si="4"/>
        <v>6.2385195479948647</v>
      </c>
      <c r="E70" s="125">
        <f t="shared" si="4"/>
        <v>7.4458946622495441</v>
      </c>
      <c r="F70" s="125">
        <f t="shared" si="4"/>
        <v>11.230437768943993</v>
      </c>
    </row>
    <row r="71" spans="1:8" ht="13.15">
      <c r="A71" s="145">
        <f t="shared" si="3"/>
        <v>30</v>
      </c>
      <c r="B71" s="125">
        <f t="shared" si="4"/>
        <v>4.6297432042189604</v>
      </c>
      <c r="C71" s="125">
        <f t="shared" si="4"/>
        <v>5.4613429810922911</v>
      </c>
      <c r="D71" s="125">
        <f t="shared" si="4"/>
        <v>6.605196210056719</v>
      </c>
      <c r="E71" s="125">
        <f t="shared" si="4"/>
        <v>8.2043721302091832</v>
      </c>
      <c r="F71" s="125">
        <f t="shared" si="4"/>
        <v>13.727281395318631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7.3959048405435714</v>
      </c>
      <c r="F74" s="143">
        <f>Scenarios!C58</f>
        <v>0.05</v>
      </c>
    </row>
    <row r="75" spans="1:8">
      <c r="B75" s="128" t="str">
        <f>Scenarios!B36</f>
        <v>Optimistic</v>
      </c>
      <c r="C75" s="143">
        <f>Scenarios!C38</f>
        <v>0.06</v>
      </c>
      <c r="D75" s="146">
        <f>Scenarios!C37</f>
        <v>10</v>
      </c>
      <c r="E75" s="136">
        <f>INDEX(B$65:F$71, MATCH(D75, A$65:A$71, 0), MATCH(C75, B$64:F$64, 0))</f>
        <v>5.4213962701549159</v>
      </c>
      <c r="F75" s="143">
        <f>Scenarios!C40*(1-F$74-F$78)</f>
        <v>0.18</v>
      </c>
      <c r="H75" s="121"/>
    </row>
    <row r="76" spans="1:8">
      <c r="B76" s="128" t="str">
        <f>Scenarios!B24</f>
        <v>Base</v>
      </c>
      <c r="C76" s="143">
        <f>Scenarios!C26</f>
        <v>0.04</v>
      </c>
      <c r="D76" s="146">
        <f>Scenarios!C25</f>
        <v>10</v>
      </c>
      <c r="E76" s="136">
        <f>INDEX(B$65:F$71, MATCH(D76, A$65:A$71, 0), MATCH(C76, B$64:F$64, 0))</f>
        <v>5.1317918817422639</v>
      </c>
      <c r="F76" s="143">
        <f>Scenarios!C28*(1-F$74-F$78)</f>
        <v>0.53999999999999992</v>
      </c>
      <c r="H76" s="121"/>
    </row>
    <row r="77" spans="1:8">
      <c r="B77" s="128" t="str">
        <f>Scenarios!B30</f>
        <v>Pessimistic</v>
      </c>
      <c r="C77" s="143">
        <f>Scenarios!C32</f>
        <v>0.02</v>
      </c>
      <c r="D77" s="146">
        <f>Scenarios!C31</f>
        <v>10</v>
      </c>
      <c r="E77" s="136">
        <f>INDEX(B$65:F$71, MATCH(D77, A$65:A$71, 0), MATCH(C77, B$64:F$64, 0))</f>
        <v>4.8688606222958182</v>
      </c>
      <c r="F77" s="143">
        <f>Scenarios!C34*(1-F$74-F$78)</f>
        <v>0.18</v>
      </c>
      <c r="H77" s="121"/>
    </row>
    <row r="78" spans="1:8">
      <c r="B78" s="128" t="str">
        <f>Scenarios!B48</f>
        <v>Devil's advocate</v>
      </c>
      <c r="C78" s="143">
        <f>Scenarios!C50</f>
        <v>0</v>
      </c>
      <c r="D78" s="146">
        <f>Scenarios!C49</f>
        <v>15</v>
      </c>
      <c r="E78" s="136">
        <f>INDEX(B$65:F$71, MATCH(D78, A$65:A$71, 0), MATCH(C78, B$64:F$64, 0))</f>
        <v>4.6297432042189586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62381.852672000001</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831758.03562666674</v>
      </c>
      <c r="D6" t="str">
        <f>Reporting_currency</f>
        <v>HKD</v>
      </c>
      <c r="E6" s="355"/>
      <c r="F6" s="355"/>
      <c r="H6" s="121"/>
    </row>
    <row r="7" spans="2:8" ht="13.15">
      <c r="B7" s="150" t="s">
        <v>445</v>
      </c>
      <c r="C7" s="112">
        <f>(C6*scaling_factor)/Common_Shares*Exchange_Rate</f>
        <v>1.706666666666667</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4.6574870890079501E-2</v>
      </c>
      <c r="H11" s="121"/>
    </row>
    <row r="12" spans="2:8" ht="13.25" customHeight="1">
      <c r="B12" s="119" t="s">
        <v>135</v>
      </c>
      <c r="C12" s="163">
        <f>Scenarios!C64</f>
        <v>10</v>
      </c>
      <c r="H12" s="121"/>
    </row>
    <row r="13" spans="2:8" ht="13.25" customHeight="1">
      <c r="B13" s="154" t="s">
        <v>107</v>
      </c>
      <c r="C13" s="141">
        <f>F47/Common_Shares*scaling_factor</f>
        <v>1.9744936353740918</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65287.279406082365</v>
      </c>
      <c r="D16" s="139">
        <f>IF($C$12&lt;B16,0,DDM!$C$11)</f>
        <v>4.6574870890079501E-2</v>
      </c>
      <c r="E16" s="125">
        <f t="shared" ref="E16:E45" si="0">IF($C$12&lt;B16,0,1/(1+Equity_Cost)^B16)</f>
        <v>0.93023255813953487</v>
      </c>
      <c r="F16" s="126">
        <f t="shared" ref="F16:F46" si="1">C16*E16</f>
        <v>60732.352935890573</v>
      </c>
      <c r="H16" s="121"/>
    </row>
    <row r="17" spans="2:8">
      <c r="B17" s="123">
        <v>2</v>
      </c>
      <c r="C17" s="124">
        <f t="shared" ref="C17:C45" si="2">IF(ROW()-ROW($C$16)&lt;$C$12, $C$16*(1+D17)^(ROW()-ROW($C$16)), 0)</f>
        <v>68328.026015185198</v>
      </c>
      <c r="D17" s="139">
        <f>IF($C$12&lt;B17,0,DDM!$C$11)</f>
        <v>4.6574870890079501E-2</v>
      </c>
      <c r="E17" s="125">
        <f t="shared" si="0"/>
        <v>0.86533261222282321</v>
      </c>
      <c r="F17" s="126">
        <f t="shared" si="1"/>
        <v>59126.469239749225</v>
      </c>
      <c r="H17" s="121"/>
    </row>
    <row r="18" spans="2:8">
      <c r="B18" s="123">
        <v>3</v>
      </c>
      <c r="C18" s="124">
        <f t="shared" si="2"/>
        <v>71510.395005016442</v>
      </c>
      <c r="D18" s="139">
        <f>IF($C$12&lt;B18,0,DDM!$C$11)</f>
        <v>4.6574870890079501E-2</v>
      </c>
      <c r="E18" s="125">
        <f t="shared" si="0"/>
        <v>0.80496056950960304</v>
      </c>
      <c r="F18" s="126">
        <f t="shared" si="1"/>
        <v>57563.04828909471</v>
      </c>
      <c r="H18" s="121"/>
    </row>
    <row r="19" spans="2:8">
      <c r="B19" s="123">
        <v>4</v>
      </c>
      <c r="C19" s="124">
        <f t="shared" si="2"/>
        <v>74840.982419673674</v>
      </c>
      <c r="D19" s="139">
        <f>IF($C$12&lt;B19,0,DDM!$C$11)</f>
        <v>4.6574870890079501E-2</v>
      </c>
      <c r="E19" s="125">
        <f t="shared" si="0"/>
        <v>0.7488005297763749</v>
      </c>
      <c r="F19" s="126">
        <f t="shared" si="1"/>
        <v>56040.967284836006</v>
      </c>
      <c r="H19" s="121"/>
    </row>
    <row r="20" spans="2:8">
      <c r="B20" s="123">
        <v>5</v>
      </c>
      <c r="C20" s="124">
        <f t="shared" si="2"/>
        <v>78326.691513156693</v>
      </c>
      <c r="D20" s="139">
        <f>IF($C$12&lt;B20,0,DDM!$C$11)</f>
        <v>4.6574870890079501E-2</v>
      </c>
      <c r="E20" s="125">
        <f t="shared" si="0"/>
        <v>0.69655863235011617</v>
      </c>
      <c r="F20" s="126">
        <f t="shared" si="1"/>
        <v>54559.133116913879</v>
      </c>
      <c r="H20" s="121"/>
    </row>
    <row r="21" spans="2:8">
      <c r="B21" s="123">
        <v>6</v>
      </c>
      <c r="C21" s="124">
        <f t="shared" si="2"/>
        <v>81974.747057629051</v>
      </c>
      <c r="D21" s="139">
        <f>IF($C$12&lt;B21,0,DDM!$C$11)</f>
        <v>4.6574870890079501E-2</v>
      </c>
      <c r="E21" s="125">
        <f t="shared" si="0"/>
        <v>0.64796151846522443</v>
      </c>
      <c r="F21" s="126">
        <f t="shared" si="1"/>
        <v>53116.481579264007</v>
      </c>
      <c r="H21" s="121"/>
    </row>
    <row r="22" spans="2:8">
      <c r="B22" s="123">
        <v>7</v>
      </c>
      <c r="C22" s="124">
        <f t="shared" si="2"/>
        <v>85792.710318085068</v>
      </c>
      <c r="D22" s="139">
        <f>IF($C$12&lt;B22,0,DDM!$C$11)</f>
        <v>4.6574870890079501E-2</v>
      </c>
      <c r="E22" s="125">
        <f t="shared" si="0"/>
        <v>0.60275490089788319</v>
      </c>
      <c r="F22" s="126">
        <f t="shared" si="1"/>
        <v>51711.97660553817</v>
      </c>
      <c r="H22" s="121"/>
    </row>
    <row r="23" spans="2:8">
      <c r="B23" s="123">
        <v>8</v>
      </c>
      <c r="C23" s="124">
        <f t="shared" si="2"/>
        <v>89788.494724459873</v>
      </c>
      <c r="D23" s="139">
        <f>IF($C$12&lt;B23,0,DDM!$C$11)</f>
        <v>4.6574870890079501E-2</v>
      </c>
      <c r="E23" s="125">
        <f t="shared" si="0"/>
        <v>0.56070223339337966</v>
      </c>
      <c r="F23" s="126">
        <f t="shared" si="1"/>
        <v>50344.609525034335</v>
      </c>
      <c r="H23" s="121"/>
    </row>
    <row r="24" spans="2:8">
      <c r="B24" s="123">
        <v>9</v>
      </c>
      <c r="C24" s="124">
        <f t="shared" si="2"/>
        <v>93970.382273666182</v>
      </c>
      <c r="D24" s="139">
        <f>IF($C$12&lt;B24,0,DDM!$C$11)</f>
        <v>4.6574870890079501E-2</v>
      </c>
      <c r="E24" s="125">
        <f t="shared" si="0"/>
        <v>0.52158347292407414</v>
      </c>
      <c r="F24" s="126">
        <f t="shared" si="1"/>
        <v>49013.39833830166</v>
      </c>
      <c r="H24" s="121"/>
    </row>
    <row r="25" spans="2:8">
      <c r="B25" s="123">
        <v>10</v>
      </c>
      <c r="C25" s="124">
        <f t="shared" si="2"/>
        <v>98347.040695553602</v>
      </c>
      <c r="D25" s="139">
        <f>IF($C$12&lt;B25,0,DDM!$C$11)</f>
        <v>4.6574870890079501E-2</v>
      </c>
      <c r="E25" s="125">
        <f t="shared" si="0"/>
        <v>0.48519392830146441</v>
      </c>
      <c r="F25" s="126">
        <f t="shared" si="1"/>
        <v>47717.387011899635</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870497.05874776491</v>
      </c>
      <c r="D46" s="140">
        <f>Terminal_Growth</f>
        <v>0</v>
      </c>
      <c r="E46" s="125">
        <f>1/(1+Equity_Cost)^C12</f>
        <v>0.48519392830146441</v>
      </c>
      <c r="F46" s="126">
        <f t="shared" si="1"/>
        <v>422359.88750869868</v>
      </c>
      <c r="H46" s="121"/>
    </row>
    <row r="47" spans="2:8">
      <c r="C47" s="115"/>
      <c r="E47" s="128" t="s">
        <v>101</v>
      </c>
      <c r="F47" s="138">
        <f>SUM(F16:F46)</f>
        <v>962285.7114352209</v>
      </c>
      <c r="H47" s="121"/>
    </row>
    <row r="48" spans="2:8">
      <c r="C48" s="115"/>
      <c r="H48" s="121"/>
    </row>
    <row r="49" spans="1:8" ht="13.15">
      <c r="B49" s="120" t="s">
        <v>130</v>
      </c>
      <c r="C49" s="137"/>
      <c r="D49" s="137"/>
      <c r="E49" s="118"/>
      <c r="F49" s="118"/>
      <c r="H49" s="121"/>
    </row>
    <row r="50" spans="1:8" ht="13.15">
      <c r="A50" s="134">
        <f>F47</f>
        <v>962285.7114352209</v>
      </c>
      <c r="B50" s="132">
        <f>C73</f>
        <v>0</v>
      </c>
      <c r="C50" s="132">
        <f>C72</f>
        <v>0.02</v>
      </c>
      <c r="D50" s="132">
        <f>C71</f>
        <v>0.04</v>
      </c>
      <c r="E50" s="132">
        <f>C70</f>
        <v>0.06</v>
      </c>
      <c r="F50" s="132">
        <f>C69</f>
        <v>0.1</v>
      </c>
      <c r="H50" s="121"/>
    </row>
    <row r="51" spans="1:8" ht="13.15">
      <c r="A51" s="144">
        <v>5</v>
      </c>
      <c r="B51" s="124">
        <f t="dataTable" ref="B51:F56" dt2D="1" dtr="1" r1="C11" r2="C12"/>
        <v>831758.03562666674</v>
      </c>
      <c r="C51" s="124">
        <v>858133.50157297554</v>
      </c>
      <c r="D51" s="124">
        <v>885277.33631747996</v>
      </c>
      <c r="E51" s="124">
        <v>913223.31740514631</v>
      </c>
      <c r="F51" s="124">
        <v>971662.08064704936</v>
      </c>
      <c r="H51" s="121"/>
    </row>
    <row r="52" spans="1:8" ht="13.15">
      <c r="A52" s="144">
        <v>10</v>
      </c>
      <c r="B52" s="124">
        <v>831758.03562666685</v>
      </c>
      <c r="C52" s="124">
        <v>884288.16048808116</v>
      </c>
      <c r="D52" s="124">
        <v>942049.79073557456</v>
      </c>
      <c r="E52" s="124">
        <v>1005671.0643595662</v>
      </c>
      <c r="F52" s="124">
        <v>1153363.9580804987</v>
      </c>
      <c r="H52" s="121"/>
    </row>
    <row r="53" spans="1:8" ht="13.15">
      <c r="A53" s="144">
        <v>15</v>
      </c>
      <c r="B53" s="124">
        <v>831758.03562666685</v>
      </c>
      <c r="C53" s="124">
        <v>917403.0215525399</v>
      </c>
      <c r="D53" s="124">
        <v>1017754.8629066374</v>
      </c>
      <c r="E53" s="124">
        <v>1135750.0022274808</v>
      </c>
      <c r="F53" s="124">
        <v>1439437.7994499826</v>
      </c>
      <c r="H53" s="121"/>
    </row>
    <row r="54" spans="1:8" ht="13.15">
      <c r="A54" s="145">
        <v>20</v>
      </c>
      <c r="B54" s="124">
        <v>831758.03562666685</v>
      </c>
      <c r="C54" s="124">
        <v>951925.80446596188</v>
      </c>
      <c r="D54" s="124">
        <v>1101132.1729029811</v>
      </c>
      <c r="E54" s="124">
        <v>1287584.8038660842</v>
      </c>
      <c r="F54" s="124">
        <v>1817643.2226551105</v>
      </c>
      <c r="H54" s="121"/>
    </row>
    <row r="55" spans="1:8" ht="13.15">
      <c r="A55" s="145">
        <v>25</v>
      </c>
      <c r="B55" s="124">
        <v>831758.03562666697</v>
      </c>
      <c r="C55" s="124">
        <v>984783.52599801798</v>
      </c>
      <c r="D55" s="124">
        <v>1185179.4755716014</v>
      </c>
      <c r="E55" s="124">
        <v>1450419.7329165381</v>
      </c>
      <c r="F55" s="124">
        <v>2281820.9898260799</v>
      </c>
      <c r="H55" s="121"/>
    </row>
    <row r="56" spans="1:8" ht="13.15">
      <c r="A56" s="145">
        <v>30</v>
      </c>
      <c r="B56" s="124">
        <v>831758.03562666709</v>
      </c>
      <c r="C56" s="124">
        <v>1014446.6932126199</v>
      </c>
      <c r="D56" s="124">
        <v>1265732.2474975877</v>
      </c>
      <c r="E56" s="124">
        <v>1617044.6338415002</v>
      </c>
      <c r="F56" s="124">
        <v>2830336.0604042024</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1.706666666666667</v>
      </c>
      <c r="C60" s="125">
        <f>C7</f>
        <v>1.706666666666667</v>
      </c>
      <c r="D60" s="125">
        <f>C7</f>
        <v>1.706666666666667</v>
      </c>
      <c r="E60" s="142">
        <f>C7</f>
        <v>1.706666666666667</v>
      </c>
      <c r="F60" s="125">
        <f>C7</f>
        <v>1.706666666666667</v>
      </c>
      <c r="H60" s="121"/>
    </row>
    <row r="61" spans="1:8" ht="13.15">
      <c r="A61" s="144">
        <f t="shared" ref="A61:A66" si="3">A51</f>
        <v>5</v>
      </c>
      <c r="B61" s="125">
        <f t="shared" ref="B61:F66" si="4">B51/Common_Shares*$C$3*Exchange_Rate</f>
        <v>1.7066666666666668</v>
      </c>
      <c r="C61" s="125">
        <f t="shared" si="4"/>
        <v>1.7607859256581984</v>
      </c>
      <c r="D61" s="125">
        <f t="shared" si="4"/>
        <v>1.8164817842849821</v>
      </c>
      <c r="E61" s="125">
        <f t="shared" si="4"/>
        <v>1.8738235499749079</v>
      </c>
      <c r="F61" s="125">
        <f t="shared" si="4"/>
        <v>1.9937328084301487</v>
      </c>
      <c r="H61" s="121"/>
    </row>
    <row r="62" spans="1:8" ht="13.15">
      <c r="A62" s="144">
        <f t="shared" si="3"/>
        <v>10</v>
      </c>
      <c r="B62" s="125">
        <f t="shared" si="4"/>
        <v>1.706666666666667</v>
      </c>
      <c r="C62" s="125">
        <f t="shared" si="4"/>
        <v>1.814452115387061</v>
      </c>
      <c r="D62" s="125">
        <f t="shared" si="4"/>
        <v>1.9329719790171729</v>
      </c>
      <c r="E62" s="125">
        <f t="shared" si="4"/>
        <v>2.0635151205729243</v>
      </c>
      <c r="F62" s="125">
        <f t="shared" si="4"/>
        <v>2.3665630357363145</v>
      </c>
      <c r="H62" s="121"/>
    </row>
    <row r="63" spans="1:8" ht="13.15">
      <c r="A63" s="144">
        <f t="shared" si="3"/>
        <v>15</v>
      </c>
      <c r="B63" s="125">
        <f t="shared" si="4"/>
        <v>1.706666666666667</v>
      </c>
      <c r="C63" s="125">
        <f t="shared" si="4"/>
        <v>1.8823997962380541</v>
      </c>
      <c r="D63" s="125">
        <f t="shared" si="4"/>
        <v>2.0883096104409584</v>
      </c>
      <c r="E63" s="125">
        <f t="shared" si="4"/>
        <v>2.3304213334204054</v>
      </c>
      <c r="F63" s="125">
        <f t="shared" si="4"/>
        <v>2.9535518814800641</v>
      </c>
      <c r="H63" s="121"/>
    </row>
    <row r="64" spans="1:8" ht="13.15">
      <c r="A64" s="145">
        <f t="shared" si="3"/>
        <v>20</v>
      </c>
      <c r="B64" s="125">
        <f t="shared" si="4"/>
        <v>1.706666666666667</v>
      </c>
      <c r="C64" s="125">
        <f t="shared" si="4"/>
        <v>1.9532363620603679</v>
      </c>
      <c r="D64" s="125">
        <f t="shared" si="4"/>
        <v>2.2593897438837125</v>
      </c>
      <c r="E64" s="125">
        <f t="shared" si="4"/>
        <v>2.6419679415650617</v>
      </c>
      <c r="F64" s="125">
        <f t="shared" si="4"/>
        <v>3.729583565322395</v>
      </c>
      <c r="H64" s="121"/>
    </row>
    <row r="65" spans="1:8" ht="13.15">
      <c r="A65" s="145">
        <f t="shared" si="3"/>
        <v>25</v>
      </c>
      <c r="B65" s="125">
        <f t="shared" si="4"/>
        <v>1.7066666666666672</v>
      </c>
      <c r="C65" s="125">
        <f t="shared" si="4"/>
        <v>2.0206564237603137</v>
      </c>
      <c r="D65" s="125">
        <f t="shared" si="4"/>
        <v>2.4318446210761007</v>
      </c>
      <c r="E65" s="125">
        <f t="shared" si="4"/>
        <v>2.9760854777666337</v>
      </c>
      <c r="F65" s="125">
        <f t="shared" si="4"/>
        <v>4.6820200777530729</v>
      </c>
    </row>
    <row r="66" spans="1:8" ht="13.15">
      <c r="A66" s="145">
        <f t="shared" si="3"/>
        <v>30</v>
      </c>
      <c r="B66" s="125">
        <f t="shared" si="4"/>
        <v>1.7066666666666674</v>
      </c>
      <c r="C66" s="125">
        <f t="shared" si="4"/>
        <v>2.0815216472321598</v>
      </c>
      <c r="D66" s="125">
        <f t="shared" si="4"/>
        <v>2.5971291447778824</v>
      </c>
      <c r="E66" s="125">
        <f t="shared" si="4"/>
        <v>3.3179795768492051</v>
      </c>
      <c r="F66" s="125">
        <f t="shared" si="4"/>
        <v>5.8075065137388604</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2.9535518814800641</v>
      </c>
      <c r="F69" s="143">
        <f>Scenarios!C58</f>
        <v>0.05</v>
      </c>
    </row>
    <row r="70" spans="1:8">
      <c r="B70" s="128" t="str">
        <f>Scenarios!B36</f>
        <v>Optimistic</v>
      </c>
      <c r="C70" s="143">
        <f>Scenarios!C38</f>
        <v>0.06</v>
      </c>
      <c r="D70" s="146">
        <f>Scenarios!C37</f>
        <v>10</v>
      </c>
      <c r="E70" s="136">
        <f>INDEX(B$60:F$66, MATCH(D70, A$60:A$66, 0), MATCH(C70, B$59:F$59, 0))</f>
        <v>2.0635151205729243</v>
      </c>
      <c r="F70" s="143">
        <f>Scenarios!C40*(1-F$69-F$73)</f>
        <v>0.18</v>
      </c>
      <c r="H70" s="121"/>
    </row>
    <row r="71" spans="1:8">
      <c r="B71" s="128" t="str">
        <f>Scenarios!B24</f>
        <v>Base</v>
      </c>
      <c r="C71" s="143">
        <f>Scenarios!C26</f>
        <v>0.04</v>
      </c>
      <c r="D71" s="146">
        <f>Scenarios!C25</f>
        <v>10</v>
      </c>
      <c r="E71" s="136">
        <f>INDEX(B$60:F$66, MATCH(D71, A$60:A$66, 0), MATCH(C71, B$59:F$59, 0))</f>
        <v>1.9329719790171729</v>
      </c>
      <c r="F71" s="143">
        <f>Scenarios!C28*(1-F$69-F$73)</f>
        <v>0.53999999999999992</v>
      </c>
      <c r="H71" s="121"/>
    </row>
    <row r="72" spans="1:8">
      <c r="B72" s="128" t="str">
        <f>Scenarios!B30</f>
        <v>Pessimistic</v>
      </c>
      <c r="C72" s="143">
        <f>Scenarios!C32</f>
        <v>0.02</v>
      </c>
      <c r="D72" s="146">
        <f>Scenarios!C31</f>
        <v>10</v>
      </c>
      <c r="E72" s="136">
        <f>INDEX(B$60:F$66, MATCH(D72, A$60:A$66, 0), MATCH(C72, B$59:F$59, 0))</f>
        <v>1.814452115387061</v>
      </c>
      <c r="F72" s="143">
        <f>Scenarios!C34*(1-F$69-F$73)</f>
        <v>0.18</v>
      </c>
      <c r="H72" s="121"/>
    </row>
    <row r="73" spans="1:8">
      <c r="B73" s="128" t="str">
        <f>Scenarios!B48</f>
        <v>Devil's advocate</v>
      </c>
      <c r="C73" s="143">
        <f>Scenarios!C50</f>
        <v>0</v>
      </c>
      <c r="D73" s="146">
        <f>Scenarios!C49</f>
        <v>15</v>
      </c>
      <c r="E73" s="136">
        <f>INDEX(B$60:F$66, MATCH(D73, A$60:A$66, 0), MATCH(C73, B$59:F$59, 0))</f>
        <v>1.706666666666667</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-3.59</v>
      </c>
    </row>
    <row r="4" spans="2:9">
      <c r="B4" s="153" t="s">
        <v>147</v>
      </c>
      <c r="C4" s="121">
        <v>3</v>
      </c>
      <c r="D4" s="121"/>
      <c r="E4" s="156" t="s">
        <v>151</v>
      </c>
      <c r="F4" s="156"/>
      <c r="H4" s="269">
        <v>1</v>
      </c>
      <c r="I4" s="125">
        <f t="shared" ref="I4:I13" si="0">IF(ROW()-3 &lt; $C$76, $C$77, IF(ROW()-3 = $C$76, $C$77 + $C$60, ""))</f>
        <v>0.128</v>
      </c>
    </row>
    <row r="5" spans="2:9">
      <c r="H5" s="269">
        <v>2</v>
      </c>
      <c r="I5" s="125">
        <f t="shared" si="0"/>
        <v>0.128</v>
      </c>
    </row>
    <row r="6" spans="2:9" ht="13.15">
      <c r="B6" s="160" t="s">
        <v>96</v>
      </c>
      <c r="C6" s="107">
        <f>DCF!C3</f>
        <v>1000</v>
      </c>
      <c r="E6" s="100" t="s">
        <v>280</v>
      </c>
      <c r="F6" s="100"/>
      <c r="H6" s="269">
        <v>3</v>
      </c>
      <c r="I6" s="125">
        <f t="shared" si="0"/>
        <v>5.3526962590200808</v>
      </c>
    </row>
    <row r="7" spans="2:9" ht="12.75" customHeight="1">
      <c r="B7" s="100" t="s">
        <v>276</v>
      </c>
      <c r="C7" s="115">
        <f>Normalized_FCF!G8</f>
        <v>354022</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7"/>
      <c r="H7" s="269">
        <v>4</v>
      </c>
      <c r="I7" s="125" t="str">
        <f t="shared" si="0"/>
        <v/>
      </c>
    </row>
    <row r="8" spans="2:9">
      <c r="B8" s="100" t="s">
        <v>66</v>
      </c>
      <c r="C8" s="115">
        <f>Normalized_FCF!G19</f>
        <v>194373</v>
      </c>
      <c r="D8" t="str">
        <f>Reporting_currency</f>
        <v>HKD</v>
      </c>
      <c r="E8" s="357"/>
      <c r="F8" s="357"/>
      <c r="H8" s="269">
        <v>5</v>
      </c>
      <c r="I8" s="125" t="str">
        <f t="shared" si="0"/>
        <v/>
      </c>
    </row>
    <row r="9" spans="2:9">
      <c r="B9" s="100" t="s">
        <v>57</v>
      </c>
      <c r="C9" s="115">
        <f>Normalized_FCF!C19</f>
        <v>138391.47791159325</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1.2656410607081225E-2</v>
      </c>
      <c r="D12" s="159"/>
      <c r="E12" s="357"/>
      <c r="F12" s="357"/>
      <c r="H12" s="269">
        <v>9</v>
      </c>
      <c r="I12" s="125" t="str">
        <f t="shared" si="0"/>
        <v/>
      </c>
    </row>
    <row r="13" spans="2:9">
      <c r="B13" s="149" t="s">
        <v>153</v>
      </c>
      <c r="C13" s="159">
        <f ca="1">(Normalized_FCF!G8/OFFSET(Normalized_FCF!G8, 0, $C$4))^(1/$C$4) - 1</f>
        <v>3.5687612277801151E-2</v>
      </c>
      <c r="E13" s="357"/>
      <c r="F13" s="357"/>
      <c r="H13" s="269">
        <v>10</v>
      </c>
      <c r="I13" s="125" t="str">
        <f t="shared" si="0"/>
        <v/>
      </c>
    </row>
    <row r="14" spans="2:9">
      <c r="B14" s="100" t="s">
        <v>66</v>
      </c>
      <c r="C14" s="159">
        <f ca="1">(Normalized_FCF!G19/OFFSET(Normalized_FCF!G19, 0, $C$4))^(1/$C$4) - 1</f>
        <v>1.5957752466103425E-2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3.59</v>
      </c>
      <c r="D21" t="str">
        <f>Market_currency</f>
        <v>HKD</v>
      </c>
      <c r="E21" s="358"/>
      <c r="F21" s="358"/>
    </row>
    <row r="22" spans="2:6">
      <c r="B22" s="100" t="s">
        <v>279</v>
      </c>
      <c r="C22" s="161">
        <f>IF(valuation_method="DCF",DCF!C12,DDM!C7)</f>
        <v>4.6297432042189586</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0.04</v>
      </c>
      <c r="D26" s="165"/>
      <c r="E26" s="356"/>
      <c r="F26" s="356"/>
    </row>
    <row r="27" spans="2:6">
      <c r="B27" s="100" t="s">
        <v>114</v>
      </c>
      <c r="C27" s="161">
        <f>IF(valuation_method="DCF",DCF!E76,DDM!E71)</f>
        <v>5.1317918817422639</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4.8688606222958182</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0.06</v>
      </c>
      <c r="D38" s="165"/>
      <c r="E38" s="356"/>
      <c r="F38" s="356"/>
    </row>
    <row r="39" spans="2:6">
      <c r="B39" s="100" t="s">
        <v>114</v>
      </c>
      <c r="C39" s="161">
        <f>IF(valuation_method="DCF",DCF!E75,DDM!E70)</f>
        <v>5.4213962701549159</v>
      </c>
      <c r="D39" t="str">
        <f>Market_currency</f>
        <v>HKD</v>
      </c>
      <c r="E39" s="356"/>
      <c r="F39" s="356"/>
    </row>
    <row r="40" spans="2:6">
      <c r="B40" s="100" t="s">
        <v>148</v>
      </c>
      <c r="C40" s="168">
        <f>1-C28-C34</f>
        <v>0.2</v>
      </c>
      <c r="D40" s="166"/>
      <c r="E40" s="356"/>
      <c r="F40" s="356"/>
    </row>
    <row r="42" spans="2:6" ht="13.15">
      <c r="B42" s="100" t="s">
        <v>121</v>
      </c>
      <c r="C42" s="155">
        <f>C27*C28+C33*C34+C39*C40</f>
        <v>5.1371265075355055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4.6297432042189586</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0.1</v>
      </c>
      <c r="D56" s="165"/>
      <c r="E56" s="356"/>
      <c r="F56" s="356"/>
    </row>
    <row r="57" spans="2:6">
      <c r="B57" s="100" t="s">
        <v>114</v>
      </c>
      <c r="C57" s="161">
        <f>IF(valuation_method="DCF",DCF!E74,DDM!E69)</f>
        <v>7.3959048405435714</v>
      </c>
      <c r="D57" t="str">
        <f>Market_currency</f>
        <v>HKD</v>
      </c>
      <c r="E57" s="356"/>
      <c r="F57" s="356"/>
    </row>
    <row r="58" spans="2:6">
      <c r="B58" s="100" t="s">
        <v>148</v>
      </c>
      <c r="C58" s="166">
        <v>0.05</v>
      </c>
      <c r="D58" s="166"/>
      <c r="E58" s="356"/>
      <c r="F58" s="356"/>
    </row>
    <row r="60" spans="2:6" ht="13.15">
      <c r="B60" s="100" t="s">
        <v>121</v>
      </c>
      <c r="C60" s="155">
        <f>C51*C52+C57*C58+C42*(1-C52-C58)</f>
        <v>5.2246962590200807</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4.6574870890079501E-2</v>
      </c>
      <c r="D65" s="152"/>
      <c r="E65" s="273" t="s">
        <v>313</v>
      </c>
    </row>
    <row r="66" spans="2:6">
      <c r="B66" s="100" t="s">
        <v>103</v>
      </c>
      <c r="C66" s="161">
        <f>IF(valuation_method="DCF",DCF!C18,DDM!C13)</f>
        <v>5.2239059043697216</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0.16145934558016128</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0.128</v>
      </c>
      <c r="D77" t="str">
        <f>Market_currency</f>
        <v>HKD</v>
      </c>
    </row>
    <row r="79" spans="2:6" ht="13.15">
      <c r="B79" s="109" t="s">
        <v>302</v>
      </c>
    </row>
    <row r="80" spans="2:6">
      <c r="B80" s="149" t="s">
        <v>300</v>
      </c>
      <c r="C80" s="168">
        <f>Thesis!F29</f>
        <v>0.3674</v>
      </c>
    </row>
    <row r="81" spans="2:8">
      <c r="B81" s="100" t="s">
        <v>122</v>
      </c>
      <c r="C81" s="117">
        <f>PV(C80, C76, -C77, 0)</f>
        <v>0.21212919287870191</v>
      </c>
      <c r="D81" s="117"/>
      <c r="E81" s="100"/>
      <c r="F81" s="100"/>
    </row>
    <row r="82" spans="2:8">
      <c r="B82" s="100" t="s">
        <v>123</v>
      </c>
      <c r="C82" s="117">
        <f>C60/(1+C80)^C76</f>
        <v>2.0434984886306262</v>
      </c>
      <c r="D82" s="117"/>
    </row>
    <row r="83" spans="2:8" ht="13.15">
      <c r="B83" s="111" t="s">
        <v>102</v>
      </c>
      <c r="C83" s="112">
        <f>C81+C82</f>
        <v>2.2556276815093281</v>
      </c>
      <c r="D83" t="str">
        <f>Market_currency</f>
        <v>HKD</v>
      </c>
      <c r="E83" s="147" t="s">
        <v>127</v>
      </c>
      <c r="F83" s="319">
        <f>(1-C83/C60)</f>
        <v>0.56827582510368113</v>
      </c>
    </row>
    <row r="84" spans="2:8">
      <c r="E84" s="121"/>
    </row>
    <row r="85" spans="2:8" ht="13.15">
      <c r="B85" s="109" t="s">
        <v>303</v>
      </c>
    </row>
    <row r="86" spans="2:8">
      <c r="B86" s="149" t="s">
        <v>301</v>
      </c>
      <c r="C86" s="117">
        <f>Market_Price</f>
        <v>3.59</v>
      </c>
      <c r="D86" t="str">
        <f>Market_currency</f>
        <v>HKD</v>
      </c>
    </row>
    <row r="87" spans="2:8" ht="13.15">
      <c r="B87" s="100" t="s">
        <v>299</v>
      </c>
      <c r="C87" s="259">
        <f ca="1">IRR(OFFSET($I$3, 0, 0, $C$76 + 1, 1))</f>
        <v>0.16494017618254819</v>
      </c>
    </row>
    <row r="88" spans="2:8">
      <c r="B88" s="100"/>
    </row>
    <row r="89" spans="2:8" ht="13.15">
      <c r="B89" s="109" t="s">
        <v>414</v>
      </c>
    </row>
    <row r="90" spans="2:8">
      <c r="B90" s="149" t="s">
        <v>415</v>
      </c>
      <c r="C90" s="168">
        <f>Thesis!F30</f>
        <v>0.21740000000000001</v>
      </c>
    </row>
    <row r="91" spans="2:8">
      <c r="B91" s="100" t="s">
        <v>122</v>
      </c>
      <c r="C91" s="117">
        <f>PV(C90, C76, -C77, 0)</f>
        <v>0.2624513054547119</v>
      </c>
      <c r="D91" s="117"/>
      <c r="E91" s="100"/>
      <c r="F91" s="100"/>
    </row>
    <row r="92" spans="2:8">
      <c r="B92" s="100" t="s">
        <v>123</v>
      </c>
      <c r="C92" s="117">
        <f>C60/(1+C90)^C76</f>
        <v>2.8957506018897798</v>
      </c>
      <c r="D92" s="117"/>
    </row>
    <row r="93" spans="2:8" ht="13.15">
      <c r="B93" s="111" t="s">
        <v>102</v>
      </c>
      <c r="C93" s="112">
        <f>C91+C92</f>
        <v>3.1582019073444916</v>
      </c>
      <c r="D93" t="str">
        <f>Market_currency</f>
        <v>HKD</v>
      </c>
      <c r="E93" s="147" t="s">
        <v>127</v>
      </c>
      <c r="F93" s="319">
        <f>(1-C93/C60)</f>
        <v>0.39552430404120198</v>
      </c>
    </row>
    <row r="95" spans="2:8" ht="13.15">
      <c r="B95" s="109" t="s">
        <v>398</v>
      </c>
      <c r="G95" s="2"/>
      <c r="H95" s="306"/>
    </row>
    <row r="96" spans="2:8">
      <c r="B96" s="149" t="s">
        <v>404</v>
      </c>
      <c r="C96" s="135">
        <f>Thesis!F31</f>
        <v>7.4999999999999997E-2</v>
      </c>
      <c r="G96" s="2"/>
      <c r="H96" s="306"/>
    </row>
    <row r="97" spans="2:8">
      <c r="B97" s="100" t="s">
        <v>122</v>
      </c>
      <c r="C97" s="117">
        <f>PV(C96, C76, -C77, 0)</f>
        <v>0.33286729470361087</v>
      </c>
      <c r="D97" s="117"/>
      <c r="G97" s="2"/>
      <c r="H97" s="306"/>
    </row>
    <row r="98" spans="2:8">
      <c r="B98" s="100" t="s">
        <v>123</v>
      </c>
      <c r="C98" s="117">
        <f>C60/(1+C96)^C76</f>
        <v>4.2056744761754965</v>
      </c>
      <c r="D98" s="117"/>
      <c r="G98" s="2"/>
      <c r="H98" s="306"/>
    </row>
    <row r="99" spans="2:8" ht="13.15">
      <c r="B99" s="111" t="s">
        <v>399</v>
      </c>
      <c r="C99" s="112">
        <f>C97+C98</f>
        <v>4.5385417708791076</v>
      </c>
      <c r="D99" t="s">
        <v>397</v>
      </c>
      <c r="E99" s="147" t="s">
        <v>127</v>
      </c>
      <c r="F99" s="319">
        <f>(1-C99/C60)</f>
        <v>0.13132906759055596</v>
      </c>
    </row>
    <row r="100" spans="2:8">
      <c r="B100" s="100"/>
    </row>
    <row r="101" spans="2:8" ht="13.15">
      <c r="B101" s="109" t="s">
        <v>423</v>
      </c>
    </row>
    <row r="102" spans="2:8">
      <c r="B102" s="149" t="s">
        <v>422</v>
      </c>
      <c r="C102" s="135">
        <f>Thesis!F32</f>
        <v>0.1174</v>
      </c>
    </row>
    <row r="103" spans="2:8">
      <c r="B103" s="100" t="s">
        <v>122</v>
      </c>
      <c r="C103" s="117">
        <f>PV(C102, C76, -C77, 0)</f>
        <v>0.30881320012014707</v>
      </c>
      <c r="D103" s="117"/>
    </row>
    <row r="104" spans="2:8">
      <c r="B104" s="100" t="s">
        <v>123</v>
      </c>
      <c r="C104" s="117">
        <f>C60/(1+C102)^C76</f>
        <v>3.7448553439982017</v>
      </c>
      <c r="D104" s="117"/>
    </row>
    <row r="105" spans="2:8" ht="13.15">
      <c r="B105" s="111" t="s">
        <v>399</v>
      </c>
      <c r="C105" s="112">
        <f>C103+C104</f>
        <v>4.0536685441183486</v>
      </c>
      <c r="D105" t="s">
        <v>397</v>
      </c>
      <c r="E105" s="147" t="s">
        <v>127</v>
      </c>
      <c r="F105" s="319">
        <f>(1-C105/C66)</f>
        <v>0.22401578084943807</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