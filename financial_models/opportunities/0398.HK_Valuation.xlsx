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C50EDE-AD02-49B3-979F-96E8B3CD010C}" xr6:coauthVersionLast="47" xr6:coauthVersionMax="47" xr10:uidLastSave="{00000000-0000-0000-0000-000000000000}"/>
  <bookViews>
    <workbookView xWindow="2205" yWindow="2205" windowWidth="12690" windowHeight="7642" firstSheet="1" activeTab="1"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<sst xmlns="http://schemas.openxmlformats.org/spreadsheetml/2006/main" count="836" uniqueCount="559">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</sst>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3.37</v>
      </c>
      <c r="D12" s="50"/>
      <c r="E12" s="48"/>
    </row>
    <row r="13" spans="1:10">
      <c r="B13" s="1" t="s">
        <v>485</v>
      </c>
      <c r="C13" s="32" t="str">
        <f>Market_currency</f>
        <v>HKD</v>
      </c>
      <c r="D13" s="48"/>
      <c r="E13" s="5"/>
    </row>
    <row r="14" spans="1:10">
      <c r="B14" s="4" t="s">
        <v>486</v>
      </c>
      <c r="C14" s="35">
        <f>投资主题!C12*Common_Shares/1000000</f>
        <v>1642.3972148800001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0.19052491213845579</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4" t="s">
        <v>516</v>
      </c>
      <c r="C116" s="374"/>
      <c r="D116" s="374"/>
      <c r="E116" s="374"/>
      <c r="F116" s="374"/>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F2" sqref="F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555</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551</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552</v>
      </c>
      <c r="D11" s="49" t="s">
        <v>553</v>
      </c>
      <c r="E11" s="34"/>
    </row>
    <row r="12" spans="1:10">
      <c r="B12" s="4" t="s">
        <v>463</v>
      </c>
      <c r="C12" s="50">
        <v>3.37</v>
      </c>
      <c r="D12" s="50"/>
      <c r="E12" s="48"/>
    </row>
    <row r="13" spans="1:10">
      <c r="B13" s="1" t="s">
        <v>464</v>
      </c>
      <c r="C13" s="48" t="s">
        <v>377</v>
      </c>
      <c r="D13" s="48"/>
      <c r="E13" s="5"/>
    </row>
    <row r="14" spans="1:10">
      <c r="B14" s="4" t="s">
        <v>465</v>
      </c>
      <c r="C14" s="35">
        <f>Thesis!C12*Common_Shares/1000000</f>
        <v>1642.3972148800001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554</v>
      </c>
      <c r="D22" s="1" t="str">
        <f>IF(valuation_method="DDM","Terminal Value Discount Rate","")</f>
        <v/>
      </c>
      <c r="E22" s="313"/>
    </row>
    <row r="23" spans="2:6">
      <c r="B23" s="1" t="s">
        <v>410</v>
      </c>
      <c r="C23" s="262" t="s">
        <v>555</v>
      </c>
    </row>
    <row r="24" spans="2:6">
      <c r="B24" s="1" t="s">
        <v>411</v>
      </c>
      <c r="C24" s="262" t="s">
        <v>555</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0.19052491213845579</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8.4261880535217951E-2</v>
      </c>
      <c r="F69" s="314"/>
    </row>
    <row r="70" spans="1:6">
      <c r="B70" s="227" t="s">
        <v>434</v>
      </c>
      <c r="C70" s="92">
        <f>Normalized_FCF!C94</f>
        <v>3.7982195845697328E-2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4" t="s">
        <v>352</v>
      </c>
      <c r="C116" s="374"/>
      <c r="D116" s="374"/>
      <c r="E116" s="374"/>
      <c r="F116" s="374"/>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375</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-3.37</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3.37</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3.37</v>
      </c>
      <c r="D86" t="str">
        <f>Market_currency</f>
        <v>HKD</v>
      </c>
    </row>
    <row r="87" spans="2:8" ht="13.15">
      <c r="B87" s="100" t="s">
        <v>293</v>
      </c>
      <c r="C87" s="237">
        <f ca="1">IRR(OFFSET($I$3, 0, 0, $C$76 + 1, 1))</f>
        <v>0.19052491213845579</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