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7F0B64-6E4B-47A0-B255-3EB029B2BEAD}"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I94" i="2"/>
  <c r="F71" i="4"/>
  <c r="M94" i="2"/>
  <c r="H94" i="2"/>
  <c r="O94" i="2"/>
  <c r="Q92" i="2"/>
  <c r="Q94" i="2"/>
  <c r="N94" i="2"/>
  <c r="P92" i="2"/>
  <c r="P94" i="2"/>
  <c r="J94" i="2"/>
  <c r="K94" i="2"/>
  <c r="L94" i="2"/>
  <c r="M119" i="2"/>
  <c r="P121" i="2"/>
  <c r="P118"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<sst xmlns="http://schemas.openxmlformats.org/spreadsheetml/2006/main" count="687" uniqueCount="466">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</sst>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3.41</v>
      </c>
      <c r="D12" s="50"/>
      <c r="E12" s="48"/>
    </row>
    <row r="13" spans="1:10">
      <c r="B13" s="1" t="s">
        <v>412</v>
      </c>
      <c r="C13" s="48" t="s">
        <v>393</v>
      </c>
      <c r="D13" s="48"/>
      <c r="E13" s="5"/>
    </row>
    <row r="14" spans="1:10">
      <c r="B14" s="4" t="s">
        <v>416</v>
      </c>
      <c r="C14" s="35">
        <f>Thesis!C12*Common_Shares/1000000</f>
        <v>1661.8915438400002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0.18570680150592267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8.3273471379379613E-2</v>
      </c>
      <c r="F69" s="314"/>
    </row>
    <row r="70" spans="1:6">
      <c r="B70" s="227" t="s">
        <v>454</v>
      </c>
      <c r="C70" s="92">
        <f>Normalized_FCF!C94</f>
        <v>3.7536656891495601E-2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464</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391</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-3.41</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3.41</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3.41</v>
      </c>
      <c r="D86" t="str">
        <f>Market_currency</f>
        <v>HKD</v>
      </c>
    </row>
    <row r="87" spans="2:8" ht="13.15">
      <c r="B87" s="100" t="s">
        <v>297</v>
      </c>
      <c r="C87" s="237">
        <f ca="1">IRR(OFFSET($I$3, 0, 0, $C$76 + 1, 1))</f>
        <v>0.18570680150592267</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