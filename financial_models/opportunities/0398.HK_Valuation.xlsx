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B5113C-0EB9-4C98-B6E3-16DE25680CE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<sst xmlns="http://schemas.openxmlformats.org/spreadsheetml/2006/main" count="685" uniqueCount="465">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</sst>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3.57</v>
      </c>
      <c r="D12" s="50"/>
      <c r="E12" s="48"/>
    </row>
    <row r="13" spans="1:10">
      <c r="B13" s="1" t="s">
        <v>415</v>
      </c>
      <c r="C13" s="48" t="s">
        <v>396</v>
      </c>
      <c r="D13" s="48"/>
      <c r="E13" s="5"/>
    </row>
    <row r="14" spans="1:10">
      <c r="B14" s="4" t="s">
        <v>419</v>
      </c>
      <c r="C14" s="35">
        <f>Thesis!C12*Common_Shares/1000000</f>
        <v>1739.8688596799998</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0.1671769416467408</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198948.88436097838</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9" t="s">
        <v>241</v>
      </c>
      <c r="C58" s="359"/>
      <c r="D58" s="359"/>
      <c r="E58" s="359"/>
      <c r="F58" s="359"/>
    </row>
    <row r="59" spans="2:6">
      <c r="B59" s="47" t="s">
        <v>239</v>
      </c>
      <c r="C59" s="349">
        <f>Normalized_FCF!C14</f>
        <v>-46321.471090244595</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7.9541327003833207E-2</v>
      </c>
      <c r="F69" s="314"/>
    </row>
    <row r="70" spans="1:6">
      <c r="B70" s="227" t="s">
        <v>308</v>
      </c>
      <c r="C70" s="92">
        <f>Normalized_FCF!C93</f>
        <v>3.5854341736694682E-2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8" t="s">
        <v>366</v>
      </c>
      <c r="C116" s="358"/>
      <c r="D116" s="358"/>
      <c r="E116" s="358"/>
      <c r="F116" s="358"/>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3.5854341736694682E-2</v>
      </c>
      <c r="E93" s="268"/>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7.9541327003833207E-2</v>
      </c>
      <c r="D125" s="27"/>
      <c r="E125" s="265"/>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394</v>
      </c>
      <c r="C126" s="169"/>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-3.57</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3.57</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3.57</v>
      </c>
      <c r="D86" t="str">
        <f>Market_currency</f>
        <v>HKD</v>
      </c>
    </row>
    <row r="87" spans="2:8" ht="13.15">
      <c r="B87" s="100" t="s">
        <v>298</v>
      </c>
      <c r="C87" s="237">
        <f ca="1">IRR(OFFSET($I$3, 0, 0, $C$76 + 1, 1))</f>
        <v>0.1671769416467408</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