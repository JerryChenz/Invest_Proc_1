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9D10605-ADD2-401C-B1F0-A6C41FD189EF}"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Q92" i="2"/>
  <c r="Q94" i="2"/>
  <c r="J94" i="2"/>
  <c r="I94" i="2"/>
  <c r="K94" i="2"/>
  <c r="C44" i="6"/>
  <c r="C44" i="12"/>
  <c r="O94" i="2"/>
  <c r="L94" i="2"/>
  <c r="N94" i="2"/>
  <c r="M94" i="2"/>
  <c r="H94" i="2"/>
  <c r="C147" i="6"/>
  <c r="C147" i="12"/>
  <c r="C163" i="6"/>
  <c r="C163" i="12"/>
  <c r="C171" i="6"/>
  <c r="C171" i="12"/>
  <c r="C155" i="6"/>
  <c r="C155" i="12"/>
  <c r="H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<sst xmlns="http://schemas.openxmlformats.org/spreadsheetml/2006/main" count="836" uniqueCount="559">
  <si>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</si>
  <si>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</si>
  <si>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</si>
  <si>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</si>
  <si>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</si>
  <si>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</si>
  <si>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</si>
  <si>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</si>
  <si>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</si>
  <si>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</si>
  <si>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</si>
  <si>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</si>
  <si>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</si>
  <si>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</si>
  <si>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</si>
  <si>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</si>
  <si>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</si>
  <si>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</si>
  <si>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</si>
  <si>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</si>
  <si>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</si>
  <si>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</si>
  <si>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</si>
  <si>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</si>
  <si>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</si>
  <si>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</si>
  <si>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</si>
  <si>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</si>
  <si>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</si>
  <si>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</si>
  <si>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</si>
  <si>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</si>
  <si>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</si>
  <si>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</si>
  <si>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</si>
  <si>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</si>
  <si>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</si>
  <si>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</si>
  <si>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</si>
  <si>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</si>
  <si>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</si>
  <si>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</si>
  <si>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</si>
  <si>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</si>
  <si>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</si>
  <si>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</si>
  <si>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</si>
  <si>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</si>
  <si>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</si>
  <si>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</si>
  <si>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</si>
  <si>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</si>
  <si>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</si>
  <si>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</si>
  <si>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</si>
  <si>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</si>
  <si>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</si>
  <si>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</si>
  <si>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</si>
  <si>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</si>
  <si>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</si>
  <si>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</si>
  <si>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</si>
  <si>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</si>
  <si>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</si>
  <si>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</si>
  <si>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</si>
  <si>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</si>
  <si>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</si>
  <si>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</si>
  <si>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</si>
  <si>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</si>
  <si>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</si>
  <si>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</si>
  <si>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</si>
  <si>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</si>
  <si>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</si>
  <si>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</si>
  <si>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</si>
  <si>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</si>
  <si>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</si>
  <si>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</si>
  <si>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</si>
  <si>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</si>
  <si>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</si>
  <si>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</si>
  <si>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</si>
  <si>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</si>
  <si>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</si>
  <si>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</si>
  <si>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</si>
  <si>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</si>
  <si>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</si>
  <si>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</si>
  <si>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</si>
  <si>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</si>
  <si>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</si>
  <si>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</si>
  <si>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</si>
  <si>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</si>
  <si>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</si>
  <si>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</si>
  <si>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</si>
  <si>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</si>
  <si>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</si>
  <si>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</si>
  <si>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</si>
  <si>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</si>
  <si>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</si>
  <si>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</si>
  <si>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</si>
  <si>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</si>
  <si>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</si>
  <si>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</si>
  <si>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</si>
  <si>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</si>
  <si>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</si>
  <si>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</si>
  <si>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</si>
  <si>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</si>
  <si>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</si>
  <si>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</si>
  <si>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</si>
  <si>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</si>
  <si>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</si>
  <si>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</si>
  <si>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</si>
  <si>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</si>
  <si>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</si>
  <si>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</si>
  <si>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</si>
  <si>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</si>
  <si>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</si>
  <si>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</si>
  <si>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</si>
  <si>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</si>
  <si>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</si>
  <si>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</si>
  <si>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</si>
  <si>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</si>
  <si>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</si>
  <si>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</si>
  <si>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</si>
  <si>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</si>
  <si>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</si>
  <si>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</si>
  <si>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</si>
  <si>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</si>
  <si>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</si>
  <si>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</si>
  <si>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</si>
  <si>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</si>
  <si>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</si>
  <si>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</si>
  <si>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</si>
  <si>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</si>
  <si>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</si>
  <si>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</si>
  <si>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</si>
  <si>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</si>
  <si>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</si>
  <si>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</si>
  <si>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</si>
  <si>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</si>
  <si>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</si>
  <si>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</si>
  <si>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</si>
  <si>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</si>
  <si>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</si>
  <si>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</si>
  <si>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</si>
  <si>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</si>
  <si>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</si>
  <si>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</si>
  <si>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</si>
  <si>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</si>
  <si>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</si>
  <si>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</si>
  <si>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</si>
  <si>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</si>
  <si>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</si>
  <si>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</si>
  <si>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</si>
  <si>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</si>
  <si>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</si>
  <si>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</si>
  <si>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</si>
  <si>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</si>
  <si>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</si>
  <si>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</si>
  <si>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</si>
  <si>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</si>
  <si>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</si>
  <si>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</si>
  <si>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</si>
  <si>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</si>
  <si>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</si>
  <si>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</si>
  <si>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</si>
  <si>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</si>
  <si>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</si>
  <si>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</si>
  <si>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</si>
  <si>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</si>
  <si>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</si>
  <si>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</si>
  <si>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</si>
  <si>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</si>
  <si>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</si>
  <si>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</si>
  <si>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</si>
  <si>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</si>
  <si>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</si>
  <si>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</si>
  <si>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</si>
  <si>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</si>
  <si>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</si>
  <si>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</si>
  <si>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</si>
  <si>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</si>
  <si>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</si>
  <si>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</si>
  <si>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</si>
  <si>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</si>
  <si>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</si>
  <si>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</si>
  <si>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</si>
  <si>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</si>
  <si>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</si>
  <si>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</si>
  <si>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</si>
  <si>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</si>
  <si>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</si>
  <si>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</si>
  <si>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</si>
  <si>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</si>
  <si>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</si>
  <si>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</si>
  <si>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</si>
  <si>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</si>
  <si>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</si>
  <si>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</si>
  <si>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</si>
  <si>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</si>
  <si>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</si>
  <si>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</si>
  <si>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</si>
  <si>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</si>
  <si>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</si>
  <si>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</si>
  <si>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</si>
  <si>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</si>
  <si>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</si>
  <si>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</si>
  <si>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</si>
  <si>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</si>
  <si>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</si>
  <si>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</si>
  <si>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</si>
  <si>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</si>
  <si>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</si>
  <si>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</si>
  <si>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</si>
  <si>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</si>
  <si>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</si>
  <si>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</si>
  <si>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</si>
  <si>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</si>
  <si>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</si>
  <si>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</si>
  <si>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</si>
  <si>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</si>
  <si>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</si>
  <si>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</si>
  <si>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</si>
  <si>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</si>
  <si>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</si>
  <si>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</si>
  <si>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</si>
  <si>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</si>
  <si>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</si>
  <si>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</si>
  <si>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</si>
  <si>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</si>
  <si>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</si>
  <si>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</si>
  <si>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</si>
  <si>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</si>
  <si>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</si>
  <si>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</si>
  <si>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</si>
  <si>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</si>
  <si>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</si>
  <si>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</si>
  <si>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</si>
  <si>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</si>
  <si>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</si>
  <si>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</si>
  <si>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</si>
  <si>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</si>
  <si>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</si>
  <si>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</si>
  <si>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</si>
  <si>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</si>
  <si>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</si>
  <si>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</si>
  <si>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</si>
  <si>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</si>
  <si>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</si>
  <si>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</si>
  <si>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</si>
  <si>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</si>
  <si>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</si>
  <si>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</si>
  <si>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</si>
  <si>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</si>
  <si>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</si>
  <si>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</si>
  <si>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</si>
  <si>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</si>
  <si>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</si>
  <si>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</si>
  <si>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</si>
  <si>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</si>
  <si>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</si>
  <si>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</si>
  <si>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</si>
  <si>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</si>
  <si>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</si>
  <si>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</si>
  <si>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</si>
  <si>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</si>
  <si>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</si>
  <si>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</si>
  <si>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</si>
  <si>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</si>
  <si>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</si>
  <si>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</si>
  <si>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</si>
  <si>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</si>
  <si>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</si>
  <si>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</si>
  <si>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</si>
  <si>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</si>
  <si>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</si>
  <si>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</si>
  <si>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</si>
  <si>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</si>
  <si>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</si>
  <si>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</si>
  <si>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</si>
  <si>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</si>
  <si>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</si>
  <si>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</si>
  <si>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</si>
  <si>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</si>
  <si>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</si>
  <si>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</si>
  <si>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</si>
  <si>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</si>
  <si>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</si>
  <si>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</si>
  <si>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</si>
  <si>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</si>
  <si>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</si>
  <si>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</si>
  <si>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</si>
  <si>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</si>
  <si>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</si>
  <si>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</si>
  <si>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</si>
  <si>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</si>
  <si>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</si>
  <si>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</si>
  <si>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</si>
  <si>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</si>
  <si>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</si>
  <si>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</si>
  <si>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</si>
  <si>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</si>
  <si>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</si>
  <si>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</si>
  <si>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</si>
  <si>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</si>
  <si>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</si>
  <si>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</si>
  <si>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</si>
  <si>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</si>
  <si>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</si>
  <si>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</si>
  <si>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</si>
  <si>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</si>
  <si>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</si>
  <si>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</si>
  <si>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</si>
  <si>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</si>
  <si>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</si>
  <si>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</si>
  <si>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</si>
  <si>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</si>
  <si>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</si>
  <si>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</si>
  <si>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</si>
  <si>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</si>
  <si>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</si>
  <si>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</si>
  <si>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</si>
  <si>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</si>
  <si>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</si>
  <si>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</si>
  <si>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</si>
  <si>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</si>
  <si>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</si>
  <si>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</si>
  <si>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</si>
  <si>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</si>
  <si>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</si>
  <si>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</si>
  <si>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</si>
  <si>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</si>
  <si>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</si>
  <si>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</si>
  <si>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</si>
  <si>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</si>
  <si>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</si>
  <si>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</si>
  <si>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</si>
  <si>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</si>
  <si>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</si>
  <si>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</si>
  <si>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</si>
  <si>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</si>
  <si>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</si>
  <si>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</si>
  <si>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</si>
  <si>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</si>
  <si>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</si>
  <si>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</si>
  <si>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</si>
  <si>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</si>
  <si>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</si>
  <si>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</si>
  <si>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</si>
  <si>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</si>
  <si>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</si>
  <si>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</si>
  <si>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</si>
  <si>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</si>
  <si>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</si>
  <si>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</si>
  <si>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</si>
  <si>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</si>
  <si>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</si>
  <si>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</si>
  <si>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</si>
  <si>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</si>
  <si>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</si>
  <si>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</si>
  <si>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</si>
  <si>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</si>
  <si>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</si>
  <si>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</si>
  <si>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</si>
  <si>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</si>
  <si>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</si>
  <si>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</si>
  <si>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</si>
  <si>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</si>
  <si>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</si>
  <si>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</si>
  <si>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</si>
  <si>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</si>
  <si>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</si>
  <si>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</si>
  <si>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</si>
  <si>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</si>
  <si>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</si>
  <si>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</si>
  <si>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</si>
  <si>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</si>
  <si>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</si>
  <si>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</si>
  <si>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</si>
  <si>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</si>
  <si>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</si>
  <si>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</si>
  <si>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</si>
  <si>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</si>
  <si>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</si>
  <si>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</si>
  <si>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</si>
  <si>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</si>
  <si>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</si>
  <si>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</si>
  <si>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</si>
  <si>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</si>
  <si>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</si>
  <si>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</si>
  <si>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</si>
  <si>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</si>
  <si>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</si>
  <si>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</si>
  <si>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</si>
  <si>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</si>
  <si>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</si>
  <si>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</si>
  <si>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</si>
  <si>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</si>
  <si>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</si>
  <si>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</si>
  <si>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</si>
  <si>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</si>
  <si>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</si>
  <si>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</si>
  <si>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</si>
  <si>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</si>
  <si>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</si>
  <si>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</si>
  <si>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</si>
  <si>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</si>
  <si>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</si>
  <si>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</si>
  <si>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</si>
  <si>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</si>
  <si>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</si>
  <si>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</si>
  <si>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</si>
  <si>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</si>
  <si>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</si>
  <si>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</si>
  <si>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</si>
  <si>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</si>
  <si>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</si>
  <si>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</si>
  <si>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</si>
  <si>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</si>
  <si>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</si>
  <si>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</si>
  <si>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</si>
  <si>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</si>
  <si>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</si>
  <si>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</si>
  <si>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</si>
  <si>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</si>
  <si>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</si>
  <si>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</si>
  <si>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</si>
  <si>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</si>
  <si>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</si>
  <si>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</si>
  <si>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</si>
  <si>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</si>
  <si>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東方表行集團</t>
  </si>
  <si>
    <t>0398.HK</t>
  </si>
  <si>
    <t/>
  </si>
  <si>
    <t>CNS_05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</si>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</sst>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632D9FB-46F2-4343-B050-300F88DF946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3.48</v>
      </c>
      <c r="D12" s="50"/>
      <c r="E12" s="48"/>
    </row>
    <row r="13" spans="1:10">
      <c r="B13" s="1" t="s">
        <v>464</v>
      </c>
      <c r="C13" s="48" t="s">
        <v>377</v>
      </c>
      <c r="D13" s="48"/>
      <c r="E13" s="5"/>
    </row>
    <row r="14" spans="1:10">
      <c r="B14" s="4" t="s">
        <v>465</v>
      </c>
      <c r="C14" s="35">
        <f>Thesis!C12*Common_Shares/1000000</f>
        <v>1696.00661952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556</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0.17745745144380831</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198948.88436097838</v>
      </c>
      <c r="D41" s="1" t="str">
        <f>Reporting_currency</f>
        <v>HKD</v>
      </c>
    </row>
    <row r="42" spans="1:6">
      <c r="B42" s="47"/>
      <c r="C42" s="76"/>
    </row>
    <row r="43" spans="1:6" ht="24.6" customHeight="1">
      <c r="B43" s="371" t="s">
        <v>229</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232</v>
      </c>
      <c r="C47" s="371"/>
      <c r="D47" s="371"/>
      <c r="E47" s="371"/>
      <c r="F47" s="371"/>
    </row>
    <row r="48" spans="1:6">
      <c r="B48" s="47" t="s">
        <v>233</v>
      </c>
      <c r="C48" s="349">
        <f>Normalized_FCF!C11</f>
        <v>0</v>
      </c>
      <c r="D48" s="1" t="str">
        <f>Reporting_currency</f>
        <v>HKD</v>
      </c>
    </row>
    <row r="50" spans="2:6">
      <c r="B50" s="371" t="s">
        <v>236</v>
      </c>
      <c r="C50" s="371"/>
      <c r="D50" s="371"/>
      <c r="E50" s="371"/>
      <c r="F50" s="371"/>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1" t="s">
        <v>237</v>
      </c>
      <c r="C58" s="371"/>
      <c r="D58" s="371"/>
      <c r="E58" s="371"/>
      <c r="F58" s="371"/>
    </row>
    <row r="59" spans="2:6">
      <c r="B59" s="47" t="s">
        <v>235</v>
      </c>
      <c r="C59" s="349">
        <f>Normalized_FCF!C14</f>
        <v>-46321.471090244595</v>
      </c>
      <c r="D59" s="1" t="str">
        <f>Reporting_currency</f>
        <v>HKD</v>
      </c>
    </row>
    <row r="61" spans="2:6">
      <c r="B61" s="371" t="s">
        <v>329</v>
      </c>
      <c r="C61" s="374"/>
      <c r="D61" s="374"/>
      <c r="E61" s="374"/>
      <c r="F61" s="374"/>
    </row>
    <row r="62" spans="2:6">
      <c r="B62" s="47" t="s">
        <v>238</v>
      </c>
      <c r="C62" s="349">
        <f>Normalized_FCF!C17</f>
        <v>0</v>
      </c>
      <c r="D62" s="1" t="str">
        <f>Reporting_currency</f>
        <v>HKD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8.1598430288415097E-2</v>
      </c>
      <c r="F69" s="314"/>
    </row>
    <row r="70" spans="1:6">
      <c r="B70" s="227" t="s">
        <v>434</v>
      </c>
      <c r="C70" s="92">
        <f>Normalized_FCF!C94</f>
        <v>3.6781609195402298E-2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0" t="s">
        <v>352</v>
      </c>
      <c r="C116" s="370"/>
      <c r="D116" s="370"/>
      <c r="E116" s="370"/>
      <c r="F116" s="370"/>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557</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3.6781609195402298E-2</v>
      </c>
      <c r="E94" s="268"/>
      <c r="G94" s="23">
        <f t="shared" ref="G94:Q94" si="39">IF(G$4="","",(G90*(1-dividend_tax_rate))/Market_Price)</f>
        <v>3.6781609195402298E-2</v>
      </c>
      <c r="H94" s="23">
        <f t="shared" si="39"/>
        <v>4.3965517241379308E-2</v>
      </c>
      <c r="I94" s="23">
        <f t="shared" si="39"/>
        <v>5.3448275862068968E-2</v>
      </c>
      <c r="J94" s="23">
        <f t="shared" si="39"/>
        <v>4.2528735632183907E-2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8.1598430288415097E-2</v>
      </c>
      <c r="D126" s="27"/>
      <c r="E126" s="265"/>
      <c r="F126" s="27"/>
      <c r="G126" s="77">
        <f t="shared" ref="G126" si="50">IF(G$4="","",G125/Market_Price)</f>
        <v>0.11460627438766188</v>
      </c>
      <c r="H126" s="77">
        <f t="shared" ref="H126" si="51">IF(H$4="","",H125/Market_Price)</f>
        <v>0.14709258627221894</v>
      </c>
      <c r="I126" s="77">
        <f t="shared" ref="I126" si="52">IF(I$4="","",I125/Market_Price)</f>
        <v>0.15858841404529567</v>
      </c>
      <c r="J126" s="77">
        <f t="shared" ref="J126" si="53">IF(J$4="","",J125/Market_Price)</f>
        <v>0.10929025740032744</v>
      </c>
      <c r="K126" s="77">
        <f t="shared" ref="K126" si="54">IF(K$4="","",K125/Market_Price)</f>
        <v>6.6656579460754206E-2</v>
      </c>
      <c r="L126" s="77">
        <f t="shared" ref="L126" si="55">IF(L$4="","",L125/Market_Price)</f>
        <v>6.1053417367737416E-2</v>
      </c>
      <c r="M126" s="77">
        <f t="shared" ref="M126" si="56">IF(M$4="","",M125/Market_Price)</f>
        <v>5.7298715041279369E-2</v>
      </c>
      <c r="N126" s="77">
        <f t="shared" ref="N126" si="57">IF(N$4="","",N125/Market_Price)</f>
        <v>-3.9085932352528937E-3</v>
      </c>
      <c r="O126" s="77">
        <f t="shared" ref="O126" si="58">IF(O$4="","",O125/Market_Price)</f>
        <v>-3.322038920811865E-2</v>
      </c>
      <c r="P126" s="77" t="str">
        <f t="shared" ref="P126" si="59">IF(P$4="","",P125/Market_Price)</f>
        <v/>
      </c>
      <c r="Q126" s="77" t="str">
        <f t="shared" ref="Q126" si="60">IF(Q$4="","",Q125/Market_Price)</f>
        <v/>
      </c>
    </row>
    <row r="127" spans="1:17" ht="15.75" customHeight="1">
      <c r="B127" s="2" t="s">
        <v>375</v>
      </c>
      <c r="C127" s="169"/>
      <c r="G127" s="23">
        <f>IF(G$4="","",(Data!C47*$C$3)/(Market_Price*Common_Shares))</f>
        <v>0.14808314844377193</v>
      </c>
      <c r="H127" s="23">
        <f>IF(H$4="","",(Data!D47*$C$3)/(Market_Price*Common_Shares))</f>
        <v>0.17424696142025586</v>
      </c>
      <c r="I127" s="23">
        <f>IF(I$4="","",(Data!E47*$C$3)/(Market_Price*Common_Shares))</f>
        <v>0.21401803260810895</v>
      </c>
      <c r="J127" s="23">
        <f>IF(J$4="","",(Data!F47*$C$3)/(Market_Price*Common_Shares))</f>
        <v>0.13715984202103923</v>
      </c>
      <c r="K127" s="23">
        <f>IF(K$4="","",(Data!G47*$C$3)/(Market_Price*Common_Shares))</f>
        <v>5.8436682297884901E-2</v>
      </c>
      <c r="L127" s="23">
        <f>IF(L$4="","",(Data!H47*$C$3)/(Market_Price*Common_Shares))</f>
        <v>8.1390602142264928E-2</v>
      </c>
      <c r="M127" s="23">
        <f>IF(M$4="","",(Data!I47*$C$3)/(Market_Price*Common_Shares))</f>
        <v>8.1771496882040662E-2</v>
      </c>
      <c r="N127" s="23">
        <f>IF(N$4="","",(Data!J47*$C$3)/(Market_Price*Common_Shares))</f>
        <v>9.4911186163623221E-3</v>
      </c>
      <c r="O127" s="23">
        <f>IF(O$4="","",(Data!K47*$C$3)/(Market_Price*Common_Shares))</f>
        <v>-9.2918269413712999E-3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-3.48</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3.48</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3.48</v>
      </c>
      <c r="D86" t="str">
        <f>Market_currency</f>
        <v>HKD</v>
      </c>
    </row>
    <row r="87" spans="2:8" ht="13.15">
      <c r="B87" s="100" t="s">
        <v>293</v>
      </c>
      <c r="C87" s="237">
        <f ca="1">IRR(OFFSET($I$3, 0, 0, $C$76 + 1, 1))</f>
        <v>0.17745745144380831</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3.48</v>
      </c>
      <c r="D12" s="50"/>
      <c r="E12" s="48"/>
    </row>
    <row r="13" spans="1:10">
      <c r="B13" s="1" t="s">
        <v>485</v>
      </c>
      <c r="C13" s="32" t="str">
        <f>Market_currency</f>
        <v>HKD</v>
      </c>
      <c r="D13" s="48"/>
      <c r="E13" s="5"/>
    </row>
    <row r="14" spans="1:10">
      <c r="B14" s="4" t="s">
        <v>486</v>
      </c>
      <c r="C14" s="35">
        <f>投资主题!C12*Common_Shares/1000000</f>
        <v>1696.00661952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0.17745745144380831</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v>
      </c>
    </row>
    <row r="40" spans="1:6">
      <c r="B40" s="371" t="s">
        <v>494</v>
      </c>
      <c r="C40" s="371"/>
      <c r="D40" s="371"/>
      <c r="E40" s="371"/>
      <c r="F40" s="371"/>
    </row>
    <row r="41" spans="1:6">
      <c r="B41" s="47" t="s">
        <v>228</v>
      </c>
      <c r="C41" s="349">
        <f>Normalized_FCF!C8</f>
        <v>198948.88436097838</v>
      </c>
      <c r="D41" s="1" t="str">
        <f>Reporting_currency</f>
        <v>HKD</v>
      </c>
    </row>
    <row r="42" spans="1:6">
      <c r="B42" s="47"/>
      <c r="C42" s="76"/>
    </row>
    <row r="43" spans="1:6" ht="24.6" customHeight="1">
      <c r="B43" s="371" t="s">
        <v>495</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496</v>
      </c>
      <c r="C47" s="371"/>
      <c r="D47" s="371"/>
      <c r="E47" s="371"/>
      <c r="F47" s="371"/>
    </row>
    <row r="48" spans="1:6">
      <c r="B48" s="47" t="s">
        <v>233</v>
      </c>
      <c r="C48" s="349">
        <f>Normalized_FCF!C11</f>
        <v>0</v>
      </c>
      <c r="D48" s="1" t="str">
        <f>Reporting_currency</f>
        <v>HKD</v>
      </c>
    </row>
    <row r="50" spans="2:6">
      <c r="B50" s="371" t="s">
        <v>497</v>
      </c>
      <c r="C50" s="371"/>
      <c r="D50" s="371"/>
      <c r="E50" s="371"/>
      <c r="F50" s="371"/>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1" t="s">
        <v>237</v>
      </c>
      <c r="C58" s="371"/>
      <c r="D58" s="371"/>
      <c r="E58" s="371"/>
      <c r="F58" s="371"/>
    </row>
    <row r="59" spans="2:6">
      <c r="B59" s="47" t="s">
        <v>235</v>
      </c>
      <c r="C59" s="349">
        <f>Normalized_FCF!C14</f>
        <v>-46321.471090244595</v>
      </c>
      <c r="D59" s="1" t="str">
        <f>Reporting_currency</f>
        <v>HKD</v>
      </c>
    </row>
    <row r="61" spans="2:6">
      <c r="B61" s="371" t="s">
        <v>499</v>
      </c>
      <c r="C61" s="374"/>
      <c r="D61" s="374"/>
      <c r="E61" s="374"/>
      <c r="F61" s="374"/>
    </row>
    <row r="62" spans="2:6">
      <c r="B62" s="47" t="s">
        <v>238</v>
      </c>
      <c r="C62" s="349">
        <f>Normalized_FCF!C17</f>
        <v>0</v>
      </c>
      <c r="D62" s="1" t="str">
        <f>Reporting_currency</f>
        <v>HKD</v>
      </c>
    </row>
    <row r="64" spans="2:6">
      <c r="B64" s="370" t="s">
        <v>500</v>
      </c>
      <c r="C64" s="370"/>
      <c r="D64" s="370"/>
      <c r="E64" s="370"/>
      <c r="F64" s="370"/>
    </row>
    <row r="65" spans="1:6">
      <c r="B65" s="370" t="s">
        <v>501</v>
      </c>
      <c r="C65" s="370"/>
      <c r="D65" s="370"/>
      <c r="E65" s="370"/>
      <c r="F65" s="370"/>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8.1598430288415097E-2</v>
      </c>
      <c r="F69" s="314"/>
    </row>
    <row r="70" spans="1:6">
      <c r="B70" s="227" t="s">
        <v>434</v>
      </c>
      <c r="C70" s="92">
        <f>Normalized_FCF!C94</f>
        <v>3.6781609195402298E-2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0" t="s">
        <v>516</v>
      </c>
      <c r="C116" s="370"/>
      <c r="D116" s="370"/>
      <c r="E116" s="370"/>
      <c r="F116" s="370"/>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81735-7F82-4EB4-87BB-DF49BB36CEF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