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418E759-37DA-42D1-8A99-6D8F51A01D3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7" i="8"/>
  <c r="C67" i="8"/>
  <c r="D70" i="8"/>
  <c r="F70" i="8"/>
  <c r="E67" i="8"/>
  <c r="B70" i="8"/>
  <c r="C66" i="8"/>
  <c r="C69" i="8"/>
  <c r="B68" i="8"/>
  <c r="B67" i="8"/>
  <c r="D66" i="8"/>
  <c r="B66" i="8"/>
  <c r="G54" i="2"/>
  <c r="E69" i="8" l="1"/>
  <c r="D71" i="8"/>
  <c r="B69" i="8"/>
  <c r="F71" i="8"/>
  <c r="E66" i="8"/>
  <c r="F69" i="8"/>
  <c r="E70"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<sst xmlns="http://schemas.openxmlformats.org/spreadsheetml/2006/main" count="626" uniqueCount="439">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</sst>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v>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2.0118297468067095</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198948.88436097838</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4" t="s">
        <v>242</v>
      </c>
      <c r="C52" s="344"/>
      <c r="D52" s="344"/>
      <c r="E52" s="344"/>
      <c r="F52" s="344"/>
    </row>
    <row r="53" spans="2:6">
      <c r="B53" s="47" t="s">
        <v>240</v>
      </c>
      <c r="C53" s="188">
        <f>Normalized_FCF!C14</f>
        <v>-46321.471090244595</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3" t="s">
        <v>374</v>
      </c>
      <c r="C106" s="343"/>
      <c r="D106" s="343"/>
      <c r="E106" s="343"/>
      <c r="F106" s="343"/>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0.4</v>
      </c>
    </row>
    <row r="137" spans="2:6">
      <c r="B137" s="236" t="str">
        <f>"PV("&amp;C131&amp;" yrs of Dividends)"</f>
        <v>PV(3 yrs of Dividends)</v>
      </c>
      <c r="C137" s="240">
        <f>Scenarios!C81</f>
        <v>0.20338192419825066</v>
      </c>
    </row>
    <row r="138" spans="2:6">
      <c r="B138" s="236" t="str">
        <f>"+ PV(Equity Value realized at year "&amp;C131&amp;")"</f>
        <v>+ PV(Equity Value realized at year 3)</v>
      </c>
      <c r="C138" s="240">
        <f>Scenarios!C82</f>
        <v>1.8084478226084586</v>
      </c>
    </row>
    <row r="139" spans="2:6">
      <c r="B139" s="80" t="s">
        <v>261</v>
      </c>
      <c r="C139" s="239">
        <f>Scenarios!C83</f>
        <v>2.0118297468067095</v>
      </c>
      <c r="D139" s="342" t="str">
        <f>IF($D$11="","",C139*$E$22)</f>
        <v/>
      </c>
    </row>
    <row r="140" spans="2:6">
      <c r="B140" s="290" t="s">
        <v>425</v>
      </c>
      <c r="C140" s="340" t="str">
        <f>Market_currency</f>
        <v>HKD</v>
      </c>
      <c r="D140" s="340" t="str">
        <f>IF($D$11="","",D$13)</f>
        <v/>
      </c>
    </row>
    <row r="141" spans="2:6">
      <c r="B141" s="238" t="s">
        <v>263</v>
      </c>
      <c r="C141" s="92">
        <f>Scenarios!F83</f>
        <v>0.59458376580552363</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9">
        <f>(1-C83/C60)</f>
        <v>0.59458376580552363</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