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C950D7D-4CA7-429B-9E20-9F15DD6F5F9D}"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Q120" i="2"/>
  <c r="Q117" i="2"/>
  <c r="Q118" i="2"/>
  <c r="F71" i="4"/>
  <c r="K118" i="2"/>
  <c r="P120" i="2"/>
  <c r="P117" i="2"/>
  <c r="P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<sst xmlns="http://schemas.openxmlformats.org/spreadsheetml/2006/main" count="685" uniqueCount="465">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</sst>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3.59</v>
      </c>
      <c r="D12" s="50"/>
      <c r="E12" s="48"/>
    </row>
    <row r="13" spans="1:10">
      <c r="B13" s="1" t="s">
        <v>416</v>
      </c>
      <c r="C13" s="48" t="s">
        <v>397</v>
      </c>
      <c r="D13" s="48"/>
      <c r="E13" s="5"/>
    </row>
    <row r="14" spans="1:10">
      <c r="B14" s="4" t="s">
        <v>420</v>
      </c>
      <c r="C14" s="35">
        <f>Thesis!C12*Common_Shares/1000000</f>
        <v>1749.6160241599998</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5.2246962590200807</v>
      </c>
      <c r="D26" s="1" t="s">
        <v>400</v>
      </c>
      <c r="E26" s="301">
        <f ca="1">Scenarios!C87</f>
        <v>0.16494017618254819</v>
      </c>
    </row>
    <row r="27" spans="2:6">
      <c r="D27" s="5"/>
      <c r="E27" s="5"/>
    </row>
    <row r="28" spans="2:6">
      <c r="B28" s="45" t="s">
        <v>433</v>
      </c>
      <c r="C28" s="309" t="str">
        <f>C145&amp;" ("&amp;Market_currency&amp;")"</f>
        <v>0398.HK (HKD)</v>
      </c>
      <c r="D28" s="309" t="str">
        <f>IF(D11="","",D145&amp;" ("&amp;D13&amp;")")</f>
        <v/>
      </c>
      <c r="E28" s="305" t="s">
        <v>429</v>
      </c>
      <c r="F28" s="303">
        <v>3</v>
      </c>
    </row>
    <row r="29" spans="2:6">
      <c r="B29" s="1" t="s">
        <v>425</v>
      </c>
      <c r="C29" s="310">
        <f>C149</f>
        <v>2.2556276815093281</v>
      </c>
      <c r="D29" s="310" t="str">
        <f>D149</f>
        <v/>
      </c>
      <c r="E29" s="306" t="s">
        <v>424</v>
      </c>
      <c r="F29" s="302">
        <v>0.3674</v>
      </c>
    </row>
    <row r="30" spans="2:6">
      <c r="B30" s="1" t="s">
        <v>426</v>
      </c>
      <c r="C30" s="311">
        <f>C157</f>
        <v>3.1582019073444916</v>
      </c>
      <c r="D30" s="311" t="str">
        <f>D157</f>
        <v/>
      </c>
      <c r="E30" s="307" t="s">
        <v>437</v>
      </c>
      <c r="F30" s="312">
        <v>0.21740000000000001</v>
      </c>
    </row>
    <row r="31" spans="2:6">
      <c r="B31" s="1" t="s">
        <v>427</v>
      </c>
      <c r="C31" s="311">
        <f>C165</f>
        <v>4.5385417708791076</v>
      </c>
      <c r="D31" s="311" t="str">
        <f>D165</f>
        <v/>
      </c>
      <c r="E31" s="307" t="s">
        <v>436</v>
      </c>
      <c r="F31" s="312">
        <v>7.4999999999999997E-2</v>
      </c>
    </row>
    <row r="32" spans="2:6">
      <c r="B32" s="1" t="s">
        <v>428</v>
      </c>
      <c r="C32" s="311">
        <f>C173</f>
        <v>4.0536685441183486</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198948.88436097838</v>
      </c>
      <c r="D41" s="1" t="str">
        <f>Reporting_currency</f>
        <v>HKD</v>
      </c>
    </row>
    <row r="42" spans="1:6">
      <c r="B42" s="47"/>
      <c r="C42" s="76"/>
    </row>
    <row r="43" spans="1:6" ht="24.5" customHeight="1">
      <c r="B43" s="349" t="s">
        <v>234</v>
      </c>
      <c r="C43" s="349"/>
      <c r="D43" s="349"/>
      <c r="E43" s="349"/>
      <c r="F43" s="349"/>
    </row>
    <row r="44" spans="1:6">
      <c r="B44" s="47" t="s">
        <v>235</v>
      </c>
      <c r="C44" s="76">
        <f>Normalized_FCF!C9</f>
        <v>0</v>
      </c>
      <c r="D44" s="1" t="str">
        <f>Reporting_currency</f>
        <v>HKD</v>
      </c>
    </row>
    <row r="45" spans="1:6">
      <c r="B45" s="52" t="s">
        <v>236</v>
      </c>
      <c r="C45" s="76">
        <f>Normalized_FCF!C10</f>
        <v>0</v>
      </c>
      <c r="D45" s="1" t="str">
        <f>Reporting_currency</f>
        <v>HKD</v>
      </c>
    </row>
    <row r="47" spans="1:6">
      <c r="B47" s="349" t="s">
        <v>237</v>
      </c>
      <c r="C47" s="349"/>
      <c r="D47" s="349"/>
      <c r="E47" s="349"/>
      <c r="F47" s="349"/>
    </row>
    <row r="48" spans="1:6">
      <c r="B48" s="47" t="s">
        <v>238</v>
      </c>
      <c r="C48" s="76">
        <f>Normalized_FCF!C11</f>
        <v>0</v>
      </c>
      <c r="D48" s="1" t="str">
        <f>Reporting_currency</f>
        <v>HKD</v>
      </c>
    </row>
    <row r="50" spans="2:6">
      <c r="B50" s="349" t="s">
        <v>241</v>
      </c>
      <c r="C50" s="349"/>
      <c r="D50" s="349"/>
      <c r="E50" s="349"/>
      <c r="F50" s="349"/>
    </row>
    <row r="51" spans="2:6">
      <c r="B51" s="47" t="s">
        <v>341</v>
      </c>
      <c r="C51" s="340">
        <f>Normalized_FCF!C48</f>
        <v>0</v>
      </c>
      <c r="D51" s="1" t="str">
        <f>Reporting_currency</f>
        <v>HKD</v>
      </c>
      <c r="E51" s="286"/>
      <c r="F51" s="286"/>
    </row>
    <row r="52" spans="2:6">
      <c r="B52" s="47" t="s">
        <v>342</v>
      </c>
      <c r="C52" s="340">
        <f>Normalized_FCF!C47</f>
        <v>-13663</v>
      </c>
      <c r="D52" s="1" t="str">
        <f>Reporting_currency</f>
        <v>HKD</v>
      </c>
      <c r="E52" s="286"/>
      <c r="F52" s="286"/>
    </row>
    <row r="53" spans="2:6">
      <c r="B53" s="47" t="s">
        <v>239</v>
      </c>
      <c r="C53" s="76">
        <f>Normalized_FCF!C12</f>
        <v>-13663</v>
      </c>
      <c r="D53" s="1" t="str">
        <f>Reporting_currency</f>
        <v>HKD</v>
      </c>
    </row>
    <row r="55" spans="2:6">
      <c r="B55" s="1" t="s">
        <v>247</v>
      </c>
    </row>
    <row r="56" spans="2:6">
      <c r="B56" s="47" t="s">
        <v>266</v>
      </c>
      <c r="C56" s="76">
        <f>Normalized_FCF!C15</f>
        <v>-572.93535914055167</v>
      </c>
      <c r="D56" s="1" t="str">
        <f>Reporting_currency</f>
        <v>HKD</v>
      </c>
    </row>
    <row r="58" spans="2:6">
      <c r="B58" s="349" t="s">
        <v>242</v>
      </c>
      <c r="C58" s="349"/>
      <c r="D58" s="349"/>
      <c r="E58" s="349"/>
      <c r="F58" s="349"/>
    </row>
    <row r="59" spans="2:6">
      <c r="B59" s="47" t="s">
        <v>240</v>
      </c>
      <c r="C59" s="76">
        <f>Normalized_FCF!C14</f>
        <v>-46321.471090244595</v>
      </c>
      <c r="D59" s="1" t="str">
        <f>Reporting_currency</f>
        <v>HKD</v>
      </c>
    </row>
    <row r="61" spans="2:6">
      <c r="B61" s="349" t="s">
        <v>339</v>
      </c>
      <c r="C61" s="352"/>
      <c r="D61" s="352"/>
      <c r="E61" s="352"/>
      <c r="F61" s="352"/>
    </row>
    <row r="62" spans="2:6">
      <c r="B62" s="47" t="s">
        <v>243</v>
      </c>
      <c r="C62" s="76">
        <f>Normalized_FCF!C17</f>
        <v>0</v>
      </c>
      <c r="D62" s="1" t="str">
        <f>Reporting_currency</f>
        <v>HKD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194373</v>
      </c>
      <c r="D67" s="1" t="str">
        <f>Reporting_currency</f>
        <v>HKD</v>
      </c>
    </row>
    <row r="68" spans="1:6">
      <c r="B68" s="47" t="s">
        <v>249</v>
      </c>
      <c r="C68" s="76">
        <f>Normalized_FCF!C19</f>
        <v>138391.47791159325</v>
      </c>
      <c r="D68" s="1" t="str">
        <f>Reporting_currency</f>
        <v>HKD</v>
      </c>
    </row>
    <row r="69" spans="1:6">
      <c r="B69" s="227" t="s">
        <v>391</v>
      </c>
      <c r="C69" s="92">
        <f>Normalized_FCF!C125</f>
        <v>7.9098199833895419E-2</v>
      </c>
      <c r="F69" s="314"/>
    </row>
    <row r="70" spans="1:6">
      <c r="B70" s="227" t="s">
        <v>309</v>
      </c>
      <c r="C70" s="92">
        <f>Normalized_FCF!C93</f>
        <v>3.5654596100278553E-2</v>
      </c>
      <c r="E70" s="47" t="s">
        <v>448</v>
      </c>
      <c r="F70" s="315">
        <f>Normalized_FCF!C92</f>
        <v>0.45076368583801485</v>
      </c>
    </row>
    <row r="72" spans="1:6">
      <c r="B72" s="210" t="s">
        <v>451</v>
      </c>
      <c r="C72" s="344" t="s">
        <v>453</v>
      </c>
      <c r="D72" s="344" t="s">
        <v>454</v>
      </c>
    </row>
    <row r="73" spans="1:6">
      <c r="B73" s="47" t="s">
        <v>452</v>
      </c>
      <c r="C73" s="92">
        <f>Normalized_FCF!C120</f>
        <v>0.10112859174992994</v>
      </c>
      <c r="D73" s="92">
        <f>Normalized_FCF!G120</f>
        <v>0.18576712671946713</v>
      </c>
    </row>
    <row r="74" spans="1:6">
      <c r="B74" s="259" t="str">
        <f>Normalized_FCF!B117</f>
        <v>Pre-tax Profit/Sales</v>
      </c>
      <c r="C74" s="343">
        <f>Normalized_FCF!C117</f>
        <v>5.8835781303360896E-2</v>
      </c>
      <c r="D74" s="343">
        <f>Normalized_FCF!G117</f>
        <v>9.3537135473147709E-2</v>
      </c>
    </row>
    <row r="75" spans="1:6">
      <c r="B75" s="259" t="str">
        <f>Normalized_FCF!B118</f>
        <v>Sales/Total Assets</v>
      </c>
      <c r="C75" s="345">
        <f>Normalized_FCF!C118</f>
        <v>1.2277297326073906</v>
      </c>
      <c r="D75" s="345">
        <f>Normalized_FCF!G118</f>
        <v>1.4185842608933972</v>
      </c>
    </row>
    <row r="76" spans="1:6">
      <c r="B76" s="259" t="str">
        <f>Normalized_FCF!B119</f>
        <v>Total Assets/Equity</v>
      </c>
      <c r="C76" s="345">
        <f>Normalized_FCF!C119</f>
        <v>1.4000052396569989</v>
      </c>
      <c r="D76" s="345">
        <f>Normalized_FCF!G119</f>
        <v>1.4000052396569989</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3.78616716538246</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195066</v>
      </c>
      <c r="D102" s="1" t="str">
        <f>Reporting_currency</f>
        <v>HKD</v>
      </c>
    </row>
    <row r="103" spans="2:6">
      <c r="B103" s="47" t="s">
        <v>282</v>
      </c>
      <c r="C103" s="223">
        <f>C102*scaling_factor*Exchange_Rate/Common_Shares</f>
        <v>0.40025178686632773</v>
      </c>
      <c r="D103" s="1" t="str">
        <f>Market_currency</f>
        <v>HKD</v>
      </c>
    </row>
    <row r="104" spans="2:6">
      <c r="B104" s="296" t="s">
        <v>405</v>
      </c>
      <c r="C104" s="346">
        <f>IF(BS!G31/BS!G27&gt;300%,"nm",BS!G31/BS!G27)</f>
        <v>0.10646655543311496</v>
      </c>
    </row>
    <row r="105" spans="2:6">
      <c r="B105" s="296" t="s">
        <v>407</v>
      </c>
      <c r="C105" s="347">
        <f>IF(BS!C50&gt;30,"nm",BS!C50)</f>
        <v>0.9804830051022897</v>
      </c>
    </row>
    <row r="107" spans="2:6">
      <c r="B107" s="1" t="s">
        <v>255</v>
      </c>
    </row>
    <row r="108" spans="2:6">
      <c r="B108" s="47" t="s">
        <v>265</v>
      </c>
      <c r="C108" s="76">
        <f>BS!C66</f>
        <v>1089388</v>
      </c>
      <c r="D108" s="1" t="str">
        <f>Reporting_currency</f>
        <v>HKD</v>
      </c>
    </row>
    <row r="109" spans="2:6">
      <c r="B109" s="47" t="s">
        <v>267</v>
      </c>
      <c r="C109" s="76">
        <f>DCF!C8</f>
        <v>587281.82009631116</v>
      </c>
      <c r="D109" s="1" t="str">
        <f>Reporting_currency</f>
        <v>HKD</v>
      </c>
    </row>
    <row r="110" spans="2:6">
      <c r="B110" s="47" t="s">
        <v>283</v>
      </c>
      <c r="C110" s="223">
        <f>C109*scaling_factor*Exchange_Rate/Common_Shares</f>
        <v>1.2050311068441337</v>
      </c>
      <c r="D110" s="1" t="str">
        <f>Market_currency</f>
        <v>HKD</v>
      </c>
    </row>
    <row r="112" spans="2:6">
      <c r="B112" s="1" t="s">
        <v>257</v>
      </c>
    </row>
    <row r="113" spans="1:6">
      <c r="B113" s="47" t="s">
        <v>258</v>
      </c>
      <c r="C113" s="76">
        <f>DCF!C9</f>
        <v>18907.900000000001</v>
      </c>
      <c r="D113" s="1" t="str">
        <f>Reporting_currency</f>
        <v>HKD</v>
      </c>
    </row>
    <row r="114" spans="1:6">
      <c r="B114" s="47" t="s">
        <v>284</v>
      </c>
      <c r="C114" s="223">
        <f>C113*scaling_factor*Exchange_Rate/Common_Shares</f>
        <v>3.8796718858693152E-2</v>
      </c>
      <c r="D114" s="1" t="str">
        <f>Market_currency</f>
        <v>HKD</v>
      </c>
    </row>
    <row r="116" spans="1:6" ht="24.5" customHeight="1">
      <c r="B116" s="348" t="s">
        <v>367</v>
      </c>
      <c r="C116" s="348"/>
      <c r="D116" s="348"/>
      <c r="E116" s="348"/>
      <c r="F116" s="348"/>
    </row>
    <row r="118" spans="1:6">
      <c r="B118" s="47" t="s">
        <v>449</v>
      </c>
      <c r="C118" s="223">
        <f>IF(valuation_method="DCF",DCF!C12,DDM!C7)</f>
        <v>4.6297432042189586</v>
      </c>
      <c r="D118" s="1" t="str">
        <f>Market_currency</f>
        <v>HKD</v>
      </c>
    </row>
    <row r="119" spans="1:6">
      <c r="B119" s="296" t="s">
        <v>406</v>
      </c>
      <c r="C119" s="223">
        <f>BS!D47</f>
        <v>1.6698226477450393</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259</v>
      </c>
      <c r="C132" s="217">
        <f>Scenarios!C60</f>
        <v>5.2246962590200807</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0.128</v>
      </c>
      <c r="D143" s="212" t="str">
        <f>Market_currency</f>
        <v>HKD</v>
      </c>
    </row>
    <row r="145" spans="2:4">
      <c r="B145" s="210" t="s">
        <v>409</v>
      </c>
      <c r="C145" s="241" t="str">
        <f>C11</f>
        <v>0398.HK</v>
      </c>
      <c r="D145" s="241" t="str">
        <f>IF(D11="","",D11)</f>
        <v/>
      </c>
    </row>
    <row r="146" spans="2:4">
      <c r="B146" s="1" t="s">
        <v>408</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261</v>
      </c>
      <c r="C149" s="215">
        <f>Scenarios!C83</f>
        <v>2.2556276815093281</v>
      </c>
      <c r="D149" s="300" t="str">
        <f>IF($D$11="","",C149*$E$25)</f>
        <v/>
      </c>
    </row>
    <row r="150" spans="2:4">
      <c r="B150" s="259" t="s">
        <v>416</v>
      </c>
      <c r="C150" s="298" t="str">
        <f>Market_currency</f>
        <v>HKD</v>
      </c>
      <c r="D150" s="298" t="str">
        <f>IF($D$11="","",D$13)</f>
        <v/>
      </c>
    </row>
    <row r="151" spans="2:4">
      <c r="B151" s="214" t="s">
        <v>263</v>
      </c>
      <c r="C151" s="92">
        <f>Scenarios!F83</f>
        <v>0.56827582510368113</v>
      </c>
    </row>
    <row r="153" spans="2:4">
      <c r="B153" s="210" t="s">
        <v>412</v>
      </c>
    </row>
    <row r="154" spans="2:4">
      <c r="B154" s="1" t="s">
        <v>411</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261</v>
      </c>
      <c r="C157" s="215">
        <f>Scenarios!C93</f>
        <v>3.1582019073444916</v>
      </c>
      <c r="D157" s="300" t="str">
        <f>IF($D$11="","",C157*$E$25)</f>
        <v/>
      </c>
    </row>
    <row r="158" spans="2:4">
      <c r="B158" s="259" t="s">
        <v>416</v>
      </c>
      <c r="C158" s="298" t="str">
        <f>Market_currency</f>
        <v>HKD</v>
      </c>
      <c r="D158" s="298" t="str">
        <f>IF($D$11="","",D$13)</f>
        <v/>
      </c>
    </row>
    <row r="159" spans="2:4">
      <c r="B159" s="214" t="s">
        <v>263</v>
      </c>
      <c r="C159" s="92">
        <f>Scenarios!F93</f>
        <v>0.39552430404120198</v>
      </c>
    </row>
    <row r="161" spans="2:4">
      <c r="B161" s="210" t="s">
        <v>401</v>
      </c>
    </row>
    <row r="162" spans="2:4">
      <c r="B162" s="1" t="s">
        <v>410</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402</v>
      </c>
      <c r="C165" s="215">
        <f>Scenarios!C99</f>
        <v>4.5385417708791076</v>
      </c>
      <c r="D165" s="300" t="str">
        <f>IF($D$11="","",C165*$E$25)</f>
        <v/>
      </c>
    </row>
    <row r="166" spans="2:4">
      <c r="B166" s="259" t="s">
        <v>416</v>
      </c>
      <c r="C166" s="298" t="str">
        <f>Market_currency</f>
        <v>HKD</v>
      </c>
      <c r="D166" s="298" t="str">
        <f>IF($D$11="","",D$13)</f>
        <v/>
      </c>
    </row>
    <row r="167" spans="2:4">
      <c r="B167" s="214" t="s">
        <v>263</v>
      </c>
      <c r="C167" s="92">
        <f>Scenarios!F99</f>
        <v>0.13132906759055596</v>
      </c>
    </row>
    <row r="169" spans="2:4">
      <c r="B169" s="210" t="s">
        <v>432</v>
      </c>
    </row>
    <row r="170" spans="2:4">
      <c r="B170" s="1" t="s">
        <v>423</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402</v>
      </c>
      <c r="C173" s="215">
        <f>Scenarios!C105</f>
        <v>4.0536685441183486</v>
      </c>
      <c r="D173" s="300" t="str">
        <f>IF($D$11="","",C173*$E$25)</f>
        <v/>
      </c>
    </row>
    <row r="174" spans="2:4">
      <c r="B174" s="259" t="s">
        <v>416</v>
      </c>
      <c r="C174" s="298" t="str">
        <f>Market_currency</f>
        <v>HKD</v>
      </c>
      <c r="D174" s="298" t="str">
        <f>IF($D$11="","",D$13)</f>
        <v/>
      </c>
    </row>
    <row r="175" spans="2:4">
      <c r="B175" s="214" t="s">
        <v>263</v>
      </c>
      <c r="C175" s="92">
        <f>Scenarios!F105</f>
        <v>0.22401578084943807</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4">
        <v>3638758</v>
      </c>
      <c r="D4" s="334">
        <v>3704677</v>
      </c>
      <c r="E4" s="334">
        <v>3639774</v>
      </c>
      <c r="F4" s="334">
        <v>3504022</v>
      </c>
      <c r="G4" s="334">
        <v>2352683</v>
      </c>
      <c r="H4" s="334">
        <v>2437184</v>
      </c>
      <c r="I4" s="334">
        <v>2891692</v>
      </c>
      <c r="J4" s="334">
        <v>3142295</v>
      </c>
      <c r="K4" s="334">
        <v>3031752</v>
      </c>
      <c r="L4" s="334"/>
      <c r="M4" s="334"/>
    </row>
    <row r="5" spans="2:13">
      <c r="B5" s="40" t="s">
        <v>43</v>
      </c>
      <c r="C5" s="334">
        <v>2488028</v>
      </c>
      <c r="D5" s="334">
        <v>2515967</v>
      </c>
      <c r="E5" s="334">
        <v>2459489</v>
      </c>
      <c r="F5" s="334">
        <v>2541906</v>
      </c>
      <c r="G5" s="334">
        <v>1707356</v>
      </c>
      <c r="H5" s="334">
        <v>1834224</v>
      </c>
      <c r="I5" s="334">
        <v>2284817</v>
      </c>
      <c r="J5" s="334">
        <v>2634028</v>
      </c>
      <c r="K5" s="334">
        <v>2546147</v>
      </c>
      <c r="L5" s="334"/>
      <c r="M5" s="334"/>
    </row>
    <row r="6" spans="2:13">
      <c r="B6" s="40" t="s">
        <v>54</v>
      </c>
      <c r="C6" s="334">
        <v>796708</v>
      </c>
      <c r="D6" s="334">
        <v>780002</v>
      </c>
      <c r="E6" s="334">
        <v>748422</v>
      </c>
      <c r="F6" s="334">
        <v>643444</v>
      </c>
      <c r="G6" s="334">
        <v>489743</v>
      </c>
      <c r="H6" s="334">
        <v>475518</v>
      </c>
      <c r="I6" s="334">
        <v>481847</v>
      </c>
      <c r="J6" s="334">
        <v>501814</v>
      </c>
      <c r="K6" s="334">
        <v>531963</v>
      </c>
      <c r="L6" s="334"/>
      <c r="M6" s="334"/>
    </row>
    <row r="7" spans="2:13">
      <c r="B7" s="69" t="s">
        <v>61</v>
      </c>
      <c r="C7" s="335">
        <v>543502</v>
      </c>
      <c r="D7" s="335">
        <v>527090</v>
      </c>
      <c r="E7" s="335">
        <v>504718</v>
      </c>
      <c r="F7" s="335">
        <v>431450</v>
      </c>
      <c r="G7" s="335">
        <v>334415</v>
      </c>
      <c r="H7" s="335">
        <v>197943</v>
      </c>
      <c r="I7" s="335">
        <v>206424</v>
      </c>
      <c r="J7" s="335">
        <v>190447</v>
      </c>
      <c r="K7" s="335">
        <v>199533</v>
      </c>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13663</v>
      </c>
      <c r="D12" s="334">
        <v>14612</v>
      </c>
      <c r="E12" s="334">
        <v>12033</v>
      </c>
      <c r="F12" s="334">
        <v>10203</v>
      </c>
      <c r="G12" s="334">
        <v>14210</v>
      </c>
      <c r="H12" s="334">
        <v>1959</v>
      </c>
      <c r="I12" s="334">
        <v>1843</v>
      </c>
      <c r="J12" s="334">
        <v>3730</v>
      </c>
      <c r="K12" s="334">
        <v>6942</v>
      </c>
      <c r="L12" s="334"/>
      <c r="M12" s="334"/>
    </row>
    <row r="13" spans="2:13">
      <c r="B13" s="40" t="s">
        <v>67</v>
      </c>
      <c r="C13" s="334"/>
      <c r="D13" s="334"/>
      <c r="E13" s="334"/>
      <c r="F13" s="334"/>
      <c r="G13" s="334"/>
      <c r="H13" s="334"/>
      <c r="I13" s="334"/>
      <c r="J13" s="334"/>
      <c r="K13" s="334"/>
      <c r="L13" s="334"/>
      <c r="M13" s="334"/>
    </row>
    <row r="14" spans="2:13">
      <c r="B14" s="40" t="s">
        <v>50</v>
      </c>
      <c r="C14" s="334">
        <v>145324</v>
      </c>
      <c r="D14" s="334">
        <v>144534</v>
      </c>
      <c r="E14" s="334">
        <v>150461</v>
      </c>
      <c r="F14" s="334">
        <v>123112</v>
      </c>
      <c r="G14" s="334">
        <v>28324</v>
      </c>
      <c r="H14" s="334">
        <v>21936</v>
      </c>
      <c r="I14" s="334">
        <v>26006</v>
      </c>
      <c r="J14" s="334">
        <v>9352</v>
      </c>
      <c r="K14" s="334">
        <v>3042</v>
      </c>
      <c r="L14" s="334"/>
      <c r="M14" s="334"/>
    </row>
    <row r="15" spans="2:13">
      <c r="B15" s="43" t="s">
        <v>42</v>
      </c>
      <c r="C15" s="336">
        <v>251150</v>
      </c>
      <c r="D15" s="336">
        <v>295524</v>
      </c>
      <c r="E15" s="336">
        <v>362976</v>
      </c>
      <c r="F15" s="336">
        <v>232624</v>
      </c>
      <c r="G15" s="336">
        <v>99109</v>
      </c>
      <c r="H15" s="336">
        <v>138039</v>
      </c>
      <c r="I15" s="336">
        <v>138685</v>
      </c>
      <c r="J15" s="336">
        <v>16097</v>
      </c>
      <c r="K15" s="336">
        <v>-15759</v>
      </c>
      <c r="L15" s="336"/>
      <c r="M15" s="336"/>
    </row>
    <row r="16" spans="2:13">
      <c r="B16" s="28" t="s">
        <v>44</v>
      </c>
      <c r="C16" s="334">
        <v>662</v>
      </c>
      <c r="D16" s="334">
        <v>92</v>
      </c>
      <c r="E16" s="334">
        <v>402</v>
      </c>
      <c r="F16" s="334">
        <v>-632</v>
      </c>
      <c r="G16" s="334">
        <v>-1192</v>
      </c>
      <c r="H16" s="334">
        <v>-60</v>
      </c>
      <c r="I16" s="334">
        <v>-78</v>
      </c>
      <c r="J16" s="334">
        <v>-286</v>
      </c>
      <c r="K16" s="334">
        <v>-231</v>
      </c>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346987</v>
      </c>
      <c r="D22" s="334">
        <v>421974</v>
      </c>
      <c r="E22" s="334">
        <v>732665</v>
      </c>
      <c r="F22" s="334">
        <v>643498</v>
      </c>
      <c r="G22" s="334">
        <v>306436</v>
      </c>
      <c r="H22" s="334">
        <v>269780</v>
      </c>
      <c r="I22" s="334">
        <v>503072</v>
      </c>
      <c r="J22" s="334">
        <v>266577</v>
      </c>
      <c r="K22" s="334">
        <v>204101</v>
      </c>
      <c r="L22" s="334"/>
      <c r="M22" s="334"/>
    </row>
    <row r="23" spans="2:13">
      <c r="B23" s="27" t="s">
        <v>374</v>
      </c>
      <c r="C23" s="334">
        <v>-67837</v>
      </c>
      <c r="D23" s="334">
        <v>-37092</v>
      </c>
      <c r="E23" s="334">
        <v>-77565</v>
      </c>
      <c r="F23" s="334">
        <v>-47993</v>
      </c>
      <c r="G23" s="334">
        <v>-48419</v>
      </c>
      <c r="H23" s="334">
        <v>-39236</v>
      </c>
      <c r="I23" s="334">
        <v>-17998</v>
      </c>
      <c r="J23" s="334">
        <v>89956</v>
      </c>
      <c r="K23" s="334">
        <v>-13332</v>
      </c>
      <c r="L23" s="334"/>
      <c r="M23" s="334"/>
    </row>
    <row r="24" spans="2:13">
      <c r="B24" s="27" t="s">
        <v>373</v>
      </c>
      <c r="C24" s="334">
        <v>-423459</v>
      </c>
      <c r="D24" s="334">
        <v>-530752</v>
      </c>
      <c r="E24" s="334">
        <v>-458369</v>
      </c>
      <c r="F24" s="334">
        <v>-497885</v>
      </c>
      <c r="G24" s="334">
        <v>-381840</v>
      </c>
      <c r="H24" s="334">
        <v>-209528</v>
      </c>
      <c r="I24" s="334">
        <v>-69431</v>
      </c>
      <c r="J24" s="334">
        <v>-114101</v>
      </c>
      <c r="K24" s="334">
        <v>-126118</v>
      </c>
      <c r="L24" s="334"/>
      <c r="M24" s="334"/>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23">
        <f>BS!C4</f>
        <v>348607</v>
      </c>
      <c r="D28" s="334">
        <v>262508</v>
      </c>
      <c r="E28" s="334">
        <v>179615</v>
      </c>
      <c r="F28" s="334">
        <v>260527</v>
      </c>
      <c r="G28" s="334">
        <v>80876</v>
      </c>
      <c r="H28" s="334">
        <v>86046</v>
      </c>
      <c r="I28" s="334">
        <v>108938</v>
      </c>
      <c r="J28" s="334">
        <v>91351</v>
      </c>
      <c r="K28" s="334">
        <v>88852</v>
      </c>
      <c r="L28" s="334"/>
      <c r="M28" s="334"/>
    </row>
    <row r="29" spans="2:13">
      <c r="B29" s="26" t="s">
        <v>32</v>
      </c>
      <c r="C29" s="323">
        <f>BS!C6</f>
        <v>506592</v>
      </c>
      <c r="D29" s="334">
        <v>422202</v>
      </c>
      <c r="E29" s="334">
        <v>483625</v>
      </c>
      <c r="F29" s="334">
        <v>622768</v>
      </c>
      <c r="G29" s="334">
        <v>798693</v>
      </c>
      <c r="H29" s="334">
        <v>823654</v>
      </c>
      <c r="I29" s="334">
        <v>1001069</v>
      </c>
      <c r="J29" s="334">
        <v>1275897</v>
      </c>
      <c r="K29" s="334">
        <v>1569528</v>
      </c>
      <c r="L29" s="334"/>
      <c r="M29" s="334"/>
    </row>
    <row r="30" spans="2:13">
      <c r="B30" s="29" t="s">
        <v>40</v>
      </c>
      <c r="C30" s="324">
        <f>BS!C33+BS!C42</f>
        <v>732882</v>
      </c>
      <c r="D30" s="336">
        <v>723327</v>
      </c>
      <c r="E30" s="336">
        <v>843108</v>
      </c>
      <c r="F30" s="336">
        <v>736981</v>
      </c>
      <c r="G30" s="336">
        <v>430335</v>
      </c>
      <c r="H30" s="336">
        <v>194628</v>
      </c>
      <c r="I30" s="336">
        <v>222985</v>
      </c>
      <c r="J30" s="336">
        <v>207724</v>
      </c>
      <c r="K30" s="336">
        <v>376010</v>
      </c>
      <c r="L30" s="336"/>
      <c r="M30" s="336"/>
    </row>
    <row r="31" spans="2:13">
      <c r="B31" s="29" t="s">
        <v>30</v>
      </c>
      <c r="C31" s="324">
        <f>BS!G27</f>
        <v>1832181</v>
      </c>
      <c r="D31" s="336">
        <v>1895931</v>
      </c>
      <c r="E31" s="336">
        <v>2036167</v>
      </c>
      <c r="F31" s="336">
        <v>1990549</v>
      </c>
      <c r="G31" s="336">
        <v>2083286</v>
      </c>
      <c r="H31" s="336">
        <v>2213601</v>
      </c>
      <c r="I31" s="336">
        <v>2316952</v>
      </c>
      <c r="J31" s="336">
        <v>2147014</v>
      </c>
      <c r="K31" s="336">
        <v>2157572</v>
      </c>
      <c r="L31" s="336"/>
      <c r="M31" s="336"/>
    </row>
    <row r="32" spans="2:13">
      <c r="B32" s="26" t="s">
        <v>173</v>
      </c>
      <c r="C32" s="323">
        <f>BS!G28</f>
        <v>1765</v>
      </c>
      <c r="D32" s="334">
        <v>1186</v>
      </c>
      <c r="E32" s="334">
        <v>1160</v>
      </c>
      <c r="F32" s="334">
        <v>-946</v>
      </c>
      <c r="G32" s="334">
        <v>-325</v>
      </c>
      <c r="H32" s="334">
        <v>868</v>
      </c>
      <c r="I32" s="334">
        <v>975</v>
      </c>
      <c r="J32" s="334">
        <v>1008</v>
      </c>
      <c r="K32" s="334">
        <v>1054</v>
      </c>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3638758</v>
      </c>
      <c r="D36" s="323">
        <f t="shared" si="1"/>
        <v>3704677</v>
      </c>
      <c r="E36" s="323">
        <f t="shared" si="1"/>
        <v>3639774</v>
      </c>
      <c r="F36" s="323">
        <f t="shared" si="1"/>
        <v>3504022</v>
      </c>
      <c r="G36" s="323">
        <f t="shared" si="1"/>
        <v>2352683</v>
      </c>
      <c r="H36" s="323">
        <f t="shared" si="1"/>
        <v>2437184</v>
      </c>
      <c r="I36" s="323">
        <f t="shared" si="1"/>
        <v>2891692</v>
      </c>
      <c r="J36" s="323">
        <f t="shared" si="1"/>
        <v>3142295</v>
      </c>
      <c r="K36" s="323">
        <f t="shared" si="1"/>
        <v>3031752</v>
      </c>
      <c r="L36" s="323" t="str">
        <f t="shared" si="1"/>
        <v/>
      </c>
      <c r="M36" s="323" t="str">
        <f t="shared" si="1"/>
        <v/>
      </c>
    </row>
    <row r="37" spans="2:13">
      <c r="B37" s="40" t="s">
        <v>43</v>
      </c>
      <c r="C37" s="323">
        <f t="shared" ref="C37:M37" si="2">IF(C$4="","",-C5)</f>
        <v>-2488028</v>
      </c>
      <c r="D37" s="323">
        <f t="shared" si="2"/>
        <v>-2515967</v>
      </c>
      <c r="E37" s="323">
        <f t="shared" si="2"/>
        <v>-2459489</v>
      </c>
      <c r="F37" s="323">
        <f t="shared" si="2"/>
        <v>-2541906</v>
      </c>
      <c r="G37" s="323">
        <f t="shared" si="2"/>
        <v>-1707356</v>
      </c>
      <c r="H37" s="323">
        <f t="shared" si="2"/>
        <v>-1834224</v>
      </c>
      <c r="I37" s="323">
        <f t="shared" si="2"/>
        <v>-2284817</v>
      </c>
      <c r="J37" s="323">
        <f t="shared" si="2"/>
        <v>-2634028</v>
      </c>
      <c r="K37" s="323">
        <f t="shared" si="2"/>
        <v>-2546147</v>
      </c>
      <c r="L37" s="323" t="str">
        <f t="shared" si="2"/>
        <v/>
      </c>
      <c r="M37" s="323" t="str">
        <f t="shared" si="2"/>
        <v/>
      </c>
    </row>
    <row r="38" spans="2:13">
      <c r="B38" s="31" t="s">
        <v>58</v>
      </c>
      <c r="C38" s="319">
        <f>IF(C36="","",C36+C37)</f>
        <v>1150730</v>
      </c>
      <c r="D38" s="319">
        <f t="shared" ref="D38" si="3">IF(D36="","",D36+D37)</f>
        <v>1188710</v>
      </c>
      <c r="E38" s="319">
        <f t="shared" ref="E38" si="4">IF(E36="","",E36+E37)</f>
        <v>1180285</v>
      </c>
      <c r="F38" s="319">
        <f t="shared" ref="F38" si="5">IF(F36="","",F36+F37)</f>
        <v>962116</v>
      </c>
      <c r="G38" s="319">
        <f t="shared" ref="G38" si="6">IF(G36="","",G36+G37)</f>
        <v>645327</v>
      </c>
      <c r="H38" s="319">
        <f t="shared" ref="H38" si="7">IF(H36="","",H36+H37)</f>
        <v>602960</v>
      </c>
      <c r="I38" s="319">
        <f t="shared" ref="I38" si="8">IF(I36="","",I36+I37)</f>
        <v>606875</v>
      </c>
      <c r="J38" s="319">
        <f t="shared" ref="J38" si="9">IF(J36="","",J36+J37)</f>
        <v>508267</v>
      </c>
      <c r="K38" s="319">
        <f t="shared" ref="K38" si="10">IF(K36="","",K36+K37)</f>
        <v>485605</v>
      </c>
      <c r="L38" s="319" t="str">
        <f t="shared" ref="L38" si="11">IF(L36="","",L36+L37)</f>
        <v/>
      </c>
      <c r="M38" s="319" t="str">
        <f t="shared" ref="M38" si="12">IF(M36="","",M36+M37)</f>
        <v/>
      </c>
    </row>
    <row r="39" spans="2:13">
      <c r="B39" s="40" t="s">
        <v>54</v>
      </c>
      <c r="C39" s="323">
        <f t="shared" ref="C39:M39" si="13">IF(C$4="","",-C6)</f>
        <v>-796708</v>
      </c>
      <c r="D39" s="323">
        <f t="shared" si="13"/>
        <v>-780002</v>
      </c>
      <c r="E39" s="323">
        <f t="shared" si="13"/>
        <v>-748422</v>
      </c>
      <c r="F39" s="323">
        <f t="shared" si="13"/>
        <v>-643444</v>
      </c>
      <c r="G39" s="323">
        <f t="shared" si="13"/>
        <v>-489743</v>
      </c>
      <c r="H39" s="323">
        <f t="shared" si="13"/>
        <v>-475518</v>
      </c>
      <c r="I39" s="323">
        <f t="shared" si="13"/>
        <v>-481847</v>
      </c>
      <c r="J39" s="323">
        <f t="shared" si="13"/>
        <v>-501814</v>
      </c>
      <c r="K39" s="323">
        <f t="shared" si="13"/>
        <v>-531963</v>
      </c>
      <c r="L39" s="323" t="str">
        <f t="shared" si="13"/>
        <v/>
      </c>
      <c r="M39" s="323" t="str">
        <f t="shared" si="13"/>
        <v/>
      </c>
    </row>
    <row r="40" spans="2:13">
      <c r="B40" s="69" t="s">
        <v>61</v>
      </c>
      <c r="C40" s="333">
        <f t="shared" ref="C40:M40" si="14">IF(C$4="","",-C7)</f>
        <v>-543502</v>
      </c>
      <c r="D40" s="333">
        <f t="shared" si="14"/>
        <v>-527090</v>
      </c>
      <c r="E40" s="333">
        <f t="shared" si="14"/>
        <v>-504718</v>
      </c>
      <c r="F40" s="333">
        <f t="shared" si="14"/>
        <v>-431450</v>
      </c>
      <c r="G40" s="333">
        <f t="shared" si="14"/>
        <v>-334415</v>
      </c>
      <c r="H40" s="333">
        <f t="shared" si="14"/>
        <v>-197943</v>
      </c>
      <c r="I40" s="333">
        <f t="shared" si="14"/>
        <v>-206424</v>
      </c>
      <c r="J40" s="333">
        <f t="shared" si="14"/>
        <v>-190447</v>
      </c>
      <c r="K40" s="333">
        <f t="shared" si="14"/>
        <v>-199533</v>
      </c>
      <c r="L40" s="333" t="str">
        <f t="shared" si="14"/>
        <v/>
      </c>
      <c r="M40" s="333" t="str">
        <f t="shared" si="14"/>
        <v/>
      </c>
    </row>
    <row r="41" spans="2:13">
      <c r="B41" s="69" t="s">
        <v>64</v>
      </c>
      <c r="C41" s="333">
        <f>IF(C$4="","",C39-C40)</f>
        <v>-253206</v>
      </c>
      <c r="D41" s="333">
        <f t="shared" ref="D41:M41" si="15">IF(D$4="","",D39-D40)</f>
        <v>-252912</v>
      </c>
      <c r="E41" s="333">
        <f t="shared" si="15"/>
        <v>-243704</v>
      </c>
      <c r="F41" s="333">
        <f t="shared" si="15"/>
        <v>-211994</v>
      </c>
      <c r="G41" s="333">
        <f t="shared" si="15"/>
        <v>-155328</v>
      </c>
      <c r="H41" s="333">
        <f t="shared" si="15"/>
        <v>-277575</v>
      </c>
      <c r="I41" s="333">
        <f t="shared" si="15"/>
        <v>-275423</v>
      </c>
      <c r="J41" s="333">
        <f t="shared" si="15"/>
        <v>-311367</v>
      </c>
      <c r="K41" s="333">
        <f t="shared" si="15"/>
        <v>-332430</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t="str">
        <f t="shared" si="16"/>
        <v/>
      </c>
      <c r="M42" s="323" t="str">
        <f t="shared" si="16"/>
        <v/>
      </c>
    </row>
    <row r="43" spans="2:13">
      <c r="B43" s="43" t="s">
        <v>153</v>
      </c>
      <c r="C43" s="324">
        <f>IF(C$4="","",C38+C39+C42)</f>
        <v>354022</v>
      </c>
      <c r="D43" s="324">
        <f t="shared" ref="D43:M43" si="17">IF(D$4="","",D38+D39+D42)</f>
        <v>408708</v>
      </c>
      <c r="E43" s="324">
        <f t="shared" si="17"/>
        <v>431863</v>
      </c>
      <c r="F43" s="324">
        <f t="shared" si="17"/>
        <v>318672</v>
      </c>
      <c r="G43" s="324">
        <f t="shared" si="17"/>
        <v>155584</v>
      </c>
      <c r="H43" s="324">
        <f t="shared" si="17"/>
        <v>127442</v>
      </c>
      <c r="I43" s="324">
        <f t="shared" si="17"/>
        <v>125028</v>
      </c>
      <c r="J43" s="324">
        <f t="shared" si="17"/>
        <v>6453</v>
      </c>
      <c r="K43" s="324">
        <f t="shared" si="17"/>
        <v>-46358</v>
      </c>
      <c r="L43" s="324" t="str">
        <f t="shared" si="17"/>
        <v/>
      </c>
      <c r="M43" s="324" t="str">
        <f t="shared" si="17"/>
        <v/>
      </c>
    </row>
    <row r="44" spans="2:13">
      <c r="B44" s="43" t="s">
        <v>169</v>
      </c>
      <c r="C44" s="180">
        <f t="shared" ref="C44:M44" si="18">IF(C$4="","",C47-C46-C45-C43)</f>
        <v>56115</v>
      </c>
      <c r="D44" s="180">
        <f t="shared" si="18"/>
        <v>45962</v>
      </c>
      <c r="E44" s="180">
        <f t="shared" si="18"/>
        <v>93607</v>
      </c>
      <c r="F44" s="180">
        <f t="shared" si="18"/>
        <v>47267</v>
      </c>
      <c r="G44" s="180">
        <f t="shared" si="18"/>
        <v>-13941</v>
      </c>
      <c r="H44" s="180">
        <f t="shared" si="18"/>
        <v>34492</v>
      </c>
      <c r="I44" s="180">
        <f t="shared" si="18"/>
        <v>41506</v>
      </c>
      <c r="J44" s="180">
        <f t="shared" si="18"/>
        <v>22726</v>
      </c>
      <c r="K44" s="180">
        <f t="shared" si="18"/>
        <v>40583</v>
      </c>
      <c r="L44" s="180" t="str">
        <f t="shared" si="18"/>
        <v/>
      </c>
      <c r="M44" s="180"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323">
        <f t="shared" ref="C46:M46" si="20">IF(C$4="","",-C14)</f>
        <v>-145324</v>
      </c>
      <c r="D46" s="323">
        <f t="shared" si="20"/>
        <v>-144534</v>
      </c>
      <c r="E46" s="323">
        <f t="shared" si="20"/>
        <v>-150461</v>
      </c>
      <c r="F46" s="323">
        <f t="shared" si="20"/>
        <v>-123112</v>
      </c>
      <c r="G46" s="323">
        <f t="shared" si="20"/>
        <v>-28324</v>
      </c>
      <c r="H46" s="323">
        <f t="shared" si="20"/>
        <v>-21936</v>
      </c>
      <c r="I46" s="323">
        <f t="shared" si="20"/>
        <v>-26006</v>
      </c>
      <c r="J46" s="323">
        <f t="shared" si="20"/>
        <v>-9352</v>
      </c>
      <c r="K46" s="323">
        <f t="shared" si="20"/>
        <v>-3042</v>
      </c>
      <c r="L46" s="323" t="str">
        <f t="shared" si="20"/>
        <v/>
      </c>
      <c r="M46" s="323" t="str">
        <f t="shared" si="20"/>
        <v/>
      </c>
    </row>
    <row r="47" spans="2:13">
      <c r="B47" s="43" t="s">
        <v>42</v>
      </c>
      <c r="C47" s="324">
        <f t="shared" ref="C47:M47" si="21">IF(C$4="","",C15)</f>
        <v>251150</v>
      </c>
      <c r="D47" s="324">
        <f t="shared" si="21"/>
        <v>295524</v>
      </c>
      <c r="E47" s="324">
        <f t="shared" si="21"/>
        <v>362976</v>
      </c>
      <c r="F47" s="324">
        <f t="shared" si="21"/>
        <v>232624</v>
      </c>
      <c r="G47" s="324">
        <f t="shared" si="21"/>
        <v>99109</v>
      </c>
      <c r="H47" s="324">
        <f t="shared" si="21"/>
        <v>138039</v>
      </c>
      <c r="I47" s="324">
        <f t="shared" si="21"/>
        <v>138685</v>
      </c>
      <c r="J47" s="324">
        <f t="shared" si="21"/>
        <v>16097</v>
      </c>
      <c r="K47" s="324">
        <f t="shared" si="21"/>
        <v>-15759</v>
      </c>
      <c r="L47" s="324" t="str">
        <f t="shared" si="21"/>
        <v/>
      </c>
      <c r="M47" s="324" t="str">
        <f t="shared" si="21"/>
        <v/>
      </c>
    </row>
    <row r="48" spans="2:13">
      <c r="B48" s="28" t="s">
        <v>44</v>
      </c>
      <c r="C48" s="323">
        <f t="shared" ref="C48:M48" si="22">IF(C$4="","",MIN(-C16,0))</f>
        <v>-662</v>
      </c>
      <c r="D48" s="323">
        <f t="shared" si="22"/>
        <v>-92</v>
      </c>
      <c r="E48" s="323">
        <f t="shared" si="22"/>
        <v>-402</v>
      </c>
      <c r="F48" s="323">
        <f t="shared" si="22"/>
        <v>0</v>
      </c>
      <c r="G48" s="323">
        <f t="shared" si="22"/>
        <v>0</v>
      </c>
      <c r="H48" s="323">
        <f t="shared" si="22"/>
        <v>0</v>
      </c>
      <c r="I48" s="323">
        <f t="shared" si="22"/>
        <v>0</v>
      </c>
      <c r="J48" s="323">
        <f t="shared" si="22"/>
        <v>0</v>
      </c>
      <c r="K48" s="323">
        <f t="shared" si="22"/>
        <v>0</v>
      </c>
      <c r="L48" s="323" t="str">
        <f t="shared" si="22"/>
        <v/>
      </c>
      <c r="M48" s="323" t="str">
        <f t="shared" si="22"/>
        <v/>
      </c>
    </row>
    <row r="50" spans="2:13">
      <c r="B50" s="16" t="s">
        <v>68</v>
      </c>
    </row>
    <row r="51" spans="2:13">
      <c r="B51" s="40" t="s">
        <v>39</v>
      </c>
      <c r="C51" s="323">
        <f t="shared" ref="C51:M51" si="23">IF(C$4="","",-C12)</f>
        <v>-13663</v>
      </c>
      <c r="D51" s="323">
        <f t="shared" si="23"/>
        <v>-14612</v>
      </c>
      <c r="E51" s="323">
        <f t="shared" si="23"/>
        <v>-12033</v>
      </c>
      <c r="F51" s="323">
        <f t="shared" si="23"/>
        <v>-10203</v>
      </c>
      <c r="G51" s="323">
        <f t="shared" si="23"/>
        <v>-14210</v>
      </c>
      <c r="H51" s="323">
        <f t="shared" si="23"/>
        <v>-1959</v>
      </c>
      <c r="I51" s="323">
        <f t="shared" si="23"/>
        <v>-1843</v>
      </c>
      <c r="J51" s="323">
        <f t="shared" si="23"/>
        <v>-3730</v>
      </c>
      <c r="K51" s="323">
        <f t="shared" si="23"/>
        <v>-6942</v>
      </c>
      <c r="L51" s="323" t="str">
        <f t="shared" si="23"/>
        <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t="str">
        <f t="shared" si="31"/>
        <v/>
      </c>
      <c r="M63" s="323" t="str">
        <f t="shared" si="31"/>
        <v/>
      </c>
    </row>
    <row r="64" spans="2:13">
      <c r="B64" s="27" t="s">
        <v>394</v>
      </c>
      <c r="C64" s="323">
        <f>IF(C$4="","",C22+C23+C24)</f>
        <v>-144309</v>
      </c>
      <c r="D64" s="323">
        <f t="shared" ref="D64:M64" si="32">IF(D$4="","",D22+D23+D24)</f>
        <v>-145870</v>
      </c>
      <c r="E64" s="323">
        <f t="shared" si="32"/>
        <v>196731</v>
      </c>
      <c r="F64" s="323">
        <f t="shared" si="32"/>
        <v>97620</v>
      </c>
      <c r="G64" s="323">
        <f t="shared" si="32"/>
        <v>-123823</v>
      </c>
      <c r="H64" s="323">
        <f t="shared" si="32"/>
        <v>21016</v>
      </c>
      <c r="I64" s="323">
        <f t="shared" si="32"/>
        <v>415643</v>
      </c>
      <c r="J64" s="323">
        <f t="shared" si="32"/>
        <v>242432</v>
      </c>
      <c r="K64" s="323">
        <f t="shared" si="32"/>
        <v>64651</v>
      </c>
      <c r="L64" s="323" t="str">
        <f t="shared" si="32"/>
        <v/>
      </c>
      <c r="M64" s="32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333">
        <f t="shared" ref="C77:H78" si="40">IF(C$4="","",C28)</f>
        <v>348607</v>
      </c>
      <c r="D77" s="333">
        <f t="shared" si="40"/>
        <v>262508</v>
      </c>
      <c r="E77" s="333">
        <f t="shared" si="40"/>
        <v>179615</v>
      </c>
      <c r="F77" s="333">
        <f t="shared" si="40"/>
        <v>260527</v>
      </c>
      <c r="G77" s="333">
        <f t="shared" si="40"/>
        <v>80876</v>
      </c>
      <c r="H77" s="333">
        <f t="shared" si="40"/>
        <v>86046</v>
      </c>
      <c r="I77" s="337"/>
      <c r="J77" s="337"/>
      <c r="K77" s="337"/>
      <c r="L77" s="337"/>
      <c r="M77" s="337"/>
    </row>
    <row r="78" spans="2:13">
      <c r="B78" s="93" t="s">
        <v>87</v>
      </c>
      <c r="C78" s="333">
        <f t="shared" si="40"/>
        <v>506592</v>
      </c>
      <c r="D78" s="333">
        <f t="shared" si="40"/>
        <v>422202</v>
      </c>
      <c r="E78" s="333">
        <f t="shared" si="40"/>
        <v>483625</v>
      </c>
      <c r="F78" s="333">
        <f t="shared" si="40"/>
        <v>622768</v>
      </c>
      <c r="G78" s="333">
        <f t="shared" si="40"/>
        <v>798693</v>
      </c>
      <c r="H78" s="333">
        <f t="shared" si="40"/>
        <v>823654</v>
      </c>
      <c r="I78" s="337"/>
      <c r="J78" s="337"/>
      <c r="K78" s="337"/>
      <c r="L78" s="337"/>
      <c r="M78" s="337"/>
    </row>
    <row r="79" spans="2:13">
      <c r="B79" s="26" t="s">
        <v>40</v>
      </c>
      <c r="C79" s="323">
        <f t="shared" ref="C79:M79" si="41">IF(C$4="","",C30)</f>
        <v>732882</v>
      </c>
      <c r="D79" s="323">
        <f t="shared" si="41"/>
        <v>723327</v>
      </c>
      <c r="E79" s="323">
        <f t="shared" si="41"/>
        <v>843108</v>
      </c>
      <c r="F79" s="323">
        <f t="shared" si="41"/>
        <v>736981</v>
      </c>
      <c r="G79" s="323">
        <f t="shared" si="41"/>
        <v>430335</v>
      </c>
      <c r="H79" s="323">
        <f t="shared" si="41"/>
        <v>194628</v>
      </c>
      <c r="I79" s="323">
        <f t="shared" si="41"/>
        <v>222985</v>
      </c>
      <c r="J79" s="323">
        <f t="shared" si="41"/>
        <v>207724</v>
      </c>
      <c r="K79" s="323">
        <f t="shared" si="41"/>
        <v>376010</v>
      </c>
      <c r="L79" s="323" t="str">
        <f t="shared" si="41"/>
        <v/>
      </c>
      <c r="M79" s="323" t="str">
        <f t="shared" si="41"/>
        <v/>
      </c>
    </row>
    <row r="80" spans="2:13">
      <c r="B80" s="26" t="s">
        <v>30</v>
      </c>
      <c r="C80" s="323">
        <f t="shared" ref="C80:M80" si="42">IF(C$4="","",C31)</f>
        <v>1832181</v>
      </c>
      <c r="D80" s="323">
        <f t="shared" si="42"/>
        <v>1895931</v>
      </c>
      <c r="E80" s="323">
        <f t="shared" si="42"/>
        <v>2036167</v>
      </c>
      <c r="F80" s="323">
        <f t="shared" si="42"/>
        <v>1990549</v>
      </c>
      <c r="G80" s="323">
        <f t="shared" si="42"/>
        <v>2083286</v>
      </c>
      <c r="H80" s="323">
        <f t="shared" si="42"/>
        <v>2213601</v>
      </c>
      <c r="I80" s="323">
        <f t="shared" si="42"/>
        <v>2316952</v>
      </c>
      <c r="J80" s="323">
        <f t="shared" si="42"/>
        <v>2147014</v>
      </c>
      <c r="K80" s="323">
        <f t="shared" si="42"/>
        <v>2157572</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1">
        <v>0.6</v>
      </c>
      <c r="E4" s="25"/>
      <c r="F4" s="4" t="s">
        <v>78</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178</v>
      </c>
      <c r="G6" s="19">
        <v>0</v>
      </c>
      <c r="H6" s="261">
        <v>0.6</v>
      </c>
    </row>
    <row r="7" spans="2:8" ht="15" customHeight="1">
      <c r="B7" s="1" t="s">
        <v>69</v>
      </c>
      <c r="C7" s="19">
        <v>0</v>
      </c>
      <c r="D7" s="261">
        <v>0.6</v>
      </c>
      <c r="E7" s="25"/>
      <c r="F7" s="4" t="s">
        <v>179</v>
      </c>
      <c r="G7" s="19">
        <v>10851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f>29657+19498</f>
        <v>49155</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233391+169651+360+16234</f>
        <v>419636</v>
      </c>
      <c r="D19" s="261">
        <v>0.1</v>
      </c>
      <c r="F19" s="4" t="s">
        <v>183</v>
      </c>
      <c r="G19" s="19">
        <f>64831+22181</f>
        <v>87012</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341"/>
      <c r="D75" s="342">
        <f>MAX(-D73*D76,G5)</f>
        <v>502106.17990368878</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AVERAGE(G4:O4)</f>
        <v>3149204.111111111</v>
      </c>
      <c r="D4" s="57"/>
      <c r="E4" s="266"/>
      <c r="F4" s="57"/>
      <c r="G4" s="323">
        <f>Data!C36</f>
        <v>3638758</v>
      </c>
      <c r="H4" s="323">
        <f>Data!D36</f>
        <v>3704677</v>
      </c>
      <c r="I4" s="323">
        <f>Data!E36</f>
        <v>3639774</v>
      </c>
      <c r="J4" s="323">
        <f>Data!F36</f>
        <v>3504022</v>
      </c>
      <c r="K4" s="323">
        <f>Data!G36</f>
        <v>2352683</v>
      </c>
      <c r="L4" s="323">
        <f>Data!H36</f>
        <v>2437184</v>
      </c>
      <c r="M4" s="323">
        <f>Data!I36</f>
        <v>2891692</v>
      </c>
      <c r="N4" s="323">
        <f>Data!J36</f>
        <v>3142295</v>
      </c>
      <c r="O4" s="323">
        <f>Data!K36</f>
        <v>3031752</v>
      </c>
      <c r="P4" s="323" t="str">
        <f>Data!L36</f>
        <v/>
      </c>
      <c r="Q4" s="323" t="str">
        <f>Data!M36</f>
        <v/>
      </c>
    </row>
    <row r="5" spans="1:17" ht="15.75" customHeight="1">
      <c r="A5" s="10"/>
      <c r="B5" s="2" t="s">
        <v>46</v>
      </c>
      <c r="C5" s="318">
        <f>C25</f>
        <v>-2697049.2267501326</v>
      </c>
      <c r="E5" s="268"/>
      <c r="G5" s="323">
        <f t="shared" ref="G5:Q5" si="1">G25</f>
        <v>-3031530</v>
      </c>
      <c r="H5" s="323">
        <f t="shared" si="1"/>
        <v>-3043057</v>
      </c>
      <c r="I5" s="323">
        <f t="shared" si="1"/>
        <v>-2964207</v>
      </c>
      <c r="J5" s="323">
        <f t="shared" si="1"/>
        <v>-2973356</v>
      </c>
      <c r="K5" s="323">
        <f t="shared" si="1"/>
        <v>-2041771</v>
      </c>
      <c r="L5" s="323">
        <f t="shared" si="1"/>
        <v>-2032167</v>
      </c>
      <c r="M5" s="323">
        <f t="shared" si="1"/>
        <v>-2491241</v>
      </c>
      <c r="N5" s="323">
        <f t="shared" si="1"/>
        <v>-2824475</v>
      </c>
      <c r="O5" s="323">
        <f t="shared" si="1"/>
        <v>-2745680</v>
      </c>
      <c r="P5" s="323" t="str">
        <f t="shared" si="1"/>
        <v/>
      </c>
      <c r="Q5" s="323" t="str">
        <f t="shared" si="1"/>
        <v/>
      </c>
    </row>
    <row r="6" spans="1:17" ht="15.75" customHeight="1">
      <c r="A6" s="10"/>
      <c r="B6" s="31" t="s">
        <v>48</v>
      </c>
      <c r="C6" s="319">
        <f>C4+C5</f>
        <v>452154.88436097838</v>
      </c>
      <c r="E6" s="268"/>
      <c r="G6" s="319">
        <f>IF(G4="","",G4+G5)</f>
        <v>607228</v>
      </c>
      <c r="H6" s="319">
        <f t="shared" ref="H6:Q6" si="2">IF(H4="","",H4+H5)</f>
        <v>661620</v>
      </c>
      <c r="I6" s="319">
        <f t="shared" si="2"/>
        <v>675567</v>
      </c>
      <c r="J6" s="319">
        <f t="shared" si="2"/>
        <v>530666</v>
      </c>
      <c r="K6" s="319">
        <f t="shared" si="2"/>
        <v>310912</v>
      </c>
      <c r="L6" s="319">
        <f t="shared" si="2"/>
        <v>405017</v>
      </c>
      <c r="M6" s="319">
        <f t="shared" si="2"/>
        <v>400451</v>
      </c>
      <c r="N6" s="319">
        <f t="shared" si="2"/>
        <v>317820</v>
      </c>
      <c r="O6" s="319">
        <f t="shared" si="2"/>
        <v>286072</v>
      </c>
      <c r="P6" s="319" t="str">
        <f t="shared" si="2"/>
        <v/>
      </c>
      <c r="Q6" s="319" t="str">
        <f t="shared" si="2"/>
        <v/>
      </c>
    </row>
    <row r="7" spans="1:17" ht="15.75" customHeight="1">
      <c r="A7" s="10"/>
      <c r="B7" s="8" t="s">
        <v>45</v>
      </c>
      <c r="C7" s="318">
        <f>C35</f>
        <v>-253206</v>
      </c>
      <c r="E7" s="268"/>
      <c r="G7" s="318">
        <f t="shared" ref="G7:Q7" si="3">G35</f>
        <v>-253206</v>
      </c>
      <c r="H7" s="318">
        <f t="shared" si="3"/>
        <v>-252912</v>
      </c>
      <c r="I7" s="318">
        <f t="shared" si="3"/>
        <v>-243704</v>
      </c>
      <c r="J7" s="318">
        <f t="shared" si="3"/>
        <v>-211994</v>
      </c>
      <c r="K7" s="318">
        <f t="shared" si="3"/>
        <v>-155328</v>
      </c>
      <c r="L7" s="318">
        <f t="shared" si="3"/>
        <v>-277575</v>
      </c>
      <c r="M7" s="318">
        <f t="shared" si="3"/>
        <v>-275423</v>
      </c>
      <c r="N7" s="318">
        <f t="shared" si="3"/>
        <v>-311367</v>
      </c>
      <c r="O7" s="318">
        <f t="shared" si="3"/>
        <v>-332430</v>
      </c>
      <c r="P7" s="318" t="str">
        <f t="shared" si="3"/>
        <v/>
      </c>
      <c r="Q7" s="318" t="str">
        <f t="shared" si="3"/>
        <v/>
      </c>
    </row>
    <row r="8" spans="1:17" ht="15.75" customHeight="1">
      <c r="A8" s="10"/>
      <c r="B8" s="29" t="s">
        <v>153</v>
      </c>
      <c r="C8" s="320">
        <f>C6+C7</f>
        <v>198948.88436097838</v>
      </c>
      <c r="D8" s="59"/>
      <c r="E8" s="274"/>
      <c r="F8" s="59"/>
      <c r="G8" s="319">
        <f>IF(G$4="","",G6+G7)</f>
        <v>354022</v>
      </c>
      <c r="H8" s="319">
        <f t="shared" ref="H8:Q8" si="4">IF(H$4="","",H6+H7)</f>
        <v>408708</v>
      </c>
      <c r="I8" s="319">
        <f t="shared" si="4"/>
        <v>431863</v>
      </c>
      <c r="J8" s="319">
        <f t="shared" si="4"/>
        <v>318672</v>
      </c>
      <c r="K8" s="319">
        <f t="shared" si="4"/>
        <v>155584</v>
      </c>
      <c r="L8" s="319">
        <f t="shared" si="4"/>
        <v>127442</v>
      </c>
      <c r="M8" s="319">
        <f t="shared" si="4"/>
        <v>125028</v>
      </c>
      <c r="N8" s="319">
        <f t="shared" si="4"/>
        <v>6453</v>
      </c>
      <c r="O8" s="319">
        <f t="shared" si="4"/>
        <v>-46358</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t="str">
        <f t="shared" si="5"/>
        <v/>
      </c>
      <c r="Q11" s="324" t="str">
        <f t="shared" si="5"/>
        <v/>
      </c>
    </row>
    <row r="12" spans="1:17" ht="15.75" customHeight="1">
      <c r="A12" s="10"/>
      <c r="B12" s="2" t="s">
        <v>68</v>
      </c>
      <c r="C12" s="318">
        <f>C50</f>
        <v>-13663</v>
      </c>
      <c r="E12" s="268"/>
      <c r="G12" s="318">
        <f>G50</f>
        <v>-13663</v>
      </c>
      <c r="H12" s="318">
        <f t="shared" ref="H12:Q12" si="6">H50</f>
        <v>-14612</v>
      </c>
      <c r="I12" s="318">
        <f t="shared" si="6"/>
        <v>-12033</v>
      </c>
      <c r="J12" s="318">
        <f t="shared" si="6"/>
        <v>-10203</v>
      </c>
      <c r="K12" s="318">
        <f t="shared" si="6"/>
        <v>-14210</v>
      </c>
      <c r="L12" s="318">
        <f t="shared" si="6"/>
        <v>-1959</v>
      </c>
      <c r="M12" s="318">
        <f t="shared" si="6"/>
        <v>-1843</v>
      </c>
      <c r="N12" s="318">
        <f t="shared" si="6"/>
        <v>-3730</v>
      </c>
      <c r="O12" s="318">
        <f t="shared" si="6"/>
        <v>-6942</v>
      </c>
      <c r="P12" s="318" t="str">
        <f t="shared" si="6"/>
        <v/>
      </c>
      <c r="Q12" s="318" t="str">
        <f t="shared" si="6"/>
        <v/>
      </c>
    </row>
    <row r="13" spans="1:17" ht="15.75" customHeight="1">
      <c r="A13" s="10"/>
      <c r="B13" s="70" t="s">
        <v>165</v>
      </c>
      <c r="C13" s="319">
        <f>SUM(C8:C12)</f>
        <v>185285.88436097838</v>
      </c>
      <c r="E13" s="268"/>
      <c r="G13" s="319">
        <f>IF(G$4="","",SUM(G8:G12))</f>
        <v>340359</v>
      </c>
      <c r="H13" s="319">
        <f t="shared" ref="H13:Q13" si="7">IF(H$4="","",SUM(H8:H12))</f>
        <v>394096</v>
      </c>
      <c r="I13" s="319">
        <f t="shared" si="7"/>
        <v>419830</v>
      </c>
      <c r="J13" s="319">
        <f t="shared" si="7"/>
        <v>308469</v>
      </c>
      <c r="K13" s="319">
        <f t="shared" si="7"/>
        <v>141374</v>
      </c>
      <c r="L13" s="319">
        <f t="shared" si="7"/>
        <v>125483</v>
      </c>
      <c r="M13" s="319">
        <f t="shared" si="7"/>
        <v>123185</v>
      </c>
      <c r="N13" s="319">
        <f t="shared" si="7"/>
        <v>2723</v>
      </c>
      <c r="O13" s="319">
        <f t="shared" si="7"/>
        <v>-53300</v>
      </c>
      <c r="P13" s="319" t="str">
        <f t="shared" si="7"/>
        <v/>
      </c>
      <c r="Q13" s="319" t="str">
        <f t="shared" si="7"/>
        <v/>
      </c>
    </row>
    <row r="14" spans="1:17" ht="15.75" customHeight="1">
      <c r="A14" s="10"/>
      <c r="B14" s="2" t="s">
        <v>63</v>
      </c>
      <c r="C14" s="318">
        <f>-SUM(C8+C11,C12)*C43</f>
        <v>-46321.471090244595</v>
      </c>
      <c r="E14" s="268"/>
      <c r="G14" s="318">
        <f>Data!C46</f>
        <v>-145324</v>
      </c>
      <c r="H14" s="318">
        <f>Data!D46</f>
        <v>-144534</v>
      </c>
      <c r="I14" s="318">
        <f>Data!E46</f>
        <v>-150461</v>
      </c>
      <c r="J14" s="318">
        <f>Data!F46</f>
        <v>-123112</v>
      </c>
      <c r="K14" s="318">
        <f>Data!G46</f>
        <v>-28324</v>
      </c>
      <c r="L14" s="318">
        <f>Data!H46</f>
        <v>-21936</v>
      </c>
      <c r="M14" s="318">
        <f>Data!I46</f>
        <v>-26006</v>
      </c>
      <c r="N14" s="318">
        <f>Data!J46</f>
        <v>-9352</v>
      </c>
      <c r="O14" s="318">
        <f>Data!K46</f>
        <v>-3042</v>
      </c>
      <c r="P14" s="318" t="str">
        <f>Data!L46</f>
        <v/>
      </c>
      <c r="Q14" s="318" t="str">
        <f>Data!M46</f>
        <v/>
      </c>
    </row>
    <row r="15" spans="1:17" ht="15.75" customHeight="1">
      <c r="A15" s="10"/>
      <c r="B15" s="40" t="s">
        <v>244</v>
      </c>
      <c r="C15" s="318">
        <f>-C4*C83</f>
        <v>-572.93535914055167</v>
      </c>
      <c r="D15" s="60"/>
      <c r="E15" s="275"/>
      <c r="F15" s="60"/>
      <c r="G15" s="323">
        <f>Data!C48</f>
        <v>-662</v>
      </c>
      <c r="H15" s="323">
        <f>Data!D48</f>
        <v>-92</v>
      </c>
      <c r="I15" s="323">
        <f>Data!E48</f>
        <v>-402</v>
      </c>
      <c r="J15" s="323">
        <f>Data!F48</f>
        <v>0</v>
      </c>
      <c r="K15" s="323">
        <f>Data!G48</f>
        <v>0</v>
      </c>
      <c r="L15" s="323">
        <f>Data!H48</f>
        <v>0</v>
      </c>
      <c r="M15" s="323">
        <f>Data!I48</f>
        <v>0</v>
      </c>
      <c r="N15" s="323">
        <f>Data!J48</f>
        <v>0</v>
      </c>
      <c r="O15" s="323">
        <f>Data!K48</f>
        <v>0</v>
      </c>
      <c r="P15" s="323" t="str">
        <f>Data!L48</f>
        <v/>
      </c>
      <c r="Q15" s="323" t="str">
        <f>Data!M48</f>
        <v/>
      </c>
    </row>
    <row r="16" spans="1:17" ht="15.75" customHeight="1">
      <c r="A16" s="10"/>
      <c r="B16" s="41" t="s">
        <v>155</v>
      </c>
      <c r="C16" s="322">
        <f>SUM(C13:C15)</f>
        <v>138391.47791159325</v>
      </c>
      <c r="D16" s="61"/>
      <c r="E16" s="276"/>
      <c r="F16" s="61"/>
      <c r="G16" s="319">
        <f>IF(G$4="","",SUM(G13:G15))</f>
        <v>194373</v>
      </c>
      <c r="H16" s="319">
        <f t="shared" ref="H16:Q16" si="8">IF(H$4="","",SUM(H13:H15))</f>
        <v>249470</v>
      </c>
      <c r="I16" s="319">
        <f t="shared" si="8"/>
        <v>268967</v>
      </c>
      <c r="J16" s="319">
        <f t="shared" si="8"/>
        <v>185357</v>
      </c>
      <c r="K16" s="319">
        <f t="shared" si="8"/>
        <v>113050</v>
      </c>
      <c r="L16" s="319">
        <f t="shared" si="8"/>
        <v>103547</v>
      </c>
      <c r="M16" s="319">
        <f t="shared" si="8"/>
        <v>97179</v>
      </c>
      <c r="N16" s="319">
        <f t="shared" si="8"/>
        <v>-6629</v>
      </c>
      <c r="O16" s="319">
        <f t="shared" si="8"/>
        <v>-56342</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138391.47791159325</v>
      </c>
      <c r="D19" s="27"/>
      <c r="E19" s="265"/>
      <c r="F19" s="27"/>
      <c r="G19" s="324">
        <f>IF(G$4="","",G16+G17)</f>
        <v>194373</v>
      </c>
      <c r="H19" s="324">
        <f t="shared" ref="H19:Q19" si="9">IF(H$4="","",H16+H17)</f>
        <v>249470</v>
      </c>
      <c r="I19" s="324">
        <f t="shared" si="9"/>
        <v>268967</v>
      </c>
      <c r="J19" s="324">
        <f t="shared" si="9"/>
        <v>185357</v>
      </c>
      <c r="K19" s="324">
        <f t="shared" si="9"/>
        <v>113050</v>
      </c>
      <c r="L19" s="324">
        <f t="shared" si="9"/>
        <v>103547</v>
      </c>
      <c r="M19" s="324">
        <f t="shared" si="9"/>
        <v>97179</v>
      </c>
      <c r="N19" s="324">
        <f t="shared" si="9"/>
        <v>-6629</v>
      </c>
      <c r="O19" s="324">
        <f t="shared" si="9"/>
        <v>-56342</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-2226669.2968957396</v>
      </c>
      <c r="D23" s="58"/>
      <c r="E23" s="267"/>
      <c r="F23" s="58"/>
      <c r="G23" s="323">
        <f>Data!C37</f>
        <v>-2488028</v>
      </c>
      <c r="H23" s="323">
        <f>Data!D37</f>
        <v>-2515967</v>
      </c>
      <c r="I23" s="323">
        <f>Data!E37</f>
        <v>-2459489</v>
      </c>
      <c r="J23" s="323">
        <f>Data!F37</f>
        <v>-2541906</v>
      </c>
      <c r="K23" s="323">
        <f>Data!G37</f>
        <v>-1707356</v>
      </c>
      <c r="L23" s="323">
        <f>Data!H37</f>
        <v>-1834224</v>
      </c>
      <c r="M23" s="323">
        <f>Data!I37</f>
        <v>-2284817</v>
      </c>
      <c r="N23" s="323">
        <f>Data!J37</f>
        <v>-2634028</v>
      </c>
      <c r="O23" s="323">
        <f>Data!K37</f>
        <v>-2546147</v>
      </c>
      <c r="P23" s="323" t="str">
        <f>Data!L37</f>
        <v/>
      </c>
      <c r="Q23" s="323" t="str">
        <f>Data!M37</f>
        <v/>
      </c>
    </row>
    <row r="24" spans="1:17" ht="15.75" customHeight="1">
      <c r="A24" s="10"/>
      <c r="B24" s="68" t="s">
        <v>62</v>
      </c>
      <c r="C24" s="318">
        <f>-C4*C29</f>
        <v>-470379.92985439295</v>
      </c>
      <c r="D24" s="27"/>
      <c r="E24" s="265"/>
      <c r="F24" s="27"/>
      <c r="G24" s="323">
        <f>Data!C40</f>
        <v>-543502</v>
      </c>
      <c r="H24" s="323">
        <f>Data!D40</f>
        <v>-527090</v>
      </c>
      <c r="I24" s="323">
        <f>Data!E40</f>
        <v>-504718</v>
      </c>
      <c r="J24" s="323">
        <f>Data!F40</f>
        <v>-431450</v>
      </c>
      <c r="K24" s="323">
        <f>Data!G40</f>
        <v>-334415</v>
      </c>
      <c r="L24" s="323">
        <f>Data!H40</f>
        <v>-197943</v>
      </c>
      <c r="M24" s="323">
        <f>Data!I40</f>
        <v>-206424</v>
      </c>
      <c r="N24" s="323">
        <f>Data!J40</f>
        <v>-190447</v>
      </c>
      <c r="O24" s="323">
        <f>Data!K40</f>
        <v>-199533</v>
      </c>
      <c r="P24" s="323" t="str">
        <f>Data!L40</f>
        <v/>
      </c>
      <c r="Q24" s="323" t="str">
        <f>Data!M40</f>
        <v/>
      </c>
    </row>
    <row r="25" spans="1:17" ht="15.75" customHeight="1">
      <c r="A25" s="10"/>
      <c r="B25" s="70" t="s">
        <v>46</v>
      </c>
      <c r="C25" s="319">
        <f>C23+C24</f>
        <v>-2697049.2267501326</v>
      </c>
      <c r="D25" s="9"/>
      <c r="E25" s="273"/>
      <c r="F25" s="9"/>
      <c r="G25" s="319">
        <f t="shared" ref="G25:Q25" si="10">IF(G$4="","",G23+G24)</f>
        <v>-3031530</v>
      </c>
      <c r="H25" s="319">
        <f t="shared" si="10"/>
        <v>-3043057</v>
      </c>
      <c r="I25" s="319">
        <f t="shared" si="10"/>
        <v>-2964207</v>
      </c>
      <c r="J25" s="319">
        <f t="shared" si="10"/>
        <v>-2973356</v>
      </c>
      <c r="K25" s="319">
        <f t="shared" si="10"/>
        <v>-2041771</v>
      </c>
      <c r="L25" s="319">
        <f t="shared" si="10"/>
        <v>-2032167</v>
      </c>
      <c r="M25" s="319">
        <f t="shared" si="10"/>
        <v>-2491241</v>
      </c>
      <c r="N25" s="319">
        <f t="shared" si="10"/>
        <v>-2824475</v>
      </c>
      <c r="O25" s="319">
        <f t="shared" si="10"/>
        <v>-2745680</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AVERAGE(G28:L28)</f>
        <v>0.70705778931239871</v>
      </c>
      <c r="D28" s="26"/>
      <c r="E28" s="266"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-253206</v>
      </c>
      <c r="E33" s="266" t="s">
        <v>334</v>
      </c>
      <c r="G33" s="318">
        <f>Data!C41</f>
        <v>-253206</v>
      </c>
      <c r="H33" s="318">
        <f>Data!D41</f>
        <v>-252912</v>
      </c>
      <c r="I33" s="318">
        <f>Data!E41</f>
        <v>-243704</v>
      </c>
      <c r="J33" s="318">
        <f>Data!F41</f>
        <v>-211994</v>
      </c>
      <c r="K33" s="318">
        <f>Data!G41</f>
        <v>-155328</v>
      </c>
      <c r="L33" s="318">
        <f>Data!H41</f>
        <v>-277575</v>
      </c>
      <c r="M33" s="318">
        <f>Data!I41</f>
        <v>-275423</v>
      </c>
      <c r="N33" s="318">
        <f>Data!J41</f>
        <v>-311367</v>
      </c>
      <c r="O33" s="318">
        <f>Data!K41</f>
        <v>-332430</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t="str">
        <f>Data!L42</f>
        <v/>
      </c>
      <c r="Q34" s="323" t="str">
        <f>Data!M42</f>
        <v/>
      </c>
    </row>
    <row r="35" spans="1:17" ht="15.75" customHeight="1">
      <c r="A35" s="10"/>
      <c r="B35" s="70" t="s">
        <v>45</v>
      </c>
      <c r="C35" s="319">
        <f>C33+C34</f>
        <v>-253206</v>
      </c>
      <c r="D35" s="58"/>
      <c r="E35" s="267"/>
      <c r="F35" s="58"/>
      <c r="G35" s="319">
        <f t="shared" ref="G35:Q35" si="14">IF(G4="","",G33+G34)</f>
        <v>-253206</v>
      </c>
      <c r="H35" s="319">
        <f t="shared" si="14"/>
        <v>-252912</v>
      </c>
      <c r="I35" s="319">
        <f t="shared" si="14"/>
        <v>-243704</v>
      </c>
      <c r="J35" s="319">
        <f t="shared" si="14"/>
        <v>-211994</v>
      </c>
      <c r="K35" s="319">
        <f t="shared" si="14"/>
        <v>-155328</v>
      </c>
      <c r="L35" s="319">
        <f t="shared" si="14"/>
        <v>-277575</v>
      </c>
      <c r="M35" s="319">
        <f t="shared" si="14"/>
        <v>-275423</v>
      </c>
      <c r="N35" s="319">
        <f t="shared" si="14"/>
        <v>-311367</v>
      </c>
      <c r="O35" s="319">
        <f t="shared" si="14"/>
        <v>-332430</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-13663</v>
      </c>
      <c r="E47" s="268"/>
      <c r="G47" s="318">
        <f>Data!C51</f>
        <v>-13663</v>
      </c>
      <c r="H47" s="318">
        <f>Data!D51</f>
        <v>-14612</v>
      </c>
      <c r="I47" s="318">
        <f>Data!E51</f>
        <v>-12033</v>
      </c>
      <c r="J47" s="318">
        <f>Data!F51</f>
        <v>-10203</v>
      </c>
      <c r="K47" s="318">
        <f>Data!G51</f>
        <v>-14210</v>
      </c>
      <c r="L47" s="318">
        <f>Data!H51</f>
        <v>-1959</v>
      </c>
      <c r="M47" s="318">
        <f>Data!I51</f>
        <v>-1843</v>
      </c>
      <c r="N47" s="318">
        <f>Data!J51</f>
        <v>-3730</v>
      </c>
      <c r="O47" s="318">
        <f>Data!K51</f>
        <v>-6942</v>
      </c>
      <c r="P47" s="318" t="str">
        <f>Data!L51</f>
        <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t="str">
        <f t="shared" si="19"/>
        <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t="str">
        <f>Data!L52</f>
        <v/>
      </c>
      <c r="Q49" s="329" t="str">
        <f>Data!M52</f>
        <v/>
      </c>
    </row>
    <row r="50" spans="1:17" ht="15.75" customHeight="1">
      <c r="A50" s="10"/>
      <c r="B50" s="70" t="s">
        <v>68</v>
      </c>
      <c r="C50" s="319">
        <f>C47+C48</f>
        <v>-13663</v>
      </c>
      <c r="E50" s="268"/>
      <c r="G50" s="319">
        <f>IF(G$4="","",(G47+G48))</f>
        <v>-13663</v>
      </c>
      <c r="H50" s="319">
        <f t="shared" ref="H50:Q50" si="20">IF(H$4="","",(H47+H48))</f>
        <v>-14612</v>
      </c>
      <c r="I50" s="319">
        <f t="shared" si="20"/>
        <v>-12033</v>
      </c>
      <c r="J50" s="319">
        <f t="shared" si="20"/>
        <v>-10203</v>
      </c>
      <c r="K50" s="319">
        <f t="shared" si="20"/>
        <v>-14210</v>
      </c>
      <c r="L50" s="319">
        <f t="shared" si="20"/>
        <v>-1959</v>
      </c>
      <c r="M50" s="319">
        <f t="shared" si="20"/>
        <v>-1843</v>
      </c>
      <c r="N50" s="319">
        <f t="shared" si="20"/>
        <v>-3730</v>
      </c>
      <c r="O50" s="319">
        <f t="shared" si="20"/>
        <v>-6942</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5"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t="str">
        <f t="shared" si="22"/>
        <v/>
      </c>
      <c r="Q61" s="319" t="str">
        <f t="shared" si="22"/>
        <v/>
      </c>
    </row>
    <row r="62" spans="1:17" ht="15.75" customHeight="1">
      <c r="A62" s="10"/>
      <c r="B62" s="40" t="s">
        <v>161</v>
      </c>
      <c r="C62" s="330">
        <v>0</v>
      </c>
      <c r="E62" s="266" t="s">
        <v>338</v>
      </c>
      <c r="G62" s="318">
        <f>Data!C58</f>
        <v>56115</v>
      </c>
      <c r="H62" s="318">
        <f>Data!D58</f>
        <v>45962</v>
      </c>
      <c r="I62" s="318">
        <f>Data!E58</f>
        <v>93607</v>
      </c>
      <c r="J62" s="318">
        <f>Data!F58</f>
        <v>47267</v>
      </c>
      <c r="K62" s="318">
        <f>Data!G58</f>
        <v>-13941</v>
      </c>
      <c r="L62" s="318">
        <f>Data!H58</f>
        <v>34492</v>
      </c>
      <c r="M62" s="318">
        <f>Data!I58</f>
        <v>41506</v>
      </c>
      <c r="N62" s="318">
        <f>Data!J58</f>
        <v>22726</v>
      </c>
      <c r="O62" s="318">
        <f>Data!K58</f>
        <v>40583</v>
      </c>
      <c r="P62" s="318" t="str">
        <f>Data!L58</f>
        <v/>
      </c>
      <c r="Q62" s="318" t="str">
        <f>Data!M58</f>
        <v/>
      </c>
    </row>
    <row r="63" spans="1:17" ht="15.75" customHeight="1">
      <c r="A63" s="10"/>
      <c r="B63" s="31" t="s">
        <v>196</v>
      </c>
      <c r="C63" s="319">
        <f>C61+C62</f>
        <v>0</v>
      </c>
      <c r="E63" s="268"/>
      <c r="G63" s="319">
        <f t="shared" ref="G63:Q63" si="23">IF(G4="","",G61+G62)</f>
        <v>56115</v>
      </c>
      <c r="H63" s="319">
        <f t="shared" si="23"/>
        <v>45962</v>
      </c>
      <c r="I63" s="319">
        <f t="shared" si="23"/>
        <v>93607</v>
      </c>
      <c r="J63" s="319">
        <f t="shared" si="23"/>
        <v>47267</v>
      </c>
      <c r="K63" s="319">
        <f t="shared" si="23"/>
        <v>-13941</v>
      </c>
      <c r="L63" s="319">
        <f t="shared" si="23"/>
        <v>34492</v>
      </c>
      <c r="M63" s="319">
        <f t="shared" si="23"/>
        <v>41506</v>
      </c>
      <c r="N63" s="319">
        <f t="shared" si="23"/>
        <v>22726</v>
      </c>
      <c r="O63" s="319">
        <f t="shared" si="23"/>
        <v>40583</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3.5654596100278553E-2</v>
      </c>
      <c r="E93" s="268"/>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2565063</v>
      </c>
      <c r="D101" s="26"/>
      <c r="E101" s="269"/>
      <c r="F101" s="26"/>
      <c r="G101" s="323">
        <f t="shared" ref="G101:Q101" si="42">IF(G$4="","",G105+G104)</f>
        <v>2565063</v>
      </c>
      <c r="H101" s="323">
        <f t="shared" si="42"/>
        <v>2619258</v>
      </c>
      <c r="I101" s="323">
        <f t="shared" si="42"/>
        <v>2879275</v>
      </c>
      <c r="J101" s="323">
        <f t="shared" si="42"/>
        <v>2727530</v>
      </c>
      <c r="K101" s="323">
        <f t="shared" si="42"/>
        <v>2513621</v>
      </c>
      <c r="L101" s="323">
        <f t="shared" si="42"/>
        <v>2408229</v>
      </c>
      <c r="M101" s="323">
        <f t="shared" si="42"/>
        <v>2539937</v>
      </c>
      <c r="N101" s="323">
        <f t="shared" si="42"/>
        <v>2354738</v>
      </c>
      <c r="O101" s="323">
        <f t="shared" si="42"/>
        <v>2533582</v>
      </c>
      <c r="P101" s="323" t="str">
        <f t="shared" si="42"/>
        <v/>
      </c>
      <c r="Q101" s="323" t="str">
        <f t="shared" si="42"/>
        <v/>
      </c>
    </row>
    <row r="102" spans="1:17" ht="15.75" customHeight="1">
      <c r="A102" s="10"/>
      <c r="B102" s="93" t="s">
        <v>211</v>
      </c>
      <c r="C102" s="332">
        <f>BS!C4</f>
        <v>348607</v>
      </c>
      <c r="D102" s="89"/>
      <c r="E102" s="270"/>
      <c r="F102" s="89"/>
      <c r="G102" s="333">
        <f>IF(G$4="","",Data!D77)</f>
        <v>262508</v>
      </c>
      <c r="H102" s="333">
        <f>IF(H$4="","",Data!E77)</f>
        <v>179615</v>
      </c>
      <c r="I102" s="333">
        <f>IF(I$4="","",Data!F77)</f>
        <v>260527</v>
      </c>
      <c r="J102" s="333">
        <f>IF(J$4="","",Data!G77)</f>
        <v>80876</v>
      </c>
      <c r="K102" s="333">
        <f>IF(K$4="","",Data!H77)</f>
        <v>86046</v>
      </c>
      <c r="L102" s="333">
        <f>IF(L$4="","",Data!I77)</f>
        <v>0</v>
      </c>
      <c r="M102" s="333">
        <f>IF(M$4="","",Data!J77)</f>
        <v>0</v>
      </c>
      <c r="N102" s="333">
        <f>IF(N$4="","",Data!K77)</f>
        <v>0</v>
      </c>
      <c r="O102" s="333">
        <f>IF(O$4="","",Data!L77)</f>
        <v>0</v>
      </c>
      <c r="P102" s="333" t="str">
        <f>IF(P$4="","",Data!M77)</f>
        <v/>
      </c>
      <c r="Q102" s="333" t="str">
        <f>IF(Q$4="","",Data!N77)</f>
        <v/>
      </c>
    </row>
    <row r="103" spans="1:17" ht="15.75" customHeight="1">
      <c r="A103" s="10"/>
      <c r="B103" s="93" t="s">
        <v>212</v>
      </c>
      <c r="C103" s="332">
        <f>BS!C6+BS!C7</f>
        <v>506592</v>
      </c>
      <c r="D103" s="89"/>
      <c r="E103" s="270"/>
      <c r="F103" s="89"/>
      <c r="G103" s="333">
        <f>IF(G$4="","",Data!D78)</f>
        <v>422202</v>
      </c>
      <c r="H103" s="333">
        <f>IF(H$4="","",Data!E78)</f>
        <v>483625</v>
      </c>
      <c r="I103" s="333">
        <f>IF(I$4="","",Data!F78)</f>
        <v>622768</v>
      </c>
      <c r="J103" s="333">
        <f>IF(J$4="","",Data!G78)</f>
        <v>798693</v>
      </c>
      <c r="K103" s="333">
        <f>IF(K$4="","",Data!H78)</f>
        <v>823654</v>
      </c>
      <c r="L103" s="333">
        <f>IF(L$4="","",Data!I78)</f>
        <v>0</v>
      </c>
      <c r="M103" s="333">
        <f>IF(M$4="","",Data!J78)</f>
        <v>0</v>
      </c>
      <c r="N103" s="333">
        <f>IF(N$4="","",Data!K78)</f>
        <v>0</v>
      </c>
      <c r="O103" s="333">
        <f>IF(O$4="","",Data!L78)</f>
        <v>0</v>
      </c>
      <c r="P103" s="333" t="str">
        <f>IF(P$4="","",Data!M78)</f>
        <v/>
      </c>
      <c r="Q103" s="333" t="str">
        <f>IF(Q$4="","",Data!N78)</f>
        <v/>
      </c>
    </row>
    <row r="104" spans="1:17" ht="15.75" customHeight="1">
      <c r="A104" s="10"/>
      <c r="B104" s="26" t="s">
        <v>40</v>
      </c>
      <c r="C104" s="331">
        <f>BS!G30</f>
        <v>732882</v>
      </c>
      <c r="D104" s="26"/>
      <c r="E104" s="269"/>
      <c r="F104" s="26"/>
      <c r="G104" s="323">
        <f>Data!C79</f>
        <v>732882</v>
      </c>
      <c r="H104" s="323">
        <f>Data!D79</f>
        <v>723327</v>
      </c>
      <c r="I104" s="323">
        <f>Data!E79</f>
        <v>843108</v>
      </c>
      <c r="J104" s="323">
        <f>Data!F79</f>
        <v>736981</v>
      </c>
      <c r="K104" s="323">
        <f>Data!G79</f>
        <v>430335</v>
      </c>
      <c r="L104" s="323">
        <f>Data!H79</f>
        <v>194628</v>
      </c>
      <c r="M104" s="323">
        <f>Data!I79</f>
        <v>222985</v>
      </c>
      <c r="N104" s="323">
        <f>Data!J79</f>
        <v>207724</v>
      </c>
      <c r="O104" s="323">
        <f>Data!K79</f>
        <v>376010</v>
      </c>
      <c r="P104" s="323" t="str">
        <f>Data!L79</f>
        <v/>
      </c>
      <c r="Q104" s="323" t="str">
        <f>Data!M79</f>
        <v/>
      </c>
    </row>
    <row r="105" spans="1:17" ht="15.75" customHeight="1">
      <c r="A105" s="10"/>
      <c r="B105" s="26" t="s">
        <v>30</v>
      </c>
      <c r="C105" s="331">
        <f>BS!G27</f>
        <v>1832181</v>
      </c>
      <c r="D105" s="26"/>
      <c r="E105" s="269"/>
      <c r="F105" s="26"/>
      <c r="G105" s="323">
        <f>Data!C80</f>
        <v>1832181</v>
      </c>
      <c r="H105" s="323">
        <f>Data!D80</f>
        <v>1895931</v>
      </c>
      <c r="I105" s="323">
        <f>Data!E80</f>
        <v>2036167</v>
      </c>
      <c r="J105" s="323">
        <f>Data!F80</f>
        <v>1990549</v>
      </c>
      <c r="K105" s="323">
        <f>Data!G80</f>
        <v>2083286</v>
      </c>
      <c r="L105" s="323">
        <f>Data!H80</f>
        <v>2213601</v>
      </c>
      <c r="M105" s="323">
        <f>Data!I80</f>
        <v>2316952</v>
      </c>
      <c r="N105" s="323">
        <f>Data!J80</f>
        <v>2147014</v>
      </c>
      <c r="O105" s="323">
        <f>Data!K80</f>
        <v>2157572</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393</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7.9098199833895419E-2</v>
      </c>
      <c r="D125" s="27"/>
      <c r="E125" s="265"/>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395</v>
      </c>
      <c r="C126" s="169"/>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1845219.70548791</v>
      </c>
      <c r="D6" t="str">
        <f>Reporting_currency</f>
        <v>HKD</v>
      </c>
      <c r="E6" s="356" t="s">
        <v>250</v>
      </c>
      <c r="F6" s="356"/>
      <c r="H6" s="120"/>
    </row>
    <row r="7" spans="2:8">
      <c r="B7" s="148" t="s">
        <v>225</v>
      </c>
      <c r="C7" s="114">
        <f>BS!G31</f>
        <v>195066</v>
      </c>
      <c r="D7" t="str">
        <f>Reporting_currency</f>
        <v>HKD</v>
      </c>
      <c r="E7" s="356"/>
      <c r="F7" s="356"/>
      <c r="H7" s="120"/>
    </row>
    <row r="8" spans="2:8">
      <c r="B8" s="148" t="s">
        <v>226</v>
      </c>
      <c r="C8" s="114">
        <f>BS!D66</f>
        <v>587281.82009631116</v>
      </c>
      <c r="D8" t="str">
        <f>Reporting_currency</f>
        <v>HKD</v>
      </c>
      <c r="E8" s="356"/>
      <c r="F8" s="356"/>
      <c r="H8" s="120"/>
    </row>
    <row r="9" spans="2:8">
      <c r="B9" s="205" t="s">
        <v>191</v>
      </c>
      <c r="C9" s="339">
        <f>BS!H42</f>
        <v>18907.900000000001</v>
      </c>
      <c r="D9" t="str">
        <f>Reporting_currency</f>
        <v>HKD</v>
      </c>
      <c r="E9" s="356"/>
      <c r="F9" s="356"/>
      <c r="H9" s="120"/>
    </row>
    <row r="10" spans="2:8" ht="13.15">
      <c r="B10" s="149" t="s">
        <v>228</v>
      </c>
      <c r="C10" s="338">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5.2239059043697216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8">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8">
      <c r="B23" s="122">
        <v>3</v>
      </c>
      <c r="C23" s="123">
        <f t="shared" si="2"/>
        <v>158642.75950284558</v>
      </c>
      <c r="D23" s="138">
        <f>IF($C$17&lt;B23,0,DCF!$C$16)</f>
        <v>4.6574870890079501E-2</v>
      </c>
      <c r="E23" s="124">
        <f t="shared" si="0"/>
        <v>0.80496056950960304</v>
      </c>
      <c r="F23" s="125">
        <f t="shared" si="1"/>
        <v>127701.16603798557</v>
      </c>
      <c r="H23" s="120"/>
    </row>
    <row r="24" spans="2:8">
      <c r="B24" s="122">
        <v>4</v>
      </c>
      <c r="C24" s="123">
        <f t="shared" si="2"/>
        <v>166031.52554433656</v>
      </c>
      <c r="D24" s="138">
        <f>IF($C$17&lt;B24,0,DCF!$C$16)</f>
        <v>4.6574870890079501E-2</v>
      </c>
      <c r="E24" s="124">
        <f t="shared" si="0"/>
        <v>0.7488005297763749</v>
      </c>
      <c r="F24" s="125">
        <f t="shared" si="1"/>
        <v>124324.49428717894</v>
      </c>
      <c r="H24" s="120"/>
    </row>
    <row r="25" spans="2:8">
      <c r="B25" s="122">
        <v>5</v>
      </c>
      <c r="C25" s="123">
        <f t="shared" si="2"/>
        <v>173764.422410247</v>
      </c>
      <c r="D25" s="138">
        <f>IF($C$17&lt;B25,0,DCF!$C$16)</f>
        <v>4.6574870890079501E-2</v>
      </c>
      <c r="E25" s="124">
        <f t="shared" si="0"/>
        <v>0.69655863235011617</v>
      </c>
      <c r="F25" s="125">
        <f t="shared" si="1"/>
        <v>121037.10842518952</v>
      </c>
      <c r="H25" s="120"/>
    </row>
    <row r="26" spans="2:8">
      <c r="B26" s="122">
        <v>6</v>
      </c>
      <c r="C26" s="123">
        <f t="shared" si="2"/>
        <v>181857.47794929348</v>
      </c>
      <c r="D26" s="138">
        <f>IF($C$17&lt;B26,0,DCF!$C$16)</f>
        <v>4.6574870890079501E-2</v>
      </c>
      <c r="E26" s="124">
        <f t="shared" si="0"/>
        <v>0.64796151846522443</v>
      </c>
      <c r="F26" s="125">
        <f t="shared" si="1"/>
        <v>117836.64755628027</v>
      </c>
      <c r="H26" s="120"/>
    </row>
    <row r="27" spans="2:8">
      <c r="B27" s="122">
        <v>7</v>
      </c>
      <c r="C27" s="123">
        <f t="shared" si="2"/>
        <v>190327.46650517735</v>
      </c>
      <c r="D27" s="138">
        <f>IF($C$17&lt;B27,0,DCF!$C$16)</f>
        <v>4.6574870890079501E-2</v>
      </c>
      <c r="E27" s="124">
        <f t="shared" si="0"/>
        <v>0.60275490089788319</v>
      </c>
      <c r="F27" s="125">
        <f t="shared" si="1"/>
        <v>114720.81321147336</v>
      </c>
      <c r="H27" s="120"/>
    </row>
    <row r="28" spans="2:8">
      <c r="B28" s="122">
        <v>8</v>
      </c>
      <c r="C28" s="123">
        <f t="shared" si="2"/>
        <v>199191.94368449191</v>
      </c>
      <c r="D28" s="138">
        <f>IF($C$17&lt;B28,0,DCF!$C$16)</f>
        <v>4.6574870890079501E-2</v>
      </c>
      <c r="E28" s="124">
        <f t="shared" si="0"/>
        <v>0.56070223339337966</v>
      </c>
      <c r="F28" s="125">
        <f t="shared" si="1"/>
        <v>111687.36769786292</v>
      </c>
      <c r="H28" s="120"/>
    </row>
    <row r="29" spans="2:8">
      <c r="B29" s="122">
        <v>9</v>
      </c>
      <c r="C29" s="123">
        <f t="shared" si="2"/>
        <v>208469.28274394112</v>
      </c>
      <c r="D29" s="138">
        <f>IF($C$17&lt;B29,0,DCF!$C$16)</f>
        <v>4.6574870890079501E-2</v>
      </c>
      <c r="E29" s="124">
        <f t="shared" si="0"/>
        <v>0.52158347292407414</v>
      </c>
      <c r="F29" s="125">
        <f t="shared" si="1"/>
        <v>108734.13249157557</v>
      </c>
      <c r="H29" s="120"/>
    </row>
    <row r="30" spans="2:8">
      <c r="B30" s="122">
        <v>10</v>
      </c>
      <c r="C30" s="123">
        <f t="shared" si="2"/>
        <v>218178.71267228766</v>
      </c>
      <c r="D30" s="138">
        <f>IF($C$17&lt;B30,0,DCF!$C$16)</f>
        <v>4.6574870890079501E-2</v>
      </c>
      <c r="E30" s="124">
        <f t="shared" si="0"/>
        <v>0.48519392830146441</v>
      </c>
      <c r="F30" s="125">
        <f t="shared" si="1"/>
        <v>105858.98667322374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1931160.57503484</v>
      </c>
      <c r="D51" s="139">
        <f>Terminal_Growth</f>
        <v>0</v>
      </c>
      <c r="E51" s="124">
        <f>1/(1+Equity_Cost)^C17</f>
        <v>0.48519392830146441</v>
      </c>
      <c r="F51" s="125">
        <f t="shared" si="1"/>
        <v>936987.38558206894</v>
      </c>
      <c r="H51" s="120"/>
    </row>
    <row r="52" spans="1:8">
      <c r="C52" s="114"/>
      <c r="E52" s="127" t="s">
        <v>101</v>
      </c>
      <c r="F52" s="137">
        <f>SUM(F21:F51)</f>
        <v>2134789.7838004301</v>
      </c>
      <c r="H52" s="120"/>
    </row>
    <row r="53" spans="1:8">
      <c r="C53" s="114"/>
      <c r="H53" s="120"/>
    </row>
    <row r="54" spans="1:8" ht="13.15">
      <c r="B54" s="119" t="s">
        <v>130</v>
      </c>
      <c r="C54" s="136"/>
      <c r="D54" s="136"/>
      <c r="E54" s="117"/>
      <c r="F54" s="117"/>
      <c r="H54" s="120"/>
    </row>
    <row r="55" spans="1:8" ht="13.15">
      <c r="A55" s="133">
        <f>F52</f>
        <v>2134789.7838004301</v>
      </c>
      <c r="B55" s="131">
        <f>C78</f>
        <v>0</v>
      </c>
      <c r="C55" s="131">
        <f>C77</f>
        <v>0.02</v>
      </c>
      <c r="D55" s="131">
        <f>C76</f>
        <v>0.04</v>
      </c>
      <c r="E55" s="131">
        <f>C75</f>
        <v>0.06</v>
      </c>
      <c r="F55" s="131">
        <f>C74</f>
        <v>0.1</v>
      </c>
      <c r="H55" s="120"/>
    </row>
    <row r="56" spans="1:8" ht="13.15">
      <c r="A56" s="143">
        <v>5</v>
      </c>
      <c r="B56" s="123">
        <f t="dataTable" ref="B56:F61" dt2D="1" dtr="1" r1="C16" r2="C17"/>
        <v>1845219.7054879102</v>
      </c>
      <c r="C56" s="123">
        <v>1903732.5510763344</v>
      </c>
      <c r="D56" s="123">
        <v>1963949.9900522388</v>
      </c>
      <c r="E56" s="123">
        <v>2025946.9564576221</v>
      </c>
      <c r="F56" s="123">
        <v>2155590.8587459349</v>
      </c>
      <c r="H56" s="120"/>
    </row>
    <row r="57" spans="1:8" ht="13.15">
      <c r="A57" s="143">
        <v>10</v>
      </c>
      <c r="B57" s="123">
        <v>1845219.7054879104</v>
      </c>
      <c r="C57" s="123">
        <v>1961755.5456893134</v>
      </c>
      <c r="D57" s="123">
        <v>2089897.2573272167</v>
      </c>
      <c r="E57" s="123">
        <v>2231038.337726613</v>
      </c>
      <c r="F57" s="123">
        <v>2558688.7194257439</v>
      </c>
      <c r="H57" s="120"/>
    </row>
    <row r="58" spans="1:8" ht="13.15">
      <c r="A58" s="143">
        <v>15</v>
      </c>
      <c r="B58" s="123">
        <v>1845219.7054879102</v>
      </c>
      <c r="C58" s="123">
        <v>2035219.4517333307</v>
      </c>
      <c r="D58" s="123">
        <v>2257845.7291086544</v>
      </c>
      <c r="E58" s="123">
        <v>2519612.9100684039</v>
      </c>
      <c r="F58" s="123">
        <v>3193331.3278640071</v>
      </c>
      <c r="H58" s="120"/>
    </row>
    <row r="59" spans="1:8" ht="13.15">
      <c r="A59" s="144">
        <v>20</v>
      </c>
      <c r="B59" s="123">
        <v>1845219.7054879109</v>
      </c>
      <c r="C59" s="123">
        <v>2111806.7723140484</v>
      </c>
      <c r="D59" s="123">
        <v>2442814.7330809613</v>
      </c>
      <c r="E59" s="123">
        <v>2856451.9377206154</v>
      </c>
      <c r="F59" s="123">
        <v>4032363.9187480891</v>
      </c>
      <c r="H59" s="120"/>
    </row>
    <row r="60" spans="1:8" ht="13.15">
      <c r="A60" s="144">
        <v>25</v>
      </c>
      <c r="B60" s="123">
        <v>1845219.7054879111</v>
      </c>
      <c r="C60" s="123">
        <v>2184700.2252792544</v>
      </c>
      <c r="D60" s="123">
        <v>2629270.087203749</v>
      </c>
      <c r="E60" s="123">
        <v>3217694.2785887066</v>
      </c>
      <c r="F60" s="123">
        <v>5062122.4857187551</v>
      </c>
      <c r="H60" s="120"/>
    </row>
    <row r="61" spans="1:8" ht="13.15">
      <c r="A61" s="144">
        <v>30</v>
      </c>
      <c r="B61" s="123">
        <v>1845219.7054879111</v>
      </c>
      <c r="C61" s="123">
        <v>2250506.6958236932</v>
      </c>
      <c r="D61" s="123">
        <v>2807972.9740084624</v>
      </c>
      <c r="E61" s="123">
        <v>3587344.5103175333</v>
      </c>
      <c r="F61" s="123">
        <v>6278979.7610744182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831758.03562666674</v>
      </c>
      <c r="D6" t="str">
        <f>Reporting_currency</f>
        <v>HKD</v>
      </c>
      <c r="E6" s="356"/>
      <c r="F6" s="356"/>
      <c r="H6" s="120"/>
    </row>
    <row r="7" spans="2:8" ht="13.15">
      <c r="B7" s="149" t="s">
        <v>444</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-3.59</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114">
        <f>Normalized_FCF!G8</f>
        <v>354022</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8"/>
      <c r="H7" s="247">
        <v>4</v>
      </c>
      <c r="I7" s="124" t="str">
        <f t="shared" si="0"/>
        <v/>
      </c>
    </row>
    <row r="8" spans="2:9">
      <c r="B8" s="100" t="s">
        <v>66</v>
      </c>
      <c r="C8" s="114">
        <f>Normalized_FCF!G19</f>
        <v>194373</v>
      </c>
      <c r="D8" t="str">
        <f>Reporting_currency</f>
        <v>HKD</v>
      </c>
      <c r="E8" s="358"/>
      <c r="F8" s="358"/>
      <c r="H8" s="247">
        <v>5</v>
      </c>
      <c r="I8" s="124" t="str">
        <f t="shared" si="0"/>
        <v/>
      </c>
    </row>
    <row r="9" spans="2:9">
      <c r="B9" s="100" t="s">
        <v>57</v>
      </c>
      <c r="C9" s="114">
        <f>Normalized_FCF!C19</f>
        <v>138391.47791159325</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1.2656410607081225E-2</v>
      </c>
      <c r="D12" s="158"/>
      <c r="E12" s="358"/>
      <c r="F12" s="358"/>
      <c r="H12" s="247">
        <v>9</v>
      </c>
      <c r="I12" s="124" t="str">
        <f t="shared" si="0"/>
        <v/>
      </c>
    </row>
    <row r="13" spans="2:9">
      <c r="B13" s="148" t="s">
        <v>153</v>
      </c>
      <c r="C13" s="158">
        <f ca="1">(Normalized_FCF!G8/OFFSET(Normalized_FCF!G8, 0, $C$4))^(1/$C$4) - 1</f>
        <v>3.5687612277801151E-2</v>
      </c>
      <c r="E13" s="358"/>
      <c r="F13" s="358"/>
      <c r="H13" s="247">
        <v>10</v>
      </c>
      <c r="I13" s="124" t="str">
        <f t="shared" si="0"/>
        <v/>
      </c>
    </row>
    <row r="14" spans="2:9">
      <c r="B14" s="100" t="s">
        <v>66</v>
      </c>
      <c r="C14" s="158">
        <f ca="1">(Normalized_FCF!G19/OFFSET(Normalized_FCF!G19, 0, $C$4))^(1/$C$4) - 1</f>
        <v>1.5957752466103425E-2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3.59</v>
      </c>
      <c r="D21" t="str">
        <f>Market_currency</f>
        <v>HKD</v>
      </c>
      <c r="E21" s="359"/>
      <c r="F21" s="359"/>
    </row>
    <row r="22" spans="2:6">
      <c r="B22" s="100" t="s">
        <v>279</v>
      </c>
      <c r="C22" s="160">
        <f>IF(valuation_method="DCF",DCF!C12,DDM!C7)</f>
        <v>4.6297432042189586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5.1317918817422639</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4.8688606222958182</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0.06</v>
      </c>
      <c r="D38" s="164"/>
      <c r="E38" s="357"/>
      <c r="F38" s="357"/>
    </row>
    <row r="39" spans="2:6">
      <c r="B39" s="100" t="s">
        <v>114</v>
      </c>
      <c r="C39" s="160">
        <f>IF(valuation_method="DCF",DCF!E75,DDM!E70)</f>
        <v>5.4213962701549159</v>
      </c>
      <c r="D39" t="str">
        <f>Market_currency</f>
        <v>HKD</v>
      </c>
      <c r="E39" s="357"/>
      <c r="F39" s="357"/>
    </row>
    <row r="40" spans="2:6">
      <c r="B40" s="100" t="s">
        <v>148</v>
      </c>
      <c r="C40" s="167">
        <f>1-C28-C34</f>
        <v>0.2</v>
      </c>
      <c r="D40" s="165"/>
      <c r="E40" s="357"/>
      <c r="F40" s="357"/>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4.6297432042189586</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7.3959048405435714</v>
      </c>
      <c r="D57" t="str">
        <f>Market_currency</f>
        <v>HKD</v>
      </c>
      <c r="E57" s="357"/>
      <c r="F57" s="357"/>
    </row>
    <row r="58" spans="2:6">
      <c r="B58" s="100" t="s">
        <v>148</v>
      </c>
      <c r="C58" s="165">
        <v>0.05</v>
      </c>
      <c r="D58" s="165"/>
      <c r="E58" s="357"/>
      <c r="F58" s="357"/>
    </row>
    <row r="60" spans="2:6" ht="13.15">
      <c r="B60" s="100" t="s">
        <v>121</v>
      </c>
      <c r="C60" s="154">
        <f>C51*C52+C57*C58+C42*(1-C52-C58)</f>
        <v>5.2246962590200807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1">
        <f>(1-C83/C60)</f>
        <v>0.56827582510368113</v>
      </c>
    </row>
    <row r="84" spans="2:8">
      <c r="E84" s="120"/>
    </row>
    <row r="85" spans="2:8" ht="13.15">
      <c r="B85" s="109" t="s">
        <v>303</v>
      </c>
    </row>
    <row r="86" spans="2:8">
      <c r="B86" s="148" t="s">
        <v>301</v>
      </c>
      <c r="C86" s="116">
        <f>Market_Price</f>
        <v>3.59</v>
      </c>
      <c r="D86" t="str">
        <f>Market_currency</f>
        <v>HKD</v>
      </c>
    </row>
    <row r="87" spans="2:8" ht="13.15">
      <c r="B87" s="100" t="s">
        <v>299</v>
      </c>
      <c r="C87" s="237">
        <f ca="1">IRR(OFFSET($I$3, 0, 0, $C$76 + 1, 1))</f>
        <v>0.16494017618254819</v>
      </c>
    </row>
    <row r="88" spans="2:8">
      <c r="B88" s="100"/>
    </row>
    <row r="89" spans="2:8" ht="13.15">
      <c r="B89" s="109" t="s">
        <v>413</v>
      </c>
    </row>
    <row r="90" spans="2:8">
      <c r="B90" s="148" t="s">
        <v>414</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1">
        <f>(1-C93/C60)</f>
        <v>0.39552430404120198</v>
      </c>
    </row>
    <row r="95" spans="2:8" ht="13.15">
      <c r="B95" s="109" t="s">
        <v>398</v>
      </c>
      <c r="G95" s="2"/>
      <c r="H95" s="281"/>
    </row>
    <row r="96" spans="2:8">
      <c r="B96" s="148" t="s">
        <v>404</v>
      </c>
      <c r="C96" s="134">
        <f>Thesis!F31</f>
        <v>7.4999999999999997E-2</v>
      </c>
      <c r="G96" s="2"/>
      <c r="H96" s="281"/>
    </row>
    <row r="97" spans="2:8">
      <c r="B97" s="100" t="s">
        <v>122</v>
      </c>
      <c r="C97" s="116">
        <f>PV(C96, C76, -C77, 0)</f>
        <v>0.33286729470361087</v>
      </c>
      <c r="D97" s="116"/>
      <c r="G97" s="2"/>
      <c r="H97" s="281"/>
    </row>
    <row r="98" spans="2:8">
      <c r="B98" s="100" t="s">
        <v>123</v>
      </c>
      <c r="C98" s="116">
        <f>C60/(1+C96)^C76</f>
        <v>4.2056744761754965</v>
      </c>
      <c r="D98" s="116"/>
      <c r="G98" s="2"/>
      <c r="H98" s="281"/>
    </row>
    <row r="99" spans="2:8" ht="13.15">
      <c r="B99" s="110" t="s">
        <v>399</v>
      </c>
      <c r="C99" s="111">
        <f>C97+C98</f>
        <v>4.5385417708791076</v>
      </c>
      <c r="D99" t="s">
        <v>397</v>
      </c>
      <c r="E99" s="146" t="s">
        <v>127</v>
      </c>
      <c r="F99" s="291">
        <f>(1-C99/C60)</f>
        <v>0.13132906759055596</v>
      </c>
    </row>
    <row r="100" spans="2:8">
      <c r="B100" s="100"/>
    </row>
    <row r="101" spans="2:8" ht="13.15">
      <c r="B101" s="109" t="s">
        <v>422</v>
      </c>
    </row>
    <row r="102" spans="2:8">
      <c r="B102" s="148" t="s">
        <v>421</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1">
        <f>(1-C105/C66)</f>
        <v>0.22401578084943807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