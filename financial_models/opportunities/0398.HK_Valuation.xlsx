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ECB0B6-AD95-4702-973E-49FD15A78B5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<sst xmlns="http://schemas.openxmlformats.org/spreadsheetml/2006/main" count="686" uniqueCount="465">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</sst>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3.67</v>
      </c>
      <c r="D12" s="50"/>
      <c r="E12" s="48"/>
    </row>
    <row r="13" spans="1:10">
      <c r="B13" s="1" t="s">
        <v>412</v>
      </c>
      <c r="C13" s="48" t="s">
        <v>393</v>
      </c>
      <c r="D13" s="48"/>
      <c r="E13" s="5"/>
    </row>
    <row r="14" spans="1:10">
      <c r="B14" s="4" t="s">
        <v>416</v>
      </c>
      <c r="C14" s="35">
        <f>Thesis!C12*Common_Shares/1000000</f>
        <v>1788.60468208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0.15615975358820844</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2.2556276815093281</v>
      </c>
      <c r="D29" s="310" t="str">
        <f>D149</f>
        <v/>
      </c>
      <c r="E29" s="306" t="s">
        <v>420</v>
      </c>
      <c r="F29" s="302">
        <v>0.3674</v>
      </c>
    </row>
    <row r="30" spans="2:6">
      <c r="B30" s="1" t="s">
        <v>422</v>
      </c>
      <c r="C30" s="311">
        <f>C157</f>
        <v>3.1582019073444916</v>
      </c>
      <c r="D30" s="311" t="str">
        <f>D157</f>
        <v/>
      </c>
      <c r="E30" s="307" t="s">
        <v>433</v>
      </c>
      <c r="F30" s="312">
        <v>0.21740000000000001</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198948.88436097838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59" t="s">
        <v>240</v>
      </c>
      <c r="C58" s="359"/>
      <c r="D58" s="359"/>
      <c r="E58" s="359"/>
      <c r="F58" s="359"/>
    </row>
    <row r="59" spans="2:6">
      <c r="B59" s="47" t="s">
        <v>238</v>
      </c>
      <c r="C59" s="349">
        <f>Normalized_FCF!C14</f>
        <v>-46321.471090244595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7.7373988393374532E-2</v>
      </c>
      <c r="F69" s="314"/>
    </row>
    <row r="70" spans="1:6">
      <c r="B70" s="227" t="s">
        <v>454</v>
      </c>
      <c r="C70" s="92">
        <f>Normalized_FCF!C94</f>
        <v>3.4877384196185288E-2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58" t="s">
        <v>363</v>
      </c>
      <c r="C116" s="358"/>
      <c r="D116" s="358"/>
      <c r="E116" s="358"/>
      <c r="F116" s="358"/>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259</v>
      </c>
      <c r="C149" s="215">
        <f>Scenarios!C83</f>
        <v>2.2556276815093281</v>
      </c>
      <c r="D149" s="300" t="str">
        <f>IF($D$11="","",C149*$E$25)</f>
        <v/>
      </c>
    </row>
    <row r="150" spans="2:4">
      <c r="B150" s="259" t="s">
        <v>412</v>
      </c>
      <c r="C150" s="298" t="str">
        <f>Market_currency</f>
        <v>HKD</v>
      </c>
      <c r="D150" s="298" t="str">
        <f>IF($D$11="","",D$13)</f>
        <v/>
      </c>
    </row>
    <row r="151" spans="2:4">
      <c r="B151" s="214" t="s">
        <v>261</v>
      </c>
      <c r="C151" s="92">
        <f>Scenarios!F83</f>
        <v>0.56827582510368113</v>
      </c>
    </row>
    <row r="153" spans="2:4">
      <c r="B153" s="210" t="s">
        <v>408</v>
      </c>
    </row>
    <row r="154" spans="2:4">
      <c r="B154" s="1" t="s">
        <v>407</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259</v>
      </c>
      <c r="C157" s="215">
        <f>Scenarios!C93</f>
        <v>3.1582019073444916</v>
      </c>
      <c r="D157" s="300" t="str">
        <f>IF($D$11="","",C157*$E$25)</f>
        <v/>
      </c>
    </row>
    <row r="158" spans="2:4">
      <c r="B158" s="259" t="s">
        <v>412</v>
      </c>
      <c r="C158" s="298" t="str">
        <f>Market_currency</f>
        <v>HKD</v>
      </c>
      <c r="D158" s="298" t="str">
        <f>IF($D$11="","",D$13)</f>
        <v/>
      </c>
    </row>
    <row r="159" spans="2:4">
      <c r="B159" s="214" t="s">
        <v>261</v>
      </c>
      <c r="C159" s="92">
        <f>Scenarios!F93</f>
        <v>0.39552430404120198</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3.4877384196185288E-2</v>
      </c>
      <c r="E94" s="268"/>
      <c r="G94" s="23">
        <f t="shared" ref="G94:Q94" si="39">IF(G$4="","",(G90*(1-dividend_tax_rate))/Market_Price)</f>
        <v>3.4877384196185288E-2</v>
      </c>
      <c r="H94" s="23">
        <f t="shared" si="39"/>
        <v>4.1689373297002723E-2</v>
      </c>
      <c r="I94" s="23">
        <f t="shared" si="39"/>
        <v>5.0681198910081743E-2</v>
      </c>
      <c r="J94" s="23">
        <f t="shared" si="39"/>
        <v>4.0326975476839236E-2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7.7373988393374532E-2</v>
      </c>
      <c r="D126" s="27"/>
      <c r="E126" s="265"/>
      <c r="F126" s="27"/>
      <c r="G126" s="77">
        <f t="shared" ref="G126" si="50">IF(G$4="","",G125/Market_Price)</f>
        <v>0.10867297952835514</v>
      </c>
      <c r="H126" s="77">
        <f t="shared" ref="H126" si="51">IF(H$4="","",H125/Market_Price)</f>
        <v>0.13947743875403867</v>
      </c>
      <c r="I126" s="77">
        <f t="shared" ref="I126" si="52">IF(I$4="","",I125/Market_Price)</f>
        <v>0.15037811468055284</v>
      </c>
      <c r="J126" s="77">
        <f t="shared" ref="J126" si="53">IF(J$4="","",J125/Market_Price)</f>
        <v>0.10363217867932956</v>
      </c>
      <c r="K126" s="77">
        <f t="shared" ref="K126" si="54">IF(K$4="","",K125/Market_Price)</f>
        <v>6.3205693875592536E-2</v>
      </c>
      <c r="L126" s="77">
        <f t="shared" ref="L126" si="55">IF(L$4="","",L125/Market_Price)</f>
        <v>5.7892613743794612E-2</v>
      </c>
      <c r="M126" s="77">
        <f t="shared" ref="M126" si="56">IF(M$4="","",M125/Market_Price)</f>
        <v>5.4332296551403876E-2</v>
      </c>
      <c r="N126" s="77">
        <f t="shared" ref="N126" si="57">IF(N$4="","",N125/Market_Price)</f>
        <v>-3.7062409969155505E-3</v>
      </c>
      <c r="O126" s="77">
        <f t="shared" ref="O126" si="58">IF(O$4="","",O125/Market_Price)</f>
        <v>-3.1500532546117954E-2</v>
      </c>
      <c r="P126" s="77" t="str">
        <f t="shared" ref="P126" si="59">IF(P$4="","",P125/Market_Price)</f>
        <v/>
      </c>
      <c r="Q126" s="77" t="str">
        <f t="shared" ref="Q126" si="60">IF(Q$4="","",Q125/Market_Price)</f>
        <v/>
      </c>
    </row>
    <row r="127" spans="1:17" ht="15.75" customHeight="1">
      <c r="B127" s="2" t="s">
        <v>391</v>
      </c>
      <c r="C127" s="169"/>
      <c r="G127" s="23">
        <f>IF(G$4="","",(Data!C47*$C$3)/(Market_Price*Common_Shares))</f>
        <v>0.14041671841534778</v>
      </c>
      <c r="H127" s="23">
        <f>IF(H$4="","",(Data!D47*$C$3)/(Market_Price*Common_Shares))</f>
        <v>0.16522600156471129</v>
      </c>
      <c r="I127" s="23">
        <f>IF(I$4="","",(Data!E47*$C$3)/(Market_Price*Common_Shares))</f>
        <v>0.20293807996627225</v>
      </c>
      <c r="J127" s="23">
        <f>IF(J$4="","",(Data!F47*$C$3)/(Market_Price*Common_Shares))</f>
        <v>0.13005892376926881</v>
      </c>
      <c r="K127" s="23">
        <f>IF(K$4="","",(Data!G47*$C$3)/(Market_Price*Common_Shares))</f>
        <v>5.5411349971836367E-2</v>
      </c>
      <c r="L127" s="23">
        <f>IF(L$4="","",(Data!H47*$C$3)/(Market_Price*Common_Shares))</f>
        <v>7.7176919742529132E-2</v>
      </c>
      <c r="M127" s="23">
        <f>IF(M$4="","",(Data!I47*$C$3)/(Market_Price*Common_Shares))</f>
        <v>7.7538095136103949E-2</v>
      </c>
      <c r="N127" s="23">
        <f>IF(N$4="","",(Data!J47*$C$3)/(Market_Price*Common_Shares))</f>
        <v>8.9997528024362075E-3</v>
      </c>
      <c r="O127" s="23">
        <f>IF(O$4="","",(Data!K47*$C$3)/(Market_Price*Common_Shares))</f>
        <v>-8.8107786801013971E-3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-3.67</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3.67</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0.3674</v>
      </c>
    </row>
    <row r="81" spans="2:8">
      <c r="B81" s="100" t="s">
        <v>120</v>
      </c>
      <c r="C81" s="116">
        <f>PV(C80, C76, -C77, 0)</f>
        <v>0.21212919287870191</v>
      </c>
      <c r="D81" s="116"/>
      <c r="E81" s="100"/>
      <c r="F81" s="100"/>
    </row>
    <row r="82" spans="2:8">
      <c r="B82" s="100" t="s">
        <v>121</v>
      </c>
      <c r="C82" s="116">
        <f>C60/(1+C80)^C76</f>
        <v>2.0434984886306262</v>
      </c>
      <c r="D82" s="116"/>
    </row>
    <row r="83" spans="2:8" ht="13.15">
      <c r="B83" s="110" t="s">
        <v>101</v>
      </c>
      <c r="C83" s="111">
        <f>C81+C82</f>
        <v>2.2556276815093281</v>
      </c>
      <c r="D83" t="str">
        <f>Market_currency</f>
        <v>HKD</v>
      </c>
      <c r="E83" s="146" t="s">
        <v>125</v>
      </c>
      <c r="F83" s="291">
        <f>(1-C83/C60)</f>
        <v>0.56827582510368113</v>
      </c>
    </row>
    <row r="84" spans="2:8">
      <c r="E84" s="120"/>
    </row>
    <row r="85" spans="2:8" ht="13.15">
      <c r="B85" s="109" t="s">
        <v>301</v>
      </c>
    </row>
    <row r="86" spans="2:8">
      <c r="B86" s="148" t="s">
        <v>299</v>
      </c>
      <c r="C86" s="116">
        <f>Market_Price</f>
        <v>3.67</v>
      </c>
      <c r="D86" t="str">
        <f>Market_currency</f>
        <v>HKD</v>
      </c>
    </row>
    <row r="87" spans="2:8" ht="13.15">
      <c r="B87" s="100" t="s">
        <v>297</v>
      </c>
      <c r="C87" s="237">
        <f ca="1">IRR(OFFSET($I$3, 0, 0, $C$76 + 1, 1))</f>
        <v>0.15615975358820844</v>
      </c>
    </row>
    <row r="88" spans="2:8">
      <c r="B88" s="100"/>
    </row>
    <row r="89" spans="2:8" ht="13.15">
      <c r="B89" s="109" t="s">
        <v>409</v>
      </c>
    </row>
    <row r="90" spans="2:8">
      <c r="B90" s="148" t="s">
        <v>410</v>
      </c>
      <c r="C90" s="167">
        <f>Thesis!F30</f>
        <v>0.21740000000000001</v>
      </c>
    </row>
    <row r="91" spans="2:8">
      <c r="B91" s="100" t="s">
        <v>120</v>
      </c>
      <c r="C91" s="116">
        <f>PV(C90, C76, -C77, 0)</f>
        <v>0.2624513054547119</v>
      </c>
      <c r="D91" s="116"/>
      <c r="E91" s="100"/>
      <c r="F91" s="100"/>
    </row>
    <row r="92" spans="2:8">
      <c r="B92" s="100" t="s">
        <v>121</v>
      </c>
      <c r="C92" s="116">
        <f>C60/(1+C90)^C76</f>
        <v>2.8957506018897798</v>
      </c>
      <c r="D92" s="116"/>
    </row>
    <row r="93" spans="2:8" ht="13.15">
      <c r="B93" s="110" t="s">
        <v>101</v>
      </c>
      <c r="C93" s="111">
        <f>C91+C92</f>
        <v>3.1582019073444916</v>
      </c>
      <c r="D93" t="str">
        <f>Market_currency</f>
        <v>HKD</v>
      </c>
      <c r="E93" s="146" t="s">
        <v>125</v>
      </c>
      <c r="F93" s="291">
        <f>(1-C93/C60)</f>
        <v>0.39552430404120198</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