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6267322-23A4-49B1-A9C4-410C2BA2EE43}"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Q92" i="2"/>
  <c r="Q94" i="2"/>
  <c r="J94" i="2"/>
  <c r="I94" i="2"/>
  <c r="K94" i="2"/>
  <c r="C44" i="6"/>
  <c r="C44" i="12"/>
  <c r="O94" i="2"/>
  <c r="L94" i="2"/>
  <c r="N94" i="2"/>
  <c r="M94" i="2"/>
  <c r="H94" i="2"/>
  <c r="C147" i="6"/>
  <c r="C147" i="12"/>
  <c r="C163" i="6"/>
  <c r="C163" i="12"/>
  <c r="C171" i="6"/>
  <c r="C171" i="12"/>
  <c r="C155" i="6"/>
  <c r="C155" i="12"/>
  <c r="H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<sst xmlns="http://schemas.openxmlformats.org/spreadsheetml/2006/main" count="836" uniqueCount="559">
  <si>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</si>
  <si>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</si>
  <si>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</si>
  <si>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</si>
  <si>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</si>
  <si>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</si>
  <si>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</si>
  <si>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</si>
  <si>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</si>
  <si>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</si>
  <si>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</si>
  <si>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</si>
  <si>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</si>
  <si>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</si>
  <si>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</si>
  <si>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</si>
  <si>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</si>
  <si>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</si>
  <si>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</si>
  <si>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</si>
  <si>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</si>
  <si>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</si>
  <si>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</si>
  <si>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</si>
  <si>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</si>
  <si>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</si>
  <si>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</si>
  <si>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</si>
  <si>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</si>
  <si>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</si>
  <si>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</si>
  <si>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</si>
  <si>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</si>
  <si>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</si>
  <si>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</si>
  <si>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</si>
  <si>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</si>
  <si>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</si>
  <si>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</si>
  <si>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</si>
  <si>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</si>
  <si>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</si>
  <si>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</si>
  <si>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</si>
  <si>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</si>
  <si>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</si>
  <si>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</si>
  <si>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</si>
  <si>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</si>
  <si>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</si>
  <si>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</si>
  <si>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</si>
  <si>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</si>
  <si>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</si>
  <si>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</si>
  <si>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</si>
  <si>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</si>
  <si>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</si>
  <si>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</si>
  <si>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</si>
  <si>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</si>
  <si>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</si>
  <si>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</si>
  <si>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</si>
  <si>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</si>
  <si>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</si>
  <si>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</si>
  <si>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</si>
  <si>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</si>
  <si>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</si>
  <si>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</si>
  <si>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</si>
  <si>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</si>
  <si>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</si>
  <si>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</si>
  <si>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</si>
  <si>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</si>
  <si>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</si>
  <si>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</si>
  <si>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</si>
  <si>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</si>
  <si>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</si>
  <si>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</si>
  <si>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</si>
  <si>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</si>
  <si>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</si>
  <si>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</si>
  <si>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</si>
  <si>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</si>
  <si>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</si>
  <si>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</si>
  <si>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</si>
  <si>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</si>
  <si>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</si>
  <si>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</si>
  <si>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</si>
  <si>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</si>
  <si>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</si>
  <si>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</si>
  <si>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</si>
  <si>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</si>
  <si>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</si>
  <si>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</si>
  <si>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</si>
  <si>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</si>
  <si>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</si>
  <si>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</si>
  <si>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</si>
  <si>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</si>
  <si>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</si>
  <si>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</si>
  <si>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</si>
  <si>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</si>
  <si>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</si>
  <si>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</si>
  <si>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</si>
  <si>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</si>
  <si>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</si>
  <si>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</si>
  <si>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</si>
  <si>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</si>
  <si>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</si>
  <si>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</si>
  <si>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</si>
  <si>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</si>
  <si>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</si>
  <si>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</si>
  <si>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</si>
  <si>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</si>
  <si>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</si>
  <si>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</si>
  <si>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</si>
  <si>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</si>
  <si>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</si>
  <si>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</si>
  <si>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</si>
  <si>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</si>
  <si>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</si>
  <si>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</si>
  <si>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</si>
  <si>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</si>
  <si>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</si>
  <si>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</si>
  <si>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</si>
  <si>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</si>
  <si>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</si>
  <si>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</si>
  <si>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</si>
  <si>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</si>
  <si>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</si>
  <si>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</si>
  <si>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</si>
  <si>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</si>
  <si>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</si>
  <si>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</si>
  <si>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</si>
  <si>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</si>
  <si>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</si>
  <si>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</si>
  <si>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</si>
  <si>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</si>
  <si>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</si>
  <si>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</si>
  <si>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</si>
  <si>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</si>
  <si>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</si>
  <si>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</si>
  <si>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</si>
  <si>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</si>
  <si>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</si>
  <si>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</si>
  <si>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</si>
  <si>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</si>
  <si>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</si>
  <si>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</si>
  <si>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</si>
  <si>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</si>
  <si>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</si>
  <si>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</si>
  <si>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</si>
  <si>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</si>
  <si>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</si>
  <si>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</si>
  <si>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</si>
  <si>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</si>
  <si>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</si>
  <si>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</si>
  <si>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</si>
  <si>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</si>
  <si>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</si>
  <si>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</si>
  <si>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</si>
  <si>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</si>
  <si>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</si>
  <si>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</si>
  <si>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</si>
  <si>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</si>
  <si>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</si>
  <si>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</si>
  <si>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</si>
  <si>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</si>
  <si>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</si>
  <si>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</si>
  <si>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</si>
  <si>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</si>
  <si>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</si>
  <si>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</si>
  <si>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</si>
  <si>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</si>
  <si>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</si>
  <si>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</si>
  <si>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</si>
  <si>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</si>
  <si>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</si>
  <si>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</si>
  <si>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</si>
  <si>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</si>
  <si>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</si>
  <si>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</si>
  <si>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</si>
  <si>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</si>
  <si>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</si>
  <si>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</si>
  <si>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</si>
  <si>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</si>
  <si>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</si>
  <si>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</si>
  <si>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</si>
  <si>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</si>
  <si>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</si>
  <si>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</si>
  <si>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</si>
  <si>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</si>
  <si>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</si>
  <si>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</si>
  <si>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</si>
  <si>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</si>
  <si>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</si>
  <si>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</si>
  <si>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</si>
  <si>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</si>
  <si>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</si>
  <si>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</si>
  <si>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</si>
  <si>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</si>
  <si>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</si>
  <si>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</si>
  <si>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</si>
  <si>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</si>
  <si>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</si>
  <si>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</si>
  <si>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</si>
  <si>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</si>
  <si>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</si>
  <si>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</si>
  <si>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</si>
  <si>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</si>
  <si>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</si>
  <si>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</si>
  <si>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</si>
  <si>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</si>
  <si>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</si>
  <si>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</si>
  <si>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</si>
  <si>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</si>
  <si>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</si>
  <si>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</si>
  <si>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</si>
  <si>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</si>
  <si>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</si>
  <si>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</si>
  <si>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</si>
  <si>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</si>
  <si>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</si>
  <si>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</si>
  <si>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</si>
  <si>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</si>
  <si>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</si>
  <si>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</si>
  <si>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</si>
  <si>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</si>
  <si>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</si>
  <si>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</si>
  <si>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</si>
  <si>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</si>
  <si>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</si>
  <si>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</si>
  <si>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</si>
  <si>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</si>
  <si>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</si>
  <si>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</si>
  <si>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</si>
  <si>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</si>
  <si>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</si>
  <si>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</si>
  <si>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</si>
  <si>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</si>
  <si>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</si>
  <si>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</si>
  <si>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</si>
  <si>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</si>
  <si>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</si>
  <si>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</si>
  <si>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</si>
  <si>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</si>
  <si>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</si>
  <si>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</si>
  <si>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</si>
  <si>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</si>
  <si>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</si>
  <si>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</si>
  <si>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</si>
  <si>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</si>
  <si>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</si>
  <si>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</si>
  <si>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</si>
  <si>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</si>
  <si>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</si>
  <si>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</si>
  <si>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</si>
  <si>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</si>
  <si>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</si>
  <si>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</si>
  <si>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</si>
  <si>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</si>
  <si>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</si>
  <si>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</si>
  <si>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</si>
  <si>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</si>
  <si>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</si>
  <si>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</si>
  <si>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</si>
  <si>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</si>
  <si>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</si>
  <si>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</si>
  <si>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</si>
  <si>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</si>
  <si>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</si>
  <si>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</si>
  <si>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</si>
  <si>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</si>
  <si>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</si>
  <si>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</si>
  <si>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</si>
  <si>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</si>
  <si>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</si>
  <si>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</si>
  <si>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</si>
  <si>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</si>
  <si>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</si>
  <si>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</si>
  <si>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</si>
  <si>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</si>
  <si>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</si>
  <si>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</si>
  <si>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</si>
  <si>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</si>
  <si>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</si>
  <si>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</si>
  <si>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</si>
  <si>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</si>
  <si>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</si>
  <si>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</si>
  <si>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</si>
  <si>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</si>
  <si>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</si>
  <si>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</si>
  <si>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</si>
  <si>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</si>
  <si>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</si>
  <si>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</si>
  <si>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</si>
  <si>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</si>
  <si>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</si>
  <si>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</si>
  <si>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</si>
  <si>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</si>
  <si>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</si>
  <si>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</si>
  <si>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</si>
  <si>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</si>
  <si>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</si>
  <si>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</si>
  <si>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</si>
  <si>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</si>
  <si>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</si>
  <si>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</si>
  <si>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</si>
  <si>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</si>
  <si>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</si>
  <si>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</si>
  <si>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</si>
  <si>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</si>
  <si>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</si>
  <si>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</si>
  <si>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</si>
  <si>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</si>
  <si>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</si>
  <si>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</si>
  <si>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</si>
  <si>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</si>
  <si>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</si>
  <si>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</si>
  <si>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</si>
  <si>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</si>
  <si>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</si>
  <si>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</si>
  <si>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</si>
  <si>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</si>
  <si>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</si>
  <si>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</si>
  <si>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</si>
  <si>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</si>
  <si>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</si>
  <si>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</si>
  <si>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</si>
  <si>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</si>
  <si>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</si>
  <si>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</si>
  <si>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</si>
  <si>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</si>
  <si>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</si>
  <si>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</si>
  <si>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</si>
  <si>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</si>
  <si>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</si>
  <si>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</si>
  <si>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</si>
  <si>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</si>
  <si>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</si>
  <si>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</si>
  <si>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</si>
  <si>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</si>
  <si>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</si>
  <si>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</si>
  <si>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</si>
  <si>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</si>
  <si>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</si>
  <si>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</si>
  <si>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</si>
  <si>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</si>
  <si>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</si>
  <si>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</si>
  <si>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</si>
  <si>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</si>
  <si>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</si>
  <si>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</si>
  <si>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</si>
  <si>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</si>
  <si>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</si>
  <si>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</si>
  <si>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</si>
  <si>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</si>
  <si>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</si>
  <si>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</si>
  <si>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</si>
  <si>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</si>
  <si>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</si>
  <si>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</si>
  <si>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</si>
  <si>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</si>
  <si>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</si>
  <si>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</si>
  <si>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</si>
  <si>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</si>
  <si>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</si>
  <si>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</si>
  <si>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</si>
  <si>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</si>
  <si>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</si>
  <si>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</si>
  <si>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</si>
  <si>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</si>
  <si>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</si>
  <si>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</si>
  <si>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</si>
  <si>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</si>
  <si>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</si>
  <si>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</si>
  <si>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</si>
  <si>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</si>
  <si>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</si>
  <si>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</si>
  <si>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</si>
  <si>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</si>
  <si>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</si>
  <si>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</si>
  <si>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</si>
  <si>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</si>
  <si>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</si>
  <si>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</si>
  <si>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</si>
  <si>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</si>
  <si>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</si>
  <si>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</si>
  <si>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</si>
  <si>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</si>
  <si>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</si>
  <si>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</si>
  <si>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</si>
  <si>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</si>
  <si>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</si>
  <si>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</si>
  <si>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</si>
  <si>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</si>
  <si>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</si>
  <si>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</si>
  <si>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</si>
  <si>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</si>
  <si>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</si>
  <si>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</si>
  <si>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</si>
  <si>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</si>
  <si>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</si>
  <si>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</si>
  <si>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</si>
  <si>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</si>
  <si>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</si>
  <si>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</si>
  <si>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</si>
  <si>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</si>
  <si>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</si>
  <si>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</si>
  <si>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</si>
  <si>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</si>
  <si>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</si>
  <si>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</si>
  <si>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</si>
  <si>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</si>
  <si>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</si>
  <si>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</si>
  <si>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</si>
  <si>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</si>
  <si>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</si>
  <si>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</si>
  <si>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</si>
  <si>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</si>
  <si>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</si>
  <si>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</si>
  <si>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</si>
  <si>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</si>
  <si>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</si>
  <si>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</si>
  <si>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</si>
  <si>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</si>
  <si>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</si>
  <si>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</si>
  <si>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</si>
  <si>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</si>
  <si>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</si>
  <si>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</si>
  <si>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</si>
  <si>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東方表行集團</t>
  </si>
  <si>
    <t>0398.HK</t>
  </si>
  <si>
    <t/>
  </si>
  <si>
    <t>CNS_05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</si>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</sst>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632D9FB-46F2-4343-B050-300F88DF946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3.49</v>
      </c>
      <c r="D12" s="50"/>
      <c r="E12" s="48"/>
    </row>
    <row r="13" spans="1:10">
      <c r="B13" s="1" t="s">
        <v>464</v>
      </c>
      <c r="C13" s="48" t="s">
        <v>377</v>
      </c>
      <c r="D13" s="48"/>
      <c r="E13" s="5"/>
    </row>
    <row r="14" spans="1:10">
      <c r="B14" s="4" t="s">
        <v>465</v>
      </c>
      <c r="C14" s="35">
        <f>Thesis!C12*Common_Shares/1000000</f>
        <v>1700.8802017600001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556</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0.17629740085363355</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198948.88436097838</v>
      </c>
      <c r="D41" s="1" t="str">
        <f>Reporting_currency</f>
        <v>HKD</v>
      </c>
    </row>
    <row r="42" spans="1:6">
      <c r="B42" s="47"/>
      <c r="C42" s="76"/>
    </row>
    <row r="43" spans="1:6" ht="24.6" customHeight="1">
      <c r="B43" s="373" t="s">
        <v>229</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232</v>
      </c>
      <c r="C47" s="373"/>
      <c r="D47" s="373"/>
      <c r="E47" s="373"/>
      <c r="F47" s="373"/>
    </row>
    <row r="48" spans="1:6">
      <c r="B48" s="47" t="s">
        <v>233</v>
      </c>
      <c r="C48" s="349">
        <f>Normalized_FCF!C11</f>
        <v>0</v>
      </c>
      <c r="D48" s="1" t="str">
        <f>Reporting_currency</f>
        <v>HKD</v>
      </c>
    </row>
    <row r="50" spans="2:6">
      <c r="B50" s="373" t="s">
        <v>236</v>
      </c>
      <c r="C50" s="373"/>
      <c r="D50" s="373"/>
      <c r="E50" s="373"/>
      <c r="F50" s="373"/>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73" t="s">
        <v>237</v>
      </c>
      <c r="C58" s="373"/>
      <c r="D58" s="373"/>
      <c r="E58" s="373"/>
      <c r="F58" s="373"/>
    </row>
    <row r="59" spans="2:6">
      <c r="B59" s="47" t="s">
        <v>235</v>
      </c>
      <c r="C59" s="349">
        <f>Normalized_FCF!C14</f>
        <v>-46321.471090244595</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8.1364623897903873E-2</v>
      </c>
      <c r="F69" s="314"/>
    </row>
    <row r="70" spans="1:6">
      <c r="B70" s="227" t="s">
        <v>434</v>
      </c>
      <c r="C70" s="92">
        <f>Normalized_FCF!C94</f>
        <v>3.6676217765042977E-2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2" t="s">
        <v>352</v>
      </c>
      <c r="C116" s="372"/>
      <c r="D116" s="372"/>
      <c r="E116" s="372"/>
      <c r="F116" s="372"/>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557</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3.6676217765042977E-2</v>
      </c>
      <c r="E94" s="268"/>
      <c r="G94" s="23">
        <f t="shared" ref="G94:Q94" si="39">IF(G$4="","",(G90*(1-dividend_tax_rate))/Market_Price)</f>
        <v>3.6676217765042977E-2</v>
      </c>
      <c r="H94" s="23">
        <f t="shared" si="39"/>
        <v>4.3839541547277934E-2</v>
      </c>
      <c r="I94" s="23">
        <f t="shared" si="39"/>
        <v>5.3295128939828074E-2</v>
      </c>
      <c r="J94" s="23">
        <f t="shared" si="39"/>
        <v>4.2406876790830939E-2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8.1364623897903873E-2</v>
      </c>
      <c r="D126" s="27"/>
      <c r="E126" s="265"/>
      <c r="F126" s="27"/>
      <c r="G126" s="77">
        <f t="shared" ref="G126" si="50">IF(G$4="","",G125/Market_Price)</f>
        <v>0.11427788964729609</v>
      </c>
      <c r="H126" s="77">
        <f t="shared" ref="H126" si="51">IF(H$4="","",H125/Market_Price)</f>
        <v>0.14667111754364523</v>
      </c>
      <c r="I126" s="77">
        <f t="shared" ref="I126" si="52">IF(I$4="","",I125/Market_Price)</f>
        <v>0.15813400598212862</v>
      </c>
      <c r="J126" s="77">
        <f t="shared" ref="J126" si="53">IF(J$4="","",J125/Market_Price)</f>
        <v>0.10897710480032649</v>
      </c>
      <c r="K126" s="77">
        <f t="shared" ref="K126" si="54">IF(K$4="","",K125/Market_Price)</f>
        <v>6.6465586396396728E-2</v>
      </c>
      <c r="L126" s="77">
        <f t="shared" ref="L126" si="55">IF(L$4="","",L125/Market_Price)</f>
        <v>6.0878479209090605E-2</v>
      </c>
      <c r="M126" s="77">
        <f t="shared" ref="M126" si="56">IF(M$4="","",M125/Market_Price)</f>
        <v>5.713453534202069E-2</v>
      </c>
      <c r="N126" s="77">
        <f t="shared" ref="N126" si="57">IF(N$4="","",N125/Market_Price)</f>
        <v>-3.8973938277020253E-3</v>
      </c>
      <c r="O126" s="77">
        <f t="shared" ref="O126" si="58">IF(O$4="","",O125/Market_Price)</f>
        <v>-3.3125201846490801E-2</v>
      </c>
      <c r="P126" s="77" t="str">
        <f t="shared" ref="P126" si="59">IF(P$4="","",P125/Market_Price)</f>
        <v/>
      </c>
      <c r="Q126" s="77" t="str">
        <f t="shared" ref="Q126" si="60">IF(Q$4="","",Q125/Market_Price)</f>
        <v/>
      </c>
    </row>
    <row r="127" spans="1:17" ht="15.75" customHeight="1">
      <c r="B127" s="2" t="s">
        <v>375</v>
      </c>
      <c r="C127" s="169"/>
      <c r="G127" s="23">
        <f>IF(G$4="","",(Data!C47*$C$3)/(Market_Price*Common_Shares))</f>
        <v>0.14765884142817373</v>
      </c>
      <c r="H127" s="23">
        <f>IF(H$4="","",(Data!D47*$C$3)/(Market_Price*Common_Shares))</f>
        <v>0.1737476864591663</v>
      </c>
      <c r="I127" s="23">
        <f>IF(I$4="","",(Data!E47*$C$3)/(Market_Price*Common_Shares))</f>
        <v>0.21340480042298543</v>
      </c>
      <c r="J127" s="23">
        <f>IF(J$4="","",(Data!F47*$C$3)/(Market_Price*Common_Shares))</f>
        <v>0.13676683387771249</v>
      </c>
      <c r="K127" s="23">
        <f>IF(K$4="","",(Data!G47*$C$3)/(Market_Price*Common_Shares))</f>
        <v>5.8269241947461164E-2</v>
      </c>
      <c r="L127" s="23">
        <f>IF(L$4="","",(Data!H47*$C$3)/(Market_Price*Common_Shares))</f>
        <v>8.115739124787448E-2</v>
      </c>
      <c r="M127" s="23">
        <f>IF(M$4="","",(Data!I47*$C$3)/(Market_Price*Common_Shares))</f>
        <v>8.1537194598711032E-2</v>
      </c>
      <c r="N127" s="23">
        <f>IF(N$4="","",(Data!J47*$C$3)/(Market_Price*Common_Shares))</f>
        <v>9.4639234340804807E-3</v>
      </c>
      <c r="O127" s="23">
        <f>IF(O$4="","",(Data!K47*$C$3)/(Market_Price*Common_Shares))</f>
        <v>-9.2652027954074848E-3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8" t="s">
        <v>245</v>
      </c>
      <c r="F6" s="378"/>
      <c r="H6" s="120"/>
    </row>
    <row r="7" spans="2:8">
      <c r="B7" s="148" t="s">
        <v>220</v>
      </c>
      <c r="C7" s="338">
        <f>BS!G31</f>
        <v>195066</v>
      </c>
      <c r="D7" t="str">
        <f>Reporting_currency</f>
        <v>HKD</v>
      </c>
      <c r="E7" s="378"/>
      <c r="F7" s="378"/>
      <c r="H7" s="120"/>
    </row>
    <row r="8" spans="2:8">
      <c r="B8" s="148" t="s">
        <v>221</v>
      </c>
      <c r="C8" s="338">
        <f>BS!D66</f>
        <v>587281.82009631116</v>
      </c>
      <c r="D8" t="str">
        <f>Reporting_currency</f>
        <v>HKD</v>
      </c>
      <c r="E8" s="378"/>
      <c r="F8" s="378"/>
      <c r="H8" s="120"/>
    </row>
    <row r="9" spans="2:8">
      <c r="B9" s="205" t="s">
        <v>186</v>
      </c>
      <c r="C9" s="348">
        <f>BS!H42</f>
        <v>18907.900000000001</v>
      </c>
      <c r="D9" t="str">
        <f>Reporting_currency</f>
        <v>HKD</v>
      </c>
      <c r="E9" s="378"/>
      <c r="F9" s="378"/>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8"/>
      <c r="F6" s="378"/>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-3.49</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c r="B8" s="100" t="s">
        <v>64</v>
      </c>
      <c r="C8" s="338">
        <f>Normalized_FCF!G19</f>
        <v>194373</v>
      </c>
      <c r="D8" t="str">
        <f>Reporting_currency</f>
        <v>HKD</v>
      </c>
      <c r="E8" s="380"/>
      <c r="F8" s="380"/>
      <c r="H8" s="247">
        <v>5</v>
      </c>
      <c r="I8" s="124" t="str">
        <f t="shared" si="0"/>
        <v/>
      </c>
    </row>
    <row r="9" spans="2:9">
      <c r="B9" s="100" t="s">
        <v>55</v>
      </c>
      <c r="C9" s="338">
        <f>Normalized_FCF!C19</f>
        <v>138391.47791159325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1.2656410607081225E-2</v>
      </c>
      <c r="D12" s="158"/>
      <c r="E12" s="380"/>
      <c r="F12" s="380"/>
      <c r="H12" s="247">
        <v>9</v>
      </c>
      <c r="I12" s="124" t="str">
        <f t="shared" si="0"/>
        <v/>
      </c>
    </row>
    <row r="13" spans="2:9">
      <c r="B13" s="148" t="s">
        <v>148</v>
      </c>
      <c r="C13" s="158">
        <f ca="1">(Normalized_FCF!G8/OFFSET(Normalized_FCF!G8, 0, $C$4))^(1/$C$4) - 1</f>
        <v>3.5687612277801151E-2</v>
      </c>
      <c r="E13" s="380"/>
      <c r="F13" s="380"/>
      <c r="H13" s="247">
        <v>10</v>
      </c>
      <c r="I13" s="124" t="str">
        <f t="shared" si="0"/>
        <v/>
      </c>
    </row>
    <row r="14" spans="2:9">
      <c r="B14" s="100" t="s">
        <v>64</v>
      </c>
      <c r="C14" s="158">
        <f ca="1">(Normalized_FCF!G19/OFFSET(Normalized_FCF!G19, 0, $C$4))^(1/$C$4) - 1</f>
        <v>1.5957752466103425E-2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3.49</v>
      </c>
      <c r="D21" t="str">
        <f>Market_currency</f>
        <v>HKD</v>
      </c>
      <c r="E21" s="381"/>
      <c r="F21" s="381"/>
    </row>
    <row r="22" spans="2:6">
      <c r="B22" s="100" t="s">
        <v>273</v>
      </c>
      <c r="C22" s="160">
        <f>IF(valuation_method="DCF",DCF!C12,DDM!C7)</f>
        <v>4.6297432042189586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5.1317918817422639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4.8688606222958182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5.4213962701549159</v>
      </c>
      <c r="D39" t="str">
        <f>Market_currency</f>
        <v>HKD</v>
      </c>
      <c r="E39" s="379"/>
      <c r="F39" s="379"/>
    </row>
    <row r="40" spans="2:6">
      <c r="B40" s="100" t="s">
        <v>143</v>
      </c>
      <c r="C40" s="167">
        <f>1-C28-C34</f>
        <v>0.2</v>
      </c>
      <c r="D40" s="165"/>
      <c r="E40" s="379"/>
      <c r="F40" s="379"/>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4.6297432042189586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7.3959048405435714</v>
      </c>
      <c r="D57" t="str">
        <f>Market_currency</f>
        <v>HKD</v>
      </c>
      <c r="E57" s="379"/>
      <c r="F57" s="379"/>
    </row>
    <row r="58" spans="2:6">
      <c r="B58" s="100" t="s">
        <v>143</v>
      </c>
      <c r="C58" s="165">
        <v>0.05</v>
      </c>
      <c r="D58" s="165"/>
      <c r="E58" s="379"/>
      <c r="F58" s="379"/>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3.49</v>
      </c>
      <c r="D86" t="str">
        <f>Market_currency</f>
        <v>HKD</v>
      </c>
    </row>
    <row r="87" spans="2:8" ht="13.15">
      <c r="B87" s="100" t="s">
        <v>293</v>
      </c>
      <c r="C87" s="237">
        <f ca="1">IRR(OFFSET($I$3, 0, 0, $C$76 + 1, 1))</f>
        <v>0.17629740085363355</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3.49</v>
      </c>
      <c r="D12" s="50"/>
      <c r="E12" s="48"/>
    </row>
    <row r="13" spans="1:10">
      <c r="B13" s="1" t="s">
        <v>485</v>
      </c>
      <c r="C13" s="32" t="str">
        <f>Market_currency</f>
        <v>HKD</v>
      </c>
      <c r="D13" s="48"/>
      <c r="E13" s="5"/>
    </row>
    <row r="14" spans="1:10">
      <c r="B14" s="4" t="s">
        <v>486</v>
      </c>
      <c r="C14" s="35">
        <f>投资主题!C12*Common_Shares/1000000</f>
        <v>1700.8802017600001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0.17629740085363355</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v>
      </c>
    </row>
    <row r="40" spans="1:6">
      <c r="B40" s="373" t="s">
        <v>494</v>
      </c>
      <c r="C40" s="373"/>
      <c r="D40" s="373"/>
      <c r="E40" s="373"/>
      <c r="F40" s="373"/>
    </row>
    <row r="41" spans="1:6">
      <c r="B41" s="47" t="s">
        <v>228</v>
      </c>
      <c r="C41" s="349">
        <f>Normalized_FCF!C8</f>
        <v>198948.88436097838</v>
      </c>
      <c r="D41" s="1" t="str">
        <f>Reporting_currency</f>
        <v>HKD</v>
      </c>
    </row>
    <row r="42" spans="1:6">
      <c r="B42" s="47"/>
      <c r="C42" s="76"/>
    </row>
    <row r="43" spans="1:6" ht="24.6" customHeight="1">
      <c r="B43" s="373" t="s">
        <v>495</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496</v>
      </c>
      <c r="C47" s="373"/>
      <c r="D47" s="373"/>
      <c r="E47" s="373"/>
      <c r="F47" s="373"/>
    </row>
    <row r="48" spans="1:6">
      <c r="B48" s="47" t="s">
        <v>233</v>
      </c>
      <c r="C48" s="349">
        <f>Normalized_FCF!C11</f>
        <v>0</v>
      </c>
      <c r="D48" s="1" t="str">
        <f>Reporting_currency</f>
        <v>HKD</v>
      </c>
    </row>
    <row r="50" spans="2:6">
      <c r="B50" s="373" t="s">
        <v>497</v>
      </c>
      <c r="C50" s="373"/>
      <c r="D50" s="373"/>
      <c r="E50" s="373"/>
      <c r="F50" s="373"/>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73" t="s">
        <v>237</v>
      </c>
      <c r="C58" s="373"/>
      <c r="D58" s="373"/>
      <c r="E58" s="373"/>
      <c r="F58" s="373"/>
    </row>
    <row r="59" spans="2:6">
      <c r="B59" s="47" t="s">
        <v>235</v>
      </c>
      <c r="C59" s="349">
        <f>Normalized_FCF!C14</f>
        <v>-46321.471090244595</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8.1364623897903873E-2</v>
      </c>
      <c r="F69" s="314"/>
    </row>
    <row r="70" spans="1:6">
      <c r="B70" s="227" t="s">
        <v>434</v>
      </c>
      <c r="C70" s="92">
        <f>Normalized_FCF!C94</f>
        <v>3.6676217765042977E-2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2" t="s">
        <v>516</v>
      </c>
      <c r="C116" s="372"/>
      <c r="D116" s="372"/>
      <c r="E116" s="372"/>
      <c r="F116" s="372"/>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81735-7F82-4EB4-87BB-DF49BB36CEF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