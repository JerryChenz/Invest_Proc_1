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3BFEEAC-EEB0-41B2-956C-35ED609639CC}"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F25" i="4"/>
  <c r="E25" i="4"/>
  <c r="D25" i="4"/>
  <c r="C25" i="4"/>
  <c r="C33" i="2"/>
  <c r="C29" i="2"/>
  <c r="C4" i="2"/>
  <c r="C4" i="3"/>
  <c r="C19" i="3"/>
  <c r="G16" i="3"/>
  <c r="G19" i="3"/>
  <c r="D139" i="6"/>
  <c r="C90" i="9"/>
  <c r="C136" i="6" s="1"/>
  <c r="D93" i="9"/>
  <c r="C96" i="9" l="1"/>
  <c r="C142" i="6" s="1"/>
  <c r="P92" i="2"/>
  <c r="Q92" i="2"/>
  <c r="P91" i="2"/>
  <c r="Q91" i="2"/>
  <c r="C28" i="6"/>
  <c r="H1" i="3"/>
  <c r="C3" i="2"/>
  <c r="C3" i="8"/>
  <c r="C130" i="6"/>
  <c r="D104" i="6"/>
  <c r="D145" i="6"/>
  <c r="P48" i="2"/>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1" i="6"/>
  <c r="C98" i="6"/>
  <c r="C99" i="6" s="1"/>
  <c r="G67" i="2"/>
  <c r="C67" i="2" s="1"/>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L45" i="4"/>
  <c r="C34" i="2"/>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E72" i="4"/>
  <c r="D72"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Q126" i="2" s="1"/>
  <c r="P4" i="2"/>
  <c r="P126" i="2" s="1"/>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C10" i="6"/>
  <c r="B4" i="6"/>
  <c r="G70" i="4" l="1"/>
  <c r="F70" i="4"/>
  <c r="E70" i="4"/>
  <c r="O126" i="2"/>
  <c r="O91" i="2"/>
  <c r="J71" i="4"/>
  <c r="J69" i="4"/>
  <c r="I69" i="4"/>
  <c r="H70" i="4"/>
  <c r="K126" i="2"/>
  <c r="K91" i="2"/>
  <c r="J70" i="4"/>
  <c r="N126" i="2"/>
  <c r="N91" i="2"/>
  <c r="G69" i="4"/>
  <c r="L126" i="2"/>
  <c r="L91" i="2"/>
  <c r="H69" i="4"/>
  <c r="I70" i="4"/>
  <c r="C70" i="4"/>
  <c r="M126" i="2"/>
  <c r="M91" i="2"/>
  <c r="I71" i="4"/>
  <c r="D70" i="4"/>
  <c r="D69" i="4"/>
  <c r="I91" i="2"/>
  <c r="J91" i="2"/>
  <c r="H91" i="2"/>
  <c r="E69" i="4"/>
  <c r="C69" i="4"/>
  <c r="C31" i="4"/>
  <c r="C80" i="4" s="1"/>
  <c r="C76" i="4" s="1"/>
  <c r="C8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82" i="2"/>
  <c r="O28" i="2"/>
  <c r="O40" i="2" l="1"/>
  <c r="O63" i="2"/>
  <c r="O73" i="2"/>
  <c r="H58" i="4"/>
  <c r="H71" i="4"/>
  <c r="O30" i="2"/>
  <c r="O6" i="2"/>
  <c r="G71" i="4"/>
  <c r="C58" i="4"/>
  <c r="G62" i="2" s="1"/>
  <c r="G63" i="2" s="1"/>
  <c r="C71" i="4"/>
  <c r="E58" i="4"/>
  <c r="I62" i="2" s="1"/>
  <c r="E71" i="4"/>
  <c r="D71" i="4"/>
  <c r="G105" i="2"/>
  <c r="G101" i="2" s="1"/>
  <c r="G119" i="2" s="1"/>
  <c r="P40" i="2"/>
  <c r="P30" i="2"/>
  <c r="P63" i="2"/>
  <c r="P6" i="2"/>
  <c r="P73" i="2"/>
  <c r="C23" i="2"/>
  <c r="C53" i="2"/>
  <c r="C49" i="2" s="1"/>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8" i="2"/>
  <c r="O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4" i="6" s="1"/>
  <c r="C95" i="6" s="1"/>
  <c r="C73" i="2"/>
  <c r="C41" i="3"/>
  <c r="N48" i="2" l="1"/>
  <c r="N50" i="2" s="1"/>
  <c r="N12" i="2" s="1"/>
  <c r="O48" i="2"/>
  <c r="O50" i="2" s="1"/>
  <c r="O12" i="2" s="1"/>
  <c r="K48" i="2"/>
  <c r="K50" i="2" s="1"/>
  <c r="K12" i="2" s="1"/>
  <c r="K43" i="2" s="1"/>
  <c r="M48" i="2"/>
  <c r="M50" i="2" s="1"/>
  <c r="M12" i="2" s="1"/>
  <c r="L48" i="2"/>
  <c r="L50" i="2" s="1"/>
  <c r="L12" i="2" s="1"/>
  <c r="G48" i="2"/>
  <c r="G50" i="2" s="1"/>
  <c r="G12" i="2" s="1"/>
  <c r="G43" i="2" s="1"/>
  <c r="H48" i="2"/>
  <c r="H50" i="2" s="1"/>
  <c r="H12" i="2" s="1"/>
  <c r="H80" i="2" s="1"/>
  <c r="I48" i="2"/>
  <c r="I50" i="2" s="1"/>
  <c r="I12" i="2" s="1"/>
  <c r="I80" i="2" s="1"/>
  <c r="J48" i="2"/>
  <c r="J50" i="2" s="1"/>
  <c r="J12" i="2" s="1"/>
  <c r="J80" i="2" s="1"/>
  <c r="P50" i="2"/>
  <c r="P12" i="2" s="1"/>
  <c r="C40" i="6"/>
  <c r="C87" i="3"/>
  <c r="D87" i="3" s="1"/>
  <c r="C31" i="3"/>
  <c r="L80" i="2" l="1"/>
  <c r="L43" i="2"/>
  <c r="O80" i="2"/>
  <c r="O43" i="2"/>
  <c r="O13" i="2"/>
  <c r="K80" i="2"/>
  <c r="P80" i="2"/>
  <c r="P13" i="2"/>
  <c r="P43" i="2"/>
  <c r="M80" i="2"/>
  <c r="M43" i="2"/>
  <c r="J43" i="2"/>
  <c r="H43" i="2"/>
  <c r="I43" i="2"/>
  <c r="N80" i="2"/>
  <c r="N43" i="2"/>
  <c r="G80" i="2"/>
  <c r="C30" i="6"/>
  <c r="C74" i="2"/>
  <c r="C32" i="3"/>
  <c r="G31" i="3"/>
  <c r="B1" i="2"/>
  <c r="O16" i="2" l="1"/>
  <c r="O81" i="2"/>
  <c r="O117" i="2" s="1"/>
  <c r="C7" i="8"/>
  <c r="C86" i="3" s="1"/>
  <c r="D86" i="3" s="1"/>
  <c r="D89" i="3" s="1"/>
  <c r="C89" i="6"/>
  <c r="P81" i="2"/>
  <c r="P117" i="2" s="1"/>
  <c r="P16" i="2"/>
  <c r="O97" i="2"/>
  <c r="C89" i="3"/>
  <c r="C71" i="8"/>
  <c r="F69" i="8"/>
  <c r="B69" i="8"/>
  <c r="E68" i="8"/>
  <c r="D69" i="8"/>
  <c r="F66" i="8"/>
  <c r="D67" i="8"/>
  <c r="F67" i="8"/>
  <c r="C67" i="8"/>
  <c r="C70" i="8"/>
  <c r="E66" i="8"/>
  <c r="D71" i="8"/>
  <c r="D70" i="8"/>
  <c r="D68" i="8"/>
  <c r="C68" i="8"/>
  <c r="F70" i="8"/>
  <c r="E67" i="8"/>
  <c r="B70" i="8"/>
  <c r="C66" i="8"/>
  <c r="E70" i="8"/>
  <c r="F71" i="8"/>
  <c r="E69" i="8"/>
  <c r="C69" i="8"/>
  <c r="B68" i="8"/>
  <c r="B67" i="8"/>
  <c r="D66" i="8"/>
  <c r="B66" i="8"/>
  <c r="G54" i="2"/>
  <c r="C54" i="2" s="1"/>
  <c r="E71" i="8" l="1"/>
  <c r="F68" i="8"/>
  <c r="B71" i="8"/>
  <c r="C86" i="6"/>
  <c r="C87" i="6" s="1"/>
  <c r="O84" i="2"/>
  <c r="O19" i="2"/>
  <c r="O124" i="2"/>
  <c r="O125" i="2" s="1"/>
  <c r="P84" i="2"/>
  <c r="P19" i="2"/>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N84" i="2"/>
  <c r="L124" i="2"/>
  <c r="L125" i="2" s="1"/>
  <c r="L19" i="2"/>
  <c r="L87" i="2" s="1"/>
  <c r="I114" i="2"/>
  <c r="I92" i="2"/>
  <c r="J114" i="2"/>
  <c r="J92" i="2"/>
  <c r="M124" i="2"/>
  <c r="M125" i="2" s="1"/>
  <c r="M19" i="2"/>
  <c r="I124" i="2"/>
  <c r="I125" i="2" s="1"/>
  <c r="J84" i="2"/>
  <c r="N124" i="2"/>
  <c r="N125" i="2" s="1"/>
  <c r="M84" i="2"/>
  <c r="I87" i="2"/>
  <c r="I84" i="2"/>
  <c r="J124" i="2"/>
  <c r="J125" i="2" s="1"/>
  <c r="K87" i="2"/>
  <c r="L84" i="2"/>
  <c r="N87" i="2"/>
  <c r="C76" i="2"/>
  <c r="C50" i="3"/>
  <c r="C90" i="6" s="1"/>
  <c r="C54" i="3"/>
  <c r="C120" i="2"/>
  <c r="L114" i="2" l="1"/>
  <c r="L92" i="2"/>
  <c r="M114" i="2"/>
  <c r="M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<sst xmlns="http://schemas.openxmlformats.org/spreadsheetml/2006/main" count="616" uniqueCount="430">
  <si>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</si>
  <si>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</si>
  <si>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</si>
  <si>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</si>
  <si>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</si>
  <si>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</si>
  <si>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</si>
  <si>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</si>
  <si>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</si>
  <si>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</si>
  <si>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</si>
  <si>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</si>
  <si>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</si>
  <si>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</si>
  <si>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</si>
  <si>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</si>
  <si>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</si>
  <si>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</si>
  <si>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</si>
  <si>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</si>
  <si>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</si>
  <si>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</si>
  <si>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</si>
  <si>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</si>
  <si>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</si>
  <si>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</si>
  <si>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</si>
  <si>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</si>
  <si>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</si>
  <si>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</si>
  <si>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</si>
  <si>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</si>
  <si>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</si>
  <si>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</si>
  <si>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</si>
  <si>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</si>
  <si>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</si>
  <si>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</si>
  <si>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</si>
  <si>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</si>
  <si>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</si>
  <si>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</si>
  <si>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</si>
  <si>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</si>
  <si>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</si>
  <si>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</si>
  <si>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</si>
  <si>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</si>
  <si>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</si>
  <si>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</si>
  <si>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</si>
  <si>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</si>
  <si>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</si>
  <si>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</si>
  <si>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</si>
  <si>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</si>
  <si>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</si>
  <si>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</si>
  <si>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</si>
  <si>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</si>
  <si>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</si>
  <si>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</si>
  <si>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</si>
  <si>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</si>
  <si>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</si>
  <si>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</si>
  <si>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</si>
  <si>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</si>
  <si>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</si>
  <si>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</si>
  <si>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</si>
  <si>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</si>
  <si>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</si>
  <si>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</si>
  <si>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</si>
  <si>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</si>
  <si>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</si>
  <si>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</si>
  <si>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</si>
  <si>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</si>
  <si>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</si>
  <si>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</si>
  <si>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</si>
  <si>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</si>
  <si>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</si>
  <si>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</si>
  <si>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</si>
  <si>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</si>
  <si>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</si>
  <si>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</si>
  <si>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</si>
  <si>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</si>
  <si>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</si>
  <si>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</si>
  <si>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</si>
  <si>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</si>
  <si>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</si>
  <si>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</si>
  <si>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</si>
  <si>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</si>
  <si>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</si>
  <si>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</si>
  <si>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</si>
  <si>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</si>
  <si>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</si>
  <si>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</si>
  <si>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</si>
  <si>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</si>
  <si>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</si>
  <si>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</si>
  <si>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</si>
  <si>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</si>
  <si>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</si>
  <si>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</si>
  <si>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</si>
  <si>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</si>
  <si>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</si>
  <si>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</si>
  <si>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</si>
  <si>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</si>
  <si>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</si>
  <si>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</si>
  <si>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</si>
  <si>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</si>
  <si>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</si>
  <si>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</si>
  <si>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</si>
  <si>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</si>
  <si>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</si>
  <si>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</si>
  <si>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</si>
  <si>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</si>
  <si>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</si>
  <si>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</si>
  <si>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</si>
  <si>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</si>
  <si>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</si>
  <si>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</si>
  <si>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</si>
  <si>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</si>
  <si>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</si>
  <si>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</si>
  <si>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</si>
  <si>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</si>
  <si>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</si>
  <si>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</si>
  <si>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</si>
  <si>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</si>
  <si>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</si>
  <si>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</si>
  <si>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</si>
  <si>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</si>
  <si>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</si>
  <si>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</si>
  <si>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</si>
  <si>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</si>
  <si>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</si>
  <si>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</si>
  <si>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</si>
  <si>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</si>
  <si>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</si>
  <si>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</si>
  <si>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</si>
  <si>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</si>
  <si>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</si>
  <si>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</si>
  <si>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</si>
  <si>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</si>
  <si>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</si>
  <si>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</si>
  <si>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</si>
  <si>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</si>
  <si>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</si>
  <si>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</si>
  <si>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</si>
  <si>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</si>
  <si>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</si>
  <si>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</si>
  <si>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</si>
  <si>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</si>
  <si>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</si>
  <si>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</si>
  <si>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</si>
  <si>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</si>
  <si>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</si>
  <si>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</si>
  <si>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</si>
  <si>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</si>
  <si>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</si>
  <si>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</si>
  <si>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</si>
  <si>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</si>
  <si>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</si>
  <si>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</si>
  <si>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</si>
  <si>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</si>
  <si>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</si>
  <si>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</si>
  <si>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</si>
  <si>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</si>
  <si>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</si>
  <si>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</si>
  <si>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</si>
  <si>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</si>
  <si>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</si>
  <si>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</si>
  <si>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</si>
  <si>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</si>
  <si>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</si>
  <si>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</si>
  <si>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</si>
  <si>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</si>
  <si>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</si>
  <si>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</si>
  <si>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</si>
  <si>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</si>
  <si>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</si>
  <si>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</si>
  <si>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</si>
  <si>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</si>
  <si>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</si>
  <si>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</si>
  <si>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</si>
  <si>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</si>
  <si>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</si>
  <si>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</si>
  <si>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</si>
  <si>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</si>
  <si>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</si>
  <si>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</si>
  <si>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</si>
  <si>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</si>
  <si>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</si>
  <si>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</si>
  <si>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</si>
  <si>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</si>
  <si>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</si>
  <si>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</si>
  <si>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</si>
  <si>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</si>
  <si>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</si>
  <si>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</si>
  <si>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</si>
  <si>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</si>
  <si>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</si>
  <si>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</si>
  <si>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</si>
  <si>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</si>
  <si>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</si>
  <si>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</si>
  <si>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</si>
  <si>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</si>
  <si>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</si>
  <si>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</si>
  <si>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</si>
  <si>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</si>
  <si>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</si>
  <si>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</si>
  <si>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</si>
  <si>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</si>
  <si>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</si>
  <si>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</si>
  <si>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</si>
  <si>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</si>
  <si>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</si>
  <si>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</si>
  <si>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</si>
  <si>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</si>
  <si>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</si>
  <si>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</si>
  <si>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</si>
  <si>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</si>
  <si>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</si>
  <si>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</si>
  <si>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</si>
  <si>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</si>
  <si>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</si>
  <si>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</si>
  <si>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</si>
  <si>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</si>
  <si>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</si>
  <si>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</si>
  <si>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</si>
  <si>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</si>
  <si>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</si>
  <si>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</si>
  <si>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</si>
  <si>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</si>
  <si>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</si>
  <si>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</si>
  <si>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</si>
  <si>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</si>
  <si>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</si>
  <si>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</si>
  <si>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</si>
  <si>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</si>
  <si>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</si>
  <si>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</si>
  <si>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</si>
  <si>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</si>
  <si>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</si>
  <si>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</si>
  <si>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</si>
  <si>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</si>
  <si>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</si>
  <si>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</si>
  <si>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</si>
  <si>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</si>
  <si>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</si>
  <si>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</si>
  <si>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</si>
  <si>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</si>
  <si>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</si>
  <si>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</si>
  <si>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</si>
  <si>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</si>
  <si>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</si>
  <si>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</si>
  <si>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</si>
  <si>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</si>
  <si>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</si>
  <si>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</si>
  <si>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</si>
  <si>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</si>
  <si>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</si>
  <si>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</si>
  <si>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</si>
  <si>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</si>
  <si>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</si>
  <si>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</si>
  <si>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</si>
  <si>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</si>
  <si>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</si>
  <si>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</si>
  <si>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</si>
  <si>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</si>
  <si>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</si>
  <si>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</si>
  <si>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</si>
  <si>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</si>
  <si>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</si>
  <si>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</si>
  <si>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</si>
  <si>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</si>
  <si>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</si>
  <si>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</si>
  <si>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</si>
  <si>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</si>
  <si>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</si>
  <si>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</si>
  <si>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</si>
  <si>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</si>
  <si>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</si>
  <si>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</si>
  <si>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</si>
  <si>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</si>
  <si>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</si>
  <si>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</si>
  <si>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</si>
  <si>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</si>
  <si>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</si>
  <si>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</si>
  <si>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</si>
  <si>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</si>
  <si>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</si>
  <si>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</si>
  <si>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</si>
  <si>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</si>
  <si>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</si>
  <si>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</si>
  <si>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</si>
  <si>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</si>
  <si>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</si>
  <si>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</si>
  <si>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</si>
  <si>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</si>
  <si>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</si>
  <si>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</si>
  <si>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</si>
  <si>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</si>
  <si>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</si>
  <si>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</si>
  <si>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</si>
  <si>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</si>
  <si>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</si>
  <si>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</si>
  <si>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</si>
  <si>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</si>
  <si>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</si>
  <si>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</si>
  <si>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</si>
  <si>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</si>
  <si>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</si>
  <si>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</si>
  <si>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</si>
  <si>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</si>
  <si>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</si>
  <si>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</si>
  <si>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</si>
  <si>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</si>
  <si>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</si>
  <si>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</si>
  <si>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</si>
  <si>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</si>
  <si>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</si>
  <si>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</si>
  <si>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</si>
  <si>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</si>
  <si>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</si>
  <si>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</si>
  <si>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</si>
  <si>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</si>
  <si>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</si>
  <si>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</si>
  <si>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</si>
  <si>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</si>
  <si>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</si>
  <si>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</si>
  <si>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</si>
  <si>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</si>
  <si>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</si>
  <si>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</si>
  <si>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</si>
  <si>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</si>
  <si>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</si>
  <si>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</si>
  <si>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</si>
  <si>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</si>
  <si>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0398.HK</t>
  </si>
  <si>
    <t>東方表行集團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</si>
</sst>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E19" sqref="E1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45786</v>
      </c>
      <c r="D1" s="52"/>
      <c r="E1" s="331" t="s">
        <v>363</v>
      </c>
      <c r="F1" s="284" t="s">
        <v>288</v>
      </c>
    </row>
    <row r="2" spans="1:10" ht="13.9">
      <c r="A2" s="247" t="s">
        <v>268</v>
      </c>
      <c r="B2" s="36"/>
      <c r="C2" s="36"/>
      <c r="D2" s="36"/>
      <c r="E2" s="36"/>
      <c r="F2" s="36"/>
      <c r="G2" s="22"/>
      <c r="H2" s="22"/>
      <c r="I2" s="22"/>
      <c r="J2" s="22"/>
    </row>
    <row r="4" spans="1:10">
      <c r="B4" s="45" t="str">
        <f>D5&amp;" Stock Information"</f>
        <v>0398.HK Stock Information</v>
      </c>
      <c r="C4" s="46"/>
      <c r="D4" s="5"/>
      <c r="E4" s="2"/>
      <c r="F4" s="2"/>
    </row>
    <row r="5" spans="1:10" ht="12.4">
      <c r="B5" s="4" t="s">
        <v>324</v>
      </c>
      <c r="C5" s="333" t="s">
        <v>429</v>
      </c>
      <c r="D5" s="49" t="s">
        <v>428</v>
      </c>
    </row>
    <row r="6" spans="1:10">
      <c r="B6" s="4" t="s">
        <v>95</v>
      </c>
      <c r="C6" s="50">
        <v>3.57</v>
      </c>
      <c r="D6" s="48" t="s">
        <v>408</v>
      </c>
      <c r="E6" s="48"/>
    </row>
    <row r="7" spans="1:10">
      <c r="B7" s="4" t="s">
        <v>0</v>
      </c>
      <c r="C7" s="51">
        <v>487358224</v>
      </c>
      <c r="D7" s="34"/>
      <c r="E7" s="34"/>
    </row>
    <row r="8" spans="1:10">
      <c r="B8" s="2" t="s">
        <v>315</v>
      </c>
      <c r="C8" s="279">
        <v>6</v>
      </c>
      <c r="D8" s="5"/>
      <c r="E8" s="48"/>
    </row>
    <row r="9" spans="1:10">
      <c r="B9" s="1" t="s">
        <v>269</v>
      </c>
      <c r="C9" s="33">
        <f>EOMONTH(EDATE(BS!C1,C8+2),0)</f>
        <v>45808</v>
      </c>
      <c r="D9" s="5"/>
      <c r="E9" s="5"/>
    </row>
    <row r="10" spans="1:10">
      <c r="B10" s="4" t="str">
        <f>"Capitalization ("&amp;Market_currency&amp;"):"</f>
        <v>Capitalization (HKD):</v>
      </c>
      <c r="C10" s="35">
        <f>Thesis!C6*Thesis!C7/1000000</f>
        <v>1739.8688596799998</v>
      </c>
      <c r="D10" s="32"/>
      <c r="E10" s="5"/>
    </row>
    <row r="11" spans="1:10">
      <c r="D11" s="5"/>
      <c r="E11" s="5"/>
    </row>
    <row r="12" spans="1:10" ht="24.4" customHeight="1">
      <c r="B12" s="342" t="s">
        <v>371</v>
      </c>
      <c r="C12" s="342"/>
      <c r="D12" s="342"/>
      <c r="E12" s="342"/>
      <c r="F12" s="342"/>
    </row>
    <row r="14" spans="1:10">
      <c r="B14" s="45" t="s">
        <v>314</v>
      </c>
      <c r="C14" s="46"/>
      <c r="D14" s="5"/>
    </row>
    <row r="15" spans="1:10">
      <c r="B15" s="2" t="s">
        <v>358</v>
      </c>
      <c r="C15" s="32" t="str">
        <f>IF(Scenarios!C69="Y",Scenarios!B69,"")&amp;IF(Scenarios!C70="Y",Scenarios!B70,"")&amp;IF(Scenarios!C71="Y",Scenarios!B71,"")&amp;" "&amp;IF(Scenarios!C72="Y",Scenarios!B72,"")</f>
        <v xml:space="preserve">Low Growth </v>
      </c>
      <c r="E15" s="5"/>
    </row>
    <row r="16" spans="1:10">
      <c r="B16" s="4" t="s">
        <v>357</v>
      </c>
      <c r="C16" s="48" t="s">
        <v>408</v>
      </c>
      <c r="D16" s="32"/>
      <c r="E16" s="5"/>
    </row>
    <row r="17" spans="1:6">
      <c r="B17" s="4" t="s">
        <v>1</v>
      </c>
      <c r="C17" s="50">
        <v>1</v>
      </c>
      <c r="D17" s="32" t="str">
        <f>IF(C16=D6,D6,C16&amp;"/"&amp;D6)</f>
        <v>HKD</v>
      </c>
      <c r="E17" s="5"/>
    </row>
    <row r="18" spans="1:6">
      <c r="B18" s="2" t="s">
        <v>56</v>
      </c>
      <c r="C18" s="48" t="s">
        <v>364</v>
      </c>
      <c r="E18" s="5"/>
    </row>
    <row r="19" spans="1:6">
      <c r="B19" s="2" t="s">
        <v>277</v>
      </c>
      <c r="C19" s="249">
        <v>0.3</v>
      </c>
      <c r="D19" s="1" t="s">
        <v>421</v>
      </c>
      <c r="E19" s="339">
        <v>0.2</v>
      </c>
    </row>
    <row r="20" spans="1:6">
      <c r="B20" s="2" t="str">
        <f>"Target Buy Price ("&amp;Market_currency&amp;"):"</f>
        <v>Target Buy Price (HKD):</v>
      </c>
      <c r="C20" s="252">
        <f>C133</f>
        <v>2.4911701525888064</v>
      </c>
      <c r="D20" s="1" t="s">
        <v>316</v>
      </c>
      <c r="E20" s="330">
        <v>3</v>
      </c>
    </row>
    <row r="21" spans="1:6">
      <c r="B21" s="1" t="s">
        <v>411</v>
      </c>
      <c r="C21" s="280">
        <f ca="1">Scenarios!C87</f>
        <v>0.14834835832623461</v>
      </c>
      <c r="D21" s="5"/>
      <c r="E21" s="5"/>
    </row>
    <row r="22" spans="1:6">
      <c r="D22" s="5"/>
      <c r="E22" s="5"/>
    </row>
    <row r="23" spans="1:6" ht="13.9">
      <c r="A23" s="247" t="s">
        <v>366</v>
      </c>
      <c r="B23" s="36"/>
      <c r="C23" s="36"/>
      <c r="D23" s="36"/>
      <c r="E23" s="36"/>
      <c r="F23" s="36"/>
    </row>
    <row r="25" spans="1:6" ht="24.4" customHeight="1">
      <c r="B25" s="342" t="s">
        <v>372</v>
      </c>
      <c r="C25" s="342"/>
      <c r="D25" s="342"/>
      <c r="E25" s="342"/>
      <c r="F25" s="342"/>
    </row>
    <row r="26" spans="1:6" ht="24.4" customHeight="1">
      <c r="B26" s="345" t="s">
        <v>349</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198948.88436097838</v>
      </c>
      <c r="D30" s="1" t="str">
        <f>Reporting_currency</f>
        <v>HKD</v>
      </c>
    </row>
    <row r="31" spans="1:6">
      <c r="B31" s="47"/>
      <c r="C31" s="76"/>
    </row>
    <row r="32" spans="1:6" ht="24.4" customHeight="1">
      <c r="B32" s="343" t="s">
        <v>234</v>
      </c>
      <c r="C32" s="343"/>
      <c r="D32" s="343"/>
      <c r="E32" s="343"/>
      <c r="F32" s="343"/>
    </row>
    <row r="33" spans="2:6">
      <c r="B33" s="47" t="s">
        <v>235</v>
      </c>
      <c r="C33" s="188">
        <f>Normalized_FCF!C9</f>
        <v>0</v>
      </c>
      <c r="D33" s="1" t="str">
        <f>Reporting_currency</f>
        <v>HKD</v>
      </c>
    </row>
    <row r="34" spans="2:6">
      <c r="B34" s="52" t="s">
        <v>236</v>
      </c>
      <c r="C34" s="188">
        <f>Normalized_FCF!C10</f>
        <v>0</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350</v>
      </c>
      <c r="C40" s="322">
        <f>Normalized_FCF!C48</f>
        <v>0</v>
      </c>
      <c r="D40" s="1" t="str">
        <f>Reporting_currency</f>
        <v>HKD</v>
      </c>
      <c r="E40" s="321"/>
      <c r="F40" s="321"/>
    </row>
    <row r="41" spans="2:6">
      <c r="B41" s="47" t="s">
        <v>351</v>
      </c>
      <c r="C41" s="322">
        <f>Normalized_FCF!C47</f>
        <v>-13663</v>
      </c>
      <c r="D41" s="1" t="str">
        <f>Reporting_currency</f>
        <v>HKD</v>
      </c>
      <c r="E41" s="321"/>
      <c r="F41" s="321"/>
    </row>
    <row r="42" spans="2:6">
      <c r="B42" s="47" t="s">
        <v>239</v>
      </c>
      <c r="C42" s="188">
        <f>Normalized_FCF!C12</f>
        <v>-13663</v>
      </c>
      <c r="D42" s="1" t="str">
        <f>Reporting_currency</f>
        <v>HKD</v>
      </c>
    </row>
    <row r="44" spans="2:6">
      <c r="B44" s="1" t="s">
        <v>247</v>
      </c>
    </row>
    <row r="45" spans="2:6">
      <c r="B45" s="47" t="s">
        <v>266</v>
      </c>
      <c r="C45" s="188">
        <f>Normalized_FCF!C15</f>
        <v>-572.93535914055167</v>
      </c>
      <c r="D45" s="1" t="str">
        <f>Reporting_currency</f>
        <v>HKD</v>
      </c>
    </row>
    <row r="47" spans="2:6">
      <c r="B47" s="343" t="s">
        <v>242</v>
      </c>
      <c r="C47" s="343"/>
      <c r="D47" s="343"/>
      <c r="E47" s="343"/>
      <c r="F47" s="343"/>
    </row>
    <row r="48" spans="2:6">
      <c r="B48" s="47" t="s">
        <v>240</v>
      </c>
      <c r="C48" s="188">
        <f>Normalized_FCF!C14</f>
        <v>-46321.471090244595</v>
      </c>
      <c r="D48" s="1" t="str">
        <f>Reporting_currency</f>
        <v>HKD</v>
      </c>
    </row>
    <row r="50" spans="1:6">
      <c r="B50" s="343" t="s">
        <v>348</v>
      </c>
      <c r="C50" s="344"/>
      <c r="D50" s="344"/>
      <c r="E50" s="344"/>
      <c r="F50" s="344"/>
    </row>
    <row r="51" spans="1:6">
      <c r="B51" s="47" t="s">
        <v>243</v>
      </c>
      <c r="C51" s="1">
        <f>Normalized_FCF!C17</f>
        <v>0</v>
      </c>
      <c r="D51" s="1" t="str">
        <f>Reporting_currency</f>
        <v>HKD</v>
      </c>
    </row>
    <row r="53" spans="1:6" ht="24.4" customHeight="1">
      <c r="B53" s="342" t="s">
        <v>353</v>
      </c>
      <c r="C53" s="342"/>
      <c r="D53" s="342"/>
      <c r="E53" s="342"/>
      <c r="F53" s="342"/>
    </row>
    <row r="54" spans="1:6" ht="24.4" customHeight="1">
      <c r="B54" s="342" t="s">
        <v>373</v>
      </c>
      <c r="C54" s="342"/>
      <c r="D54" s="342"/>
      <c r="E54" s="342"/>
      <c r="F54" s="342"/>
    </row>
    <row r="56" spans="1:6">
      <c r="B56" s="47" t="s">
        <v>271</v>
      </c>
      <c r="C56" s="188">
        <f>Normalized_FCF!G19</f>
        <v>194373</v>
      </c>
      <c r="D56" s="1" t="str">
        <f>Reporting_currency</f>
        <v>HKD</v>
      </c>
    </row>
    <row r="57" spans="1:6">
      <c r="B57" s="47" t="s">
        <v>249</v>
      </c>
      <c r="C57" s="188">
        <f>Normalized_FCF!C19</f>
        <v>138391.47791159325</v>
      </c>
      <c r="D57" s="1" t="str">
        <f>Reporting_currency</f>
        <v>HKD</v>
      </c>
    </row>
    <row r="58" spans="1:6">
      <c r="B58" s="254" t="s">
        <v>402</v>
      </c>
      <c r="C58" s="92">
        <f>Normalized_FCF!C125</f>
        <v>7.9541327003833207E-2</v>
      </c>
    </row>
    <row r="59" spans="1:6">
      <c r="B59" s="254" t="s">
        <v>317</v>
      </c>
      <c r="C59" s="92">
        <f>Normalized_FCF!C93</f>
        <v>3.5854341736694682E-2</v>
      </c>
    </row>
    <row r="61" spans="1:6" ht="13.9">
      <c r="A61" s="247" t="s">
        <v>367</v>
      </c>
      <c r="B61" s="36"/>
      <c r="C61" s="36"/>
      <c r="D61" s="36"/>
      <c r="E61" s="36"/>
      <c r="F61" s="36"/>
    </row>
    <row r="62" spans="1:6">
      <c r="A62" s="233"/>
    </row>
    <row r="63" spans="1:6" ht="24.4" customHeight="1">
      <c r="A63" s="17"/>
      <c r="B63" s="342" t="s">
        <v>374</v>
      </c>
      <c r="C63" s="342"/>
      <c r="D63" s="342"/>
      <c r="E63" s="342"/>
      <c r="F63" s="342"/>
    </row>
    <row r="64" spans="1:6">
      <c r="B64" s="345" t="s">
        <v>253</v>
      </c>
      <c r="C64" s="345"/>
      <c r="D64" s="345"/>
      <c r="E64" s="345"/>
      <c r="F64" s="345"/>
    </row>
    <row r="66" spans="1:6">
      <c r="B66" s="234" t="s">
        <v>231</v>
      </c>
    </row>
    <row r="67" spans="1:6">
      <c r="B67" s="1" t="s">
        <v>289</v>
      </c>
      <c r="C67" s="311">
        <v>0.08</v>
      </c>
    </row>
    <row r="68" spans="1:6">
      <c r="B68" s="1" t="s">
        <v>291</v>
      </c>
      <c r="C68" s="263">
        <f>IF(D68="Y",1%,0)</f>
        <v>0</v>
      </c>
      <c r="D68" s="286" t="s">
        <v>330</v>
      </c>
    </row>
    <row r="69" spans="1:6">
      <c r="B69" s="1" t="s">
        <v>290</v>
      </c>
      <c r="C69" s="263">
        <f>IF(D69="Y",1%,0)</f>
        <v>0</v>
      </c>
      <c r="D69" s="286" t="s">
        <v>330</v>
      </c>
    </row>
    <row r="70" spans="1:6">
      <c r="B70" s="80" t="s">
        <v>248</v>
      </c>
      <c r="C70" s="263">
        <f>SUM(C67:C69)</f>
        <v>0.08</v>
      </c>
    </row>
    <row r="71" spans="1:6">
      <c r="C71" s="122"/>
    </row>
    <row r="72" spans="1:6">
      <c r="B72" s="332" t="s">
        <v>368</v>
      </c>
      <c r="C72" s="122"/>
    </row>
    <row r="73" spans="1:6" ht="24.4" customHeight="1">
      <c r="B73" s="342" t="s">
        <v>375</v>
      </c>
      <c r="C73" s="342"/>
      <c r="D73" s="342"/>
      <c r="E73" s="342"/>
      <c r="F73" s="342"/>
    </row>
    <row r="74" spans="1:6" ht="24.4" customHeight="1">
      <c r="B74" s="342" t="s">
        <v>376</v>
      </c>
      <c r="C74" s="342"/>
      <c r="D74" s="342"/>
      <c r="E74" s="342"/>
      <c r="F74" s="342"/>
    </row>
    <row r="76" spans="1:6">
      <c r="B76" s="47" t="s">
        <v>252</v>
      </c>
      <c r="C76" s="263">
        <v>0</v>
      </c>
    </row>
    <row r="77" spans="1:6">
      <c r="B77" s="47" t="s">
        <v>284</v>
      </c>
      <c r="C77" s="248">
        <f>Valuation_Model!C6*scaling_factor*Exchange_Rate/Common_Shares</f>
        <v>3.5495317175460563</v>
      </c>
      <c r="D77" s="1" t="str">
        <f>Market_currency</f>
        <v>HKD</v>
      </c>
    </row>
    <row r="79" spans="1:6" ht="13.9">
      <c r="A79" s="247" t="s">
        <v>369</v>
      </c>
      <c r="B79" s="36"/>
      <c r="C79" s="36"/>
      <c r="D79" s="36"/>
      <c r="E79" s="36"/>
      <c r="F79" s="36"/>
    </row>
    <row r="80" spans="1:6">
      <c r="A80" s="233"/>
    </row>
    <row r="81" spans="2:6">
      <c r="B81" s="342" t="s">
        <v>377</v>
      </c>
      <c r="C81" s="342"/>
      <c r="D81" s="342"/>
      <c r="E81" s="342"/>
      <c r="F81" s="342"/>
    </row>
    <row r="82" spans="2:6">
      <c r="B82" s="1" t="s">
        <v>254</v>
      </c>
    </row>
    <row r="84" spans="2:6">
      <c r="B84" s="234" t="s">
        <v>231</v>
      </c>
    </row>
    <row r="85" spans="2:6" ht="24.4" customHeight="1">
      <c r="B85" s="342" t="s">
        <v>354</v>
      </c>
      <c r="C85" s="342"/>
      <c r="D85" s="342"/>
      <c r="E85" s="342"/>
      <c r="F85" s="342"/>
    </row>
    <row r="86" spans="2:6">
      <c r="B86" s="47" t="s">
        <v>256</v>
      </c>
      <c r="C86" s="188">
        <f>Valuation_Model!C7</f>
        <v>195066</v>
      </c>
      <c r="D86" s="1" t="str">
        <f>Reporting_currency</f>
        <v>HKD</v>
      </c>
    </row>
    <row r="87" spans="2:6">
      <c r="B87" s="47" t="s">
        <v>285</v>
      </c>
      <c r="C87" s="248">
        <f>C86*scaling_factor*Exchange_Rate/Common_Shares</f>
        <v>0.40025178686632773</v>
      </c>
      <c r="D87" s="1" t="str">
        <f>Market_currency</f>
        <v>HKD</v>
      </c>
    </row>
    <row r="88" spans="2:6">
      <c r="B88" s="336" t="s">
        <v>416</v>
      </c>
      <c r="C88" s="337">
        <f>BS!G30/BS!G27</f>
        <v>0.40000523965699897</v>
      </c>
    </row>
    <row r="89" spans="2:6">
      <c r="B89" s="336" t="s">
        <v>417</v>
      </c>
      <c r="C89" s="337">
        <f>BS!G31/BS!G27</f>
        <v>0.10646655543311496</v>
      </c>
    </row>
    <row r="90" spans="2:6">
      <c r="B90" s="336" t="s">
        <v>419</v>
      </c>
      <c r="C90" s="338">
        <f>BS!C50</f>
        <v>0.9804830051022897</v>
      </c>
    </row>
    <row r="92" spans="2:6">
      <c r="B92" s="1" t="s">
        <v>255</v>
      </c>
    </row>
    <row r="93" spans="2:6">
      <c r="B93" s="47" t="s">
        <v>265</v>
      </c>
      <c r="C93" s="188">
        <f>BS!C66</f>
        <v>1089388</v>
      </c>
      <c r="D93" s="1" t="str">
        <f>Reporting_currency</f>
        <v>HKD</v>
      </c>
    </row>
    <row r="94" spans="2:6">
      <c r="B94" s="47" t="s">
        <v>267</v>
      </c>
      <c r="C94" s="188">
        <f>Valuation_Model!C8</f>
        <v>587281.82009631116</v>
      </c>
      <c r="D94" s="1" t="str">
        <f>Reporting_currency</f>
        <v>HKD</v>
      </c>
    </row>
    <row r="95" spans="2:6">
      <c r="B95" s="47" t="s">
        <v>286</v>
      </c>
      <c r="C95" s="248">
        <f>C94*scaling_factor*Exchange_Rate/Common_Shares</f>
        <v>1.2050311068441337</v>
      </c>
      <c r="D95" s="1" t="str">
        <f>Market_currency</f>
        <v>HKD</v>
      </c>
    </row>
    <row r="97" spans="1:6">
      <c r="B97" s="1" t="s">
        <v>257</v>
      </c>
    </row>
    <row r="98" spans="1:6">
      <c r="B98" s="47" t="s">
        <v>258</v>
      </c>
      <c r="C98" s="188">
        <f>Valuation_Model!C9</f>
        <v>18907.900000000001</v>
      </c>
      <c r="D98" s="1" t="str">
        <f>Reporting_currency</f>
        <v>HKD</v>
      </c>
    </row>
    <row r="99" spans="1:6">
      <c r="B99" s="47" t="s">
        <v>287</v>
      </c>
      <c r="C99" s="248">
        <f>C98*scaling_factor*Exchange_Rate/Common_Shares</f>
        <v>3.8796718858693152E-2</v>
      </c>
      <c r="D99" s="1" t="str">
        <f>Market_currency</f>
        <v>HKD</v>
      </c>
    </row>
    <row r="101" spans="1:6" ht="24.4" customHeight="1">
      <c r="B101" s="342" t="s">
        <v>378</v>
      </c>
      <c r="C101" s="342"/>
      <c r="D101" s="342"/>
      <c r="E101" s="342"/>
      <c r="F101" s="342"/>
    </row>
    <row r="103" spans="1:6">
      <c r="B103" s="47" t="s">
        <v>283</v>
      </c>
      <c r="C103" s="248">
        <f>Valuation_Model!C12</f>
        <v>4.3931077563825554</v>
      </c>
      <c r="D103" s="1" t="str">
        <f>Market_currency</f>
        <v>HKD</v>
      </c>
    </row>
    <row r="104" spans="1:6">
      <c r="B104" s="336" t="s">
        <v>418</v>
      </c>
      <c r="C104" s="248">
        <f>BS!D47</f>
        <v>1.6698226477450393</v>
      </c>
      <c r="D104" s="1" t="str">
        <f>Market_currency</f>
        <v>HKD</v>
      </c>
    </row>
    <row r="106" spans="1:6" ht="13.9">
      <c r="A106" s="247" t="s">
        <v>370</v>
      </c>
      <c r="B106" s="36"/>
      <c r="C106" s="36"/>
      <c r="D106" s="36"/>
      <c r="E106" s="36"/>
      <c r="F106" s="36"/>
    </row>
    <row r="108" spans="1:6" ht="24.4" customHeight="1">
      <c r="B108" s="343" t="s">
        <v>379</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15</v>
      </c>
      <c r="E111" s="258" t="str">
        <f>ROUND(Valuation_Model!E74,2)&amp;" "&amp;Market_currency</f>
        <v>7.02 HKD</v>
      </c>
      <c r="F111" s="259">
        <f>Valuation_Model!F74</f>
        <v>0.05</v>
      </c>
    </row>
    <row r="112" spans="1:6">
      <c r="B112" s="242" t="str">
        <f>Valuation_Model!B75</f>
        <v>Optimistic</v>
      </c>
      <c r="C112" s="243">
        <f>Valuation_Model!C75</f>
        <v>0.06</v>
      </c>
      <c r="D112" s="244">
        <f>Valuation_Model!D75</f>
        <v>10</v>
      </c>
      <c r="E112" s="245" t="str">
        <f>ROUND(Valuation_Model!E75,2)&amp;" "&amp;Market_currency</f>
        <v>5.15 HKD</v>
      </c>
      <c r="F112" s="246">
        <f>Valuation_Model!F75</f>
        <v>0.18</v>
      </c>
    </row>
    <row r="113" spans="1:6">
      <c r="B113" s="242" t="str">
        <f>Valuation_Model!B76</f>
        <v>Base</v>
      </c>
      <c r="C113" s="243">
        <f>Valuation_Model!C76</f>
        <v>0.04</v>
      </c>
      <c r="D113" s="244">
        <f>Valuation_Model!D76</f>
        <v>10</v>
      </c>
      <c r="E113" s="245" t="str">
        <f>ROUND(Valuation_Model!E76,2)&amp;" "&amp;Market_currency</f>
        <v>4.87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4.62 HKD</v>
      </c>
      <c r="F114" s="246">
        <f>Valuation_Model!F77</f>
        <v>0.18</v>
      </c>
    </row>
    <row r="115" spans="1:6">
      <c r="B115" s="242" t="str">
        <f>Valuation_Model!B78</f>
        <v>Devil's advocate</v>
      </c>
      <c r="C115" s="243">
        <f>Valuation_Model!C78</f>
        <v>0</v>
      </c>
      <c r="D115" s="244">
        <f>Valuation_Model!D78</f>
        <v>15</v>
      </c>
      <c r="E115" s="245" t="str">
        <f>ROUND(Valuation_Model!E78,2)&amp;" "&amp;Market_currency</f>
        <v>4.39 HKD</v>
      </c>
      <c r="F115" s="246">
        <f>Valuation_Model!F78</f>
        <v>0.05</v>
      </c>
    </row>
    <row r="117" spans="1:6">
      <c r="B117" s="235" t="s">
        <v>259</v>
      </c>
      <c r="C117" s="241">
        <f>Scenarios!C60</f>
        <v>4.9623808252376094</v>
      </c>
      <c r="D117" s="236" t="str">
        <f>Market_currency</f>
        <v>HKD</v>
      </c>
    </row>
    <row r="119" spans="1:6" ht="24.4" customHeight="1">
      <c r="B119" s="346" t="s">
        <v>382</v>
      </c>
      <c r="C119" s="346"/>
      <c r="D119" s="346"/>
      <c r="E119" s="346"/>
      <c r="F119" s="346"/>
    </row>
    <row r="121" spans="1:6" ht="13.9">
      <c r="A121" s="247" t="s">
        <v>414</v>
      </c>
      <c r="B121" s="36"/>
      <c r="C121" s="36"/>
      <c r="D121" s="36"/>
      <c r="E121" s="36"/>
      <c r="F121" s="36"/>
    </row>
    <row r="123" spans="1:6">
      <c r="B123" s="347" t="s">
        <v>380</v>
      </c>
      <c r="C123" s="347"/>
      <c r="D123" s="347"/>
      <c r="E123" s="347"/>
      <c r="F123" s="347"/>
    </row>
    <row r="124" spans="1:6" ht="24.4" customHeight="1">
      <c r="B124" s="342" t="s">
        <v>381</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0.128</v>
      </c>
      <c r="D128" s="236" t="str">
        <f>Market_currency</f>
        <v>HKD</v>
      </c>
    </row>
    <row r="130" spans="2:4">
      <c r="B130" s="234" t="s">
        <v>422</v>
      </c>
      <c r="C130" s="337">
        <f>C19</f>
        <v>0.3</v>
      </c>
      <c r="D130" s="1" t="s">
        <v>420</v>
      </c>
    </row>
    <row r="131" spans="2:4">
      <c r="B131" s="236" t="str">
        <f>"PV("&amp;C126&amp;" yrs of Dividends)"</f>
        <v>PV(3 yrs of Dividends)</v>
      </c>
      <c r="C131" s="240">
        <f>Scenarios!C81</f>
        <v>0.23246244879380981</v>
      </c>
    </row>
    <row r="132" spans="2:4">
      <c r="B132" s="236" t="str">
        <f>"+ PV(Equity Value realized at year "&amp;C126&amp;")"</f>
        <v>+ PV(Equity Value realized at year 3)</v>
      </c>
      <c r="C132" s="240">
        <f>Scenarios!C82</f>
        <v>2.2587077037949967</v>
      </c>
    </row>
    <row r="133" spans="2:4">
      <c r="B133" s="80" t="s">
        <v>261</v>
      </c>
      <c r="C133" s="239">
        <f>Scenarios!C83</f>
        <v>2.4911701525888064</v>
      </c>
      <c r="D133" s="47" t="str">
        <f>Reporting_currency</f>
        <v>HKD</v>
      </c>
    </row>
    <row r="134" spans="2:4">
      <c r="B134" s="238" t="s">
        <v>263</v>
      </c>
      <c r="C134" s="92">
        <f>Scenarios!F83</f>
        <v>0.49798892097937209</v>
      </c>
    </row>
    <row r="136" spans="2:4">
      <c r="B136" s="234" t="s">
        <v>425</v>
      </c>
      <c r="C136" s="337">
        <f>Scenarios!C90</f>
        <v>0.2</v>
      </c>
      <c r="D136" s="1" t="s">
        <v>424</v>
      </c>
    </row>
    <row r="137" spans="2:4">
      <c r="B137" s="236" t="str">
        <f>"PV("&amp;C126&amp;" yrs of Dividends)"</f>
        <v>PV(3 yrs of Dividends)</v>
      </c>
      <c r="C137" s="240">
        <f>Scenarios!C91</f>
        <v>0.26962962962962961</v>
      </c>
    </row>
    <row r="138" spans="2:4">
      <c r="B138" s="236" t="str">
        <f>"+ PV(Equity Value realized at year "&amp;C126&amp;")"</f>
        <v>+ PV(Equity Value realized at year 3)</v>
      </c>
      <c r="C138" s="240">
        <f>Scenarios!C92</f>
        <v>2.8717481627532462</v>
      </c>
    </row>
    <row r="139" spans="2:4">
      <c r="B139" s="80" t="s">
        <v>261</v>
      </c>
      <c r="C139" s="239">
        <f>Scenarios!C93</f>
        <v>3.1413777923828756</v>
      </c>
      <c r="D139" s="47" t="str">
        <f>Reporting_currency</f>
        <v>HKD</v>
      </c>
    </row>
    <row r="140" spans="2:4">
      <c r="B140" s="238" t="s">
        <v>263</v>
      </c>
      <c r="C140" s="92">
        <f>Scenarios!F93</f>
        <v>0.36696156481854458</v>
      </c>
    </row>
    <row r="142" spans="2:4">
      <c r="B142" s="234" t="s">
        <v>412</v>
      </c>
      <c r="C142" s="92">
        <f>Scenarios!C96</f>
        <v>0.08</v>
      </c>
      <c r="D142" s="1" t="s">
        <v>423</v>
      </c>
    </row>
    <row r="143" spans="2:4">
      <c r="B143" s="236" t="str">
        <f>"PV("&amp;C126&amp;" yrs of Dividends)"</f>
        <v>PV(3 yrs of Dividends)</v>
      </c>
      <c r="C143" s="240">
        <f>Scenarios!C97</f>
        <v>0.32986841436772868</v>
      </c>
    </row>
    <row r="144" spans="2:4">
      <c r="B144" s="236" t="str">
        <f>"+ PV(Equity Value realized at year "&amp;C126&amp;")"</f>
        <v>+ PV(Equity Value realized at year 3)</v>
      </c>
      <c r="C144" s="240">
        <f>Scenarios!C98</f>
        <v>3.9392978912938901</v>
      </c>
    </row>
    <row r="145" spans="1:6">
      <c r="B145" s="80" t="s">
        <v>413</v>
      </c>
      <c r="C145" s="239">
        <f>Scenarios!C99</f>
        <v>4.2691663056616189</v>
      </c>
      <c r="D145" s="101" t="str">
        <f>Reporting_currency</f>
        <v>HKD</v>
      </c>
    </row>
    <row r="146" spans="1:6">
      <c r="B146" s="238" t="s">
        <v>263</v>
      </c>
      <c r="C146" s="92">
        <f>Scenarios!F99</f>
        <v>0.13969393804894004</v>
      </c>
    </row>
    <row r="148" spans="1:6" ht="13.9">
      <c r="A148" s="247" t="s">
        <v>386</v>
      </c>
      <c r="B148" s="36"/>
      <c r="C148" s="36"/>
      <c r="D148" s="36"/>
      <c r="E148" s="36"/>
      <c r="F148" s="36"/>
    </row>
    <row r="150" spans="1:6">
      <c r="B150" s="341" t="s">
        <v>388</v>
      </c>
      <c r="C150" s="342"/>
      <c r="D150" s="342"/>
      <c r="E150" s="342"/>
      <c r="F150" s="342"/>
    </row>
    <row r="152" spans="1:6">
      <c r="B152" s="234" t="s">
        <v>387</v>
      </c>
    </row>
    <row r="153" spans="1:6">
      <c r="B153" s="344" t="s">
        <v>392</v>
      </c>
      <c r="C153" s="344"/>
      <c r="D153" s="344"/>
      <c r="E153" s="344"/>
      <c r="F153" s="344"/>
    </row>
    <row r="154" spans="1:6">
      <c r="B154" s="238" t="s">
        <v>389</v>
      </c>
    </row>
    <row r="155" spans="1:6">
      <c r="B155" s="238" t="s">
        <v>390</v>
      </c>
    </row>
    <row r="156" spans="1:6">
      <c r="B156" s="238" t="s">
        <v>391</v>
      </c>
    </row>
    <row r="158" spans="1:6">
      <c r="B158" s="1" t="s">
        <v>396</v>
      </c>
    </row>
    <row r="159" spans="1:6" ht="46.5" customHeight="1">
      <c r="B159" s="343" t="s">
        <v>393</v>
      </c>
      <c r="C159" s="343"/>
      <c r="D159" s="343"/>
      <c r="E159" s="343"/>
      <c r="F159" s="343"/>
    </row>
    <row r="161" spans="2:6">
      <c r="B161" s="1" t="s">
        <v>397</v>
      </c>
    </row>
    <row r="162" spans="2:6" ht="24.4" customHeight="1">
      <c r="B162" s="340" t="s">
        <v>394</v>
      </c>
      <c r="C162" s="340"/>
      <c r="D162" s="340"/>
      <c r="E162" s="340"/>
      <c r="F162" s="340"/>
    </row>
    <row r="163" spans="2:6" ht="24.4" customHeight="1">
      <c r="B163" s="340" t="s">
        <v>395</v>
      </c>
      <c r="C163" s="340"/>
      <c r="D163" s="340"/>
      <c r="E163" s="340"/>
      <c r="F163" s="340"/>
    </row>
    <row r="165" spans="2:6">
      <c r="B165" s="1" t="s">
        <v>401</v>
      </c>
    </row>
    <row r="166" spans="2:6">
      <c r="B166" s="238" t="s">
        <v>398</v>
      </c>
    </row>
    <row r="167" spans="2:6">
      <c r="B167" s="238" t="s">
        <v>399</v>
      </c>
    </row>
    <row r="168" spans="2:6">
      <c r="B168" s="238" t="s">
        <v>400</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9" sqref="E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3638758</v>
      </c>
      <c r="D4" s="181">
        <v>3704677</v>
      </c>
      <c r="E4" s="181">
        <v>3639774</v>
      </c>
      <c r="F4" s="181">
        <v>3504022</v>
      </c>
      <c r="G4" s="181">
        <v>2352683</v>
      </c>
      <c r="H4" s="181">
        <v>2437184</v>
      </c>
      <c r="I4" s="181">
        <v>2891692</v>
      </c>
      <c r="J4" s="181">
        <v>3142295</v>
      </c>
      <c r="K4" s="181">
        <v>3031752</v>
      </c>
      <c r="L4" s="181"/>
      <c r="M4" s="181"/>
    </row>
    <row r="5" spans="2:13">
      <c r="B5" s="40" t="s">
        <v>43</v>
      </c>
      <c r="C5" s="181">
        <v>2488028</v>
      </c>
      <c r="D5" s="181">
        <v>2515967</v>
      </c>
      <c r="E5" s="181">
        <v>2459489</v>
      </c>
      <c r="F5" s="181">
        <v>2541906</v>
      </c>
      <c r="G5" s="181">
        <v>1707356</v>
      </c>
      <c r="H5" s="181">
        <v>1834224</v>
      </c>
      <c r="I5" s="181">
        <v>2284817</v>
      </c>
      <c r="J5" s="181">
        <v>2634028</v>
      </c>
      <c r="K5" s="181">
        <v>2546147</v>
      </c>
      <c r="L5" s="181"/>
      <c r="M5" s="181"/>
    </row>
    <row r="6" spans="2:13">
      <c r="B6" s="40" t="s">
        <v>54</v>
      </c>
      <c r="C6" s="181">
        <v>796708</v>
      </c>
      <c r="D6" s="181">
        <v>780002</v>
      </c>
      <c r="E6" s="181">
        <v>748422</v>
      </c>
      <c r="F6" s="181">
        <v>643444</v>
      </c>
      <c r="G6" s="181">
        <v>489743</v>
      </c>
      <c r="H6" s="181">
        <v>475518</v>
      </c>
      <c r="I6" s="181">
        <v>481847</v>
      </c>
      <c r="J6" s="181">
        <v>501814</v>
      </c>
      <c r="K6" s="181">
        <v>531963</v>
      </c>
      <c r="L6" s="181"/>
      <c r="M6" s="181"/>
    </row>
    <row r="7" spans="2:13">
      <c r="B7" s="69" t="s">
        <v>61</v>
      </c>
      <c r="C7" s="189">
        <v>543502</v>
      </c>
      <c r="D7" s="189">
        <v>527090</v>
      </c>
      <c r="E7" s="189">
        <v>504718</v>
      </c>
      <c r="F7" s="189">
        <v>431450</v>
      </c>
      <c r="G7" s="189">
        <v>334415</v>
      </c>
      <c r="H7" s="189">
        <v>197943</v>
      </c>
      <c r="I7" s="189">
        <v>206424</v>
      </c>
      <c r="J7" s="189">
        <v>190447</v>
      </c>
      <c r="K7" s="189">
        <v>199533</v>
      </c>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13663</v>
      </c>
      <c r="D12" s="181">
        <v>14612</v>
      </c>
      <c r="E12" s="181">
        <v>12033</v>
      </c>
      <c r="F12" s="181">
        <v>10203</v>
      </c>
      <c r="G12" s="181">
        <v>14210</v>
      </c>
      <c r="H12" s="181">
        <v>1959</v>
      </c>
      <c r="I12" s="181">
        <v>1843</v>
      </c>
      <c r="J12" s="181">
        <v>3730</v>
      </c>
      <c r="K12" s="181">
        <v>6942</v>
      </c>
      <c r="L12" s="181"/>
      <c r="M12" s="181"/>
    </row>
    <row r="13" spans="2:13">
      <c r="B13" s="40" t="s">
        <v>67</v>
      </c>
      <c r="C13" s="181"/>
      <c r="D13" s="181"/>
      <c r="E13" s="181"/>
      <c r="F13" s="181"/>
      <c r="G13" s="181"/>
      <c r="H13" s="181"/>
      <c r="I13" s="181"/>
      <c r="J13" s="181"/>
      <c r="K13" s="181"/>
      <c r="L13" s="181"/>
      <c r="M13" s="181"/>
    </row>
    <row r="14" spans="2:13">
      <c r="B14" s="40" t="s">
        <v>50</v>
      </c>
      <c r="C14" s="181">
        <v>145324</v>
      </c>
      <c r="D14" s="181">
        <v>144534</v>
      </c>
      <c r="E14" s="181">
        <v>150461</v>
      </c>
      <c r="F14" s="181">
        <v>123112</v>
      </c>
      <c r="G14" s="181">
        <v>28324</v>
      </c>
      <c r="H14" s="181">
        <v>21936</v>
      </c>
      <c r="I14" s="181">
        <v>26006</v>
      </c>
      <c r="J14" s="181">
        <v>9352</v>
      </c>
      <c r="K14" s="181">
        <v>3042</v>
      </c>
      <c r="L14" s="181"/>
      <c r="M14" s="181"/>
    </row>
    <row r="15" spans="2:13">
      <c r="B15" s="43" t="s">
        <v>42</v>
      </c>
      <c r="C15" s="182">
        <v>251150</v>
      </c>
      <c r="D15" s="182">
        <v>295524</v>
      </c>
      <c r="E15" s="182">
        <v>362976</v>
      </c>
      <c r="F15" s="182">
        <v>232624</v>
      </c>
      <c r="G15" s="182">
        <v>99109</v>
      </c>
      <c r="H15" s="182">
        <v>138039</v>
      </c>
      <c r="I15" s="182">
        <v>138685</v>
      </c>
      <c r="J15" s="182">
        <v>16097</v>
      </c>
      <c r="K15" s="182">
        <v>-15759</v>
      </c>
      <c r="L15" s="182"/>
      <c r="M15" s="182"/>
    </row>
    <row r="16" spans="2:13">
      <c r="B16" s="28" t="s">
        <v>44</v>
      </c>
      <c r="C16" s="181">
        <v>662</v>
      </c>
      <c r="D16" s="181">
        <v>92</v>
      </c>
      <c r="E16" s="181">
        <v>402</v>
      </c>
      <c r="F16" s="181">
        <v>-632</v>
      </c>
      <c r="G16" s="181">
        <v>-1192</v>
      </c>
      <c r="H16" s="181">
        <v>-60</v>
      </c>
      <c r="I16" s="181">
        <v>-78</v>
      </c>
      <c r="J16" s="181">
        <v>-286</v>
      </c>
      <c r="K16" s="181">
        <v>-231</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383</v>
      </c>
      <c r="C22" s="181">
        <v>346987</v>
      </c>
      <c r="D22" s="181">
        <v>421974</v>
      </c>
      <c r="E22" s="181">
        <v>732665</v>
      </c>
      <c r="F22" s="181">
        <v>643498</v>
      </c>
      <c r="G22" s="181">
        <v>306436</v>
      </c>
      <c r="H22" s="181">
        <v>269780</v>
      </c>
      <c r="I22" s="181">
        <v>503072</v>
      </c>
      <c r="J22" s="181">
        <v>266577</v>
      </c>
      <c r="K22" s="181">
        <v>204101</v>
      </c>
      <c r="L22" s="181"/>
      <c r="M22" s="181"/>
    </row>
    <row r="23" spans="2:13">
      <c r="B23" s="27" t="s">
        <v>385</v>
      </c>
      <c r="C23" s="181">
        <v>-67837</v>
      </c>
      <c r="D23" s="181">
        <v>-37092</v>
      </c>
      <c r="E23" s="181">
        <v>-77565</v>
      </c>
      <c r="F23" s="181">
        <v>-47993</v>
      </c>
      <c r="G23" s="181">
        <v>-48419</v>
      </c>
      <c r="H23" s="181">
        <v>-39236</v>
      </c>
      <c r="I23" s="181">
        <v>-17998</v>
      </c>
      <c r="J23" s="181">
        <v>89956</v>
      </c>
      <c r="K23" s="181">
        <v>-13332</v>
      </c>
      <c r="L23" s="181"/>
      <c r="M23" s="181"/>
    </row>
    <row r="24" spans="2:13">
      <c r="B24" s="27" t="s">
        <v>384</v>
      </c>
      <c r="C24" s="181">
        <v>-423459</v>
      </c>
      <c r="D24" s="181">
        <v>-530752</v>
      </c>
      <c r="E24" s="181">
        <v>-458369</v>
      </c>
      <c r="F24" s="181">
        <v>-497885</v>
      </c>
      <c r="G24" s="181">
        <v>-381840</v>
      </c>
      <c r="H24" s="181">
        <v>-209528</v>
      </c>
      <c r="I24" s="181">
        <v>-69431</v>
      </c>
      <c r="J24" s="181">
        <v>-114101</v>
      </c>
      <c r="K24" s="181">
        <v>-126118</v>
      </c>
      <c r="L24" s="181"/>
      <c r="M24" s="18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220</v>
      </c>
    </row>
    <row r="28" spans="2:13">
      <c r="B28" s="26" t="s">
        <v>24</v>
      </c>
      <c r="C28" s="183">
        <f>BS!C4</f>
        <v>348607</v>
      </c>
      <c r="D28" s="181">
        <v>262508</v>
      </c>
      <c r="E28" s="181">
        <v>179615</v>
      </c>
      <c r="F28" s="181">
        <v>260527</v>
      </c>
      <c r="G28" s="181">
        <v>80876</v>
      </c>
      <c r="H28" s="181">
        <v>86046</v>
      </c>
      <c r="I28" s="181">
        <v>108938</v>
      </c>
      <c r="J28" s="181">
        <v>91351</v>
      </c>
      <c r="K28" s="181">
        <v>88852</v>
      </c>
      <c r="L28" s="181"/>
      <c r="M28" s="181"/>
    </row>
    <row r="29" spans="2:13">
      <c r="B29" s="26" t="s">
        <v>32</v>
      </c>
      <c r="C29" s="183">
        <f>BS!C6</f>
        <v>506592</v>
      </c>
      <c r="D29" s="181">
        <v>422202</v>
      </c>
      <c r="E29" s="181">
        <v>483625</v>
      </c>
      <c r="F29" s="181">
        <v>622768</v>
      </c>
      <c r="G29" s="181">
        <v>798693</v>
      </c>
      <c r="H29" s="181">
        <v>823654</v>
      </c>
      <c r="I29" s="181">
        <v>1001069</v>
      </c>
      <c r="J29" s="181">
        <v>1275897</v>
      </c>
      <c r="K29" s="181">
        <v>1569528</v>
      </c>
      <c r="L29" s="181"/>
      <c r="M29" s="181"/>
    </row>
    <row r="30" spans="2:13">
      <c r="B30" s="29" t="s">
        <v>40</v>
      </c>
      <c r="C30" s="186">
        <f>BS!C33+BS!C42</f>
        <v>732882</v>
      </c>
      <c r="D30" s="182">
        <v>723327</v>
      </c>
      <c r="E30" s="182">
        <v>843108</v>
      </c>
      <c r="F30" s="182">
        <v>736981</v>
      </c>
      <c r="G30" s="182">
        <v>430335</v>
      </c>
      <c r="H30" s="182">
        <v>194628</v>
      </c>
      <c r="I30" s="182">
        <v>222985</v>
      </c>
      <c r="J30" s="182">
        <v>207724</v>
      </c>
      <c r="K30" s="182">
        <v>376010</v>
      </c>
      <c r="L30" s="182"/>
      <c r="M30" s="182"/>
    </row>
    <row r="31" spans="2:13">
      <c r="B31" s="29" t="s">
        <v>30</v>
      </c>
      <c r="C31" s="186">
        <f>BS!G27</f>
        <v>1832181</v>
      </c>
      <c r="D31" s="182">
        <v>1895931</v>
      </c>
      <c r="E31" s="182">
        <v>2036167</v>
      </c>
      <c r="F31" s="182">
        <v>1990549</v>
      </c>
      <c r="G31" s="182">
        <v>2083286</v>
      </c>
      <c r="H31" s="182">
        <v>2213601</v>
      </c>
      <c r="I31" s="182">
        <v>2316952</v>
      </c>
      <c r="J31" s="182">
        <v>2147014</v>
      </c>
      <c r="K31" s="182">
        <v>2157572</v>
      </c>
      <c r="L31" s="182"/>
      <c r="M31" s="182"/>
    </row>
    <row r="32" spans="2:13">
      <c r="B32" s="26" t="s">
        <v>173</v>
      </c>
      <c r="C32" s="183">
        <f>BS!G28</f>
        <v>1765</v>
      </c>
      <c r="D32" s="181">
        <v>1186</v>
      </c>
      <c r="E32" s="181">
        <v>1160</v>
      </c>
      <c r="F32" s="181">
        <v>-946</v>
      </c>
      <c r="G32" s="182">
        <v>-325</v>
      </c>
      <c r="H32" s="182">
        <v>868</v>
      </c>
      <c r="I32" s="182">
        <v>975</v>
      </c>
      <c r="J32" s="182">
        <v>1008</v>
      </c>
      <c r="K32" s="182">
        <v>1054</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3638758</v>
      </c>
      <c r="D36" s="183">
        <f t="shared" si="1"/>
        <v>3704677</v>
      </c>
      <c r="E36" s="183">
        <f t="shared" si="1"/>
        <v>3639774</v>
      </c>
      <c r="F36" s="183">
        <f t="shared" si="1"/>
        <v>3504022</v>
      </c>
      <c r="G36" s="183">
        <f t="shared" si="1"/>
        <v>2352683</v>
      </c>
      <c r="H36" s="183">
        <f t="shared" si="1"/>
        <v>2437184</v>
      </c>
      <c r="I36" s="183">
        <f t="shared" si="1"/>
        <v>2891692</v>
      </c>
      <c r="J36" s="183">
        <f t="shared" si="1"/>
        <v>3142295</v>
      </c>
      <c r="K36" s="183">
        <f t="shared" si="1"/>
        <v>3031752</v>
      </c>
      <c r="L36" s="183" t="str">
        <f t="shared" si="1"/>
        <v/>
      </c>
      <c r="M36" s="183" t="str">
        <f t="shared" si="1"/>
        <v/>
      </c>
    </row>
    <row r="37" spans="2:13">
      <c r="B37" s="40" t="s">
        <v>43</v>
      </c>
      <c r="C37" s="183">
        <f t="shared" ref="C37:M37" si="2">IF(C$4="","",-C5)</f>
        <v>-2488028</v>
      </c>
      <c r="D37" s="183">
        <f t="shared" si="2"/>
        <v>-2515967</v>
      </c>
      <c r="E37" s="183">
        <f t="shared" si="2"/>
        <v>-2459489</v>
      </c>
      <c r="F37" s="183">
        <f t="shared" si="2"/>
        <v>-2541906</v>
      </c>
      <c r="G37" s="183">
        <f t="shared" si="2"/>
        <v>-1707356</v>
      </c>
      <c r="H37" s="183">
        <f t="shared" si="2"/>
        <v>-1834224</v>
      </c>
      <c r="I37" s="183">
        <f t="shared" si="2"/>
        <v>-2284817</v>
      </c>
      <c r="J37" s="183">
        <f t="shared" si="2"/>
        <v>-2634028</v>
      </c>
      <c r="K37" s="183">
        <f t="shared" si="2"/>
        <v>-2546147</v>
      </c>
      <c r="L37" s="183" t="str">
        <f t="shared" si="2"/>
        <v/>
      </c>
      <c r="M37" s="183" t="str">
        <f t="shared" si="2"/>
        <v/>
      </c>
    </row>
    <row r="38" spans="2:13">
      <c r="B38" s="31" t="s">
        <v>58</v>
      </c>
      <c r="C38" s="184">
        <f>IF(C36="","",C36+C37)</f>
        <v>1150730</v>
      </c>
      <c r="D38" s="184">
        <f t="shared" ref="D38" si="3">IF(D36="","",D36+D37)</f>
        <v>1188710</v>
      </c>
      <c r="E38" s="184">
        <f t="shared" ref="E38" si="4">IF(E36="","",E36+E37)</f>
        <v>1180285</v>
      </c>
      <c r="F38" s="184">
        <f t="shared" ref="F38" si="5">IF(F36="","",F36+F37)</f>
        <v>962116</v>
      </c>
      <c r="G38" s="184">
        <f t="shared" ref="G38" si="6">IF(G36="","",G36+G37)</f>
        <v>645327</v>
      </c>
      <c r="H38" s="184">
        <f t="shared" ref="H38" si="7">IF(H36="","",H36+H37)</f>
        <v>602960</v>
      </c>
      <c r="I38" s="184">
        <f t="shared" ref="I38" si="8">IF(I36="","",I36+I37)</f>
        <v>606875</v>
      </c>
      <c r="J38" s="184">
        <f t="shared" ref="J38" si="9">IF(J36="","",J36+J37)</f>
        <v>508267</v>
      </c>
      <c r="K38" s="184">
        <f t="shared" ref="K38" si="10">IF(K36="","",K36+K37)</f>
        <v>485605</v>
      </c>
      <c r="L38" s="184" t="str">
        <f t="shared" ref="L38" si="11">IF(L36="","",L36+L37)</f>
        <v/>
      </c>
      <c r="M38" s="184" t="str">
        <f t="shared" ref="M38" si="12">IF(M36="","",M36+M37)</f>
        <v/>
      </c>
    </row>
    <row r="39" spans="2:13">
      <c r="B39" s="40" t="s">
        <v>54</v>
      </c>
      <c r="C39" s="183">
        <f t="shared" ref="C39:M39" si="13">IF(C$4="","",-C6)</f>
        <v>-796708</v>
      </c>
      <c r="D39" s="183">
        <f t="shared" si="13"/>
        <v>-780002</v>
      </c>
      <c r="E39" s="183">
        <f t="shared" si="13"/>
        <v>-748422</v>
      </c>
      <c r="F39" s="183">
        <f t="shared" si="13"/>
        <v>-643444</v>
      </c>
      <c r="G39" s="183">
        <f t="shared" si="13"/>
        <v>-489743</v>
      </c>
      <c r="H39" s="183">
        <f t="shared" si="13"/>
        <v>-475518</v>
      </c>
      <c r="I39" s="183">
        <f t="shared" si="13"/>
        <v>-481847</v>
      </c>
      <c r="J39" s="183">
        <f t="shared" si="13"/>
        <v>-501814</v>
      </c>
      <c r="K39" s="183">
        <f t="shared" si="13"/>
        <v>-531963</v>
      </c>
      <c r="L39" s="183" t="str">
        <f t="shared" si="13"/>
        <v/>
      </c>
      <c r="M39" s="183" t="str">
        <f t="shared" si="13"/>
        <v/>
      </c>
    </row>
    <row r="40" spans="2:13">
      <c r="B40" s="69" t="s">
        <v>61</v>
      </c>
      <c r="C40" s="185">
        <f t="shared" ref="C40:M40" si="14">IF(C$4="","",-C7)</f>
        <v>-543502</v>
      </c>
      <c r="D40" s="185">
        <f t="shared" si="14"/>
        <v>-527090</v>
      </c>
      <c r="E40" s="185">
        <f t="shared" si="14"/>
        <v>-504718</v>
      </c>
      <c r="F40" s="185">
        <f t="shared" si="14"/>
        <v>-431450</v>
      </c>
      <c r="G40" s="185">
        <f t="shared" si="14"/>
        <v>-334415</v>
      </c>
      <c r="H40" s="185">
        <f t="shared" si="14"/>
        <v>-197943</v>
      </c>
      <c r="I40" s="185">
        <f t="shared" si="14"/>
        <v>-206424</v>
      </c>
      <c r="J40" s="185">
        <f t="shared" si="14"/>
        <v>-190447</v>
      </c>
      <c r="K40" s="185">
        <f t="shared" si="14"/>
        <v>-199533</v>
      </c>
      <c r="L40" s="185" t="str">
        <f t="shared" si="14"/>
        <v/>
      </c>
      <c r="M40" s="185" t="str">
        <f t="shared" si="14"/>
        <v/>
      </c>
    </row>
    <row r="41" spans="2:13">
      <c r="B41" s="69" t="s">
        <v>64</v>
      </c>
      <c r="C41" s="185">
        <f>IF(C$4="","",C39-C40)</f>
        <v>-253206</v>
      </c>
      <c r="D41" s="185">
        <f t="shared" ref="D41:M41" si="15">IF(D$4="","",D39-D40)</f>
        <v>-252912</v>
      </c>
      <c r="E41" s="185">
        <f t="shared" si="15"/>
        <v>-243704</v>
      </c>
      <c r="F41" s="185">
        <f t="shared" si="15"/>
        <v>-211994</v>
      </c>
      <c r="G41" s="185">
        <f t="shared" si="15"/>
        <v>-155328</v>
      </c>
      <c r="H41" s="185">
        <f t="shared" si="15"/>
        <v>-277575</v>
      </c>
      <c r="I41" s="185">
        <f t="shared" si="15"/>
        <v>-275423</v>
      </c>
      <c r="J41" s="185">
        <f t="shared" si="15"/>
        <v>-311367</v>
      </c>
      <c r="K41" s="185">
        <f t="shared" si="15"/>
        <v>-332430</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t="str">
        <f t="shared" si="16"/>
        <v/>
      </c>
      <c r="M42" s="183" t="str">
        <f t="shared" si="16"/>
        <v/>
      </c>
    </row>
    <row r="43" spans="2:13">
      <c r="B43" s="43" t="s">
        <v>153</v>
      </c>
      <c r="C43" s="186">
        <f>IF(C$4="","",C38+C39+C42)</f>
        <v>354022</v>
      </c>
      <c r="D43" s="186">
        <f t="shared" ref="D43:M43" si="17">IF(D$4="","",D38+D39+D42)</f>
        <v>408708</v>
      </c>
      <c r="E43" s="186">
        <f t="shared" si="17"/>
        <v>431863</v>
      </c>
      <c r="F43" s="186">
        <f t="shared" si="17"/>
        <v>318672</v>
      </c>
      <c r="G43" s="186">
        <f t="shared" si="17"/>
        <v>155584</v>
      </c>
      <c r="H43" s="186">
        <f t="shared" si="17"/>
        <v>127442</v>
      </c>
      <c r="I43" s="186">
        <f t="shared" si="17"/>
        <v>125028</v>
      </c>
      <c r="J43" s="186">
        <f t="shared" si="17"/>
        <v>6453</v>
      </c>
      <c r="K43" s="186">
        <f t="shared" si="17"/>
        <v>-46358</v>
      </c>
      <c r="L43" s="186" t="str">
        <f t="shared" si="17"/>
        <v/>
      </c>
      <c r="M43" s="186" t="str">
        <f t="shared" si="17"/>
        <v/>
      </c>
    </row>
    <row r="44" spans="2:13">
      <c r="B44" s="43" t="s">
        <v>169</v>
      </c>
      <c r="C44" s="187">
        <f t="shared" ref="C44:M44" si="18">IF(C$4="","",C47-C46-C45-C43)</f>
        <v>56115</v>
      </c>
      <c r="D44" s="187">
        <f t="shared" si="18"/>
        <v>45962</v>
      </c>
      <c r="E44" s="187">
        <f t="shared" si="18"/>
        <v>93607</v>
      </c>
      <c r="F44" s="187">
        <f t="shared" si="18"/>
        <v>47267</v>
      </c>
      <c r="G44" s="187">
        <f t="shared" si="18"/>
        <v>-13941</v>
      </c>
      <c r="H44" s="187">
        <f t="shared" si="18"/>
        <v>34492</v>
      </c>
      <c r="I44" s="187">
        <f t="shared" si="18"/>
        <v>41506</v>
      </c>
      <c r="J44" s="187">
        <f t="shared" si="18"/>
        <v>22726</v>
      </c>
      <c r="K44" s="187">
        <f t="shared" si="18"/>
        <v>40583</v>
      </c>
      <c r="L44" s="187" t="str">
        <f t="shared" si="18"/>
        <v/>
      </c>
      <c r="M44" s="187" t="str">
        <f t="shared" si="18"/>
        <v/>
      </c>
    </row>
    <row r="45" spans="2:13">
      <c r="B45" s="40" t="s">
        <v>68</v>
      </c>
      <c r="C45" s="188">
        <f t="shared" ref="C45:M45" si="19">IF(C$4="","",C51+C52)</f>
        <v>-13663</v>
      </c>
      <c r="D45" s="188">
        <f t="shared" si="19"/>
        <v>-14612</v>
      </c>
      <c r="E45" s="188">
        <f t="shared" si="19"/>
        <v>-12033</v>
      </c>
      <c r="F45" s="188">
        <f t="shared" si="19"/>
        <v>-10203</v>
      </c>
      <c r="G45" s="188">
        <f t="shared" si="19"/>
        <v>-14210</v>
      </c>
      <c r="H45" s="188">
        <f t="shared" si="19"/>
        <v>-1959</v>
      </c>
      <c r="I45" s="188">
        <f t="shared" si="19"/>
        <v>-1843</v>
      </c>
      <c r="J45" s="188">
        <f t="shared" si="19"/>
        <v>-3730</v>
      </c>
      <c r="K45" s="188">
        <f t="shared" si="19"/>
        <v>-6942</v>
      </c>
      <c r="L45" s="188" t="str">
        <f t="shared" si="19"/>
        <v/>
      </c>
      <c r="M45" s="188" t="str">
        <f t="shared" si="19"/>
        <v/>
      </c>
    </row>
    <row r="46" spans="2:13">
      <c r="B46" s="40" t="s">
        <v>50</v>
      </c>
      <c r="C46" s="183">
        <f t="shared" ref="C46:M46" si="20">IF(C$4="","",-C14)</f>
        <v>-145324</v>
      </c>
      <c r="D46" s="183">
        <f t="shared" si="20"/>
        <v>-144534</v>
      </c>
      <c r="E46" s="183">
        <f t="shared" si="20"/>
        <v>-150461</v>
      </c>
      <c r="F46" s="183">
        <f t="shared" si="20"/>
        <v>-123112</v>
      </c>
      <c r="G46" s="183">
        <f t="shared" si="20"/>
        <v>-28324</v>
      </c>
      <c r="H46" s="183">
        <f t="shared" si="20"/>
        <v>-21936</v>
      </c>
      <c r="I46" s="183">
        <f t="shared" si="20"/>
        <v>-26006</v>
      </c>
      <c r="J46" s="183">
        <f t="shared" si="20"/>
        <v>-9352</v>
      </c>
      <c r="K46" s="183">
        <f t="shared" si="20"/>
        <v>-3042</v>
      </c>
      <c r="L46" s="183" t="str">
        <f t="shared" si="20"/>
        <v/>
      </c>
      <c r="M46" s="183" t="str">
        <f t="shared" si="20"/>
        <v/>
      </c>
    </row>
    <row r="47" spans="2:13">
      <c r="B47" s="43" t="s">
        <v>42</v>
      </c>
      <c r="C47" s="186">
        <f t="shared" ref="C47:M47" si="21">IF(C$4="","",C15)</f>
        <v>251150</v>
      </c>
      <c r="D47" s="186">
        <f t="shared" si="21"/>
        <v>295524</v>
      </c>
      <c r="E47" s="186">
        <f t="shared" si="21"/>
        <v>362976</v>
      </c>
      <c r="F47" s="186">
        <f t="shared" si="21"/>
        <v>232624</v>
      </c>
      <c r="G47" s="186">
        <f t="shared" si="21"/>
        <v>99109</v>
      </c>
      <c r="H47" s="186">
        <f t="shared" si="21"/>
        <v>138039</v>
      </c>
      <c r="I47" s="186">
        <f t="shared" si="21"/>
        <v>138685</v>
      </c>
      <c r="J47" s="186">
        <f t="shared" si="21"/>
        <v>16097</v>
      </c>
      <c r="K47" s="186">
        <f t="shared" si="21"/>
        <v>-15759</v>
      </c>
      <c r="L47" s="186" t="str">
        <f t="shared" si="21"/>
        <v/>
      </c>
      <c r="M47" s="186" t="str">
        <f t="shared" si="21"/>
        <v/>
      </c>
    </row>
    <row r="48" spans="2:13">
      <c r="B48" s="28" t="s">
        <v>44</v>
      </c>
      <c r="C48" s="183">
        <f t="shared" ref="C48:M48" si="22">IF(C$4="","",MIN(-C16,0))</f>
        <v>-662</v>
      </c>
      <c r="D48" s="183">
        <f t="shared" si="22"/>
        <v>-92</v>
      </c>
      <c r="E48" s="183">
        <f t="shared" si="22"/>
        <v>-402</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-13663</v>
      </c>
      <c r="D51" s="183">
        <f t="shared" si="23"/>
        <v>-14612</v>
      </c>
      <c r="E51" s="183">
        <f t="shared" si="23"/>
        <v>-12033</v>
      </c>
      <c r="F51" s="183">
        <f t="shared" si="23"/>
        <v>-10203</v>
      </c>
      <c r="G51" s="183">
        <f t="shared" si="23"/>
        <v>-14210</v>
      </c>
      <c r="H51" s="183">
        <f t="shared" si="23"/>
        <v>-1959</v>
      </c>
      <c r="I51" s="183">
        <f t="shared" si="23"/>
        <v>-1843</v>
      </c>
      <c r="J51" s="183">
        <f t="shared" si="23"/>
        <v>-3730</v>
      </c>
      <c r="K51" s="183">
        <f t="shared" si="23"/>
        <v>-6942</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56115</v>
      </c>
      <c r="D58" s="188">
        <f t="shared" ref="D58:M58" si="28">IF(D$4="","",D44-D55-D56-D57)</f>
        <v>45962</v>
      </c>
      <c r="E58" s="188">
        <f t="shared" si="28"/>
        <v>93607</v>
      </c>
      <c r="F58" s="188">
        <f t="shared" si="28"/>
        <v>47267</v>
      </c>
      <c r="G58" s="188">
        <f t="shared" si="28"/>
        <v>-13941</v>
      </c>
      <c r="H58" s="188">
        <f t="shared" si="28"/>
        <v>34492</v>
      </c>
      <c r="I58" s="188">
        <f t="shared" si="28"/>
        <v>41506</v>
      </c>
      <c r="J58" s="188">
        <f t="shared" si="28"/>
        <v>22726</v>
      </c>
      <c r="K58" s="188">
        <f t="shared" si="28"/>
        <v>40583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t="str">
        <f t="shared" si="31"/>
        <v/>
      </c>
      <c r="M63" s="183" t="str">
        <f t="shared" si="31"/>
        <v/>
      </c>
    </row>
    <row r="64" spans="2:13">
      <c r="B64" s="27" t="s">
        <v>405</v>
      </c>
      <c r="C64" s="183">
        <f>IF(C$4="","",C22+C23+C24)</f>
        <v>-144309</v>
      </c>
      <c r="D64" s="183">
        <f t="shared" ref="D64:M64" si="32">IF(D$4="","",D22+D23+D24)</f>
        <v>-145870</v>
      </c>
      <c r="E64" s="183">
        <f t="shared" si="32"/>
        <v>196731</v>
      </c>
      <c r="F64" s="183">
        <f t="shared" si="32"/>
        <v>97620</v>
      </c>
      <c r="G64" s="183">
        <f t="shared" si="32"/>
        <v>-123823</v>
      </c>
      <c r="H64" s="183">
        <f t="shared" si="32"/>
        <v>21016</v>
      </c>
      <c r="I64" s="183">
        <f t="shared" si="32"/>
        <v>415643</v>
      </c>
      <c r="J64" s="183">
        <f t="shared" si="32"/>
        <v>242432</v>
      </c>
      <c r="K64" s="183">
        <f t="shared" si="32"/>
        <v>64651</v>
      </c>
      <c r="L64" s="183" t="str">
        <f t="shared" si="32"/>
        <v/>
      </c>
      <c r="M64" s="18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169</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2565063</v>
      </c>
      <c r="D76" s="188">
        <f t="shared" ref="D76:M76" si="39">IF(D$4="","",D79+D80)</f>
        <v>2619258</v>
      </c>
      <c r="E76" s="188">
        <f t="shared" si="39"/>
        <v>2879275</v>
      </c>
      <c r="F76" s="188">
        <f t="shared" si="39"/>
        <v>2727530</v>
      </c>
      <c r="G76" s="188">
        <f t="shared" si="39"/>
        <v>2513621</v>
      </c>
      <c r="H76" s="188">
        <f t="shared" si="39"/>
        <v>2408229</v>
      </c>
      <c r="I76" s="188">
        <f t="shared" si="39"/>
        <v>2539937</v>
      </c>
      <c r="J76" s="188">
        <f t="shared" si="39"/>
        <v>2354738</v>
      </c>
      <c r="K76" s="188">
        <f t="shared" si="39"/>
        <v>2533582</v>
      </c>
      <c r="L76" s="188" t="str">
        <f t="shared" si="39"/>
        <v/>
      </c>
      <c r="M76" s="188" t="str">
        <f t="shared" si="39"/>
        <v/>
      </c>
    </row>
    <row r="77" spans="2:13">
      <c r="B77" s="93" t="s">
        <v>86</v>
      </c>
      <c r="C77" s="185">
        <f t="shared" ref="C77:H78" si="40">IF(C$4="","",C28)</f>
        <v>348607</v>
      </c>
      <c r="D77" s="185">
        <f t="shared" si="40"/>
        <v>262508</v>
      </c>
      <c r="E77" s="185">
        <f t="shared" si="40"/>
        <v>179615</v>
      </c>
      <c r="F77" s="185">
        <f t="shared" si="40"/>
        <v>260527</v>
      </c>
      <c r="G77" s="185">
        <f t="shared" si="40"/>
        <v>80876</v>
      </c>
      <c r="H77" s="185">
        <f t="shared" si="40"/>
        <v>86046</v>
      </c>
      <c r="I77" s="335"/>
      <c r="J77" s="335"/>
      <c r="K77" s="335"/>
      <c r="L77" s="335"/>
      <c r="M77" s="335"/>
    </row>
    <row r="78" spans="2:13">
      <c r="B78" s="93" t="s">
        <v>87</v>
      </c>
      <c r="C78" s="185">
        <f t="shared" si="40"/>
        <v>506592</v>
      </c>
      <c r="D78" s="185">
        <f t="shared" si="40"/>
        <v>422202</v>
      </c>
      <c r="E78" s="185">
        <f t="shared" si="40"/>
        <v>483625</v>
      </c>
      <c r="F78" s="185">
        <f t="shared" si="40"/>
        <v>622768</v>
      </c>
      <c r="G78" s="185">
        <f t="shared" si="40"/>
        <v>798693</v>
      </c>
      <c r="H78" s="185">
        <f t="shared" si="40"/>
        <v>823654</v>
      </c>
      <c r="I78" s="335"/>
      <c r="J78" s="335"/>
      <c r="K78" s="335"/>
      <c r="L78" s="335"/>
      <c r="M78" s="335"/>
    </row>
    <row r="79" spans="2:13">
      <c r="B79" s="26" t="s">
        <v>40</v>
      </c>
      <c r="C79" s="183">
        <f t="shared" ref="C79:M79" si="41">IF(C$4="","",C30)</f>
        <v>732882</v>
      </c>
      <c r="D79" s="183">
        <f t="shared" si="41"/>
        <v>723327</v>
      </c>
      <c r="E79" s="183">
        <f t="shared" si="41"/>
        <v>843108</v>
      </c>
      <c r="F79" s="183">
        <f t="shared" si="41"/>
        <v>736981</v>
      </c>
      <c r="G79" s="183">
        <f t="shared" si="41"/>
        <v>430335</v>
      </c>
      <c r="H79" s="183">
        <f t="shared" si="41"/>
        <v>194628</v>
      </c>
      <c r="I79" s="183">
        <f t="shared" si="41"/>
        <v>222985</v>
      </c>
      <c r="J79" s="183">
        <f t="shared" si="41"/>
        <v>207724</v>
      </c>
      <c r="K79" s="183">
        <f t="shared" si="41"/>
        <v>376010</v>
      </c>
      <c r="L79" s="183" t="str">
        <f t="shared" si="41"/>
        <v/>
      </c>
      <c r="M79" s="183" t="str">
        <f t="shared" si="41"/>
        <v/>
      </c>
    </row>
    <row r="80" spans="2:13">
      <c r="B80" s="26" t="s">
        <v>30</v>
      </c>
      <c r="C80" s="183">
        <f t="shared" ref="C80:M80" si="42">IF(C$4="","",C31)</f>
        <v>1832181</v>
      </c>
      <c r="D80" s="183">
        <f t="shared" si="42"/>
        <v>1895931</v>
      </c>
      <c r="E80" s="183">
        <f t="shared" si="42"/>
        <v>2036167</v>
      </c>
      <c r="F80" s="183">
        <f t="shared" si="42"/>
        <v>1990549</v>
      </c>
      <c r="G80" s="183">
        <f t="shared" si="42"/>
        <v>2083286</v>
      </c>
      <c r="H80" s="183">
        <f t="shared" si="42"/>
        <v>2213601</v>
      </c>
      <c r="I80" s="183">
        <f t="shared" si="42"/>
        <v>2316952</v>
      </c>
      <c r="J80" s="183">
        <f t="shared" si="42"/>
        <v>2147014</v>
      </c>
      <c r="K80" s="183">
        <f t="shared" si="42"/>
        <v>2157572</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17" sqref="F1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83075+265532</f>
        <v>348607</v>
      </c>
      <c r="D4" s="294">
        <v>0.6</v>
      </c>
      <c r="E4" s="25"/>
      <c r="F4" s="4" t="s">
        <v>78</v>
      </c>
      <c r="G4" s="19">
        <v>1089388</v>
      </c>
      <c r="H4" s="294">
        <v>0.9</v>
      </c>
    </row>
    <row r="5" spans="2:8" ht="15" customHeight="1">
      <c r="B5" s="1" t="s">
        <v>33</v>
      </c>
      <c r="C5" s="19">
        <v>0</v>
      </c>
      <c r="D5" s="294">
        <v>0.6</v>
      </c>
      <c r="E5" s="25"/>
      <c r="F5" s="1" t="s">
        <v>29</v>
      </c>
      <c r="G5" s="19">
        <v>0</v>
      </c>
      <c r="H5" s="294">
        <v>0.7</v>
      </c>
    </row>
    <row r="6" spans="2:8" ht="15" customHeight="1">
      <c r="B6" s="4" t="s">
        <v>10</v>
      </c>
      <c r="C6" s="19">
        <v>506592</v>
      </c>
      <c r="D6" s="294">
        <v>0.5</v>
      </c>
      <c r="E6" s="25"/>
      <c r="F6" s="4" t="s">
        <v>178</v>
      </c>
      <c r="G6" s="19">
        <v>0</v>
      </c>
      <c r="H6" s="294">
        <v>0.6</v>
      </c>
    </row>
    <row r="7" spans="2:8" ht="15" customHeight="1">
      <c r="B7" s="1" t="s">
        <v>69</v>
      </c>
      <c r="C7" s="19">
        <v>0</v>
      </c>
      <c r="D7" s="294">
        <v>0.6</v>
      </c>
      <c r="E7" s="25"/>
      <c r="F7" s="4" t="s">
        <v>179</v>
      </c>
      <c r="G7" s="19">
        <v>10851</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8727</v>
      </c>
      <c r="D10" s="294">
        <v>0.9</v>
      </c>
      <c r="H10" s="295"/>
    </row>
    <row r="11" spans="2:8" ht="15" customHeight="1">
      <c r="B11" s="4" t="s">
        <v>12</v>
      </c>
      <c r="C11" s="19">
        <v>0</v>
      </c>
      <c r="D11" s="294">
        <v>0.05</v>
      </c>
      <c r="H11" s="295"/>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f>29657+19498</f>
        <v>49155</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233391+169651+360+16234</f>
        <v>419636</v>
      </c>
      <c r="D19" s="294">
        <v>0.1</v>
      </c>
      <c r="F19" s="4" t="s">
        <v>183</v>
      </c>
      <c r="G19" s="19">
        <f>64831+22181</f>
        <v>87012</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36961</v>
      </c>
      <c r="H21" s="294">
        <v>0.1</v>
      </c>
    </row>
    <row r="22" spans="2:8" ht="15" customHeight="1">
      <c r="B22" s="4" t="s">
        <v>20</v>
      </c>
      <c r="C22" s="19">
        <v>8134</v>
      </c>
      <c r="D22" s="294">
        <v>0.9</v>
      </c>
      <c r="H22" s="295"/>
    </row>
    <row r="23" spans="2:8" ht="15" customHeight="1">
      <c r="B23" s="4" t="s">
        <v>21</v>
      </c>
      <c r="C23" s="19">
        <v>0</v>
      </c>
      <c r="D23" s="294">
        <v>0</v>
      </c>
      <c r="H23" s="295"/>
    </row>
    <row r="24" spans="2:8" ht="15" customHeight="1">
      <c r="B24" s="80" t="s">
        <v>74</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201</v>
      </c>
      <c r="C26" s="203" t="s">
        <v>137</v>
      </c>
      <c r="F26" s="205" t="s">
        <v>197</v>
      </c>
      <c r="G26" s="206" t="s">
        <v>137</v>
      </c>
      <c r="H26" s="207" t="s">
        <v>35</v>
      </c>
    </row>
    <row r="27" spans="2:8" ht="15" customHeight="1">
      <c r="B27" s="4" t="s">
        <v>5</v>
      </c>
      <c r="C27" s="19">
        <v>0</v>
      </c>
      <c r="F27" s="208" t="s">
        <v>30</v>
      </c>
      <c r="G27" s="85">
        <f>G32-G30</f>
        <v>1832181</v>
      </c>
      <c r="H27" s="209">
        <f>H32-G30</f>
        <v>815566.8</v>
      </c>
    </row>
    <row r="28" spans="2:8" ht="15" customHeight="1">
      <c r="B28" s="4" t="s">
        <v>6</v>
      </c>
      <c r="C28" s="19">
        <v>112451</v>
      </c>
      <c r="F28" s="210" t="s">
        <v>245</v>
      </c>
      <c r="G28" s="181">
        <v>1765</v>
      </c>
      <c r="H28" s="209"/>
    </row>
    <row r="29" spans="2:8" ht="15" customHeight="1">
      <c r="B29" s="4" t="s">
        <v>7</v>
      </c>
      <c r="C29" s="19">
        <v>0</v>
      </c>
      <c r="F29" s="211" t="s">
        <v>76</v>
      </c>
      <c r="G29" s="14">
        <f>G27-G28</f>
        <v>1830416</v>
      </c>
      <c r="H29" s="209">
        <f>H27-G28</f>
        <v>813801.8</v>
      </c>
    </row>
    <row r="30" spans="2:8" ht="15" customHeight="1">
      <c r="B30" s="2" t="s">
        <v>8</v>
      </c>
      <c r="C30" s="19">
        <v>0</v>
      </c>
      <c r="F30" s="208" t="s">
        <v>23</v>
      </c>
      <c r="G30" s="85">
        <f>C33+C42</f>
        <v>732882</v>
      </c>
      <c r="H30" s="209"/>
    </row>
    <row r="31" spans="2:8" ht="15" customHeight="1">
      <c r="B31" s="80" t="s">
        <v>204</v>
      </c>
      <c r="C31" s="81">
        <f>SUM(C27:C30)</f>
        <v>112451</v>
      </c>
      <c r="F31" s="211" t="s">
        <v>77</v>
      </c>
      <c r="G31" s="212">
        <f>C31+C40</f>
        <v>195066</v>
      </c>
      <c r="H31" s="209"/>
    </row>
    <row r="32" spans="2:8" ht="15" customHeight="1">
      <c r="B32" s="4" t="s">
        <v>9</v>
      </c>
      <c r="C32" s="21">
        <f>C33-C31</f>
        <v>511396</v>
      </c>
      <c r="F32" s="213" t="s">
        <v>75</v>
      </c>
      <c r="G32" s="214">
        <f>G35+G40</f>
        <v>2565063</v>
      </c>
      <c r="H32" s="209">
        <f>H35+H40</f>
        <v>1548448.8</v>
      </c>
    </row>
    <row r="33" spans="2:8" ht="15" customHeight="1">
      <c r="B33" s="83" t="s">
        <v>4</v>
      </c>
      <c r="C33" s="84">
        <v>623847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1291696</v>
      </c>
      <c r="H35" s="221">
        <f>D12+D24</f>
        <v>519598.69999999995</v>
      </c>
    </row>
    <row r="36" spans="2:8" ht="15" customHeight="1">
      <c r="B36" s="4" t="s">
        <v>13</v>
      </c>
      <c r="C36" s="19">
        <v>0</v>
      </c>
      <c r="F36" s="211" t="s">
        <v>198</v>
      </c>
      <c r="G36" s="212">
        <f>C4+C15</f>
        <v>348607</v>
      </c>
      <c r="H36" s="216"/>
    </row>
    <row r="37" spans="2:8" ht="15" customHeight="1">
      <c r="B37" s="4" t="s">
        <v>14</v>
      </c>
      <c r="C37" s="19">
        <v>82615</v>
      </c>
      <c r="F37" s="211" t="s">
        <v>199</v>
      </c>
      <c r="G37" s="212">
        <f>C6</f>
        <v>506592</v>
      </c>
      <c r="H37" s="216"/>
    </row>
    <row r="38" spans="2:8" ht="15" customHeight="1">
      <c r="B38" s="4" t="s">
        <v>15</v>
      </c>
      <c r="C38" s="19">
        <v>0</v>
      </c>
      <c r="F38" s="211" t="s">
        <v>200</v>
      </c>
      <c r="G38" s="212">
        <f>C7+C17</f>
        <v>0</v>
      </c>
      <c r="H38" s="216"/>
    </row>
    <row r="39" spans="2:8" ht="15" customHeight="1">
      <c r="B39" s="2" t="s">
        <v>16</v>
      </c>
      <c r="C39" s="19">
        <v>0</v>
      </c>
      <c r="F39" s="211" t="s">
        <v>80</v>
      </c>
      <c r="G39" s="212">
        <f>C7+C17+C19+C20</f>
        <v>419636</v>
      </c>
      <c r="H39" s="209">
        <f>C7*D7+C17*D17+C19*D19+C20*D20</f>
        <v>41963.600000000006</v>
      </c>
    </row>
    <row r="40" spans="2:8" ht="15" customHeight="1">
      <c r="B40" s="80" t="s">
        <v>205</v>
      </c>
      <c r="C40" s="81">
        <f>SUM(C36:C39)</f>
        <v>82615</v>
      </c>
      <c r="F40" s="220" t="s">
        <v>139</v>
      </c>
      <c r="G40" s="214">
        <f>G12+G24</f>
        <v>1273367</v>
      </c>
      <c r="H40" s="221">
        <f>H12+H24</f>
        <v>1028850.1000000001</v>
      </c>
    </row>
    <row r="41" spans="2:8" ht="15" customHeight="1">
      <c r="B41" s="4" t="s">
        <v>17</v>
      </c>
      <c r="C41" s="21">
        <f>C42-C40</f>
        <v>26420</v>
      </c>
      <c r="F41" s="211" t="s">
        <v>192</v>
      </c>
      <c r="G41" s="212">
        <f>C70</f>
        <v>1138543</v>
      </c>
      <c r="H41" s="221">
        <f>H40-H42</f>
        <v>1009942.2000000001</v>
      </c>
    </row>
    <row r="42" spans="2:8" ht="15" customHeight="1">
      <c r="B42" s="83" t="s">
        <v>22</v>
      </c>
      <c r="C42" s="84">
        <v>109035</v>
      </c>
      <c r="F42" s="222" t="s">
        <v>193</v>
      </c>
      <c r="G42" s="223">
        <f>C82</f>
        <v>134824</v>
      </c>
      <c r="H42" s="224">
        <f>D82</f>
        <v>18907.900000000001</v>
      </c>
    </row>
    <row r="44" spans="2:8" ht="15" customHeight="1">
      <c r="B44" s="79" t="s">
        <v>97</v>
      </c>
      <c r="C44" s="37"/>
      <c r="D44" s="37"/>
      <c r="E44" s="37"/>
      <c r="F44" s="37"/>
      <c r="G44" s="37"/>
      <c r="H44" s="37"/>
    </row>
    <row r="45" spans="2:8" ht="15" customHeight="1">
      <c r="B45" s="16" t="s">
        <v>272</v>
      </c>
      <c r="C45" s="261" t="s">
        <v>137</v>
      </c>
      <c r="D45" s="203" t="s">
        <v>418</v>
      </c>
      <c r="F45" s="287" t="s">
        <v>59</v>
      </c>
    </row>
    <row r="46" spans="2:8" ht="15" customHeight="1">
      <c r="B46" s="1" t="s">
        <v>274</v>
      </c>
      <c r="C46" s="188">
        <f>G29</f>
        <v>1830416</v>
      </c>
      <c r="D46" s="188">
        <f>H29</f>
        <v>813801.8</v>
      </c>
      <c r="F46" s="283"/>
    </row>
    <row r="47" spans="2:8" ht="15" customHeight="1">
      <c r="B47" s="1" t="str">
        <f>"Equity per share ("&amp;Market_currency&amp;")"</f>
        <v>Equity per share (HKD)</v>
      </c>
      <c r="C47" s="148">
        <f>C46*H1/Common_Shares*Exchange_Rate</f>
        <v>3.7557917561682514</v>
      </c>
      <c r="D47" s="148">
        <f>D46*H1/Common_Shares*Exchange_Rate</f>
        <v>1.6698226477450393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0.9804830051022897</v>
      </c>
      <c r="D50" s="95">
        <f>G31/Normalized_FCF!G8</f>
        <v>0.55099965538864815</v>
      </c>
      <c r="F50" s="283"/>
    </row>
    <row r="51" spans="2:8" ht="15" customHeight="1">
      <c r="B51" s="1" t="s">
        <v>177</v>
      </c>
      <c r="C51" s="202"/>
      <c r="D51" s="92">
        <f>G29/G32</f>
        <v>0.71359494874005047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0.15402144495374948</v>
      </c>
      <c r="D54" s="92">
        <f>Normalized_FCF!G8/G35</f>
        <v>0.274075324224895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0.1635967615610221</v>
      </c>
      <c r="F59" s="283"/>
    </row>
    <row r="60" spans="2:8" ht="15" customHeight="1">
      <c r="F60" s="283"/>
    </row>
    <row r="61" spans="2:8" ht="15" customHeight="1">
      <c r="B61" s="158" t="s">
        <v>275</v>
      </c>
      <c r="C61" s="262" t="s">
        <v>138</v>
      </c>
      <c r="D61" s="218" t="s">
        <v>96</v>
      </c>
      <c r="F61" s="283"/>
    </row>
    <row r="62" spans="2:8" ht="15" customHeight="1">
      <c r="B62" s="1" t="s">
        <v>246</v>
      </c>
      <c r="C62" s="92">
        <f>IF(G28&lt;=0,0,G28/G29)</f>
        <v>9.6426167603430037E-4</v>
      </c>
      <c r="D62" s="92">
        <f>G28/G29</f>
        <v>9.6426167603430037E-4</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1089388</v>
      </c>
      <c r="D66" s="188">
        <f>C66-D75</f>
        <v>587281.82009631116</v>
      </c>
      <c r="F66" s="5" t="s">
        <v>227</v>
      </c>
    </row>
    <row r="67" spans="2:6" ht="15" customHeight="1">
      <c r="B67" s="105" t="s">
        <v>178</v>
      </c>
      <c r="C67" s="20">
        <f>G6+G16</f>
        <v>49155</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1138543</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-278926.48772266664</v>
      </c>
      <c r="D73" s="188">
        <f>(Normalized_FCF!C25+Normalized_FCF!C35-Normalized_FCF!C91)/12</f>
        <v>-251053.08995184439</v>
      </c>
      <c r="F73" s="1" t="s">
        <v>361</v>
      </c>
    </row>
    <row r="74" spans="2:6" ht="15" customHeight="1">
      <c r="B74" s="288" t="s">
        <v>331</v>
      </c>
      <c r="C74" s="289">
        <f>-$C$66/C73</f>
        <v>3.9056455659498561</v>
      </c>
      <c r="D74" s="289">
        <f>-$C$66/D73</f>
        <v>4.3392734190563456</v>
      </c>
      <c r="F74" s="283" t="s">
        <v>328</v>
      </c>
    </row>
    <row r="75" spans="2:6" ht="15" customHeight="1">
      <c r="B75" s="80" t="s">
        <v>329</v>
      </c>
      <c r="C75" s="293"/>
      <c r="D75" s="292">
        <f>MAX(-D73*D76,G5)</f>
        <v>502106.17990368878</v>
      </c>
      <c r="F75" s="283" t="s">
        <v>362</v>
      </c>
    </row>
    <row r="76" spans="2:6" ht="15" customHeight="1">
      <c r="B76" s="290" t="s">
        <v>332</v>
      </c>
      <c r="C76" s="291"/>
      <c r="D76" s="327">
        <f>IF(D74&lt;=3,1,IF(D74&gt;18,6,2))</f>
        <v>2</v>
      </c>
      <c r="F76" s="283" t="s">
        <v>333</v>
      </c>
    </row>
    <row r="77" spans="2:6" ht="15" customHeight="1">
      <c r="F77" s="283"/>
    </row>
    <row r="78" spans="2:6" ht="15" customHeight="1">
      <c r="B78" s="16" t="s">
        <v>190</v>
      </c>
      <c r="C78" s="261" t="s">
        <v>137</v>
      </c>
      <c r="D78" s="204" t="s">
        <v>35</v>
      </c>
      <c r="F78" s="283"/>
    </row>
    <row r="79" spans="2:6" ht="15" customHeight="1">
      <c r="B79" s="105" t="s">
        <v>179</v>
      </c>
      <c r="C79" s="20">
        <f>G7+G17</f>
        <v>10851</v>
      </c>
      <c r="D79" s="188">
        <f>G7*H7+G17*H17</f>
        <v>6510.5999999999995</v>
      </c>
      <c r="F79" s="283"/>
    </row>
    <row r="80" spans="2:6" ht="15" customHeight="1">
      <c r="B80" s="105" t="s">
        <v>183</v>
      </c>
      <c r="C80" s="20">
        <f>G19</f>
        <v>87012</v>
      </c>
      <c r="D80" s="188">
        <f>G19*H19</f>
        <v>8701.2000000000007</v>
      </c>
      <c r="F80" s="283"/>
    </row>
    <row r="81" spans="2:8" ht="15" customHeight="1">
      <c r="B81" s="105" t="s">
        <v>181</v>
      </c>
      <c r="C81" s="20">
        <f>G9+G21</f>
        <v>36961</v>
      </c>
      <c r="D81" s="188">
        <f>G9*H9+G21*H21</f>
        <v>3696.1000000000004</v>
      </c>
      <c r="F81" s="283"/>
    </row>
    <row r="82" spans="2:8" ht="15" customHeight="1">
      <c r="B82" s="80" t="s">
        <v>190</v>
      </c>
      <c r="C82" s="81">
        <f>SUM(C79:C81)</f>
        <v>134824</v>
      </c>
      <c r="D82" s="81">
        <f>SUM(D79:D81)</f>
        <v>18907.900000000001</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-195066</v>
      </c>
      <c r="D86" s="248">
        <f>C86*scaling_factor/Common_Shares</f>
        <v>-0.40025178686632773</v>
      </c>
      <c r="E86" s="269" t="str">
        <f>Market_currency</f>
        <v>HKD</v>
      </c>
    </row>
    <row r="87" spans="2:8" ht="15" customHeight="1">
      <c r="B87" s="267" t="s">
        <v>295</v>
      </c>
      <c r="C87" s="188">
        <f>Valuation_Model!C8*Exchange_Rate</f>
        <v>587281.82009631116</v>
      </c>
      <c r="D87" s="248">
        <f>C87*scaling_factor/Common_Shares</f>
        <v>1.2050311068441337</v>
      </c>
      <c r="E87" s="269" t="str">
        <f>Market_currency</f>
        <v>HKD</v>
      </c>
    </row>
    <row r="88" spans="2:8" ht="15" customHeight="1">
      <c r="B88" s="268" t="s">
        <v>190</v>
      </c>
      <c r="C88" s="188">
        <f>Valuation_Model!C9*Exchange_Rate</f>
        <v>18907.900000000001</v>
      </c>
      <c r="D88" s="248">
        <f>C88*scaling_factor/Common_Shares</f>
        <v>3.8796718858693152E-2</v>
      </c>
      <c r="E88" s="269" t="str">
        <f>Market_currency</f>
        <v>HKD</v>
      </c>
    </row>
    <row r="89" spans="2:8" ht="15" customHeight="1">
      <c r="B89" s="80" t="s">
        <v>299</v>
      </c>
      <c r="C89" s="187">
        <f>SUM(C86:C88)</f>
        <v>411123.72009631118</v>
      </c>
      <c r="D89" s="271">
        <f>SUM(D86:D88)</f>
        <v>0.84357603883649912</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43" sqref="C4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AVERAGE(G4:O4)</f>
        <v>3149204.111111111</v>
      </c>
      <c r="D4" s="57"/>
      <c r="E4" s="300"/>
      <c r="F4" s="57"/>
      <c r="G4" s="183">
        <f>Data!C36</f>
        <v>3638758</v>
      </c>
      <c r="H4" s="183">
        <f>Data!D36</f>
        <v>3704677</v>
      </c>
      <c r="I4" s="183">
        <f>Data!E36</f>
        <v>3639774</v>
      </c>
      <c r="J4" s="183">
        <f>Data!F36</f>
        <v>3504022</v>
      </c>
      <c r="K4" s="183">
        <f>Data!G36</f>
        <v>2352683</v>
      </c>
      <c r="L4" s="183">
        <f>Data!H36</f>
        <v>2437184</v>
      </c>
      <c r="M4" s="183">
        <f>Data!I36</f>
        <v>2891692</v>
      </c>
      <c r="N4" s="183">
        <f>Data!J36</f>
        <v>3142295</v>
      </c>
      <c r="O4" s="183">
        <f>Data!K36</f>
        <v>3031752</v>
      </c>
      <c r="P4" s="183" t="str">
        <f>Data!L36</f>
        <v/>
      </c>
      <c r="Q4" s="183" t="str">
        <f>Data!M36</f>
        <v/>
      </c>
    </row>
    <row r="5" spans="1:17" ht="15.75" customHeight="1">
      <c r="A5" s="10"/>
      <c r="B5" s="2" t="s">
        <v>46</v>
      </c>
      <c r="C5" s="191">
        <f>C25</f>
        <v>-2697049.2267501326</v>
      </c>
      <c r="E5" s="302"/>
      <c r="G5" s="183">
        <f t="shared" ref="G5:Q5" si="1">G25</f>
        <v>-3031530</v>
      </c>
      <c r="H5" s="183">
        <f t="shared" si="1"/>
        <v>-3043057</v>
      </c>
      <c r="I5" s="183">
        <f t="shared" si="1"/>
        <v>-2964207</v>
      </c>
      <c r="J5" s="183">
        <f t="shared" si="1"/>
        <v>-2973356</v>
      </c>
      <c r="K5" s="183">
        <f t="shared" si="1"/>
        <v>-2041771</v>
      </c>
      <c r="L5" s="183">
        <f t="shared" si="1"/>
        <v>-2032167</v>
      </c>
      <c r="M5" s="183">
        <f t="shared" si="1"/>
        <v>-2491241</v>
      </c>
      <c r="N5" s="183">
        <f t="shared" si="1"/>
        <v>-2824475</v>
      </c>
      <c r="O5" s="183">
        <f t="shared" si="1"/>
        <v>-2745680</v>
      </c>
      <c r="P5" s="183" t="str">
        <f t="shared" si="1"/>
        <v/>
      </c>
      <c r="Q5" s="183" t="str">
        <f t="shared" si="1"/>
        <v/>
      </c>
    </row>
    <row r="6" spans="1:17" ht="15.75" customHeight="1">
      <c r="A6" s="10"/>
      <c r="B6" s="31" t="s">
        <v>48</v>
      </c>
      <c r="C6" s="184">
        <f>C4+C5</f>
        <v>452154.88436097838</v>
      </c>
      <c r="E6" s="302"/>
      <c r="G6" s="184">
        <f>IF(G4="","",G4+G5)</f>
        <v>607228</v>
      </c>
      <c r="H6" s="184">
        <f t="shared" ref="H6:Q6" si="2">IF(H4="","",H4+H5)</f>
        <v>661620</v>
      </c>
      <c r="I6" s="184">
        <f t="shared" si="2"/>
        <v>675567</v>
      </c>
      <c r="J6" s="184">
        <f t="shared" si="2"/>
        <v>530666</v>
      </c>
      <c r="K6" s="184">
        <f t="shared" si="2"/>
        <v>310912</v>
      </c>
      <c r="L6" s="184">
        <f t="shared" si="2"/>
        <v>405017</v>
      </c>
      <c r="M6" s="184">
        <f t="shared" si="2"/>
        <v>400451</v>
      </c>
      <c r="N6" s="184">
        <f t="shared" si="2"/>
        <v>317820</v>
      </c>
      <c r="O6" s="184">
        <f t="shared" si="2"/>
        <v>286072</v>
      </c>
      <c r="P6" s="184" t="str">
        <f t="shared" si="2"/>
        <v/>
      </c>
      <c r="Q6" s="184" t="str">
        <f t="shared" si="2"/>
        <v/>
      </c>
    </row>
    <row r="7" spans="1:17" ht="15.75" customHeight="1">
      <c r="A7" s="10"/>
      <c r="B7" s="8" t="s">
        <v>45</v>
      </c>
      <c r="C7" s="191">
        <f>C35</f>
        <v>-253206</v>
      </c>
      <c r="E7" s="302"/>
      <c r="G7" s="191">
        <f t="shared" ref="G7:Q7" si="3">G35</f>
        <v>-253206</v>
      </c>
      <c r="H7" s="191">
        <f t="shared" si="3"/>
        <v>-252912</v>
      </c>
      <c r="I7" s="191">
        <f t="shared" si="3"/>
        <v>-243704</v>
      </c>
      <c r="J7" s="191">
        <f t="shared" si="3"/>
        <v>-211994</v>
      </c>
      <c r="K7" s="191">
        <f t="shared" si="3"/>
        <v>-155328</v>
      </c>
      <c r="L7" s="191">
        <f t="shared" si="3"/>
        <v>-277575</v>
      </c>
      <c r="M7" s="191">
        <f t="shared" si="3"/>
        <v>-275423</v>
      </c>
      <c r="N7" s="191">
        <f t="shared" si="3"/>
        <v>-311367</v>
      </c>
      <c r="O7" s="191">
        <f t="shared" si="3"/>
        <v>-332430</v>
      </c>
      <c r="P7" s="191" t="str">
        <f t="shared" si="3"/>
        <v/>
      </c>
      <c r="Q7" s="191" t="str">
        <f t="shared" si="3"/>
        <v/>
      </c>
    </row>
    <row r="8" spans="1:17" ht="15.75" customHeight="1">
      <c r="A8" s="10"/>
      <c r="B8" s="29" t="s">
        <v>153</v>
      </c>
      <c r="C8" s="192">
        <f>C6+C7</f>
        <v>198948.88436097838</v>
      </c>
      <c r="D8" s="59"/>
      <c r="E8" s="308"/>
      <c r="F8" s="59"/>
      <c r="G8" s="184">
        <f>IF(G$4="","",G6+G7)</f>
        <v>354022</v>
      </c>
      <c r="H8" s="184">
        <f t="shared" ref="H8:Q8" si="4">IF(H$4="","",H6+H7)</f>
        <v>408708</v>
      </c>
      <c r="I8" s="184">
        <f t="shared" si="4"/>
        <v>431863</v>
      </c>
      <c r="J8" s="184">
        <f t="shared" si="4"/>
        <v>318672</v>
      </c>
      <c r="K8" s="184">
        <f t="shared" si="4"/>
        <v>155584</v>
      </c>
      <c r="L8" s="184">
        <f t="shared" si="4"/>
        <v>127442</v>
      </c>
      <c r="M8" s="184">
        <f t="shared" si="4"/>
        <v>125028</v>
      </c>
      <c r="N8" s="184">
        <f t="shared" si="4"/>
        <v>6453</v>
      </c>
      <c r="O8" s="184">
        <f t="shared" si="4"/>
        <v>-46358</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-13663</v>
      </c>
      <c r="E12" s="302"/>
      <c r="G12" s="191">
        <f>G50</f>
        <v>-13663</v>
      </c>
      <c r="H12" s="191">
        <f t="shared" ref="H12:Q12" si="6">H50</f>
        <v>-14612</v>
      </c>
      <c r="I12" s="191">
        <f t="shared" si="6"/>
        <v>-12033</v>
      </c>
      <c r="J12" s="191">
        <f t="shared" si="6"/>
        <v>-10203</v>
      </c>
      <c r="K12" s="191">
        <f t="shared" si="6"/>
        <v>-14210</v>
      </c>
      <c r="L12" s="191">
        <f t="shared" si="6"/>
        <v>-1959</v>
      </c>
      <c r="M12" s="191">
        <f t="shared" si="6"/>
        <v>-1843</v>
      </c>
      <c r="N12" s="191">
        <f t="shared" si="6"/>
        <v>-3730</v>
      </c>
      <c r="O12" s="191">
        <f t="shared" si="6"/>
        <v>-6942</v>
      </c>
      <c r="P12" s="191" t="str">
        <f t="shared" si="6"/>
        <v/>
      </c>
      <c r="Q12" s="191" t="str">
        <f t="shared" si="6"/>
        <v/>
      </c>
    </row>
    <row r="13" spans="1:17" ht="15.75" customHeight="1">
      <c r="A13" s="10"/>
      <c r="B13" s="70" t="s">
        <v>165</v>
      </c>
      <c r="C13" s="184">
        <f>SUM(C8:C12)</f>
        <v>185285.88436097838</v>
      </c>
      <c r="E13" s="302"/>
      <c r="G13" s="184">
        <f>IF(G$4="","",SUM(G8:G12))</f>
        <v>340359</v>
      </c>
      <c r="H13" s="184">
        <f t="shared" ref="H13:Q13" si="7">IF(H$4="","",SUM(H8:H12))</f>
        <v>394096</v>
      </c>
      <c r="I13" s="184">
        <f t="shared" si="7"/>
        <v>419830</v>
      </c>
      <c r="J13" s="184">
        <f t="shared" si="7"/>
        <v>308469</v>
      </c>
      <c r="K13" s="184">
        <f t="shared" si="7"/>
        <v>141374</v>
      </c>
      <c r="L13" s="184">
        <f t="shared" si="7"/>
        <v>125483</v>
      </c>
      <c r="M13" s="184">
        <f t="shared" si="7"/>
        <v>123185</v>
      </c>
      <c r="N13" s="184">
        <f t="shared" si="7"/>
        <v>2723</v>
      </c>
      <c r="O13" s="184">
        <f t="shared" si="7"/>
        <v>-53300</v>
      </c>
      <c r="P13" s="184" t="str">
        <f t="shared" si="7"/>
        <v/>
      </c>
      <c r="Q13" s="184" t="str">
        <f t="shared" si="7"/>
        <v/>
      </c>
    </row>
    <row r="14" spans="1:17" ht="15.75" customHeight="1">
      <c r="A14" s="10"/>
      <c r="B14" s="2" t="s">
        <v>63</v>
      </c>
      <c r="C14" s="191">
        <f>-SUM(C8+C11,C12)*C43</f>
        <v>-46321.471090244595</v>
      </c>
      <c r="E14" s="302"/>
      <c r="G14" s="191">
        <f>Data!C46</f>
        <v>-145324</v>
      </c>
      <c r="H14" s="191">
        <f>Data!D46</f>
        <v>-144534</v>
      </c>
      <c r="I14" s="191">
        <f>Data!E46</f>
        <v>-150461</v>
      </c>
      <c r="J14" s="191">
        <f>Data!F46</f>
        <v>-123112</v>
      </c>
      <c r="K14" s="191">
        <f>Data!G46</f>
        <v>-28324</v>
      </c>
      <c r="L14" s="191">
        <f>Data!H46</f>
        <v>-21936</v>
      </c>
      <c r="M14" s="191">
        <f>Data!I46</f>
        <v>-26006</v>
      </c>
      <c r="N14" s="191">
        <f>Data!J46</f>
        <v>-9352</v>
      </c>
      <c r="O14" s="191">
        <f>Data!K46</f>
        <v>-3042</v>
      </c>
      <c r="P14" s="191" t="str">
        <f>Data!L46</f>
        <v/>
      </c>
      <c r="Q14" s="191" t="str">
        <f>Data!M46</f>
        <v/>
      </c>
    </row>
    <row r="15" spans="1:17" ht="15.75" customHeight="1">
      <c r="A15" s="10"/>
      <c r="B15" s="40" t="s">
        <v>244</v>
      </c>
      <c r="C15" s="191">
        <f>-C4*C83</f>
        <v>-572.93535914055167</v>
      </c>
      <c r="D15" s="60"/>
      <c r="E15" s="309"/>
      <c r="F15" s="60"/>
      <c r="G15" s="183">
        <f>Data!C48</f>
        <v>-662</v>
      </c>
      <c r="H15" s="183">
        <f>Data!D48</f>
        <v>-92</v>
      </c>
      <c r="I15" s="183">
        <f>Data!E48</f>
        <v>-402</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138391.47791159325</v>
      </c>
      <c r="D16" s="61"/>
      <c r="E16" s="310"/>
      <c r="F16" s="61"/>
      <c r="G16" s="184">
        <f>IF(G$4="","",SUM(G13:G15))</f>
        <v>194373</v>
      </c>
      <c r="H16" s="184">
        <f t="shared" ref="H16:Q16" si="8">IF(H$4="","",SUM(H13:H15))</f>
        <v>249470</v>
      </c>
      <c r="I16" s="184">
        <f t="shared" si="8"/>
        <v>268967</v>
      </c>
      <c r="J16" s="184">
        <f t="shared" si="8"/>
        <v>185357</v>
      </c>
      <c r="K16" s="184">
        <f t="shared" si="8"/>
        <v>113050</v>
      </c>
      <c r="L16" s="184">
        <f t="shared" si="8"/>
        <v>103547</v>
      </c>
      <c r="M16" s="184">
        <f t="shared" si="8"/>
        <v>97179</v>
      </c>
      <c r="N16" s="184">
        <f t="shared" si="8"/>
        <v>-6629</v>
      </c>
      <c r="O16" s="184">
        <f t="shared" si="8"/>
        <v>-56342</v>
      </c>
      <c r="P16" s="184" t="str">
        <f t="shared" si="8"/>
        <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138391.47791159325</v>
      </c>
      <c r="D19" s="27"/>
      <c r="E19" s="299"/>
      <c r="F19" s="27"/>
      <c r="G19" s="186">
        <f>IF(G$4="","",G16+G17)</f>
        <v>194373</v>
      </c>
      <c r="H19" s="186">
        <f t="shared" ref="H19:Q19" si="9">IF(H$4="","",H16+H17)</f>
        <v>249470</v>
      </c>
      <c r="I19" s="186">
        <f t="shared" si="9"/>
        <v>268967</v>
      </c>
      <c r="J19" s="186">
        <f t="shared" si="9"/>
        <v>185357</v>
      </c>
      <c r="K19" s="186">
        <f t="shared" si="9"/>
        <v>113050</v>
      </c>
      <c r="L19" s="186">
        <f t="shared" si="9"/>
        <v>103547</v>
      </c>
      <c r="M19" s="186">
        <f t="shared" si="9"/>
        <v>97179</v>
      </c>
      <c r="N19" s="186">
        <f t="shared" si="9"/>
        <v>-6629</v>
      </c>
      <c r="O19" s="186">
        <f t="shared" si="9"/>
        <v>-56342</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-2226669.2968957396</v>
      </c>
      <c r="D23" s="58"/>
      <c r="E23" s="301"/>
      <c r="F23" s="58"/>
      <c r="G23" s="183">
        <f>Data!C37</f>
        <v>-2488028</v>
      </c>
      <c r="H23" s="183">
        <f>Data!D37</f>
        <v>-2515967</v>
      </c>
      <c r="I23" s="183">
        <f>Data!E37</f>
        <v>-2459489</v>
      </c>
      <c r="J23" s="183">
        <f>Data!F37</f>
        <v>-2541906</v>
      </c>
      <c r="K23" s="183">
        <f>Data!G37</f>
        <v>-1707356</v>
      </c>
      <c r="L23" s="183">
        <f>Data!H37</f>
        <v>-1834224</v>
      </c>
      <c r="M23" s="183">
        <f>Data!I37</f>
        <v>-2284817</v>
      </c>
      <c r="N23" s="183">
        <f>Data!J37</f>
        <v>-2634028</v>
      </c>
      <c r="O23" s="183">
        <f>Data!K37</f>
        <v>-2546147</v>
      </c>
      <c r="P23" s="183" t="str">
        <f>Data!L37</f>
        <v/>
      </c>
      <c r="Q23" s="183" t="str">
        <f>Data!M37</f>
        <v/>
      </c>
    </row>
    <row r="24" spans="1:17" ht="15.75" customHeight="1">
      <c r="A24" s="10"/>
      <c r="B24" s="68" t="s">
        <v>62</v>
      </c>
      <c r="C24" s="191">
        <f>-C4*C29</f>
        <v>-470379.92985439295</v>
      </c>
      <c r="D24" s="27"/>
      <c r="E24" s="299"/>
      <c r="F24" s="27"/>
      <c r="G24" s="183">
        <f>Data!C40</f>
        <v>-543502</v>
      </c>
      <c r="H24" s="183">
        <f>Data!D40</f>
        <v>-527090</v>
      </c>
      <c r="I24" s="183">
        <f>Data!E40</f>
        <v>-504718</v>
      </c>
      <c r="J24" s="183">
        <f>Data!F40</f>
        <v>-431450</v>
      </c>
      <c r="K24" s="183">
        <f>Data!G40</f>
        <v>-334415</v>
      </c>
      <c r="L24" s="183">
        <f>Data!H40</f>
        <v>-197943</v>
      </c>
      <c r="M24" s="183">
        <f>Data!I40</f>
        <v>-206424</v>
      </c>
      <c r="N24" s="183">
        <f>Data!J40</f>
        <v>-190447</v>
      </c>
      <c r="O24" s="183">
        <f>Data!K40</f>
        <v>-199533</v>
      </c>
      <c r="P24" s="183" t="str">
        <f>Data!L40</f>
        <v/>
      </c>
      <c r="Q24" s="183" t="str">
        <f>Data!M40</f>
        <v/>
      </c>
    </row>
    <row r="25" spans="1:17" ht="15.75" customHeight="1">
      <c r="A25" s="10"/>
      <c r="B25" s="70" t="s">
        <v>46</v>
      </c>
      <c r="C25" s="184">
        <f>C23+C24</f>
        <v>-2697049.2267501326</v>
      </c>
      <c r="D25" s="9"/>
      <c r="E25" s="307"/>
      <c r="F25" s="9"/>
      <c r="G25" s="184">
        <f t="shared" ref="G25:Q25" si="10">IF(G$4="","",G23+G24)</f>
        <v>-3031530</v>
      </c>
      <c r="H25" s="184">
        <f t="shared" si="10"/>
        <v>-3043057</v>
      </c>
      <c r="I25" s="184">
        <f t="shared" si="10"/>
        <v>-2964207</v>
      </c>
      <c r="J25" s="184">
        <f t="shared" si="10"/>
        <v>-2973356</v>
      </c>
      <c r="K25" s="184">
        <f t="shared" si="10"/>
        <v>-2041771</v>
      </c>
      <c r="L25" s="184">
        <f t="shared" si="10"/>
        <v>-2032167</v>
      </c>
      <c r="M25" s="184">
        <f t="shared" si="10"/>
        <v>-2491241</v>
      </c>
      <c r="N25" s="184">
        <f t="shared" si="10"/>
        <v>-2824475</v>
      </c>
      <c r="O25" s="184">
        <f t="shared" si="10"/>
        <v>-2745680</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AVERAGE(G28:L28)</f>
        <v>0.70705778931239871</v>
      </c>
      <c r="D28" s="26"/>
      <c r="E28" s="300" t="s">
        <v>343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300" t="s">
        <v>343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302"/>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-253206</v>
      </c>
      <c r="E33" s="300" t="s">
        <v>343</v>
      </c>
      <c r="G33" s="191">
        <f>Data!C41</f>
        <v>-253206</v>
      </c>
      <c r="H33" s="191">
        <f>Data!D41</f>
        <v>-252912</v>
      </c>
      <c r="I33" s="191">
        <f>Data!E41</f>
        <v>-243704</v>
      </c>
      <c r="J33" s="191">
        <f>Data!F41</f>
        <v>-211994</v>
      </c>
      <c r="K33" s="191">
        <f>Data!G41</f>
        <v>-155328</v>
      </c>
      <c r="L33" s="191">
        <f>Data!H41</f>
        <v>-277575</v>
      </c>
      <c r="M33" s="191">
        <f>Data!I41</f>
        <v>-275423</v>
      </c>
      <c r="N33" s="191">
        <f>Data!J41</f>
        <v>-311367</v>
      </c>
      <c r="O33" s="191">
        <f>Data!K41</f>
        <v>-332430</v>
      </c>
      <c r="P33" s="191" t="str">
        <f>Data!L41</f>
        <v/>
      </c>
      <c r="Q33" s="191" t="str">
        <f>Data!M41</f>
        <v/>
      </c>
    </row>
    <row r="34" spans="1:17" ht="15.75" customHeight="1">
      <c r="A34" s="10"/>
      <c r="B34" s="27" t="s">
        <v>49</v>
      </c>
      <c r="C34" s="198">
        <f>AVERAGE(G34:J34)</f>
        <v>0</v>
      </c>
      <c r="D34" s="58"/>
      <c r="E34" s="300" t="s">
        <v>343</v>
      </c>
      <c r="F34" s="58"/>
      <c r="G34" s="183">
        <f>Data!C42</f>
        <v>0</v>
      </c>
      <c r="H34" s="183">
        <f>Data!D42</f>
        <v>0</v>
      </c>
      <c r="I34" s="183">
        <f>Data!E42</f>
        <v>0</v>
      </c>
      <c r="J34" s="183">
        <f>Data!F42</f>
        <v>0</v>
      </c>
      <c r="K34" s="183">
        <f>Data!G42</f>
        <v>0</v>
      </c>
      <c r="L34" s="183">
        <f>Data!H42</f>
        <v>0</v>
      </c>
      <c r="M34" s="183">
        <f>Data!I42</f>
        <v>0</v>
      </c>
      <c r="N34" s="183">
        <f>Data!J42</f>
        <v>0</v>
      </c>
      <c r="O34" s="183">
        <f>Data!K42</f>
        <v>0</v>
      </c>
      <c r="P34" s="183" t="str">
        <f>Data!L42</f>
        <v/>
      </c>
      <c r="Q34" s="183" t="str">
        <f>Data!M42</f>
        <v/>
      </c>
    </row>
    <row r="35" spans="1:17" ht="15.75" customHeight="1">
      <c r="A35" s="10"/>
      <c r="B35" s="70" t="s">
        <v>45</v>
      </c>
      <c r="C35" s="184">
        <f>C33+C34</f>
        <v>-253206</v>
      </c>
      <c r="D35" s="58"/>
      <c r="E35" s="301"/>
      <c r="F35" s="58"/>
      <c r="G35" s="184">
        <f t="shared" ref="G35:Q35" si="14">IF(G4="","",G33+G34)</f>
        <v>-253206</v>
      </c>
      <c r="H35" s="184">
        <f t="shared" si="14"/>
        <v>-252912</v>
      </c>
      <c r="I35" s="184">
        <f t="shared" si="14"/>
        <v>-243704</v>
      </c>
      <c r="J35" s="184">
        <f t="shared" si="14"/>
        <v>-211994</v>
      </c>
      <c r="K35" s="184">
        <f t="shared" si="14"/>
        <v>-155328</v>
      </c>
      <c r="L35" s="184">
        <f t="shared" si="14"/>
        <v>-277575</v>
      </c>
      <c r="M35" s="184">
        <f t="shared" si="14"/>
        <v>-275423</v>
      </c>
      <c r="N35" s="184">
        <f t="shared" si="14"/>
        <v>-311367</v>
      </c>
      <c r="O35" s="184">
        <f t="shared" si="14"/>
        <v>-332430</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8.0403172060722089E-2</v>
      </c>
      <c r="D38" s="27"/>
      <c r="E38" s="299"/>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302"/>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-13663</v>
      </c>
      <c r="E47" s="302"/>
      <c r="G47" s="191">
        <f>Data!C51</f>
        <v>-13663</v>
      </c>
      <c r="H47" s="191">
        <f>Data!D51</f>
        <v>-14612</v>
      </c>
      <c r="I47" s="191">
        <f>Data!E51</f>
        <v>-12033</v>
      </c>
      <c r="J47" s="191">
        <f>Data!F51</f>
        <v>-10203</v>
      </c>
      <c r="K47" s="191">
        <f>Data!G51</f>
        <v>-14210</v>
      </c>
      <c r="L47" s="191">
        <f>Data!H51</f>
        <v>-1959</v>
      </c>
      <c r="M47" s="191">
        <f>Data!I51</f>
        <v>-1843</v>
      </c>
      <c r="N47" s="191">
        <f>Data!J51</f>
        <v>-3730</v>
      </c>
      <c r="O47" s="191">
        <f>Data!K51</f>
        <v>-6942</v>
      </c>
      <c r="P47" s="191" t="str">
        <f>Data!L51</f>
        <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352</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-13663</v>
      </c>
      <c r="E50" s="302"/>
      <c r="G50" s="184">
        <f>IF(G$4="","",(G47+G48))</f>
        <v>-13663</v>
      </c>
      <c r="H50" s="184">
        <f t="shared" ref="H50:Q50" si="20">IF(H$4="","",(H47+H48))</f>
        <v>-14612</v>
      </c>
      <c r="I50" s="184">
        <f t="shared" si="20"/>
        <v>-12033</v>
      </c>
      <c r="J50" s="184">
        <f t="shared" si="20"/>
        <v>-10203</v>
      </c>
      <c r="K50" s="184">
        <f t="shared" si="20"/>
        <v>-14210</v>
      </c>
      <c r="L50" s="184">
        <f t="shared" si="20"/>
        <v>-1959</v>
      </c>
      <c r="M50" s="184">
        <f t="shared" si="20"/>
        <v>-1843</v>
      </c>
      <c r="N50" s="184">
        <f t="shared" si="20"/>
        <v>-3730</v>
      </c>
      <c r="O50" s="184">
        <f t="shared" si="20"/>
        <v>-6942</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345</v>
      </c>
      <c r="G53" s="6">
        <f>IF(Normalized_FCF!G4="","",Normalized_FCF!G49/BS!$C$66)</f>
        <v>0</v>
      </c>
      <c r="H53" s="170"/>
      <c r="I53" s="170"/>
      <c r="J53" s="170"/>
      <c r="K53" s="170"/>
      <c r="L53" s="170"/>
      <c r="M53" s="170"/>
      <c r="N53" s="170"/>
      <c r="O53" s="170"/>
      <c r="P53" s="170"/>
      <c r="Q53" s="170"/>
    </row>
    <row r="54" spans="1:17" ht="15.75" customHeight="1">
      <c r="A54" s="10"/>
      <c r="B54" s="8" t="s">
        <v>88</v>
      </c>
      <c r="C54" s="82">
        <f>G54</f>
        <v>7.0042959818728018E-2</v>
      </c>
      <c r="E54" s="299" t="s">
        <v>346</v>
      </c>
      <c r="G54" s="23">
        <f>IFERROR(ABS(Normalized_FCF!G47/BS!$G$31),0)</f>
        <v>7.0042959818728018E-2</v>
      </c>
      <c r="H54" s="170"/>
      <c r="I54" s="170"/>
      <c r="J54" s="170"/>
      <c r="K54" s="170"/>
      <c r="L54" s="170"/>
      <c r="M54" s="170"/>
      <c r="N54" s="170"/>
      <c r="O54" s="170"/>
      <c r="P54" s="170"/>
      <c r="Q54" s="170"/>
    </row>
    <row r="55" spans="1:17" ht="15.75" customHeight="1">
      <c r="A55" s="10"/>
      <c r="B55" s="26" t="s">
        <v>91</v>
      </c>
      <c r="C55" s="42">
        <f>-C8/C47</f>
        <v>14.561142088924715</v>
      </c>
      <c r="E55" s="302"/>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347</v>
      </c>
      <c r="G62" s="191">
        <f>Data!C58</f>
        <v>56115</v>
      </c>
      <c r="H62" s="191">
        <f>Data!D58</f>
        <v>45962</v>
      </c>
      <c r="I62" s="191">
        <f>Data!E58</f>
        <v>93607</v>
      </c>
      <c r="J62" s="191">
        <f>Data!F58</f>
        <v>47267</v>
      </c>
      <c r="K62" s="191">
        <f>Data!G58</f>
        <v>-13941</v>
      </c>
      <c r="L62" s="191">
        <f>Data!H58</f>
        <v>34492</v>
      </c>
      <c r="M62" s="191">
        <f>Data!I58</f>
        <v>41506</v>
      </c>
      <c r="N62" s="191">
        <f>Data!J58</f>
        <v>22726</v>
      </c>
      <c r="O62" s="191">
        <f>Data!K58</f>
        <v>40583</v>
      </c>
      <c r="P62" s="191" t="str">
        <f>Data!L58</f>
        <v/>
      </c>
      <c r="Q62" s="191" t="str">
        <f>Data!M58</f>
        <v/>
      </c>
    </row>
    <row r="63" spans="1:17" ht="15.75" customHeight="1">
      <c r="A63" s="10"/>
      <c r="B63" s="31" t="s">
        <v>196</v>
      </c>
      <c r="C63" s="184">
        <f>C61+C62</f>
        <v>0</v>
      </c>
      <c r="E63" s="302"/>
      <c r="G63" s="184">
        <f t="shared" ref="G63:Q63" si="23">IF(G4="","",G61+G62)</f>
        <v>56115</v>
      </c>
      <c r="H63" s="184">
        <f t="shared" si="23"/>
        <v>45962</v>
      </c>
      <c r="I63" s="184">
        <f t="shared" si="23"/>
        <v>93607</v>
      </c>
      <c r="J63" s="184">
        <f t="shared" si="23"/>
        <v>47267</v>
      </c>
      <c r="K63" s="184">
        <f t="shared" si="23"/>
        <v>-13941</v>
      </c>
      <c r="L63" s="184">
        <f t="shared" si="23"/>
        <v>34492</v>
      </c>
      <c r="M63" s="184">
        <f t="shared" si="23"/>
        <v>41506</v>
      </c>
      <c r="N63" s="184">
        <f t="shared" si="23"/>
        <v>22726</v>
      </c>
      <c r="O63" s="184">
        <f t="shared" si="23"/>
        <v>40583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0.85642249012514848</v>
      </c>
      <c r="D73" s="27"/>
      <c r="E73" s="299"/>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99"/>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99"/>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153</v>
      </c>
      <c r="C76" s="78">
        <f>ABS(C8/C$4)</f>
        <v>6.3174337814129386E-2</v>
      </c>
      <c r="D76" s="27"/>
      <c r="E76" s="299"/>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365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99"/>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165</v>
      </c>
      <c r="C81" s="78">
        <f>C13/C4</f>
        <v>5.8835781303360896E-2</v>
      </c>
      <c r="D81" s="27"/>
      <c r="E81" s="299"/>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99"/>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98">
        <f>MIN(BS!C62,MAX(G83:K83))</f>
        <v>1.819302080545065E-4</v>
      </c>
      <c r="D83" s="27"/>
      <c r="E83" s="299"/>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4.3944905769466171E-2</v>
      </c>
      <c r="D84" s="27"/>
      <c r="E84" s="299"/>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4.3944905769466171E-2</v>
      </c>
      <c r="D87" s="75"/>
      <c r="E87" s="299"/>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0.128</v>
      </c>
      <c r="E90" s="302"/>
      <c r="G90" s="113">
        <f>Data!C65</f>
        <v>0.128</v>
      </c>
      <c r="H90" s="113">
        <f>Data!D65</f>
        <v>0.153</v>
      </c>
      <c r="I90" s="113">
        <f>Data!E65</f>
        <v>0.186</v>
      </c>
      <c r="J90" s="113">
        <f>Data!F65</f>
        <v>0.14799999999999999</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62381.852672000001</v>
      </c>
      <c r="E91" s="302"/>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0.45076368583801485</v>
      </c>
      <c r="E92" s="302"/>
      <c r="G92" s="171">
        <f t="shared" ref="G92:Q92" si="38">IF(G$4="","",G90/(G19*scaling_factor/Common_Shares))</f>
        <v>0.32093887871257842</v>
      </c>
      <c r="H92" s="171">
        <f t="shared" si="38"/>
        <v>0.2988968945043492</v>
      </c>
      <c r="I92" s="171">
        <f t="shared" si="38"/>
        <v>0.33702509848420065</v>
      </c>
      <c r="J92" s="171">
        <f t="shared" si="38"/>
        <v>0.38913565256235266</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318</v>
      </c>
      <c r="C93" s="23">
        <f>C90/Market_Price</f>
        <v>3.5854341736694682E-2</v>
      </c>
      <c r="E93" s="302"/>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-0.13453873241608505</v>
      </c>
      <c r="D96" s="27"/>
      <c r="E96" s="299"/>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165</v>
      </c>
      <c r="C97" s="77">
        <f>C13/G13-1</f>
        <v>-0.45561632170449917</v>
      </c>
      <c r="D97" s="27"/>
      <c r="E97" s="299"/>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2565063</v>
      </c>
      <c r="D101" s="26"/>
      <c r="E101" s="303"/>
      <c r="F101" s="26"/>
      <c r="G101" s="183">
        <f t="shared" ref="G101:Q101" si="42">IF(G$4="","",G105+G104)</f>
        <v>2565063</v>
      </c>
      <c r="H101" s="183">
        <f t="shared" si="42"/>
        <v>2619258</v>
      </c>
      <c r="I101" s="183">
        <f t="shared" si="42"/>
        <v>2879275</v>
      </c>
      <c r="J101" s="183">
        <f t="shared" si="42"/>
        <v>2727530</v>
      </c>
      <c r="K101" s="183">
        <f t="shared" si="42"/>
        <v>2513621</v>
      </c>
      <c r="L101" s="183">
        <f t="shared" si="42"/>
        <v>2408229</v>
      </c>
      <c r="M101" s="183">
        <f t="shared" si="42"/>
        <v>2539937</v>
      </c>
      <c r="N101" s="183">
        <f t="shared" si="42"/>
        <v>2354738</v>
      </c>
      <c r="O101" s="183">
        <f t="shared" si="42"/>
        <v>2533582</v>
      </c>
      <c r="P101" s="183" t="str">
        <f t="shared" si="42"/>
        <v/>
      </c>
      <c r="Q101" s="183" t="str">
        <f t="shared" si="42"/>
        <v/>
      </c>
    </row>
    <row r="102" spans="1:17" ht="15.75" customHeight="1">
      <c r="A102" s="10"/>
      <c r="B102" s="93" t="s">
        <v>211</v>
      </c>
      <c r="C102" s="200">
        <f>BS!C4</f>
        <v>348607</v>
      </c>
      <c r="D102" s="89"/>
      <c r="E102" s="304"/>
      <c r="F102" s="89"/>
      <c r="G102" s="185">
        <f>IF(G$4="","",Data!D77)</f>
        <v>262508</v>
      </c>
      <c r="H102" s="185">
        <f>IF(H$4="","",Data!E77)</f>
        <v>179615</v>
      </c>
      <c r="I102" s="185">
        <f>IF(I$4="","",Data!F77)</f>
        <v>260527</v>
      </c>
      <c r="J102" s="185">
        <f>IF(J$4="","",Data!G77)</f>
        <v>80876</v>
      </c>
      <c r="K102" s="185">
        <f>IF(K$4="","",Data!H77)</f>
        <v>86046</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506592</v>
      </c>
      <c r="D103" s="89"/>
      <c r="E103" s="304"/>
      <c r="F103" s="89"/>
      <c r="G103" s="185">
        <f>IF(G$4="","",Data!D78)</f>
        <v>422202</v>
      </c>
      <c r="H103" s="185">
        <f>IF(H$4="","",Data!E78)</f>
        <v>483625</v>
      </c>
      <c r="I103" s="185">
        <f>IF(I$4="","",Data!F78)</f>
        <v>622768</v>
      </c>
      <c r="J103" s="185">
        <f>IF(J$4="","",Data!G78)</f>
        <v>798693</v>
      </c>
      <c r="K103" s="185">
        <f>IF(K$4="","",Data!H78)</f>
        <v>823654</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732882</v>
      </c>
      <c r="D104" s="26"/>
      <c r="E104" s="303"/>
      <c r="F104" s="26"/>
      <c r="G104" s="183">
        <f>Data!C79</f>
        <v>732882</v>
      </c>
      <c r="H104" s="183">
        <f>Data!D79</f>
        <v>723327</v>
      </c>
      <c r="I104" s="183">
        <f>Data!E79</f>
        <v>843108</v>
      </c>
      <c r="J104" s="183">
        <f>Data!F79</f>
        <v>736981</v>
      </c>
      <c r="K104" s="183">
        <f>Data!G79</f>
        <v>430335</v>
      </c>
      <c r="L104" s="183">
        <f>Data!H79</f>
        <v>194628</v>
      </c>
      <c r="M104" s="183">
        <f>Data!I79</f>
        <v>222985</v>
      </c>
      <c r="N104" s="183">
        <f>Data!J79</f>
        <v>207724</v>
      </c>
      <c r="O104" s="183">
        <f>Data!K79</f>
        <v>376010</v>
      </c>
      <c r="P104" s="183" t="str">
        <f>Data!L79</f>
        <v/>
      </c>
      <c r="Q104" s="183" t="str">
        <f>Data!M79</f>
        <v/>
      </c>
    </row>
    <row r="105" spans="1:17" ht="15.75" customHeight="1">
      <c r="A105" s="10"/>
      <c r="B105" s="26" t="s">
        <v>30</v>
      </c>
      <c r="C105" s="199">
        <f>BS!G27</f>
        <v>1832181</v>
      </c>
      <c r="D105" s="26"/>
      <c r="E105" s="303"/>
      <c r="F105" s="26"/>
      <c r="G105" s="183">
        <f>Data!C80</f>
        <v>1832181</v>
      </c>
      <c r="H105" s="183">
        <f>Data!D80</f>
        <v>1895931</v>
      </c>
      <c r="I105" s="183">
        <f>Data!E80</f>
        <v>2036167</v>
      </c>
      <c r="J105" s="183">
        <f>Data!F80</f>
        <v>1990549</v>
      </c>
      <c r="K105" s="183">
        <f>Data!G80</f>
        <v>2083286</v>
      </c>
      <c r="L105" s="183">
        <f>Data!H80</f>
        <v>2213601</v>
      </c>
      <c r="M105" s="183">
        <f>Data!I80</f>
        <v>2316952</v>
      </c>
      <c r="N105" s="183">
        <f>Data!J80</f>
        <v>2147014</v>
      </c>
      <c r="O105" s="183">
        <f>Data!K80</f>
        <v>2157572</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0.110696857904521</v>
      </c>
      <c r="D108" s="26"/>
      <c r="E108" s="303"/>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0.16086350142012953</v>
      </c>
      <c r="D109" s="26"/>
      <c r="E109" s="303"/>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403</v>
      </c>
      <c r="C113" s="170"/>
      <c r="E113" s="302"/>
      <c r="G113" s="334">
        <f>IF(G$4="","",Data!C$22/Data!C15)</f>
        <v>1.3815926737009756</v>
      </c>
      <c r="H113" s="334">
        <f>IF(H$4="","",Data!D$22/Data!D15)</f>
        <v>1.4278840297234743</v>
      </c>
      <c r="I113" s="334">
        <f>IF(I$4="","",Data!E$22/Data!E15)</f>
        <v>2.018494335713656</v>
      </c>
      <c r="J113" s="334">
        <f>IF(J$4="","",Data!F$22/Data!F15)</f>
        <v>2.7662579957356077</v>
      </c>
      <c r="K113" s="334">
        <f>IF(K$4="","",Data!G$22/Data!G15)</f>
        <v>3.0919089083736089</v>
      </c>
      <c r="L113" s="334">
        <f>IF(L$4="","",Data!H$22/Data!H15)</f>
        <v>1.9543752128021792</v>
      </c>
      <c r="M113" s="334">
        <f>IF(M$4="","",Data!I$22/Data!I15)</f>
        <v>3.6274434870389731</v>
      </c>
      <c r="N113" s="334">
        <f>IF(N$4="","",Data!J$22/Data!J15)</f>
        <v>16.560663477666647</v>
      </c>
      <c r="O113" s="334">
        <f>IF(O$4="","",Data!K$22/Data!K15)</f>
        <v>-12.951392854876579</v>
      </c>
      <c r="P113" s="334" t="str">
        <f>IF(P$4="","",Data!L$22/Data!L15)</f>
        <v/>
      </c>
      <c r="Q113" s="334" t="str">
        <f>IF(Q$4="","",Data!M$22/Data!M15)</f>
        <v/>
      </c>
    </row>
    <row r="114" spans="1:17" ht="15.75" customHeight="1">
      <c r="A114" s="10"/>
      <c r="B114" s="2" t="s">
        <v>404</v>
      </c>
      <c r="C114" s="170"/>
      <c r="E114" s="302"/>
      <c r="G114" s="334">
        <f>IF(G$4="","",Data!C$22/G19)</f>
        <v>1.7851604903973288</v>
      </c>
      <c r="H114" s="334">
        <f>IF(H$4="","",Data!D$22/H19)</f>
        <v>1.6914819417164388</v>
      </c>
      <c r="I114" s="334">
        <f>IF(I$4="","",Data!E$22/I19)</f>
        <v>2.7239958805355302</v>
      </c>
      <c r="J114" s="334">
        <f>IF(J$4="","",Data!F$22/J19)</f>
        <v>3.4716681862567911</v>
      </c>
      <c r="K114" s="334">
        <f>IF(K$4="","",Data!G$22/K19)</f>
        <v>2.7106236178681997</v>
      </c>
      <c r="L114" s="334">
        <f>IF(L$4="","",Data!H$22/L19)</f>
        <v>2.6053869257438653</v>
      </c>
      <c r="M114" s="334">
        <f>IF(M$4="","",Data!I$22/M19)</f>
        <v>5.1767562950843287</v>
      </c>
      <c r="N114" s="334">
        <f>IF(N$4="","",Data!J$22/N19)</f>
        <v>-40.213757731181175</v>
      </c>
      <c r="O114" s="334">
        <f>IF(O$4="","",Data!K$22/O19)</f>
        <v>-3.6225373611160414</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5.8835781303360896E-2</v>
      </c>
      <c r="E117" s="302"/>
      <c r="G117" s="23">
        <f t="shared" ref="G117:Q117" si="45">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84</v>
      </c>
      <c r="C118" s="42">
        <f>C4/C101</f>
        <v>1.2277297326073906</v>
      </c>
      <c r="E118" s="302"/>
      <c r="G118" s="42">
        <f t="shared" ref="G118:Q118" si="46">IF(G4="","",G4/G101)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92</v>
      </c>
      <c r="C119" s="15">
        <f>C101/C105</f>
        <v>1.4000052396569989</v>
      </c>
      <c r="D119" s="11"/>
      <c r="E119" s="306"/>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223</v>
      </c>
      <c r="C120" s="102">
        <f>C8/C105</f>
        <v>0.10858582441416999</v>
      </c>
      <c r="D120" s="103"/>
      <c r="E120" s="305"/>
      <c r="F120" s="103"/>
      <c r="G120" s="102">
        <f t="shared" ref="G120:Q120" si="48">IF(G$4="","",G8/G105)</f>
        <v>0.19322435938370719</v>
      </c>
      <c r="H120" s="102">
        <f t="shared" si="48"/>
        <v>0.21557113629135238</v>
      </c>
      <c r="I120" s="102">
        <f t="shared" si="48"/>
        <v>0.21209606088302188</v>
      </c>
      <c r="J120" s="102">
        <f t="shared" si="48"/>
        <v>0.16009251718998124</v>
      </c>
      <c r="K120" s="102">
        <f t="shared" si="48"/>
        <v>7.4682016775421134E-2</v>
      </c>
      <c r="L120" s="102">
        <f t="shared" si="48"/>
        <v>5.7572254439711583E-2</v>
      </c>
      <c r="M120" s="102">
        <f t="shared" si="48"/>
        <v>5.3962274574527222E-2</v>
      </c>
      <c r="N120" s="102">
        <f t="shared" si="48"/>
        <v>3.0055695957269027E-3</v>
      </c>
      <c r="O120" s="102">
        <f t="shared" si="48"/>
        <v>-2.1486189105160799E-2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0.28396253740368455</v>
      </c>
      <c r="D124" s="27"/>
      <c r="E124" s="299"/>
      <c r="F124" s="27"/>
      <c r="G124" s="178">
        <f t="shared" ref="G124:Q124" si="49">IF(G$4="","",G16*$C$3/Common_Shares*Exchange_Rate)</f>
        <v>0.39882983486906337</v>
      </c>
      <c r="H124" s="178">
        <f t="shared" si="49"/>
        <v>0.51188220022732189</v>
      </c>
      <c r="I124" s="178">
        <f t="shared" si="49"/>
        <v>0.55188768087762896</v>
      </c>
      <c r="J124" s="178">
        <f t="shared" si="49"/>
        <v>0.38033009575313947</v>
      </c>
      <c r="K124" s="178">
        <f t="shared" si="49"/>
        <v>0.23196489652342461</v>
      </c>
      <c r="L124" s="178">
        <f t="shared" si="49"/>
        <v>0.21246589243972622</v>
      </c>
      <c r="M124" s="178">
        <f t="shared" si="49"/>
        <v>0.19939952834365221</v>
      </c>
      <c r="N124" s="178">
        <f t="shared" si="49"/>
        <v>-1.3601904458680069E-2</v>
      </c>
      <c r="O124" s="178">
        <f t="shared" si="49"/>
        <v>-0.1156069544442529</v>
      </c>
      <c r="P124" s="178" t="str">
        <f t="shared" si="49"/>
        <v/>
      </c>
      <c r="Q124" s="178" t="str">
        <f t="shared" si="49"/>
        <v/>
      </c>
    </row>
    <row r="125" spans="1:17" ht="15.75" customHeight="1">
      <c r="A125" s="10"/>
      <c r="B125" s="27" t="s">
        <v>270</v>
      </c>
      <c r="C125" s="77">
        <f>C19*Exchange_Rate*$C$3/(Market_Price*Common_Shares)</f>
        <v>7.9541327003833207E-2</v>
      </c>
      <c r="D125" s="27"/>
      <c r="E125" s="299"/>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406</v>
      </c>
      <c r="C126" s="170"/>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138391.47791159325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1729893.4738949155</v>
      </c>
      <c r="D6" t="str">
        <f>Reporting_currency</f>
        <v>HKD</v>
      </c>
      <c r="E6" s="348" t="s">
        <v>250</v>
      </c>
      <c r="F6" s="348"/>
      <c r="H6" s="121"/>
    </row>
    <row r="7" spans="2:8">
      <c r="B7" s="149" t="s">
        <v>225</v>
      </c>
      <c r="C7" s="226">
        <f>BS!G31</f>
        <v>195066</v>
      </c>
      <c r="D7" t="str">
        <f>Reporting_currency</f>
        <v>HKD</v>
      </c>
      <c r="E7" s="348"/>
      <c r="F7" s="348"/>
      <c r="H7" s="121"/>
    </row>
    <row r="8" spans="2:8">
      <c r="B8" s="149" t="s">
        <v>226</v>
      </c>
      <c r="C8" s="201">
        <f>BS!D66</f>
        <v>587281.82009631116</v>
      </c>
      <c r="D8" t="str">
        <f>Reporting_currency</f>
        <v>HKD</v>
      </c>
      <c r="E8" s="348"/>
      <c r="F8" s="348"/>
      <c r="H8" s="121"/>
    </row>
    <row r="9" spans="2:8">
      <c r="B9" s="227" t="s">
        <v>191</v>
      </c>
      <c r="C9" s="229">
        <f>BS!H42</f>
        <v>18907.900000000001</v>
      </c>
      <c r="D9" t="str">
        <f>Reporting_currency</f>
        <v>HKD</v>
      </c>
      <c r="E9" s="348"/>
      <c r="F9" s="348"/>
      <c r="H9" s="121"/>
    </row>
    <row r="10" spans="2:8" ht="13.15">
      <c r="B10" s="150" t="s">
        <v>228</v>
      </c>
      <c r="C10" s="232">
        <f>C6-C7+C8+C9</f>
        <v>2141017.1939912266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4.3931077563825554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4.9627512619545433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144837.043127613</v>
      </c>
      <c r="D21" s="139">
        <f>IF($C$17&lt;B21,0,Valuation_Model!$C$16)</f>
        <v>4.6574870890079501E-2</v>
      </c>
      <c r="E21" s="125">
        <f t="shared" ref="E21:E50" si="0">IF($C$17&lt;B21,0,1/(1+Equity_Cost)^B21)</f>
        <v>0.92592592592592582</v>
      </c>
      <c r="F21" s="126">
        <f t="shared" ref="F21:F51" si="1">C21*E21</f>
        <v>134108.37326630831</v>
      </c>
      <c r="H21" s="121"/>
    </row>
    <row r="22" spans="2:8">
      <c r="B22" s="123">
        <v>2</v>
      </c>
      <c r="C22" s="124">
        <f t="shared" ref="C22:C50" si="2">IF(ROW()-ROW($C$21)&lt;$C$17, $C$21*(1+D22)^(ROW()-ROW($C$21)), 0)</f>
        <v>151582.80971138246</v>
      </c>
      <c r="D22" s="139">
        <f>IF($C$17&lt;B22,0,Valuation_Model!$C$16)</f>
        <v>4.6574870890079501E-2</v>
      </c>
      <c r="E22" s="125">
        <f t="shared" si="0"/>
        <v>0.85733882030178321</v>
      </c>
      <c r="F22" s="126">
        <f t="shared" si="1"/>
        <v>129957.82725598633</v>
      </c>
      <c r="H22" s="121"/>
    </row>
    <row r="23" spans="2:8">
      <c r="B23" s="123">
        <v>3</v>
      </c>
      <c r="C23" s="124">
        <f t="shared" si="2"/>
        <v>158642.75950284558</v>
      </c>
      <c r="D23" s="139">
        <f>IF($C$17&lt;B23,0,Valuation_Model!$C$16)</f>
        <v>4.6574870890079501E-2</v>
      </c>
      <c r="E23" s="125">
        <f t="shared" si="0"/>
        <v>0.79383224102016958</v>
      </c>
      <c r="F23" s="126">
        <f t="shared" si="1"/>
        <v>125935.73729776772</v>
      </c>
      <c r="H23" s="121"/>
    </row>
    <row r="24" spans="2:8">
      <c r="B24" s="123">
        <v>4</v>
      </c>
      <c r="C24" s="124">
        <f t="shared" si="2"/>
        <v>166031.52554433656</v>
      </c>
      <c r="D24" s="139">
        <f>IF($C$17&lt;B24,0,Valuation_Model!$C$16)</f>
        <v>4.6574870890079501E-2</v>
      </c>
      <c r="E24" s="125">
        <f t="shared" si="0"/>
        <v>0.73502985279645328</v>
      </c>
      <c r="F24" s="126">
        <f t="shared" si="1"/>
        <v>122038.12778042427</v>
      </c>
      <c r="H24" s="121"/>
    </row>
    <row r="25" spans="2:8">
      <c r="B25" s="123">
        <v>5</v>
      </c>
      <c r="C25" s="124">
        <f t="shared" si="2"/>
        <v>173764.422410247</v>
      </c>
      <c r="D25" s="139">
        <f>IF($C$17&lt;B25,0,Valuation_Model!$C$16)</f>
        <v>4.6574870890079501E-2</v>
      </c>
      <c r="E25" s="125">
        <f t="shared" si="0"/>
        <v>0.68058319703375303</v>
      </c>
      <c r="F25" s="126">
        <f t="shared" si="1"/>
        <v>118261.14613468942</v>
      </c>
      <c r="H25" s="121"/>
    </row>
    <row r="26" spans="2:8">
      <c r="B26" s="123">
        <v>6</v>
      </c>
      <c r="C26" s="124">
        <f t="shared" si="2"/>
        <v>181857.47794929348</v>
      </c>
      <c r="D26" s="139">
        <f>IF($C$17&lt;B26,0,Valuation_Model!$C$16)</f>
        <v>4.6574870890079501E-2</v>
      </c>
      <c r="E26" s="125">
        <f t="shared" si="0"/>
        <v>0.63016962688310452</v>
      </c>
      <c r="F26" s="126">
        <f t="shared" si="1"/>
        <v>114601.05902520868</v>
      </c>
      <c r="H26" s="121"/>
    </row>
    <row r="27" spans="2:8">
      <c r="B27" s="123">
        <v>7</v>
      </c>
      <c r="C27" s="124">
        <f t="shared" si="2"/>
        <v>190327.46650517735</v>
      </c>
      <c r="D27" s="139">
        <f>IF($C$17&lt;B27,0,Valuation_Model!$C$16)</f>
        <v>4.6574870890079501E-2</v>
      </c>
      <c r="E27" s="125">
        <f t="shared" si="0"/>
        <v>0.58349039526213387</v>
      </c>
      <c r="F27" s="126">
        <f t="shared" si="1"/>
        <v>111054.24866034648</v>
      </c>
      <c r="H27" s="121"/>
    </row>
    <row r="28" spans="2:8">
      <c r="B28" s="123">
        <v>8</v>
      </c>
      <c r="C28" s="124">
        <f t="shared" si="2"/>
        <v>199191.94368449191</v>
      </c>
      <c r="D28" s="139">
        <f>IF($C$17&lt;B28,0,Valuation_Model!$C$16)</f>
        <v>4.6574870890079501E-2</v>
      </c>
      <c r="E28" s="125">
        <f t="shared" si="0"/>
        <v>0.54026888450197574</v>
      </c>
      <c r="F28" s="126">
        <f t="shared" si="1"/>
        <v>107617.20921620082</v>
      </c>
      <c r="H28" s="121"/>
    </row>
    <row r="29" spans="2:8">
      <c r="B29" s="123">
        <v>9</v>
      </c>
      <c r="C29" s="124">
        <f t="shared" si="2"/>
        <v>208469.28274394112</v>
      </c>
      <c r="D29" s="139">
        <f>IF($C$17&lt;B29,0,Valuation_Model!$C$16)</f>
        <v>4.6574870890079501E-2</v>
      </c>
      <c r="E29" s="125">
        <f t="shared" si="0"/>
        <v>0.50024896713145905</v>
      </c>
      <c r="F29" s="126">
        <f t="shared" si="1"/>
        <v>104286.54337129265</v>
      </c>
      <c r="H29" s="121"/>
    </row>
    <row r="30" spans="2:8">
      <c r="B30" s="123">
        <v>10</v>
      </c>
      <c r="C30" s="124">
        <f t="shared" si="2"/>
        <v>218178.71267228766</v>
      </c>
      <c r="D30" s="139">
        <f>IF($C$17&lt;B30,0,Valuation_Model!$C$16)</f>
        <v>4.6574870890079501E-2</v>
      </c>
      <c r="E30" s="125">
        <f t="shared" si="0"/>
        <v>0.46319348808468425</v>
      </c>
      <c r="F30" s="126">
        <f t="shared" si="1"/>
        <v>101058.95894850302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1810463.0390951624</v>
      </c>
      <c r="D51" s="140">
        <f>Terminal_Growth</f>
        <v>0</v>
      </c>
      <c r="E51" s="125">
        <f>1/(1+Equity_Cost)^C17</f>
        <v>0.46319348808468425</v>
      </c>
      <c r="F51" s="126">
        <f t="shared" si="1"/>
        <v>838594.69012688636</v>
      </c>
      <c r="H51" s="121"/>
    </row>
    <row r="52" spans="1:8">
      <c r="C52" s="115"/>
      <c r="E52" s="128" t="s">
        <v>101</v>
      </c>
      <c r="F52" s="138">
        <f>SUM(F21:F51)</f>
        <v>2007513.9210836142</v>
      </c>
      <c r="H52" s="121"/>
    </row>
    <row r="53" spans="1:8">
      <c r="C53" s="115"/>
      <c r="H53" s="121"/>
    </row>
    <row r="54" spans="1:8" ht="13.15">
      <c r="B54" s="120" t="s">
        <v>130</v>
      </c>
      <c r="C54" s="137"/>
      <c r="D54" s="137"/>
      <c r="E54" s="118"/>
      <c r="F54" s="118"/>
      <c r="H54" s="121"/>
    </row>
    <row r="55" spans="1:8" ht="13.15">
      <c r="A55" s="134">
        <f>F52</f>
        <v>2007513.9210836142</v>
      </c>
      <c r="B55" s="132">
        <f>C78</f>
        <v>0</v>
      </c>
      <c r="C55" s="132">
        <f>C77</f>
        <v>0.02</v>
      </c>
      <c r="D55" s="132">
        <f>C76</f>
        <v>0.04</v>
      </c>
      <c r="E55" s="132">
        <f>C75</f>
        <v>0.06</v>
      </c>
      <c r="F55" s="132">
        <f>C74</f>
        <v>0.1</v>
      </c>
      <c r="H55" s="121"/>
    </row>
    <row r="56" spans="1:8" ht="13.15">
      <c r="A56" s="144">
        <v>5</v>
      </c>
      <c r="B56" s="124">
        <f t="dataTable" ref="B56:F61" dt2D="1" dtr="1" r1="C16" r2="C17"/>
        <v>1729893.4738949153</v>
      </c>
      <c r="C56" s="124">
        <v>1785708.8928911716</v>
      </c>
      <c r="D56" s="124">
        <v>1843195.959329494</v>
      </c>
      <c r="E56" s="124">
        <v>1902428.0304998513</v>
      </c>
      <c r="F56" s="124">
        <v>2026432.0090457182</v>
      </c>
      <c r="H56" s="121"/>
    </row>
    <row r="57" spans="1:8" ht="13.15">
      <c r="A57" s="144">
        <v>10</v>
      </c>
      <c r="B57" s="124">
        <v>1729893.4738949151</v>
      </c>
      <c r="C57" s="124">
        <v>1841575.7090680972</v>
      </c>
      <c r="D57" s="124">
        <v>1964451.5281177529</v>
      </c>
      <c r="E57" s="124">
        <v>2099860.5577511135</v>
      </c>
      <c r="F57" s="124">
        <v>2414400.4768588506</v>
      </c>
      <c r="H57" s="121"/>
    </row>
    <row r="58" spans="1:8" ht="13.15">
      <c r="A58" s="144">
        <v>15</v>
      </c>
      <c r="B58" s="124">
        <v>1729893.4738949146</v>
      </c>
      <c r="C58" s="124">
        <v>1910726.3845036193</v>
      </c>
      <c r="D58" s="124">
        <v>2122523.5390752279</v>
      </c>
      <c r="E58" s="124">
        <v>2371436.6161577431</v>
      </c>
      <c r="F58" s="124">
        <v>3011527.175947086</v>
      </c>
      <c r="H58" s="121"/>
    </row>
    <row r="59" spans="1:8" ht="13.15">
      <c r="A59" s="145">
        <v>20</v>
      </c>
      <c r="B59" s="124">
        <v>1729893.4738949148</v>
      </c>
      <c r="C59" s="124">
        <v>1981179.833248463</v>
      </c>
      <c r="D59" s="124">
        <v>2292660.563024424</v>
      </c>
      <c r="E59" s="124">
        <v>2681231.080611133</v>
      </c>
      <c r="F59" s="124">
        <v>3783007.973053663</v>
      </c>
      <c r="H59" s="121"/>
    </row>
    <row r="60" spans="1:8" ht="13.15">
      <c r="A60" s="145">
        <v>25</v>
      </c>
      <c r="B60" s="124">
        <v>1729893.4738949146</v>
      </c>
      <c r="C60" s="124">
        <v>2046705.4500437151</v>
      </c>
      <c r="D60" s="124">
        <v>2460251.3195536938</v>
      </c>
      <c r="E60" s="124">
        <v>3005886.2600892317</v>
      </c>
      <c r="F60" s="124">
        <v>4708230.947662564</v>
      </c>
      <c r="H60" s="121"/>
    </row>
    <row r="61" spans="1:8" ht="13.15">
      <c r="A61" s="145">
        <v>30</v>
      </c>
      <c r="B61" s="124">
        <v>1729893.4738949146</v>
      </c>
      <c r="C61" s="124">
        <v>2104508.1592063867</v>
      </c>
      <c r="D61" s="124">
        <v>2617201.548270294</v>
      </c>
      <c r="E61" s="124">
        <v>3330500.1822488499</v>
      </c>
      <c r="F61" s="124">
        <v>5776538.6434068419</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4.3931077563825554</v>
      </c>
      <c r="C65" s="125">
        <f>C12</f>
        <v>4.3931077563825554</v>
      </c>
      <c r="D65" s="125">
        <f>C12</f>
        <v>4.3931077563825554</v>
      </c>
      <c r="E65" s="142">
        <f>C12</f>
        <v>4.3931077563825554</v>
      </c>
      <c r="F65" s="125">
        <f>C12</f>
        <v>4.3931077563825554</v>
      </c>
      <c r="H65" s="121"/>
    </row>
    <row r="66" spans="1:8" ht="13.15">
      <c r="A66" s="144">
        <f t="shared" ref="A66:A71" si="3">A56</f>
        <v>5</v>
      </c>
      <c r="B66" s="125">
        <f t="shared" ref="B66:F71" si="4">(B56-$C$7+$C$8+$C$9)/Common_Shares*$C$3*Exchange_Rate</f>
        <v>4.3931077563825554</v>
      </c>
      <c r="C66" s="125">
        <f t="shared" si="4"/>
        <v>4.5076342304372039</v>
      </c>
      <c r="D66" s="125">
        <f t="shared" si="4"/>
        <v>4.6255907224124426</v>
      </c>
      <c r="E66" s="125">
        <f t="shared" si="4"/>
        <v>4.7471277525752029</v>
      </c>
      <c r="F66" s="125">
        <f t="shared" si="4"/>
        <v>5.0015688852765301</v>
      </c>
      <c r="H66" s="121"/>
    </row>
    <row r="67" spans="1:8" ht="13.15">
      <c r="A67" s="144">
        <f t="shared" si="3"/>
        <v>10</v>
      </c>
      <c r="B67" s="125">
        <f t="shared" si="4"/>
        <v>4.3931077563825545</v>
      </c>
      <c r="C67" s="125">
        <f t="shared" si="4"/>
        <v>4.6222661652764234</v>
      </c>
      <c r="D67" s="125">
        <f t="shared" si="4"/>
        <v>4.874392451442584</v>
      </c>
      <c r="E67" s="125">
        <f t="shared" si="4"/>
        <v>5.1522353664999905</v>
      </c>
      <c r="F67" s="125">
        <f t="shared" si="4"/>
        <v>5.7976331532165988</v>
      </c>
      <c r="H67" s="121"/>
    </row>
    <row r="68" spans="1:8" ht="13.15">
      <c r="A68" s="144">
        <f t="shared" si="3"/>
        <v>15</v>
      </c>
      <c r="B68" s="125">
        <f t="shared" si="4"/>
        <v>4.3931077563825536</v>
      </c>
      <c r="C68" s="125">
        <f t="shared" si="4"/>
        <v>4.7641549690970848</v>
      </c>
      <c r="D68" s="125">
        <f t="shared" si="4"/>
        <v>5.1987370570595708</v>
      </c>
      <c r="E68" s="125">
        <f t="shared" si="4"/>
        <v>5.7094765189682208</v>
      </c>
      <c r="F68" s="125">
        <f t="shared" si="4"/>
        <v>7.0228647583946318</v>
      </c>
      <c r="H68" s="121"/>
    </row>
    <row r="69" spans="1:8" ht="13.15">
      <c r="A69" s="145">
        <f t="shared" si="3"/>
        <v>20</v>
      </c>
      <c r="B69" s="125">
        <f t="shared" si="4"/>
        <v>4.3931077563825536</v>
      </c>
      <c r="C69" s="125">
        <f t="shared" si="4"/>
        <v>4.9087169058314153</v>
      </c>
      <c r="D69" s="125">
        <f t="shared" si="4"/>
        <v>5.5478376068621236</v>
      </c>
      <c r="E69" s="125">
        <f t="shared" si="4"/>
        <v>6.3451372079594659</v>
      </c>
      <c r="F69" s="125">
        <f t="shared" si="4"/>
        <v>8.6058498381879662</v>
      </c>
      <c r="H69" s="121"/>
    </row>
    <row r="70" spans="1:8" ht="13.15">
      <c r="A70" s="145">
        <f t="shared" si="3"/>
        <v>25</v>
      </c>
      <c r="B70" s="125">
        <f t="shared" si="4"/>
        <v>4.3931077563825536</v>
      </c>
      <c r="C70" s="125">
        <f t="shared" si="4"/>
        <v>5.0431675287376008</v>
      </c>
      <c r="D70" s="125">
        <f t="shared" si="4"/>
        <v>5.8917135245675158</v>
      </c>
      <c r="E70" s="125">
        <f t="shared" si="4"/>
        <v>7.0112902828239596</v>
      </c>
      <c r="F70" s="125">
        <f t="shared" si="4"/>
        <v>10.504295230193707</v>
      </c>
    </row>
    <row r="71" spans="1:8" ht="13.15">
      <c r="A71" s="145">
        <f t="shared" si="3"/>
        <v>30</v>
      </c>
      <c r="B71" s="125">
        <f t="shared" si="4"/>
        <v>4.3931077563825536</v>
      </c>
      <c r="C71" s="125">
        <f t="shared" si="4"/>
        <v>5.1617716813222341</v>
      </c>
      <c r="D71" s="125">
        <f t="shared" si="4"/>
        <v>6.2137563690042601</v>
      </c>
      <c r="E71" s="125">
        <f t="shared" si="4"/>
        <v>7.6773587026719818</v>
      </c>
      <c r="F71" s="125">
        <f t="shared" si="4"/>
        <v>12.696333125801839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7.0228647583946318</v>
      </c>
      <c r="F74" s="143">
        <f>Scenarios!C58</f>
        <v>0.05</v>
      </c>
    </row>
    <row r="75" spans="1:8">
      <c r="B75" s="128" t="str">
        <f>Scenarios!B36</f>
        <v>Optimistic</v>
      </c>
      <c r="C75" s="143">
        <f>Scenarios!C38</f>
        <v>0.06</v>
      </c>
      <c r="D75" s="146">
        <f>Scenarios!C37</f>
        <v>10</v>
      </c>
      <c r="E75" s="136">
        <f>INDEX(B$65:F$71, MATCH(D75, A$65:A$71, 0), MATCH(C75, B$64:F$64, 0))</f>
        <v>5.1522353664999905</v>
      </c>
      <c r="F75" s="143">
        <f>Scenarios!C40*(1-F$74-F$78)</f>
        <v>0.18</v>
      </c>
      <c r="H75" s="121"/>
    </row>
    <row r="76" spans="1:8">
      <c r="B76" s="128" t="str">
        <f>Scenarios!B24</f>
        <v>Base</v>
      </c>
      <c r="C76" s="143">
        <f>Scenarios!C26</f>
        <v>0.04</v>
      </c>
      <c r="D76" s="146">
        <f>Scenarios!C25</f>
        <v>10</v>
      </c>
      <c r="E76" s="136">
        <f>INDEX(B$65:F$71, MATCH(D76, A$65:A$71, 0), MATCH(C76, B$64:F$64, 0))</f>
        <v>4.874392451442584</v>
      </c>
      <c r="F76" s="143">
        <f>Scenarios!C28*(1-F$74-F$78)</f>
        <v>0.53999999999999992</v>
      </c>
      <c r="H76" s="121"/>
    </row>
    <row r="77" spans="1:8">
      <c r="B77" s="128" t="str">
        <f>Scenarios!B30</f>
        <v>Pessimistic</v>
      </c>
      <c r="C77" s="143">
        <f>Scenarios!C32</f>
        <v>0.02</v>
      </c>
      <c r="D77" s="146">
        <f>Scenarios!C31</f>
        <v>10</v>
      </c>
      <c r="E77" s="136">
        <f>INDEX(B$65:F$71, MATCH(D77, A$65:A$71, 0), MATCH(C77, B$64:F$64, 0))</f>
        <v>4.6222661652764234</v>
      </c>
      <c r="F77" s="143">
        <f>Scenarios!C34*(1-F$74-F$78)</f>
        <v>0.18</v>
      </c>
      <c r="H77" s="121"/>
    </row>
    <row r="78" spans="1:8">
      <c r="B78" s="128" t="str">
        <f>Scenarios!B48</f>
        <v>Devil's advocate</v>
      </c>
      <c r="C78" s="143">
        <f>Scenarios!C50</f>
        <v>0</v>
      </c>
      <c r="D78" s="146">
        <f>Scenarios!C49</f>
        <v>15</v>
      </c>
      <c r="E78" s="136">
        <f>INDEX(B$65:F$71, MATCH(D78, A$65:A$71, 0), MATCH(C78, B$64:F$64, 0))</f>
        <v>4.3931077563825536</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3"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-3.57</v>
      </c>
    </row>
    <row r="4" spans="2:9">
      <c r="B4" s="153" t="s">
        <v>147</v>
      </c>
      <c r="C4" s="121">
        <v>3</v>
      </c>
      <c r="D4" s="121"/>
      <c r="E4" s="156" t="s">
        <v>151</v>
      </c>
      <c r="F4" s="156"/>
      <c r="H4" s="276">
        <v>1</v>
      </c>
      <c r="I4" s="264">
        <f t="shared" ref="I4:I13" si="0">IF(ROW()-3 &lt; $C$76, $C$77, IF(ROW()-3 = $C$76, $C$77 + $C$60, ""))</f>
        <v>0.128</v>
      </c>
    </row>
    <row r="5" spans="2:9">
      <c r="H5" s="276">
        <v>2</v>
      </c>
      <c r="I5" s="264">
        <f t="shared" si="0"/>
        <v>0.128</v>
      </c>
    </row>
    <row r="6" spans="2:9" ht="13.15">
      <c r="B6" s="160" t="s">
        <v>96</v>
      </c>
      <c r="C6" s="107">
        <f>Valuation_Model!C3</f>
        <v>1000</v>
      </c>
      <c r="E6" s="100" t="s">
        <v>282</v>
      </c>
      <c r="F6" s="100"/>
      <c r="H6" s="276">
        <v>3</v>
      </c>
      <c r="I6" s="264">
        <f t="shared" si="0"/>
        <v>5.0903808252376095</v>
      </c>
    </row>
    <row r="7" spans="2:9" ht="12.75" customHeight="1">
      <c r="B7" s="100" t="s">
        <v>276</v>
      </c>
      <c r="C7" s="115">
        <f>Normalized_FCF!G8</f>
        <v>354022</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50"/>
      <c r="H7" s="276">
        <v>4</v>
      </c>
      <c r="I7" s="264" t="str">
        <f t="shared" si="0"/>
        <v/>
      </c>
    </row>
    <row r="8" spans="2:9">
      <c r="B8" s="100" t="s">
        <v>66</v>
      </c>
      <c r="C8" s="115">
        <f>Normalized_FCF!G19</f>
        <v>194373</v>
      </c>
      <c r="D8" t="str">
        <f>Reporting_currency</f>
        <v>HKD</v>
      </c>
      <c r="E8" s="350"/>
      <c r="F8" s="350"/>
      <c r="H8" s="276">
        <v>5</v>
      </c>
      <c r="I8" s="264" t="str">
        <f t="shared" si="0"/>
        <v/>
      </c>
    </row>
    <row r="9" spans="2:9">
      <c r="B9" s="100" t="s">
        <v>57</v>
      </c>
      <c r="C9" s="201">
        <f>Normalized_FCF!C19</f>
        <v>138391.47791159325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1.2656410607081225E-2</v>
      </c>
      <c r="D12" s="159"/>
      <c r="E12" s="350"/>
      <c r="F12" s="350"/>
      <c r="H12" s="276">
        <v>9</v>
      </c>
      <c r="I12" s="264" t="str">
        <f t="shared" si="0"/>
        <v/>
      </c>
    </row>
    <row r="13" spans="2:9">
      <c r="B13" s="149" t="s">
        <v>153</v>
      </c>
      <c r="C13" s="159">
        <f ca="1">(Normalized_FCF!G8/OFFSET(Normalized_FCF!G8, 0, $C$4))^(1/$C$4) - 1</f>
        <v>3.5687612277801151E-2</v>
      </c>
      <c r="E13" s="350"/>
      <c r="F13" s="350"/>
      <c r="H13" s="276">
        <v>10</v>
      </c>
      <c r="I13" s="264" t="str">
        <f t="shared" si="0"/>
        <v/>
      </c>
    </row>
    <row r="14" spans="2:9">
      <c r="B14" s="100" t="s">
        <v>66</v>
      </c>
      <c r="C14" s="159">
        <f ca="1">(Normalized_FCF!G19/OFFSET(Normalized_FCF!G19, 0, $C$4))^(1/$C$4) - 1</f>
        <v>1.5957752466103425E-2</v>
      </c>
      <c r="E14" s="350"/>
      <c r="F14" s="350"/>
    </row>
    <row r="16" spans="2:9" ht="13.9">
      <c r="B16" s="36" t="s">
        <v>163</v>
      </c>
      <c r="C16" s="37"/>
      <c r="D16" s="37"/>
      <c r="E16" s="37"/>
      <c r="F16" s="37"/>
    </row>
    <row r="17" spans="2:6" ht="13.15">
      <c r="B17" s="109" t="s">
        <v>152</v>
      </c>
      <c r="E17" s="160" t="s">
        <v>339</v>
      </c>
    </row>
    <row r="18" spans="2:6">
      <c r="B18" s="153" t="s">
        <v>134</v>
      </c>
      <c r="C18" s="151">
        <v>10</v>
      </c>
      <c r="E18" s="350" t="s">
        <v>340</v>
      </c>
      <c r="F18" s="351"/>
    </row>
    <row r="19" spans="2:6">
      <c r="E19" s="351"/>
      <c r="F19" s="351"/>
    </row>
    <row r="20" spans="2:6" ht="13.15">
      <c r="B20" s="160" t="s">
        <v>311</v>
      </c>
      <c r="E20" s="351"/>
      <c r="F20" s="351"/>
    </row>
    <row r="21" spans="2:6">
      <c r="B21" s="100" t="s">
        <v>280</v>
      </c>
      <c r="C21" s="161">
        <f>Market_Price</f>
        <v>3.57</v>
      </c>
      <c r="D21" t="str">
        <f>Market_currency</f>
        <v>HKD</v>
      </c>
      <c r="E21" s="351"/>
      <c r="F21" s="351"/>
    </row>
    <row r="22" spans="2:6">
      <c r="B22" s="100" t="s">
        <v>281</v>
      </c>
      <c r="C22" s="161">
        <f>Valuation_Model!C12</f>
        <v>4.3931077563825554</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0.04</v>
      </c>
      <c r="D26" s="165"/>
      <c r="E26" s="349"/>
      <c r="F26" s="349"/>
    </row>
    <row r="27" spans="2:6">
      <c r="B27" s="100" t="s">
        <v>114</v>
      </c>
      <c r="C27" s="161">
        <f>Valuation_Model!E76</f>
        <v>4.874392451442584</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4.6222661652764234</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0.06</v>
      </c>
      <c r="D38" s="165"/>
      <c r="E38" s="349"/>
      <c r="F38" s="349"/>
    </row>
    <row r="39" spans="2:6">
      <c r="B39" s="100" t="s">
        <v>114</v>
      </c>
      <c r="C39" s="161">
        <f>Valuation_Model!E75</f>
        <v>5.1522353664999905</v>
      </c>
      <c r="D39" t="str">
        <f>Market_currency</f>
        <v>HKD</v>
      </c>
      <c r="E39" s="349"/>
      <c r="F39" s="349"/>
    </row>
    <row r="40" spans="2:6">
      <c r="B40" s="100" t="s">
        <v>148</v>
      </c>
      <c r="C40" s="168">
        <f>1-C28-C34</f>
        <v>0.2</v>
      </c>
      <c r="D40" s="166"/>
      <c r="E40" s="349"/>
      <c r="F40" s="349"/>
    </row>
    <row r="42" spans="2:6" ht="13.15">
      <c r="B42" s="100" t="s">
        <v>121</v>
      </c>
      <c r="C42" s="155">
        <f>C27*C28+C33*C34+C39*C40</f>
        <v>4.8795357772208332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4.3931077563825536</v>
      </c>
      <c r="D51" t="str">
        <f>Market_currency</f>
        <v>HKD</v>
      </c>
      <c r="E51" s="349"/>
      <c r="F51" s="349"/>
    </row>
    <row r="52" spans="2:6">
      <c r="B52" s="100" t="s">
        <v>148</v>
      </c>
      <c r="C52" s="166">
        <v>0.05</v>
      </c>
      <c r="D52" s="166"/>
      <c r="E52" s="349"/>
      <c r="F52" s="349"/>
    </row>
    <row r="54" spans="2:6" ht="13.15">
      <c r="B54" s="160" t="s">
        <v>325</v>
      </c>
      <c r="E54" s="160" t="s">
        <v>150</v>
      </c>
      <c r="F54" s="160"/>
    </row>
    <row r="55" spans="2:6">
      <c r="B55" s="153" t="s">
        <v>134</v>
      </c>
      <c r="C55" s="167">
        <f>C46</f>
        <v>15</v>
      </c>
      <c r="D55" s="164"/>
      <c r="E55" s="349"/>
      <c r="F55" s="349"/>
    </row>
    <row r="56" spans="2:6">
      <c r="B56" s="119" t="s">
        <v>135</v>
      </c>
      <c r="C56" s="165">
        <v>0.1</v>
      </c>
      <c r="D56" s="165"/>
      <c r="E56" s="349"/>
      <c r="F56" s="349"/>
    </row>
    <row r="57" spans="2:6">
      <c r="B57" s="100" t="s">
        <v>114</v>
      </c>
      <c r="C57" s="161">
        <f>Valuation_Model!E74</f>
        <v>7.0228647583946318</v>
      </c>
      <c r="D57" t="str">
        <f>Market_currency</f>
        <v>HKD</v>
      </c>
      <c r="E57" s="349"/>
      <c r="F57" s="349"/>
    </row>
    <row r="58" spans="2:6">
      <c r="B58" s="100" t="s">
        <v>148</v>
      </c>
      <c r="C58" s="166">
        <v>0.05</v>
      </c>
      <c r="D58" s="166"/>
      <c r="E58" s="349"/>
      <c r="F58" s="349"/>
    </row>
    <row r="60" spans="2:6" ht="13.15">
      <c r="B60" s="100" t="s">
        <v>121</v>
      </c>
      <c r="C60" s="155">
        <f>C51*C52+C57*C58+C42*(1-C52-C58)</f>
        <v>4.9623808252376094</v>
      </c>
      <c r="D60" t="str">
        <f>Market_currency</f>
        <v>HKD</v>
      </c>
      <c r="E60" s="100" t="s">
        <v>304</v>
      </c>
      <c r="F60" s="312">
        <f>Thesis!E20</f>
        <v>3</v>
      </c>
    </row>
    <row r="62" spans="2:6" ht="13.9">
      <c r="B62" s="36" t="s">
        <v>359</v>
      </c>
      <c r="C62" s="37"/>
      <c r="D62" s="37"/>
      <c r="E62" s="37"/>
      <c r="F62" s="37"/>
    </row>
    <row r="63" spans="2:6" ht="13.15">
      <c r="B63" s="109" t="s">
        <v>312</v>
      </c>
      <c r="E63" s="282" t="s">
        <v>320</v>
      </c>
    </row>
    <row r="64" spans="2:6">
      <c r="B64" s="153" t="s">
        <v>134</v>
      </c>
      <c r="C64" s="167">
        <f>C18</f>
        <v>10</v>
      </c>
      <c r="D64" s="151"/>
      <c r="E64" s="281" t="s">
        <v>407</v>
      </c>
    </row>
    <row r="65" spans="2:6">
      <c r="B65" s="119" t="s">
        <v>135</v>
      </c>
      <c r="C65" s="152">
        <v>4.6574870890079501E-2</v>
      </c>
      <c r="D65" s="152"/>
      <c r="E65" s="281" t="s">
        <v>321</v>
      </c>
    </row>
    <row r="66" spans="2:6">
      <c r="B66" s="100" t="s">
        <v>103</v>
      </c>
      <c r="C66" s="161">
        <f>Valuation_Model!C18</f>
        <v>4.9627512619545433</v>
      </c>
      <c r="D66" s="161" t="str">
        <f>Market_currency</f>
        <v>HKD</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0.16999421619281041</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0.128</v>
      </c>
      <c r="D77" t="str">
        <f>Market_currency</f>
        <v>HKD</v>
      </c>
    </row>
    <row r="79" spans="2:6" ht="13.15">
      <c r="B79" s="109" t="s">
        <v>309</v>
      </c>
    </row>
    <row r="80" spans="2:6">
      <c r="B80" s="149" t="s">
        <v>307</v>
      </c>
      <c r="C80" s="168">
        <f>Thesis!C127</f>
        <v>0.3</v>
      </c>
    </row>
    <row r="81" spans="2:8">
      <c r="B81" s="100" t="s">
        <v>122</v>
      </c>
      <c r="C81" s="117">
        <f>PV(C80, C76, -C77, 0)</f>
        <v>0.23246244879380981</v>
      </c>
      <c r="D81" s="117"/>
      <c r="E81" s="100"/>
      <c r="F81" s="100"/>
    </row>
    <row r="82" spans="2:8">
      <c r="B82" s="100" t="s">
        <v>123</v>
      </c>
      <c r="C82" s="117">
        <f>C60/(1+C80)^C76</f>
        <v>2.2587077037949967</v>
      </c>
      <c r="D82" s="117"/>
    </row>
    <row r="83" spans="2:8" ht="13.15">
      <c r="B83" s="111" t="s">
        <v>102</v>
      </c>
      <c r="C83" s="112">
        <f>C81+C82</f>
        <v>2.4911701525888064</v>
      </c>
      <c r="D83" t="str">
        <f>Market_currency</f>
        <v>HKD</v>
      </c>
      <c r="E83" s="147" t="s">
        <v>127</v>
      </c>
      <c r="F83" s="329">
        <f>(1-C83/C60)</f>
        <v>0.49798892097937209</v>
      </c>
    </row>
    <row r="84" spans="2:8">
      <c r="E84" s="121"/>
    </row>
    <row r="85" spans="2:8" ht="13.15">
      <c r="B85" s="109" t="s">
        <v>310</v>
      </c>
    </row>
    <row r="86" spans="2:8">
      <c r="B86" s="149" t="s">
        <v>308</v>
      </c>
      <c r="C86" s="266">
        <f>Market_Price</f>
        <v>3.57</v>
      </c>
      <c r="D86" t="str">
        <f>Market_currency</f>
        <v>HKD</v>
      </c>
    </row>
    <row r="87" spans="2:8" ht="13.15">
      <c r="B87" s="100" t="s">
        <v>306</v>
      </c>
      <c r="C87" s="265">
        <f ca="1">IRR(OFFSET($I$3, 0, 0, $C$76 + 1, 1))</f>
        <v>0.14834835832623461</v>
      </c>
    </row>
    <row r="88" spans="2:8">
      <c r="B88" s="100"/>
    </row>
    <row r="89" spans="2:8" ht="13.15">
      <c r="B89" s="109" t="s">
        <v>426</v>
      </c>
    </row>
    <row r="90" spans="2:8">
      <c r="B90" s="149" t="s">
        <v>427</v>
      </c>
      <c r="C90" s="168">
        <f>Thesis!E19</f>
        <v>0.2</v>
      </c>
    </row>
    <row r="91" spans="2:8">
      <c r="B91" s="100" t="s">
        <v>122</v>
      </c>
      <c r="C91" s="117">
        <f>PV(C90, C76, -C77, 0)</f>
        <v>0.26962962962962961</v>
      </c>
      <c r="D91" s="117"/>
      <c r="E91" s="100"/>
      <c r="F91" s="100"/>
    </row>
    <row r="92" spans="2:8">
      <c r="B92" s="100" t="s">
        <v>123</v>
      </c>
      <c r="C92" s="117">
        <f>C60/(1+C90)^C76</f>
        <v>2.8717481627532462</v>
      </c>
      <c r="D92" s="117"/>
    </row>
    <row r="93" spans="2:8" ht="13.15">
      <c r="B93" s="111" t="s">
        <v>102</v>
      </c>
      <c r="C93" s="112">
        <f>C91+C92</f>
        <v>3.1413777923828756</v>
      </c>
      <c r="D93" t="str">
        <f>Market_currency</f>
        <v>HKD</v>
      </c>
      <c r="E93" s="147" t="s">
        <v>127</v>
      </c>
      <c r="F93" s="329">
        <f>(1-C93/C60)</f>
        <v>0.36696156481854458</v>
      </c>
    </row>
    <row r="95" spans="2:8" ht="13.15">
      <c r="B95" s="109" t="s">
        <v>409</v>
      </c>
      <c r="G95" s="2"/>
      <c r="H95" s="316"/>
    </row>
    <row r="96" spans="2:8">
      <c r="B96" s="149" t="s">
        <v>415</v>
      </c>
      <c r="C96" s="135">
        <f>Thesis!C67</f>
        <v>0.08</v>
      </c>
      <c r="G96" s="2"/>
      <c r="H96" s="316"/>
    </row>
    <row r="97" spans="2:8">
      <c r="B97" s="100" t="s">
        <v>122</v>
      </c>
      <c r="C97" s="117">
        <f>PV(C96, C76, -C77, 0)</f>
        <v>0.32986841436772868</v>
      </c>
      <c r="D97" s="117"/>
      <c r="G97" s="2"/>
      <c r="H97" s="316"/>
    </row>
    <row r="98" spans="2:8">
      <c r="B98" s="100" t="s">
        <v>123</v>
      </c>
      <c r="C98" s="117">
        <f>C60/(1+C96)^C76</f>
        <v>3.9392978912938901</v>
      </c>
      <c r="D98" s="117"/>
      <c r="G98" s="2"/>
      <c r="H98" s="316"/>
    </row>
    <row r="99" spans="2:8" ht="13.15">
      <c r="B99" s="111" t="s">
        <v>410</v>
      </c>
      <c r="C99" s="112">
        <f>C97+C98</f>
        <v>4.2691663056616189</v>
      </c>
      <c r="D99" t="s">
        <v>408</v>
      </c>
      <c r="E99" s="147" t="s">
        <v>127</v>
      </c>
      <c r="F99" s="329">
        <f>(1-C99/C60)</f>
        <v>0.13969393804894004</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2025-05-09T09:20:47Z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