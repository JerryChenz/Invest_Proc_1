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59BEEBF-B3B8-42B3-ADB6-DC051333A78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2" i="2"/>
  <c r="P94" i="2"/>
  <c r="O94" i="2"/>
  <c r="Q92" i="2"/>
  <c r="Q94" i="2"/>
  <c r="J94" i="2"/>
  <c r="F71" i="4"/>
  <c r="K94" i="2"/>
  <c r="L94" i="2"/>
  <c r="M94" i="2"/>
  <c r="H94" i="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<sst xmlns="http://schemas.openxmlformats.org/spreadsheetml/2006/main" count="686" uniqueCount="465">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</sst>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487358224</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3.43</v>
      </c>
      <c r="D12" s="50"/>
      <c r="E12" s="48"/>
    </row>
    <row r="13" spans="1:10">
      <c r="B13" s="1" t="s">
        <v>412</v>
      </c>
      <c r="C13" s="48" t="s">
        <v>393</v>
      </c>
      <c r="D13" s="48"/>
      <c r="E13" s="5"/>
    </row>
    <row r="14" spans="1:10">
      <c r="B14" s="4" t="s">
        <v>416</v>
      </c>
      <c r="C14" s="35">
        <f>Thesis!C12*Common_Shares/1000000</f>
        <v>1671.6387083200002</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5.2246962590200807</v>
      </c>
      <c r="D26" s="1" t="s">
        <v>396</v>
      </c>
      <c r="E26" s="301">
        <f ca="1">Scenarios!C87</f>
        <v>0.18332649113807564</v>
      </c>
    </row>
    <row r="27" spans="2:6">
      <c r="D27" s="5"/>
      <c r="E27" s="5"/>
    </row>
    <row r="28" spans="2:6">
      <c r="B28" s="45" t="s">
        <v>429</v>
      </c>
      <c r="C28" s="309" t="str">
        <f>C145&amp;" ("&amp;Market_currency&amp;")"</f>
        <v>0398.HK (HKD)</v>
      </c>
      <c r="D28" s="309" t="str">
        <f>IF(D11="","",D145&amp;" ("&amp;D13&amp;")")</f>
        <v/>
      </c>
      <c r="E28" s="305" t="s">
        <v>425</v>
      </c>
      <c r="F28" s="303">
        <v>3</v>
      </c>
    </row>
    <row r="29" spans="2:6">
      <c r="B29" s="1" t="s">
        <v>421</v>
      </c>
      <c r="C29" s="310">
        <f>C149</f>
        <v>2.2556276815093281</v>
      </c>
      <c r="D29" s="310" t="str">
        <f>D149</f>
        <v/>
      </c>
      <c r="E29" s="306" t="s">
        <v>420</v>
      </c>
      <c r="F29" s="302">
        <v>0.3674</v>
      </c>
    </row>
    <row r="30" spans="2:6">
      <c r="B30" s="1" t="s">
        <v>422</v>
      </c>
      <c r="C30" s="311">
        <f>C157</f>
        <v>3.1582019073444916</v>
      </c>
      <c r="D30" s="311" t="str">
        <f>D157</f>
        <v/>
      </c>
      <c r="E30" s="307" t="s">
        <v>433</v>
      </c>
      <c r="F30" s="312">
        <v>0.21740000000000001</v>
      </c>
    </row>
    <row r="31" spans="2:6">
      <c r="B31" s="1" t="s">
        <v>423</v>
      </c>
      <c r="C31" s="311">
        <f>C165</f>
        <v>4.5385417708791076</v>
      </c>
      <c r="D31" s="311" t="str">
        <f>D165</f>
        <v/>
      </c>
      <c r="E31" s="307" t="s">
        <v>432</v>
      </c>
      <c r="F31" s="312">
        <v>7.4999999999999997E-2</v>
      </c>
    </row>
    <row r="32" spans="2:6">
      <c r="B32" s="1" t="s">
        <v>424</v>
      </c>
      <c r="C32" s="311">
        <f>C173</f>
        <v>4.0536685441183486</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198948.88436097838</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0</v>
      </c>
      <c r="D51" s="1" t="str">
        <f>Reporting_currency</f>
        <v>HKD</v>
      </c>
      <c r="E51" s="286"/>
      <c r="F51" s="286"/>
    </row>
    <row r="52" spans="2:6">
      <c r="B52" s="47" t="s">
        <v>338</v>
      </c>
      <c r="C52" s="350">
        <f>Normalized_FCF!C47</f>
        <v>-13663</v>
      </c>
      <c r="D52" s="1" t="str">
        <f>Reporting_currency</f>
        <v>HKD</v>
      </c>
      <c r="E52" s="286"/>
      <c r="F52" s="286"/>
    </row>
    <row r="53" spans="2:6">
      <c r="B53" s="47" t="s">
        <v>237</v>
      </c>
      <c r="C53" s="349">
        <f>Normalized_FCF!C12</f>
        <v>-13663</v>
      </c>
      <c r="D53" s="1" t="str">
        <f>Reporting_currency</f>
        <v>HKD</v>
      </c>
    </row>
    <row r="55" spans="2:6">
      <c r="B55" s="1" t="s">
        <v>245</v>
      </c>
    </row>
    <row r="56" spans="2:6">
      <c r="B56" s="47" t="s">
        <v>264</v>
      </c>
      <c r="C56" s="349">
        <f>Normalized_FCF!C15</f>
        <v>-572.93535914055167</v>
      </c>
      <c r="D56" s="1" t="str">
        <f>Reporting_currency</f>
        <v>HKD</v>
      </c>
    </row>
    <row r="58" spans="2:6">
      <c r="B58" s="359" t="s">
        <v>240</v>
      </c>
      <c r="C58" s="359"/>
      <c r="D58" s="359"/>
      <c r="E58" s="359"/>
      <c r="F58" s="359"/>
    </row>
    <row r="59" spans="2:6">
      <c r="B59" s="47" t="s">
        <v>238</v>
      </c>
      <c r="C59" s="349">
        <f>Normalized_FCF!C14</f>
        <v>-46321.471090244595</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194373</v>
      </c>
      <c r="D67" s="1" t="str">
        <f>Reporting_currency</f>
        <v>HKD</v>
      </c>
    </row>
    <row r="68" spans="1:6">
      <c r="B68" s="47" t="s">
        <v>247</v>
      </c>
      <c r="C68" s="349">
        <f>Normalized_FCF!C19</f>
        <v>138391.47791159325</v>
      </c>
      <c r="D68" s="1" t="str">
        <f>Reporting_currency</f>
        <v>HKD</v>
      </c>
    </row>
    <row r="69" spans="1:6">
      <c r="B69" s="227" t="s">
        <v>387</v>
      </c>
      <c r="C69" s="92">
        <f>Normalized_FCF!C126</f>
        <v>8.2787911779499845E-2</v>
      </c>
      <c r="F69" s="314"/>
    </row>
    <row r="70" spans="1:6">
      <c r="B70" s="227" t="s">
        <v>454</v>
      </c>
      <c r="C70" s="92">
        <f>Normalized_FCF!C94</f>
        <v>3.7317784256559766E-2</v>
      </c>
      <c r="E70" s="47" t="s">
        <v>444</v>
      </c>
      <c r="F70" s="315">
        <f>Normalized_FCF!C92</f>
        <v>0.45076368583801485</v>
      </c>
    </row>
    <row r="72" spans="1:6">
      <c r="B72" s="210" t="s">
        <v>447</v>
      </c>
      <c r="C72" s="323" t="s">
        <v>449</v>
      </c>
      <c r="D72" s="323" t="s">
        <v>450</v>
      </c>
    </row>
    <row r="73" spans="1:6">
      <c r="B73" s="47" t="s">
        <v>448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3.78616716538246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195066</v>
      </c>
      <c r="D102" s="1" t="str">
        <f>Reporting_currency</f>
        <v>HKD</v>
      </c>
    </row>
    <row r="103" spans="2:6">
      <c r="B103" s="47" t="s">
        <v>280</v>
      </c>
      <c r="C103" s="223">
        <f>C102*scaling_factor*Exchange_Rate/Common_Shares</f>
        <v>0.40025178686632773</v>
      </c>
      <c r="D103" s="1" t="str">
        <f>Market_currency</f>
        <v>HKD</v>
      </c>
    </row>
    <row r="104" spans="2:6">
      <c r="B104" s="296" t="s">
        <v>401</v>
      </c>
      <c r="C104" s="325">
        <f>IF(BS!G31/BS!G27&gt;300%,"nm",BS!G31/BS!G27)</f>
        <v>0.10646655543311496</v>
      </c>
    </row>
    <row r="105" spans="2:6">
      <c r="B105" s="296" t="s">
        <v>403</v>
      </c>
      <c r="C105" s="326">
        <f>IF(BS!C50&gt;30,"nm",BS!C50)</f>
        <v>0.9804830051022897</v>
      </c>
    </row>
    <row r="107" spans="2:6">
      <c r="B107" s="1" t="s">
        <v>253</v>
      </c>
    </row>
    <row r="108" spans="2:6">
      <c r="B108" s="47" t="s">
        <v>263</v>
      </c>
      <c r="C108" s="349">
        <f>BS!C66</f>
        <v>1089388</v>
      </c>
      <c r="D108" s="1" t="str">
        <f>Reporting_currency</f>
        <v>HKD</v>
      </c>
    </row>
    <row r="109" spans="2:6">
      <c r="B109" s="47" t="s">
        <v>265</v>
      </c>
      <c r="C109" s="349">
        <f>DCF!C8</f>
        <v>587281.82009631116</v>
      </c>
      <c r="D109" s="1" t="str">
        <f>Reporting_currency</f>
        <v>HKD</v>
      </c>
    </row>
    <row r="110" spans="2:6">
      <c r="B110" s="47" t="s">
        <v>281</v>
      </c>
      <c r="C110" s="223">
        <f>C109*scaling_factor*Exchange_Rate/Common_Shares</f>
        <v>1.2050311068441337</v>
      </c>
      <c r="D110" s="1" t="str">
        <f>Market_currency</f>
        <v>HKD</v>
      </c>
    </row>
    <row r="112" spans="2:6">
      <c r="B112" s="1" t="s">
        <v>255</v>
      </c>
    </row>
    <row r="113" spans="1:6">
      <c r="B113" s="47" t="s">
        <v>256</v>
      </c>
      <c r="C113" s="349">
        <f>DCF!C9</f>
        <v>18907.900000000001</v>
      </c>
      <c r="D113" s="1" t="str">
        <f>Reporting_currency</f>
        <v>HKD</v>
      </c>
    </row>
    <row r="114" spans="1:6">
      <c r="B114" s="47" t="s">
        <v>282</v>
      </c>
      <c r="C114" s="223">
        <f>C113*scaling_factor*Exchange_Rate/Common_Shares</f>
        <v>3.8796718858693152E-2</v>
      </c>
      <c r="D114" s="1" t="str">
        <f>Market_currency</f>
        <v>HKD</v>
      </c>
    </row>
    <row r="116" spans="1:6" ht="24.6" customHeight="1">
      <c r="B116" s="358" t="s">
        <v>363</v>
      </c>
      <c r="C116" s="358"/>
      <c r="D116" s="358"/>
      <c r="E116" s="358"/>
      <c r="F116" s="358"/>
    </row>
    <row r="118" spans="1:6">
      <c r="B118" s="47" t="s">
        <v>445</v>
      </c>
      <c r="C118" s="223">
        <f>IF(valuation_method="DCF",DCF!C12,DDM!C7)</f>
        <v>4.6297432042189586</v>
      </c>
      <c r="D118" s="1" t="str">
        <f>Market_currency</f>
        <v>HKD</v>
      </c>
    </row>
    <row r="119" spans="1:6">
      <c r="B119" s="296" t="s">
        <v>402</v>
      </c>
      <c r="C119" s="223">
        <f>BS!D47</f>
        <v>1.6698226477450393</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257</v>
      </c>
      <c r="C132" s="217">
        <f>Scenarios!C60</f>
        <v>5.2246962590200807</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0.128</v>
      </c>
      <c r="D143" s="212" t="str">
        <f>Market_currency</f>
        <v>HKD</v>
      </c>
    </row>
    <row r="145" spans="2:4">
      <c r="B145" s="210" t="s">
        <v>405</v>
      </c>
      <c r="C145" s="241" t="str">
        <f>C11</f>
        <v>0398.HK</v>
      </c>
      <c r="D145" s="241" t="str">
        <f>IF(D11="","",D11)</f>
        <v/>
      </c>
    </row>
    <row r="146" spans="2:4">
      <c r="B146" s="1" t="s">
        <v>404</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259</v>
      </c>
      <c r="C149" s="215">
        <f>Scenarios!C83</f>
        <v>2.2556276815093281</v>
      </c>
      <c r="D149" s="300" t="str">
        <f>IF($D$11="","",C149*$E$25)</f>
        <v/>
      </c>
    </row>
    <row r="150" spans="2:4">
      <c r="B150" s="259" t="s">
        <v>412</v>
      </c>
      <c r="C150" s="298" t="str">
        <f>Market_currency</f>
        <v>HKD</v>
      </c>
      <c r="D150" s="298" t="str">
        <f>IF($D$11="","",D$13)</f>
        <v/>
      </c>
    </row>
    <row r="151" spans="2:4">
      <c r="B151" s="214" t="s">
        <v>261</v>
      </c>
      <c r="C151" s="92">
        <f>Scenarios!F83</f>
        <v>0.56827582510368113</v>
      </c>
    </row>
    <row r="153" spans="2:4">
      <c r="B153" s="210" t="s">
        <v>408</v>
      </c>
    </row>
    <row r="154" spans="2:4">
      <c r="B154" s="1" t="s">
        <v>407</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259</v>
      </c>
      <c r="C157" s="215">
        <f>Scenarios!C93</f>
        <v>3.1582019073444916</v>
      </c>
      <c r="D157" s="300" t="str">
        <f>IF($D$11="","",C157*$E$25)</f>
        <v/>
      </c>
    </row>
    <row r="158" spans="2:4">
      <c r="B158" s="259" t="s">
        <v>412</v>
      </c>
      <c r="C158" s="298" t="str">
        <f>Market_currency</f>
        <v>HKD</v>
      </c>
      <c r="D158" s="298" t="str">
        <f>IF($D$11="","",D$13)</f>
        <v/>
      </c>
    </row>
    <row r="159" spans="2:4">
      <c r="B159" s="214" t="s">
        <v>261</v>
      </c>
      <c r="C159" s="92">
        <f>Scenarios!F93</f>
        <v>0.39552430404120198</v>
      </c>
    </row>
    <row r="161" spans="2:4">
      <c r="B161" s="210" t="s">
        <v>397</v>
      </c>
    </row>
    <row r="162" spans="2:4">
      <c r="B162" s="1" t="s">
        <v>406</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398</v>
      </c>
      <c r="C165" s="215">
        <f>Scenarios!C99</f>
        <v>4.5385417708791076</v>
      </c>
      <c r="D165" s="300" t="str">
        <f>IF($D$11="","",C165*$E$25)</f>
        <v/>
      </c>
    </row>
    <row r="166" spans="2:4">
      <c r="B166" s="259" t="s">
        <v>412</v>
      </c>
      <c r="C166" s="298" t="str">
        <f>Market_currency</f>
        <v>HKD</v>
      </c>
      <c r="D166" s="298" t="str">
        <f>IF($D$11="","",D$13)</f>
        <v/>
      </c>
    </row>
    <row r="167" spans="2:4">
      <c r="B167" s="214" t="s">
        <v>261</v>
      </c>
      <c r="C167" s="92">
        <f>Scenarios!F99</f>
        <v>0.13132906759055596</v>
      </c>
    </row>
    <row r="169" spans="2:4">
      <c r="B169" s="210" t="s">
        <v>428</v>
      </c>
    </row>
    <row r="170" spans="2:4">
      <c r="B170" s="1" t="s">
        <v>419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398</v>
      </c>
      <c r="C173" s="215">
        <f>Scenarios!C105</f>
        <v>4.0536685441183486</v>
      </c>
      <c r="D173" s="300" t="str">
        <f>IF($D$11="","",C173*$E$25)</f>
        <v/>
      </c>
    </row>
    <row r="174" spans="2:4">
      <c r="B174" s="259" t="s">
        <v>412</v>
      </c>
      <c r="C174" s="298" t="str">
        <f>Market_currency</f>
        <v>HKD</v>
      </c>
      <c r="D174" s="298" t="str">
        <f>IF($D$11="","",D$13)</f>
        <v/>
      </c>
    </row>
    <row r="175" spans="2:4">
      <c r="B175" s="214" t="s">
        <v>261</v>
      </c>
      <c r="C175" s="92">
        <f>Scenarios!F105</f>
        <v>0.22401578084943807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346987</v>
      </c>
      <c r="D22" s="351">
        <v>421974</v>
      </c>
      <c r="E22" s="351">
        <v>732665</v>
      </c>
      <c r="F22" s="351">
        <v>643498</v>
      </c>
      <c r="G22" s="351">
        <v>306436</v>
      </c>
      <c r="H22" s="351">
        <v>269780</v>
      </c>
      <c r="I22" s="351">
        <v>503072</v>
      </c>
      <c r="J22" s="351">
        <v>266577</v>
      </c>
      <c r="K22" s="351">
        <v>204101</v>
      </c>
      <c r="L22" s="351"/>
      <c r="M22" s="351"/>
    </row>
    <row r="23" spans="2:13">
      <c r="B23" s="27" t="s">
        <v>370</v>
      </c>
      <c r="C23" s="351">
        <v>-67837</v>
      </c>
      <c r="D23" s="351">
        <v>-37092</v>
      </c>
      <c r="E23" s="351">
        <v>-77565</v>
      </c>
      <c r="F23" s="351">
        <v>-47993</v>
      </c>
      <c r="G23" s="351">
        <v>-48419</v>
      </c>
      <c r="H23" s="351">
        <v>-39236</v>
      </c>
      <c r="I23" s="351">
        <v>-17998</v>
      </c>
      <c r="J23" s="351">
        <v>89956</v>
      </c>
      <c r="K23" s="351">
        <v>-13332</v>
      </c>
      <c r="L23" s="351"/>
      <c r="M23" s="351"/>
    </row>
    <row r="24" spans="2:13">
      <c r="B24" s="27" t="s">
        <v>369</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463</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171</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151</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167</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390</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167</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176</v>
      </c>
      <c r="G6" s="19">
        <v>0</v>
      </c>
      <c r="H6" s="261">
        <v>0.6</v>
      </c>
    </row>
    <row r="7" spans="2:8" ht="15" customHeight="1">
      <c r="B7" s="1" t="s">
        <v>69</v>
      </c>
      <c r="C7" s="19">
        <v>0</v>
      </c>
      <c r="D7" s="261">
        <v>0.6</v>
      </c>
      <c r="E7" s="25"/>
      <c r="F7" s="4" t="s">
        <v>177</v>
      </c>
      <c r="G7" s="19">
        <v>10851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f>29657+19498</f>
        <v>49155</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233391+169651+360+16234</f>
        <v>419636</v>
      </c>
      <c r="D19" s="261">
        <v>0.1</v>
      </c>
      <c r="F19" s="4" t="s">
        <v>181</v>
      </c>
      <c r="G19" s="19">
        <f>64831+22181</f>
        <v>87012</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199</v>
      </c>
      <c r="C26" s="182" t="s">
        <v>135</v>
      </c>
      <c r="F26" s="184" t="s">
        <v>195</v>
      </c>
      <c r="G26" s="185" t="s">
        <v>135</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243</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202</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1291696</v>
      </c>
      <c r="H35" s="200">
        <f>D12+D24</f>
        <v>519598.69999999995</v>
      </c>
    </row>
    <row r="36" spans="2:8" ht="15" customHeight="1">
      <c r="B36" s="4" t="s">
        <v>13</v>
      </c>
      <c r="C36" s="19">
        <v>0</v>
      </c>
      <c r="F36" s="190" t="s">
        <v>196</v>
      </c>
      <c r="G36" s="191">
        <f>C4+C15</f>
        <v>348607</v>
      </c>
      <c r="H36" s="195"/>
    </row>
    <row r="37" spans="2:8" ht="15" customHeight="1">
      <c r="B37" s="4" t="s">
        <v>14</v>
      </c>
      <c r="C37" s="19">
        <v>82615</v>
      </c>
      <c r="F37" s="190" t="s">
        <v>197</v>
      </c>
      <c r="G37" s="191">
        <f>C6</f>
        <v>506592</v>
      </c>
      <c r="H37" s="195"/>
    </row>
    <row r="38" spans="2:8" ht="15" customHeight="1">
      <c r="B38" s="4" t="s">
        <v>15</v>
      </c>
      <c r="C38" s="19">
        <v>0</v>
      </c>
      <c r="F38" s="190" t="s">
        <v>198</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203</v>
      </c>
      <c r="C40" s="81">
        <f>SUM(C36:C39)</f>
        <v>82615</v>
      </c>
      <c r="F40" s="199" t="s">
        <v>137</v>
      </c>
      <c r="G40" s="193">
        <f>G12+G24</f>
        <v>1273367</v>
      </c>
      <c r="H40" s="200">
        <f>H12+H24</f>
        <v>1028850.1000000001</v>
      </c>
    </row>
    <row r="41" spans="2:8" ht="15" customHeight="1">
      <c r="B41" s="4" t="s">
        <v>17</v>
      </c>
      <c r="C41" s="21">
        <f>C42-C40</f>
        <v>26420</v>
      </c>
      <c r="F41" s="190" t="s">
        <v>190</v>
      </c>
      <c r="G41" s="191">
        <f>C70</f>
        <v>1138543</v>
      </c>
      <c r="H41" s="200">
        <f>H40-H42</f>
        <v>1009942.2000000001</v>
      </c>
    </row>
    <row r="42" spans="2:8" ht="15" customHeight="1">
      <c r="B42" s="83" t="s">
        <v>22</v>
      </c>
      <c r="C42" s="84">
        <v>109035</v>
      </c>
      <c r="F42" s="201" t="s">
        <v>191</v>
      </c>
      <c r="G42" s="202">
        <f>C82</f>
        <v>134824</v>
      </c>
      <c r="H42" s="203">
        <f>D82</f>
        <v>18907.900000000001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175</v>
      </c>
      <c r="C51" s="181"/>
      <c r="D51" s="92">
        <f>G29/G32</f>
        <v>0.71359494874005047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0.15402144495374948</v>
      </c>
      <c r="D54" s="92">
        <f>Normalized_FCF!G8/G35</f>
        <v>0.274075324224895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273</v>
      </c>
      <c r="C61" s="235" t="s">
        <v>136</v>
      </c>
      <c r="D61" s="197" t="s">
        <v>95</v>
      </c>
      <c r="F61" s="253"/>
    </row>
    <row r="62" spans="2:8" ht="15" customHeight="1">
      <c r="B62" s="1" t="s">
        <v>244</v>
      </c>
      <c r="C62" s="92">
        <f>IF(G28&lt;=0,0,G28/G29)</f>
        <v>9.6426167603430037E-4</v>
      </c>
      <c r="D62" s="92">
        <f>G28/G29</f>
        <v>9.6426167603430037E-4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1089388</v>
      </c>
      <c r="D66" s="76">
        <f>C66-D75</f>
        <v>587281.82009631116</v>
      </c>
      <c r="F66" s="5" t="s">
        <v>225</v>
      </c>
    </row>
    <row r="67" spans="2:6" ht="15" customHeight="1">
      <c r="B67" s="105" t="s">
        <v>176</v>
      </c>
      <c r="C67" s="20">
        <f>G6+G16</f>
        <v>49155</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1138543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-278926.48772266664</v>
      </c>
      <c r="D73" s="349">
        <f>(Normalized_FCF!C25+Normalized_FCF!C35-Normalized_FCF!C91)/12</f>
        <v>-251053.08995184439</v>
      </c>
      <c r="F73" s="1" t="s">
        <v>348</v>
      </c>
    </row>
    <row r="74" spans="2:6" ht="15" customHeight="1">
      <c r="B74" s="257" t="s">
        <v>318</v>
      </c>
      <c r="C74" s="258">
        <f>-$C$66/C73</f>
        <v>3.9056455659498561</v>
      </c>
      <c r="D74" s="258">
        <f>-$C$66/D73</f>
        <v>4.3392734190563456</v>
      </c>
      <c r="F74" s="253" t="s">
        <v>316</v>
      </c>
    </row>
    <row r="75" spans="2:6" ht="15" customHeight="1">
      <c r="B75" s="80" t="s">
        <v>317</v>
      </c>
      <c r="C75" s="320"/>
      <c r="D75" s="321">
        <f>MAX(-D73*D76,G5)</f>
        <v>502106.17990368878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10851</v>
      </c>
      <c r="D79" s="76">
        <f>G7*H7+G17*H17</f>
        <v>6510.5999999999995</v>
      </c>
      <c r="F79" s="253"/>
    </row>
    <row r="80" spans="2:6" ht="15" customHeight="1">
      <c r="B80" s="105" t="s">
        <v>181</v>
      </c>
      <c r="C80" s="20">
        <f>G19</f>
        <v>87012</v>
      </c>
      <c r="D80" s="76">
        <f>G19*H19</f>
        <v>8701.2000000000007</v>
      </c>
      <c r="F80" s="253"/>
    </row>
    <row r="81" spans="2:8" ht="15" customHeight="1">
      <c r="B81" s="105" t="s">
        <v>179</v>
      </c>
      <c r="C81" s="20">
        <f>G9+G21</f>
        <v>36961</v>
      </c>
      <c r="D81" s="76">
        <f>G9*H9+G21*H21</f>
        <v>3696.1000000000004</v>
      </c>
      <c r="F81" s="253"/>
    </row>
    <row r="82" spans="2:8" ht="15" customHeight="1">
      <c r="B82" s="80" t="s">
        <v>188</v>
      </c>
      <c r="C82" s="81">
        <f>SUM(C79:C81)</f>
        <v>134824</v>
      </c>
      <c r="D82" s="81">
        <f>SUM(D79:D81)</f>
        <v>18907.900000000001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-195066</v>
      </c>
      <c r="D86" s="223">
        <f>C86*scaling_factor/Common_Shares</f>
        <v>-0.40025178686632773</v>
      </c>
      <c r="E86" s="240" t="str">
        <f>Market_currency</f>
        <v>HKD</v>
      </c>
    </row>
    <row r="87" spans="2:8" ht="15" customHeight="1">
      <c r="B87" s="238" t="s">
        <v>286</v>
      </c>
      <c r="C87" s="76">
        <f>DCF!C8*Exchange_Rate</f>
        <v>587281.82009631116</v>
      </c>
      <c r="D87" s="223">
        <f>C87*scaling_factor/Common_Shares</f>
        <v>1.2050311068441337</v>
      </c>
      <c r="E87" s="240" t="str">
        <f>Market_currency</f>
        <v>HKD</v>
      </c>
    </row>
    <row r="88" spans="2:8" ht="15" customHeight="1">
      <c r="B88" s="239" t="s">
        <v>188</v>
      </c>
      <c r="C88" s="76">
        <f>DCF!C9*Exchange_Rate</f>
        <v>18907.900000000001</v>
      </c>
      <c r="D88" s="223">
        <f>C88*scaling_factor/Common_Shares</f>
        <v>3.8796718858693152E-2</v>
      </c>
      <c r="E88" s="240" t="str">
        <f>Market_currency</f>
        <v>HKD</v>
      </c>
    </row>
    <row r="89" spans="2:8" ht="15" customHeight="1">
      <c r="B89" s="80" t="s">
        <v>290</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151</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163</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242</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AVERAGE(G28:L28)</f>
        <v>0.70705778931239871</v>
      </c>
      <c r="D28" s="26"/>
      <c r="E28" s="266" t="s">
        <v>330</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330</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-253206</v>
      </c>
      <c r="E33" s="266" t="s">
        <v>330</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333</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194</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151</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163</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3.7317784256559766E-2</v>
      </c>
      <c r="E94" s="268"/>
      <c r="G94" s="23">
        <f t="shared" ref="G94:Q94" si="39">IF(G$4="","",(G90*(1-dividend_tax_rate))/Market_Price)</f>
        <v>3.7317784256559766E-2</v>
      </c>
      <c r="H94" s="23">
        <f t="shared" si="39"/>
        <v>4.4606413994169092E-2</v>
      </c>
      <c r="I94" s="23">
        <f t="shared" si="39"/>
        <v>5.4227405247813408E-2</v>
      </c>
      <c r="J94" s="23">
        <f t="shared" si="39"/>
        <v>4.3148688046647225E-2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163</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209</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30</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389</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83</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91</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221</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268</v>
      </c>
      <c r="C126" s="77">
        <f>C19*Exchange_Rate*$C$3/(Market_Price*Common_Shares)</f>
        <v>8.2787911779499845E-2</v>
      </c>
      <c r="D126" s="27"/>
      <c r="E126" s="265"/>
      <c r="F126" s="27"/>
      <c r="G126" s="77">
        <f t="shared" ref="G126" si="50">IF(G$4="","",G125/Market_Price)</f>
        <v>0.11627691978689894</v>
      </c>
      <c r="H126" s="77">
        <f t="shared" ref="H126" si="51">IF(H$4="","",H125/Market_Price)</f>
        <v>0.14923679306919005</v>
      </c>
      <c r="I126" s="77">
        <f t="shared" ref="I126" si="52">IF(I$4="","",I125/Market_Price)</f>
        <v>0.16090019850659737</v>
      </c>
      <c r="J126" s="77">
        <f t="shared" ref="J126" si="53">IF(J$4="","",J125/Market_Price)</f>
        <v>0.11088340984056544</v>
      </c>
      <c r="K126" s="77">
        <f t="shared" ref="K126" si="54">IF(K$4="","",K125/Market_Price)</f>
        <v>6.7628249715284139E-2</v>
      </c>
      <c r="L126" s="77">
        <f t="shared" ref="L126" si="55">IF(L$4="","",L125/Market_Price)</f>
        <v>6.1943408874555746E-2</v>
      </c>
      <c r="M126" s="77">
        <f t="shared" ref="M126" si="56">IF(M$4="","",M125/Market_Price)</f>
        <v>5.8133973278032713E-2</v>
      </c>
      <c r="N126" s="77">
        <f t="shared" ref="N126" si="57">IF(N$4="","",N125/Market_Price)</f>
        <v>-3.9655698130262587E-3</v>
      </c>
      <c r="O126" s="77">
        <f t="shared" ref="O126" si="58">IF(O$4="","",O125/Market_Price)</f>
        <v>-3.3704651441473145E-2</v>
      </c>
      <c r="P126" s="77" t="str">
        <f t="shared" ref="P126" si="59">IF(P$4="","",P125/Market_Price)</f>
        <v/>
      </c>
      <c r="Q126" s="77" t="str">
        <f t="shared" ref="Q126" si="60">IF(Q$4="","",Q125/Market_Price)</f>
        <v/>
      </c>
    </row>
    <row r="127" spans="1:17" ht="15.75" customHeight="1">
      <c r="B127" s="2" t="s">
        <v>391</v>
      </c>
      <c r="C127" s="169"/>
      <c r="G127" s="23">
        <f>IF(G$4="","",(Data!C47*$C$3)/(Market_Price*Common_Shares))</f>
        <v>0.15024179492254411</v>
      </c>
      <c r="H127" s="23">
        <f>IF(H$4="","",(Data!D47*$C$3)/(Market_Price*Common_Shares))</f>
        <v>0.17678700458964733</v>
      </c>
      <c r="I127" s="23">
        <f>IF(I$4="","",(Data!E47*$C$3)/(Market_Price*Common_Shares))</f>
        <v>0.21713782900181314</v>
      </c>
      <c r="J127" s="23">
        <f>IF(J$4="","",(Data!F47*$C$3)/(Market_Price*Common_Shares))</f>
        <v>0.13915925662775991</v>
      </c>
      <c r="K127" s="23">
        <f>IF(K$4="","",(Data!G47*$C$3)/(Market_Price*Common_Shares))</f>
        <v>5.928852897861208E-2</v>
      </c>
      <c r="L127" s="23">
        <f>IF(L$4="","",(Data!H47*$C$3)/(Market_Price*Common_Shares))</f>
        <v>8.2577054068536992E-2</v>
      </c>
      <c r="M127" s="23">
        <f>IF(M$4="","",(Data!I47*$C$3)/(Market_Price*Common_Shares))</f>
        <v>8.2963501209767199E-2</v>
      </c>
      <c r="N127" s="23">
        <f>IF(N$4="","",(Data!J47*$C$3)/(Market_Price*Common_Shares))</f>
        <v>9.6294731151431116E-3</v>
      </c>
      <c r="O127" s="23">
        <f>IF(O$4="","",(Data!K47*$C$3)/(Market_Price*Common_Shares))</f>
        <v>-9.4272763136944958E-3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138391.47791159325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1845219.70548791</v>
      </c>
      <c r="D6" t="str">
        <f>Reporting_currency</f>
        <v>HKD</v>
      </c>
      <c r="E6" s="366" t="s">
        <v>248</v>
      </c>
      <c r="F6" s="366"/>
      <c r="H6" s="120"/>
    </row>
    <row r="7" spans="2:8">
      <c r="B7" s="148" t="s">
        <v>223</v>
      </c>
      <c r="C7" s="338">
        <f>BS!G31</f>
        <v>195066</v>
      </c>
      <c r="D7" t="str">
        <f>Reporting_currency</f>
        <v>HKD</v>
      </c>
      <c r="E7" s="366"/>
      <c r="F7" s="366"/>
      <c r="H7" s="120"/>
    </row>
    <row r="8" spans="2:8">
      <c r="B8" s="148" t="s">
        <v>224</v>
      </c>
      <c r="C8" s="338">
        <f>BS!D66</f>
        <v>587281.82009631116</v>
      </c>
      <c r="D8" t="str">
        <f>Reporting_currency</f>
        <v>HKD</v>
      </c>
      <c r="E8" s="366"/>
      <c r="F8" s="366"/>
      <c r="H8" s="120"/>
    </row>
    <row r="9" spans="2:8">
      <c r="B9" s="205" t="s">
        <v>189</v>
      </c>
      <c r="C9" s="348">
        <f>BS!H42</f>
        <v>18907.900000000001</v>
      </c>
      <c r="D9" t="str">
        <f>Reporting_currency</f>
        <v>HKD</v>
      </c>
      <c r="E9" s="366"/>
      <c r="F9" s="366"/>
      <c r="H9" s="120"/>
    </row>
    <row r="10" spans="2:8" ht="13.15">
      <c r="B10" s="149" t="s">
        <v>226</v>
      </c>
      <c r="C10" s="347">
        <f>C6-C7+C8+C9</f>
        <v>2256343.4255842208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128</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62381.852672000001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831758.03562666674</v>
      </c>
      <c r="D6" t="str">
        <f>Reporting_currency</f>
        <v>HKD</v>
      </c>
      <c r="E6" s="366"/>
      <c r="F6" s="366"/>
      <c r="H6" s="120"/>
    </row>
    <row r="7" spans="2:8" ht="13.15">
      <c r="B7" s="149" t="s">
        <v>440</v>
      </c>
      <c r="C7" s="111">
        <f>(C6*scaling_factor)/Common_Shares*Exchange_Rate</f>
        <v>1.706666666666667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128</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-3.43</v>
      </c>
    </row>
    <row r="4" spans="2:9">
      <c r="B4" s="152" t="s">
        <v>145</v>
      </c>
      <c r="C4" s="120">
        <v>3</v>
      </c>
      <c r="D4" s="120"/>
      <c r="E4" s="155" t="s">
        <v>149</v>
      </c>
      <c r="F4" s="155"/>
      <c r="H4" s="247">
        <v>1</v>
      </c>
      <c r="I4" s="124">
        <f t="shared" ref="I4:I13" si="0">IF(ROW()-3 &lt; $C$76, $C$77, IF(ROW()-3 = $C$76, $C$77 + $C$60, ""))</f>
        <v>0.128</v>
      </c>
    </row>
    <row r="5" spans="2:9">
      <c r="H5" s="247">
        <v>2</v>
      </c>
      <c r="I5" s="124">
        <f t="shared" si="0"/>
        <v>0.128</v>
      </c>
    </row>
    <row r="6" spans="2:9" ht="13.15">
      <c r="B6" s="159" t="s">
        <v>95</v>
      </c>
      <c r="C6" s="107">
        <f>DCF!C3</f>
        <v>1000</v>
      </c>
      <c r="E6" s="100" t="s">
        <v>278</v>
      </c>
      <c r="F6" s="100"/>
      <c r="H6" s="247">
        <v>3</v>
      </c>
      <c r="I6" s="124">
        <f t="shared" si="0"/>
        <v>5.3526962590200808</v>
      </c>
    </row>
    <row r="7" spans="2:9" ht="12.75" customHeight="1">
      <c r="B7" s="100" t="s">
        <v>274</v>
      </c>
      <c r="C7" s="338">
        <f>Normalized_FCF!G8</f>
        <v>354022</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8"/>
      <c r="H7" s="247">
        <v>4</v>
      </c>
      <c r="I7" s="124" t="str">
        <f t="shared" si="0"/>
        <v/>
      </c>
    </row>
    <row r="8" spans="2:9">
      <c r="B8" s="100" t="s">
        <v>66</v>
      </c>
      <c r="C8" s="338">
        <f>Normalized_FCF!G19</f>
        <v>194373</v>
      </c>
      <c r="D8" t="str">
        <f>Reporting_currency</f>
        <v>HKD</v>
      </c>
      <c r="E8" s="368"/>
      <c r="F8" s="368"/>
      <c r="H8" s="247">
        <v>5</v>
      </c>
      <c r="I8" s="124" t="str">
        <f t="shared" si="0"/>
        <v/>
      </c>
    </row>
    <row r="9" spans="2:9">
      <c r="B9" s="100" t="s">
        <v>57</v>
      </c>
      <c r="C9" s="338">
        <f>Normalized_FCF!C19</f>
        <v>138391.47791159325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1.2656410607081225E-2</v>
      </c>
      <c r="D12" s="158"/>
      <c r="E12" s="368"/>
      <c r="F12" s="368"/>
      <c r="H12" s="247">
        <v>9</v>
      </c>
      <c r="I12" s="124" t="str">
        <f t="shared" si="0"/>
        <v/>
      </c>
    </row>
    <row r="13" spans="2:9">
      <c r="B13" s="148" t="s">
        <v>151</v>
      </c>
      <c r="C13" s="158">
        <f ca="1">(Normalized_FCF!G8/OFFSET(Normalized_FCF!G8, 0, $C$4))^(1/$C$4) - 1</f>
        <v>3.5687612277801151E-2</v>
      </c>
      <c r="E13" s="368"/>
      <c r="F13" s="368"/>
      <c r="H13" s="247">
        <v>10</v>
      </c>
      <c r="I13" s="124" t="str">
        <f t="shared" si="0"/>
        <v/>
      </c>
    </row>
    <row r="14" spans="2:9">
      <c r="B14" s="100" t="s">
        <v>66</v>
      </c>
      <c r="C14" s="158">
        <f ca="1">(Normalized_FCF!G19/OFFSET(Normalized_FCF!G19, 0, $C$4))^(1/$C$4) - 1</f>
        <v>1.5957752466103425E-2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3.43</v>
      </c>
      <c r="D21" t="str">
        <f>Market_currency</f>
        <v>HKD</v>
      </c>
      <c r="E21" s="369"/>
      <c r="F21" s="369"/>
    </row>
    <row r="22" spans="2:6">
      <c r="B22" s="100" t="s">
        <v>277</v>
      </c>
      <c r="C22" s="160">
        <f>IF(valuation_method="DCF",DCF!C12,DDM!C7)</f>
        <v>4.6297432042189586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5.1317918817422639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4.8688606222958182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5.4213962701549159</v>
      </c>
      <c r="D39" t="str">
        <f>Market_currency</f>
        <v>HKD</v>
      </c>
      <c r="E39" s="367"/>
      <c r="F39" s="367"/>
    </row>
    <row r="40" spans="2:6">
      <c r="B40" s="100" t="s">
        <v>146</v>
      </c>
      <c r="C40" s="167">
        <f>1-C28-C34</f>
        <v>0.2</v>
      </c>
      <c r="D40" s="165"/>
      <c r="E40" s="367"/>
      <c r="F40" s="367"/>
    </row>
    <row r="42" spans="2:6" ht="13.15">
      <c r="B42" s="100" t="s">
        <v>119</v>
      </c>
      <c r="C42" s="154">
        <f>C27*C28+C33*C34+C39*C40</f>
        <v>5.1371265075355055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4.6297432042189586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7.3959048405435714</v>
      </c>
      <c r="D57" t="str">
        <f>Market_currency</f>
        <v>HKD</v>
      </c>
      <c r="E57" s="367"/>
      <c r="F57" s="367"/>
    </row>
    <row r="58" spans="2:6">
      <c r="B58" s="100" t="s">
        <v>146</v>
      </c>
      <c r="C58" s="165">
        <v>0.05</v>
      </c>
      <c r="D58" s="165"/>
      <c r="E58" s="367"/>
      <c r="F58" s="367"/>
    </row>
    <row r="60" spans="2:6" ht="13.15">
      <c r="B60" s="100" t="s">
        <v>119</v>
      </c>
      <c r="C60" s="154">
        <f>C51*C52+C57*C58+C42*(1-C52-C58)</f>
        <v>5.2246962590200807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5.2239059043697216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0.16145934558016128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0.128</v>
      </c>
      <c r="D77" t="str">
        <f>Market_currency</f>
        <v>HKD</v>
      </c>
    </row>
    <row r="79" spans="2:6" ht="13.15">
      <c r="B79" s="109" t="s">
        <v>300</v>
      </c>
    </row>
    <row r="80" spans="2:6">
      <c r="B80" s="148" t="s">
        <v>298</v>
      </c>
      <c r="C80" s="167">
        <f>Thesis!F29</f>
        <v>0.3674</v>
      </c>
    </row>
    <row r="81" spans="2:8">
      <c r="B81" s="100" t="s">
        <v>120</v>
      </c>
      <c r="C81" s="116">
        <f>PV(C80, C76, -C77, 0)</f>
        <v>0.21212919287870191</v>
      </c>
      <c r="D81" s="116"/>
      <c r="E81" s="100"/>
      <c r="F81" s="100"/>
    </row>
    <row r="82" spans="2:8">
      <c r="B82" s="100" t="s">
        <v>121</v>
      </c>
      <c r="C82" s="116">
        <f>C60/(1+C80)^C76</f>
        <v>2.0434984886306262</v>
      </c>
      <c r="D82" s="116"/>
    </row>
    <row r="83" spans="2:8" ht="13.15">
      <c r="B83" s="110" t="s">
        <v>101</v>
      </c>
      <c r="C83" s="111">
        <f>C81+C82</f>
        <v>2.2556276815093281</v>
      </c>
      <c r="D83" t="str">
        <f>Market_currency</f>
        <v>HKD</v>
      </c>
      <c r="E83" s="146" t="s">
        <v>125</v>
      </c>
      <c r="F83" s="291">
        <f>(1-C83/C60)</f>
        <v>0.56827582510368113</v>
      </c>
    </row>
    <row r="84" spans="2:8">
      <c r="E84" s="120"/>
    </row>
    <row r="85" spans="2:8" ht="13.15">
      <c r="B85" s="109" t="s">
        <v>301</v>
      </c>
    </row>
    <row r="86" spans="2:8">
      <c r="B86" s="148" t="s">
        <v>299</v>
      </c>
      <c r="C86" s="116">
        <f>Market_Price</f>
        <v>3.43</v>
      </c>
      <c r="D86" t="str">
        <f>Market_currency</f>
        <v>HKD</v>
      </c>
    </row>
    <row r="87" spans="2:8" ht="13.15">
      <c r="B87" s="100" t="s">
        <v>297</v>
      </c>
      <c r="C87" s="237">
        <f ca="1">IRR(OFFSET($I$3, 0, 0, $C$76 + 1, 1))</f>
        <v>0.18332649113807564</v>
      </c>
    </row>
    <row r="88" spans="2:8">
      <c r="B88" s="100"/>
    </row>
    <row r="89" spans="2:8" ht="13.15">
      <c r="B89" s="109" t="s">
        <v>409</v>
      </c>
    </row>
    <row r="90" spans="2:8">
      <c r="B90" s="148" t="s">
        <v>410</v>
      </c>
      <c r="C90" s="167">
        <f>Thesis!F30</f>
        <v>0.21740000000000001</v>
      </c>
    </row>
    <row r="91" spans="2:8">
      <c r="B91" s="100" t="s">
        <v>120</v>
      </c>
      <c r="C91" s="116">
        <f>PV(C90, C76, -C77, 0)</f>
        <v>0.2624513054547119</v>
      </c>
      <c r="D91" s="116"/>
      <c r="E91" s="100"/>
      <c r="F91" s="100"/>
    </row>
    <row r="92" spans="2:8">
      <c r="B92" s="100" t="s">
        <v>121</v>
      </c>
      <c r="C92" s="116">
        <f>C60/(1+C90)^C76</f>
        <v>2.8957506018897798</v>
      </c>
      <c r="D92" s="116"/>
    </row>
    <row r="93" spans="2:8" ht="13.15">
      <c r="B93" s="110" t="s">
        <v>101</v>
      </c>
      <c r="C93" s="111">
        <f>C91+C92</f>
        <v>3.1582019073444916</v>
      </c>
      <c r="D93" t="str">
        <f>Market_currency</f>
        <v>HKD</v>
      </c>
      <c r="E93" s="146" t="s">
        <v>125</v>
      </c>
      <c r="F93" s="291">
        <f>(1-C93/C60)</f>
        <v>0.39552430404120198</v>
      </c>
    </row>
    <row r="95" spans="2:8" ht="13.15">
      <c r="B95" s="109" t="s">
        <v>394</v>
      </c>
      <c r="G95" s="2"/>
      <c r="H95" s="281"/>
    </row>
    <row r="96" spans="2:8">
      <c r="B96" s="148" t="s">
        <v>400</v>
      </c>
      <c r="C96" s="134">
        <f>Thesis!F31</f>
        <v>7.4999999999999997E-2</v>
      </c>
      <c r="G96" s="2"/>
      <c r="H96" s="281"/>
    </row>
    <row r="97" spans="2:8">
      <c r="B97" s="100" t="s">
        <v>120</v>
      </c>
      <c r="C97" s="116">
        <f>PV(C96, C76, -C77, 0)</f>
        <v>0.33286729470361087</v>
      </c>
      <c r="D97" s="116"/>
      <c r="G97" s="2"/>
      <c r="H97" s="281"/>
    </row>
    <row r="98" spans="2:8">
      <c r="B98" s="100" t="s">
        <v>121</v>
      </c>
      <c r="C98" s="116">
        <f>C60/(1+C96)^C76</f>
        <v>4.2056744761754965</v>
      </c>
      <c r="D98" s="116"/>
      <c r="G98" s="2"/>
      <c r="H98" s="281"/>
    </row>
    <row r="99" spans="2:8" ht="13.15">
      <c r="B99" s="110" t="s">
        <v>395</v>
      </c>
      <c r="C99" s="111">
        <f>C97+C98</f>
        <v>4.5385417708791076</v>
      </c>
      <c r="D99" t="s">
        <v>393</v>
      </c>
      <c r="E99" s="146" t="s">
        <v>125</v>
      </c>
      <c r="F99" s="291">
        <f>(1-C99/C60)</f>
        <v>0.13132906759055596</v>
      </c>
    </row>
    <row r="100" spans="2:8">
      <c r="B100" s="100"/>
    </row>
    <row r="101" spans="2:8" ht="13.15">
      <c r="B101" s="109" t="s">
        <v>418</v>
      </c>
    </row>
    <row r="102" spans="2:8">
      <c r="B102" s="148" t="s">
        <v>417</v>
      </c>
      <c r="C102" s="134">
        <f>Thesis!F32</f>
        <v>0.1174</v>
      </c>
    </row>
    <row r="103" spans="2:8">
      <c r="B103" s="100" t="s">
        <v>120</v>
      </c>
      <c r="C103" s="116">
        <f>PV(C102, C76, -C77, 0)</f>
        <v>0.30881320012014707</v>
      </c>
      <c r="D103" s="116"/>
    </row>
    <row r="104" spans="2:8">
      <c r="B104" s="100" t="s">
        <v>121</v>
      </c>
      <c r="C104" s="116">
        <f>C60/(1+C102)^C76</f>
        <v>3.7448553439982017</v>
      </c>
      <c r="D104" s="116"/>
    </row>
    <row r="105" spans="2:8" ht="13.15">
      <c r="B105" s="110" t="s">
        <v>395</v>
      </c>
      <c r="C105" s="111">
        <f>C103+C104</f>
        <v>4.0536685441183486</v>
      </c>
      <c r="D105" t="s">
        <v>393</v>
      </c>
      <c r="E105" s="146" t="s">
        <v>125</v>
      </c>
      <c r="F105" s="291">
        <f>(1-C105/C66)</f>
        <v>0.22401578084943807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