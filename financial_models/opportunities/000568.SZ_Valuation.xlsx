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CA9EEB-2AE4-4734-ACBC-3D1516A0D02E}"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<sst xmlns="http://schemas.openxmlformats.org/spreadsheetml/2006/main" count="768" uniqueCount="557">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</sst>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100.61</v>
      </c>
      <c r="E8" s="32"/>
    </row>
    <row r="9" spans="1:9">
      <c r="B9" s="4" t="s">
        <v>343</v>
      </c>
      <c r="C9" s="48">
        <v>1471941963</v>
      </c>
    </row>
    <row r="10" spans="1:9">
      <c r="B10" s="4" t="s">
        <v>349</v>
      </c>
      <c r="C10" s="33">
        <f>Thesis!C8*Common_Shares/1000000</f>
        <v>148092.08089742999</v>
      </c>
      <c r="D10" s="1" t="s">
        <v>524</v>
      </c>
      <c r="E10" s="303">
        <f>Scenarios!F34</f>
        <v>0.23523004608014461</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17736569087.803993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3" t="s">
        <v>205</v>
      </c>
      <c r="C51" s="463"/>
      <c r="D51" s="463"/>
      <c r="E51" s="463"/>
      <c r="F51" s="463"/>
    </row>
    <row r="52" spans="2:6">
      <c r="B52" s="44" t="s">
        <v>203</v>
      </c>
      <c r="C52" s="285">
        <f>Normalized_FCF!C12</f>
        <v>-4408060684.8810644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8.9002534632627167E-2</v>
      </c>
      <c r="F62" s="257"/>
    </row>
    <row r="63" spans="2:6">
      <c r="B63" s="204" t="s">
        <v>329</v>
      </c>
      <c r="C63" s="89">
        <f>Normalized_FCF!C92</f>
        <v>4.1077427691084391E-2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3" t="s">
        <v>354</v>
      </c>
      <c r="C124" s="463"/>
      <c r="D124" s="463"/>
      <c r="E124" s="463"/>
      <c r="F124" s="463"/>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4.1077427691084391E-2</v>
      </c>
      <c r="E92" s="237"/>
      <c r="G92" s="22">
        <f t="shared" ref="G92:Q92" si="38">IF(G$4="","",(G88*(1-dividend_tax_rate))/Market_Price)</f>
        <v>4.1077427691084391E-2</v>
      </c>
      <c r="H92" s="22">
        <f t="shared" si="38"/>
        <v>4.8306035185369245E-2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8.9002534632627167E-2</v>
      </c>
      <c r="D124" s="26"/>
      <c r="E124" s="234"/>
      <c r="F124" s="26"/>
      <c r="G124" s="74">
        <f t="shared" ref="G124" si="49">IF(G$4="","",G123/Market_Price)</f>
        <v>8.6729945164890854E-2</v>
      </c>
      <c r="H124" s="74">
        <f t="shared" ref="H124" si="50">IF(H$4="","",H123/Market_Price)</f>
        <v>8.3880112135948329E-2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9.114449934860927E-2</v>
      </c>
      <c r="H125" s="22">
        <f>IF(H$4="","",(Data!D47*$C$3)/(Market_Price*Common_Shares))</f>
        <v>8.9732414742783262E-2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100.61</v>
      </c>
      <c r="D34" t="str">
        <f>Market_currency</f>
        <v>CNY</v>
      </c>
      <c r="E34" s="97" t="s">
        <v>451</v>
      </c>
      <c r="F34" s="330">
        <f>RATE(Holding_Period,$C$33,-C34,$C$36)</f>
        <v>0.23523004608014461</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100.61</v>
      </c>
    </row>
    <row r="9" spans="1:10">
      <c r="B9" s="351" t="s">
        <v>358</v>
      </c>
      <c r="C9" s="353">
        <f>Common_Shares</f>
        <v>1471941963</v>
      </c>
    </row>
    <row r="10" spans="1:10">
      <c r="B10" s="351" t="s">
        <v>364</v>
      </c>
      <c r="C10" s="357">
        <f>投资主题!C8*Common_Shares/1000000</f>
        <v>148092.08089742999</v>
      </c>
      <c r="D10" s="343" t="s">
        <v>525</v>
      </c>
      <c r="E10" s="360">
        <f>Scenarios!F34</f>
        <v>0.23523004608014461</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8.9002534632627167E-2</v>
      </c>
      <c r="F62" s="379"/>
    </row>
    <row r="63" spans="2:6">
      <c r="B63" s="377" t="s">
        <v>329</v>
      </c>
      <c r="C63" s="378">
        <f>Normalized_FCF!C92</f>
        <v>4.1077427691084391E-2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