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9446C44-487D-4E4E-B4FA-4EABCED5635D}"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C23" i="3"/>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<sst xmlns="http://schemas.openxmlformats.org/spreadsheetml/2006/main" count="768" uniqueCount="557">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</sst>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0" sqref="C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46038</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116.64</v>
      </c>
      <c r="E8" s="32"/>
    </row>
    <row r="9" spans="1:9">
      <c r="B9" s="4" t="s">
        <v>344</v>
      </c>
      <c r="C9" s="48">
        <v>1471941963</v>
      </c>
    </row>
    <row r="10" spans="1:9">
      <c r="B10" s="4" t="s">
        <v>350</v>
      </c>
      <c r="C10" s="33">
        <f>Thesis!C8*Common_Shares/1000000</f>
        <v>171687.31056432001</v>
      </c>
      <c r="D10" s="1" t="s">
        <v>525</v>
      </c>
      <c r="E10" s="303">
        <f>Scenarios!F34</f>
        <v>0.13157609767049624</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154.90342821921132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78.946478897531932</v>
      </c>
      <c r="D22" s="38" t="s">
        <v>404</v>
      </c>
      <c r="E22" s="79">
        <v>0.29465259038036601</v>
      </c>
    </row>
    <row r="23" spans="1:6">
      <c r="B23" s="1" t="s">
        <v>312</v>
      </c>
      <c r="C23" s="256">
        <f>E141</f>
        <v>98.170331899821747</v>
      </c>
      <c r="D23" s="38" t="s">
        <v>405</v>
      </c>
      <c r="E23" s="443">
        <v>0.20075184365903001</v>
      </c>
    </row>
    <row r="24" spans="1:6">
      <c r="B24" s="1" t="s">
        <v>314</v>
      </c>
      <c r="C24" s="256">
        <f>E144</f>
        <v>120.99944828862141</v>
      </c>
      <c r="D24" s="38" t="s">
        <v>406</v>
      </c>
      <c r="E24" s="443">
        <v>0.1174</v>
      </c>
    </row>
    <row r="25" spans="1:6">
      <c r="B25" s="1" t="s">
        <v>313</v>
      </c>
      <c r="C25" s="256">
        <f>E145</f>
        <v>136.36157636797898</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17736569087.803993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3" t="s">
        <v>206</v>
      </c>
      <c r="C51" s="463"/>
      <c r="D51" s="463"/>
      <c r="E51" s="463"/>
      <c r="F51" s="463"/>
    </row>
    <row r="52" spans="2:6">
      <c r="B52" s="44" t="s">
        <v>204</v>
      </c>
      <c r="C52" s="285">
        <f>Normalized_FCF!C12</f>
        <v>-4408060684.8810644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7.6770790546884585E-2</v>
      </c>
      <c r="F62" s="257"/>
    </row>
    <row r="63" spans="2:6">
      <c r="B63" s="204" t="s">
        <v>330</v>
      </c>
      <c r="C63" s="89">
        <f>Normalized_FCF!C92</f>
        <v>3.5432098765432102E-2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c r="B124" s="463" t="s">
        <v>355</v>
      </c>
      <c r="C124" s="463"/>
      <c r="D124" s="463"/>
      <c r="E124" s="463"/>
      <c r="F124" s="463"/>
    </row>
    <row r="125" spans="2:6">
      <c r="B125" s="193" t="s">
        <v>218</v>
      </c>
      <c r="C125" s="197">
        <f>Scenarios!C36</f>
        <v>154.90342821921132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7.5624105937479049</v>
      </c>
      <c r="D140" s="333">
        <f>Scenarios!D62</f>
        <v>71.384068303784034</v>
      </c>
      <c r="E140" s="334">
        <f>Scenarios!E62</f>
        <v>78.946478897531932</v>
      </c>
      <c r="F140" s="335">
        <f>E22</f>
        <v>0.29465259038036601</v>
      </c>
    </row>
    <row r="141" spans="1:6">
      <c r="B141" s="336" t="s">
        <v>312</v>
      </c>
      <c r="C141" s="333">
        <f>Scenarios!C63</f>
        <v>8.6954275132736498</v>
      </c>
      <c r="D141" s="333">
        <f>Scenarios!D63</f>
        <v>89.47490438654809</v>
      </c>
      <c r="E141" s="334">
        <f>Scenarios!E63</f>
        <v>98.170331899821747</v>
      </c>
      <c r="F141" s="335">
        <f>Scenarios!F63</f>
        <v>0.20075184365903001</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9.9708061988792505</v>
      </c>
      <c r="D144" s="333">
        <f>Scenarios!D66</f>
        <v>111.02864208974216</v>
      </c>
      <c r="E144" s="334">
        <f>Scenarios!E66</f>
        <v>120.99944828862141</v>
      </c>
      <c r="F144" s="335">
        <f>E24</f>
        <v>0.1174</v>
      </c>
    </row>
    <row r="145" spans="1:6">
      <c r="B145" s="336" t="s">
        <v>313</v>
      </c>
      <c r="C145" s="333">
        <f>Scenarios!C67</f>
        <v>10.796424338860641</v>
      </c>
      <c r="D145" s="333">
        <f>Scenarios!D67</f>
        <v>125.56515202911834</v>
      </c>
      <c r="E145" s="334">
        <f>Scenarios!E67</f>
        <v>136.36157636797898</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77" activePane="bottomRight" state="frozen"/>
      <selection activeCell="C17" sqref="C17"/>
      <selection pane="topRight" activeCell="C17" sqref="C17"/>
      <selection pane="bottomLeft" activeCell="C17" sqref="C17"/>
      <selection pane="bottomRight" activeCell="C92" sqref="C9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3.5432098765432102E-2</v>
      </c>
      <c r="E92" s="237"/>
      <c r="G92" s="22">
        <f t="shared" ref="G92:Q92" si="38">IF(G$4="","",(G88*(1-dividend_tax_rate))/Market_Price)</f>
        <v>3.5432098765432102E-2</v>
      </c>
      <c r="H92" s="22">
        <f t="shared" si="38"/>
        <v>4.166726851851852E-2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7.6770790546884585E-2</v>
      </c>
      <c r="D124" s="26"/>
      <c r="E124" s="234"/>
      <c r="F124" s="26"/>
      <c r="G124" s="74">
        <f t="shared" ref="G124" si="49">IF(G$4="","",G123/Market_Price)</f>
        <v>7.481052626062816E-2</v>
      </c>
      <c r="H124" s="74">
        <f t="shared" ref="H124" si="50">IF(H$4="","",H123/Market_Price)</f>
        <v>7.2352349811366262E-2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7.8618382025579372E-2</v>
      </c>
      <c r="H125" s="22">
        <f>IF(H$4="","",(Data!D47*$C$3)/(Market_Price*Common_Shares))</f>
        <v>7.7400362202258433E-2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ht="13.15">
      <c r="G52" s="111"/>
      <c r="H52" s="111"/>
      <c r="I52" s="111"/>
      <c r="J52" s="468" t="s">
        <v>418</v>
      </c>
      <c r="K52" s="468"/>
      <c r="L52" s="317">
        <f>SUM(L21:L51)</f>
        <v>204489167276.40967</v>
      </c>
    </row>
    <row r="53" spans="1:21">
      <c r="C53" s="111"/>
    </row>
    <row r="54" spans="1:21" ht="13.15">
      <c r="B54" s="115" t="s">
        <v>108</v>
      </c>
      <c r="C54" s="128"/>
      <c r="D54" s="128"/>
      <c r="E54" s="113"/>
      <c r="F54" s="113"/>
      <c r="G54" s="113"/>
      <c r="H54" s="113"/>
      <c r="I54" s="113"/>
      <c r="J54" s="113"/>
      <c r="K54" s="113"/>
      <c r="L54" s="113"/>
    </row>
    <row r="55" spans="1:21" ht="13.15">
      <c r="A55" s="125">
        <f>L52</f>
        <v>204489167276.40967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17654238551.57</v>
      </c>
      <c r="D7" s="469"/>
      <c r="E7" s="469"/>
      <c r="F7" s="469"/>
      <c r="G7" s="469"/>
    </row>
    <row r="8" spans="2:7">
      <c r="B8" s="97" t="s">
        <v>63</v>
      </c>
      <c r="C8" s="447">
        <f>Normalized_FCF!G19</f>
        <v>12844018055.588684</v>
      </c>
      <c r="D8" s="469"/>
      <c r="E8" s="469"/>
      <c r="F8" s="469"/>
      <c r="G8" s="469"/>
    </row>
    <row r="9" spans="2:7">
      <c r="B9" s="97" t="s">
        <v>54</v>
      </c>
      <c r="C9" s="447">
        <f>Normalized_FCF!C19</f>
        <v>13180570558.891336</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158.87510787252245</v>
      </c>
      <c r="F22" s="328">
        <f>1-F23-F24</f>
        <v>0.19999999999999996</v>
      </c>
      <c r="G22" s="328">
        <f>F22*(1-F$29-F$30)</f>
        <v>0.15999999999999995</v>
      </c>
    </row>
    <row r="23" spans="2:7">
      <c r="B23" s="302" t="s">
        <v>435</v>
      </c>
      <c r="C23" s="324">
        <v>0.02</v>
      </c>
      <c r="D23" s="325">
        <f>C18</f>
        <v>5</v>
      </c>
      <c r="E23" s="326">
        <f>DCF!E92</f>
        <v>152.86330883759453</v>
      </c>
      <c r="F23" s="327">
        <v>0.55000000000000004</v>
      </c>
      <c r="G23" s="328">
        <f t="shared" ref="G23:G24" si="0">F23*(1-F$29-F$30)</f>
        <v>0.44</v>
      </c>
    </row>
    <row r="24" spans="2:7">
      <c r="B24" s="302" t="s">
        <v>444</v>
      </c>
      <c r="C24" s="324">
        <v>0.01</v>
      </c>
      <c r="D24" s="325">
        <f>C18</f>
        <v>5</v>
      </c>
      <c r="E24" s="326">
        <f>DCF!E93</f>
        <v>147.06779159338589</v>
      </c>
      <c r="F24" s="327">
        <v>0.25</v>
      </c>
      <c r="G24" s="328">
        <f t="shared" si="0"/>
        <v>0.19999999999999998</v>
      </c>
    </row>
    <row r="25" spans="2:7">
      <c r="B25" s="141" t="s">
        <v>449</v>
      </c>
      <c r="C25" s="441">
        <f>E23*F23+E24*F24+E22*F22</f>
        <v>152.61678933352795</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171.57248846328142</v>
      </c>
      <c r="F29" s="327">
        <v>0.15</v>
      </c>
      <c r="G29" s="328">
        <f>F29</f>
        <v>0.15</v>
      </c>
    </row>
    <row r="30" spans="2:7">
      <c r="B30" s="315" t="s">
        <v>445</v>
      </c>
      <c r="C30" s="324">
        <v>0</v>
      </c>
      <c r="D30" s="325">
        <f>C18</f>
        <v>5</v>
      </c>
      <c r="E30" s="326">
        <f>DCF!E94</f>
        <v>141.48246965793527</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116.64</v>
      </c>
      <c r="D34" t="str">
        <f>Market_currency</f>
        <v>CNY</v>
      </c>
      <c r="E34" s="97" t="s">
        <v>452</v>
      </c>
      <c r="F34" s="330">
        <f>RATE(Holding_Period,$C$33,-C34,$C$36)</f>
        <v>0.13157609767049624</v>
      </c>
    </row>
    <row r="35" spans="2:7">
      <c r="B35" s="97" t="s">
        <v>432</v>
      </c>
      <c r="C35" s="320">
        <f>DCF!C11</f>
        <v>190.20472081320983</v>
      </c>
      <c r="D35" s="97" t="str">
        <f>Market_currency</f>
        <v>CNY</v>
      </c>
      <c r="E35" s="97" t="s">
        <v>452</v>
      </c>
      <c r="F35" s="330">
        <f>RATE(Holding_Period,$C$33,-C35,$C$36)</f>
        <v>-4.2866666015237087E-2</v>
      </c>
    </row>
    <row r="36" spans="2:7">
      <c r="B36" s="97" t="s">
        <v>433</v>
      </c>
      <c r="C36" s="321">
        <f>E22*G22+E23*G23+E24*G24+E30*G30+E29*G29</f>
        <v>154.90342821921132</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155.15545216460865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0.10477949826246805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7.5624105937479049</v>
      </c>
      <c r="D62" s="119">
        <f>C36/(1+F62)^Holding_Period</f>
        <v>71.384068303784034</v>
      </c>
      <c r="E62" s="332">
        <f>C62+D62</f>
        <v>78.946478897531932</v>
      </c>
      <c r="F62" s="301">
        <f>Thesis!E22</f>
        <v>0.29465259038036601</v>
      </c>
      <c r="G62" s="440">
        <f>(1-E62/C36)</f>
        <v>0.49035034404912614</v>
      </c>
    </row>
    <row r="63" spans="2:7" ht="13.15">
      <c r="B63" s="302" t="s">
        <v>312</v>
      </c>
      <c r="C63" s="119">
        <f>PV(F63, Holding_Period, -C58, 0)</f>
        <v>8.6954275132736498</v>
      </c>
      <c r="D63" s="119">
        <f>C36/(1+F63)^Holding_Period</f>
        <v>89.47490438654809</v>
      </c>
      <c r="E63" s="332">
        <f>C63+D63</f>
        <v>98.170331899821747</v>
      </c>
      <c r="F63" s="301">
        <f>Thesis!E23</f>
        <v>0.20075184365903001</v>
      </c>
      <c r="G63" s="440">
        <f>(1-E63/C36)</f>
        <v>0.36624816488311562</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9.9708061988792505</v>
      </c>
      <c r="D66" s="119">
        <f>C36/(1+F66)^Holding_Period</f>
        <v>111.02864208974216</v>
      </c>
      <c r="E66" s="332">
        <f>C66+D66</f>
        <v>120.99944828862141</v>
      </c>
      <c r="F66" s="301">
        <f>Thesis!E24</f>
        <v>0.1174</v>
      </c>
      <c r="G66" s="440">
        <f>(1-E66/C36)</f>
        <v>0.21887172104810204</v>
      </c>
    </row>
    <row r="67" spans="2:7" ht="13.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46038</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116.64</v>
      </c>
    </row>
    <row r="9" spans="1:10">
      <c r="B9" s="351" t="s">
        <v>359</v>
      </c>
      <c r="C9" s="353">
        <f>Common_Shares</f>
        <v>1471941963</v>
      </c>
    </row>
    <row r="10" spans="1:10">
      <c r="B10" s="351" t="s">
        <v>365</v>
      </c>
      <c r="C10" s="357">
        <f>投资主题!C8*Common_Shares/1000000</f>
        <v>171687.31056432001</v>
      </c>
      <c r="D10" s="343" t="s">
        <v>526</v>
      </c>
      <c r="E10" s="360">
        <f>Scenarios!F34</f>
        <v>0.13157609767049624</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154.90342821921132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78.946478897531932</v>
      </c>
      <c r="D22" s="365" t="s">
        <v>438</v>
      </c>
      <c r="E22" s="366">
        <f>Thesis!E22</f>
        <v>0.29465259038036601</v>
      </c>
    </row>
    <row r="23" spans="1:6">
      <c r="B23" s="343" t="s">
        <v>339</v>
      </c>
      <c r="C23" s="367">
        <f>E141</f>
        <v>98.170331899821747</v>
      </c>
      <c r="D23" s="365" t="s">
        <v>439</v>
      </c>
      <c r="E23" s="368">
        <f>Thesis!E23</f>
        <v>0.20075184365903001</v>
      </c>
    </row>
    <row r="24" spans="1:6">
      <c r="B24" s="343" t="s">
        <v>341</v>
      </c>
      <c r="C24" s="367">
        <f>E144</f>
        <v>120.99944828862141</v>
      </c>
      <c r="D24" s="365" t="s">
        <v>441</v>
      </c>
      <c r="E24" s="368">
        <f>Thesis!E24</f>
        <v>0.1174</v>
      </c>
    </row>
    <row r="25" spans="1:6">
      <c r="B25" s="343" t="s">
        <v>340</v>
      </c>
      <c r="C25" s="367">
        <f>E145</f>
        <v>136.36157636797898</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7.6770790546884585E-2</v>
      </c>
      <c r="F62" s="379"/>
    </row>
    <row r="63" spans="2:6">
      <c r="B63" s="377" t="s">
        <v>330</v>
      </c>
      <c r="C63" s="378">
        <f>Normalized_FCF!C92</f>
        <v>3.5432098765432102E-2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171.57 CNY</v>
      </c>
      <c r="F118" s="399">
        <f>DCF!F90</f>
        <v>0.15</v>
      </c>
    </row>
    <row r="119" spans="1:6">
      <c r="A119" s="385"/>
      <c r="B119" s="400" t="str">
        <f>DCF!B91</f>
        <v>Optimistic</v>
      </c>
      <c r="C119" s="401">
        <f>DCF!C91</f>
        <v>0.03</v>
      </c>
      <c r="D119" s="402">
        <f>DCF!D91</f>
        <v>5</v>
      </c>
      <c r="E119" s="398" t="str">
        <f>ROUND(DCF!E91,2)&amp;" "&amp;Market_currency</f>
        <v>158.88 CNY</v>
      </c>
      <c r="F119" s="403">
        <f>DCF!F91</f>
        <v>0.15999999999999995</v>
      </c>
    </row>
    <row r="120" spans="1:6">
      <c r="B120" s="400" t="str">
        <f>DCF!B92</f>
        <v>Base</v>
      </c>
      <c r="C120" s="401">
        <f>DCF!C92</f>
        <v>0.02</v>
      </c>
      <c r="D120" s="402">
        <f>DCF!D92</f>
        <v>5</v>
      </c>
      <c r="E120" s="398" t="str">
        <f>ROUND(DCF!E92,2)&amp;" "&amp;Market_currency</f>
        <v>152.86 CNY</v>
      </c>
      <c r="F120" s="403">
        <f>DCF!F92</f>
        <v>0.44</v>
      </c>
    </row>
    <row r="121" spans="1:6">
      <c r="B121" s="400" t="str">
        <f>DCF!B93</f>
        <v>Pessimistic</v>
      </c>
      <c r="C121" s="401">
        <f>DCF!C93</f>
        <v>0.01</v>
      </c>
      <c r="D121" s="402">
        <f>DCF!D93</f>
        <v>5</v>
      </c>
      <c r="E121" s="398" t="str">
        <f>ROUND(DCF!E93,2)&amp;" "&amp;Market_currency</f>
        <v>147.07 CNY</v>
      </c>
      <c r="F121" s="403">
        <f>DCF!F93</f>
        <v>0.19999999999999998</v>
      </c>
    </row>
    <row r="122" spans="1:6">
      <c r="B122" s="400" t="str">
        <f>DCF!B94</f>
        <v>Devil's advocate</v>
      </c>
      <c r="C122" s="401">
        <f>DCF!C94</f>
        <v>0</v>
      </c>
      <c r="D122" s="402">
        <f>DCF!D94</f>
        <v>5</v>
      </c>
      <c r="E122" s="398" t="str">
        <f>ROUND(DCF!E94,2)&amp;" "&amp;Market_currency</f>
        <v>141.48 CNY</v>
      </c>
      <c r="F122" s="403">
        <f>DCF!F94</f>
        <v>0.05</v>
      </c>
    </row>
    <row r="124" spans="1:6">
      <c r="B124" s="470" t="s">
        <v>516</v>
      </c>
      <c r="C124" s="470"/>
      <c r="D124" s="470"/>
      <c r="E124" s="470"/>
      <c r="F124" s="470"/>
    </row>
    <row r="125" spans="1:6">
      <c r="B125" s="372" t="s">
        <v>218</v>
      </c>
      <c r="C125" s="404">
        <f>Scenarios!C36</f>
        <v>154.90342821921132</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7.5624105937479049</v>
      </c>
      <c r="D140" s="409">
        <f>Scenarios!D62</f>
        <v>71.384068303784034</v>
      </c>
      <c r="E140" s="410">
        <f>Scenarios!E62</f>
        <v>78.946478897531932</v>
      </c>
      <c r="F140" s="411">
        <f>E22</f>
        <v>0.29465259038036601</v>
      </c>
    </row>
    <row r="141" spans="1:6">
      <c r="B141" s="408" t="s">
        <v>312</v>
      </c>
      <c r="C141" s="409">
        <f>Scenarios!C63</f>
        <v>8.6954275132736498</v>
      </c>
      <c r="D141" s="409">
        <f>Scenarios!D63</f>
        <v>89.47490438654809</v>
      </c>
      <c r="E141" s="410">
        <f>Scenarios!E63</f>
        <v>98.170331899821747</v>
      </c>
      <c r="F141" s="411">
        <f>Scenarios!F63</f>
        <v>0.20075184365903001</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9.9708061988792505</v>
      </c>
      <c r="D144" s="409">
        <f>Scenarios!D66</f>
        <v>111.02864208974216</v>
      </c>
      <c r="E144" s="410">
        <f>Scenarios!E66</f>
        <v>120.99944828862141</v>
      </c>
      <c r="F144" s="411">
        <f>E24</f>
        <v>0.1174</v>
      </c>
    </row>
    <row r="145" spans="1:6">
      <c r="B145" s="408" t="s">
        <v>313</v>
      </c>
      <c r="C145" s="409">
        <f>Scenarios!C67</f>
        <v>10.796424338860641</v>
      </c>
      <c r="D145" s="409">
        <f>Scenarios!D67</f>
        <v>125.56515202911834</v>
      </c>
      <c r="E145" s="410">
        <f>Scenarios!E67</f>
        <v>136.36157636797898</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2026-02-13T08:50:02Z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