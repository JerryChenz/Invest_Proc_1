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3CEA6B3-BE3A-4756-86E4-322A0D8F0F8F}"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G19" i="3"/>
  <c r="C19" i="3"/>
  <c r="C23" i="3"/>
  <c r="C4" i="3"/>
  <c r="C5" i="4"/>
  <c r="D5" i="4"/>
  <c r="C6" i="4"/>
  <c r="D6" i="4"/>
  <c r="C25" i="4"/>
  <c r="D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<sst xmlns="http://schemas.openxmlformats.org/spreadsheetml/2006/main" count="768" uniqueCount="557">
  <si>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</si>
  <si>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</si>
  <si>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</si>
  <si>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</si>
  <si>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</si>
  <si>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</si>
  <si>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</si>
  <si>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</si>
  <si>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</si>
  <si>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</si>
  <si>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</si>
  <si>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</si>
  <si>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</si>
  <si>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</si>
  <si>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</si>
  <si>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</si>
  <si>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</si>
  <si>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</si>
  <si>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</si>
  <si>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</si>
  <si>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</si>
  <si>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</si>
  <si>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</si>
  <si>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</si>
  <si>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</si>
  <si>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</si>
  <si>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</si>
  <si>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</si>
  <si>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</si>
  <si>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</si>
  <si>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</si>
  <si>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</si>
  <si>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</si>
  <si>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</si>
  <si>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</si>
  <si>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</si>
  <si>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</si>
  <si>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</si>
  <si>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</si>
  <si>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</si>
  <si>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</si>
  <si>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</si>
  <si>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</si>
  <si>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</si>
  <si>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</si>
  <si>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</si>
  <si>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</si>
  <si>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</si>
  <si>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</si>
  <si>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</si>
  <si>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</si>
  <si>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</si>
  <si>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</si>
  <si>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</si>
  <si>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</si>
  <si>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</si>
  <si>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</si>
  <si>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</si>
  <si>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</si>
  <si>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</si>
  <si>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</si>
  <si>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</si>
  <si>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</si>
  <si>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</si>
  <si>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</si>
  <si>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</si>
  <si>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</si>
  <si>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</si>
  <si>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</si>
  <si>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</si>
  <si>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</si>
  <si>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</si>
  <si>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</si>
  <si>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</si>
  <si>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</si>
  <si>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</si>
  <si>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</si>
  <si>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</si>
  <si>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</si>
  <si>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</si>
  <si>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</si>
  <si>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</si>
  <si>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</si>
  <si>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</si>
  <si>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</si>
  <si>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</si>
  <si>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</si>
  <si>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</si>
  <si>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</si>
  <si>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</si>
  <si>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</si>
  <si>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</si>
  <si>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</si>
  <si>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</si>
  <si>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</si>
  <si>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</si>
  <si>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</si>
  <si>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</si>
  <si>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</si>
  <si>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</si>
  <si>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</si>
  <si>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</si>
  <si>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</si>
  <si>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</si>
  <si>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</si>
  <si>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</si>
  <si>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</si>
  <si>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</si>
  <si>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</si>
  <si>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</si>
  <si>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</si>
  <si>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</si>
  <si>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</si>
  <si>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</si>
  <si>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</si>
  <si>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</si>
  <si>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</si>
  <si>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</si>
  <si>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</si>
  <si>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</si>
  <si>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</si>
  <si>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</si>
  <si>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</si>
  <si>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</si>
  <si>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</si>
  <si>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</si>
  <si>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</si>
  <si>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</si>
  <si>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</si>
  <si>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</si>
  <si>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</si>
  <si>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</si>
  <si>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</si>
  <si>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</si>
  <si>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</si>
  <si>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</si>
  <si>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</si>
  <si>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</si>
  <si>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</si>
  <si>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</si>
  <si>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</si>
  <si>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</si>
  <si>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</si>
  <si>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</si>
  <si>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</si>
  <si>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</si>
  <si>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</si>
  <si>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</si>
  <si>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</si>
  <si>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</si>
  <si>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</si>
  <si>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</si>
  <si>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</si>
  <si>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</si>
  <si>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</si>
  <si>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</si>
  <si>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</si>
  <si>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</si>
  <si>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</si>
  <si>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</si>
  <si>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</si>
  <si>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</si>
  <si>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</si>
  <si>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</si>
  <si>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</si>
  <si>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</si>
  <si>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</si>
  <si>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</si>
  <si>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</si>
  <si>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</si>
  <si>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</si>
  <si>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</si>
  <si>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</si>
  <si>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</si>
  <si>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</si>
  <si>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</si>
  <si>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</si>
  <si>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</si>
  <si>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</si>
  <si>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</si>
  <si>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</si>
  <si>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</si>
  <si>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</si>
  <si>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</si>
  <si>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</si>
  <si>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</si>
  <si>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</si>
  <si>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</si>
  <si>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</si>
  <si>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</si>
  <si>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</si>
  <si>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</si>
  <si>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</si>
  <si>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</si>
  <si>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</si>
  <si>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</si>
  <si>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</si>
  <si>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</si>
  <si>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</si>
  <si>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</si>
  <si>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</si>
  <si>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</si>
  <si>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</si>
  <si>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</si>
  <si>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</si>
  <si>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</si>
  <si>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</si>
  <si>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</si>
  <si>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</si>
  <si>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</si>
  <si>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</si>
  <si>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</si>
  <si>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</si>
  <si>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</si>
  <si>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</si>
  <si>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</si>
  <si>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</si>
  <si>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</si>
  <si>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</si>
  <si>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</si>
  <si>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</si>
  <si>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</si>
  <si>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</si>
  <si>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</si>
  <si>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</si>
  <si>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</si>
  <si>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</si>
  <si>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</si>
  <si>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</si>
  <si>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</si>
  <si>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</si>
  <si>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</si>
  <si>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</si>
  <si>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</si>
  <si>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</si>
  <si>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</si>
  <si>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</si>
  <si>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</si>
  <si>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</si>
  <si>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</si>
  <si>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</si>
  <si>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</si>
  <si>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</si>
  <si>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</si>
  <si>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</si>
  <si>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</si>
  <si>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</si>
  <si>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</si>
  <si>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</si>
  <si>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</si>
  <si>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</si>
  <si>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</si>
  <si>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</si>
  <si>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</si>
  <si>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</si>
  <si>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</si>
  <si>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</si>
  <si>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</si>
  <si>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</si>
  <si>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</si>
  <si>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</si>
  <si>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</si>
  <si>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</si>
  <si>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</si>
  <si>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</si>
  <si>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</si>
  <si>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</si>
  <si>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</si>
  <si>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</si>
  <si>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</si>
  <si>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</si>
  <si>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</si>
  <si>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</si>
  <si>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</si>
  <si>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</si>
  <si>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</si>
  <si>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</si>
  <si>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</si>
  <si>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</si>
  <si>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</si>
  <si>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</si>
  <si>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</si>
  <si>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</si>
  <si>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</si>
  <si>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</si>
  <si>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</si>
  <si>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</si>
  <si>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</si>
  <si>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</si>
  <si>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</si>
  <si>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</si>
  <si>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</si>
  <si>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</si>
  <si>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</si>
  <si>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</si>
  <si>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</si>
  <si>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</si>
  <si>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</si>
  <si>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</si>
  <si>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</si>
  <si>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</si>
  <si>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</si>
  <si>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</si>
  <si>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</si>
  <si>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</si>
  <si>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</si>
  <si>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</si>
  <si>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</si>
  <si>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</si>
  <si>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</si>
  <si>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</si>
  <si>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</si>
  <si>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</si>
  <si>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</si>
  <si>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</si>
  <si>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</si>
  <si>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</si>
  <si>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</si>
  <si>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</si>
  <si>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</si>
  <si>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</si>
  <si>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</si>
  <si>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</si>
  <si>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</si>
  <si>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</si>
  <si>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</si>
  <si>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</si>
  <si>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</si>
  <si>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</si>
  <si>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</si>
  <si>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</si>
  <si>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</si>
  <si>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</si>
  <si>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</si>
  <si>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</si>
  <si>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</si>
  <si>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</si>
  <si>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</si>
  <si>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</si>
  <si>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</si>
  <si>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</si>
  <si>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</si>
  <si>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</si>
  <si>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</si>
  <si>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</si>
  <si>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</si>
  <si>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</si>
  <si>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</si>
  <si>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</si>
  <si>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</si>
  <si>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</si>
  <si>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</si>
  <si>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</si>
  <si>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</si>
  <si>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</si>
  <si>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</si>
  <si>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</si>
  <si>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</si>
  <si>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</si>
  <si>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</si>
  <si>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</si>
  <si>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</si>
  <si>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</si>
  <si>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</si>
  <si>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</si>
  <si>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</si>
  <si>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</si>
  <si>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</si>
  <si>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</si>
  <si>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</si>
  <si>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</si>
  <si>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</si>
  <si>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</si>
  <si>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</si>
  <si>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</si>
  <si>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</si>
  <si>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</si>
  <si>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</si>
  <si>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</si>
  <si>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</si>
  <si>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</si>
  <si>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</si>
  <si>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</si>
  <si>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</si>
  <si>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</si>
  <si>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</si>
  <si>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</si>
  <si>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</si>
  <si>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</si>
  <si>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</si>
  <si>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</si>
  <si>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</si>
  <si>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</si>
  <si>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</si>
  <si>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</si>
  <si>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</si>
  <si>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</si>
  <si>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</si>
  <si>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</si>
  <si>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</si>
  <si>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</si>
  <si>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</si>
  <si>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</si>
  <si>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</si>
  <si>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</si>
  <si>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</si>
  <si>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</si>
  <si>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</si>
  <si>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</si>
  <si>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</si>
  <si>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</si>
  <si>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</si>
  <si>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</si>
  <si>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</si>
  <si>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</si>
  <si>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</si>
  <si>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</si>
  <si>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</si>
  <si>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</si>
  <si>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</si>
  <si>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</si>
  <si>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</si>
  <si>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</si>
  <si>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</si>
  <si>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</si>
  <si>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</si>
  <si>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</si>
  <si>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</si>
  <si>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</si>
  <si>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</si>
  <si>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</si>
  <si>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</si>
  <si>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</si>
  <si>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</si>
  <si>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</si>
  <si>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</si>
  <si>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</si>
  <si>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</si>
  <si>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</si>
  <si>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</si>
  <si>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</si>
  <si>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</si>
  <si>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</si>
  <si>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</si>
  <si>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</si>
  <si>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</si>
  <si>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</si>
  <si>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</si>
  <si>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</si>
  <si>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</si>
  <si>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</si>
  <si>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</si>
  <si>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</si>
  <si>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</si>
  <si>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</si>
  <si>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</si>
  <si>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</si>
  <si>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</si>
  <si>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</si>
  <si>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</si>
  <si>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</si>
  <si>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</si>
  <si>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</si>
  <si>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</si>
  <si>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</si>
  <si>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</si>
  <si>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</si>
  <si>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</si>
  <si>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</si>
  <si>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</si>
  <si>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</si>
  <si>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</si>
  <si>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</si>
  <si>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</si>
  <si>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</si>
  <si>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</si>
  <si>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</si>
  <si>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</si>
  <si>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</si>
  <si>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</si>
  <si>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</si>
  <si>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</si>
  <si>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</si>
  <si>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</si>
  <si>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</si>
  <si>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</si>
  <si>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</si>
  <si>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</si>
  <si>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</si>
  <si>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</si>
  <si>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</si>
  <si>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</si>
  <si>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</si>
  <si>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</si>
  <si>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</si>
  <si>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</si>
  <si>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</si>
  <si>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</si>
  <si>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</si>
  <si>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</si>
  <si>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</si>
  <si>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</si>
  <si>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</si>
  <si>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</si>
  <si>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</si>
  <si>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</si>
  <si>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</si>
  <si>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</si>
  <si>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</si>
  <si>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</si>
  <si>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</si>
  <si>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</si>
  <si>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</si>
  <si>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</si>
  <si>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</si>
  <si>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</si>
  <si>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</si>
  <si>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</si>
  <si>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</si>
  <si>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</si>
  <si>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</si>
  <si>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</si>
  <si>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</si>
  <si>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</si>
  <si>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</si>
  <si>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</si>
  <si>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</si>
  <si>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</si>
  <si>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</si>
  <si>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</si>
  <si>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</si>
  <si>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</si>
  <si>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</si>
  <si>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</si>
  <si>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</si>
  <si>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</si>
  <si>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</si>
  <si>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</si>
  <si>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</si>
  <si>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</si>
  <si>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</si>
  <si>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</si>
  <si>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</si>
  <si>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</si>
  <si>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</si>
  <si>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</si>
  <si>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</si>
  <si>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</si>
  <si>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</si>
  <si>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</si>
  <si>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</si>
  <si>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</si>
  <si>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</si>
  <si>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CN</t>
  </si>
  <si>
    <t>泸州老窖</t>
  </si>
  <si>
    <t>000568.SZ</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</si>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</sst>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534</v>
      </c>
      <c r="F3" s="429">
        <v>46105</v>
      </c>
    </row>
    <row r="4" spans="1:9" ht="12.4">
      <c r="B4" s="421" t="s">
        <v>529</v>
      </c>
      <c r="C4" s="420" t="s">
        <v>554</v>
      </c>
      <c r="E4" s="430" t="s">
        <v>533</v>
      </c>
      <c r="F4" s="431" t="s">
        <v>553</v>
      </c>
    </row>
    <row r="5" spans="1:9">
      <c r="B5" s="1" t="s">
        <v>346</v>
      </c>
      <c r="C5" s="46" t="s">
        <v>555</v>
      </c>
      <c r="E5" s="433" t="s">
        <v>535</v>
      </c>
      <c r="F5" s="432" t="s">
        <v>542</v>
      </c>
    </row>
    <row r="6" spans="1:9">
      <c r="B6" s="2" t="s">
        <v>52</v>
      </c>
      <c r="C6" s="45" t="s">
        <v>545</v>
      </c>
      <c r="D6" s="45"/>
      <c r="E6" s="45"/>
    </row>
    <row r="7" spans="1:9">
      <c r="B7" s="1" t="s">
        <v>348</v>
      </c>
      <c r="C7" s="45" t="s">
        <v>556</v>
      </c>
      <c r="D7" s="45"/>
      <c r="E7" s="45"/>
    </row>
    <row r="8" spans="1:9">
      <c r="B8" s="4" t="s">
        <v>347</v>
      </c>
      <c r="C8" s="47">
        <v>106.26</v>
      </c>
      <c r="E8" s="32"/>
    </row>
    <row r="9" spans="1:9">
      <c r="B9" s="4" t="s">
        <v>343</v>
      </c>
      <c r="C9" s="48">
        <v>1471941963</v>
      </c>
    </row>
    <row r="10" spans="1:9">
      <c r="B10" s="4" t="s">
        <v>349</v>
      </c>
      <c r="C10" s="33">
        <f>Thesis!C8*Common_Shares/1000000</f>
        <v>156408.55298838002</v>
      </c>
      <c r="D10" s="1" t="s">
        <v>524</v>
      </c>
      <c r="E10" s="303">
        <f>Scenarios!F34</f>
        <v>0.21223826010541716</v>
      </c>
    </row>
    <row r="11" spans="1:9">
      <c r="D11" s="5"/>
      <c r="E11" s="5"/>
    </row>
    <row r="12" spans="1:9" ht="24.5" customHeight="1">
      <c r="B12" s="462" t="s">
        <v>352</v>
      </c>
      <c r="C12" s="462"/>
      <c r="D12" s="462"/>
      <c r="E12" s="462"/>
      <c r="F12" s="462"/>
    </row>
    <row r="14" spans="1:9">
      <c r="B14" s="42" t="str">
        <f>Scenarios!B39&amp;" Valuation Conclusion"</f>
        <v>1-stage DCF Valuation Conclusion</v>
      </c>
      <c r="C14" s="43"/>
    </row>
    <row r="15" spans="1:9">
      <c r="B15" s="1" t="s">
        <v>317</v>
      </c>
      <c r="C15" s="417" t="s">
        <v>542</v>
      </c>
      <c r="D15" s="4" t="s">
        <v>350</v>
      </c>
      <c r="E15" s="253" t="str">
        <f>IF(E17=C7,C7,E17&amp;"/"&amp;C7)</f>
        <v>CNY</v>
      </c>
    </row>
    <row r="16" spans="1:9">
      <c r="B16" s="1" t="s">
        <v>318</v>
      </c>
      <c r="C16" s="417" t="s">
        <v>542</v>
      </c>
      <c r="D16" s="4" t="s">
        <v>351</v>
      </c>
      <c r="E16" s="416">
        <v>1</v>
      </c>
    </row>
    <row r="17" spans="1:6">
      <c r="B17" s="1" t="s">
        <v>528</v>
      </c>
      <c r="C17" s="456">
        <v>0.02</v>
      </c>
      <c r="D17" s="4" t="s">
        <v>273</v>
      </c>
      <c r="E17" s="224" t="s">
        <v>556</v>
      </c>
    </row>
    <row r="18" spans="1:6">
      <c r="B18" s="1" t="str">
        <f>"Expected Equity Value ("&amp;C7&amp;") :"</f>
        <v>Expected Equity Value (CNY) :</v>
      </c>
      <c r="C18" s="252">
        <f>C125</f>
        <v>174.07668204091138</v>
      </c>
      <c r="D18" s="2" t="s">
        <v>344</v>
      </c>
      <c r="E18" s="418">
        <v>6</v>
      </c>
    </row>
    <row r="19" spans="1:6">
      <c r="B19" s="2" t="s">
        <v>274</v>
      </c>
      <c r="C19" s="31" t="str">
        <f>IF(Terminal_Growth&lt;2%, "Lower than Inflation rate", IF(Terminal_Growth&lt;5%, "Low growth", IF(Terminal_Growth&lt;8%, "Medium growth", "High growth")))</f>
        <v>Low growth</v>
      </c>
      <c r="D19" s="1" t="s">
        <v>345</v>
      </c>
      <c r="E19" s="419">
        <f>EOMONTH(EDATE(BS!C1,E18+2),0)</f>
        <v>46081</v>
      </c>
    </row>
    <row r="20" spans="1:6">
      <c r="D20" s="5"/>
      <c r="E20" s="5"/>
    </row>
    <row r="21" spans="1:6">
      <c r="B21" s="42" t="s">
        <v>401</v>
      </c>
      <c r="C21" s="254" t="str">
        <f>C138&amp;" ("&amp;Market_currency&amp;")"</f>
        <v xml:space="preserve"> (CNY)</v>
      </c>
      <c r="D21" s="31" t="s">
        <v>314</v>
      </c>
      <c r="E21" s="442">
        <v>3</v>
      </c>
    </row>
    <row r="22" spans="1:6">
      <c r="B22" s="1" t="s">
        <v>310</v>
      </c>
      <c r="C22" s="255">
        <f>E140</f>
        <v>86.739441984939162</v>
      </c>
      <c r="D22" s="38" t="s">
        <v>403</v>
      </c>
      <c r="E22" s="79">
        <v>0.3</v>
      </c>
    </row>
    <row r="23" spans="1:6">
      <c r="B23" s="1" t="s">
        <v>311</v>
      </c>
      <c r="C23" s="256">
        <f>E141</f>
        <v>109.4444872921941</v>
      </c>
      <c r="D23" s="38" t="s">
        <v>404</v>
      </c>
      <c r="E23" s="443">
        <v>0.2</v>
      </c>
    </row>
    <row r="24" spans="1:6">
      <c r="B24" s="1" t="s">
        <v>313</v>
      </c>
      <c r="C24" s="256">
        <f>E144</f>
        <v>146.05268014903339</v>
      </c>
      <c r="D24" s="38" t="s">
        <v>405</v>
      </c>
      <c r="E24" s="443">
        <v>8.6999999999999994E-2</v>
      </c>
    </row>
    <row r="25" spans="1:6">
      <c r="B25" s="1" t="s">
        <v>312</v>
      </c>
      <c r="C25" s="256">
        <f>E145</f>
        <v>151.90346952484109</v>
      </c>
      <c r="D25" s="38" t="s">
        <v>406</v>
      </c>
      <c r="E25" s="444">
        <v>7.2499999999999995E-2</v>
      </c>
    </row>
    <row r="26" spans="1:6">
      <c r="D26" s="5"/>
      <c r="E26" s="5"/>
    </row>
    <row r="27" spans="1:6" ht="13.9">
      <c r="A27" s="200" t="s">
        <v>279</v>
      </c>
      <c r="B27" s="34"/>
      <c r="C27" s="34"/>
      <c r="D27" s="34"/>
      <c r="E27" s="34"/>
      <c r="F27" s="34"/>
    </row>
    <row r="29" spans="1:6">
      <c r="B29" s="462" t="s">
        <v>353</v>
      </c>
      <c r="C29" s="462"/>
      <c r="D29" s="462"/>
      <c r="E29" s="462"/>
      <c r="F29" s="462"/>
    </row>
    <row r="30" spans="1:6" ht="24.5" customHeight="1">
      <c r="B30" s="466" t="s">
        <v>265</v>
      </c>
      <c r="C30" s="466"/>
      <c r="D30" s="466"/>
      <c r="E30" s="466"/>
      <c r="F30" s="466"/>
    </row>
    <row r="32" spans="1:6">
      <c r="B32" s="192" t="s">
        <v>194</v>
      </c>
      <c r="C32" s="105">
        <f>scaling_factor</f>
        <v>1</v>
      </c>
    </row>
    <row r="33" spans="2:6" ht="24.5" customHeight="1">
      <c r="B33" s="463" t="s">
        <v>195</v>
      </c>
      <c r="C33" s="463"/>
      <c r="D33" s="463"/>
      <c r="E33" s="463"/>
      <c r="F33" s="463"/>
    </row>
    <row r="34" spans="2:6">
      <c r="B34" s="44" t="s">
        <v>196</v>
      </c>
      <c r="C34" s="285">
        <f>Normalized_FCF!C8</f>
        <v>17736569087.803993</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60656509.843866028</v>
      </c>
      <c r="D44" s="1" t="str">
        <f>Reporting_currency</f>
        <v>CNY</v>
      </c>
      <c r="E44" s="244"/>
      <c r="F44" s="244"/>
    </row>
    <row r="45" spans="2:6">
      <c r="B45" s="44" t="s">
        <v>267</v>
      </c>
      <c r="C45" s="286">
        <f>Normalized_FCF!C45</f>
        <v>-164982858.12359998</v>
      </c>
      <c r="D45" s="1" t="str">
        <f>Reporting_currency</f>
        <v>CNY</v>
      </c>
      <c r="E45" s="244"/>
      <c r="F45" s="244"/>
    </row>
    <row r="46" spans="2:6">
      <c r="B46" s="44" t="s">
        <v>202</v>
      </c>
      <c r="C46" s="285">
        <f>Normalized_FCF!C10</f>
        <v>-104326348.27973396</v>
      </c>
      <c r="D46" s="1" t="str">
        <f>Reporting_currency</f>
        <v>CNY</v>
      </c>
    </row>
    <row r="48" spans="2:6">
      <c r="B48" s="1" t="s">
        <v>210</v>
      </c>
    </row>
    <row r="49" spans="2:6">
      <c r="B49" s="44" t="s">
        <v>222</v>
      </c>
      <c r="C49" s="285">
        <f>Normalized_FCF!C13</f>
        <v>-43611495.751855388</v>
      </c>
      <c r="D49" s="1" t="str">
        <f>Reporting_currency</f>
        <v>CNY</v>
      </c>
    </row>
    <row r="51" spans="2:6">
      <c r="B51" s="463" t="s">
        <v>205</v>
      </c>
      <c r="C51" s="463"/>
      <c r="D51" s="463"/>
      <c r="E51" s="463"/>
      <c r="F51" s="463"/>
    </row>
    <row r="52" spans="2:6">
      <c r="B52" s="44" t="s">
        <v>203</v>
      </c>
      <c r="C52" s="285">
        <f>Normalized_FCF!C12</f>
        <v>-4408060684.8810644</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12844018055.588684</v>
      </c>
      <c r="D60" s="1" t="str">
        <f>Reporting_currency</f>
        <v>CNY</v>
      </c>
    </row>
    <row r="61" spans="2:6">
      <c r="B61" s="44" t="s">
        <v>212</v>
      </c>
      <c r="C61" s="285">
        <f>Normalized_FCF!C19</f>
        <v>13180570558.891336</v>
      </c>
      <c r="D61" s="1" t="str">
        <f>Reporting_currency</f>
        <v>CNY</v>
      </c>
    </row>
    <row r="62" spans="2:6">
      <c r="B62" s="204" t="s">
        <v>301</v>
      </c>
      <c r="C62" s="89">
        <f>Normalized_FCF!C124</f>
        <v>8.4270139369363992E-2</v>
      </c>
      <c r="F62" s="257"/>
    </row>
    <row r="63" spans="2:6">
      <c r="B63" s="204" t="s">
        <v>329</v>
      </c>
      <c r="C63" s="89">
        <f>Normalized_FCF!C92</f>
        <v>3.889328063241107E-2</v>
      </c>
      <c r="E63" s="44" t="s">
        <v>320</v>
      </c>
      <c r="F63" s="258">
        <f>Normalized_FCF!C90</f>
        <v>0.51281220823452245</v>
      </c>
    </row>
    <row r="65" spans="1:6">
      <c r="B65" s="192" t="s">
        <v>322</v>
      </c>
      <c r="C65" s="264" t="s">
        <v>324</v>
      </c>
      <c r="D65" s="264" t="s">
        <v>325</v>
      </c>
    </row>
    <row r="66" spans="1:6">
      <c r="B66" s="44" t="s">
        <v>323</v>
      </c>
      <c r="C66" s="89">
        <f>Normalized_FCF!E119</f>
        <v>0.37772085893132024</v>
      </c>
      <c r="D66" s="89">
        <f>Normalized_FCF!G119</f>
        <v>0.37652309539416257</v>
      </c>
    </row>
    <row r="67" spans="1:6">
      <c r="B67" s="229" t="str">
        <f>Normalized_FCF!B116</f>
        <v>Pre-tax Profit/Sales</v>
      </c>
      <c r="C67" s="263">
        <f>Normalized_FCF!E116</f>
        <v>0.56520395086535147</v>
      </c>
      <c r="D67" s="263">
        <f>Normalized_FCF!G116</f>
        <v>0.563411673135921</v>
      </c>
    </row>
    <row r="68" spans="1:6">
      <c r="B68" s="229" t="str">
        <f>Normalized_FCF!B117</f>
        <v>Sales/Total Assets</v>
      </c>
      <c r="C68" s="265">
        <f>Normalized_FCF!E117</f>
        <v>0.44445275381950455</v>
      </c>
      <c r="D68" s="265">
        <f>Normalized_FCF!G117</f>
        <v>0.44445275381950455</v>
      </c>
    </row>
    <row r="69" spans="1:6">
      <c r="B69" s="229" t="str">
        <f>Normalized_FCF!B118</f>
        <v>Total Assets/Equity</v>
      </c>
      <c r="C69" s="265">
        <f>Normalized_FCF!E118</f>
        <v>1.5036272168761813</v>
      </c>
      <c r="D69" s="265">
        <f>Normalized_FCF!G118</f>
        <v>1.5036272168761813</v>
      </c>
    </row>
    <row r="71" spans="1:6" ht="13.9">
      <c r="A71" s="200" t="s">
        <v>474</v>
      </c>
      <c r="B71" s="34"/>
      <c r="C71" s="34"/>
      <c r="D71" s="34"/>
      <c r="E71" s="34"/>
      <c r="F71" s="34"/>
    </row>
    <row r="72" spans="1:6">
      <c r="A72" s="191"/>
    </row>
    <row r="73" spans="1:6">
      <c r="A73" s="191"/>
      <c r="B73" s="462" t="s">
        <v>475</v>
      </c>
      <c r="C73" s="462"/>
      <c r="D73" s="462"/>
      <c r="E73" s="462"/>
      <c r="F73" s="462"/>
    </row>
    <row r="74" spans="1:6">
      <c r="A74" s="191"/>
      <c r="B74" s="1" t="s">
        <v>462</v>
      </c>
    </row>
    <row r="75" spans="1:6">
      <c r="A75" s="191"/>
    </row>
    <row r="76" spans="1:6">
      <c r="A76" s="191"/>
      <c r="B76" s="192" t="s">
        <v>194</v>
      </c>
    </row>
    <row r="77" spans="1:6">
      <c r="A77" s="191"/>
      <c r="B77" s="462" t="s">
        <v>270</v>
      </c>
      <c r="C77" s="462"/>
      <c r="D77" s="462"/>
      <c r="E77" s="462"/>
      <c r="F77" s="462"/>
    </row>
    <row r="78" spans="1:6">
      <c r="A78" s="191"/>
      <c r="B78" s="1" t="s">
        <v>214</v>
      </c>
      <c r="C78" s="285">
        <f>DCF!F4</f>
        <v>-2749714302.0599999</v>
      </c>
      <c r="D78" s="1" t="str">
        <f>Reporting_currency</f>
        <v>CNY</v>
      </c>
    </row>
    <row r="79" spans="1:6">
      <c r="A79" s="191"/>
      <c r="B79" s="44" t="s">
        <v>233</v>
      </c>
      <c r="C79" s="201">
        <f>C78*scaling_factor*Exchange_Rate/Common_Shares</f>
        <v>-1.8680860870735294</v>
      </c>
      <c r="D79" s="1" t="str">
        <f>Market_currency</f>
        <v>CNY</v>
      </c>
    </row>
    <row r="80" spans="1:6">
      <c r="A80" s="191"/>
      <c r="B80" s="229" t="s">
        <v>307</v>
      </c>
      <c r="C80" s="337">
        <f>IF(BS!G31/BS!G27&gt;300%,"nm",BS!G31/BS!G27)</f>
        <v>5.8904840599867017E-2</v>
      </c>
    </row>
    <row r="81" spans="1:6">
      <c r="A81" s="191"/>
      <c r="B81" s="229" t="s">
        <v>309</v>
      </c>
      <c r="C81" s="338">
        <f>IF(BS!C50&gt;30,"nm",BS!C50)</f>
        <v>0.15503078912543219</v>
      </c>
    </row>
    <row r="82" spans="1:6">
      <c r="A82" s="191"/>
    </row>
    <row r="83" spans="1:6">
      <c r="A83" s="191"/>
      <c r="B83" s="1" t="s">
        <v>463</v>
      </c>
    </row>
    <row r="84" spans="1:6">
      <c r="A84" s="191"/>
      <c r="B84" s="1" t="s">
        <v>223</v>
      </c>
      <c r="C84" s="285">
        <f>DCF!F5</f>
        <v>25341662019.738998</v>
      </c>
      <c r="D84" s="1" t="str">
        <f>Reporting_currency</f>
        <v>CNY</v>
      </c>
    </row>
    <row r="85" spans="1:6">
      <c r="A85" s="191"/>
      <c r="B85" s="229" t="s">
        <v>221</v>
      </c>
      <c r="C85" s="291">
        <f>BS!C66</f>
        <v>35451080327.050003</v>
      </c>
      <c r="D85" s="339" t="str">
        <f>Reporting_currency</f>
        <v>CNY</v>
      </c>
    </row>
    <row r="86" spans="1:6">
      <c r="A86" s="191"/>
      <c r="B86" s="44" t="s">
        <v>234</v>
      </c>
      <c r="C86" s="201">
        <f>C84*scaling_factor*Exchange_Rate/Common_Shares</f>
        <v>17.216481802101459</v>
      </c>
      <c r="D86" s="1" t="str">
        <f>Market_currency</f>
        <v>CNY</v>
      </c>
    </row>
    <row r="87" spans="1:6">
      <c r="A87" s="191"/>
    </row>
    <row r="88" spans="1:6">
      <c r="A88" s="191"/>
      <c r="B88" s="1" t="s">
        <v>215</v>
      </c>
    </row>
    <row r="89" spans="1:6">
      <c r="A89" s="191"/>
      <c r="B89" s="1" t="s">
        <v>216</v>
      </c>
      <c r="C89" s="285">
        <f>DCF!F6</f>
        <v>1298705835.2379999</v>
      </c>
      <c r="D89" s="1" t="str">
        <f>Reporting_currency</f>
        <v>CNY</v>
      </c>
    </row>
    <row r="90" spans="1:6">
      <c r="A90" s="191"/>
      <c r="B90" s="44" t="s">
        <v>235</v>
      </c>
      <c r="C90" s="201">
        <f>C89*scaling_factor*Exchange_Rate/Common_Shares</f>
        <v>0.88230777291726681</v>
      </c>
      <c r="D90" s="1" t="str">
        <f>Market_currency</f>
        <v>CNY</v>
      </c>
    </row>
    <row r="91" spans="1:6">
      <c r="A91" s="191"/>
    </row>
    <row r="92" spans="1:6">
      <c r="A92" s="191"/>
      <c r="B92" s="44" t="s">
        <v>466</v>
      </c>
      <c r="C92" s="216">
        <f>DCF!F8</f>
        <v>16.230703487945195</v>
      </c>
      <c r="D92" s="44" t="str">
        <f>Market_currency</f>
        <v>CNY</v>
      </c>
    </row>
    <row r="94" spans="1:6" ht="13.9">
      <c r="A94" s="200" t="s">
        <v>467</v>
      </c>
      <c r="B94" s="34"/>
      <c r="C94" s="34"/>
      <c r="D94" s="34"/>
      <c r="E94" s="34"/>
      <c r="F94" s="34"/>
    </row>
    <row r="95" spans="1:6">
      <c r="A95" s="191"/>
    </row>
    <row r="96" spans="1:6" ht="11.75" customHeight="1">
      <c r="B96" s="462" t="s">
        <v>482</v>
      </c>
      <c r="C96" s="462"/>
      <c r="D96" s="462"/>
      <c r="E96" s="462"/>
      <c r="F96" s="462"/>
    </row>
    <row r="97" spans="2:6">
      <c r="B97" s="466" t="s">
        <v>481</v>
      </c>
      <c r="C97" s="466"/>
      <c r="D97" s="466"/>
      <c r="E97" s="466"/>
      <c r="F97" s="466"/>
    </row>
    <row r="98" spans="2:6">
      <c r="B98" s="466" t="s">
        <v>480</v>
      </c>
      <c r="C98" s="466"/>
      <c r="D98" s="466"/>
      <c r="E98" s="466"/>
      <c r="F98" s="466"/>
    </row>
    <row r="100" spans="2:6">
      <c r="B100" s="192" t="s">
        <v>194</v>
      </c>
    </row>
    <row r="101" spans="2:6">
      <c r="B101" s="49" t="s">
        <v>464</v>
      </c>
      <c r="C101" s="211">
        <f>E25+C103</f>
        <v>7.2499999999999995E-2</v>
      </c>
    </row>
    <row r="102" spans="2:6">
      <c r="B102" s="229" t="s">
        <v>316</v>
      </c>
      <c r="C102" s="263">
        <f>E25</f>
        <v>7.2499999999999995E-2</v>
      </c>
    </row>
    <row r="103" spans="2:6">
      <c r="B103" s="229" t="s">
        <v>315</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484</v>
      </c>
    </row>
    <row r="111" spans="2:6">
      <c r="B111" s="49" t="s">
        <v>465</v>
      </c>
      <c r="C111" s="216">
        <f>BS!D47</f>
        <v>12.72773462292413</v>
      </c>
      <c r="D111" s="1" t="str">
        <f>Market_currency</f>
        <v>CNY</v>
      </c>
    </row>
    <row r="112" spans="2:6">
      <c r="B112" s="44" t="s">
        <v>321</v>
      </c>
      <c r="C112" s="216">
        <f>DCF!C11</f>
        <v>190.20472081320983</v>
      </c>
      <c r="D112" s="1" t="str">
        <f>Market_currency</f>
        <v>CNY</v>
      </c>
    </row>
    <row r="114" spans="2:6" ht="24.5" customHeight="1">
      <c r="B114" s="462" t="s">
        <v>488</v>
      </c>
      <c r="C114" s="462"/>
      <c r="D114" s="462"/>
      <c r="E114" s="462"/>
      <c r="F114" s="462"/>
    </row>
    <row r="116" spans="2:6">
      <c r="B116" s="192" t="s">
        <v>485</v>
      </c>
    </row>
    <row r="117" spans="2:6" ht="12.4">
      <c r="B117" s="342" t="s">
        <v>100</v>
      </c>
      <c r="C117" s="342" t="s">
        <v>109</v>
      </c>
      <c r="D117" s="342" t="s">
        <v>218</v>
      </c>
      <c r="E117" s="342" t="s">
        <v>123</v>
      </c>
      <c r="F117" s="342" t="s">
        <v>541</v>
      </c>
    </row>
    <row r="118" spans="2:6">
      <c r="B118" s="205" t="str">
        <f>DCF!B90&amp;" ("&amp;DCF!D90&amp;"yrs)"</f>
        <v>Snowball Scenario (15yrs)</v>
      </c>
      <c r="C118" s="206">
        <f>DCF!C90</f>
        <v>0.05</v>
      </c>
      <c r="D118" s="207" t="str">
        <f>ROUND(DCF!E90,2)&amp;" "&amp;Market_currency</f>
        <v>221.73 CNY</v>
      </c>
      <c r="E118" s="208">
        <f>DCF!F90</f>
        <v>0.15</v>
      </c>
      <c r="F118" s="208">
        <f>RATE(Holding_Period,Scenarios!C$58,-DCF!E90,C$18)</f>
        <v>-5.7264664828039394E-2</v>
      </c>
    </row>
    <row r="119" spans="2:6">
      <c r="B119" s="205" t="str">
        <f>DCF!B91&amp;" ("&amp;DCF!D91&amp;"yrs)"</f>
        <v>Optimistic (15yrs)</v>
      </c>
      <c r="C119" s="198">
        <f>DCF!C91</f>
        <v>0.03</v>
      </c>
      <c r="D119" s="207" t="str">
        <f>ROUND(DCF!E91,2)&amp;" "&amp;Market_currency</f>
        <v>183.61 CNY</v>
      </c>
      <c r="E119" s="199">
        <f>DCF!F91</f>
        <v>0.15999999999999995</v>
      </c>
      <c r="F119" s="208">
        <f>RATE(Holding_Period,Scenarios!C$58,-DCF!E91,C$18)</f>
        <v>5.2933765449977585E-3</v>
      </c>
    </row>
    <row r="120" spans="2:6">
      <c r="B120" s="205" t="str">
        <f>DCF!B92&amp;" ("&amp;DCF!D92&amp;"yrs)"</f>
        <v>Base (15yrs)</v>
      </c>
      <c r="C120" s="198">
        <f>DCF!C92</f>
        <v>0.02</v>
      </c>
      <c r="D120" s="207" t="str">
        <f>ROUND(DCF!E92,2)&amp;" "&amp;Market_currency</f>
        <v>167.6 CNY</v>
      </c>
      <c r="E120" s="199">
        <f>DCF!F92</f>
        <v>0.44</v>
      </c>
      <c r="F120" s="208">
        <f>RATE(Holding_Period,Scenarios!C$58,-DCF!E92,C$18)</f>
        <v>3.707620088055634E-2</v>
      </c>
    </row>
    <row r="121" spans="2:6">
      <c r="B121" s="205" t="str">
        <f>DCF!B93&amp;" ("&amp;DCF!D93&amp;"yrs)"</f>
        <v>Pessimistic (15yrs)</v>
      </c>
      <c r="C121" s="198">
        <f>DCF!C93</f>
        <v>0.01</v>
      </c>
      <c r="D121" s="207" t="str">
        <f>ROUND(DCF!E93,2)&amp;" "&amp;Market_currency</f>
        <v>153.33 CNY</v>
      </c>
      <c r="E121" s="199">
        <f>DCF!F93</f>
        <v>0.19999999999999998</v>
      </c>
      <c r="F121" s="208">
        <f>RATE(Holding_Period,Scenarios!C$58,-DCF!E93,C$18)</f>
        <v>6.9083307477753805E-2</v>
      </c>
    </row>
    <row r="122" spans="2:6">
      <c r="B122" s="205" t="str">
        <f>DCF!B94&amp;" ("&amp;DCF!D94&amp;"yrs)"</f>
        <v>Devil's advocate (15yrs)</v>
      </c>
      <c r="C122" s="198">
        <f>DCF!C94</f>
        <v>0</v>
      </c>
      <c r="D122" s="207" t="str">
        <f>ROUND(DCF!E94,2)&amp;" "&amp;Market_currency</f>
        <v>140.61 CNY</v>
      </c>
      <c r="E122" s="199">
        <f>DCF!F94</f>
        <v>0.05</v>
      </c>
      <c r="F122" s="208">
        <f>RATE(Holding_Period,Scenarios!C$58,-DCF!E94,C$18)</f>
        <v>0.10122435665685528</v>
      </c>
    </row>
    <row r="124" spans="2:6">
      <c r="B124" s="463" t="s">
        <v>354</v>
      </c>
      <c r="C124" s="463"/>
      <c r="D124" s="463"/>
      <c r="E124" s="463"/>
      <c r="F124" s="463"/>
    </row>
    <row r="125" spans="2:6">
      <c r="B125" s="193" t="s">
        <v>217</v>
      </c>
      <c r="C125" s="197">
        <f>Scenarios!C36</f>
        <v>174.07668204091138</v>
      </c>
      <c r="D125" s="194" t="str">
        <f>Market_currency</f>
        <v>CNY</v>
      </c>
    </row>
    <row r="127" spans="2:6" ht="24.5" customHeight="1">
      <c r="B127" s="465" t="s">
        <v>355</v>
      </c>
      <c r="C127" s="465"/>
      <c r="D127" s="465"/>
      <c r="E127" s="465"/>
      <c r="F127" s="465"/>
    </row>
    <row r="129" spans="1:6" ht="13.9">
      <c r="A129" s="200" t="s">
        <v>471</v>
      </c>
      <c r="B129" s="34"/>
      <c r="C129" s="34"/>
      <c r="D129" s="34"/>
      <c r="E129" s="34"/>
      <c r="F129" s="34"/>
    </row>
    <row r="131" spans="1:6">
      <c r="B131" s="467" t="s">
        <v>284</v>
      </c>
      <c r="C131" s="467"/>
      <c r="D131" s="467"/>
      <c r="E131" s="467"/>
      <c r="F131" s="467"/>
    </row>
    <row r="132" spans="1:6">
      <c r="B132" s="462" t="s">
        <v>356</v>
      </c>
      <c r="C132" s="462"/>
      <c r="D132" s="462"/>
      <c r="E132" s="462"/>
      <c r="F132" s="462"/>
    </row>
    <row r="134" spans="1:6">
      <c r="B134" s="192" t="s">
        <v>194</v>
      </c>
    </row>
    <row r="135" spans="1:6">
      <c r="B135" s="1" t="s">
        <v>220</v>
      </c>
      <c r="C135" s="202">
        <f>E21</f>
        <v>3</v>
      </c>
    </row>
    <row r="136" spans="1:6">
      <c r="B136" s="194" t="s">
        <v>219</v>
      </c>
      <c r="C136" s="195">
        <f>Scenarios!C58</f>
        <v>4.1328000000000005</v>
      </c>
      <c r="D136" s="194" t="str">
        <f>Market_currency</f>
        <v>CNY</v>
      </c>
    </row>
    <row r="138" spans="1:6">
      <c r="B138" s="192" t="s">
        <v>491</v>
      </c>
      <c r="C138" s="214"/>
      <c r="D138" s="215"/>
    </row>
    <row r="139" spans="1:6" ht="12.4">
      <c r="B139" s="340" t="s">
        <v>459</v>
      </c>
      <c r="C139" s="340" t="str">
        <f>"PV("&amp;Holding_Period&amp;" yrs of Dividends)"</f>
        <v>PV(3 yrs of Dividends)</v>
      </c>
      <c r="D139" s="340" t="s">
        <v>468</v>
      </c>
      <c r="E139" s="341" t="str">
        <f>"Buy below ("&amp;Market_currency&amp;")"</f>
        <v>Buy below (CNY)</v>
      </c>
      <c r="F139" s="341" t="s">
        <v>469</v>
      </c>
    </row>
    <row r="140" spans="1:6">
      <c r="B140" s="336" t="s">
        <v>310</v>
      </c>
      <c r="C140" s="333">
        <f>Scenarios!C62</f>
        <v>7.5056313154301346</v>
      </c>
      <c r="D140" s="333">
        <f>Scenarios!D62</f>
        <v>79.233810669509026</v>
      </c>
      <c r="E140" s="334">
        <f>Scenarios!E62</f>
        <v>86.739441984939162</v>
      </c>
      <c r="F140" s="335">
        <f>E22</f>
        <v>0.3</v>
      </c>
    </row>
    <row r="141" spans="1:6">
      <c r="B141" s="336" t="s">
        <v>311</v>
      </c>
      <c r="C141" s="333">
        <f>Scenarios!C63</f>
        <v>8.7056666666666676</v>
      </c>
      <c r="D141" s="333">
        <f>Scenarios!D63</f>
        <v>100.73882062552742</v>
      </c>
      <c r="E141" s="334">
        <f>Scenarios!E63</f>
        <v>109.4444872921941</v>
      </c>
      <c r="F141" s="335">
        <f>Scenarios!F63</f>
        <v>0.2</v>
      </c>
    </row>
    <row r="142" spans="1:6">
      <c r="B142" s="194"/>
      <c r="C142" s="194"/>
      <c r="D142" s="194"/>
      <c r="E142" s="194"/>
      <c r="F142" s="194"/>
    </row>
    <row r="143" spans="1:6" ht="12.4">
      <c r="B143" s="340" t="s">
        <v>460</v>
      </c>
      <c r="C143" s="340" t="str">
        <f>"PV("&amp;Holding_Period&amp;" yrs of Dividends)"</f>
        <v>PV(3 yrs of Dividends)</v>
      </c>
      <c r="D143" s="340" t="s">
        <v>468</v>
      </c>
      <c r="E143" s="341" t="str">
        <f>"Sell above ("&amp;Market_currency&amp;")"</f>
        <v>Sell above (CNY)</v>
      </c>
      <c r="F143" s="341" t="s">
        <v>469</v>
      </c>
    </row>
    <row r="144" spans="1:6">
      <c r="B144" s="336" t="s">
        <v>313</v>
      </c>
      <c r="C144" s="333">
        <f>Scenarios!C66</f>
        <v>10.517521633559475</v>
      </c>
      <c r="D144" s="333">
        <f>Scenarios!D66</f>
        <v>135.53515851547391</v>
      </c>
      <c r="E144" s="334">
        <f>Scenarios!E66</f>
        <v>146.05268014903339</v>
      </c>
      <c r="F144" s="335">
        <f>E24</f>
        <v>8.6999999999999994E-2</v>
      </c>
    </row>
    <row r="145" spans="1:6">
      <c r="B145" s="336" t="s">
        <v>312</v>
      </c>
      <c r="C145" s="333">
        <f>Scenarios!C67</f>
        <v>10.796424338860641</v>
      </c>
      <c r="D145" s="333">
        <f>Scenarios!D67</f>
        <v>141.10704518598044</v>
      </c>
      <c r="E145" s="334">
        <f>Scenarios!E67</f>
        <v>151.90346952484109</v>
      </c>
      <c r="F145" s="335">
        <f>Scenarios!F67</f>
        <v>7.2499999999999995E-2</v>
      </c>
    </row>
    <row r="147" spans="1:6" ht="13.9">
      <c r="A147" s="200" t="s">
        <v>472</v>
      </c>
      <c r="B147" s="34"/>
      <c r="C147" s="34"/>
      <c r="D147" s="34"/>
      <c r="E147" s="34"/>
      <c r="F147" s="34"/>
    </row>
    <row r="149" spans="1:6">
      <c r="B149" s="461" t="s">
        <v>357</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435</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v>
      </c>
    </row>
    <row r="4" spans="2:13">
      <c r="B4" s="31" t="s">
        <v>0</v>
      </c>
      <c r="C4" s="287">
        <v>31196248208.330002</v>
      </c>
      <c r="D4" s="287">
        <v>30233301388.259998</v>
      </c>
      <c r="E4" s="287"/>
      <c r="F4" s="287"/>
      <c r="G4" s="287"/>
      <c r="H4" s="287"/>
      <c r="I4" s="287"/>
      <c r="J4" s="287"/>
      <c r="K4" s="287"/>
      <c r="L4" s="287"/>
      <c r="M4" s="287"/>
    </row>
    <row r="5" spans="2:13">
      <c r="B5" s="38" t="s">
        <v>39</v>
      </c>
      <c r="C5" s="287">
        <f>3888116183.93+4753755581.18</f>
        <v>8641871765.1100006</v>
      </c>
      <c r="D5" s="287">
        <f>3537151403.15+4133126350.68</f>
        <v>7670277753.8299999</v>
      </c>
      <c r="E5" s="287"/>
      <c r="F5" s="287"/>
      <c r="G5" s="287"/>
      <c r="H5" s="287"/>
      <c r="I5" s="287"/>
      <c r="J5" s="287"/>
      <c r="K5" s="287"/>
      <c r="L5" s="287"/>
      <c r="M5" s="287"/>
    </row>
    <row r="6" spans="2:13">
      <c r="B6" s="38" t="s">
        <v>50</v>
      </c>
      <c r="C6" s="287">
        <f>1100779964.56+C7</f>
        <v>4639162580.5499992</v>
      </c>
      <c r="D6" s="287">
        <f>1139480677.23+D7</f>
        <v>5113906204.1499996</v>
      </c>
      <c r="E6" s="287"/>
      <c r="F6" s="287"/>
      <c r="G6" s="287"/>
      <c r="H6" s="287"/>
      <c r="I6" s="287"/>
      <c r="J6" s="287"/>
      <c r="K6" s="287"/>
      <c r="L6" s="287"/>
      <c r="M6" s="287"/>
    </row>
    <row r="7" spans="2:13">
      <c r="B7" s="66" t="s">
        <v>57</v>
      </c>
      <c r="C7" s="288">
        <v>3538382615.9899998</v>
      </c>
      <c r="D7" s="288">
        <v>3974425526.9200001</v>
      </c>
      <c r="E7" s="288"/>
      <c r="F7" s="288"/>
      <c r="G7" s="288"/>
      <c r="H7" s="288"/>
      <c r="I7" s="288"/>
      <c r="J7" s="288"/>
      <c r="K7" s="288"/>
      <c r="L7" s="288"/>
      <c r="M7" s="288"/>
    </row>
    <row r="8" spans="2:13">
      <c r="B8" s="38" t="s">
        <v>45</v>
      </c>
      <c r="C8" s="287">
        <v>260975311.09999999</v>
      </c>
      <c r="D8" s="287">
        <v>225955797.33000001</v>
      </c>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305448236.36000001</v>
      </c>
      <c r="D12" s="287">
        <v>488003010.93000001</v>
      </c>
      <c r="E12" s="287"/>
      <c r="F12" s="287"/>
      <c r="G12" s="287"/>
      <c r="H12" s="287"/>
      <c r="I12" s="287"/>
      <c r="J12" s="287"/>
      <c r="K12" s="287"/>
      <c r="L12" s="287"/>
      <c r="M12" s="287"/>
    </row>
    <row r="13" spans="2:13">
      <c r="B13" s="38" t="s">
        <v>63</v>
      </c>
      <c r="C13" s="287">
        <v>797923434.29999995</v>
      </c>
      <c r="D13" s="287">
        <v>864006165.58000004</v>
      </c>
      <c r="E13" s="287"/>
      <c r="F13" s="287"/>
      <c r="G13" s="287"/>
      <c r="H13" s="287"/>
      <c r="I13" s="287"/>
      <c r="J13" s="287"/>
      <c r="K13" s="287"/>
      <c r="L13" s="287"/>
      <c r="M13" s="287"/>
    </row>
    <row r="14" spans="2:13">
      <c r="B14" s="38" t="s">
        <v>46</v>
      </c>
      <c r="C14" s="287">
        <v>4707520248.1499996</v>
      </c>
      <c r="D14" s="287">
        <v>4517297533.2299995</v>
      </c>
      <c r="E14" s="287"/>
      <c r="F14" s="287"/>
      <c r="G14" s="287"/>
      <c r="H14" s="287"/>
      <c r="I14" s="287"/>
      <c r="J14" s="287"/>
      <c r="K14" s="287"/>
      <c r="L14" s="287"/>
      <c r="M14" s="287"/>
    </row>
    <row r="15" spans="2:13">
      <c r="B15" s="41" t="s">
        <v>38</v>
      </c>
      <c r="C15" s="289">
        <v>13497778570.889999</v>
      </c>
      <c r="D15" s="289">
        <v>13288660023.209999</v>
      </c>
      <c r="E15" s="289"/>
      <c r="F15" s="289"/>
      <c r="G15" s="289"/>
      <c r="H15" s="289"/>
      <c r="I15" s="289"/>
      <c r="J15" s="289"/>
      <c r="K15" s="289"/>
      <c r="L15" s="289"/>
      <c r="M15" s="289"/>
    </row>
    <row r="16" spans="2:13">
      <c r="B16" s="27" t="s">
        <v>40</v>
      </c>
      <c r="C16" s="287">
        <v>24792094.879999999</v>
      </c>
      <c r="D16" s="287">
        <v>42265322.619999997</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19181768363.650002</v>
      </c>
      <c r="D22" s="287">
        <v>10648364935.459999</v>
      </c>
      <c r="E22" s="287"/>
      <c r="F22" s="287"/>
      <c r="G22" s="287"/>
      <c r="H22" s="287"/>
      <c r="I22" s="287"/>
      <c r="J22" s="287"/>
      <c r="K22" s="287"/>
      <c r="L22" s="287"/>
      <c r="M22" s="287"/>
    </row>
    <row r="23" spans="2:13">
      <c r="B23" s="26" t="s">
        <v>287</v>
      </c>
      <c r="C23" s="287">
        <v>-1382505932.55</v>
      </c>
      <c r="D23" s="287">
        <v>-1268117853</v>
      </c>
      <c r="E23" s="287"/>
      <c r="F23" s="287"/>
      <c r="G23" s="287"/>
      <c r="H23" s="287"/>
      <c r="I23" s="287"/>
      <c r="J23" s="287"/>
      <c r="K23" s="287"/>
      <c r="L23" s="287"/>
      <c r="M23" s="287"/>
    </row>
    <row r="24" spans="2:13">
      <c r="B24" s="26" t="s">
        <v>286</v>
      </c>
      <c r="C24" s="287">
        <v>-10328853037.68</v>
      </c>
      <c r="D24" s="287">
        <v>-1218426068.29</v>
      </c>
      <c r="E24" s="287"/>
      <c r="F24" s="287"/>
      <c r="G24" s="287"/>
      <c r="H24" s="287"/>
      <c r="I24" s="287"/>
      <c r="J24" s="287"/>
      <c r="K24" s="287"/>
      <c r="L24" s="287"/>
      <c r="M24" s="287"/>
    </row>
    <row r="25" spans="2:13">
      <c r="B25" s="23" t="str">
        <f>"Dividend per share ("&amp;Market_currency&amp;")"</f>
        <v>Dividend per share (CNY)</v>
      </c>
      <c r="C25" s="37">
        <f>45.92/10</f>
        <v>4.5920000000000005</v>
      </c>
      <c r="D25" s="37">
        <f>54.00078/10</f>
        <v>5.4000779999999997</v>
      </c>
      <c r="E25" s="37"/>
      <c r="F25" s="37"/>
      <c r="G25" s="37"/>
      <c r="H25" s="37"/>
      <c r="I25" s="37"/>
      <c r="J25" s="37"/>
      <c r="K25" s="37"/>
      <c r="L25" s="37"/>
      <c r="M25" s="37"/>
    </row>
    <row r="27" spans="2:13">
      <c r="B27" s="16" t="s">
        <v>25</v>
      </c>
      <c r="C27" s="94" t="s">
        <v>543</v>
      </c>
    </row>
    <row r="28" spans="2:13">
      <c r="B28" s="25" t="s">
        <v>21</v>
      </c>
      <c r="C28" s="270">
        <f>BS!C4</f>
        <v>1470111714.1299999</v>
      </c>
      <c r="D28" s="287">
        <f>5938171007.93+17461378.98</f>
        <v>5955632386.9099998</v>
      </c>
      <c r="E28" s="287"/>
      <c r="F28" s="287"/>
      <c r="G28" s="287"/>
      <c r="H28" s="287"/>
      <c r="I28" s="287"/>
      <c r="J28" s="287"/>
      <c r="K28" s="287"/>
      <c r="L28" s="287"/>
      <c r="M28" s="287"/>
    </row>
    <row r="29" spans="2:13">
      <c r="B29" s="25" t="s">
        <v>29</v>
      </c>
      <c r="C29" s="270">
        <f>BS!C6</f>
        <v>13784525369.110001</v>
      </c>
      <c r="D29" s="287">
        <v>11622043947.459999</v>
      </c>
      <c r="E29" s="287"/>
      <c r="F29" s="287"/>
      <c r="G29" s="287"/>
      <c r="H29" s="287"/>
      <c r="I29" s="287"/>
      <c r="J29" s="287"/>
      <c r="K29" s="287"/>
      <c r="L29" s="287"/>
      <c r="M29" s="287"/>
    </row>
    <row r="30" spans="2:13">
      <c r="B30" s="28" t="s">
        <v>37</v>
      </c>
      <c r="C30" s="271">
        <f>BS!C33+BS!C42</f>
        <v>23509629209.560001</v>
      </c>
      <c r="D30" s="289">
        <v>21762747471.75</v>
      </c>
      <c r="E30" s="289"/>
      <c r="F30" s="289"/>
      <c r="G30" s="289"/>
      <c r="H30" s="289"/>
      <c r="I30" s="289"/>
      <c r="J30" s="289"/>
      <c r="K30" s="289"/>
      <c r="L30" s="289"/>
      <c r="M30" s="289"/>
    </row>
    <row r="31" spans="2:13">
      <c r="B31" s="28" t="s">
        <v>27</v>
      </c>
      <c r="C31" s="271">
        <f>BS!G27</f>
        <v>46680616975.75</v>
      </c>
      <c r="D31" s="289">
        <v>41531707729.849998</v>
      </c>
      <c r="E31" s="289"/>
      <c r="F31" s="289"/>
      <c r="G31" s="289"/>
      <c r="H31" s="289"/>
      <c r="I31" s="289"/>
      <c r="J31" s="289"/>
      <c r="K31" s="289"/>
      <c r="L31" s="289"/>
      <c r="M31" s="289"/>
    </row>
    <row r="32" spans="2:13">
      <c r="B32" s="25" t="s">
        <v>142</v>
      </c>
      <c r="C32" s="270">
        <f>BS!G28</f>
        <v>140066503.38999999</v>
      </c>
      <c r="D32" s="287">
        <v>140297234.96000001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31196248208.330002</v>
      </c>
      <c r="D36" s="270">
        <f t="shared" si="1"/>
        <v>30233301388.259998</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-8641871765.1100006</v>
      </c>
      <c r="D37" s="270">
        <f t="shared" si="2"/>
        <v>-7670277753.8299999</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22554376443.220001</v>
      </c>
      <c r="D38" s="267">
        <f t="shared" ref="D38" si="3">IF(D36="","",D36+D37)</f>
        <v>22563023634.43</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-4639162580.5499992</v>
      </c>
      <c r="D39" s="270">
        <f t="shared" si="13"/>
        <v>-5113906204.1499996</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-3538382615.9899998</v>
      </c>
      <c r="D40" s="282">
        <f t="shared" si="14"/>
        <v>-3974425526.9200001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-1100779964.5599995</v>
      </c>
      <c r="D41" s="282">
        <f t="shared" ref="D41:M41" si="15">IF(D$4="","",D39-D40)</f>
        <v>-1139480677.2299995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-260975311.09999999</v>
      </c>
      <c r="D42" s="270">
        <f t="shared" si="16"/>
        <v>-225955797.33000001</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17654238551.570004</v>
      </c>
      <c r="D43" s="271">
        <f t="shared" ref="D43:M43" si="17">IF(D$4="","",D38+D39+D42)</f>
        <v>17223161632.949997</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58585069.529998779</v>
      </c>
      <c r="D44" s="290">
        <f t="shared" si="18"/>
        <v>206792768.84000015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492475197.93999994</v>
      </c>
      <c r="D45" s="285">
        <f t="shared" si="19"/>
        <v>376003154.65000004</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-4707520248.1499996</v>
      </c>
      <c r="D46" s="270">
        <f t="shared" ref="D46:M46" si="20">IF(D$4="","",-D14)</f>
        <v>-4517297533.2299995</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13497778570.889999</v>
      </c>
      <c r="D47" s="271">
        <f t="shared" si="21"/>
        <v>13288660023.209999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-24792094.879999999</v>
      </c>
      <c r="D48" s="270">
        <f t="shared" si="22"/>
        <v>-42265322.619999997</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-305448236.36000001</v>
      </c>
      <c r="D51" s="270">
        <f t="shared" si="23"/>
        <v>-488003010.93000001</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797923434.29999995</v>
      </c>
      <c r="D52" s="270">
        <f t="shared" ref="D52:M52" si="24">IF(D$4="","",D13)</f>
        <v>864006165.58000004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58585069.529998779</v>
      </c>
      <c r="D58" s="285">
        <f t="shared" ref="D58:M58" si="28">IF(D$4="","",D44-D55-D56-D57)</f>
        <v>206792768.84000015</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7470409393.420002</v>
      </c>
      <c r="D64" s="270">
        <f t="shared" ref="D64:M64" si="32">IF(D$4="","",D22+D23+D24)</f>
        <v>8161821014.1699991</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4.5920000000000005</v>
      </c>
      <c r="D65" s="70">
        <f t="shared" ref="D65:M65" si="33">IF(D$4="","",D25)</f>
        <v>5.4000779999999997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3.185053486894196E-2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-3.8324611763485006E-4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2.5028907456532412E-2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-0.71669672078656066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1.5736616582466167E-2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70190246185.309998</v>
      </c>
      <c r="D76" s="285">
        <f t="shared" ref="D76:M76" si="39">IF(D$4="","",D79+D80)</f>
        <v>63294455201.599998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1470111714.1299999</v>
      </c>
      <c r="D77" s="282">
        <f t="shared" si="40"/>
        <v>5955632386.9099998</v>
      </c>
      <c r="E77" s="282" t="str">
        <f t="shared" si="40"/>
        <v/>
      </c>
      <c r="F77" s="282" t="str">
        <f t="shared" si="40"/>
        <v/>
      </c>
      <c r="G77" s="282" t="str">
        <f t="shared" si="40"/>
        <v/>
      </c>
      <c r="H77" s="282" t="str">
        <f t="shared" si="40"/>
        <v/>
      </c>
      <c r="I77" s="291"/>
      <c r="J77" s="291"/>
      <c r="K77" s="291"/>
      <c r="L77" s="291"/>
      <c r="M77" s="291"/>
    </row>
    <row r="78" spans="2:13">
      <c r="B78" s="90" t="s">
        <v>82</v>
      </c>
      <c r="C78" s="260">
        <f t="shared" si="40"/>
        <v>13784525369.110001</v>
      </c>
      <c r="D78" s="282">
        <f t="shared" si="40"/>
        <v>11622043947.459999</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23509629209.560001</v>
      </c>
      <c r="D79" s="270">
        <f t="shared" si="41"/>
        <v>21762747471.75</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46680616975.75</v>
      </c>
      <c r="D80" s="270">
        <f t="shared" si="42"/>
        <v>41531707729.849998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16077566.15+1411989312.86+42044835.12</f>
        <v>1470111714.1299999</v>
      </c>
      <c r="D4" s="231">
        <v>0.6</v>
      </c>
      <c r="E4" s="24"/>
      <c r="F4" s="4" t="s">
        <v>73</v>
      </c>
      <c r="G4" s="18">
        <v>35451080327.050003</v>
      </c>
      <c r="H4" s="231">
        <v>0.9</v>
      </c>
    </row>
    <row r="5" spans="2:8" ht="15" customHeight="1">
      <c r="B5" s="1" t="s">
        <v>30</v>
      </c>
      <c r="C5" s="18">
        <v>0</v>
      </c>
      <c r="D5" s="231">
        <v>0.6</v>
      </c>
      <c r="E5" s="24"/>
      <c r="F5" s="1" t="s">
        <v>26</v>
      </c>
      <c r="G5" s="18">
        <v>0</v>
      </c>
      <c r="H5" s="231">
        <v>0.7</v>
      </c>
    </row>
    <row r="6" spans="2:8" ht="15" customHeight="1">
      <c r="B6" s="4" t="s">
        <v>8</v>
      </c>
      <c r="C6" s="18">
        <v>13784525369.110001</v>
      </c>
      <c r="D6" s="231">
        <v>0.5</v>
      </c>
      <c r="E6" s="24"/>
      <c r="F6" s="4" t="s">
        <v>146</v>
      </c>
      <c r="G6" s="18">
        <v>0</v>
      </c>
      <c r="H6" s="231">
        <v>0.6</v>
      </c>
    </row>
    <row r="7" spans="2:8" ht="15" customHeight="1">
      <c r="B7" s="1" t="s">
        <v>65</v>
      </c>
      <c r="C7" s="18">
        <v>0</v>
      </c>
      <c r="D7" s="231">
        <v>0.6</v>
      </c>
      <c r="E7" s="24"/>
      <c r="F7" s="4" t="s">
        <v>147</v>
      </c>
      <c r="G7" s="18">
        <v>1610560917.24</v>
      </c>
      <c r="H7" s="231">
        <v>0.6</v>
      </c>
    </row>
    <row r="8" spans="2:8" ht="15" customHeight="1">
      <c r="B8" s="1" t="s">
        <v>143</v>
      </c>
      <c r="C8" s="18">
        <v>0</v>
      </c>
      <c r="D8" s="231">
        <v>0.6</v>
      </c>
      <c r="E8" s="24"/>
      <c r="F8" s="1" t="s">
        <v>148</v>
      </c>
      <c r="G8" s="18">
        <v>0</v>
      </c>
      <c r="H8" s="231">
        <v>0.6</v>
      </c>
    </row>
    <row r="9" spans="2:8" ht="15" customHeight="1">
      <c r="B9" s="4" t="s">
        <v>22</v>
      </c>
      <c r="C9" s="18">
        <v>228470687.43000001</v>
      </c>
      <c r="D9" s="231">
        <v>0.1</v>
      </c>
      <c r="E9" s="24"/>
      <c r="F9" s="4" t="s">
        <v>149</v>
      </c>
      <c r="G9" s="18">
        <v>0</v>
      </c>
      <c r="H9" s="231">
        <v>0.6</v>
      </c>
    </row>
    <row r="10" spans="2:8" ht="15" customHeight="1">
      <c r="B10" s="4" t="s">
        <v>9</v>
      </c>
      <c r="C10" s="18">
        <v>0</v>
      </c>
      <c r="D10" s="231">
        <v>0.9</v>
      </c>
      <c r="F10" s="1" t="s">
        <v>399</v>
      </c>
      <c r="G10" s="18">
        <v>0</v>
      </c>
      <c r="H10" s="231">
        <v>0.6</v>
      </c>
    </row>
    <row r="11" spans="2:8" ht="15" customHeight="1">
      <c r="B11" s="4" t="s">
        <v>10</v>
      </c>
      <c r="C11" s="18">
        <v>44247521.170000002</v>
      </c>
      <c r="D11" s="231">
        <v>0.05</v>
      </c>
      <c r="H11" s="232"/>
    </row>
    <row r="12" spans="2:8" ht="15" customHeight="1">
      <c r="B12" s="77" t="s">
        <v>68</v>
      </c>
      <c r="C12" s="78">
        <f>SUM(C4:C11)</f>
        <v>15527355291.84</v>
      </c>
      <c r="D12" s="19">
        <f>C4*D4+C5*D5+C9*D9+C6*D6+C8*D8+C7*D7+C10*D10+C11*D11</f>
        <v>7799389157.8345003</v>
      </c>
      <c r="F12" s="77" t="s">
        <v>66</v>
      </c>
      <c r="G12" s="78">
        <f>SUM(G4:G10)</f>
        <v>37061641244.290001</v>
      </c>
      <c r="H12" s="19">
        <f>G4*H4+G5*H5+G6*H6+G7*H7+G8*H8+G9*H9+G10*H10</f>
        <v>32872308844.689007</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326</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f>8815147343.06+1165735552.56+24433390.1</f>
        <v>10005316285.719999</v>
      </c>
      <c r="D19" s="231">
        <v>0.1</v>
      </c>
      <c r="F19" s="4" t="s">
        <v>151</v>
      </c>
      <c r="G19" s="18">
        <f>2836552287.45+438338355.95</f>
        <v>3274890643.3999996</v>
      </c>
      <c r="H19" s="231">
        <v>0.1</v>
      </c>
    </row>
    <row r="20" spans="2:8" ht="15" customHeight="1">
      <c r="B20" s="4" t="s">
        <v>552</v>
      </c>
      <c r="C20" s="18">
        <v>0</v>
      </c>
      <c r="D20" s="231">
        <v>0.05</v>
      </c>
      <c r="F20" s="4" t="s">
        <v>148</v>
      </c>
      <c r="G20" s="18">
        <v>0</v>
      </c>
      <c r="H20" s="231">
        <v>0.2</v>
      </c>
    </row>
    <row r="21" spans="2:8" ht="15" customHeight="1">
      <c r="B21" s="4" t="s">
        <v>16</v>
      </c>
      <c r="C21" s="18">
        <v>3452040130.0700002</v>
      </c>
      <c r="D21" s="231">
        <v>0.05</v>
      </c>
      <c r="F21" s="1" t="s">
        <v>149</v>
      </c>
      <c r="G21" s="18">
        <v>48802205.539999999</v>
      </c>
      <c r="H21" s="231">
        <v>0.1</v>
      </c>
    </row>
    <row r="22" spans="2:8" ht="15" customHeight="1">
      <c r="B22" s="4" t="s">
        <v>17</v>
      </c>
      <c r="C22" s="18">
        <v>229979417.63</v>
      </c>
      <c r="D22" s="231">
        <v>0.9</v>
      </c>
      <c r="H22" s="232"/>
    </row>
    <row r="23" spans="2:8" ht="15" customHeight="1">
      <c r="B23" s="4" t="s">
        <v>18</v>
      </c>
      <c r="C23" s="18">
        <f>1322375.9+588898590.92</f>
        <v>590220966.81999993</v>
      </c>
      <c r="D23" s="231">
        <v>0</v>
      </c>
      <c r="H23" s="232"/>
    </row>
    <row r="24" spans="2:8" ht="15" customHeight="1">
      <c r="B24" s="77" t="s">
        <v>69</v>
      </c>
      <c r="C24" s="78">
        <f>SUM(C15:C23)</f>
        <v>14277556800.239998</v>
      </c>
      <c r="D24" s="19">
        <f>C15*D15+C16*D16+C18*D18+C17*D17+C19*D19+C20*D20+C21*D21+C22*D22+C23*D23</f>
        <v>1380115110.9425001</v>
      </c>
      <c r="F24" s="77" t="s">
        <v>67</v>
      </c>
      <c r="G24" s="78">
        <f>SUM(G15:G21)</f>
        <v>3323692848.9399996</v>
      </c>
      <c r="H24" s="19">
        <f>G15*H15+G16*H16+G17*H17+G18*H18+G19*H19+G20*H20+G21*H21</f>
        <v>332369284.89399999</v>
      </c>
    </row>
    <row r="26" spans="2:8" ht="15" customHeight="1">
      <c r="B26" s="16" t="s">
        <v>168</v>
      </c>
      <c r="C26" s="164" t="s">
        <v>112</v>
      </c>
      <c r="F26" s="166" t="s">
        <v>164</v>
      </c>
      <c r="G26" s="167" t="s">
        <v>112</v>
      </c>
      <c r="H26" s="168" t="s">
        <v>32</v>
      </c>
    </row>
    <row r="27" spans="2:8" ht="15" customHeight="1">
      <c r="B27" s="4" t="s">
        <v>3</v>
      </c>
      <c r="C27" s="18">
        <v>0</v>
      </c>
      <c r="F27" s="169" t="s">
        <v>27</v>
      </c>
      <c r="G27" s="82">
        <f>G32-G30</f>
        <v>46680616975.75</v>
      </c>
      <c r="H27" s="170">
        <f>H32-G30</f>
        <v>18874553188.800007</v>
      </c>
    </row>
    <row r="28" spans="2:8" ht="15" customHeight="1">
      <c r="B28" s="4" t="s">
        <v>4</v>
      </c>
      <c r="C28" s="18">
        <v>0</v>
      </c>
      <c r="F28" s="171" t="s">
        <v>208</v>
      </c>
      <c r="G28" s="287">
        <v>140066503.38999999</v>
      </c>
      <c r="H28" s="170"/>
    </row>
    <row r="29" spans="2:8" ht="15" customHeight="1">
      <c r="B29" s="4" t="s">
        <v>5</v>
      </c>
      <c r="C29" s="18">
        <v>0</v>
      </c>
      <c r="F29" s="172" t="s">
        <v>71</v>
      </c>
      <c r="G29" s="14">
        <f>G27-G28</f>
        <v>46540550472.360001</v>
      </c>
      <c r="H29" s="170">
        <f>H27-G28</f>
        <v>18734486685.410007</v>
      </c>
    </row>
    <row r="30" spans="2:8" ht="15" customHeight="1">
      <c r="B30" s="2" t="s">
        <v>6</v>
      </c>
      <c r="C30" s="18">
        <v>0</v>
      </c>
      <c r="F30" s="169" t="s">
        <v>20</v>
      </c>
      <c r="G30" s="82">
        <f>C33+C42</f>
        <v>23509629209.560001</v>
      </c>
      <c r="H30" s="170"/>
    </row>
    <row r="31" spans="2:8" ht="15" customHeight="1">
      <c r="B31" s="77" t="s">
        <v>171</v>
      </c>
      <c r="C31" s="78">
        <f>SUM(C27:C30)</f>
        <v>0</v>
      </c>
      <c r="F31" s="172" t="s">
        <v>72</v>
      </c>
      <c r="G31" s="173">
        <f>C31+C40</f>
        <v>2749714302.0599999</v>
      </c>
      <c r="H31" s="170"/>
    </row>
    <row r="32" spans="2:8" ht="15" customHeight="1">
      <c r="B32" s="4" t="s">
        <v>7</v>
      </c>
      <c r="C32" s="20">
        <f>C33-C31</f>
        <v>20518442745.68</v>
      </c>
      <c r="F32" s="174" t="s">
        <v>70</v>
      </c>
      <c r="G32" s="175">
        <f>G35+G40</f>
        <v>70190246185.309998</v>
      </c>
      <c r="H32" s="170">
        <f>H35+H40</f>
        <v>42384182398.360008</v>
      </c>
    </row>
    <row r="33" spans="2:8" ht="15" customHeight="1">
      <c r="B33" s="80" t="s">
        <v>2</v>
      </c>
      <c r="C33" s="81">
        <v>20518442745.68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29804912092.079998</v>
      </c>
      <c r="H35" s="182">
        <f>D12+D24</f>
        <v>9179504268.7770004</v>
      </c>
    </row>
    <row r="36" spans="2:8" ht="15" customHeight="1">
      <c r="B36" s="4" t="s">
        <v>11</v>
      </c>
      <c r="C36" s="18">
        <v>2728700000</v>
      </c>
      <c r="F36" s="172" t="s">
        <v>165</v>
      </c>
      <c r="G36" s="173">
        <f>C4+C15</f>
        <v>1470111714.1299999</v>
      </c>
      <c r="H36" s="177"/>
    </row>
    <row r="37" spans="2:8" ht="15" customHeight="1">
      <c r="B37" s="4" t="s">
        <v>12</v>
      </c>
      <c r="C37" s="18">
        <v>21014302.059999999</v>
      </c>
      <c r="F37" s="172" t="s">
        <v>166</v>
      </c>
      <c r="G37" s="173">
        <f>C6</f>
        <v>13784525369.110001</v>
      </c>
      <c r="H37" s="177"/>
    </row>
    <row r="38" spans="2:8" ht="15" customHeight="1">
      <c r="B38" s="4" t="s">
        <v>13</v>
      </c>
      <c r="C38" s="18">
        <v>0</v>
      </c>
      <c r="F38" s="172" t="s">
        <v>167</v>
      </c>
      <c r="G38" s="173">
        <f>C7+C17</f>
        <v>0</v>
      </c>
      <c r="H38" s="177"/>
    </row>
    <row r="39" spans="2:8" ht="15" customHeight="1">
      <c r="B39" s="2" t="s">
        <v>14</v>
      </c>
      <c r="C39" s="18">
        <v>0</v>
      </c>
      <c r="F39" s="172" t="s">
        <v>75</v>
      </c>
      <c r="G39" s="173">
        <f>C7+C17+C19+C20</f>
        <v>10005316285.719999</v>
      </c>
      <c r="H39" s="170">
        <f>C7*D7+C17*D17+C19*D19+C20*D20</f>
        <v>1000531628.572</v>
      </c>
    </row>
    <row r="40" spans="2:8" ht="15" customHeight="1">
      <c r="B40" s="77" t="s">
        <v>172</v>
      </c>
      <c r="C40" s="78">
        <f>SUM(C36:C39)</f>
        <v>2749714302.0599999</v>
      </c>
      <c r="F40" s="181" t="s">
        <v>114</v>
      </c>
      <c r="G40" s="175">
        <f>G12+G24</f>
        <v>40385334093.230003</v>
      </c>
      <c r="H40" s="182">
        <f>H12+H24</f>
        <v>33204678129.583008</v>
      </c>
    </row>
    <row r="41" spans="2:8" ht="15" customHeight="1">
      <c r="B41" s="4" t="s">
        <v>15</v>
      </c>
      <c r="C41" s="20">
        <f>C42-C40</f>
        <v>241472161.82000017</v>
      </c>
      <c r="F41" s="172" t="s">
        <v>159</v>
      </c>
      <c r="G41" s="173">
        <f>C70</f>
        <v>35451080327.050003</v>
      </c>
      <c r="H41" s="182">
        <f>H40-H42</f>
        <v>31905972294.345009</v>
      </c>
    </row>
    <row r="42" spans="2:8" ht="15" customHeight="1">
      <c r="B42" s="80" t="s">
        <v>19</v>
      </c>
      <c r="C42" s="81">
        <v>2991186463.8800001</v>
      </c>
      <c r="F42" s="183" t="s">
        <v>160</v>
      </c>
      <c r="G42" s="184">
        <f>C82</f>
        <v>4934253766.1799994</v>
      </c>
      <c r="H42" s="185">
        <f>D82</f>
        <v>1298705835.2379999</v>
      </c>
    </row>
    <row r="44" spans="2:8" ht="15" customHeight="1">
      <c r="B44" s="76" t="s">
        <v>91</v>
      </c>
      <c r="C44" s="35"/>
      <c r="D44" s="35"/>
      <c r="E44" s="35"/>
      <c r="F44" s="35"/>
      <c r="G44" s="35"/>
      <c r="H44" s="35"/>
    </row>
    <row r="45" spans="2:8" ht="15" customHeight="1">
      <c r="B45" s="16" t="s">
        <v>227</v>
      </c>
      <c r="C45" s="209" t="s">
        <v>112</v>
      </c>
      <c r="D45" s="164" t="s">
        <v>308</v>
      </c>
      <c r="F45" s="226" t="s">
        <v>55</v>
      </c>
    </row>
    <row r="46" spans="2:8" ht="15" customHeight="1">
      <c r="B46" s="1" t="s">
        <v>229</v>
      </c>
      <c r="C46" s="73">
        <f>G29</f>
        <v>46540550472.360001</v>
      </c>
      <c r="D46" s="73">
        <f>H29</f>
        <v>18734486685.410007</v>
      </c>
      <c r="F46" s="223"/>
    </row>
    <row r="47" spans="2:8" ht="15" customHeight="1">
      <c r="B47" s="1" t="str">
        <f>"Equity per share ("&amp;Market_currency&amp;")"</f>
        <v>Equity per share (CNY)</v>
      </c>
      <c r="C47" s="134">
        <f>C46*H1/Common_Shares*Exchange_Rate</f>
        <v>31.618468419437267</v>
      </c>
      <c r="D47" s="134">
        <f>D46*H1/Common_Shares*Exchange_Rate</f>
        <v>12.72773462292413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0.15503078912543219</v>
      </c>
      <c r="D50" s="92">
        <f>G31/Normalized_FCF!G8</f>
        <v>0.15575377516440472</v>
      </c>
      <c r="F50" s="223"/>
    </row>
    <row r="51" spans="2:8" ht="15" customHeight="1">
      <c r="B51" s="1" t="s">
        <v>145</v>
      </c>
      <c r="C51" s="163"/>
      <c r="D51" s="89">
        <f>G29/G32</f>
        <v>0.66306293255458615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0.59508879049896934</v>
      </c>
      <c r="D54" s="89">
        <f>Normalized_FCF!G8/G35</f>
        <v>0.59232647615361456</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0.14254567877287194</v>
      </c>
      <c r="F59" s="223"/>
    </row>
    <row r="60" spans="2:8" ht="15" customHeight="1">
      <c r="F60" s="223"/>
    </row>
    <row r="61" spans="2:8" ht="15" customHeight="1">
      <c r="B61" s="143" t="s">
        <v>230</v>
      </c>
      <c r="C61" s="210" t="s">
        <v>113</v>
      </c>
      <c r="D61" s="179" t="s">
        <v>90</v>
      </c>
      <c r="F61" s="223"/>
    </row>
    <row r="62" spans="2:8" ht="15" customHeight="1">
      <c r="B62" s="1" t="s">
        <v>209</v>
      </c>
      <c r="C62" s="89">
        <f>IF(G28&lt;=0,0,G28/G29)</f>
        <v>3.0095583736849908E-3</v>
      </c>
      <c r="D62" s="89">
        <f>G28/G29</f>
        <v>3.0095583736849908E-3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35451080327.050003</v>
      </c>
      <c r="D66" s="73">
        <f>C66-D75</f>
        <v>25341662019.738998</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35451080327.050003</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-1691763929.2380002</v>
      </c>
      <c r="D73" s="285">
        <f>(Normalized_FCF!C26+Normalized_FCF!C35-Normalized_FCF!C89)/12</f>
        <v>-1684903051.2185009</v>
      </c>
      <c r="F73" s="1" t="s">
        <v>277</v>
      </c>
    </row>
    <row r="74" spans="2:6" ht="15" customHeight="1">
      <c r="B74" s="227" t="s">
        <v>258</v>
      </c>
      <c r="C74" s="228">
        <f>-$C$66/C73</f>
        <v>20.955098825766893</v>
      </c>
      <c r="D74" s="228">
        <f>-$C$66/D73</f>
        <v>21.040427401097187</v>
      </c>
      <c r="F74" s="223" t="s">
        <v>256</v>
      </c>
    </row>
    <row r="75" spans="2:6" ht="15" customHeight="1">
      <c r="B75" s="77" t="s">
        <v>257</v>
      </c>
      <c r="C75" s="261"/>
      <c r="D75" s="262">
        <f>MAX(-D73*D76,G5)</f>
        <v>10109418307.311005</v>
      </c>
      <c r="F75" s="223" t="s">
        <v>278</v>
      </c>
    </row>
    <row r="76" spans="2:6" ht="15" customHeight="1">
      <c r="B76" s="229" t="s">
        <v>259</v>
      </c>
      <c r="C76" s="230"/>
      <c r="D76" s="248">
        <f>IF(D74&lt;=3,1,IF(D74&gt;18,6,2))</f>
        <v>6</v>
      </c>
      <c r="F76" s="223" t="s">
        <v>260</v>
      </c>
    </row>
    <row r="77" spans="2:6" ht="15" customHeight="1">
      <c r="F77" s="223"/>
    </row>
    <row r="78" spans="2:6" ht="15" customHeight="1">
      <c r="B78" s="16" t="s">
        <v>158</v>
      </c>
      <c r="C78" s="209" t="s">
        <v>112</v>
      </c>
      <c r="D78" s="165" t="s">
        <v>32</v>
      </c>
      <c r="F78" s="223"/>
    </row>
    <row r="79" spans="2:6" ht="15" customHeight="1">
      <c r="B79" s="102" t="s">
        <v>147</v>
      </c>
      <c r="C79" s="19">
        <f>G7+G17</f>
        <v>1610560917.24</v>
      </c>
      <c r="D79" s="73">
        <f>G7*H7+G17*H17</f>
        <v>966336550.34399998</v>
      </c>
      <c r="F79" s="223"/>
    </row>
    <row r="80" spans="2:6" ht="15" customHeight="1">
      <c r="B80" s="102" t="s">
        <v>151</v>
      </c>
      <c r="C80" s="19">
        <f>G19</f>
        <v>3274890643.3999996</v>
      </c>
      <c r="D80" s="73">
        <f>G19*H19</f>
        <v>327489064.33999997</v>
      </c>
      <c r="F80" s="223"/>
    </row>
    <row r="81" spans="2:8" ht="15" customHeight="1">
      <c r="B81" s="102" t="s">
        <v>149</v>
      </c>
      <c r="C81" s="19">
        <f>G9+G21</f>
        <v>48802205.539999999</v>
      </c>
      <c r="D81" s="73">
        <f>G9*H9+G21*H21</f>
        <v>4880220.5540000005</v>
      </c>
      <c r="F81" s="223"/>
    </row>
    <row r="82" spans="2:8" ht="15" customHeight="1">
      <c r="B82" s="77" t="s">
        <v>158</v>
      </c>
      <c r="C82" s="78">
        <f>SUM(C79:C81)</f>
        <v>4934253766.1799994</v>
      </c>
      <c r="D82" s="78">
        <f>SUM(D79:D81)</f>
        <v>1298705835.2379999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-2749714302.0599999</v>
      </c>
      <c r="D86" s="201">
        <f>C86*scaling_factor/Common_Shares</f>
        <v>-1.8680860870735294</v>
      </c>
      <c r="E86" s="214" t="str">
        <f>Market_currency</f>
        <v>CNY</v>
      </c>
    </row>
    <row r="87" spans="2:8" ht="15" customHeight="1">
      <c r="B87" s="212" t="s">
        <v>239</v>
      </c>
      <c r="C87" s="73">
        <f>DCF!F5*Exchange_Rate</f>
        <v>25341662019.738998</v>
      </c>
      <c r="D87" s="201">
        <f>C87*scaling_factor/Common_Shares</f>
        <v>17.216481802101459</v>
      </c>
      <c r="E87" s="214" t="str">
        <f>Market_currency</f>
        <v>CNY</v>
      </c>
    </row>
    <row r="88" spans="2:8" ht="15" customHeight="1">
      <c r="B88" s="213" t="s">
        <v>158</v>
      </c>
      <c r="C88" s="73">
        <f>DCF!F6*Exchange_Rate</f>
        <v>1298705835.2379999</v>
      </c>
      <c r="D88" s="201">
        <f>C88*scaling_factor/Common_Shares</f>
        <v>0.88230777291726681</v>
      </c>
      <c r="E88" s="214" t="str">
        <f>Market_currency</f>
        <v>CNY</v>
      </c>
    </row>
    <row r="89" spans="2:8" ht="15" customHeight="1">
      <c r="B89" s="77" t="s">
        <v>243</v>
      </c>
      <c r="C89" s="162">
        <f>SUM(C86:C88)</f>
        <v>23890653552.916996</v>
      </c>
      <c r="D89" s="216">
        <f>SUM(D86:D88)</f>
        <v>16.230703487945195</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390</v>
      </c>
      <c r="C3" s="104">
        <f>scaling_factor</f>
        <v>1</v>
      </c>
      <c r="D3" s="9"/>
      <c r="E3" s="237"/>
      <c r="F3" s="9"/>
      <c r="G3" s="16" t="s">
        <v>407</v>
      </c>
      <c r="H3" s="104">
        <f>scaling_factor</f>
        <v>1</v>
      </c>
    </row>
    <row r="4" spans="1:17" ht="15.75" customHeight="1">
      <c r="A4" s="10"/>
      <c r="B4" s="25" t="s">
        <v>0</v>
      </c>
      <c r="C4" s="458">
        <f>C100*C117</f>
        <v>31196248208.330002</v>
      </c>
      <c r="D4" s="54"/>
      <c r="E4" s="235"/>
      <c r="F4" s="54"/>
      <c r="G4" s="270">
        <f>Data!C36</f>
        <v>31196248208.330002</v>
      </c>
      <c r="H4" s="270">
        <f>Data!D36</f>
        <v>30233301388.259998</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-12358899155.966007</v>
      </c>
      <c r="E5" s="237"/>
      <c r="G5" s="270">
        <f t="shared" ref="G5:Q5" si="1">G26</f>
        <v>-12441229692.200001</v>
      </c>
      <c r="H5" s="270">
        <f t="shared" si="1"/>
        <v>-11870659078.08</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18837349052.363995</v>
      </c>
      <c r="E6" s="237"/>
      <c r="G6" s="267">
        <f>IF(G4="","",G4+G5)</f>
        <v>18755018516.130001</v>
      </c>
      <c r="H6" s="267">
        <f t="shared" ref="H6:Q6" si="2">IF(H4="","",H4+H5)</f>
        <v>18362642310.18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-1100779964.5599995</v>
      </c>
      <c r="E7" s="237"/>
      <c r="G7" s="266">
        <f t="shared" ref="G7:Q7" si="3">G35</f>
        <v>-1100779964.5599995</v>
      </c>
      <c r="H7" s="266">
        <f t="shared" si="3"/>
        <v>-1139480677.2299995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17736569087.803993</v>
      </c>
      <c r="D8" s="56"/>
      <c r="E8" s="241"/>
      <c r="F8" s="56"/>
      <c r="G8" s="267">
        <f>IF(G$4="","",G6+G7)</f>
        <v>17654238551.57</v>
      </c>
      <c r="H8" s="267">
        <f t="shared" ref="H8:Q8" si="4">IF(H$4="","",H6+H7)</f>
        <v>17223161632.950001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412</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-104326348.27973396</v>
      </c>
      <c r="E10" s="237"/>
      <c r="G10" s="266">
        <f>G48</f>
        <v>-77908152.951316714</v>
      </c>
      <c r="H10" s="266">
        <f t="shared" ref="H10:Q10" si="6">H48</f>
        <v>-241618424.97764099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17632242739.524258</v>
      </c>
      <c r="E11" s="237"/>
      <c r="G11" s="267">
        <f t="shared" ref="G11:Q11" si="7">IF(G$4="","",SUM(G8:G10))</f>
        <v>17576330398.618683</v>
      </c>
      <c r="H11" s="267">
        <f t="shared" si="7"/>
        <v>16981543207.972361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-4408060684.8810644</v>
      </c>
      <c r="E12" s="237"/>
      <c r="G12" s="266">
        <f>Data!C46</f>
        <v>-4707520248.1499996</v>
      </c>
      <c r="H12" s="266">
        <f>Data!D46</f>
        <v>-4517297533.2299995</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-43611495.751855388</v>
      </c>
      <c r="D13" s="57"/>
      <c r="E13" s="242"/>
      <c r="F13" s="57"/>
      <c r="G13" s="270">
        <f>Data!C48</f>
        <v>-24792094.879999999</v>
      </c>
      <c r="H13" s="270">
        <f>Data!D48</f>
        <v>-42265322.619999997</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13180570558.891336</v>
      </c>
      <c r="D14" s="58"/>
      <c r="E14" s="243"/>
      <c r="F14" s="58"/>
      <c r="G14" s="267">
        <f t="shared" ref="G14:Q14" si="8">IF(G$4="","",SUM(G11:G13))</f>
        <v>12844018055.588684</v>
      </c>
      <c r="H14" s="267">
        <f t="shared" si="8"/>
        <v>12421980352.12236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395</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13180570558.891336</v>
      </c>
      <c r="D19" s="26"/>
      <c r="E19" s="234"/>
      <c r="F19" s="26"/>
      <c r="G19" s="271">
        <f t="shared" ref="G19:Q19" si="9">IF(G$4="","",G14+G17)</f>
        <v>12844018055.588684</v>
      </c>
      <c r="H19" s="271">
        <f t="shared" si="9"/>
        <v>12421980352.12236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-8278225983.996417</v>
      </c>
      <c r="D23" s="55"/>
      <c r="E23" s="236"/>
      <c r="F23" s="55"/>
      <c r="G23" s="270">
        <f>Data!C37</f>
        <v>-8641871765.1100006</v>
      </c>
      <c r="H23" s="270">
        <f>Data!D37</f>
        <v>-7670277753.8299999</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-3819697860.8695893</v>
      </c>
      <c r="D24" s="26"/>
      <c r="E24" s="234"/>
      <c r="F24" s="26"/>
      <c r="G24" s="270">
        <f>Data!C40</f>
        <v>-3538382615.9899998</v>
      </c>
      <c r="H24" s="270">
        <f>Data!D40</f>
        <v>-3974425526.9200001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-260975311.10000002</v>
      </c>
      <c r="D25" s="55"/>
      <c r="E25" s="235"/>
      <c r="F25" s="55"/>
      <c r="G25" s="270">
        <f>Data!C42</f>
        <v>-260975311.09999999</v>
      </c>
      <c r="H25" s="270">
        <f>Data!D42</f>
        <v>-225955797.33000001</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-12358899155.966007</v>
      </c>
      <c r="D26" s="9"/>
      <c r="E26" s="240"/>
      <c r="F26" s="9"/>
      <c r="G26" s="267">
        <f>IF(G$4="","",SUM(G23:G25))</f>
        <v>-12441229692.200001</v>
      </c>
      <c r="H26" s="267">
        <f t="shared" ref="H26:Q26" si="10">IF(H$4="","",SUM(H23:H25))</f>
        <v>-11870659078.08</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0.2653596653262289</v>
      </c>
      <c r="D29" s="25"/>
      <c r="E29" s="235"/>
      <c r="F29" s="25"/>
      <c r="G29" s="13">
        <f t="shared" ref="G29:Q29" si="11">IF(G$4="","",ABS(G23/G$4))</f>
        <v>0.27701638054035144</v>
      </c>
      <c r="H29" s="13">
        <f t="shared" si="11"/>
        <v>0.25370295011210631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0.12244093697939151</v>
      </c>
      <c r="D30" s="25"/>
      <c r="E30" s="235"/>
      <c r="F30" s="25"/>
      <c r="G30" s="13">
        <f t="shared" ref="G30:Q30" si="12">IF(G$4="","",ABS(G24/G$4))</f>
        <v>0.11342333835660351</v>
      </c>
      <c r="H30" s="13">
        <f t="shared" si="12"/>
        <v>0.13145853560217952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8.3655992655653558E-3</v>
      </c>
      <c r="D31" s="26"/>
      <c r="E31" s="234"/>
      <c r="F31" s="26"/>
      <c r="G31" s="13">
        <f t="shared" ref="G31:Q31" si="13">IF(G$4="","",ABS(G25/G$4))</f>
        <v>8.3655992655653558E-3</v>
      </c>
      <c r="H31" s="13">
        <f t="shared" si="13"/>
        <v>7.4737387898280178E-3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0.39616620157118582</v>
      </c>
      <c r="E32" s="237"/>
      <c r="G32" s="29">
        <f t="shared" ref="G32:Q32" si="14">IF(G$4="","",ABS(G26/G$4))</f>
        <v>0.39880531816252029</v>
      </c>
      <c r="H32" s="29">
        <f t="shared" si="14"/>
        <v>0.39263522450411381</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393</v>
      </c>
      <c r="C35" s="276">
        <f>G35</f>
        <v>-1100779964.5599995</v>
      </c>
      <c r="D35" s="55"/>
      <c r="E35" s="236"/>
      <c r="F35" s="55"/>
      <c r="G35" s="267">
        <f>IF(G4="","",Data!C41)</f>
        <v>-1100779964.5599995</v>
      </c>
      <c r="H35" s="267">
        <f>IF(H4="","",Data!D41)</f>
        <v>-1139480677.2299995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393</v>
      </c>
      <c r="C38" s="68">
        <f>ABS(C35/$C$4)</f>
        <v>3.5285652210770332E-2</v>
      </c>
      <c r="E38" s="237"/>
      <c r="G38" s="29">
        <f t="shared" ref="G38:Q38" si="15">IF(G$4="","",ABS(G35/G$4))</f>
        <v>3.5285652210770332E-2</v>
      </c>
      <c r="H38" s="29">
        <f t="shared" si="15"/>
        <v>3.7689588133185993E-2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400</v>
      </c>
      <c r="F41" s="26"/>
      <c r="G41" s="6">
        <f t="shared" ref="G41:Q41" si="16">IF(G$4="","",-G12/SUM(G8+G9,G10))</f>
        <v>0.26783294017504145</v>
      </c>
      <c r="H41" s="6">
        <f t="shared" si="16"/>
        <v>0.26601219205503385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-164982858.12359998</v>
      </c>
      <c r="E45" s="237"/>
      <c r="G45" s="266">
        <f>Data!C51</f>
        <v>-305448236.36000001</v>
      </c>
      <c r="H45" s="266">
        <f>Data!D51</f>
        <v>-488003010.93000001</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60656509.843866028</v>
      </c>
      <c r="E46" s="237"/>
      <c r="G46" s="274">
        <f t="shared" ref="G46:Q46" si="17">IFERROR(IF(G$4="","",($C$46/$C$47)*G47),0)</f>
        <v>227540083.4086833</v>
      </c>
      <c r="H46" s="274">
        <f t="shared" si="17"/>
        <v>246384585.95235902</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212706481.96230003</v>
      </c>
      <c r="D47" s="246"/>
      <c r="E47" s="247"/>
      <c r="F47" s="246"/>
      <c r="G47" s="278">
        <f>Data!C52</f>
        <v>797923434.29999995</v>
      </c>
      <c r="H47" s="278">
        <f>Data!D52</f>
        <v>864006165.58000004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-104326348.27973396</v>
      </c>
      <c r="E48" s="237"/>
      <c r="G48" s="267">
        <f>IF(G$4="","",(G45+G46))</f>
        <v>-77908152.951316714</v>
      </c>
      <c r="H48" s="267">
        <f t="shared" ref="H48:Q48" si="18">IF(H$4="","",(H45+H46))</f>
        <v>-241618424.97764099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2.2507732541260969E-2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0.11108362644481565</v>
      </c>
      <c r="H52" s="151"/>
      <c r="I52" s="151"/>
      <c r="J52" s="151"/>
      <c r="K52" s="151"/>
      <c r="L52" s="151"/>
      <c r="M52" s="151"/>
      <c r="N52" s="151"/>
      <c r="O52" s="151"/>
      <c r="P52" s="151"/>
      <c r="Q52" s="151"/>
    </row>
    <row r="53" spans="1:17" ht="15.75" customHeight="1">
      <c r="A53" s="10"/>
      <c r="B53" s="25" t="s">
        <v>86</v>
      </c>
      <c r="C53" s="40">
        <f>-C8/C45</f>
        <v>107.50552687429087</v>
      </c>
      <c r="E53" s="237"/>
      <c r="G53" s="40">
        <f t="shared" ref="G53:Q53" si="19">IF(G4="","",-G8/G45)</f>
        <v>57.797808106388239</v>
      </c>
      <c r="H53" s="40">
        <f t="shared" si="19"/>
        <v>35.293146245404046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58585069.529998779</v>
      </c>
      <c r="H60" s="266">
        <f>Data!D58</f>
        <v>206792768.84000015</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58585069.529998779</v>
      </c>
      <c r="H61" s="267">
        <f t="shared" si="21"/>
        <v>206792768.84000015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0.39616620157118582</v>
      </c>
      <c r="D71" s="26"/>
      <c r="E71" s="234"/>
      <c r="F71" s="26"/>
      <c r="G71" s="6">
        <f t="shared" ref="G71:Q71" si="23">IF(G$4="","",ABS(G5/G$4))</f>
        <v>0.39880531816252029</v>
      </c>
      <c r="H71" s="6">
        <f t="shared" si="23"/>
        <v>0.39263522450411381</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0.60383379842881424</v>
      </c>
      <c r="D72" s="26"/>
      <c r="E72" s="234"/>
      <c r="F72" s="26"/>
      <c r="G72" s="62">
        <f t="shared" ref="G72:Q72" si="24">IF(G$4="","",ABS(G6/G$4))</f>
        <v>0.60119468183747971</v>
      </c>
      <c r="H72" s="62">
        <f t="shared" si="24"/>
        <v>0.6073647754958863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3.5285652210770332E-2</v>
      </c>
      <c r="D73" s="26"/>
      <c r="E73" s="234"/>
      <c r="F73" s="26"/>
      <c r="G73" s="6">
        <f t="shared" ref="G73:Q73" si="25">IF(G$4="","",ABS(G7/G$4))</f>
        <v>3.5285652210770332E-2</v>
      </c>
      <c r="H73" s="6">
        <f t="shared" si="25"/>
        <v>3.7689588133185993E-2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0.56854814621804384</v>
      </c>
      <c r="D74" s="26"/>
      <c r="E74" s="234"/>
      <c r="F74" s="26"/>
      <c r="G74" s="62">
        <f t="shared" ref="G74:Q74" si="26">IF(G$4="","",ABS(G8/G$4))</f>
        <v>0.5659090296267093</v>
      </c>
      <c r="H74" s="62">
        <f t="shared" si="26"/>
        <v>0.56967518736270029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3.3441953526923409E-3</v>
      </c>
      <c r="D76" s="26"/>
      <c r="E76" s="234"/>
      <c r="F76" s="26"/>
      <c r="G76" s="6">
        <f t="shared" ref="G76:Q76" si="28">IF(G$4="","",ABS(G10/G$4))</f>
        <v>2.4973564907883293E-3</v>
      </c>
      <c r="H76" s="6">
        <f t="shared" si="28"/>
        <v>7.9917975835568089E-3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0.56520395086535147</v>
      </c>
      <c r="D77" s="26"/>
      <c r="E77" s="234"/>
      <c r="F77" s="26"/>
      <c r="G77" s="62">
        <f t="shared" ref="G77:Q77" si="29">IF(G$4="","",G11/G$4)</f>
        <v>0.563411673135921</v>
      </c>
      <c r="H77" s="62">
        <f t="shared" si="29"/>
        <v>0.56168338977914345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0.14130098771633787</v>
      </c>
      <c r="D78" s="26"/>
      <c r="E78" s="234"/>
      <c r="F78" s="26"/>
      <c r="G78" s="6">
        <f t="shared" ref="G78:Q78" si="30">IF(G$4="","",ABS(G12/G$4))</f>
        <v>0.15090020494493311</v>
      </c>
      <c r="H78" s="6">
        <f t="shared" si="30"/>
        <v>0.14941462975605196</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1.3979724568356996E-3</v>
      </c>
      <c r="D79" s="26"/>
      <c r="E79" s="234"/>
      <c r="F79" s="26"/>
      <c r="G79" s="6">
        <f t="shared" ref="G79:Q79" si="31">IF(G$4="","",-G13/G$4)</f>
        <v>7.947139897861189E-4</v>
      </c>
      <c r="H79" s="6">
        <f t="shared" si="31"/>
        <v>1.3979724568356996E-3</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0.42250499069217784</v>
      </c>
      <c r="D80" s="26"/>
      <c r="E80" s="234"/>
      <c r="F80" s="26"/>
      <c r="G80" s="62">
        <f t="shared" ref="G80:Q80" si="32">IF(G$4="","",ABS(G14/G$4))</f>
        <v>0.41171675420120174</v>
      </c>
      <c r="H80" s="62">
        <f t="shared" si="32"/>
        <v>0.41087078756625578</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544</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0.42250499069217784</v>
      </c>
      <c r="D85" s="72"/>
      <c r="E85" s="234"/>
      <c r="F85" s="72"/>
      <c r="G85" s="62">
        <f t="shared" ref="G85:Q85" si="35">IF(G$4="","",ABS(G19/G$4))</f>
        <v>0.41171675420120174</v>
      </c>
      <c r="H85" s="62">
        <f t="shared" si="35"/>
        <v>0.41087078756625578</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(CNY)</v>
      </c>
      <c r="C88" s="110">
        <f>G88</f>
        <v>4.5920000000000005</v>
      </c>
      <c r="E88" s="237"/>
      <c r="G88" s="109">
        <f>Data!C65</f>
        <v>4.5920000000000005</v>
      </c>
      <c r="H88" s="109">
        <f>Data!D65</f>
        <v>5.4000779999999997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6759157494.0960007</v>
      </c>
      <c r="E89" s="237"/>
      <c r="G89" s="71">
        <f t="shared" ref="G89:Q89" si="36">IF(G$4="","",G88*Common_Shares/scaling_factor)</f>
        <v>6759157494.0960007</v>
      </c>
      <c r="H89" s="71">
        <f t="shared" si="36"/>
        <v>7948601411.6731138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0.51281220823452245</v>
      </c>
      <c r="E90" s="237"/>
      <c r="G90" s="152">
        <f t="shared" ref="G90:Q90" si="37">IF(G$4="","",G88/(G19*scaling_factor/Common_Shares))</f>
        <v>0.52624945440301363</v>
      </c>
      <c r="H90" s="152">
        <f t="shared" si="37"/>
        <v>0.63988198228916482</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328</v>
      </c>
      <c r="C91" s="292">
        <v>0.1</v>
      </c>
      <c r="E91" s="237"/>
      <c r="G91" s="293"/>
      <c r="H91" s="293"/>
      <c r="I91" s="293"/>
      <c r="J91" s="293"/>
      <c r="K91" s="293"/>
      <c r="L91" s="293"/>
      <c r="M91" s="293"/>
      <c r="N91" s="293"/>
      <c r="O91" s="293"/>
      <c r="P91" s="293"/>
      <c r="Q91" s="293"/>
    </row>
    <row r="92" spans="1:17" ht="15.75" customHeight="1">
      <c r="A92" s="10"/>
      <c r="B92" s="2" t="s">
        <v>327</v>
      </c>
      <c r="C92" s="22">
        <f>(C88*(1-dividend_tax_rate))/Market_Price</f>
        <v>3.889328063241107E-2</v>
      </c>
      <c r="E92" s="237"/>
      <c r="G92" s="22">
        <f t="shared" ref="G92:Q92" si="38">IF(G$4="","",(G88*(1-dividend_tax_rate))/Market_Price)</f>
        <v>3.889328063241107E-2</v>
      </c>
      <c r="H92" s="22">
        <f t="shared" si="38"/>
        <v>4.5737532467532468E-2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3.185053486894196E-2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3.1811157185557271E-3</v>
      </c>
      <c r="D96" s="26"/>
      <c r="E96" s="234"/>
      <c r="F96" s="26"/>
      <c r="G96" s="6">
        <f t="shared" ref="G96:Q96" si="40">IF(H5="","",G11/H11-1)</f>
        <v>3.5025508775143877E-2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70190246185.309998</v>
      </c>
      <c r="D100" s="25"/>
      <c r="E100" s="238"/>
      <c r="F100" s="25"/>
      <c r="G100" s="270">
        <f t="shared" ref="G100:Q100" si="41">IF(G$4="","",G104+G103)</f>
        <v>70190246185.309998</v>
      </c>
      <c r="H100" s="270">
        <f t="shared" si="41"/>
        <v>63294455201.599998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1470111714.1299999</v>
      </c>
      <c r="D101" s="86"/>
      <c r="E101" s="239"/>
      <c r="F101" s="86"/>
      <c r="G101" s="282">
        <f>IF(G$4="","",Data!D77)</f>
        <v>5955632386.9099998</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13784525369.110001</v>
      </c>
      <c r="D102" s="86"/>
      <c r="E102" s="239"/>
      <c r="F102" s="86"/>
      <c r="G102" s="282">
        <f>IF(G$4="","",Data!D78)</f>
        <v>11622043947.459999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23509629209.560001</v>
      </c>
      <c r="D103" s="25"/>
      <c r="E103" s="238"/>
      <c r="F103" s="25"/>
      <c r="G103" s="270">
        <f>Data!C79</f>
        <v>23509629209.560001</v>
      </c>
      <c r="H103" s="270">
        <f>Data!D79</f>
        <v>21762747471.75</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46680616975.75</v>
      </c>
      <c r="D104" s="25"/>
      <c r="E104" s="238"/>
      <c r="F104" s="25"/>
      <c r="G104" s="270">
        <f>Data!C80</f>
        <v>46680616975.75</v>
      </c>
      <c r="H104" s="270">
        <f>Data!D80</f>
        <v>41531707729.849998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4.7124631920881163E-2</v>
      </c>
      <c r="D107" s="25"/>
      <c r="E107" s="238"/>
      <c r="F107" s="25"/>
      <c r="G107" s="91">
        <f t="shared" ref="G107:Q107" si="42">IF(G$4="","",G101/G$4)</f>
        <v>0.19090861013600124</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0.44186484467799769</v>
      </c>
      <c r="D108" s="25"/>
      <c r="E108" s="238"/>
      <c r="F108" s="25"/>
      <c r="G108" s="91">
        <f t="shared" ref="G108:Q108" si="43">IF(G$4="","",G102/G$4)</f>
        <v>0.37254620715438108</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551</v>
      </c>
      <c r="G112" s="251">
        <f>IF(G$4="","",Data!C$22/Data!C15)</f>
        <v>1.4211055739955896</v>
      </c>
      <c r="H112" s="251">
        <f>IF(H$4="","",Data!D$22/Data!D15)</f>
        <v>0.80131216517403148</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1.4934398472994701</v>
      </c>
      <c r="H113" s="251">
        <f>IF(H$4="","",Data!D$22/H19)</f>
        <v>0.85721959249763835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324</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0.56520395086535147</v>
      </c>
      <c r="E116" s="22">
        <f>E119/E117/E118</f>
        <v>0.56520395086535147</v>
      </c>
      <c r="G116" s="22">
        <f t="shared" ref="G116:Q116" si="44">IF(G4="","",G77)</f>
        <v>0.563411673135921</v>
      </c>
      <c r="H116" s="22">
        <f t="shared" si="44"/>
        <v>0.56168338977914345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0.44445275381950455</v>
      </c>
      <c r="E117" s="452">
        <f>C117</f>
        <v>0.44445275381950455</v>
      </c>
      <c r="G117" s="40">
        <f t="shared" ref="G117:Q117" si="45">IF(G4="","",G4/G100)</f>
        <v>0.44445275381950455</v>
      </c>
      <c r="H117" s="40">
        <f t="shared" si="45"/>
        <v>0.47766113622375789</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1.5036272168761813</v>
      </c>
      <c r="D118" s="11"/>
      <c r="E118" s="15">
        <f>C100/C104</f>
        <v>1.5036272168761813</v>
      </c>
      <c r="F118" s="11"/>
      <c r="G118" s="15">
        <f t="shared" ref="G118:Q118" si="46">IF(G$4="","",G100/G104)</f>
        <v>1.5036272168761813</v>
      </c>
      <c r="H118" s="15">
        <f t="shared" si="46"/>
        <v>1.5240031932544036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0.37772085893132024</v>
      </c>
      <c r="D119" s="100"/>
      <c r="E119" s="453">
        <f>C119</f>
        <v>0.37772085893132024</v>
      </c>
      <c r="F119" s="100"/>
      <c r="G119" s="99">
        <f t="shared" ref="G119:Q119" si="47">IF(G$4="","",G11/G104)</f>
        <v>0.37652309539416257</v>
      </c>
      <c r="H119" s="99">
        <f t="shared" si="47"/>
        <v>0.40888140979975285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8.9545450093886192</v>
      </c>
      <c r="D123" s="26"/>
      <c r="E123" s="234"/>
      <c r="F123" s="26"/>
      <c r="G123" s="159">
        <f t="shared" ref="G123:Q123" si="48">IF(G$4="","",G14*$C$3/Common_Shares*Exchange_Rate)</f>
        <v>8.7258997830396687</v>
      </c>
      <c r="H123" s="159">
        <f t="shared" si="48"/>
        <v>8.4391780819977615</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8.4270139369363992E-2</v>
      </c>
      <c r="D124" s="26"/>
      <c r="E124" s="234"/>
      <c r="F124" s="26"/>
      <c r="G124" s="74">
        <f t="shared" ref="G124" si="49">IF(G$4="","",G123/Market_Price)</f>
        <v>8.2118386815731872E-2</v>
      </c>
      <c r="H124" s="74">
        <f t="shared" ref="H124" si="50">IF(H$4="","",H123/Market_Price)</f>
        <v>7.9420083587406001E-2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8.6298212680816652E-2</v>
      </c>
      <c r="H125" s="22">
        <f>IF(H$4="","",(Data!D47*$C$3)/(Market_Price*Common_Shares))</f>
        <v>8.4961210683901972E-2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v>
      </c>
      <c r="E3" s="106" t="s">
        <v>421</v>
      </c>
      <c r="H3" s="106" t="s">
        <v>411</v>
      </c>
    </row>
    <row r="4" spans="2:15">
      <c r="B4" s="97" t="s">
        <v>390</v>
      </c>
      <c r="C4" s="275">
        <f>Normalized_FCF!C19</f>
        <v>13180570558.891336</v>
      </c>
      <c r="D4" t="str">
        <f>Reporting_currency</f>
        <v>CNY</v>
      </c>
      <c r="E4" s="135" t="s">
        <v>428</v>
      </c>
      <c r="F4" s="275">
        <f>-BS!G31</f>
        <v>-2749714302.0599999</v>
      </c>
      <c r="G4" t="str">
        <f>Reporting_currency</f>
        <v>CNY</v>
      </c>
      <c r="H4" s="308" t="s">
        <v>391</v>
      </c>
      <c r="I4" s="305">
        <f>Normalized_FCF!C4</f>
        <v>31196248208.330002</v>
      </c>
      <c r="J4" s="305"/>
    </row>
    <row r="5" spans="2:15">
      <c r="B5" s="187" t="s">
        <v>104</v>
      </c>
      <c r="C5" s="188">
        <f>Equity_Cost</f>
        <v>7.2499999999999995E-2</v>
      </c>
      <c r="E5" s="135" t="s">
        <v>429</v>
      </c>
      <c r="F5" s="275">
        <f>BS!D66</f>
        <v>25341662019.738998</v>
      </c>
      <c r="G5" t="str">
        <f>Reporting_currency</f>
        <v>CNY</v>
      </c>
      <c r="H5" s="308" t="s">
        <v>392</v>
      </c>
      <c r="I5" s="305">
        <f>Normalized_FCF!C7</f>
        <v>-1100779964.5599995</v>
      </c>
      <c r="J5" s="305"/>
    </row>
    <row r="6" spans="2:15" ht="13.25" customHeight="1">
      <c r="B6" s="136" t="s">
        <v>193</v>
      </c>
      <c r="C6" s="283">
        <f>(C4*(1+Terminal_Growth))/(Equity_Cost-Terminal_Growth)</f>
        <v>256079656572.74603</v>
      </c>
      <c r="D6" t="str">
        <f>Reporting_currency</f>
        <v>CNY</v>
      </c>
      <c r="E6" s="187" t="s">
        <v>430</v>
      </c>
      <c r="F6" s="284">
        <f>BS!H42</f>
        <v>1298705835.2379999</v>
      </c>
      <c r="G6" t="str">
        <f>Reporting_currency</f>
        <v>CNY</v>
      </c>
      <c r="H6" s="308" t="s">
        <v>413</v>
      </c>
      <c r="I6" s="305">
        <f>I7+I8</f>
        <v>-104326348.27973396</v>
      </c>
      <c r="J6" s="305"/>
      <c r="N6" s="135"/>
    </row>
    <row r="7" spans="2:15" ht="12.75" customHeight="1">
      <c r="B7" s="318" t="s">
        <v>427</v>
      </c>
      <c r="C7" s="275">
        <f>F7</f>
        <v>23890653552.916996</v>
      </c>
      <c r="E7" s="140" t="s">
        <v>421</v>
      </c>
      <c r="F7" s="283">
        <f>SUM(F4:F6)</f>
        <v>23890653552.916996</v>
      </c>
      <c r="G7" t="str">
        <f>Reporting_currency</f>
        <v>CNY</v>
      </c>
      <c r="H7" s="312" t="s">
        <v>414</v>
      </c>
      <c r="I7" s="313">
        <f>Normalized_FCF!C9</f>
        <v>0</v>
      </c>
      <c r="J7" s="313"/>
      <c r="N7" s="304"/>
      <c r="O7" s="304"/>
    </row>
    <row r="8" spans="2:15" ht="13.15">
      <c r="B8" s="136" t="s">
        <v>423</v>
      </c>
      <c r="C8" s="283">
        <f>C6+C7</f>
        <v>279970310125.66302</v>
      </c>
      <c r="D8" t="str">
        <f>Reporting_currency</f>
        <v>CNY</v>
      </c>
      <c r="E8" s="140" t="s">
        <v>461</v>
      </c>
      <c r="F8" s="108">
        <f>FV_adjustments*scaling_factor/Common_Shares*Exchange_Rate</f>
        <v>16.230703487945195</v>
      </c>
      <c r="G8" s="294" t="str">
        <f>Market_currency</f>
        <v>CNY</v>
      </c>
      <c r="H8" s="314" t="str">
        <f>Normalized_FCF!B10</f>
        <v>Net Interest Income</v>
      </c>
      <c r="I8" s="313">
        <f>Normalized_FCF!C10</f>
        <v>-104326348.27973396</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1.3979724568356996E-3</v>
      </c>
      <c r="J9" s="306"/>
      <c r="N9" s="304"/>
      <c r="O9" s="304"/>
    </row>
    <row r="10" spans="2:15" ht="13.5" thickTop="1">
      <c r="B10" s="107" t="s">
        <v>424</v>
      </c>
      <c r="C10" s="283">
        <f>C8*Exchange_Rate</f>
        <v>279970310125.66302</v>
      </c>
      <c r="D10" t="str">
        <f>Market_currency</f>
        <v>CNY</v>
      </c>
      <c r="H10" s="308" t="s">
        <v>394</v>
      </c>
      <c r="I10" s="306">
        <f>Normalized_FCF!C41</f>
        <v>0.25</v>
      </c>
      <c r="N10" s="304"/>
      <c r="O10" s="304"/>
    </row>
    <row r="11" spans="2:15" ht="13.15">
      <c r="B11" s="136" t="s">
        <v>422</v>
      </c>
      <c r="C11" s="108">
        <f>(C10*scaling_factor)/Common_Shares</f>
        <v>190.20472081320983</v>
      </c>
      <c r="D11" t="str">
        <f>Market_currency</f>
        <v>CNY</v>
      </c>
      <c r="E11" s="307"/>
      <c r="I11" s="307"/>
      <c r="J11" s="307"/>
    </row>
    <row r="13" spans="2:15" ht="13.9">
      <c r="B13" s="34" t="s">
        <v>425</v>
      </c>
      <c r="C13" s="35"/>
      <c r="D13" s="35"/>
      <c r="E13" s="35"/>
      <c r="F13" s="35"/>
      <c r="G13" s="35"/>
      <c r="H13" s="35"/>
      <c r="I13" s="35"/>
      <c r="J13" s="35"/>
      <c r="K13" s="35"/>
      <c r="L13" s="35"/>
    </row>
    <row r="14" spans="2:15" ht="13.15">
      <c r="B14" s="106" t="s">
        <v>396</v>
      </c>
      <c r="C14" s="309" t="s">
        <v>402</v>
      </c>
      <c r="E14" s="106" t="s">
        <v>396</v>
      </c>
      <c r="F14" s="309" t="str">
        <f>IF(ROUND(F17,4)=ROUND(C17,4),"I","II")</f>
        <v>I</v>
      </c>
      <c r="H14" s="106" t="s">
        <v>410</v>
      </c>
    </row>
    <row r="15" spans="2:15">
      <c r="B15" s="139" t="s">
        <v>418</v>
      </c>
      <c r="C15" s="148">
        <f>Scenarios!C45</f>
        <v>15</v>
      </c>
      <c r="E15" s="308" t="str">
        <f>IF(F14="II","Change year","Terminal Year")</f>
        <v>Terminal Year</v>
      </c>
      <c r="F15" s="310">
        <f>IF(F14="II",_xlfn.CEILING.MATH(C15/2),C15+1)</f>
        <v>16</v>
      </c>
      <c r="H15" s="97" t="s">
        <v>426</v>
      </c>
      <c r="I15" s="126">
        <f>Terminal_Growth</f>
        <v>0.02</v>
      </c>
      <c r="J15" s="126"/>
    </row>
    <row r="16" spans="2:15" ht="13.25" customHeight="1">
      <c r="B16" s="114" t="s">
        <v>419</v>
      </c>
      <c r="C16" s="147">
        <f>Scenarios!C46</f>
        <v>2.38559171477595E-2</v>
      </c>
      <c r="E16" s="308" t="s">
        <v>397</v>
      </c>
      <c r="F16" s="311">
        <f>Scenarios!C41</f>
        <v>2.38559171477595E-2</v>
      </c>
    </row>
    <row r="17" spans="1:21" ht="13.25" customHeight="1">
      <c r="B17" s="308" t="s">
        <v>546</v>
      </c>
      <c r="C17" s="306">
        <f>Normalized_FCF!C77</f>
        <v>0.56520395086535147</v>
      </c>
      <c r="E17" s="308" t="s">
        <v>547</v>
      </c>
      <c r="F17" s="311">
        <f>Scenarios!C40</f>
        <v>0.56520395086535147</v>
      </c>
      <c r="H17" s="106" t="s">
        <v>409</v>
      </c>
    </row>
    <row r="18" spans="1:21" ht="13.25" customHeight="1">
      <c r="B18" s="308" t="s">
        <v>420</v>
      </c>
      <c r="C18" s="306">
        <f>Normalized_FCF!C81-Normalized_FCF!C82</f>
        <v>0</v>
      </c>
      <c r="E18" s="308" t="s">
        <v>420</v>
      </c>
      <c r="F18" s="144">
        <f>IF(F14="II",C18/2,C18)</f>
        <v>0</v>
      </c>
      <c r="H18" s="140" t="s">
        <v>96</v>
      </c>
      <c r="I18" s="129">
        <f>(L52+FV_adjustments)*Exchange_Rate/Common_Shares*scaling_factor</f>
        <v>173.55524443059508</v>
      </c>
      <c r="J18" t="str">
        <f>Market_currency</f>
        <v>CNY</v>
      </c>
    </row>
    <row r="19" spans="1:21">
      <c r="L19" s="275"/>
    </row>
    <row r="20" spans="1:21" ht="13.15">
      <c r="A20" s="121" t="s">
        <v>396</v>
      </c>
      <c r="B20" s="121" t="s">
        <v>97</v>
      </c>
      <c r="C20" s="121" t="s">
        <v>391</v>
      </c>
      <c r="D20" s="121" t="s">
        <v>101</v>
      </c>
      <c r="E20" s="121" t="s">
        <v>546</v>
      </c>
      <c r="F20" s="121" t="s">
        <v>548</v>
      </c>
      <c r="G20" s="121" t="str">
        <f>B18</f>
        <v>D&amp;A - maint. Capx</v>
      </c>
      <c r="H20" s="121" t="s">
        <v>550</v>
      </c>
      <c r="I20" s="121" t="s">
        <v>526</v>
      </c>
      <c r="J20" s="121" t="s">
        <v>549</v>
      </c>
      <c r="K20" s="121" t="s">
        <v>527</v>
      </c>
      <c r="L20" s="122" t="s">
        <v>416</v>
      </c>
    </row>
    <row r="21" spans="1:21">
      <c r="A21" s="302" t="str">
        <f t="shared" ref="A21:A50" si="0">IF($C$15&lt;B21,"",IF(B21&gt;=$F$15,"II","I"))</f>
        <v>I</v>
      </c>
      <c r="B21" s="117">
        <v>1</v>
      </c>
      <c r="C21" s="277">
        <f>I4*(1+D21)</f>
        <v>31940463320.908863</v>
      </c>
      <c r="D21" s="299">
        <f t="shared" ref="D21:D50" si="1">IF(A21="",0,IF(A21="I",$C$16,$F$16))</f>
        <v>2.38559171477595E-2</v>
      </c>
      <c r="E21" s="299">
        <f>$C$17</f>
        <v>0.56520395086535147</v>
      </c>
      <c r="F21" s="277">
        <f>C21*E21</f>
        <v>18052876061.447533</v>
      </c>
      <c r="G21" s="299">
        <f t="shared" ref="G21:G50" si="2">IF(A21="",0%,IF(A21="I",$C$18,$F$18))</f>
        <v>0</v>
      </c>
      <c r="H21" s="277">
        <f>(F21*(1-$I$10)+C21*(G21-$I$9))</f>
        <v>13495005158.104448</v>
      </c>
      <c r="I21" s="299">
        <f>H21/C4-1</f>
        <v>2.3855917147759698E-2</v>
      </c>
      <c r="J21" s="299">
        <f>H21/C21</f>
        <v>0.4225049906921779</v>
      </c>
      <c r="K21" s="119">
        <f t="shared" ref="K21:K50" si="3">IF($C$15&lt;B21,0,1/(1+Equity_Cost)^B21)</f>
        <v>0.93240093240093236</v>
      </c>
      <c r="L21" s="277">
        <f t="shared" ref="L21:L51" si="4">H21*K21</f>
        <v>12582755392.17198</v>
      </c>
    </row>
    <row r="22" spans="1:21">
      <c r="A22" s="302" t="str">
        <f t="shared" si="0"/>
        <v>I</v>
      </c>
      <c r="B22" s="117">
        <v>2</v>
      </c>
      <c r="C22" s="277">
        <f t="shared" ref="C22:C50" si="5">IF(A22="",0,C21*(1+D22))</f>
        <v>32702432367.553516</v>
      </c>
      <c r="D22" s="299">
        <f t="shared" si="1"/>
        <v>2.38559171477595E-2</v>
      </c>
      <c r="E22" s="299">
        <f t="shared" ref="E22:E50" si="6">IF($C$15&lt;B22,0,IF(B22&gt;=$F$15,$F$17,$C$17))</f>
        <v>0.56520395086535147</v>
      </c>
      <c r="F22" s="277">
        <f t="shared" ref="F22:F50" si="7">IF(A22="", 0,C22*E22)</f>
        <v>18483543977.048199</v>
      </c>
      <c r="G22" s="299">
        <f t="shared" si="2"/>
        <v>0</v>
      </c>
      <c r="H22" s="277">
        <f t="shared" ref="H22:H50" si="8">IF(A22="", 0,F22*(1-$I$10)+C22*(G22-$I$9))</f>
        <v>13816940883.064775</v>
      </c>
      <c r="I22" s="299">
        <f t="shared" ref="I22:I50" si="9">IF(A22="", 0,H22/H21-1)</f>
        <v>2.3855917147759476E-2</v>
      </c>
      <c r="J22" s="299">
        <f>IF(A22="", 0,H22/C22)</f>
        <v>0.4225049906921779</v>
      </c>
      <c r="K22" s="119">
        <f t="shared" si="3"/>
        <v>0.86937149874212816</v>
      </c>
      <c r="L22" s="277">
        <f t="shared" si="4"/>
        <v>12012054603.541407</v>
      </c>
    </row>
    <row r="23" spans="1:21">
      <c r="A23" s="302" t="str">
        <f t="shared" si="0"/>
        <v>I</v>
      </c>
      <c r="B23" s="117">
        <v>3</v>
      </c>
      <c r="C23" s="277">
        <f t="shared" si="5"/>
        <v>33482578884.644081</v>
      </c>
      <c r="D23" s="299">
        <f t="shared" si="1"/>
        <v>2.38559171477595E-2</v>
      </c>
      <c r="E23" s="299">
        <f t="shared" si="6"/>
        <v>0.56520395086535147</v>
      </c>
      <c r="F23" s="277">
        <f t="shared" si="7"/>
        <v>18924485870.761627</v>
      </c>
      <c r="G23" s="299">
        <f t="shared" si="2"/>
        <v>0</v>
      </c>
      <c r="H23" s="277">
        <f t="shared" si="8"/>
        <v>14146556680.006659</v>
      </c>
      <c r="I23" s="299">
        <f t="shared" si="9"/>
        <v>2.3855917147759476E-2</v>
      </c>
      <c r="J23" s="299">
        <f t="shared" ref="J23:J50" si="10">IF(A23="", 0,H23/C23)</f>
        <v>0.42250499069217784</v>
      </c>
      <c r="K23" s="119">
        <f t="shared" si="3"/>
        <v>0.81060279602995633</v>
      </c>
      <c r="L23" s="277">
        <f t="shared" si="4"/>
        <v>11467238399.009653</v>
      </c>
      <c r="N23" s="275"/>
      <c r="O23" s="275"/>
      <c r="P23" s="275"/>
      <c r="Q23" s="275"/>
      <c r="R23" s="275"/>
      <c r="S23" s="275"/>
      <c r="T23" s="275"/>
      <c r="U23" s="275"/>
    </row>
    <row r="24" spans="1:21">
      <c r="A24" s="302" t="str">
        <f t="shared" si="0"/>
        <v>I</v>
      </c>
      <c r="B24" s="117">
        <v>4</v>
      </c>
      <c r="C24" s="277">
        <f t="shared" si="5"/>
        <v>34281336512.40947</v>
      </c>
      <c r="D24" s="299">
        <f t="shared" si="1"/>
        <v>2.38559171477595E-2</v>
      </c>
      <c r="E24" s="299">
        <f t="shared" si="6"/>
        <v>0.56520395086535147</v>
      </c>
      <c r="F24" s="277">
        <f t="shared" si="7"/>
        <v>19375946837.758461</v>
      </c>
      <c r="G24" s="299">
        <f t="shared" si="2"/>
        <v>0</v>
      </c>
      <c r="H24" s="277">
        <f t="shared" si="8"/>
        <v>14484035764.090981</v>
      </c>
      <c r="I24" s="299">
        <f t="shared" si="9"/>
        <v>2.3855917147759476E-2</v>
      </c>
      <c r="J24" s="299">
        <f t="shared" si="10"/>
        <v>0.4225049906921779</v>
      </c>
      <c r="K24" s="119">
        <f t="shared" si="3"/>
        <v>0.75580680282513402</v>
      </c>
      <c r="L24" s="277">
        <f t="shared" si="4"/>
        <v>10947132762.862501</v>
      </c>
      <c r="N24" s="275"/>
      <c r="O24" s="275"/>
      <c r="P24" s="275"/>
      <c r="Q24" s="275"/>
      <c r="R24" s="275"/>
      <c r="S24" s="275"/>
      <c r="T24" s="275"/>
      <c r="U24" s="275"/>
    </row>
    <row r="25" spans="1:21">
      <c r="A25" s="302" t="str">
        <f t="shared" si="0"/>
        <v>I</v>
      </c>
      <c r="B25" s="117">
        <v>5</v>
      </c>
      <c r="C25" s="277">
        <f t="shared" si="5"/>
        <v>35099149235.963974</v>
      </c>
      <c r="D25" s="299">
        <f t="shared" si="1"/>
        <v>2.38559171477595E-2</v>
      </c>
      <c r="E25" s="299">
        <f t="shared" si="6"/>
        <v>0.56520395086535147</v>
      </c>
      <c r="F25" s="277">
        <f t="shared" si="7"/>
        <v>19838177820.17942</v>
      </c>
      <c r="G25" s="299">
        <f t="shared" si="2"/>
        <v>0</v>
      </c>
      <c r="H25" s="277">
        <f t="shared" si="8"/>
        <v>14829565721.244322</v>
      </c>
      <c r="I25" s="299">
        <f t="shared" si="9"/>
        <v>2.3855917147759698E-2</v>
      </c>
      <c r="J25" s="299">
        <f t="shared" si="10"/>
        <v>0.4225049906921779</v>
      </c>
      <c r="K25" s="119">
        <f t="shared" si="3"/>
        <v>0.70471496766912267</v>
      </c>
      <c r="L25" s="277">
        <f t="shared" si="4"/>
        <v>10450616927.793821</v>
      </c>
      <c r="N25" s="275"/>
      <c r="O25" s="275"/>
      <c r="P25" s="275"/>
      <c r="Q25" s="275"/>
      <c r="R25" s="275"/>
      <c r="S25" s="275"/>
      <c r="T25" s="275"/>
      <c r="U25" s="275"/>
    </row>
    <row r="26" spans="1:21">
      <c r="A26" s="302" t="str">
        <f t="shared" si="0"/>
        <v>I</v>
      </c>
      <c r="B26" s="117">
        <v>6</v>
      </c>
      <c r="C26" s="277">
        <f t="shared" si="5"/>
        <v>35936471632.093979</v>
      </c>
      <c r="D26" s="299">
        <f t="shared" si="1"/>
        <v>2.38559171477595E-2</v>
      </c>
      <c r="E26" s="299">
        <f t="shared" si="6"/>
        <v>0.56520395086535147</v>
      </c>
      <c r="F26" s="277">
        <f t="shared" si="7"/>
        <v>20311435746.620144</v>
      </c>
      <c r="G26" s="299">
        <f t="shared" si="2"/>
        <v>0</v>
      </c>
      <c r="H26" s="277">
        <f t="shared" si="8"/>
        <v>15183338612.427582</v>
      </c>
      <c r="I26" s="299">
        <f t="shared" si="9"/>
        <v>2.3855917147759476E-2</v>
      </c>
      <c r="J26" s="299">
        <f t="shared" si="10"/>
        <v>0.4225049906921779</v>
      </c>
      <c r="K26" s="119">
        <f t="shared" si="3"/>
        <v>0.65707689293158289</v>
      </c>
      <c r="L26" s="277">
        <f t="shared" si="4"/>
        <v>9976620959.7820473</v>
      </c>
    </row>
    <row r="27" spans="1:21">
      <c r="A27" s="302" t="str">
        <f t="shared" si="0"/>
        <v>I</v>
      </c>
      <c r="B27" s="117">
        <v>7</v>
      </c>
      <c r="C27" s="277">
        <f t="shared" si="5"/>
        <v>36793769121.932022</v>
      </c>
      <c r="D27" s="299">
        <f t="shared" si="1"/>
        <v>2.38559171477595E-2</v>
      </c>
      <c r="E27" s="299">
        <f t="shared" si="6"/>
        <v>0.56520395086535147</v>
      </c>
      <c r="F27" s="277">
        <f t="shared" si="7"/>
        <v>20795983674.943554</v>
      </c>
      <c r="G27" s="299">
        <f t="shared" si="2"/>
        <v>0</v>
      </c>
      <c r="H27" s="277">
        <f t="shared" si="8"/>
        <v>15545551080.392033</v>
      </c>
      <c r="I27" s="299">
        <f t="shared" si="9"/>
        <v>2.3855917147759476E-2</v>
      </c>
      <c r="J27" s="299">
        <f t="shared" si="10"/>
        <v>0.42250499069217795</v>
      </c>
      <c r="K27" s="119">
        <f t="shared" si="3"/>
        <v>0.61265910762851561</v>
      </c>
      <c r="L27" s="277">
        <f t="shared" si="4"/>
        <v>9524123452.5064888</v>
      </c>
    </row>
    <row r="28" spans="1:21">
      <c r="A28" s="302" t="str">
        <f t="shared" si="0"/>
        <v>I</v>
      </c>
      <c r="B28" s="117">
        <v>8</v>
      </c>
      <c r="C28" s="277">
        <f t="shared" si="5"/>
        <v>37671518229.658623</v>
      </c>
      <c r="D28" s="299">
        <f t="shared" si="1"/>
        <v>2.38559171477595E-2</v>
      </c>
      <c r="E28" s="299">
        <f t="shared" si="6"/>
        <v>0.56520395086535147</v>
      </c>
      <c r="F28" s="277">
        <f t="shared" si="7"/>
        <v>21292090938.499165</v>
      </c>
      <c r="G28" s="299">
        <f t="shared" si="2"/>
        <v>0</v>
      </c>
      <c r="H28" s="277">
        <f t="shared" si="8"/>
        <v>15916404458.982128</v>
      </c>
      <c r="I28" s="299">
        <f t="shared" si="9"/>
        <v>2.3855917147759476E-2</v>
      </c>
      <c r="J28" s="299">
        <f t="shared" si="10"/>
        <v>0.42250499069217795</v>
      </c>
      <c r="K28" s="119">
        <f t="shared" si="3"/>
        <v>0.5712439231967511</v>
      </c>
      <c r="L28" s="277">
        <f t="shared" si="4"/>
        <v>9092149326.3352127</v>
      </c>
    </row>
    <row r="29" spans="1:21">
      <c r="A29" s="302" t="str">
        <f t="shared" si="0"/>
        <v>I</v>
      </c>
      <c r="B29" s="117">
        <v>9</v>
      </c>
      <c r="C29" s="277">
        <f t="shared" si="5"/>
        <v>38570206847.375671</v>
      </c>
      <c r="D29" s="299">
        <f t="shared" si="1"/>
        <v>2.38559171477595E-2</v>
      </c>
      <c r="E29" s="299">
        <f t="shared" si="6"/>
        <v>0.56520395086535147</v>
      </c>
      <c r="F29" s="277">
        <f t="shared" si="7"/>
        <v>21800033295.830563</v>
      </c>
      <c r="G29" s="299">
        <f t="shared" si="2"/>
        <v>0</v>
      </c>
      <c r="H29" s="277">
        <f t="shared" si="8"/>
        <v>16296104885.045834</v>
      </c>
      <c r="I29" s="299">
        <f t="shared" si="9"/>
        <v>2.3855917147759476E-2</v>
      </c>
      <c r="J29" s="299">
        <f t="shared" si="10"/>
        <v>0.4225049906921779</v>
      </c>
      <c r="K29" s="119">
        <f t="shared" si="3"/>
        <v>0.53262836661701729</v>
      </c>
      <c r="L29" s="277">
        <f t="shared" si="4"/>
        <v>8679767727.1415596</v>
      </c>
    </row>
    <row r="30" spans="1:21">
      <c r="A30" s="302" t="str">
        <f t="shared" si="0"/>
        <v>I</v>
      </c>
      <c r="B30" s="117">
        <v>10</v>
      </c>
      <c r="C30" s="277">
        <f t="shared" si="5"/>
        <v>39490334506.298607</v>
      </c>
      <c r="D30" s="299">
        <f t="shared" si="1"/>
        <v>2.38559171477595E-2</v>
      </c>
      <c r="E30" s="299">
        <f t="shared" si="6"/>
        <v>0.56520395086535147</v>
      </c>
      <c r="F30" s="277">
        <f t="shared" si="7"/>
        <v>22320093083.954292</v>
      </c>
      <c r="G30" s="299">
        <f t="shared" si="2"/>
        <v>0</v>
      </c>
      <c r="H30" s="277">
        <f t="shared" si="8"/>
        <v>16684863413.014685</v>
      </c>
      <c r="I30" s="299">
        <f t="shared" si="9"/>
        <v>2.3855917147759476E-2</v>
      </c>
      <c r="J30" s="299">
        <f t="shared" si="10"/>
        <v>0.4225049906921779</v>
      </c>
      <c r="K30" s="119">
        <f t="shared" si="3"/>
        <v>0.49662318565689262</v>
      </c>
      <c r="L30" s="277">
        <f t="shared" si="4"/>
        <v>8286090020.4214869</v>
      </c>
    </row>
    <row r="31" spans="1:21">
      <c r="A31" s="302" t="str">
        <f t="shared" si="0"/>
        <v>I</v>
      </c>
      <c r="B31" s="117">
        <v>11</v>
      </c>
      <c r="C31" s="277">
        <f t="shared" si="5"/>
        <v>40432412654.418175</v>
      </c>
      <c r="D31" s="299">
        <f t="shared" si="1"/>
        <v>2.38559171477595E-2</v>
      </c>
      <c r="E31" s="299">
        <f t="shared" si="6"/>
        <v>0.56520395086535147</v>
      </c>
      <c r="F31" s="277">
        <f t="shared" si="7"/>
        <v>22852559375.295383</v>
      </c>
      <c r="G31" s="299">
        <f t="shared" si="2"/>
        <v>0</v>
      </c>
      <c r="H31" s="277">
        <f t="shared" si="8"/>
        <v>17082896132.217247</v>
      </c>
      <c r="I31" s="299">
        <f t="shared" si="9"/>
        <v>2.3855917147759476E-2</v>
      </c>
      <c r="J31" s="299">
        <f t="shared" si="10"/>
        <v>0.4225049906921779</v>
      </c>
      <c r="K31" s="119">
        <f t="shared" si="3"/>
        <v>0.46305192135840806</v>
      </c>
      <c r="L31" s="277">
        <f t="shared" si="4"/>
        <v>7910267876.3893137</v>
      </c>
    </row>
    <row r="32" spans="1:21">
      <c r="A32" s="302" t="str">
        <f t="shared" si="0"/>
        <v>I</v>
      </c>
      <c r="B32" s="117">
        <v>12</v>
      </c>
      <c r="C32" s="277">
        <f t="shared" si="5"/>
        <v>41396964940.785995</v>
      </c>
      <c r="D32" s="299">
        <f t="shared" si="1"/>
        <v>2.38559171477595E-2</v>
      </c>
      <c r="E32" s="299">
        <f t="shared" si="6"/>
        <v>0.56520395086535147</v>
      </c>
      <c r="F32" s="277">
        <f t="shared" si="7"/>
        <v>23397728138.366684</v>
      </c>
      <c r="G32" s="299">
        <f t="shared" si="2"/>
        <v>0</v>
      </c>
      <c r="H32" s="277">
        <f t="shared" si="8"/>
        <v>17490424286.991199</v>
      </c>
      <c r="I32" s="299">
        <f t="shared" si="9"/>
        <v>2.3855917147759254E-2</v>
      </c>
      <c r="J32" s="299">
        <f t="shared" si="10"/>
        <v>0.42250499069217784</v>
      </c>
      <c r="K32" s="119">
        <f t="shared" si="3"/>
        <v>0.43175004322462285</v>
      </c>
      <c r="L32" s="277">
        <f t="shared" si="4"/>
        <v>7551491441.9254436</v>
      </c>
    </row>
    <row r="33" spans="1:21">
      <c r="A33" s="302" t="str">
        <f t="shared" si="0"/>
        <v>I</v>
      </c>
      <c r="B33" s="117">
        <v>13</v>
      </c>
      <c r="C33" s="277">
        <f t="shared" si="5"/>
        <v>42384527506.582092</v>
      </c>
      <c r="D33" s="299">
        <f t="shared" si="1"/>
        <v>2.38559171477595E-2</v>
      </c>
      <c r="E33" s="299">
        <f t="shared" si="6"/>
        <v>0.56520395086535147</v>
      </c>
      <c r="F33" s="277">
        <f t="shared" si="7"/>
        <v>23955902402.281364</v>
      </c>
      <c r="G33" s="299">
        <f t="shared" si="2"/>
        <v>0</v>
      </c>
      <c r="H33" s="277">
        <f t="shared" si="8"/>
        <v>17907674399.660824</v>
      </c>
      <c r="I33" s="299">
        <f t="shared" si="9"/>
        <v>2.3855917147759698E-2</v>
      </c>
      <c r="J33" s="299">
        <f t="shared" si="10"/>
        <v>0.4225049906921779</v>
      </c>
      <c r="K33" s="119">
        <f t="shared" si="3"/>
        <v>0.40256414286678116</v>
      </c>
      <c r="L33" s="277">
        <f t="shared" si="4"/>
        <v>7208987595.4368591</v>
      </c>
      <c r="N33" s="275"/>
      <c r="O33" s="275"/>
      <c r="P33" s="275"/>
      <c r="Q33" s="275"/>
      <c r="R33" s="275"/>
      <c r="S33" s="275"/>
      <c r="T33" s="275"/>
      <c r="U33" s="275"/>
    </row>
    <row r="34" spans="1:21">
      <c r="A34" s="302" t="str">
        <f t="shared" si="0"/>
        <v>I</v>
      </c>
      <c r="B34" s="117">
        <v>14</v>
      </c>
      <c r="C34" s="277">
        <f t="shared" si="5"/>
        <v>43395649283.126045</v>
      </c>
      <c r="D34" s="299">
        <f t="shared" si="1"/>
        <v>2.38559171477595E-2</v>
      </c>
      <c r="E34" s="299">
        <f t="shared" si="6"/>
        <v>0.56520395086535147</v>
      </c>
      <c r="F34" s="277">
        <f t="shared" si="7"/>
        <v>24527392425.189999</v>
      </c>
      <c r="G34" s="299">
        <f t="shared" si="2"/>
        <v>0</v>
      </c>
      <c r="H34" s="277">
        <f t="shared" si="8"/>
        <v>18334878396.448185</v>
      </c>
      <c r="I34" s="299">
        <f t="shared" si="9"/>
        <v>2.3855917147759476E-2</v>
      </c>
      <c r="J34" s="299">
        <f t="shared" si="10"/>
        <v>0.4225049906921779</v>
      </c>
      <c r="K34" s="119">
        <f t="shared" si="3"/>
        <v>0.37535118216016894</v>
      </c>
      <c r="L34" s="277">
        <f t="shared" si="4"/>
        <v>6882018280.8697691</v>
      </c>
      <c r="N34" s="275"/>
      <c r="O34" s="275"/>
      <c r="P34" s="275"/>
      <c r="Q34" s="275"/>
      <c r="R34" s="275"/>
      <c r="S34" s="275"/>
      <c r="T34" s="275"/>
      <c r="U34" s="275"/>
    </row>
    <row r="35" spans="1:21">
      <c r="A35" s="302" t="str">
        <f t="shared" si="0"/>
        <v>I</v>
      </c>
      <c r="B35" s="117">
        <v>15</v>
      </c>
      <c r="C35" s="277">
        <f t="shared" si="5"/>
        <v>44430892296.997528</v>
      </c>
      <c r="D35" s="299">
        <f t="shared" si="1"/>
        <v>2.38559171477595E-2</v>
      </c>
      <c r="E35" s="299">
        <f t="shared" si="6"/>
        <v>0.56520395086535147</v>
      </c>
      <c r="F35" s="277">
        <f t="shared" si="7"/>
        <v>25112515866.735912</v>
      </c>
      <c r="G35" s="299">
        <f t="shared" si="2"/>
        <v>0</v>
      </c>
      <c r="H35" s="277">
        <f t="shared" si="8"/>
        <v>18772273736.388096</v>
      </c>
      <c r="I35" s="299">
        <f t="shared" si="9"/>
        <v>2.3855917147759254E-2</v>
      </c>
      <c r="J35" s="299">
        <f t="shared" si="10"/>
        <v>0.42250499069217784</v>
      </c>
      <c r="K35" s="119">
        <f t="shared" si="3"/>
        <v>0.34997779222393377</v>
      </c>
      <c r="L35" s="277">
        <f t="shared" si="4"/>
        <v>6569878917.2844419</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415</v>
      </c>
      <c r="B51" s="316">
        <f>C15+1</f>
        <v>16</v>
      </c>
      <c r="C51" s="277">
        <f>VLOOKUP(C15,B21:C50,2,FALSE)*(1+Terminal_Growth)</f>
        <v>45319510142.937477</v>
      </c>
      <c r="D51" s="301">
        <f>Terminal_Growth</f>
        <v>0.02</v>
      </c>
      <c r="E51" s="301">
        <f>F17</f>
        <v>0.56520395086535147</v>
      </c>
      <c r="F51" s="277">
        <f>C51*E51</f>
        <v>25614766184.070633</v>
      </c>
      <c r="G51" s="299">
        <f>F18</f>
        <v>0</v>
      </c>
      <c r="H51" s="277">
        <f>(F51*(1-$I$10)+C51*(G51-$I$9))/Equity_Cost</f>
        <v>264106471877.46021</v>
      </c>
      <c r="I51" s="415">
        <f>(F51*(1-$I$10)+C51*(G51-$I$9))/VLOOKUP(C15,B21:H50,COLUMN(H20)-1,FALSE)-1</f>
        <v>2.000000000000024E-2</v>
      </c>
      <c r="J51" s="454"/>
      <c r="K51" s="119">
        <f>1/(1+Equity_Cost)^C15</f>
        <v>0.34997779222393377</v>
      </c>
      <c r="L51" s="277">
        <f t="shared" si="4"/>
        <v>92431399939.725983</v>
      </c>
    </row>
    <row r="52" spans="1:21" ht="13.15">
      <c r="G52" s="111"/>
      <c r="H52" s="111"/>
      <c r="I52" s="111"/>
      <c r="J52" s="468" t="s">
        <v>417</v>
      </c>
      <c r="K52" s="468"/>
      <c r="L52" s="317">
        <f>SUM(L21:L51)</f>
        <v>231572593623.19797</v>
      </c>
    </row>
    <row r="53" spans="1:21">
      <c r="C53" s="111"/>
    </row>
    <row r="54" spans="1:21" ht="13.15">
      <c r="B54" s="115" t="s">
        <v>107</v>
      </c>
      <c r="C54" s="128"/>
      <c r="D54" s="128"/>
      <c r="E54" s="113"/>
      <c r="F54" s="113"/>
      <c r="G54" s="113"/>
      <c r="H54" s="113"/>
      <c r="I54" s="113"/>
      <c r="J54" s="113"/>
      <c r="K54" s="113"/>
      <c r="L54" s="113"/>
    </row>
    <row r="55" spans="1:21" ht="13.15">
      <c r="A55" s="125">
        <f>L52</f>
        <v>231572593623.19797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185191201165.0354</v>
      </c>
      <c r="C56" s="118">
        <v>187043113176.68582</v>
      </c>
      <c r="D56" s="118">
        <v>188895025188.33615</v>
      </c>
      <c r="E56" s="118">
        <v>190746937199.98651</v>
      </c>
      <c r="F56" s="118">
        <v>194450761223.2872</v>
      </c>
      <c r="G56" s="295"/>
      <c r="H56" s="295"/>
      <c r="I56" s="295"/>
      <c r="J56" s="295"/>
      <c r="K56" s="295"/>
      <c r="L56" s="295"/>
    </row>
    <row r="57" spans="1:21" ht="13.15">
      <c r="A57" s="131">
        <v>2</v>
      </c>
      <c r="B57" s="118">
        <v>184962024917.41425</v>
      </c>
      <c r="C57" s="118">
        <v>188555636897.83957</v>
      </c>
      <c r="D57" s="118">
        <v>192183783367.99265</v>
      </c>
      <c r="E57" s="118">
        <v>195846464327.87338</v>
      </c>
      <c r="F57" s="118">
        <v>203275429716.81821</v>
      </c>
      <c r="G57" s="295"/>
      <c r="H57" s="295"/>
      <c r="I57" s="295"/>
      <c r="J57" s="295"/>
      <c r="K57" s="295"/>
      <c r="L57" s="295"/>
    </row>
    <row r="58" spans="1:21" ht="13.15">
      <c r="A58" s="131">
        <v>3</v>
      </c>
      <c r="B58" s="118">
        <v>184748340770.44809</v>
      </c>
      <c r="C58" s="118">
        <v>189980018211.0007</v>
      </c>
      <c r="D58" s="118">
        <v>195311553385.00851</v>
      </c>
      <c r="E58" s="118">
        <v>200743912292.18433</v>
      </c>
      <c r="F58" s="118">
        <v>211914965304.8905</v>
      </c>
      <c r="G58" s="295"/>
      <c r="H58" s="295"/>
      <c r="I58" s="295"/>
      <c r="J58" s="295"/>
      <c r="K58" s="295"/>
      <c r="L58" s="295"/>
    </row>
    <row r="59" spans="1:21" ht="13.15">
      <c r="A59" s="131">
        <v>4</v>
      </c>
      <c r="B59" s="118">
        <v>184549101472.57755</v>
      </c>
      <c r="C59" s="118">
        <v>191321393620.13141</v>
      </c>
      <c r="D59" s="118">
        <v>198286215778.81384</v>
      </c>
      <c r="E59" s="118">
        <v>205447288891.94208</v>
      </c>
      <c r="F59" s="118">
        <v>220373251894.61154</v>
      </c>
      <c r="G59" s="295"/>
      <c r="H59" s="295"/>
      <c r="I59" s="295"/>
      <c r="J59" s="295"/>
      <c r="K59" s="295"/>
      <c r="L59" s="295"/>
    </row>
    <row r="60" spans="1:21" ht="13.15">
      <c r="A60" s="131">
        <v>5</v>
      </c>
      <c r="B60" s="118">
        <v>184363330565.47217</v>
      </c>
      <c r="C60" s="118">
        <v>192584600299.12634</v>
      </c>
      <c r="D60" s="118">
        <v>201115265328.16714</v>
      </c>
      <c r="E60" s="118">
        <v>209964284600.80045</v>
      </c>
      <c r="F60" s="118">
        <v>228654091912.52032</v>
      </c>
      <c r="G60" s="295"/>
      <c r="H60" s="295"/>
      <c r="I60" s="295"/>
      <c r="J60" s="295"/>
      <c r="K60" s="295"/>
      <c r="L60" s="295"/>
    </row>
    <row r="61" spans="1:21" ht="13.15">
      <c r="A61" s="131">
        <v>6</v>
      </c>
      <c r="B61" s="118">
        <v>184190117598.47412</v>
      </c>
      <c r="C61" s="118">
        <v>193774193535.28937</v>
      </c>
      <c r="D61" s="118">
        <v>203805829934.54514</v>
      </c>
      <c r="E61" s="118">
        <v>214302285141.70868</v>
      </c>
      <c r="F61" s="118">
        <v>236761208013.96948</v>
      </c>
      <c r="G61" s="295"/>
      <c r="H61" s="295"/>
      <c r="I61" s="295"/>
      <c r="J61" s="295"/>
      <c r="K61" s="295"/>
      <c r="L61" s="295"/>
    </row>
    <row r="62" spans="1:21" ht="13.15">
      <c r="A62" s="131">
        <v>7</v>
      </c>
      <c r="B62" s="118">
        <v>184028613666.54123</v>
      </c>
      <c r="C62" s="118">
        <v>194894463156.29141</v>
      </c>
      <c r="D62" s="118">
        <v>206364688581.17038</v>
      </c>
      <c r="E62" s="118">
        <v>218468383563.28021</v>
      </c>
      <c r="F62" s="118">
        <v>244698244756.64697</v>
      </c>
      <c r="G62" s="295"/>
      <c r="H62" s="295"/>
      <c r="I62" s="295"/>
      <c r="J62" s="295"/>
      <c r="K62" s="295"/>
      <c r="L62" s="295"/>
    </row>
    <row r="63" spans="1:21" ht="13.15">
      <c r="A63" s="131">
        <v>8</v>
      </c>
      <c r="B63" s="118">
        <v>183878027249.82056</v>
      </c>
      <c r="C63" s="118">
        <v>195949448999.84576</v>
      </c>
      <c r="D63" s="118">
        <v>208798288412.92581</v>
      </c>
      <c r="E63" s="118">
        <v>222469391837.60999</v>
      </c>
      <c r="F63" s="118">
        <v>252468770238.98859</v>
      </c>
      <c r="G63" s="295"/>
      <c r="H63" s="295"/>
      <c r="I63" s="295"/>
      <c r="J63" s="295"/>
      <c r="K63" s="295"/>
      <c r="L63" s="295"/>
    </row>
    <row r="64" spans="1:21" ht="13.15">
      <c r="A64" s="131">
        <v>9</v>
      </c>
      <c r="B64" s="118">
        <v>183737620334.46332</v>
      </c>
      <c r="C64" s="118">
        <v>196942955481.88757</v>
      </c>
      <c r="D64" s="118">
        <v>211112760980.1897</v>
      </c>
      <c r="E64" s="118">
        <v>226311851998.50476</v>
      </c>
      <c r="F64" s="118">
        <v>260076277704.21808</v>
      </c>
      <c r="G64" s="295"/>
      <c r="H64" s="295"/>
      <c r="I64" s="295"/>
      <c r="J64" s="295"/>
      <c r="K64" s="295"/>
      <c r="L64" s="295"/>
    </row>
    <row r="65" spans="1:21" ht="13.15">
      <c r="A65" s="131">
        <v>10</v>
      </c>
      <c r="B65" s="118">
        <v>183606704795.66867</v>
      </c>
      <c r="C65" s="118">
        <v>197878565315.79181</v>
      </c>
      <c r="D65" s="118">
        <v>213313937687.51764</v>
      </c>
      <c r="E65" s="118">
        <v>230002046838.33844</v>
      </c>
      <c r="F65" s="118">
        <v>267524187110.73651</v>
      </c>
      <c r="G65" s="295"/>
      <c r="H65" s="295"/>
      <c r="I65" s="295"/>
      <c r="J65" s="295"/>
      <c r="K65" s="295"/>
      <c r="L65" s="295"/>
    </row>
    <row r="66" spans="1:21" ht="13.15">
      <c r="A66" s="131">
        <v>15</v>
      </c>
      <c r="B66" s="118">
        <v>183073499290.76398</v>
      </c>
      <c r="C66" s="277">
        <v>201799606751.29007</v>
      </c>
      <c r="D66" s="118">
        <v>222805264364.30396</v>
      </c>
      <c r="E66" s="118">
        <v>246372052828.33005</v>
      </c>
      <c r="F66" s="118">
        <v>302484522901.90802</v>
      </c>
      <c r="G66" s="295"/>
      <c r="H66" s="295"/>
      <c r="I66" s="295"/>
      <c r="J66" s="295"/>
      <c r="K66" s="295"/>
      <c r="L66" s="295"/>
      <c r="M66" s="275"/>
      <c r="N66" s="275"/>
      <c r="O66" s="275"/>
      <c r="P66" s="275"/>
      <c r="Q66" s="275"/>
      <c r="R66" s="275"/>
      <c r="S66" s="275"/>
      <c r="T66" s="275"/>
      <c r="U66" s="275"/>
    </row>
    <row r="67" spans="1:21" ht="13.15">
      <c r="A67" s="132">
        <v>20</v>
      </c>
      <c r="B67" s="118">
        <v>182697741390.61407</v>
      </c>
      <c r="C67" s="277">
        <v>204703775156.35031</v>
      </c>
      <c r="D67" s="118">
        <v>230190107520.32352</v>
      </c>
      <c r="E67" s="118">
        <v>259745656773.50226</v>
      </c>
      <c r="F67" s="118">
        <v>333928363530.51428</v>
      </c>
      <c r="G67" s="295"/>
      <c r="H67" s="295"/>
      <c r="I67" s="295"/>
      <c r="J67" s="295"/>
      <c r="K67" s="295"/>
      <c r="L67" s="295"/>
      <c r="M67" s="275"/>
      <c r="N67" s="275"/>
      <c r="O67" s="275"/>
      <c r="P67" s="275"/>
      <c r="Q67" s="275"/>
      <c r="R67" s="275"/>
      <c r="S67" s="275"/>
      <c r="T67" s="275"/>
      <c r="U67" s="275"/>
    </row>
    <row r="68" spans="1:21" ht="13.15">
      <c r="A68" s="132">
        <v>25</v>
      </c>
      <c r="B68" s="118">
        <v>182432939174.15851</v>
      </c>
      <c r="C68" s="277">
        <v>206854783826.80017</v>
      </c>
      <c r="D68" s="118">
        <v>235935975331.65823</v>
      </c>
      <c r="E68" s="118">
        <v>270671326720.82394</v>
      </c>
      <c r="F68" s="118">
        <v>362209416646.91125</v>
      </c>
      <c r="G68" s="295"/>
      <c r="H68" s="295"/>
      <c r="I68" s="295"/>
      <c r="J68" s="295"/>
      <c r="K68" s="295"/>
      <c r="L68" s="295"/>
      <c r="M68" s="275"/>
      <c r="N68" s="275"/>
      <c r="O68" s="275"/>
      <c r="P68" s="275"/>
      <c r="Q68" s="275"/>
      <c r="R68" s="275"/>
      <c r="S68" s="275"/>
      <c r="T68" s="275"/>
      <c r="U68" s="275"/>
    </row>
    <row r="69" spans="1:21" ht="13.15">
      <c r="A69" s="132">
        <v>30</v>
      </c>
      <c r="B69" s="118">
        <v>182246329088.75034</v>
      </c>
      <c r="C69" s="277">
        <v>208447955315.16464</v>
      </c>
      <c r="D69" s="118">
        <v>240406618269.87985</v>
      </c>
      <c r="E69" s="118">
        <v>279597137914.81396</v>
      </c>
      <c r="F69" s="118">
        <v>387645812118.42438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190.20472081320983</v>
      </c>
      <c r="C73" s="119">
        <f>C11</f>
        <v>190.20472081320983</v>
      </c>
      <c r="D73" s="119">
        <f>C11</f>
        <v>190.20472081320983</v>
      </c>
      <c r="E73" s="119">
        <f>C11</f>
        <v>190.20472081320983</v>
      </c>
      <c r="F73" s="119">
        <f>C11</f>
        <v>190.20472081320983</v>
      </c>
      <c r="G73" s="296"/>
      <c r="H73" s="296"/>
      <c r="I73" s="296"/>
      <c r="J73" s="296"/>
      <c r="K73" s="296"/>
      <c r="L73" s="296"/>
    </row>
    <row r="74" spans="1:21" ht="13.15">
      <c r="A74" s="131">
        <v>1</v>
      </c>
      <c r="B74" s="119">
        <f t="shared" ref="B74:F87" si="11">(B56+FV_adjustments)/Common_Shares*scaling_factor*Exchange_Rate</f>
        <v>142.04490392529993</v>
      </c>
      <c r="C74" s="119">
        <f t="shared" si="11"/>
        <v>143.30304592967352</v>
      </c>
      <c r="D74" s="119">
        <f t="shared" si="11"/>
        <v>144.56118793404707</v>
      </c>
      <c r="E74" s="119">
        <f t="shared" si="11"/>
        <v>145.81932993842062</v>
      </c>
      <c r="F74" s="119">
        <f t="shared" si="11"/>
        <v>148.3356139471677</v>
      </c>
      <c r="G74" s="296"/>
      <c r="H74" s="296"/>
      <c r="I74" s="296"/>
      <c r="J74" s="296"/>
      <c r="K74" s="296"/>
      <c r="L74" s="296"/>
    </row>
    <row r="75" spans="1:21" ht="13.15">
      <c r="A75" s="131">
        <v>2</v>
      </c>
      <c r="B75" s="119">
        <f t="shared" si="11"/>
        <v>141.88920740099263</v>
      </c>
      <c r="C75" s="119">
        <f t="shared" si="11"/>
        <v>144.33061614587351</v>
      </c>
      <c r="D75" s="119">
        <f t="shared" si="11"/>
        <v>146.79548674631383</v>
      </c>
      <c r="E75" s="119">
        <f t="shared" si="11"/>
        <v>149.28381920231345</v>
      </c>
      <c r="F75" s="119">
        <f t="shared" si="11"/>
        <v>154.33086968099107</v>
      </c>
      <c r="G75" s="296"/>
      <c r="H75" s="296"/>
      <c r="I75" s="296"/>
      <c r="J75" s="296"/>
      <c r="K75" s="296"/>
      <c r="L75" s="296"/>
    </row>
    <row r="76" spans="1:21" ht="13.15">
      <c r="A76" s="131">
        <v>3</v>
      </c>
      <c r="B76" s="119">
        <f t="shared" si="11"/>
        <v>141.7440358165569</v>
      </c>
      <c r="C76" s="119">
        <f t="shared" si="11"/>
        <v>145.29830464784277</v>
      </c>
      <c r="D76" s="119">
        <f t="shared" si="11"/>
        <v>148.92041428804995</v>
      </c>
      <c r="E76" s="119">
        <f t="shared" si="11"/>
        <v>152.6110210128586</v>
      </c>
      <c r="F76" s="119">
        <f t="shared" si="11"/>
        <v>160.20035081899999</v>
      </c>
      <c r="G76" s="296"/>
      <c r="H76" s="296"/>
      <c r="I76" s="296"/>
      <c r="J76" s="296"/>
      <c r="K76" s="296"/>
      <c r="L76" s="296"/>
    </row>
    <row r="77" spans="1:21" ht="13.15">
      <c r="A77" s="131">
        <v>4</v>
      </c>
      <c r="B77" s="119">
        <f t="shared" si="11"/>
        <v>141.60867769587091</v>
      </c>
      <c r="C77" s="119">
        <f t="shared" si="11"/>
        <v>146.20960104596759</v>
      </c>
      <c r="D77" s="119">
        <f t="shared" si="11"/>
        <v>150.94132439767316</v>
      </c>
      <c r="E77" s="119">
        <f t="shared" si="11"/>
        <v>155.80637566541003</v>
      </c>
      <c r="F77" s="119">
        <f t="shared" si="11"/>
        <v>165.94669598907856</v>
      </c>
      <c r="G77" s="296"/>
      <c r="H77" s="296"/>
      <c r="I77" s="296"/>
      <c r="J77" s="296"/>
      <c r="K77" s="296"/>
      <c r="L77" s="296"/>
    </row>
    <row r="78" spans="1:21" ht="13.15">
      <c r="A78" s="131">
        <v>5</v>
      </c>
      <c r="B78" s="119">
        <f t="shared" si="11"/>
        <v>141.48246965793527</v>
      </c>
      <c r="C78" s="119">
        <f t="shared" si="11"/>
        <v>147.06779159338589</v>
      </c>
      <c r="D78" s="119">
        <f t="shared" si="11"/>
        <v>152.86330883759453</v>
      </c>
      <c r="E78" s="119">
        <f t="shared" si="11"/>
        <v>158.87510787252245</v>
      </c>
      <c r="F78" s="119">
        <f t="shared" si="11"/>
        <v>171.57248846328142</v>
      </c>
      <c r="G78" s="296"/>
      <c r="H78" s="296"/>
      <c r="I78" s="296"/>
      <c r="J78" s="296"/>
      <c r="K78" s="296"/>
      <c r="L78" s="296"/>
    </row>
    <row r="79" spans="1:21" ht="13.15">
      <c r="A79" s="131">
        <v>6</v>
      </c>
      <c r="B79" s="119">
        <f t="shared" si="11"/>
        <v>141.36479316568756</v>
      </c>
      <c r="C79" s="119">
        <f t="shared" si="11"/>
        <v>147.87597103664226</v>
      </c>
      <c r="D79" s="119">
        <f t="shared" si="11"/>
        <v>154.69121012311416</v>
      </c>
      <c r="E79" s="119">
        <f t="shared" si="11"/>
        <v>161.82223530685883</v>
      </c>
      <c r="F79" s="119">
        <f t="shared" si="11"/>
        <v>177.08025731914435</v>
      </c>
      <c r="G79" s="296"/>
      <c r="H79" s="296"/>
      <c r="I79" s="296"/>
      <c r="J79" s="296"/>
      <c r="K79" s="296"/>
      <c r="L79" s="296"/>
    </row>
    <row r="80" spans="1:21" ht="13.15">
      <c r="A80" s="131">
        <f t="shared" ref="A80" si="12">A62</f>
        <v>7</v>
      </c>
      <c r="B80" s="119">
        <f t="shared" si="11"/>
        <v>141.25507149459412</v>
      </c>
      <c r="C80" s="119">
        <f t="shared" si="11"/>
        <v>148.63705377574618</v>
      </c>
      <c r="D80" s="119">
        <f t="shared" si="11"/>
        <v>156.42963372332866</v>
      </c>
      <c r="E80" s="119">
        <f t="shared" si="11"/>
        <v>164.6525768055688</v>
      </c>
      <c r="F80" s="119">
        <f t="shared" si="11"/>
        <v>182.47247857663254</v>
      </c>
      <c r="G80" s="296"/>
      <c r="H80" s="296"/>
      <c r="I80" s="296"/>
      <c r="J80" s="296"/>
      <c r="K80" s="296"/>
      <c r="L80" s="296"/>
    </row>
    <row r="81" spans="1:12" ht="13.15">
      <c r="A81" s="131">
        <v>8</v>
      </c>
      <c r="B81" s="119">
        <f t="shared" si="11"/>
        <v>141.15276690616201</v>
      </c>
      <c r="C81" s="119">
        <f t="shared" si="11"/>
        <v>149.35378437387666</v>
      </c>
      <c r="D81" s="119">
        <f t="shared" si="11"/>
        <v>158.08295966479136</v>
      </c>
      <c r="E81" s="119">
        <f t="shared" si="11"/>
        <v>167.37076024955135</v>
      </c>
      <c r="F81" s="119">
        <f t="shared" si="11"/>
        <v>187.75157631123639</v>
      </c>
      <c r="G81" s="296"/>
      <c r="H81" s="296"/>
      <c r="I81" s="296"/>
      <c r="J81" s="296"/>
      <c r="K81" s="296"/>
      <c r="L81" s="296"/>
    </row>
    <row r="82" spans="1:12" ht="13.15">
      <c r="A82" s="131">
        <f t="shared" ref="A82" si="13">A64</f>
        <v>9</v>
      </c>
      <c r="B82" s="119">
        <f t="shared" si="11"/>
        <v>141.05737801251902</v>
      </c>
      <c r="C82" s="119">
        <f t="shared" si="11"/>
        <v>150.02874745463356</v>
      </c>
      <c r="D82" s="119">
        <f t="shared" si="11"/>
        <v>159.65535356716146</v>
      </c>
      <c r="E82" s="119">
        <f t="shared" si="11"/>
        <v>169.98123013048561</v>
      </c>
      <c r="F82" s="119">
        <f t="shared" si="11"/>
        <v>192.91992374371563</v>
      </c>
      <c r="G82" s="296"/>
      <c r="H82" s="296"/>
      <c r="I82" s="296"/>
      <c r="J82" s="296"/>
      <c r="K82" s="296"/>
      <c r="L82" s="296"/>
    </row>
    <row r="83" spans="1:12" ht="13.15">
      <c r="A83" s="131">
        <f t="shared" ref="A83:A87" si="14">A65</f>
        <v>10</v>
      </c>
      <c r="B83" s="119">
        <f t="shared" si="11"/>
        <v>140.96843731914561</v>
      </c>
      <c r="C83" s="119">
        <f t="shared" si="11"/>
        <v>150.66437702252585</v>
      </c>
      <c r="D83" s="119">
        <f t="shared" si="11"/>
        <v>161.15077713864636</v>
      </c>
      <c r="E83" s="119">
        <f t="shared" si="11"/>
        <v>172.48825481800293</v>
      </c>
      <c r="F83" s="119">
        <f t="shared" si="11"/>
        <v>197.97984430698202</v>
      </c>
      <c r="G83" s="296"/>
      <c r="H83" s="296"/>
      <c r="I83" s="296"/>
      <c r="J83" s="296"/>
      <c r="K83" s="296"/>
      <c r="L83" s="296"/>
    </row>
    <row r="84" spans="1:12" ht="13.15">
      <c r="A84" s="131">
        <f t="shared" si="14"/>
        <v>15</v>
      </c>
      <c r="B84" s="119">
        <f t="shared" si="11"/>
        <v>140.60619103613459</v>
      </c>
      <c r="C84" s="119">
        <f t="shared" si="11"/>
        <v>153.32823302640435</v>
      </c>
      <c r="D84" s="119">
        <f t="shared" si="11"/>
        <v>167.5989435170556</v>
      </c>
      <c r="E84" s="119">
        <f t="shared" si="11"/>
        <v>183.60962128589512</v>
      </c>
      <c r="F84" s="119">
        <f t="shared" si="11"/>
        <v>221.73100887050737</v>
      </c>
      <c r="G84" s="296"/>
      <c r="H84" s="296"/>
      <c r="I84" s="296"/>
      <c r="J84" s="296"/>
      <c r="K84" s="296"/>
      <c r="L84" s="296"/>
    </row>
    <row r="85" spans="1:12" ht="13.15">
      <c r="A85" s="132">
        <f t="shared" si="14"/>
        <v>20</v>
      </c>
      <c r="B85" s="119">
        <f t="shared" si="11"/>
        <v>140.35091065851424</v>
      </c>
      <c r="C85" s="119">
        <f t="shared" si="11"/>
        <v>155.30125130977552</v>
      </c>
      <c r="D85" s="119">
        <f t="shared" si="11"/>
        <v>172.61601847085905</v>
      </c>
      <c r="E85" s="119">
        <f t="shared" si="11"/>
        <v>192.6953082771914</v>
      </c>
      <c r="F85" s="119">
        <f t="shared" si="11"/>
        <v>243.0931558973642</v>
      </c>
      <c r="G85" s="296"/>
      <c r="H85" s="296"/>
      <c r="I85" s="296"/>
      <c r="J85" s="296"/>
      <c r="K85" s="296"/>
      <c r="L85" s="296"/>
    </row>
    <row r="86" spans="1:12" ht="13.15">
      <c r="A86" s="132">
        <f t="shared" si="14"/>
        <v>25</v>
      </c>
      <c r="B86" s="119">
        <f t="shared" si="11"/>
        <v>140.17101075545293</v>
      </c>
      <c r="C86" s="119">
        <f t="shared" si="11"/>
        <v>156.76259199067155</v>
      </c>
      <c r="D86" s="119">
        <f t="shared" si="11"/>
        <v>176.51961518578923</v>
      </c>
      <c r="E86" s="119">
        <f t="shared" si="11"/>
        <v>200.1179310584958</v>
      </c>
      <c r="F86" s="119">
        <f t="shared" si="11"/>
        <v>262.30658538527462</v>
      </c>
      <c r="G86" s="296"/>
      <c r="H86" s="296"/>
      <c r="I86" s="296"/>
      <c r="J86" s="296"/>
      <c r="K86" s="296"/>
      <c r="L86" s="296"/>
    </row>
    <row r="87" spans="1:12" ht="13.15">
      <c r="A87" s="132">
        <f t="shared" si="14"/>
        <v>30</v>
      </c>
      <c r="B87" s="119">
        <f t="shared" si="11"/>
        <v>140.04423260108342</v>
      </c>
      <c r="C87" s="119">
        <f t="shared" si="11"/>
        <v>157.84495225242901</v>
      </c>
      <c r="D87" s="119">
        <f t="shared" si="11"/>
        <v>179.55685649733519</v>
      </c>
      <c r="E87" s="119">
        <f t="shared" si="11"/>
        <v>206.18190057520016</v>
      </c>
      <c r="F87" s="119">
        <f t="shared" si="11"/>
        <v>279.58742668941858</v>
      </c>
      <c r="G87" s="296"/>
      <c r="H87" s="296"/>
      <c r="I87" s="296"/>
      <c r="J87" s="296"/>
      <c r="K87" s="296"/>
      <c r="L87" s="296"/>
    </row>
    <row r="89" spans="1:12" ht="13.15">
      <c r="B89" s="153" t="s">
        <v>100</v>
      </c>
      <c r="C89" s="153" t="s">
        <v>109</v>
      </c>
      <c r="D89" s="153" t="s">
        <v>98</v>
      </c>
      <c r="E89" s="154" t="s">
        <v>99</v>
      </c>
      <c r="F89" s="154" t="s">
        <v>454</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221.73100887050737</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183.60962128589512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167.5989435170556</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153.32823302640435</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140.60619103613459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539</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000568.SZ – 泸州老窖: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 CNY</v>
      </c>
      <c r="D6" s="469"/>
      <c r="E6" s="469"/>
      <c r="F6" s="469"/>
      <c r="G6" s="469"/>
    </row>
    <row r="7" spans="2:7" ht="12.75" customHeight="1">
      <c r="B7" s="97" t="s">
        <v>231</v>
      </c>
      <c r="C7" s="447">
        <f>Normalized_FCF!G8</f>
        <v>17654238551.57</v>
      </c>
      <c r="D7" s="469"/>
      <c r="E7" s="469"/>
      <c r="F7" s="469"/>
      <c r="G7" s="469"/>
    </row>
    <row r="8" spans="2:7">
      <c r="B8" s="97" t="s">
        <v>62</v>
      </c>
      <c r="C8" s="447">
        <f>Normalized_FCF!G19</f>
        <v>12844018055.588684</v>
      </c>
      <c r="D8" s="469"/>
      <c r="E8" s="469"/>
      <c r="F8" s="469"/>
      <c r="G8" s="469"/>
    </row>
    <row r="9" spans="2:7">
      <c r="B9" s="97" t="s">
        <v>53</v>
      </c>
      <c r="C9" s="447">
        <f>Normalized_FCF!C19</f>
        <v>13180570558.891336</v>
      </c>
      <c r="D9" s="469"/>
      <c r="E9" s="469"/>
      <c r="F9" s="469"/>
      <c r="G9" s="469"/>
    </row>
    <row r="10" spans="2:7">
      <c r="C10" s="448"/>
      <c r="D10" s="469"/>
      <c r="E10" s="469"/>
      <c r="F10" s="469"/>
      <c r="G10" s="469"/>
    </row>
    <row r="11" spans="2:7" ht="13.15">
      <c r="B11" s="145" t="s">
        <v>319</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450</v>
      </c>
      <c r="C16" s="35"/>
      <c r="D16" s="35"/>
      <c r="E16" s="35"/>
      <c r="F16" s="35"/>
      <c r="G16" s="35"/>
    </row>
    <row r="17" spans="2:7" ht="13.15">
      <c r="B17" s="106" t="s">
        <v>125</v>
      </c>
      <c r="E17" s="222" t="s">
        <v>250</v>
      </c>
    </row>
    <row r="18" spans="2:7" ht="12.75" customHeight="1">
      <c r="B18" s="139" t="s">
        <v>110</v>
      </c>
      <c r="C18" s="137">
        <v>15</v>
      </c>
      <c r="E18" s="450" t="s">
        <v>540</v>
      </c>
      <c r="F18" s="319"/>
    </row>
    <row r="19" spans="2:7">
      <c r="E19" s="319"/>
      <c r="F19" s="319"/>
    </row>
    <row r="20" spans="2:7" ht="13.15">
      <c r="B20" s="106" t="s">
        <v>447</v>
      </c>
      <c r="E20" s="319"/>
      <c r="F20" s="319"/>
    </row>
    <row r="21" spans="2:7" ht="13.15">
      <c r="B21" s="153" t="s">
        <v>433</v>
      </c>
      <c r="C21" s="153" t="s">
        <v>376</v>
      </c>
      <c r="D21" s="153" t="s">
        <v>445</v>
      </c>
      <c r="E21" s="154" t="str">
        <f>"Value per share ("&amp;Market_currency&amp;")"</f>
        <v>Value per share (CNY)</v>
      </c>
      <c r="F21" s="154" t="s">
        <v>446</v>
      </c>
      <c r="G21" s="154" t="s">
        <v>454</v>
      </c>
    </row>
    <row r="22" spans="2:7">
      <c r="B22" s="302" t="s">
        <v>442</v>
      </c>
      <c r="C22" s="324">
        <v>0.03</v>
      </c>
      <c r="D22" s="325">
        <f>C18</f>
        <v>15</v>
      </c>
      <c r="E22" s="326">
        <f>DCF!E91</f>
        <v>183.60962128589512</v>
      </c>
      <c r="F22" s="328">
        <f>1-F23-F24</f>
        <v>0.19999999999999996</v>
      </c>
      <c r="G22" s="328">
        <f>F22*(1-F$29-F$30)</f>
        <v>0.15999999999999995</v>
      </c>
    </row>
    <row r="23" spans="2:7">
      <c r="B23" s="302" t="s">
        <v>434</v>
      </c>
      <c r="C23" s="324">
        <v>0.02</v>
      </c>
      <c r="D23" s="325">
        <f>C18</f>
        <v>15</v>
      </c>
      <c r="E23" s="326">
        <f>DCF!E92</f>
        <v>167.5989435170556</v>
      </c>
      <c r="F23" s="327">
        <v>0.55000000000000004</v>
      </c>
      <c r="G23" s="328">
        <f t="shared" ref="G23:G24" si="0">F23*(1-F$29-F$30)</f>
        <v>0.44</v>
      </c>
    </row>
    <row r="24" spans="2:7">
      <c r="B24" s="302" t="s">
        <v>443</v>
      </c>
      <c r="C24" s="324">
        <v>0.01</v>
      </c>
      <c r="D24" s="325">
        <f>C18</f>
        <v>15</v>
      </c>
      <c r="E24" s="326">
        <f>DCF!E93</f>
        <v>153.32823302640435</v>
      </c>
      <c r="F24" s="327">
        <v>0.25</v>
      </c>
      <c r="G24" s="328">
        <f t="shared" si="0"/>
        <v>0.19999999999999998</v>
      </c>
    </row>
    <row r="25" spans="2:7">
      <c r="B25" s="141" t="s">
        <v>448</v>
      </c>
      <c r="C25" s="441">
        <f>E23*F23+E24*F24+E22*F22</f>
        <v>167.23340144816069</v>
      </c>
      <c r="D25" s="141" t="str">
        <f>Market_currency</f>
        <v>CNY</v>
      </c>
      <c r="G25" s="149"/>
    </row>
    <row r="27" spans="2:7" ht="13.15">
      <c r="B27" s="106" t="s">
        <v>449</v>
      </c>
    </row>
    <row r="28" spans="2:7" ht="13.15">
      <c r="B28" s="153" t="s">
        <v>433</v>
      </c>
      <c r="C28" s="153" t="s">
        <v>376</v>
      </c>
      <c r="D28" s="153" t="s">
        <v>445</v>
      </c>
      <c r="E28" s="154" t="str">
        <f>"Value per share ("&amp;Market_currency&amp;")"</f>
        <v>Value per share (CNY)</v>
      </c>
      <c r="F28" s="154" t="s">
        <v>446</v>
      </c>
      <c r="G28" s="154" t="s">
        <v>454</v>
      </c>
    </row>
    <row r="29" spans="2:7">
      <c r="B29" s="302" t="s">
        <v>441</v>
      </c>
      <c r="C29" s="324">
        <v>0.05</v>
      </c>
      <c r="D29" s="325">
        <f>C18</f>
        <v>15</v>
      </c>
      <c r="E29" s="326">
        <f>DCF!E90</f>
        <v>221.73100887050737</v>
      </c>
      <c r="F29" s="327">
        <v>0.15</v>
      </c>
      <c r="G29" s="328">
        <f>F29</f>
        <v>0.15</v>
      </c>
    </row>
    <row r="30" spans="2:7">
      <c r="B30" s="315" t="s">
        <v>444</v>
      </c>
      <c r="C30" s="324">
        <v>0</v>
      </c>
      <c r="D30" s="325">
        <f>C18</f>
        <v>15</v>
      </c>
      <c r="E30" s="326">
        <f>DCF!E94</f>
        <v>140.60619103613459</v>
      </c>
      <c r="F30" s="327">
        <v>0.05</v>
      </c>
      <c r="G30" s="328">
        <f>F30</f>
        <v>0.05</v>
      </c>
    </row>
    <row r="31" spans="2:7">
      <c r="E31" s="329"/>
      <c r="F31" s="329"/>
    </row>
    <row r="32" spans="2:7" ht="13.15">
      <c r="B32" s="145" t="s">
        <v>453</v>
      </c>
    </row>
    <row r="33" spans="2:7">
      <c r="B33" s="97" t="s">
        <v>455</v>
      </c>
      <c r="C33" s="155">
        <f>Normalized_FCF!C88*(1-dividend_tax_rate)</f>
        <v>4.1328000000000005</v>
      </c>
      <c r="D33" t="str">
        <f>Market_currency</f>
        <v>CNY</v>
      </c>
      <c r="E33" s="97" t="s">
        <v>452</v>
      </c>
      <c r="F33" s="219">
        <f>Holding_Period</f>
        <v>3</v>
      </c>
    </row>
    <row r="34" spans="2:7">
      <c r="B34" s="97" t="s">
        <v>232</v>
      </c>
      <c r="C34" s="146">
        <f>Market_Price</f>
        <v>106.26</v>
      </c>
      <c r="D34" t="str">
        <f>Market_currency</f>
        <v>CNY</v>
      </c>
      <c r="E34" s="97" t="s">
        <v>451</v>
      </c>
      <c r="F34" s="330">
        <f>RATE(Holding_Period,$C$33,-C34,$C$36)</f>
        <v>0.21223826010541716</v>
      </c>
    </row>
    <row r="35" spans="2:7">
      <c r="B35" s="97" t="s">
        <v>431</v>
      </c>
      <c r="C35" s="320">
        <f>DCF!C11</f>
        <v>190.20472081320983</v>
      </c>
      <c r="D35" s="97" t="str">
        <f>Market_currency</f>
        <v>CNY</v>
      </c>
      <c r="E35" s="97" t="s">
        <v>451</v>
      </c>
      <c r="F35" s="330">
        <f>RATE(Holding_Period,$C$33,-C35,$C$36)</f>
        <v>-6.7271782565768174E-3</v>
      </c>
    </row>
    <row r="36" spans="2:7">
      <c r="B36" s="97" t="s">
        <v>432</v>
      </c>
      <c r="C36" s="321">
        <f>E22*G22+E23*G23+E24*G24+E30*G30+E29*G29</f>
        <v>174.07668204091138</v>
      </c>
      <c r="D36" t="str">
        <f>Market_currency</f>
        <v>CNY</v>
      </c>
      <c r="E36" s="97" t="s">
        <v>457</v>
      </c>
      <c r="F36" s="331" t="s">
        <v>456</v>
      </c>
    </row>
    <row r="38" spans="2:7" ht="13.9">
      <c r="B38" s="34" t="s">
        <v>408</v>
      </c>
      <c r="C38" s="35"/>
      <c r="D38" s="35"/>
      <c r="E38" s="35"/>
      <c r="F38" s="35"/>
      <c r="G38" s="35"/>
    </row>
    <row r="39" spans="2:7" ht="13.15">
      <c r="B39" s="414" t="str">
        <f>IF(DCF!F14="II","2","1")&amp;"-stage DCF"</f>
        <v>1-stage DCF</v>
      </c>
      <c r="E39" s="222" t="s">
        <v>250</v>
      </c>
    </row>
    <row r="40" spans="2:7">
      <c r="B40" t="s">
        <v>547</v>
      </c>
      <c r="C40" s="126">
        <f>Normalized_FCF!E116</f>
        <v>0.56520395086535147</v>
      </c>
      <c r="E40" s="97" t="s">
        <v>398</v>
      </c>
    </row>
    <row r="41" spans="2:7">
      <c r="B41" s="97" t="s">
        <v>397</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2.38559171477595E-2</v>
      </c>
      <c r="D46" s="138"/>
      <c r="E46" s="221" t="s">
        <v>251</v>
      </c>
    </row>
    <row r="47" spans="2:7">
      <c r="B47" s="97" t="s">
        <v>95</v>
      </c>
      <c r="C47" s="146">
        <f>DCF!I18</f>
        <v>173.55524443059508</v>
      </c>
      <c r="D47" s="146" t="str">
        <f>Market_currency</f>
        <v>CNY</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9.3238814628432934E-2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330</v>
      </c>
      <c r="C58" s="155">
        <f>C33</f>
        <v>4.1328000000000005</v>
      </c>
      <c r="D58" t="str">
        <f>Market_currency</f>
        <v>CNY</v>
      </c>
    </row>
    <row r="60" spans="2:7" ht="13.15">
      <c r="B60" s="106" t="s">
        <v>470</v>
      </c>
      <c r="E60" s="413"/>
    </row>
    <row r="61" spans="2:7" ht="13.15">
      <c r="B61" s="153" t="s">
        <v>459</v>
      </c>
      <c r="C61" s="153" t="s">
        <v>102</v>
      </c>
      <c r="D61" s="153" t="s">
        <v>103</v>
      </c>
      <c r="E61" s="154" t="str">
        <f>"Buy below ("&amp;Market_currency&amp;")"</f>
        <v>Buy below (CNY)</v>
      </c>
      <c r="F61" s="154" t="s">
        <v>451</v>
      </c>
      <c r="G61" s="154" t="s">
        <v>458</v>
      </c>
    </row>
    <row r="62" spans="2:7" ht="13.15">
      <c r="B62" s="302" t="s">
        <v>310</v>
      </c>
      <c r="C62" s="119">
        <f>PV(F62, Holding_Period, -C58, 0)</f>
        <v>7.5056313154301346</v>
      </c>
      <c r="D62" s="119">
        <f>C36/(1+F62)^Holding_Period</f>
        <v>79.233810669509026</v>
      </c>
      <c r="E62" s="332">
        <f>C62+D62</f>
        <v>86.739441984939162</v>
      </c>
      <c r="F62" s="301">
        <f>Thesis!E22</f>
        <v>0.3</v>
      </c>
      <c r="G62" s="440">
        <f>(1-E62/C36)</f>
        <v>0.50171705384094056</v>
      </c>
    </row>
    <row r="63" spans="2:7" ht="13.15">
      <c r="B63" s="302" t="s">
        <v>311</v>
      </c>
      <c r="C63" s="119">
        <f>PV(F63, Holding_Period, -C58, 0)</f>
        <v>8.7056666666666676</v>
      </c>
      <c r="D63" s="119">
        <f>C36/(1+F63)^Holding_Period</f>
        <v>100.73882062552742</v>
      </c>
      <c r="E63" s="332">
        <f>C63+D63</f>
        <v>109.4444872921941</v>
      </c>
      <c r="F63" s="301">
        <f>Thesis!E23</f>
        <v>0.2</v>
      </c>
      <c r="G63" s="440">
        <f>(1-E63/C36)</f>
        <v>0.37128576895512899</v>
      </c>
    </row>
    <row r="65" spans="2:7" ht="13.15">
      <c r="B65" s="153" t="s">
        <v>460</v>
      </c>
      <c r="C65" s="153" t="s">
        <v>102</v>
      </c>
      <c r="D65" s="153" t="s">
        <v>103</v>
      </c>
      <c r="E65" s="154" t="str">
        <f>"Sell above ("&amp;Market_currency&amp;")"</f>
        <v>Sell above (CNY)</v>
      </c>
      <c r="F65" s="154" t="s">
        <v>451</v>
      </c>
      <c r="G65" s="154" t="s">
        <v>458</v>
      </c>
    </row>
    <row r="66" spans="2:7" ht="13.15">
      <c r="B66" s="302" t="s">
        <v>313</v>
      </c>
      <c r="C66" s="119">
        <f>PV(F66, Holding_Period, -C58, 0)</f>
        <v>10.517521633559475</v>
      </c>
      <c r="D66" s="119">
        <f>C36/(1+F66)^Holding_Period</f>
        <v>135.53515851547391</v>
      </c>
      <c r="E66" s="332">
        <f>C66+D66</f>
        <v>146.05268014903339</v>
      </c>
      <c r="F66" s="301">
        <f>Thesis!E24</f>
        <v>8.6999999999999994E-2</v>
      </c>
      <c r="G66" s="440">
        <f>(1-E66/C36)</f>
        <v>0.16098653514829631</v>
      </c>
    </row>
    <row r="67" spans="2:7" ht="13.15">
      <c r="B67" s="302" t="s">
        <v>312</v>
      </c>
      <c r="C67" s="119">
        <f>PV(F67, Holding_Period, -C58, 0)</f>
        <v>10.796424338860641</v>
      </c>
      <c r="D67" s="119">
        <f>C36/(1+F67)^Holding_Period</f>
        <v>141.10704518598044</v>
      </c>
      <c r="E67" s="332">
        <f>C67+D67</f>
        <v>151.90346952484109</v>
      </c>
      <c r="F67" s="301">
        <f>Thesis!E25</f>
        <v>7.2499999999999995E-2</v>
      </c>
      <c r="G67" s="440">
        <f>(1-E67/C36)</f>
        <v>0.12737612100659845</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331</v>
      </c>
      <c r="B2" s="345"/>
      <c r="C2" s="345"/>
      <c r="D2" s="345"/>
      <c r="E2" s="345"/>
      <c r="F2" s="345"/>
      <c r="G2" s="346"/>
      <c r="H2" s="346"/>
      <c r="I2" s="346"/>
      <c r="J2" s="346"/>
    </row>
    <row r="3" spans="1:10">
      <c r="E3" s="435" t="s">
        <v>538</v>
      </c>
      <c r="F3" s="436">
        <f>Thesis!F3</f>
        <v>46105</v>
      </c>
    </row>
    <row r="4" spans="1:10">
      <c r="B4" s="422" t="s">
        <v>530</v>
      </c>
      <c r="C4" s="423" t="str">
        <f>Thesis!C4</f>
        <v>泸州老窖</v>
      </c>
      <c r="D4" s="349"/>
      <c r="E4" s="434" t="s">
        <v>536</v>
      </c>
      <c r="F4" s="437" t="str">
        <f>Thesis!F4</f>
        <v>CN</v>
      </c>
    </row>
    <row r="5" spans="1:10">
      <c r="B5" s="343" t="s">
        <v>361</v>
      </c>
      <c r="C5" s="355" t="str">
        <f>Thesis!C5</f>
        <v>000568.SZ</v>
      </c>
      <c r="E5" s="438" t="s">
        <v>537</v>
      </c>
      <c r="F5" s="439" t="str">
        <f>Thesis!F5</f>
        <v>N</v>
      </c>
    </row>
    <row r="6" spans="1:10">
      <c r="B6" s="350" t="s">
        <v>333</v>
      </c>
      <c r="C6" s="352" t="str">
        <f>Thesis!C6</f>
        <v>CNS_01</v>
      </c>
      <c r="E6" s="354"/>
    </row>
    <row r="7" spans="1:10">
      <c r="B7" s="343" t="s">
        <v>363</v>
      </c>
      <c r="C7" s="352" t="str">
        <f>Market_currency</f>
        <v>CNY</v>
      </c>
      <c r="D7" s="354"/>
      <c r="E7" s="354"/>
    </row>
    <row r="8" spans="1:10">
      <c r="B8" s="351" t="s">
        <v>362</v>
      </c>
      <c r="C8" s="356">
        <f>Market_Price</f>
        <v>106.26</v>
      </c>
    </row>
    <row r="9" spans="1:10">
      <c r="B9" s="351" t="s">
        <v>358</v>
      </c>
      <c r="C9" s="353">
        <f>Common_Shares</f>
        <v>1471941963</v>
      </c>
    </row>
    <row r="10" spans="1:10">
      <c r="B10" s="351" t="s">
        <v>364</v>
      </c>
      <c r="C10" s="357">
        <f>投资主题!C8*Common_Shares/1000000</f>
        <v>156408.55298838002</v>
      </c>
      <c r="D10" s="343" t="s">
        <v>525</v>
      </c>
      <c r="E10" s="360">
        <f>Scenarios!F34</f>
        <v>0.21223826010541716</v>
      </c>
    </row>
    <row r="11" spans="1:10">
      <c r="D11" s="349"/>
      <c r="E11" s="349"/>
    </row>
    <row r="12" spans="1:10" ht="24.5" customHeight="1">
      <c r="B12" s="474" t="s">
        <v>494</v>
      </c>
      <c r="C12" s="474"/>
      <c r="D12" s="474"/>
      <c r="E12" s="474"/>
      <c r="F12" s="474"/>
    </row>
    <row r="14" spans="1:10">
      <c r="B14" s="347" t="s">
        <v>367</v>
      </c>
      <c r="C14" s="348"/>
      <c r="D14" s="349"/>
    </row>
    <row r="15" spans="1:10">
      <c r="B15" s="343" t="s">
        <v>334</v>
      </c>
      <c r="C15" s="358" t="str">
        <f>Thesis!C15</f>
        <v>N</v>
      </c>
      <c r="D15" s="351" t="s">
        <v>365</v>
      </c>
      <c r="E15" s="344" t="str">
        <f>IF(E17=C7,C7,E17&amp;"/"&amp;C7)</f>
        <v>CNY</v>
      </c>
    </row>
    <row r="16" spans="1:10">
      <c r="B16" s="343" t="s">
        <v>335</v>
      </c>
      <c r="C16" s="358" t="str">
        <f>Thesis!C16</f>
        <v>N</v>
      </c>
      <c r="D16" s="351" t="s">
        <v>366</v>
      </c>
      <c r="E16" s="425">
        <f>Exchange_Rate</f>
        <v>1</v>
      </c>
    </row>
    <row r="17" spans="1:6">
      <c r="B17" s="343" t="s">
        <v>531</v>
      </c>
      <c r="C17" s="424">
        <f>Terminal_Growth</f>
        <v>0.02</v>
      </c>
      <c r="D17" s="351" t="s">
        <v>336</v>
      </c>
      <c r="E17" s="344" t="str">
        <f>Reporting_currency</f>
        <v>CNY</v>
      </c>
    </row>
    <row r="18" spans="1:6">
      <c r="B18" s="343" t="str">
        <f>"预期股权价值 ("&amp;C7&amp;") :"</f>
        <v>预期股权价值 (CNY) :</v>
      </c>
      <c r="C18" s="359">
        <f>C125</f>
        <v>174.07668204091138</v>
      </c>
      <c r="D18" s="350" t="s">
        <v>359</v>
      </c>
      <c r="E18" s="426">
        <f>Thesis!E18</f>
        <v>6</v>
      </c>
    </row>
    <row r="19" spans="1:6">
      <c r="B19" s="350" t="s">
        <v>332</v>
      </c>
      <c r="C19" s="352" t="str">
        <f>IF(Scenarios!C50="Y",Scenarios!B50,"")&amp;IF(Scenarios!C51="Y",Scenarios!B51,"")&amp;IF(Scenarios!C52="Y",Scenarios!B52,"")&amp;" "&amp;IF(Scenarios!C53="Y",Scenarios!B53,"")</f>
        <v xml:space="preserve">Negative Growth </v>
      </c>
      <c r="D19" s="343" t="s">
        <v>360</v>
      </c>
      <c r="E19" s="427">
        <f>EOMONTH(EDATE(BS!C1,E18+2),0)</f>
        <v>46081</v>
      </c>
    </row>
    <row r="20" spans="1:6">
      <c r="D20" s="349"/>
      <c r="E20" s="349"/>
    </row>
    <row r="21" spans="1:6">
      <c r="B21" s="347" t="s">
        <v>490</v>
      </c>
      <c r="C21" s="361" t="str">
        <f>C138&amp;" ("&amp;Market_currency&amp;")"</f>
        <v xml:space="preserve"> (CNY)</v>
      </c>
      <c r="D21" s="362" t="s">
        <v>341</v>
      </c>
      <c r="E21" s="363">
        <f>Holding_Period</f>
        <v>3</v>
      </c>
    </row>
    <row r="22" spans="1:6">
      <c r="B22" s="343" t="s">
        <v>337</v>
      </c>
      <c r="C22" s="364">
        <f>E140</f>
        <v>86.739441984939162</v>
      </c>
      <c r="D22" s="365" t="s">
        <v>437</v>
      </c>
      <c r="E22" s="366">
        <f>Thesis!E22</f>
        <v>0.3</v>
      </c>
    </row>
    <row r="23" spans="1:6">
      <c r="B23" s="343" t="s">
        <v>338</v>
      </c>
      <c r="C23" s="367">
        <f>E141</f>
        <v>109.4444872921941</v>
      </c>
      <c r="D23" s="365" t="s">
        <v>438</v>
      </c>
      <c r="E23" s="368">
        <f>Thesis!E23</f>
        <v>0.2</v>
      </c>
    </row>
    <row r="24" spans="1:6">
      <c r="B24" s="343" t="s">
        <v>340</v>
      </c>
      <c r="C24" s="367">
        <f>E144</f>
        <v>146.05268014903339</v>
      </c>
      <c r="D24" s="365" t="s">
        <v>440</v>
      </c>
      <c r="E24" s="368">
        <f>Thesis!E24</f>
        <v>8.6999999999999994E-2</v>
      </c>
    </row>
    <row r="25" spans="1:6">
      <c r="B25" s="343" t="s">
        <v>339</v>
      </c>
      <c r="C25" s="367">
        <f>E145</f>
        <v>151.90346952484109</v>
      </c>
      <c r="D25" s="365" t="s">
        <v>439</v>
      </c>
      <c r="E25" s="368">
        <f>Thesis!E25</f>
        <v>7.2499999999999995E-2</v>
      </c>
    </row>
    <row r="27" spans="1:6" ht="13.9">
      <c r="A27" s="345" t="s">
        <v>342</v>
      </c>
      <c r="B27" s="345"/>
      <c r="C27" s="345"/>
      <c r="D27" s="345"/>
      <c r="E27" s="345"/>
      <c r="F27" s="345"/>
    </row>
    <row r="29" spans="1:6">
      <c r="B29" s="474" t="s">
        <v>495</v>
      </c>
      <c r="C29" s="474"/>
      <c r="D29" s="474"/>
      <c r="E29" s="474"/>
      <c r="F29" s="474"/>
    </row>
    <row r="30" spans="1:6" ht="24.5" customHeight="1">
      <c r="B30" s="477" t="s">
        <v>496</v>
      </c>
      <c r="C30" s="477"/>
      <c r="D30" s="477"/>
      <c r="E30" s="477"/>
      <c r="F30" s="477"/>
    </row>
    <row r="32" spans="1:6">
      <c r="B32" s="369" t="s">
        <v>368</v>
      </c>
      <c r="C32" s="370">
        <f>scaling_factor</f>
        <v>1</v>
      </c>
    </row>
    <row r="33" spans="2:6">
      <c r="B33" s="470" t="s">
        <v>497</v>
      </c>
      <c r="C33" s="470"/>
      <c r="D33" s="470"/>
      <c r="E33" s="470"/>
      <c r="F33" s="470"/>
    </row>
    <row r="34" spans="2:6">
      <c r="B34" s="372" t="s">
        <v>196</v>
      </c>
      <c r="C34" s="373">
        <f>Normalized_FCF!C8</f>
        <v>17736569087.803993</v>
      </c>
      <c r="D34" s="343" t="str">
        <f>Reporting_currency</f>
        <v>CNY</v>
      </c>
    </row>
    <row r="35" spans="2:6">
      <c r="B35" s="372"/>
      <c r="C35" s="374"/>
    </row>
    <row r="36" spans="2:6" ht="24.5" customHeight="1">
      <c r="B36" s="470" t="s">
        <v>498</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499</v>
      </c>
      <c r="C40" s="470"/>
      <c r="D40" s="470"/>
      <c r="E40" s="470"/>
      <c r="F40" s="470"/>
    </row>
    <row r="41" spans="2:6">
      <c r="B41" s="372" t="s">
        <v>201</v>
      </c>
      <c r="C41" s="373">
        <f>Normalized_FCF!C9</f>
        <v>0</v>
      </c>
      <c r="D41" s="343" t="str">
        <f>Reporting_currency</f>
        <v>CNY</v>
      </c>
    </row>
    <row r="43" spans="2:6">
      <c r="B43" s="470" t="s">
        <v>500</v>
      </c>
      <c r="C43" s="470"/>
      <c r="D43" s="470"/>
      <c r="E43" s="470"/>
      <c r="F43" s="470"/>
    </row>
    <row r="44" spans="2:6">
      <c r="B44" s="372" t="s">
        <v>266</v>
      </c>
      <c r="C44" s="376">
        <f>Normalized_FCF!C46</f>
        <v>60656509.843866028</v>
      </c>
      <c r="D44" s="343" t="str">
        <f>Reporting_currency</f>
        <v>CNY</v>
      </c>
      <c r="E44" s="371"/>
      <c r="F44" s="371"/>
    </row>
    <row r="45" spans="2:6">
      <c r="B45" s="372" t="s">
        <v>267</v>
      </c>
      <c r="C45" s="376">
        <f>Normalized_FCF!C45</f>
        <v>-164982858.12359998</v>
      </c>
      <c r="D45" s="343" t="str">
        <f>Reporting_currency</f>
        <v>CNY</v>
      </c>
      <c r="E45" s="371"/>
      <c r="F45" s="371"/>
    </row>
    <row r="46" spans="2:6">
      <c r="B46" s="372" t="s">
        <v>202</v>
      </c>
      <c r="C46" s="373">
        <f>Normalized_FCF!C10</f>
        <v>-104326348.27973396</v>
      </c>
      <c r="D46" s="343" t="str">
        <f>Reporting_currency</f>
        <v>CNY</v>
      </c>
    </row>
    <row r="48" spans="2:6">
      <c r="B48" s="343" t="s">
        <v>501</v>
      </c>
    </row>
    <row r="49" spans="2:6">
      <c r="B49" s="372" t="s">
        <v>222</v>
      </c>
      <c r="C49" s="373">
        <f>Normalized_FCF!C13</f>
        <v>-43611495.751855388</v>
      </c>
      <c r="D49" s="343" t="str">
        <f>Reporting_currency</f>
        <v>CNY</v>
      </c>
    </row>
    <row r="51" spans="2:6">
      <c r="B51" s="470" t="s">
        <v>502</v>
      </c>
      <c r="C51" s="470"/>
      <c r="D51" s="470"/>
      <c r="E51" s="470"/>
      <c r="F51" s="470"/>
    </row>
    <row r="52" spans="2:6">
      <c r="B52" s="372" t="s">
        <v>493</v>
      </c>
      <c r="C52" s="373">
        <f>Normalized_FCF!C12</f>
        <v>-4408060684.8810644</v>
      </c>
      <c r="D52" s="343" t="str">
        <f>Reporting_currency</f>
        <v>CNY</v>
      </c>
    </row>
    <row r="54" spans="2:6">
      <c r="B54" s="470" t="s">
        <v>503</v>
      </c>
      <c r="C54" s="476"/>
      <c r="D54" s="476"/>
      <c r="E54" s="476"/>
      <c r="F54" s="476"/>
    </row>
    <row r="55" spans="2:6">
      <c r="B55" s="372" t="s">
        <v>206</v>
      </c>
      <c r="C55" s="373">
        <f>Normalized_FCF!C17</f>
        <v>0</v>
      </c>
      <c r="D55" s="343" t="str">
        <f>Reporting_currency</f>
        <v>CNY</v>
      </c>
    </row>
    <row r="57" spans="2:6">
      <c r="B57" s="474" t="s">
        <v>504</v>
      </c>
      <c r="C57" s="474"/>
      <c r="D57" s="474"/>
      <c r="E57" s="474"/>
      <c r="F57" s="474"/>
    </row>
    <row r="58" spans="2:6">
      <c r="B58" s="474" t="s">
        <v>505</v>
      </c>
      <c r="C58" s="474"/>
      <c r="D58" s="474"/>
      <c r="E58" s="474"/>
      <c r="F58" s="474"/>
    </row>
    <row r="60" spans="2:6">
      <c r="B60" s="372" t="s">
        <v>369</v>
      </c>
      <c r="C60" s="373">
        <f>Normalized_FCF!G19</f>
        <v>12844018055.588684</v>
      </c>
      <c r="D60" s="343" t="str">
        <f>Reporting_currency</f>
        <v>CNY</v>
      </c>
    </row>
    <row r="61" spans="2:6">
      <c r="B61" s="372" t="s">
        <v>212</v>
      </c>
      <c r="C61" s="373">
        <f>Normalized_FCF!C19</f>
        <v>13180570558.891336</v>
      </c>
      <c r="D61" s="343" t="str">
        <f>Reporting_currency</f>
        <v>CNY</v>
      </c>
    </row>
    <row r="62" spans="2:6">
      <c r="B62" s="377" t="s">
        <v>301</v>
      </c>
      <c r="C62" s="378">
        <f>Normalized_FCF!C124</f>
        <v>8.4270139369363992E-2</v>
      </c>
      <c r="F62" s="379"/>
    </row>
    <row r="63" spans="2:6">
      <c r="B63" s="377" t="s">
        <v>329</v>
      </c>
      <c r="C63" s="378">
        <f>Normalized_FCF!C92</f>
        <v>3.889328063241107E-2</v>
      </c>
      <c r="E63" s="372" t="s">
        <v>370</v>
      </c>
      <c r="F63" s="380">
        <f>Normalized_FCF!C90</f>
        <v>0.51281220823452245</v>
      </c>
    </row>
    <row r="65" spans="1:6">
      <c r="B65" s="369" t="s">
        <v>373</v>
      </c>
      <c r="C65" s="381" t="s">
        <v>324</v>
      </c>
      <c r="D65" s="381" t="s">
        <v>371</v>
      </c>
    </row>
    <row r="66" spans="1:6">
      <c r="B66" s="372" t="s">
        <v>323</v>
      </c>
      <c r="C66" s="378">
        <f>Normalized_FCF!E119</f>
        <v>0.37772085893132024</v>
      </c>
      <c r="D66" s="378">
        <f>Normalized_FCF!G119</f>
        <v>0.37652309539416257</v>
      </c>
    </row>
    <row r="67" spans="1:6">
      <c r="B67" s="382" t="str">
        <f>Normalized_FCF!B116</f>
        <v>Pre-tax Profit/Sales</v>
      </c>
      <c r="C67" s="383">
        <f>Normalized_FCF!E116</f>
        <v>0.56520395086535147</v>
      </c>
      <c r="D67" s="383">
        <f>Normalized_FCF!G116</f>
        <v>0.563411673135921</v>
      </c>
    </row>
    <row r="68" spans="1:6">
      <c r="B68" s="382" t="str">
        <f>Normalized_FCF!B117</f>
        <v>Sales/Total Assets</v>
      </c>
      <c r="C68" s="384">
        <f>Normalized_FCF!E117</f>
        <v>0.44445275381950455</v>
      </c>
      <c r="D68" s="384">
        <f>Normalized_FCF!G117</f>
        <v>0.44445275381950455</v>
      </c>
    </row>
    <row r="69" spans="1:6">
      <c r="B69" s="382" t="str">
        <f>Normalized_FCF!B118</f>
        <v>Total Assets/Equity</v>
      </c>
      <c r="C69" s="384">
        <f>Normalized_FCF!E118</f>
        <v>1.5036272168761813</v>
      </c>
      <c r="D69" s="384">
        <f>Normalized_FCF!G118</f>
        <v>1.5036272168761813</v>
      </c>
    </row>
    <row r="71" spans="1:6" ht="13.9">
      <c r="A71" s="345" t="s">
        <v>473</v>
      </c>
      <c r="B71" s="345"/>
      <c r="C71" s="345"/>
      <c r="D71" s="345"/>
      <c r="E71" s="345"/>
      <c r="F71" s="345"/>
    </row>
    <row r="72" spans="1:6">
      <c r="A72" s="385"/>
    </row>
    <row r="73" spans="1:6">
      <c r="A73" s="386"/>
      <c r="B73" s="474" t="s">
        <v>506</v>
      </c>
      <c r="C73" s="474"/>
      <c r="D73" s="474"/>
      <c r="E73" s="474"/>
      <c r="F73" s="474"/>
    </row>
    <row r="74" spans="1:6">
      <c r="B74" s="477" t="s">
        <v>476</v>
      </c>
      <c r="C74" s="477"/>
      <c r="D74" s="477"/>
      <c r="E74" s="477"/>
      <c r="F74" s="477"/>
    </row>
    <row r="76" spans="1:6">
      <c r="B76" s="369" t="s">
        <v>368</v>
      </c>
    </row>
    <row r="77" spans="1:6">
      <c r="B77" s="474" t="s">
        <v>507</v>
      </c>
      <c r="C77" s="474"/>
      <c r="D77" s="474"/>
      <c r="E77" s="474"/>
      <c r="F77" s="474"/>
    </row>
    <row r="78" spans="1:6">
      <c r="B78" s="343" t="s">
        <v>214</v>
      </c>
      <c r="C78" s="373">
        <f>DCF!F4</f>
        <v>-2749714302.0599999</v>
      </c>
      <c r="D78" s="343" t="str">
        <f>Reporting_currency</f>
        <v>CNY</v>
      </c>
    </row>
    <row r="79" spans="1:6">
      <c r="B79" s="372" t="s">
        <v>233</v>
      </c>
      <c r="C79" s="387">
        <f>C78*scaling_factor*Exchange_Rate/Common_Shares</f>
        <v>-1.8680860870735294</v>
      </c>
      <c r="D79" s="343" t="str">
        <f>Market_currency</f>
        <v>CNY</v>
      </c>
    </row>
    <row r="80" spans="1:6">
      <c r="B80" s="382" t="s">
        <v>307</v>
      </c>
      <c r="C80" s="388">
        <f>IF(BS!G31/BS!G27&gt;300%,"nm",BS!G31/BS!G27)</f>
        <v>5.8904840599867017E-2</v>
      </c>
    </row>
    <row r="81" spans="1:6">
      <c r="B81" s="382" t="s">
        <v>309</v>
      </c>
      <c r="C81" s="389">
        <f>IF(BS!C50&gt;30,"nm",BS!C50)</f>
        <v>0.15503078912543219</v>
      </c>
    </row>
    <row r="83" spans="1:6">
      <c r="B83" s="343" t="s">
        <v>508</v>
      </c>
    </row>
    <row r="84" spans="1:6">
      <c r="B84" s="343" t="s">
        <v>223</v>
      </c>
      <c r="C84" s="373">
        <f>DCF!F5</f>
        <v>25341662019.738998</v>
      </c>
      <c r="D84" s="343" t="str">
        <f>Reporting_currency</f>
        <v>CNY</v>
      </c>
    </row>
    <row r="85" spans="1:6">
      <c r="B85" s="382" t="s">
        <v>478</v>
      </c>
      <c r="C85" s="390">
        <f>BS!C66</f>
        <v>35451080327.050003</v>
      </c>
      <c r="D85" s="391" t="str">
        <f>Reporting_currency</f>
        <v>CNY</v>
      </c>
    </row>
    <row r="86" spans="1:6">
      <c r="B86" s="372" t="s">
        <v>234</v>
      </c>
      <c r="C86" s="387">
        <f>C84*scaling_factor*Exchange_Rate/Common_Shares</f>
        <v>17.216481802101459</v>
      </c>
      <c r="D86" s="343" t="str">
        <f>Market_currency</f>
        <v>CNY</v>
      </c>
    </row>
    <row r="88" spans="1:6">
      <c r="B88" s="343" t="s">
        <v>509</v>
      </c>
    </row>
    <row r="89" spans="1:6">
      <c r="B89" s="343" t="s">
        <v>216</v>
      </c>
      <c r="C89" s="373">
        <f>DCF!F6</f>
        <v>1298705835.2379999</v>
      </c>
      <c r="D89" s="343" t="str">
        <f>Reporting_currency</f>
        <v>CNY</v>
      </c>
    </row>
    <row r="90" spans="1:6">
      <c r="B90" s="372" t="s">
        <v>235</v>
      </c>
      <c r="C90" s="387">
        <f>C89*scaling_factor*Exchange_Rate/Common_Shares</f>
        <v>0.88230777291726681</v>
      </c>
      <c r="D90" s="343" t="str">
        <f>Market_currency</f>
        <v>CNY</v>
      </c>
    </row>
    <row r="92" spans="1:6">
      <c r="B92" s="372" t="s">
        <v>477</v>
      </c>
      <c r="C92" s="387">
        <f>DCF!F8</f>
        <v>16.230703487945195</v>
      </c>
      <c r="D92" s="343" t="str">
        <f>Market_currency</f>
        <v>CNY</v>
      </c>
    </row>
    <row r="94" spans="1:6" ht="13.9">
      <c r="A94" s="345" t="s">
        <v>479</v>
      </c>
      <c r="B94" s="345"/>
      <c r="C94" s="345"/>
      <c r="D94" s="345"/>
      <c r="E94" s="345"/>
      <c r="F94" s="345"/>
    </row>
    <row r="95" spans="1:6">
      <c r="A95" s="385"/>
    </row>
    <row r="96" spans="1:6">
      <c r="A96" s="385"/>
      <c r="B96" s="474" t="s">
        <v>510</v>
      </c>
      <c r="C96" s="474"/>
      <c r="D96" s="474"/>
      <c r="E96" s="474"/>
      <c r="F96" s="474"/>
    </row>
    <row r="97" spans="1:6">
      <c r="A97" s="385"/>
      <c r="B97" s="477" t="s">
        <v>511</v>
      </c>
      <c r="C97" s="477"/>
      <c r="D97" s="477"/>
      <c r="E97" s="477"/>
      <c r="F97" s="477"/>
    </row>
    <row r="98" spans="1:6">
      <c r="A98" s="385"/>
      <c r="B98" s="477" t="s">
        <v>512</v>
      </c>
      <c r="C98" s="477"/>
      <c r="D98" s="477"/>
      <c r="E98" s="477"/>
      <c r="F98" s="477"/>
    </row>
    <row r="99" spans="1:6">
      <c r="A99" s="385"/>
    </row>
    <row r="100" spans="1:6">
      <c r="A100" s="385"/>
      <c r="B100" s="369" t="s">
        <v>368</v>
      </c>
    </row>
    <row r="101" spans="1:6">
      <c r="A101" s="385"/>
      <c r="B101" s="372" t="s">
        <v>211</v>
      </c>
      <c r="C101" s="368">
        <f>E25+C103</f>
        <v>7.2499999999999995E-2</v>
      </c>
    </row>
    <row r="102" spans="1:6">
      <c r="A102" s="385"/>
      <c r="B102" s="382" t="s">
        <v>316</v>
      </c>
      <c r="C102" s="383">
        <f>E25</f>
        <v>7.2499999999999995E-2</v>
      </c>
    </row>
    <row r="103" spans="1:6">
      <c r="A103" s="385"/>
      <c r="B103" s="382" t="s">
        <v>315</v>
      </c>
      <c r="C103" s="383">
        <f>IF(C15="Y",1%,0)+IF(C16="Y",1%,0)</f>
        <v>0</v>
      </c>
    </row>
    <row r="104" spans="1:6">
      <c r="A104" s="385"/>
      <c r="B104" s="372" t="s">
        <v>531</v>
      </c>
      <c r="C104" s="368">
        <v>0</v>
      </c>
    </row>
    <row r="105" spans="1:6">
      <c r="A105" s="385"/>
      <c r="C105" s="392"/>
    </row>
    <row r="106" spans="1:6">
      <c r="A106" s="385"/>
      <c r="B106" s="393" t="s">
        <v>372</v>
      </c>
      <c r="C106" s="392"/>
    </row>
    <row r="107" spans="1:6">
      <c r="A107" s="385"/>
      <c r="B107" s="474" t="s">
        <v>513</v>
      </c>
      <c r="C107" s="474"/>
      <c r="D107" s="474"/>
      <c r="E107" s="474"/>
      <c r="F107" s="474"/>
    </row>
    <row r="108" spans="1:6">
      <c r="A108" s="385"/>
      <c r="B108" s="474" t="s">
        <v>532</v>
      </c>
      <c r="C108" s="474"/>
      <c r="D108" s="474"/>
      <c r="E108" s="474"/>
      <c r="F108" s="474"/>
    </row>
    <row r="109" spans="1:6">
      <c r="A109" s="385"/>
    </row>
    <row r="110" spans="1:6">
      <c r="A110" s="385"/>
      <c r="B110" s="369" t="s">
        <v>486</v>
      </c>
    </row>
    <row r="111" spans="1:6">
      <c r="A111" s="385"/>
      <c r="B111" s="375" t="s">
        <v>483</v>
      </c>
      <c r="C111" s="394">
        <f>BS!D47</f>
        <v>12.72773462292413</v>
      </c>
      <c r="D111" s="343" t="str">
        <f>Market_currency</f>
        <v>CNY</v>
      </c>
    </row>
    <row r="112" spans="1:6">
      <c r="A112" s="385"/>
      <c r="B112" s="372" t="s">
        <v>374</v>
      </c>
      <c r="C112" s="394">
        <f>DCF!C11</f>
        <v>190.20472081320983</v>
      </c>
      <c r="D112" s="343" t="str">
        <f>Market_currency</f>
        <v>CNY</v>
      </c>
    </row>
    <row r="113" spans="1:6">
      <c r="A113" s="385"/>
    </row>
    <row r="114" spans="1:6">
      <c r="A114" s="385"/>
      <c r="B114" s="474" t="s">
        <v>514</v>
      </c>
      <c r="C114" s="474"/>
      <c r="D114" s="474"/>
      <c r="E114" s="474"/>
      <c r="F114" s="474"/>
    </row>
    <row r="115" spans="1:6">
      <c r="A115" s="385"/>
    </row>
    <row r="116" spans="1:6">
      <c r="A116" s="385"/>
      <c r="B116" s="369" t="s">
        <v>487</v>
      </c>
    </row>
    <row r="117" spans="1:6">
      <c r="A117" s="385"/>
      <c r="B117" s="342" t="s">
        <v>375</v>
      </c>
      <c r="C117" s="342" t="s">
        <v>376</v>
      </c>
      <c r="D117" s="342" t="s">
        <v>98</v>
      </c>
      <c r="E117" s="342" t="s">
        <v>377</v>
      </c>
      <c r="F117" s="342" t="s">
        <v>378</v>
      </c>
    </row>
    <row r="118" spans="1:6">
      <c r="A118" s="385"/>
      <c r="B118" s="395" t="str">
        <f>DCF!B90</f>
        <v>Snowball Scenario</v>
      </c>
      <c r="C118" s="396">
        <f>DCF!C90</f>
        <v>0.05</v>
      </c>
      <c r="D118" s="397">
        <f>DCF!D90</f>
        <v>15</v>
      </c>
      <c r="E118" s="398" t="str">
        <f>ROUND(DCF!E90,2)&amp;" "&amp;Market_currency</f>
        <v>221.73 CNY</v>
      </c>
      <c r="F118" s="399">
        <f>DCF!F90</f>
        <v>0.15</v>
      </c>
    </row>
    <row r="119" spans="1:6">
      <c r="A119" s="385"/>
      <c r="B119" s="400" t="str">
        <f>DCF!B91</f>
        <v>Optimistic</v>
      </c>
      <c r="C119" s="401">
        <f>DCF!C91</f>
        <v>0.03</v>
      </c>
      <c r="D119" s="402">
        <f>DCF!D91</f>
        <v>15</v>
      </c>
      <c r="E119" s="398" t="str">
        <f>ROUND(DCF!E91,2)&amp;" "&amp;Market_currency</f>
        <v>183.61 CNY</v>
      </c>
      <c r="F119" s="403">
        <f>DCF!F91</f>
        <v>0.15999999999999995</v>
      </c>
    </row>
    <row r="120" spans="1:6">
      <c r="B120" s="400" t="str">
        <f>DCF!B92</f>
        <v>Base</v>
      </c>
      <c r="C120" s="401">
        <f>DCF!C92</f>
        <v>0.02</v>
      </c>
      <c r="D120" s="402">
        <f>DCF!D92</f>
        <v>15</v>
      </c>
      <c r="E120" s="398" t="str">
        <f>ROUND(DCF!E92,2)&amp;" "&amp;Market_currency</f>
        <v>167.6 CNY</v>
      </c>
      <c r="F120" s="403">
        <f>DCF!F92</f>
        <v>0.44</v>
      </c>
    </row>
    <row r="121" spans="1:6">
      <c r="B121" s="400" t="str">
        <f>DCF!B93</f>
        <v>Pessimistic</v>
      </c>
      <c r="C121" s="401">
        <f>DCF!C93</f>
        <v>0.01</v>
      </c>
      <c r="D121" s="402">
        <f>DCF!D93</f>
        <v>15</v>
      </c>
      <c r="E121" s="398" t="str">
        <f>ROUND(DCF!E93,2)&amp;" "&amp;Market_currency</f>
        <v>153.33 CNY</v>
      </c>
      <c r="F121" s="403">
        <f>DCF!F93</f>
        <v>0.19999999999999998</v>
      </c>
    </row>
    <row r="122" spans="1:6">
      <c r="B122" s="400" t="str">
        <f>DCF!B94</f>
        <v>Devil's advocate</v>
      </c>
      <c r="C122" s="401">
        <f>DCF!C94</f>
        <v>0</v>
      </c>
      <c r="D122" s="402">
        <f>DCF!D94</f>
        <v>15</v>
      </c>
      <c r="E122" s="398" t="str">
        <f>ROUND(DCF!E94,2)&amp;" "&amp;Market_currency</f>
        <v>140.61 CNY</v>
      </c>
      <c r="F122" s="403">
        <f>DCF!F94</f>
        <v>0.05</v>
      </c>
    </row>
    <row r="124" spans="1:6">
      <c r="B124" s="470" t="s">
        <v>515</v>
      </c>
      <c r="C124" s="470"/>
      <c r="D124" s="470"/>
      <c r="E124" s="470"/>
      <c r="F124" s="470"/>
    </row>
    <row r="125" spans="1:6">
      <c r="B125" s="372" t="s">
        <v>217</v>
      </c>
      <c r="C125" s="404">
        <f>Scenarios!C36</f>
        <v>174.07668204091138</v>
      </c>
      <c r="D125" s="343" t="str">
        <f>Market_currency</f>
        <v>CNY</v>
      </c>
    </row>
    <row r="127" spans="1:6">
      <c r="B127" s="472" t="s">
        <v>516</v>
      </c>
      <c r="C127" s="472"/>
      <c r="D127" s="472"/>
      <c r="E127" s="472"/>
      <c r="F127" s="472"/>
    </row>
    <row r="129" spans="1:6" ht="13.9">
      <c r="A129" s="345" t="s">
        <v>489</v>
      </c>
      <c r="B129" s="345"/>
      <c r="C129" s="345"/>
      <c r="D129" s="345"/>
      <c r="E129" s="345"/>
      <c r="F129" s="345"/>
    </row>
    <row r="131" spans="1:6">
      <c r="B131" s="473" t="s">
        <v>517</v>
      </c>
      <c r="C131" s="473"/>
      <c r="D131" s="473"/>
      <c r="E131" s="473"/>
      <c r="F131" s="473"/>
    </row>
    <row r="132" spans="1:6" ht="24.5" customHeight="1">
      <c r="B132" s="474" t="s">
        <v>518</v>
      </c>
      <c r="C132" s="474"/>
      <c r="D132" s="474"/>
      <c r="E132" s="474"/>
      <c r="F132" s="474"/>
    </row>
    <row r="134" spans="1:6">
      <c r="B134" s="369" t="s">
        <v>368</v>
      </c>
    </row>
    <row r="135" spans="1:6">
      <c r="B135" s="343" t="s">
        <v>379</v>
      </c>
      <c r="C135" s="405">
        <f>E21</f>
        <v>3</v>
      </c>
    </row>
    <row r="136" spans="1:6">
      <c r="B136" s="343" t="s">
        <v>380</v>
      </c>
      <c r="C136" s="406">
        <f>Scenarios!C58</f>
        <v>4.1328000000000005</v>
      </c>
      <c r="D136" s="343" t="str">
        <f>Market_currency</f>
        <v>CNY</v>
      </c>
    </row>
    <row r="138" spans="1:6">
      <c r="B138" s="369" t="s">
        <v>490</v>
      </c>
      <c r="C138" s="407"/>
      <c r="D138" s="407"/>
    </row>
    <row r="139" spans="1:6">
      <c r="B139" s="340" t="s">
        <v>459</v>
      </c>
      <c r="C139" s="340" t="str">
        <f>"PV("&amp;Holding_Period&amp;" yrs of Dividends)"</f>
        <v>PV(3 yrs of Dividends)</v>
      </c>
      <c r="D139" s="340" t="s">
        <v>468</v>
      </c>
      <c r="E139" s="341" t="str">
        <f>"Buy below ("&amp;Market_currency&amp;")"</f>
        <v>Buy below (CNY)</v>
      </c>
      <c r="F139" s="341" t="s">
        <v>492</v>
      </c>
    </row>
    <row r="140" spans="1:6">
      <c r="B140" s="408" t="s">
        <v>310</v>
      </c>
      <c r="C140" s="409">
        <f>Scenarios!C62</f>
        <v>7.5056313154301346</v>
      </c>
      <c r="D140" s="409">
        <f>Scenarios!D62</f>
        <v>79.233810669509026</v>
      </c>
      <c r="E140" s="410">
        <f>Scenarios!E62</f>
        <v>86.739441984939162</v>
      </c>
      <c r="F140" s="411">
        <f>E22</f>
        <v>0.3</v>
      </c>
    </row>
    <row r="141" spans="1:6">
      <c r="B141" s="408" t="s">
        <v>311</v>
      </c>
      <c r="C141" s="409">
        <f>Scenarios!C63</f>
        <v>8.7056666666666676</v>
      </c>
      <c r="D141" s="409">
        <f>Scenarios!D63</f>
        <v>100.73882062552742</v>
      </c>
      <c r="E141" s="410">
        <f>Scenarios!E63</f>
        <v>109.4444872921941</v>
      </c>
      <c r="F141" s="411">
        <f>Scenarios!F63</f>
        <v>0.2</v>
      </c>
    </row>
    <row r="143" spans="1:6">
      <c r="B143" s="340" t="s">
        <v>460</v>
      </c>
      <c r="C143" s="340" t="str">
        <f>"PV("&amp;Holding_Period&amp;" yrs of Dividends)"</f>
        <v>PV(3 yrs of Dividends)</v>
      </c>
      <c r="D143" s="340" t="s">
        <v>468</v>
      </c>
      <c r="E143" s="341" t="str">
        <f>"Sell above ("&amp;Market_currency&amp;")"</f>
        <v>Sell above (CNY)</v>
      </c>
      <c r="F143" s="341" t="s">
        <v>492</v>
      </c>
    </row>
    <row r="144" spans="1:6">
      <c r="B144" s="408" t="s">
        <v>313</v>
      </c>
      <c r="C144" s="409">
        <f>Scenarios!C66</f>
        <v>10.517521633559475</v>
      </c>
      <c r="D144" s="409">
        <f>Scenarios!D66</f>
        <v>135.53515851547391</v>
      </c>
      <c r="E144" s="410">
        <f>Scenarios!E66</f>
        <v>146.05268014903339</v>
      </c>
      <c r="F144" s="411">
        <f>E24</f>
        <v>8.6999999999999994E-2</v>
      </c>
    </row>
    <row r="145" spans="1:6">
      <c r="B145" s="408" t="s">
        <v>312</v>
      </c>
      <c r="C145" s="409">
        <f>Scenarios!C67</f>
        <v>10.796424338860641</v>
      </c>
      <c r="D145" s="409">
        <f>Scenarios!D67</f>
        <v>141.10704518598044</v>
      </c>
      <c r="E145" s="410">
        <f>Scenarios!E67</f>
        <v>151.90346952484109</v>
      </c>
      <c r="F145" s="411">
        <f>Scenarios!F67</f>
        <v>7.2499999999999995E-2</v>
      </c>
    </row>
    <row r="147" spans="1:6" ht="13.9">
      <c r="A147" s="345" t="s">
        <v>472</v>
      </c>
      <c r="B147" s="345"/>
      <c r="C147" s="345"/>
      <c r="D147" s="345"/>
      <c r="E147" s="345"/>
      <c r="F147" s="345"/>
    </row>
    <row r="149" spans="1:6">
      <c r="B149" s="475" t="s">
        <v>519</v>
      </c>
      <c r="C149" s="474"/>
      <c r="D149" s="474"/>
      <c r="E149" s="474"/>
      <c r="F149" s="474"/>
    </row>
    <row r="151" spans="1:6">
      <c r="B151" s="369" t="s">
        <v>381</v>
      </c>
    </row>
    <row r="152" spans="1:6">
      <c r="B152" s="476" t="s">
        <v>520</v>
      </c>
      <c r="C152" s="476"/>
      <c r="D152" s="476"/>
      <c r="E152" s="476"/>
      <c r="F152" s="476"/>
    </row>
    <row r="153" spans="1:6">
      <c r="B153" s="412" t="s">
        <v>382</v>
      </c>
    </row>
    <row r="154" spans="1:6">
      <c r="B154" s="412" t="s">
        <v>383</v>
      </c>
    </row>
    <row r="155" spans="1:6">
      <c r="B155" s="412" t="s">
        <v>384</v>
      </c>
    </row>
    <row r="157" spans="1:6">
      <c r="B157" s="343" t="s">
        <v>521</v>
      </c>
    </row>
    <row r="158" spans="1:6" ht="24.5" customHeight="1">
      <c r="B158" s="470" t="s">
        <v>436</v>
      </c>
      <c r="C158" s="470"/>
      <c r="D158" s="470"/>
      <c r="E158" s="470"/>
      <c r="F158" s="470"/>
    </row>
    <row r="160" spans="1:6">
      <c r="B160" s="343" t="s">
        <v>522</v>
      </c>
    </row>
    <row r="161" spans="2:6">
      <c r="B161" s="471" t="s">
        <v>385</v>
      </c>
      <c r="C161" s="471"/>
      <c r="D161" s="471"/>
      <c r="E161" s="471"/>
      <c r="F161" s="471"/>
    </row>
    <row r="162" spans="2:6">
      <c r="B162" s="471" t="s">
        <v>386</v>
      </c>
      <c r="C162" s="471"/>
      <c r="D162" s="471"/>
      <c r="E162" s="471"/>
      <c r="F162" s="471"/>
    </row>
    <row r="164" spans="2:6">
      <c r="B164" s="343" t="s">
        <v>523</v>
      </c>
    </row>
    <row r="165" spans="2:6">
      <c r="B165" s="412" t="s">
        <v>387</v>
      </c>
    </row>
    <row r="166" spans="2:6">
      <c r="B166" s="412" t="s">
        <v>388</v>
      </c>
    </row>
    <row r="167" spans="2:6">
      <c r="B167" s="412" t="s">
        <v>389</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