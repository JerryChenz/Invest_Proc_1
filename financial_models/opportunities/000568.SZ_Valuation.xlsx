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96668C8-F0F9-4632-B18B-9F402E99E5F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G19" i="3"/>
  <c r="C4" i="3"/>
  <c r="D28" i="4"/>
  <c r="D25" i="4"/>
  <c r="C25" i="4"/>
  <c r="D6" i="4"/>
  <c r="C6" i="4"/>
  <c r="D5" i="4"/>
  <c r="C5" i="4"/>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<sst xmlns="http://schemas.openxmlformats.org/spreadsheetml/2006/main" count="768" uniqueCount="557">
  <si>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</si>
  <si>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</si>
  <si>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</si>
  <si>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</si>
  <si>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</si>
  <si>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</si>
  <si>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</si>
  <si>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</si>
  <si>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</si>
  <si>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</si>
  <si>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</si>
  <si>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</si>
  <si>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</si>
  <si>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</si>
  <si>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</si>
  <si>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</si>
  <si>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</si>
  <si>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</si>
  <si>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</si>
  <si>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</si>
  <si>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</si>
  <si>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</si>
  <si>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</si>
  <si>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</si>
  <si>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</si>
  <si>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</si>
  <si>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</si>
  <si>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</si>
  <si>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</si>
  <si>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</si>
  <si>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</si>
  <si>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</si>
  <si>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</si>
  <si>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</si>
  <si>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</si>
  <si>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</si>
  <si>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</si>
  <si>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</si>
  <si>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</si>
  <si>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</si>
  <si>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</si>
  <si>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</si>
  <si>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</si>
  <si>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</si>
  <si>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</si>
  <si>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</si>
  <si>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</si>
  <si>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</si>
  <si>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</si>
  <si>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</si>
  <si>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</si>
  <si>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</si>
  <si>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</si>
  <si>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</si>
  <si>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</si>
  <si>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</si>
  <si>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</si>
  <si>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</si>
  <si>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</si>
  <si>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</si>
  <si>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</si>
  <si>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</si>
  <si>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</si>
  <si>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</si>
  <si>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</si>
  <si>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</si>
  <si>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</si>
  <si>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</si>
  <si>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</si>
  <si>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</si>
  <si>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</si>
  <si>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</si>
  <si>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</si>
  <si>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</si>
  <si>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</si>
  <si>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</si>
  <si>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</si>
  <si>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</si>
  <si>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</si>
  <si>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</si>
  <si>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</si>
  <si>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</si>
  <si>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</si>
  <si>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</si>
  <si>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</si>
  <si>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</si>
  <si>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</si>
  <si>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</si>
  <si>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</si>
  <si>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</si>
  <si>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</si>
  <si>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</si>
  <si>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</si>
  <si>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</si>
  <si>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</si>
  <si>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</si>
  <si>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</si>
  <si>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</si>
  <si>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</si>
  <si>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</si>
  <si>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</si>
  <si>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</si>
  <si>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</si>
  <si>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</si>
  <si>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</si>
  <si>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</si>
  <si>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</si>
  <si>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</si>
  <si>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</si>
  <si>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</si>
  <si>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</si>
  <si>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</si>
  <si>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</si>
  <si>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</si>
  <si>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</si>
  <si>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</si>
  <si>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</si>
  <si>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</si>
  <si>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</si>
  <si>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</si>
  <si>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</si>
  <si>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</si>
  <si>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</si>
  <si>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</si>
  <si>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</si>
  <si>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</si>
  <si>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</si>
  <si>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</si>
  <si>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</si>
  <si>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</si>
  <si>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</si>
  <si>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</si>
  <si>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</si>
  <si>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</si>
  <si>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</si>
  <si>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</si>
  <si>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</si>
  <si>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</si>
  <si>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</si>
  <si>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</si>
  <si>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</si>
  <si>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</si>
  <si>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</si>
  <si>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</si>
  <si>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</si>
  <si>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</si>
  <si>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</si>
  <si>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</si>
  <si>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</si>
  <si>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</si>
  <si>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</si>
  <si>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</si>
  <si>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</si>
  <si>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</si>
  <si>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</si>
  <si>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</si>
  <si>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</si>
  <si>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</si>
  <si>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</si>
  <si>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</si>
  <si>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</si>
  <si>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</si>
  <si>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</si>
  <si>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</si>
  <si>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</si>
  <si>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</si>
  <si>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</si>
  <si>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</si>
  <si>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</si>
  <si>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</si>
  <si>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</si>
  <si>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</si>
  <si>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</si>
  <si>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</si>
  <si>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</si>
  <si>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</si>
  <si>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</si>
  <si>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</si>
  <si>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</si>
  <si>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</si>
  <si>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</si>
  <si>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</si>
  <si>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</si>
  <si>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</si>
  <si>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</si>
  <si>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</si>
  <si>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</si>
  <si>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</si>
  <si>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</si>
  <si>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</si>
  <si>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</si>
  <si>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</si>
  <si>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</si>
  <si>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</si>
  <si>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</si>
  <si>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</si>
  <si>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</si>
  <si>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</si>
  <si>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</si>
  <si>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</si>
  <si>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</si>
  <si>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</si>
  <si>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</si>
  <si>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</si>
  <si>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</si>
  <si>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</si>
  <si>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</si>
  <si>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</si>
  <si>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</si>
  <si>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</si>
  <si>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</si>
  <si>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</si>
  <si>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</si>
  <si>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</si>
  <si>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</si>
  <si>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</si>
  <si>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</si>
  <si>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</si>
  <si>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</si>
  <si>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</si>
  <si>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</si>
  <si>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</si>
  <si>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</si>
  <si>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</si>
  <si>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</si>
  <si>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</si>
  <si>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</si>
  <si>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</si>
  <si>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</si>
  <si>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</si>
  <si>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</si>
  <si>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</si>
  <si>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</si>
  <si>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</si>
  <si>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</si>
  <si>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</si>
  <si>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</si>
  <si>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</si>
  <si>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</si>
  <si>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</si>
  <si>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</si>
  <si>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</si>
  <si>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</si>
  <si>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</si>
  <si>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</si>
  <si>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</si>
  <si>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</si>
  <si>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</si>
  <si>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</si>
  <si>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</si>
  <si>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</si>
  <si>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</si>
  <si>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</si>
  <si>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</si>
  <si>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</si>
  <si>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</si>
  <si>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</si>
  <si>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</si>
  <si>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</si>
  <si>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</si>
  <si>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</si>
  <si>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</si>
  <si>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</si>
  <si>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</si>
  <si>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</si>
  <si>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</si>
  <si>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</si>
  <si>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</si>
  <si>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</si>
  <si>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</si>
  <si>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</si>
  <si>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</si>
  <si>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</si>
  <si>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</si>
  <si>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</si>
  <si>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</si>
  <si>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</si>
  <si>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</si>
  <si>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</si>
  <si>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</si>
  <si>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</si>
  <si>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</si>
  <si>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</si>
  <si>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</si>
  <si>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</si>
  <si>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</si>
  <si>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</si>
  <si>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</si>
  <si>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</si>
  <si>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</si>
  <si>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</si>
  <si>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</si>
  <si>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</si>
  <si>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</si>
  <si>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</si>
  <si>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</si>
  <si>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</si>
  <si>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</si>
  <si>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</si>
  <si>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</si>
  <si>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</si>
  <si>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</si>
  <si>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</si>
  <si>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</si>
  <si>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</si>
  <si>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</si>
  <si>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</si>
  <si>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</si>
  <si>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</si>
  <si>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</si>
  <si>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</si>
  <si>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</si>
  <si>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</si>
  <si>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</si>
  <si>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</si>
  <si>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</si>
  <si>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</si>
  <si>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</si>
  <si>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</si>
  <si>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</si>
  <si>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</si>
  <si>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</si>
  <si>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</si>
  <si>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</si>
  <si>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</si>
  <si>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</si>
  <si>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</si>
  <si>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</si>
  <si>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</si>
  <si>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</si>
  <si>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</si>
  <si>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</si>
  <si>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</si>
  <si>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</si>
  <si>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</si>
  <si>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</si>
  <si>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</si>
  <si>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</si>
  <si>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</si>
  <si>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</si>
  <si>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</si>
  <si>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</si>
  <si>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</si>
  <si>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</si>
  <si>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</si>
  <si>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</si>
  <si>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</si>
  <si>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</si>
  <si>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</si>
  <si>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</si>
  <si>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</si>
  <si>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</si>
  <si>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</si>
  <si>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</si>
  <si>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</si>
  <si>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</si>
  <si>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</si>
  <si>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</si>
  <si>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</si>
  <si>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</si>
  <si>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</si>
  <si>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</si>
  <si>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</si>
  <si>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</si>
  <si>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</si>
  <si>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</si>
  <si>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</si>
  <si>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</si>
  <si>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</si>
  <si>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</si>
  <si>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</si>
  <si>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</si>
  <si>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</si>
  <si>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</si>
  <si>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</si>
  <si>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</si>
  <si>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</si>
  <si>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</si>
  <si>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</si>
  <si>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</si>
  <si>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</si>
  <si>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</si>
  <si>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</si>
  <si>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</si>
  <si>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</si>
  <si>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</si>
  <si>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</si>
  <si>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</si>
  <si>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</si>
  <si>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</si>
  <si>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</si>
  <si>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</si>
  <si>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</si>
  <si>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</si>
  <si>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</si>
  <si>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</si>
  <si>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</si>
  <si>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</si>
  <si>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</si>
  <si>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</si>
  <si>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</si>
  <si>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</si>
  <si>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</si>
  <si>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</si>
  <si>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</si>
  <si>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</si>
  <si>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</si>
  <si>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</si>
  <si>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</si>
  <si>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</si>
  <si>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</si>
  <si>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</si>
  <si>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</si>
  <si>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</si>
  <si>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</si>
  <si>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</si>
  <si>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</si>
  <si>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</si>
  <si>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</si>
  <si>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</si>
  <si>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</si>
  <si>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</si>
  <si>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</si>
  <si>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</si>
  <si>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</si>
  <si>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</si>
  <si>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</si>
  <si>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</si>
  <si>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</si>
  <si>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</si>
  <si>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</si>
  <si>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</si>
  <si>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</si>
  <si>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</si>
  <si>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</si>
  <si>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</si>
  <si>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</si>
  <si>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</si>
  <si>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</si>
  <si>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</si>
  <si>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</si>
  <si>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</si>
  <si>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</si>
  <si>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</si>
  <si>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</si>
  <si>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</si>
  <si>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</si>
  <si>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</si>
  <si>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</si>
  <si>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</si>
  <si>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</si>
  <si>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</si>
  <si>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</si>
  <si>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</si>
  <si>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</si>
  <si>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</si>
  <si>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</si>
  <si>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</si>
  <si>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</si>
  <si>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</si>
  <si>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</si>
  <si>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</si>
  <si>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</si>
  <si>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</si>
  <si>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</si>
  <si>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</si>
  <si>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</si>
  <si>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</si>
  <si>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</si>
  <si>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</si>
  <si>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</si>
  <si>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</si>
  <si>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</si>
  <si>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</si>
  <si>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</si>
  <si>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</si>
  <si>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</si>
  <si>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</si>
  <si>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</si>
  <si>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</si>
  <si>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</si>
  <si>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</si>
  <si>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</si>
  <si>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</si>
  <si>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</si>
  <si>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</si>
  <si>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</si>
  <si>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</si>
  <si>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</si>
  <si>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</si>
  <si>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</si>
  <si>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</si>
  <si>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</si>
  <si>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</si>
  <si>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</si>
  <si>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</si>
  <si>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</si>
  <si>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</si>
  <si>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</si>
  <si>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</si>
  <si>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</si>
  <si>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</si>
  <si>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</si>
  <si>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</si>
  <si>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</si>
  <si>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</si>
  <si>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</si>
  <si>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</si>
  <si>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</si>
  <si>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</si>
  <si>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</si>
  <si>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</si>
  <si>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</si>
  <si>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</si>
  <si>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</si>
  <si>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</si>
  <si>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</si>
  <si>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</si>
  <si>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</si>
  <si>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</si>
  <si>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</si>
  <si>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</si>
  <si>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</si>
  <si>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</si>
  <si>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</si>
  <si>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</si>
  <si>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</si>
  <si>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</si>
  <si>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</si>
  <si>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</si>
  <si>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</si>
  <si>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</si>
  <si>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</si>
  <si>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</si>
  <si>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</si>
  <si>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</si>
  <si>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</si>
  <si>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</si>
  <si>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</si>
  <si>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</si>
  <si>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</si>
  <si>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</si>
  <si>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</si>
  <si>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</si>
  <si>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</si>
  <si>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</si>
  <si>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</si>
  <si>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</si>
  <si>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</si>
  <si>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</si>
  <si>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</si>
  <si>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</si>
  <si>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</si>
  <si>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000568.SZ</t>
  </si>
  <si>
    <t>CNY</t>
  </si>
  <si>
    <t>泸州老窖</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</si>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</sst>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 fillId="0" borderId="3" xfId="0" applyFont="1" applyBorder="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10"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46105</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103.39</v>
      </c>
      <c r="E8" s="32"/>
    </row>
    <row r="9" spans="1:9">
      <c r="B9" s="4" t="s">
        <v>344</v>
      </c>
      <c r="C9" s="48">
        <v>1471941963</v>
      </c>
    </row>
    <row r="10" spans="1:9">
      <c r="B10" s="4" t="s">
        <v>350</v>
      </c>
      <c r="C10" s="33">
        <f>Thesis!C8*Common_Shares/1000000</f>
        <v>152184.07955456999</v>
      </c>
      <c r="D10" s="1" t="s">
        <v>525</v>
      </c>
      <c r="E10" s="303">
        <f>Scenarios!F34</f>
        <v>0.22370349845707738</v>
      </c>
    </row>
    <row r="11" spans="1:9">
      <c r="D11" s="5"/>
      <c r="E11" s="5"/>
    </row>
    <row r="12" spans="1:9" ht="24.5" customHeight="1">
      <c r="B12" s="463" t="s">
        <v>353</v>
      </c>
      <c r="C12" s="463"/>
      <c r="D12" s="463"/>
      <c r="E12" s="463"/>
      <c r="F12" s="463"/>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174.07668204091138</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86.739441984939162</v>
      </c>
      <c r="D22" s="38" t="s">
        <v>404</v>
      </c>
      <c r="E22" s="79">
        <v>0.3</v>
      </c>
    </row>
    <row r="23" spans="1:6">
      <c r="B23" s="1" t="s">
        <v>312</v>
      </c>
      <c r="C23" s="256">
        <f>E141</f>
        <v>109.4444872921941</v>
      </c>
      <c r="D23" s="38" t="s">
        <v>405</v>
      </c>
      <c r="E23" s="443">
        <v>0.2</v>
      </c>
    </row>
    <row r="24" spans="1:6">
      <c r="B24" s="1" t="s">
        <v>314</v>
      </c>
      <c r="C24" s="256">
        <f>E144</f>
        <v>146.05268014903339</v>
      </c>
      <c r="D24" s="38" t="s">
        <v>406</v>
      </c>
      <c r="E24" s="443">
        <v>8.6999999999999994E-2</v>
      </c>
    </row>
    <row r="25" spans="1:6">
      <c r="B25" s="1" t="s">
        <v>313</v>
      </c>
      <c r="C25" s="256">
        <f>E145</f>
        <v>151.90346952484109</v>
      </c>
      <c r="D25" s="38" t="s">
        <v>407</v>
      </c>
      <c r="E25" s="444">
        <v>7.2499999999999995E-2</v>
      </c>
    </row>
    <row r="26" spans="1:6">
      <c r="D26" s="5"/>
      <c r="E26" s="5"/>
    </row>
    <row r="27" spans="1:6" ht="13.9">
      <c r="A27" s="200" t="s">
        <v>280</v>
      </c>
      <c r="B27" s="34"/>
      <c r="C27" s="34"/>
      <c r="D27" s="34"/>
      <c r="E27" s="34"/>
      <c r="F27" s="34"/>
    </row>
    <row r="29" spans="1:6">
      <c r="B29" s="463" t="s">
        <v>354</v>
      </c>
      <c r="C29" s="463"/>
      <c r="D29" s="463"/>
      <c r="E29" s="463"/>
      <c r="F29" s="463"/>
    </row>
    <row r="30" spans="1:6" ht="24.5" customHeight="1">
      <c r="B30" s="467" t="s">
        <v>266</v>
      </c>
      <c r="C30" s="467"/>
      <c r="D30" s="467"/>
      <c r="E30" s="467"/>
      <c r="F30" s="467"/>
    </row>
    <row r="32" spans="1:6">
      <c r="B32" s="192" t="s">
        <v>195</v>
      </c>
      <c r="C32" s="105">
        <f>scaling_factor</f>
        <v>1</v>
      </c>
    </row>
    <row r="33" spans="2:6" ht="24.5" customHeight="1">
      <c r="B33" s="464" t="s">
        <v>196</v>
      </c>
      <c r="C33" s="464"/>
      <c r="D33" s="464"/>
      <c r="E33" s="464"/>
      <c r="F33" s="464"/>
    </row>
    <row r="34" spans="2:6">
      <c r="B34" s="44" t="s">
        <v>197</v>
      </c>
      <c r="C34" s="285">
        <f>Normalized_FCF!C8</f>
        <v>17736569087.803993</v>
      </c>
      <c r="D34" s="1" t="str">
        <f>Reporting_currency</f>
        <v>CNY</v>
      </c>
    </row>
    <row r="35" spans="2:6">
      <c r="B35" s="44"/>
      <c r="C35" s="73"/>
    </row>
    <row r="36" spans="2:6" ht="24.5" customHeight="1">
      <c r="B36" s="464" t="s">
        <v>198</v>
      </c>
      <c r="C36" s="464"/>
      <c r="D36" s="464"/>
      <c r="E36" s="464"/>
      <c r="F36" s="464"/>
    </row>
    <row r="37" spans="2:6">
      <c r="B37" s="44" t="s">
        <v>199</v>
      </c>
      <c r="C37" s="285">
        <f>Normalized_FCF!C15</f>
        <v>0</v>
      </c>
      <c r="D37" s="1" t="str">
        <f>Reporting_currency</f>
        <v>CNY</v>
      </c>
    </row>
    <row r="38" spans="2:6">
      <c r="B38" s="49" t="s">
        <v>200</v>
      </c>
      <c r="C38" s="285">
        <f>Normalized_FCF!C16</f>
        <v>0</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60656509.843866028</v>
      </c>
      <c r="D44" s="1" t="str">
        <f>Reporting_currency</f>
        <v>CNY</v>
      </c>
      <c r="E44" s="244"/>
      <c r="F44" s="244"/>
    </row>
    <row r="45" spans="2:6">
      <c r="B45" s="44" t="s">
        <v>268</v>
      </c>
      <c r="C45" s="286">
        <f>Normalized_FCF!C45</f>
        <v>-164982858.12359998</v>
      </c>
      <c r="D45" s="1" t="str">
        <f>Reporting_currency</f>
        <v>CNY</v>
      </c>
      <c r="E45" s="244"/>
      <c r="F45" s="244"/>
    </row>
    <row r="46" spans="2:6">
      <c r="B46" s="44" t="s">
        <v>203</v>
      </c>
      <c r="C46" s="285">
        <f>Normalized_FCF!C10</f>
        <v>-104326348.27973396</v>
      </c>
      <c r="D46" s="1" t="str">
        <f>Reporting_currency</f>
        <v>CNY</v>
      </c>
    </row>
    <row r="48" spans="2:6">
      <c r="B48" s="1" t="s">
        <v>211</v>
      </c>
    </row>
    <row r="49" spans="2:6">
      <c r="B49" s="44" t="s">
        <v>223</v>
      </c>
      <c r="C49" s="285">
        <f>Normalized_FCF!C13</f>
        <v>-43611495.751855388</v>
      </c>
      <c r="D49" s="1" t="str">
        <f>Reporting_currency</f>
        <v>CNY</v>
      </c>
    </row>
    <row r="51" spans="2:6">
      <c r="B51" s="464" t="s">
        <v>206</v>
      </c>
      <c r="C51" s="464"/>
      <c r="D51" s="464"/>
      <c r="E51" s="464"/>
      <c r="F51" s="464"/>
    </row>
    <row r="52" spans="2:6">
      <c r="B52" s="44" t="s">
        <v>204</v>
      </c>
      <c r="C52" s="285">
        <f>Normalized_FCF!C12</f>
        <v>-4408060684.8810644</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12844018055.588684</v>
      </c>
      <c r="D60" s="1" t="str">
        <f>Reporting_currency</f>
        <v>CNY</v>
      </c>
    </row>
    <row r="61" spans="2:6">
      <c r="B61" s="44" t="s">
        <v>213</v>
      </c>
      <c r="C61" s="285">
        <f>Normalized_FCF!C19</f>
        <v>13180570558.891336</v>
      </c>
      <c r="D61" s="1" t="str">
        <f>Reporting_currency</f>
        <v>CNY</v>
      </c>
    </row>
    <row r="62" spans="2:6">
      <c r="B62" s="204" t="s">
        <v>302</v>
      </c>
      <c r="C62" s="89">
        <f>Normalized_FCF!C124</f>
        <v>8.6609391714755957E-2</v>
      </c>
      <c r="F62" s="257"/>
    </row>
    <row r="63" spans="2:6">
      <c r="B63" s="204" t="s">
        <v>330</v>
      </c>
      <c r="C63" s="89">
        <f>Normalized_FCF!C92</f>
        <v>3.9972918077183485E-2</v>
      </c>
      <c r="E63" s="44" t="s">
        <v>321</v>
      </c>
      <c r="F63" s="258">
        <f>Normalized_FCF!C90</f>
        <v>0.51281220823452245</v>
      </c>
    </row>
    <row r="65" spans="1:6">
      <c r="B65" s="192" t="s">
        <v>323</v>
      </c>
      <c r="C65" s="264" t="s">
        <v>325</v>
      </c>
      <c r="D65" s="264" t="s">
        <v>326</v>
      </c>
    </row>
    <row r="66" spans="1:6">
      <c r="B66" s="44" t="s">
        <v>324</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475</v>
      </c>
      <c r="B71" s="34"/>
      <c r="C71" s="34"/>
      <c r="D71" s="34"/>
      <c r="E71" s="34"/>
      <c r="F71" s="34"/>
    </row>
    <row r="72" spans="1:6">
      <c r="A72" s="191"/>
    </row>
    <row r="73" spans="1:6">
      <c r="A73" s="191"/>
      <c r="B73" s="463" t="s">
        <v>476</v>
      </c>
      <c r="C73" s="463"/>
      <c r="D73" s="463"/>
      <c r="E73" s="463"/>
      <c r="F73" s="463"/>
    </row>
    <row r="74" spans="1:6">
      <c r="A74" s="191"/>
      <c r="B74" s="1" t="s">
        <v>463</v>
      </c>
    </row>
    <row r="75" spans="1:6">
      <c r="A75" s="191"/>
    </row>
    <row r="76" spans="1:6">
      <c r="A76" s="191"/>
      <c r="B76" s="192" t="s">
        <v>195</v>
      </c>
    </row>
    <row r="77" spans="1:6">
      <c r="A77" s="191"/>
      <c r="B77" s="463" t="s">
        <v>271</v>
      </c>
      <c r="C77" s="463"/>
      <c r="D77" s="463"/>
      <c r="E77" s="463"/>
      <c r="F77" s="463"/>
    </row>
    <row r="78" spans="1:6">
      <c r="A78" s="191"/>
      <c r="B78" s="1" t="s">
        <v>215</v>
      </c>
      <c r="C78" s="285">
        <f>DCF!F4</f>
        <v>-2749714302.0599999</v>
      </c>
      <c r="D78" s="1" t="str">
        <f>Reporting_currency</f>
        <v>CNY</v>
      </c>
    </row>
    <row r="79" spans="1:6">
      <c r="A79" s="191"/>
      <c r="B79" s="44" t="s">
        <v>234</v>
      </c>
      <c r="C79" s="201">
        <f>C78*scaling_factor*Exchange_Rate/Common_Shares</f>
        <v>-1.8680860870735294</v>
      </c>
      <c r="D79" s="1" t="str">
        <f>Market_currency</f>
        <v>CNY</v>
      </c>
    </row>
    <row r="80" spans="1:6">
      <c r="A80" s="191"/>
      <c r="B80" s="229" t="s">
        <v>308</v>
      </c>
      <c r="C80" s="337">
        <f>IF(BS!G31/BS!G27&gt;300%,"nm",BS!G31/BS!G27)</f>
        <v>5.8904840599867017E-2</v>
      </c>
    </row>
    <row r="81" spans="1:6">
      <c r="A81" s="191"/>
      <c r="B81" s="229" t="s">
        <v>310</v>
      </c>
      <c r="C81" s="338">
        <f>IF(BS!C50&gt;30,"nm",BS!C50)</f>
        <v>0.15503078912543219</v>
      </c>
    </row>
    <row r="82" spans="1:6">
      <c r="A82" s="191"/>
    </row>
    <row r="83" spans="1:6">
      <c r="A83" s="191"/>
      <c r="B83" s="1" t="s">
        <v>464</v>
      </c>
    </row>
    <row r="84" spans="1:6">
      <c r="A84" s="191"/>
      <c r="B84" s="1" t="s">
        <v>224</v>
      </c>
      <c r="C84" s="285">
        <f>DCF!F5</f>
        <v>25341662019.738998</v>
      </c>
      <c r="D84" s="1" t="str">
        <f>Reporting_currency</f>
        <v>CNY</v>
      </c>
    </row>
    <row r="85" spans="1:6">
      <c r="A85" s="191"/>
      <c r="B85" s="229" t="s">
        <v>222</v>
      </c>
      <c r="C85" s="291">
        <f>BS!C66</f>
        <v>35451080327.050003</v>
      </c>
      <c r="D85" s="339" t="str">
        <f>Reporting_currency</f>
        <v>CNY</v>
      </c>
    </row>
    <row r="86" spans="1:6">
      <c r="A86" s="191"/>
      <c r="B86" s="44" t="s">
        <v>235</v>
      </c>
      <c r="C86" s="201">
        <f>C84*scaling_factor*Exchange_Rate/Common_Shares</f>
        <v>17.216481802101459</v>
      </c>
      <c r="D86" s="1" t="str">
        <f>Market_currency</f>
        <v>CNY</v>
      </c>
    </row>
    <row r="87" spans="1:6">
      <c r="A87" s="191"/>
    </row>
    <row r="88" spans="1:6">
      <c r="A88" s="191"/>
      <c r="B88" s="1" t="s">
        <v>216</v>
      </c>
    </row>
    <row r="89" spans="1:6">
      <c r="A89" s="191"/>
      <c r="B89" s="1" t="s">
        <v>217</v>
      </c>
      <c r="C89" s="285">
        <f>DCF!F6</f>
        <v>1298705835.2379999</v>
      </c>
      <c r="D89" s="1" t="str">
        <f>Reporting_currency</f>
        <v>CNY</v>
      </c>
    </row>
    <row r="90" spans="1:6">
      <c r="A90" s="191"/>
      <c r="B90" s="44" t="s">
        <v>236</v>
      </c>
      <c r="C90" s="201">
        <f>C89*scaling_factor*Exchange_Rate/Common_Shares</f>
        <v>0.88230777291726681</v>
      </c>
      <c r="D90" s="1" t="str">
        <f>Market_currency</f>
        <v>CNY</v>
      </c>
    </row>
    <row r="91" spans="1:6">
      <c r="A91" s="191"/>
    </row>
    <row r="92" spans="1:6">
      <c r="A92" s="191"/>
      <c r="B92" s="44" t="s">
        <v>467</v>
      </c>
      <c r="C92" s="216">
        <f>DCF!F8</f>
        <v>16.230703487945195</v>
      </c>
      <c r="D92" s="44" t="str">
        <f>Market_currency</f>
        <v>CNY</v>
      </c>
    </row>
    <row r="94" spans="1:6" ht="13.9">
      <c r="A94" s="200" t="s">
        <v>468</v>
      </c>
      <c r="B94" s="34"/>
      <c r="C94" s="34"/>
      <c r="D94" s="34"/>
      <c r="E94" s="34"/>
      <c r="F94" s="34"/>
    </row>
    <row r="95" spans="1:6">
      <c r="A95" s="191"/>
    </row>
    <row r="96" spans="1:6" ht="11.75" customHeight="1">
      <c r="B96" s="463" t="s">
        <v>483</v>
      </c>
      <c r="C96" s="463"/>
      <c r="D96" s="463"/>
      <c r="E96" s="463"/>
      <c r="F96" s="463"/>
    </row>
    <row r="97" spans="2:6">
      <c r="B97" s="467" t="s">
        <v>482</v>
      </c>
      <c r="C97" s="467"/>
      <c r="D97" s="467"/>
      <c r="E97" s="467"/>
      <c r="F97" s="467"/>
    </row>
    <row r="98" spans="2:6">
      <c r="B98" s="467" t="s">
        <v>481</v>
      </c>
      <c r="C98" s="467"/>
      <c r="D98" s="467"/>
      <c r="E98" s="467"/>
      <c r="F98" s="467"/>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485</v>
      </c>
    </row>
    <row r="111" spans="2:6">
      <c r="B111" s="49" t="s">
        <v>466</v>
      </c>
      <c r="C111" s="216">
        <f>BS!D47</f>
        <v>12.72773462292413</v>
      </c>
      <c r="D111" s="1" t="str">
        <f>Market_currency</f>
        <v>CNY</v>
      </c>
    </row>
    <row r="112" spans="2:6">
      <c r="B112" s="44" t="s">
        <v>322</v>
      </c>
      <c r="C112" s="216">
        <f>DCF!C11</f>
        <v>190.20472081320983</v>
      </c>
      <c r="D112" s="1" t="str">
        <f>Market_currency</f>
        <v>CNY</v>
      </c>
    </row>
    <row r="114" spans="2:6" ht="24.5" customHeight="1">
      <c r="B114" s="463" t="s">
        <v>489</v>
      </c>
      <c r="C114" s="463"/>
      <c r="D114" s="463"/>
      <c r="E114" s="463"/>
      <c r="F114" s="463"/>
    </row>
    <row r="116" spans="2:6">
      <c r="B116" s="192" t="s">
        <v>486</v>
      </c>
    </row>
    <row r="117" spans="2:6" ht="12.4">
      <c r="B117" s="342" t="s">
        <v>101</v>
      </c>
      <c r="C117" s="342" t="s">
        <v>110</v>
      </c>
      <c r="D117" s="342" t="s">
        <v>219</v>
      </c>
      <c r="E117" s="342" t="s">
        <v>124</v>
      </c>
      <c r="F117" s="342" t="s">
        <v>542</v>
      </c>
    </row>
    <row r="118" spans="2:6">
      <c r="B118" s="205" t="str">
        <f>DCF!B90&amp;" ("&amp;DCF!D90&amp;"yrs)"</f>
        <v>Snowball Scenario (15yrs)</v>
      </c>
      <c r="C118" s="206">
        <f>DCF!C90</f>
        <v>0.05</v>
      </c>
      <c r="D118" s="207" t="str">
        <f>ROUND(DCF!E90,2)&amp;" "&amp;Market_currency</f>
        <v>221.73 CNY</v>
      </c>
      <c r="E118" s="208">
        <f>DCF!F90</f>
        <v>0.15</v>
      </c>
      <c r="F118" s="208">
        <f>RATE(Holding_Period,Scenarios!C$58,-DCF!E90,C$18)</f>
        <v>-5.7264664828039394E-2</v>
      </c>
    </row>
    <row r="119" spans="2:6">
      <c r="B119" s="205" t="str">
        <f>DCF!B91&amp;" ("&amp;DCF!D91&amp;"yrs)"</f>
        <v>Optimistic (15yrs)</v>
      </c>
      <c r="C119" s="198">
        <f>DCF!C91</f>
        <v>0.03</v>
      </c>
      <c r="D119" s="207" t="str">
        <f>ROUND(DCF!E91,2)&amp;" "&amp;Market_currency</f>
        <v>183.61 CNY</v>
      </c>
      <c r="E119" s="199">
        <f>DCF!F91</f>
        <v>0.15999999999999995</v>
      </c>
      <c r="F119" s="208">
        <f>RATE(Holding_Period,Scenarios!C$58,-DCF!E91,C$18)</f>
        <v>5.2933765449977585E-3</v>
      </c>
    </row>
    <row r="120" spans="2:6">
      <c r="B120" s="205" t="str">
        <f>DCF!B92&amp;" ("&amp;DCF!D92&amp;"yrs)"</f>
        <v>Base (15yrs)</v>
      </c>
      <c r="C120" s="198">
        <f>DCF!C92</f>
        <v>0.02</v>
      </c>
      <c r="D120" s="207" t="str">
        <f>ROUND(DCF!E92,2)&amp;" "&amp;Market_currency</f>
        <v>167.6 CNY</v>
      </c>
      <c r="E120" s="199">
        <f>DCF!F92</f>
        <v>0.44</v>
      </c>
      <c r="F120" s="208">
        <f>RATE(Holding_Period,Scenarios!C$58,-DCF!E92,C$18)</f>
        <v>3.707620088055634E-2</v>
      </c>
    </row>
    <row r="121" spans="2:6">
      <c r="B121" s="205" t="str">
        <f>DCF!B93&amp;" ("&amp;DCF!D93&amp;"yrs)"</f>
        <v>Pessimistic (15yrs)</v>
      </c>
      <c r="C121" s="198">
        <f>DCF!C93</f>
        <v>0.01</v>
      </c>
      <c r="D121" s="207" t="str">
        <f>ROUND(DCF!E93,2)&amp;" "&amp;Market_currency</f>
        <v>153.33 CNY</v>
      </c>
      <c r="E121" s="199">
        <f>DCF!F93</f>
        <v>0.19999999999999998</v>
      </c>
      <c r="F121" s="208">
        <f>RATE(Holding_Period,Scenarios!C$58,-DCF!E93,C$18)</f>
        <v>6.9083307477753805E-2</v>
      </c>
    </row>
    <row r="122" spans="2:6">
      <c r="B122" s="205" t="str">
        <f>DCF!B94&amp;" ("&amp;DCF!D94&amp;"yrs)"</f>
        <v>Devil's advocate (15yrs)</v>
      </c>
      <c r="C122" s="198">
        <f>DCF!C94</f>
        <v>0</v>
      </c>
      <c r="D122" s="207" t="str">
        <f>ROUND(DCF!E94,2)&amp;" "&amp;Market_currency</f>
        <v>140.61 CNY</v>
      </c>
      <c r="E122" s="199">
        <f>DCF!F94</f>
        <v>0.05</v>
      </c>
      <c r="F122" s="208">
        <f>RATE(Holding_Period,Scenarios!C$58,-DCF!E94,C$18)</f>
        <v>0.10122435665685528</v>
      </c>
    </row>
    <row r="124" spans="2:6">
      <c r="B124" s="464" t="s">
        <v>355</v>
      </c>
      <c r="C124" s="464"/>
      <c r="D124" s="464"/>
      <c r="E124" s="464"/>
      <c r="F124" s="464"/>
    </row>
    <row r="125" spans="2:6">
      <c r="B125" s="193" t="s">
        <v>218</v>
      </c>
      <c r="C125" s="197">
        <f>Scenarios!C36</f>
        <v>174.07668204091138</v>
      </c>
      <c r="D125" s="194" t="str">
        <f>Market_currency</f>
        <v>CNY</v>
      </c>
    </row>
    <row r="127" spans="2:6" ht="24.5" customHeight="1">
      <c r="B127" s="466" t="s">
        <v>356</v>
      </c>
      <c r="C127" s="466"/>
      <c r="D127" s="466"/>
      <c r="E127" s="466"/>
      <c r="F127" s="466"/>
    </row>
    <row r="129" spans="1:6" ht="13.9">
      <c r="A129" s="200" t="s">
        <v>472</v>
      </c>
      <c r="B129" s="34"/>
      <c r="C129" s="34"/>
      <c r="D129" s="34"/>
      <c r="E129" s="34"/>
      <c r="F129" s="34"/>
    </row>
    <row r="131" spans="1:6">
      <c r="B131" s="468" t="s">
        <v>285</v>
      </c>
      <c r="C131" s="468"/>
      <c r="D131" s="468"/>
      <c r="E131" s="468"/>
      <c r="F131" s="468"/>
    </row>
    <row r="132" spans="1:6">
      <c r="B132" s="463" t="s">
        <v>357</v>
      </c>
      <c r="C132" s="463"/>
      <c r="D132" s="463"/>
      <c r="E132" s="463"/>
      <c r="F132" s="463"/>
    </row>
    <row r="134" spans="1:6">
      <c r="B134" s="192" t="s">
        <v>195</v>
      </c>
    </row>
    <row r="135" spans="1:6">
      <c r="B135" s="1" t="s">
        <v>221</v>
      </c>
      <c r="C135" s="202">
        <f>E21</f>
        <v>3</v>
      </c>
    </row>
    <row r="136" spans="1:6">
      <c r="B136" s="194" t="s">
        <v>220</v>
      </c>
      <c r="C136" s="195">
        <f>Scenarios!C58</f>
        <v>4.1328000000000005</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7.5056313154301346</v>
      </c>
      <c r="D140" s="333">
        <f>Scenarios!D62</f>
        <v>79.233810669509026</v>
      </c>
      <c r="E140" s="334">
        <f>Scenarios!E62</f>
        <v>86.739441984939162</v>
      </c>
      <c r="F140" s="335">
        <f>E22</f>
        <v>0.3</v>
      </c>
    </row>
    <row r="141" spans="1:6">
      <c r="B141" s="336" t="s">
        <v>312</v>
      </c>
      <c r="C141" s="333">
        <f>Scenarios!C63</f>
        <v>8.7056666666666676</v>
      </c>
      <c r="D141" s="333">
        <f>Scenarios!D63</f>
        <v>100.73882062552742</v>
      </c>
      <c r="E141" s="334">
        <f>Scenarios!E63</f>
        <v>109.4444872921941</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10.517521633559475</v>
      </c>
      <c r="D144" s="333">
        <f>Scenarios!D66</f>
        <v>135.53515851547391</v>
      </c>
      <c r="E144" s="334">
        <f>Scenarios!E66</f>
        <v>146.05268014903339</v>
      </c>
      <c r="F144" s="335">
        <f>E24</f>
        <v>8.6999999999999994E-2</v>
      </c>
    </row>
    <row r="145" spans="1:6">
      <c r="B145" s="336" t="s">
        <v>313</v>
      </c>
      <c r="C145" s="333">
        <f>Scenarios!C67</f>
        <v>10.796424338860641</v>
      </c>
      <c r="D145" s="333">
        <f>Scenarios!D67</f>
        <v>141.10704518598044</v>
      </c>
      <c r="E145" s="334">
        <f>Scenarios!E67</f>
        <v>151.90346952484109</v>
      </c>
      <c r="F145" s="335">
        <f>Scenarios!F67</f>
        <v>7.2499999999999995E-2</v>
      </c>
    </row>
    <row r="147" spans="1:6" ht="13.9">
      <c r="A147" s="200" t="s">
        <v>473</v>
      </c>
      <c r="B147" s="34"/>
      <c r="C147" s="34"/>
      <c r="D147" s="34"/>
      <c r="E147" s="34"/>
      <c r="F147" s="34"/>
    </row>
    <row r="149" spans="1:6">
      <c r="B149" s="462" t="s">
        <v>358</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436</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27" sqref="D2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31196248208.330002</v>
      </c>
      <c r="D4" s="287">
        <v>30233301388.259998</v>
      </c>
      <c r="E4" s="287"/>
      <c r="F4" s="287"/>
      <c r="G4" s="287"/>
      <c r="H4" s="287"/>
      <c r="I4" s="287"/>
      <c r="J4" s="287"/>
      <c r="K4" s="287"/>
      <c r="L4" s="287"/>
      <c r="M4" s="287"/>
    </row>
    <row r="5" spans="2:13">
      <c r="B5" s="38" t="s">
        <v>40</v>
      </c>
      <c r="C5" s="287">
        <f>3888116183.93+4753755581.18</f>
        <v>8641871765.1100006</v>
      </c>
      <c r="D5" s="287">
        <f>3537151403.15+4133126350.68</f>
        <v>7670277753.8299999</v>
      </c>
      <c r="E5" s="287"/>
      <c r="F5" s="287"/>
      <c r="G5" s="287"/>
      <c r="H5" s="287"/>
      <c r="I5" s="287"/>
      <c r="J5" s="287"/>
      <c r="K5" s="287"/>
      <c r="L5" s="287"/>
      <c r="M5" s="287"/>
    </row>
    <row r="6" spans="2:13">
      <c r="B6" s="38" t="s">
        <v>51</v>
      </c>
      <c r="C6" s="287">
        <f>1100779964.56+C7</f>
        <v>4639162580.5499992</v>
      </c>
      <c r="D6" s="287">
        <f>1139480677.23+D7</f>
        <v>5113906204.1499996</v>
      </c>
      <c r="E6" s="287"/>
      <c r="F6" s="287"/>
      <c r="G6" s="287"/>
      <c r="H6" s="287"/>
      <c r="I6" s="287"/>
      <c r="J6" s="287"/>
      <c r="K6" s="287"/>
      <c r="L6" s="287"/>
      <c r="M6" s="287"/>
    </row>
    <row r="7" spans="2:13">
      <c r="B7" s="66" t="s">
        <v>58</v>
      </c>
      <c r="C7" s="288">
        <v>3538382615.9899998</v>
      </c>
      <c r="D7" s="288">
        <v>3974425526.9200001</v>
      </c>
      <c r="E7" s="288"/>
      <c r="F7" s="288"/>
      <c r="G7" s="288"/>
      <c r="H7" s="288"/>
      <c r="I7" s="288"/>
      <c r="J7" s="288"/>
      <c r="K7" s="288"/>
      <c r="L7" s="288"/>
      <c r="M7" s="288"/>
    </row>
    <row r="8" spans="2:13">
      <c r="B8" s="38" t="s">
        <v>46</v>
      </c>
      <c r="C8" s="287">
        <v>260975311.09999999</v>
      </c>
      <c r="D8" s="287">
        <v>225955797.33000001</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305448236.36000001</v>
      </c>
      <c r="D12" s="287">
        <v>488003010.93000001</v>
      </c>
      <c r="E12" s="287"/>
      <c r="F12" s="287"/>
      <c r="G12" s="287"/>
      <c r="H12" s="287"/>
      <c r="I12" s="287"/>
      <c r="J12" s="287"/>
      <c r="K12" s="287"/>
      <c r="L12" s="287"/>
      <c r="M12" s="287"/>
    </row>
    <row r="13" spans="2:13">
      <c r="B13" s="38" t="s">
        <v>64</v>
      </c>
      <c r="C13" s="287">
        <v>797923434.29999995</v>
      </c>
      <c r="D13" s="287">
        <v>864006165.58000004</v>
      </c>
      <c r="E13" s="287"/>
      <c r="F13" s="287"/>
      <c r="G13" s="287"/>
      <c r="H13" s="287"/>
      <c r="I13" s="287"/>
      <c r="J13" s="287"/>
      <c r="K13" s="287"/>
      <c r="L13" s="287"/>
      <c r="M13" s="287"/>
    </row>
    <row r="14" spans="2:13">
      <c r="B14" s="38" t="s">
        <v>47</v>
      </c>
      <c r="C14" s="287">
        <v>4707520248.1499996</v>
      </c>
      <c r="D14" s="287">
        <v>4517297533.2299995</v>
      </c>
      <c r="E14" s="287"/>
      <c r="F14" s="287"/>
      <c r="G14" s="287"/>
      <c r="H14" s="287"/>
      <c r="I14" s="287"/>
      <c r="J14" s="287"/>
      <c r="K14" s="287"/>
      <c r="L14" s="287"/>
      <c r="M14" s="287"/>
    </row>
    <row r="15" spans="2:13">
      <c r="B15" s="41" t="s">
        <v>39</v>
      </c>
      <c r="C15" s="289">
        <v>13497778570.889999</v>
      </c>
      <c r="D15" s="289">
        <v>13288660023.209999</v>
      </c>
      <c r="E15" s="289"/>
      <c r="F15" s="289"/>
      <c r="G15" s="289"/>
      <c r="H15" s="289"/>
      <c r="I15" s="289"/>
      <c r="J15" s="289"/>
      <c r="K15" s="289"/>
      <c r="L15" s="289"/>
      <c r="M15" s="289"/>
    </row>
    <row r="16" spans="2:13">
      <c r="B16" s="27" t="s">
        <v>41</v>
      </c>
      <c r="C16" s="287">
        <v>24792094.879999999</v>
      </c>
      <c r="D16" s="287">
        <v>42265322.619999997</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19181768363.650002</v>
      </c>
      <c r="D22" s="287">
        <v>10648364935.459999</v>
      </c>
      <c r="E22" s="287"/>
      <c r="F22" s="287"/>
      <c r="G22" s="287"/>
      <c r="H22" s="287"/>
      <c r="I22" s="287"/>
      <c r="J22" s="287"/>
      <c r="K22" s="287"/>
      <c r="L22" s="287"/>
      <c r="M22" s="287"/>
    </row>
    <row r="23" spans="2:13">
      <c r="B23" s="26" t="s">
        <v>288</v>
      </c>
      <c r="C23" s="287">
        <v>-1382505932.55</v>
      </c>
      <c r="D23" s="287">
        <v>-1268117853</v>
      </c>
      <c r="E23" s="287"/>
      <c r="F23" s="287"/>
      <c r="G23" s="287"/>
      <c r="H23" s="287"/>
      <c r="I23" s="287"/>
      <c r="J23" s="287"/>
      <c r="K23" s="287"/>
      <c r="L23" s="287"/>
      <c r="M23" s="287"/>
    </row>
    <row r="24" spans="2:13">
      <c r="B24" s="26" t="s">
        <v>287</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26</v>
      </c>
      <c r="C27" s="94" t="s">
        <v>544</v>
      </c>
    </row>
    <row r="28" spans="2:13">
      <c r="B28" s="25" t="s">
        <v>22</v>
      </c>
      <c r="C28" s="270">
        <f>BS!C4</f>
        <v>1470111714.1299999</v>
      </c>
      <c r="D28" s="287">
        <f>5938171007.93+17461378.98</f>
        <v>5955632386.9099998</v>
      </c>
      <c r="E28" s="287"/>
      <c r="F28" s="287"/>
      <c r="G28" s="287"/>
      <c r="H28" s="287"/>
      <c r="I28" s="287"/>
      <c r="J28" s="287"/>
      <c r="K28" s="287"/>
      <c r="L28" s="287"/>
      <c r="M28" s="287"/>
    </row>
    <row r="29" spans="2:13">
      <c r="B29" s="25" t="s">
        <v>30</v>
      </c>
      <c r="C29" s="270">
        <f>BS!C6</f>
        <v>13784525369.110001</v>
      </c>
      <c r="D29" s="287">
        <v>11622043947.459999</v>
      </c>
      <c r="E29" s="287"/>
      <c r="F29" s="287"/>
      <c r="G29" s="287"/>
      <c r="H29" s="287"/>
      <c r="I29" s="287"/>
      <c r="J29" s="287"/>
      <c r="K29" s="287"/>
      <c r="L29" s="287"/>
      <c r="M29" s="287"/>
    </row>
    <row r="30" spans="2:13">
      <c r="B30" s="28" t="s">
        <v>38</v>
      </c>
      <c r="C30" s="271">
        <f>BS!C33+BS!C42</f>
        <v>23509629209.560001</v>
      </c>
      <c r="D30" s="289">
        <v>21762747471.75</v>
      </c>
      <c r="E30" s="289"/>
      <c r="F30" s="289"/>
      <c r="G30" s="289"/>
      <c r="H30" s="289"/>
      <c r="I30" s="289"/>
      <c r="J30" s="289"/>
      <c r="K30" s="289"/>
      <c r="L30" s="289"/>
      <c r="M30" s="289"/>
    </row>
    <row r="31" spans="2:13">
      <c r="B31" s="28" t="s">
        <v>28</v>
      </c>
      <c r="C31" s="271">
        <f>BS!G27</f>
        <v>46680616975.75</v>
      </c>
      <c r="D31" s="289">
        <v>41531707729.849998</v>
      </c>
      <c r="E31" s="289"/>
      <c r="F31" s="289"/>
      <c r="G31" s="289"/>
      <c r="H31" s="289"/>
      <c r="I31" s="289"/>
      <c r="J31" s="289"/>
      <c r="K31" s="289"/>
      <c r="L31" s="289"/>
      <c r="M31" s="289"/>
    </row>
    <row r="32" spans="2:13">
      <c r="B32" s="25" t="s">
        <v>143</v>
      </c>
      <c r="C32" s="270">
        <f>BS!G28</f>
        <v>140066503.38999999</v>
      </c>
      <c r="D32" s="287">
        <v>140297234.96000001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83</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16077566.15+1411989312.86+42044835.12</f>
        <v>1470111714.1299999</v>
      </c>
      <c r="D4" s="231">
        <v>0.6</v>
      </c>
      <c r="E4" s="24"/>
      <c r="F4" s="4" t="s">
        <v>74</v>
      </c>
      <c r="G4" s="18">
        <v>35451080327.050003</v>
      </c>
      <c r="H4" s="231">
        <v>0.9</v>
      </c>
    </row>
    <row r="5" spans="2:8" ht="15" customHeight="1">
      <c r="B5" s="1" t="s">
        <v>31</v>
      </c>
      <c r="C5" s="18">
        <v>0</v>
      </c>
      <c r="D5" s="231">
        <v>0.6</v>
      </c>
      <c r="E5" s="24"/>
      <c r="F5" s="1" t="s">
        <v>27</v>
      </c>
      <c r="G5" s="18">
        <v>0</v>
      </c>
      <c r="H5" s="231">
        <v>0.7</v>
      </c>
    </row>
    <row r="6" spans="2:8" ht="15" customHeight="1">
      <c r="B6" s="4" t="s">
        <v>8</v>
      </c>
      <c r="C6" s="18">
        <v>13784525369.110001</v>
      </c>
      <c r="D6" s="231">
        <v>0.5</v>
      </c>
      <c r="E6" s="24"/>
      <c r="F6" s="4" t="s">
        <v>147</v>
      </c>
      <c r="G6" s="18">
        <v>0</v>
      </c>
      <c r="H6" s="231">
        <v>0.6</v>
      </c>
    </row>
    <row r="7" spans="2:8" ht="15" customHeight="1">
      <c r="B7" s="1" t="s">
        <v>66</v>
      </c>
      <c r="C7" s="18">
        <v>0</v>
      </c>
      <c r="D7" s="231">
        <v>0.6</v>
      </c>
      <c r="E7" s="24"/>
      <c r="F7" s="4" t="s">
        <v>148</v>
      </c>
      <c r="G7" s="18">
        <v>1610560917.24</v>
      </c>
      <c r="H7" s="231">
        <v>0.6</v>
      </c>
    </row>
    <row r="8" spans="2:8" ht="15" customHeight="1">
      <c r="B8" s="1" t="s">
        <v>144</v>
      </c>
      <c r="C8" s="18">
        <v>0</v>
      </c>
      <c r="D8" s="231">
        <v>0.6</v>
      </c>
      <c r="E8" s="24"/>
      <c r="F8" s="1" t="s">
        <v>149</v>
      </c>
      <c r="G8" s="18">
        <v>0</v>
      </c>
      <c r="H8" s="231">
        <v>0.6</v>
      </c>
    </row>
    <row r="9" spans="2:8" ht="15" customHeight="1">
      <c r="B9" s="4" t="s">
        <v>23</v>
      </c>
      <c r="C9" s="18">
        <v>228470687.43000001</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44247521.170000002</v>
      </c>
      <c r="D11" s="231">
        <v>0.05</v>
      </c>
      <c r="H11" s="232"/>
    </row>
    <row r="12" spans="2:8" ht="15" customHeight="1">
      <c r="B12" s="77" t="s">
        <v>69</v>
      </c>
      <c r="C12" s="78">
        <f>SUM(C4:C11)</f>
        <v>15527355291.84</v>
      </c>
      <c r="D12" s="19">
        <f>C4*D4+C5*D5+C9*D9+C6*D6+C8*D8+C7*D7+C10*D10+C11*D11</f>
        <v>7799389157.8345003</v>
      </c>
      <c r="F12" s="77" t="s">
        <v>67</v>
      </c>
      <c r="G12" s="78">
        <f>SUM(G4:G10)</f>
        <v>37061641244.290001</v>
      </c>
      <c r="H12" s="19">
        <f>G4*H4+G5*H5+G6*H6+G7*H7+G8*H8+G9*H9+G10*H10</f>
        <v>32872308844.689007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8815147343.06+1165735552.56+24433390.1</f>
        <v>10005316285.719999</v>
      </c>
      <c r="D19" s="231">
        <v>0.1</v>
      </c>
      <c r="F19" s="4" t="s">
        <v>152</v>
      </c>
      <c r="G19" s="18">
        <f>2836552287.45+438338355.95</f>
        <v>3274890643.3999996</v>
      </c>
      <c r="H19" s="231">
        <v>0.1</v>
      </c>
    </row>
    <row r="20" spans="2:8" ht="15" customHeight="1">
      <c r="B20" s="4" t="s">
        <v>16</v>
      </c>
      <c r="C20" s="18">
        <v>0</v>
      </c>
      <c r="D20" s="231">
        <v>0.05</v>
      </c>
      <c r="F20" s="4" t="s">
        <v>149</v>
      </c>
      <c r="G20" s="18">
        <v>0</v>
      </c>
      <c r="H20" s="231">
        <v>0.2</v>
      </c>
    </row>
    <row r="21" spans="2:8" ht="15" customHeight="1">
      <c r="B21" s="4" t="s">
        <v>17</v>
      </c>
      <c r="C21" s="18">
        <v>3452040130.0700002</v>
      </c>
      <c r="D21" s="231">
        <v>0.05</v>
      </c>
      <c r="F21" s="1" t="s">
        <v>150</v>
      </c>
      <c r="G21" s="18">
        <v>48802205.539999999</v>
      </c>
      <c r="H21" s="231">
        <v>0.1</v>
      </c>
    </row>
    <row r="22" spans="2:8" ht="15" customHeight="1">
      <c r="B22" s="4" t="s">
        <v>18</v>
      </c>
      <c r="C22" s="18">
        <v>229979417.63</v>
      </c>
      <c r="D22" s="231">
        <v>0.9</v>
      </c>
      <c r="H22" s="232"/>
    </row>
    <row r="23" spans="2:8" ht="15" customHeight="1">
      <c r="B23" s="4" t="s">
        <v>19</v>
      </c>
      <c r="C23" s="18">
        <f>1322375.9+588898590.92</f>
        <v>590220966.81999993</v>
      </c>
      <c r="D23" s="231">
        <v>0</v>
      </c>
      <c r="H23" s="232"/>
    </row>
    <row r="24" spans="2:8" ht="15" customHeight="1">
      <c r="B24" s="77" t="s">
        <v>70</v>
      </c>
      <c r="C24" s="78">
        <f>SUM(C15:C23)</f>
        <v>14277556800.239998</v>
      </c>
      <c r="D24" s="19">
        <f>C15*D15+C16*D16+C18*D18+C17*D17+C19*D19+C20*D20+C21*D21+C22*D22+C23*D23</f>
        <v>1380115110.9425001</v>
      </c>
      <c r="F24" s="77" t="s">
        <v>68</v>
      </c>
      <c r="G24" s="78">
        <f>SUM(G15:G21)</f>
        <v>3323692848.9399996</v>
      </c>
      <c r="H24" s="19">
        <f>G15*H15+G16*H16+G17*H17+G18*H18+G19*H19+G20*H20+G21*H21</f>
        <v>332369284.89399999</v>
      </c>
    </row>
    <row r="26" spans="2:8" ht="15" customHeight="1">
      <c r="B26" s="16" t="s">
        <v>169</v>
      </c>
      <c r="C26" s="164" t="s">
        <v>113</v>
      </c>
      <c r="F26" s="166" t="s">
        <v>165</v>
      </c>
      <c r="G26" s="167" t="s">
        <v>113</v>
      </c>
      <c r="H26" s="168" t="s">
        <v>33</v>
      </c>
    </row>
    <row r="27" spans="2:8" ht="15" customHeight="1">
      <c r="B27" s="4" t="s">
        <v>3</v>
      </c>
      <c r="C27" s="18">
        <v>0</v>
      </c>
      <c r="F27" s="169" t="s">
        <v>28</v>
      </c>
      <c r="G27" s="82">
        <f>G32-G30</f>
        <v>46680616975.75</v>
      </c>
      <c r="H27" s="170">
        <f>H32-G30</f>
        <v>18874553188.800007</v>
      </c>
    </row>
    <row r="28" spans="2:8" ht="15" customHeight="1">
      <c r="B28" s="4" t="s">
        <v>4</v>
      </c>
      <c r="C28" s="18">
        <v>0</v>
      </c>
      <c r="F28" s="171" t="s">
        <v>209</v>
      </c>
      <c r="G28" s="287">
        <v>140066503.38999999</v>
      </c>
      <c r="H28" s="170"/>
    </row>
    <row r="29" spans="2:8" ht="15" customHeight="1">
      <c r="B29" s="4" t="s">
        <v>5</v>
      </c>
      <c r="C29" s="18">
        <v>0</v>
      </c>
      <c r="F29" s="172" t="s">
        <v>72</v>
      </c>
      <c r="G29" s="14">
        <f>G27-G28</f>
        <v>46540550472.360001</v>
      </c>
      <c r="H29" s="170">
        <f>H27-G28</f>
        <v>18734486685.410007</v>
      </c>
    </row>
    <row r="30" spans="2:8" ht="15" customHeight="1">
      <c r="B30" s="2" t="s">
        <v>6</v>
      </c>
      <c r="C30" s="18">
        <v>0</v>
      </c>
      <c r="F30" s="169" t="s">
        <v>21</v>
      </c>
      <c r="G30" s="82">
        <f>C33+C42</f>
        <v>23509629209.560001</v>
      </c>
      <c r="H30" s="170"/>
    </row>
    <row r="31" spans="2:8" ht="15" customHeight="1">
      <c r="B31" s="77" t="s">
        <v>172</v>
      </c>
      <c r="C31" s="78">
        <f>SUM(C27:C30)</f>
        <v>0</v>
      </c>
      <c r="F31" s="172" t="s">
        <v>73</v>
      </c>
      <c r="G31" s="173">
        <f>C31+C40</f>
        <v>2749714302.0599999</v>
      </c>
      <c r="H31" s="170"/>
    </row>
    <row r="32" spans="2:8" ht="15" customHeight="1">
      <c r="B32" s="4" t="s">
        <v>7</v>
      </c>
      <c r="C32" s="20">
        <f>C33-C31</f>
        <v>20518442745.68</v>
      </c>
      <c r="F32" s="174" t="s">
        <v>71</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29804912092.079998</v>
      </c>
      <c r="H35" s="182">
        <f>D12+D24</f>
        <v>9179504268.7770004</v>
      </c>
    </row>
    <row r="36" spans="2:8" ht="15" customHeight="1">
      <c r="B36" s="4" t="s">
        <v>11</v>
      </c>
      <c r="C36" s="18">
        <v>2728700000</v>
      </c>
      <c r="F36" s="172" t="s">
        <v>166</v>
      </c>
      <c r="G36" s="173">
        <f>C4+C15</f>
        <v>1470111714.1299999</v>
      </c>
      <c r="H36" s="177"/>
    </row>
    <row r="37" spans="2:8" ht="15" customHeight="1">
      <c r="B37" s="4" t="s">
        <v>12</v>
      </c>
      <c r="C37" s="18">
        <v>21014302.059999999</v>
      </c>
      <c r="F37" s="172" t="s">
        <v>167</v>
      </c>
      <c r="G37" s="173">
        <f>C6</f>
        <v>13784525369.110001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10005316285.719999</v>
      </c>
      <c r="H39" s="170">
        <f>C7*D7+C17*D17+C19*D19+C20*D20</f>
        <v>1000531628.572</v>
      </c>
    </row>
    <row r="40" spans="2:8" ht="15" customHeight="1">
      <c r="B40" s="77" t="s">
        <v>173</v>
      </c>
      <c r="C40" s="78">
        <f>SUM(C36:C39)</f>
        <v>2749714302.0599999</v>
      </c>
      <c r="F40" s="181" t="s">
        <v>115</v>
      </c>
      <c r="G40" s="175">
        <f>G12+G24</f>
        <v>40385334093.230003</v>
      </c>
      <c r="H40" s="182">
        <f>H12+H24</f>
        <v>33204678129.583008</v>
      </c>
    </row>
    <row r="41" spans="2:8" ht="15" customHeight="1">
      <c r="B41" s="4" t="s">
        <v>15</v>
      </c>
      <c r="C41" s="20">
        <f>C42-C40</f>
        <v>241472161.82000017</v>
      </c>
      <c r="F41" s="172" t="s">
        <v>160</v>
      </c>
      <c r="G41" s="173">
        <f>C70</f>
        <v>35451080327.050003</v>
      </c>
      <c r="H41" s="182">
        <f>H40-H42</f>
        <v>31905972294.345009</v>
      </c>
    </row>
    <row r="42" spans="2:8" ht="15" customHeight="1">
      <c r="B42" s="80" t="s">
        <v>20</v>
      </c>
      <c r="C42" s="81">
        <v>2991186463.8800001</v>
      </c>
      <c r="F42" s="183" t="s">
        <v>161</v>
      </c>
      <c r="G42" s="184">
        <f>C82</f>
        <v>4934253766.1799994</v>
      </c>
      <c r="H42" s="185">
        <f>D82</f>
        <v>1298705835.2379999</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0.15503078912543219</v>
      </c>
      <c r="D50" s="92">
        <f>G31/Normalized_FCF!G8</f>
        <v>0.15575377516440472</v>
      </c>
      <c r="F50" s="223"/>
    </row>
    <row r="51" spans="2:8" ht="15" customHeight="1">
      <c r="B51" s="1" t="s">
        <v>146</v>
      </c>
      <c r="C51" s="163"/>
      <c r="D51" s="89">
        <f>G29/G32</f>
        <v>0.66306293255458615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0.59508879049896934</v>
      </c>
      <c r="D54" s="89">
        <f>Normalized_FCF!G8/G35</f>
        <v>0.59232647615361456</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0.14254567877287194</v>
      </c>
      <c r="F59" s="223"/>
    </row>
    <row r="60" spans="2:8" ht="15" customHeight="1">
      <c r="F60" s="223"/>
    </row>
    <row r="61" spans="2:8" ht="15" customHeight="1">
      <c r="B61" s="143" t="s">
        <v>231</v>
      </c>
      <c r="C61" s="210" t="s">
        <v>114</v>
      </c>
      <c r="D61" s="179" t="s">
        <v>91</v>
      </c>
      <c r="F61" s="223"/>
    </row>
    <row r="62" spans="2:8" ht="15" customHeight="1">
      <c r="B62" s="1" t="s">
        <v>210</v>
      </c>
      <c r="C62" s="89">
        <f>IF(G28&lt;=0,0,G28/G29)</f>
        <v>3.0095583736849908E-3</v>
      </c>
      <c r="D62" s="89">
        <f>G28/G29</f>
        <v>3.0095583736849908E-3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35451080327.050003</v>
      </c>
      <c r="D66" s="73">
        <f>C66-D75</f>
        <v>25341662019.738998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35451080327.050003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-1691763929.2380002</v>
      </c>
      <c r="D73" s="285">
        <f>(Normalized_FCF!C26+Normalized_FCF!C35-Normalized_FCF!C89)/12</f>
        <v>-1684903051.2185009</v>
      </c>
      <c r="F73" s="1" t="s">
        <v>278</v>
      </c>
    </row>
    <row r="74" spans="2:6" ht="15" customHeight="1">
      <c r="B74" s="227" t="s">
        <v>259</v>
      </c>
      <c r="C74" s="228">
        <f>-$C$66/C73</f>
        <v>20.955098825766893</v>
      </c>
      <c r="D74" s="228">
        <f>-$C$66/D73</f>
        <v>21.040427401097187</v>
      </c>
      <c r="F74" s="223" t="s">
        <v>257</v>
      </c>
    </row>
    <row r="75" spans="2:6" ht="15" customHeight="1">
      <c r="B75" s="77" t="s">
        <v>258</v>
      </c>
      <c r="C75" s="261"/>
      <c r="D75" s="262">
        <f>MAX(-D73*D76,G5)</f>
        <v>10109418307.311005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1610560917.24</v>
      </c>
      <c r="D79" s="73">
        <f>G7*H7+G17*H17</f>
        <v>966336550.34399998</v>
      </c>
      <c r="F79" s="223"/>
    </row>
    <row r="80" spans="2:6" ht="15" customHeight="1">
      <c r="B80" s="102" t="s">
        <v>152</v>
      </c>
      <c r="C80" s="19">
        <f>G19</f>
        <v>3274890643.3999996</v>
      </c>
      <c r="D80" s="73">
        <f>G19*H19</f>
        <v>327489064.33999997</v>
      </c>
      <c r="F80" s="223"/>
    </row>
    <row r="81" spans="2:8" ht="15" customHeight="1">
      <c r="B81" s="102" t="s">
        <v>150</v>
      </c>
      <c r="C81" s="19">
        <f>G9+G21</f>
        <v>48802205.539999999</v>
      </c>
      <c r="D81" s="73">
        <f>G9*H9+G21*H21</f>
        <v>4880220.5540000005</v>
      </c>
      <c r="F81" s="223"/>
    </row>
    <row r="82" spans="2:8" ht="15" customHeight="1">
      <c r="B82" s="77" t="s">
        <v>159</v>
      </c>
      <c r="C82" s="78">
        <f>SUM(C79:C81)</f>
        <v>4934253766.1799994</v>
      </c>
      <c r="D82" s="78">
        <f>SUM(D79:D81)</f>
        <v>1298705835.2379999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-2749714302.0599999</v>
      </c>
      <c r="D86" s="201">
        <f>C86*scaling_factor/Common_Shares</f>
        <v>-1.8680860870735294</v>
      </c>
      <c r="E86" s="214" t="str">
        <f>Market_currency</f>
        <v>CNY</v>
      </c>
    </row>
    <row r="87" spans="2:8" ht="15" customHeight="1">
      <c r="B87" s="212" t="s">
        <v>240</v>
      </c>
      <c r="C87" s="73">
        <f>DCF!F5*Exchange_Rate</f>
        <v>25341662019.738998</v>
      </c>
      <c r="D87" s="201">
        <f>C87*scaling_factor/Common_Shares</f>
        <v>17.216481802101459</v>
      </c>
      <c r="E87" s="214" t="str">
        <f>Market_currency</f>
        <v>CNY</v>
      </c>
    </row>
    <row r="88" spans="2:8" ht="15" customHeight="1">
      <c r="B88" s="213" t="s">
        <v>159</v>
      </c>
      <c r="C88" s="73">
        <f>DCF!F6*Exchange_Rate</f>
        <v>1298705835.2379999</v>
      </c>
      <c r="D88" s="201">
        <f>C88*scaling_factor/Common_Shares</f>
        <v>0.88230777291726681</v>
      </c>
      <c r="E88" s="214" t="str">
        <f>Market_currency</f>
        <v>CNY</v>
      </c>
    </row>
    <row r="89" spans="2:8" ht="15" customHeight="1">
      <c r="B89" s="77" t="s">
        <v>244</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87</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3.9972918077183485E-2</v>
      </c>
      <c r="E92" s="237"/>
      <c r="G92" s="22">
        <f t="shared" ref="G92:Q92" si="38">IF(G$4="","",(G88*(1-dividend_tax_rate))/Market_Price)</f>
        <v>3.9972918077183485E-2</v>
      </c>
      <c r="H92" s="22">
        <f t="shared" si="38"/>
        <v>4.7007159299738852E-2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8.6609391714755957E-2</v>
      </c>
      <c r="D124" s="26"/>
      <c r="E124" s="234"/>
      <c r="F124" s="26"/>
      <c r="G124" s="74">
        <f t="shared" ref="G124" si="49">IF(G$4="","",G123/Market_Price)</f>
        <v>8.4397908724631668E-2</v>
      </c>
      <c r="H124" s="74">
        <f t="shared" ref="H124" si="50">IF(H$4="","",H123/Market_Price)</f>
        <v>8.1624703375546587E-2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8.8693762254217795E-2</v>
      </c>
      <c r="H125" s="22">
        <f>IF(H$4="","",(Data!D47*$C$3)/(Market_Price*Common_Shares))</f>
        <v>8.7319646457794983E-2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13180570558.891336</v>
      </c>
      <c r="D4" t="str">
        <f>Reporting_currency</f>
        <v>CNY</v>
      </c>
      <c r="E4" s="135" t="s">
        <v>429</v>
      </c>
      <c r="F4" s="275">
        <f>-BS!G31</f>
        <v>-2749714302.0599999</v>
      </c>
      <c r="G4" t="str">
        <f>Reporting_currency</f>
        <v>CNY</v>
      </c>
      <c r="H4" s="308" t="s">
        <v>392</v>
      </c>
      <c r="I4" s="305">
        <f>Normalized_FCF!C4</f>
        <v>31196248208.330002</v>
      </c>
      <c r="J4" s="305"/>
    </row>
    <row r="5" spans="2:15">
      <c r="B5" s="187" t="s">
        <v>105</v>
      </c>
      <c r="C5" s="188">
        <f>Equity_Cost</f>
        <v>7.2499999999999995E-2</v>
      </c>
      <c r="E5" s="135" t="s">
        <v>430</v>
      </c>
      <c r="F5" s="275">
        <f>BS!D66</f>
        <v>25341662019.738998</v>
      </c>
      <c r="G5" t="str">
        <f>Reporting_currency</f>
        <v>CNY</v>
      </c>
      <c r="H5" s="308" t="s">
        <v>393</v>
      </c>
      <c r="I5" s="305">
        <f>Normalized_FCF!C7</f>
        <v>-1100779964.5599995</v>
      </c>
      <c r="J5" s="305"/>
    </row>
    <row r="6" spans="2:15" ht="13.25" customHeight="1">
      <c r="B6" s="136" t="s">
        <v>194</v>
      </c>
      <c r="C6" s="283">
        <f>(C4*(1+Terminal_Growth))/(Equity_Cost-Terminal_Growth)</f>
        <v>256079656572.74603</v>
      </c>
      <c r="D6" t="str">
        <f>Reporting_currency</f>
        <v>CNY</v>
      </c>
      <c r="E6" s="187" t="s">
        <v>431</v>
      </c>
      <c r="F6" s="284">
        <f>BS!H42</f>
        <v>1298705835.2379999</v>
      </c>
      <c r="G6" t="str">
        <f>Reporting_currency</f>
        <v>CNY</v>
      </c>
      <c r="H6" s="308" t="s">
        <v>414</v>
      </c>
      <c r="I6" s="305">
        <f>I7+I8</f>
        <v>-104326348.27973396</v>
      </c>
      <c r="J6" s="305"/>
      <c r="N6" s="135"/>
    </row>
    <row r="7" spans="2:15" ht="12.75" customHeight="1">
      <c r="B7" s="318" t="s">
        <v>428</v>
      </c>
      <c r="C7" s="275">
        <f>F7</f>
        <v>23890653552.916996</v>
      </c>
      <c r="E7" s="140" t="s">
        <v>422</v>
      </c>
      <c r="F7" s="283">
        <f>SUM(F4:F6)</f>
        <v>23890653552.916996</v>
      </c>
      <c r="G7" t="str">
        <f>Reporting_currency</f>
        <v>CNY</v>
      </c>
      <c r="H7" s="312" t="s">
        <v>415</v>
      </c>
      <c r="I7" s="313">
        <f>Normalized_FCF!C9</f>
        <v>0</v>
      </c>
      <c r="J7" s="313"/>
      <c r="N7" s="304"/>
      <c r="O7" s="304"/>
    </row>
    <row r="8" spans="2:15" ht="13.15">
      <c r="B8" s="136" t="s">
        <v>424</v>
      </c>
      <c r="C8" s="283">
        <f>C6+C7</f>
        <v>279970310125.66302</v>
      </c>
      <c r="D8" t="str">
        <f>Reporting_currency</f>
        <v>CNY</v>
      </c>
      <c r="E8" s="140" t="s">
        <v>462</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425</v>
      </c>
      <c r="C10" s="283">
        <f>C8*Exchange_Rate</f>
        <v>279970310125.66302</v>
      </c>
      <c r="D10" t="str">
        <f>Market_currency</f>
        <v>CNY</v>
      </c>
      <c r="H10" s="308" t="s">
        <v>395</v>
      </c>
      <c r="I10" s="306">
        <f>Normalized_FCF!C41</f>
        <v>0.25</v>
      </c>
      <c r="N10" s="304"/>
      <c r="O10" s="304"/>
    </row>
    <row r="11" spans="2:15" ht="13.15">
      <c r="B11" s="136" t="s">
        <v>423</v>
      </c>
      <c r="C11" s="108">
        <f>(C10*scaling_factor)/Common_Shares</f>
        <v>190.20472081320983</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15</v>
      </c>
      <c r="E15" s="308" t="str">
        <f>IF(F14="II","Change year","Terminal Year")</f>
        <v>Terminal Year</v>
      </c>
      <c r="F15" s="310">
        <f>IF(F14="II",_xlfn.CEILING.MATH(C15/2),C15+1)</f>
        <v>16</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0.56520395086535147</v>
      </c>
      <c r="E17" s="308" t="s">
        <v>548</v>
      </c>
      <c r="F17" s="311">
        <f>Scenarios!C40</f>
        <v>0.56520395086535147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173.55524443059508</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I</v>
      </c>
      <c r="B26" s="117">
        <v>6</v>
      </c>
      <c r="C26" s="277">
        <f t="shared" si="5"/>
        <v>35936471632.093979</v>
      </c>
      <c r="D26" s="299">
        <f t="shared" si="1"/>
        <v>2.38559171477595E-2</v>
      </c>
      <c r="E26" s="299">
        <f t="shared" si="6"/>
        <v>0.56520395086535147</v>
      </c>
      <c r="F26" s="277">
        <f t="shared" si="7"/>
        <v>20311435746.620144</v>
      </c>
      <c r="G26" s="299">
        <f t="shared" si="2"/>
        <v>0</v>
      </c>
      <c r="H26" s="277">
        <f t="shared" si="8"/>
        <v>15183338612.427582</v>
      </c>
      <c r="I26" s="299">
        <f t="shared" si="9"/>
        <v>2.3855917147759476E-2</v>
      </c>
      <c r="J26" s="299">
        <f t="shared" si="10"/>
        <v>0.4225049906921779</v>
      </c>
      <c r="K26" s="119">
        <f t="shared" si="3"/>
        <v>0.65707689293158289</v>
      </c>
      <c r="L26" s="277">
        <f t="shared" si="4"/>
        <v>9976620959.7820473</v>
      </c>
    </row>
    <row r="27" spans="1:21">
      <c r="A27" s="302" t="str">
        <f t="shared" si="0"/>
        <v>I</v>
      </c>
      <c r="B27" s="117">
        <v>7</v>
      </c>
      <c r="C27" s="277">
        <f t="shared" si="5"/>
        <v>36793769121.932022</v>
      </c>
      <c r="D27" s="299">
        <f t="shared" si="1"/>
        <v>2.38559171477595E-2</v>
      </c>
      <c r="E27" s="299">
        <f t="shared" si="6"/>
        <v>0.56520395086535147</v>
      </c>
      <c r="F27" s="277">
        <f t="shared" si="7"/>
        <v>20795983674.943554</v>
      </c>
      <c r="G27" s="299">
        <f t="shared" si="2"/>
        <v>0</v>
      </c>
      <c r="H27" s="277">
        <f t="shared" si="8"/>
        <v>15545551080.392033</v>
      </c>
      <c r="I27" s="299">
        <f t="shared" si="9"/>
        <v>2.3855917147759476E-2</v>
      </c>
      <c r="J27" s="299">
        <f t="shared" si="10"/>
        <v>0.42250499069217795</v>
      </c>
      <c r="K27" s="119">
        <f t="shared" si="3"/>
        <v>0.61265910762851561</v>
      </c>
      <c r="L27" s="277">
        <f t="shared" si="4"/>
        <v>9524123452.5064888</v>
      </c>
    </row>
    <row r="28" spans="1:21">
      <c r="A28" s="302" t="str">
        <f t="shared" si="0"/>
        <v>I</v>
      </c>
      <c r="B28" s="117">
        <v>8</v>
      </c>
      <c r="C28" s="277">
        <f t="shared" si="5"/>
        <v>37671518229.658623</v>
      </c>
      <c r="D28" s="299">
        <f t="shared" si="1"/>
        <v>2.38559171477595E-2</v>
      </c>
      <c r="E28" s="299">
        <f t="shared" si="6"/>
        <v>0.56520395086535147</v>
      </c>
      <c r="F28" s="277">
        <f t="shared" si="7"/>
        <v>21292090938.499165</v>
      </c>
      <c r="G28" s="299">
        <f t="shared" si="2"/>
        <v>0</v>
      </c>
      <c r="H28" s="277">
        <f t="shared" si="8"/>
        <v>15916404458.982128</v>
      </c>
      <c r="I28" s="299">
        <f t="shared" si="9"/>
        <v>2.3855917147759476E-2</v>
      </c>
      <c r="J28" s="299">
        <f t="shared" si="10"/>
        <v>0.42250499069217795</v>
      </c>
      <c r="K28" s="119">
        <f t="shared" si="3"/>
        <v>0.5712439231967511</v>
      </c>
      <c r="L28" s="277">
        <f t="shared" si="4"/>
        <v>9092149326.3352127</v>
      </c>
    </row>
    <row r="29" spans="1:21">
      <c r="A29" s="302" t="str">
        <f t="shared" si="0"/>
        <v>I</v>
      </c>
      <c r="B29" s="117">
        <v>9</v>
      </c>
      <c r="C29" s="277">
        <f t="shared" si="5"/>
        <v>38570206847.375671</v>
      </c>
      <c r="D29" s="299">
        <f t="shared" si="1"/>
        <v>2.38559171477595E-2</v>
      </c>
      <c r="E29" s="299">
        <f t="shared" si="6"/>
        <v>0.56520395086535147</v>
      </c>
      <c r="F29" s="277">
        <f t="shared" si="7"/>
        <v>21800033295.830563</v>
      </c>
      <c r="G29" s="299">
        <f t="shared" si="2"/>
        <v>0</v>
      </c>
      <c r="H29" s="277">
        <f t="shared" si="8"/>
        <v>16296104885.045834</v>
      </c>
      <c r="I29" s="299">
        <f t="shared" si="9"/>
        <v>2.3855917147759476E-2</v>
      </c>
      <c r="J29" s="299">
        <f t="shared" si="10"/>
        <v>0.4225049906921779</v>
      </c>
      <c r="K29" s="119">
        <f t="shared" si="3"/>
        <v>0.53262836661701729</v>
      </c>
      <c r="L29" s="277">
        <f t="shared" si="4"/>
        <v>8679767727.1415596</v>
      </c>
    </row>
    <row r="30" spans="1:21">
      <c r="A30" s="302" t="str">
        <f t="shared" si="0"/>
        <v>I</v>
      </c>
      <c r="B30" s="117">
        <v>10</v>
      </c>
      <c r="C30" s="277">
        <f t="shared" si="5"/>
        <v>39490334506.298607</v>
      </c>
      <c r="D30" s="299">
        <f t="shared" si="1"/>
        <v>2.38559171477595E-2</v>
      </c>
      <c r="E30" s="299">
        <f t="shared" si="6"/>
        <v>0.56520395086535147</v>
      </c>
      <c r="F30" s="277">
        <f t="shared" si="7"/>
        <v>22320093083.954292</v>
      </c>
      <c r="G30" s="299">
        <f t="shared" si="2"/>
        <v>0</v>
      </c>
      <c r="H30" s="277">
        <f t="shared" si="8"/>
        <v>16684863413.014685</v>
      </c>
      <c r="I30" s="299">
        <f t="shared" si="9"/>
        <v>2.3855917147759476E-2</v>
      </c>
      <c r="J30" s="299">
        <f t="shared" si="10"/>
        <v>0.4225049906921779</v>
      </c>
      <c r="K30" s="119">
        <f t="shared" si="3"/>
        <v>0.49662318565689262</v>
      </c>
      <c r="L30" s="277">
        <f t="shared" si="4"/>
        <v>8286090020.4214869</v>
      </c>
    </row>
    <row r="31" spans="1:21">
      <c r="A31" s="302" t="str">
        <f t="shared" si="0"/>
        <v>I</v>
      </c>
      <c r="B31" s="117">
        <v>11</v>
      </c>
      <c r="C31" s="277">
        <f t="shared" si="5"/>
        <v>40432412654.418175</v>
      </c>
      <c r="D31" s="299">
        <f t="shared" si="1"/>
        <v>2.38559171477595E-2</v>
      </c>
      <c r="E31" s="299">
        <f t="shared" si="6"/>
        <v>0.56520395086535147</v>
      </c>
      <c r="F31" s="277">
        <f t="shared" si="7"/>
        <v>22852559375.295383</v>
      </c>
      <c r="G31" s="299">
        <f t="shared" si="2"/>
        <v>0</v>
      </c>
      <c r="H31" s="277">
        <f t="shared" si="8"/>
        <v>17082896132.217247</v>
      </c>
      <c r="I31" s="299">
        <f t="shared" si="9"/>
        <v>2.3855917147759476E-2</v>
      </c>
      <c r="J31" s="299">
        <f t="shared" si="10"/>
        <v>0.4225049906921779</v>
      </c>
      <c r="K31" s="119">
        <f t="shared" si="3"/>
        <v>0.46305192135840806</v>
      </c>
      <c r="L31" s="277">
        <f t="shared" si="4"/>
        <v>7910267876.3893137</v>
      </c>
    </row>
    <row r="32" spans="1:21">
      <c r="A32" s="302" t="str">
        <f t="shared" si="0"/>
        <v>I</v>
      </c>
      <c r="B32" s="117">
        <v>12</v>
      </c>
      <c r="C32" s="277">
        <f t="shared" si="5"/>
        <v>41396964940.785995</v>
      </c>
      <c r="D32" s="299">
        <f t="shared" si="1"/>
        <v>2.38559171477595E-2</v>
      </c>
      <c r="E32" s="299">
        <f t="shared" si="6"/>
        <v>0.56520395086535147</v>
      </c>
      <c r="F32" s="277">
        <f t="shared" si="7"/>
        <v>23397728138.366684</v>
      </c>
      <c r="G32" s="299">
        <f t="shared" si="2"/>
        <v>0</v>
      </c>
      <c r="H32" s="277">
        <f t="shared" si="8"/>
        <v>17490424286.991199</v>
      </c>
      <c r="I32" s="299">
        <f t="shared" si="9"/>
        <v>2.3855917147759254E-2</v>
      </c>
      <c r="J32" s="299">
        <f t="shared" si="10"/>
        <v>0.42250499069217784</v>
      </c>
      <c r="K32" s="119">
        <f t="shared" si="3"/>
        <v>0.43175004322462285</v>
      </c>
      <c r="L32" s="277">
        <f t="shared" si="4"/>
        <v>7551491441.9254436</v>
      </c>
    </row>
    <row r="33" spans="1:21">
      <c r="A33" s="302" t="str">
        <f t="shared" si="0"/>
        <v>I</v>
      </c>
      <c r="B33" s="117">
        <v>13</v>
      </c>
      <c r="C33" s="277">
        <f t="shared" si="5"/>
        <v>42384527506.582092</v>
      </c>
      <c r="D33" s="299">
        <f t="shared" si="1"/>
        <v>2.38559171477595E-2</v>
      </c>
      <c r="E33" s="299">
        <f t="shared" si="6"/>
        <v>0.56520395086535147</v>
      </c>
      <c r="F33" s="277">
        <f t="shared" si="7"/>
        <v>23955902402.281364</v>
      </c>
      <c r="G33" s="299">
        <f t="shared" si="2"/>
        <v>0</v>
      </c>
      <c r="H33" s="277">
        <f t="shared" si="8"/>
        <v>17907674399.660824</v>
      </c>
      <c r="I33" s="299">
        <f t="shared" si="9"/>
        <v>2.3855917147759698E-2</v>
      </c>
      <c r="J33" s="299">
        <f t="shared" si="10"/>
        <v>0.4225049906921779</v>
      </c>
      <c r="K33" s="119">
        <f t="shared" si="3"/>
        <v>0.40256414286678116</v>
      </c>
      <c r="L33" s="277">
        <f t="shared" si="4"/>
        <v>7208987595.4368591</v>
      </c>
      <c r="N33" s="275"/>
      <c r="O33" s="275"/>
      <c r="P33" s="275"/>
      <c r="Q33" s="275"/>
      <c r="R33" s="275"/>
      <c r="S33" s="275"/>
      <c r="T33" s="275"/>
      <c r="U33" s="275"/>
    </row>
    <row r="34" spans="1:21">
      <c r="A34" s="302" t="str">
        <f t="shared" si="0"/>
        <v>I</v>
      </c>
      <c r="B34" s="117">
        <v>14</v>
      </c>
      <c r="C34" s="277">
        <f t="shared" si="5"/>
        <v>43395649283.126045</v>
      </c>
      <c r="D34" s="299">
        <f t="shared" si="1"/>
        <v>2.38559171477595E-2</v>
      </c>
      <c r="E34" s="299">
        <f t="shared" si="6"/>
        <v>0.56520395086535147</v>
      </c>
      <c r="F34" s="277">
        <f t="shared" si="7"/>
        <v>24527392425.189999</v>
      </c>
      <c r="G34" s="299">
        <f t="shared" si="2"/>
        <v>0</v>
      </c>
      <c r="H34" s="277">
        <f t="shared" si="8"/>
        <v>18334878396.448185</v>
      </c>
      <c r="I34" s="299">
        <f t="shared" si="9"/>
        <v>2.3855917147759476E-2</v>
      </c>
      <c r="J34" s="299">
        <f t="shared" si="10"/>
        <v>0.4225049906921779</v>
      </c>
      <c r="K34" s="119">
        <f t="shared" si="3"/>
        <v>0.37535118216016894</v>
      </c>
      <c r="L34" s="277">
        <f t="shared" si="4"/>
        <v>6882018280.8697691</v>
      </c>
      <c r="N34" s="275"/>
      <c r="O34" s="275"/>
      <c r="P34" s="275"/>
      <c r="Q34" s="275"/>
      <c r="R34" s="275"/>
      <c r="S34" s="275"/>
      <c r="T34" s="275"/>
      <c r="U34" s="275"/>
    </row>
    <row r="35" spans="1:21">
      <c r="A35" s="302" t="str">
        <f t="shared" si="0"/>
        <v>I</v>
      </c>
      <c r="B35" s="117">
        <v>15</v>
      </c>
      <c r="C35" s="277">
        <f t="shared" si="5"/>
        <v>44430892296.997528</v>
      </c>
      <c r="D35" s="299">
        <f t="shared" si="1"/>
        <v>2.38559171477595E-2</v>
      </c>
      <c r="E35" s="299">
        <f t="shared" si="6"/>
        <v>0.56520395086535147</v>
      </c>
      <c r="F35" s="277">
        <f t="shared" si="7"/>
        <v>25112515866.735912</v>
      </c>
      <c r="G35" s="299">
        <f t="shared" si="2"/>
        <v>0</v>
      </c>
      <c r="H35" s="277">
        <f t="shared" si="8"/>
        <v>18772273736.388096</v>
      </c>
      <c r="I35" s="299">
        <f t="shared" si="9"/>
        <v>2.3855917147759254E-2</v>
      </c>
      <c r="J35" s="299">
        <f t="shared" si="10"/>
        <v>0.42250499069217784</v>
      </c>
      <c r="K35" s="119">
        <f t="shared" si="3"/>
        <v>0.34997779222393377</v>
      </c>
      <c r="L35" s="277">
        <f t="shared" si="4"/>
        <v>6569878917.2844419</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16</v>
      </c>
      <c r="C51" s="277">
        <f>VLOOKUP(C15,B21:C50,2,FALSE)*(1+Terminal_Growth)</f>
        <v>45319510142.937477</v>
      </c>
      <c r="D51" s="301">
        <f>Terminal_Growth</f>
        <v>0.02</v>
      </c>
      <c r="E51" s="301">
        <f>F17</f>
        <v>0.56520395086535147</v>
      </c>
      <c r="F51" s="277">
        <f>C51*E51</f>
        <v>25614766184.070633</v>
      </c>
      <c r="G51" s="299">
        <f>F18</f>
        <v>0</v>
      </c>
      <c r="H51" s="277">
        <f>(F51*(1-$I$10)+C51*(G51-$I$9))/Equity_Cost</f>
        <v>264106471877.46021</v>
      </c>
      <c r="I51" s="415">
        <f>(F51*(1-$I$10)+C51*(G51-$I$9))/VLOOKUP(C15,B21:H50,COLUMN(H20)-1,FALSE)-1</f>
        <v>2.000000000000024E-2</v>
      </c>
      <c r="J51" s="454"/>
      <c r="K51" s="119">
        <f>1/(1+Equity_Cost)^C15</f>
        <v>0.34997779222393377</v>
      </c>
      <c r="L51" s="277">
        <f t="shared" si="4"/>
        <v>92431399939.725983</v>
      </c>
    </row>
    <row r="52" spans="1:21" ht="13.15">
      <c r="G52" s="111"/>
      <c r="H52" s="111"/>
      <c r="I52" s="111"/>
      <c r="J52" s="469" t="s">
        <v>418</v>
      </c>
      <c r="K52" s="469"/>
      <c r="L52" s="317">
        <f>SUM(L21:L51)</f>
        <v>231572593623.19797</v>
      </c>
    </row>
    <row r="53" spans="1:21">
      <c r="C53" s="111"/>
    </row>
    <row r="54" spans="1:21" ht="13.15">
      <c r="B54" s="115" t="s">
        <v>108</v>
      </c>
      <c r="C54" s="128"/>
      <c r="D54" s="128"/>
      <c r="E54" s="113"/>
      <c r="F54" s="113"/>
      <c r="G54" s="113"/>
      <c r="H54" s="113"/>
      <c r="I54" s="113"/>
      <c r="J54" s="113"/>
      <c r="K54" s="113"/>
      <c r="L54" s="113"/>
    </row>
    <row r="55" spans="1:21" ht="13.15">
      <c r="A55" s="125">
        <f>L52</f>
        <v>231572593623.19797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221.73100887050737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183.60962128589512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167.5989435170556</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153.32823302640435</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140.60619103613459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D22" sqref="D2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0"/>
      <c r="F4" s="460"/>
      <c r="G4" s="460"/>
    </row>
    <row r="5" spans="2:7">
      <c r="C5" s="445"/>
      <c r="D5" s="460"/>
      <c r="E5" s="460"/>
      <c r="F5" s="460"/>
      <c r="G5" s="460"/>
    </row>
    <row r="6" spans="2:7" ht="13.15">
      <c r="B6" s="145" t="s">
        <v>91</v>
      </c>
      <c r="C6" s="446" t="str">
        <f>DCF!C3&amp;" "&amp;Reporting_currency</f>
        <v>1 CNY</v>
      </c>
      <c r="D6" s="460"/>
      <c r="E6" s="460"/>
      <c r="F6" s="460"/>
      <c r="G6" s="460"/>
    </row>
    <row r="7" spans="2:7" ht="12.75" customHeight="1">
      <c r="B7" s="97" t="s">
        <v>232</v>
      </c>
      <c r="C7" s="447">
        <f>Normalized_FCF!G8</f>
        <v>17654238551.57</v>
      </c>
      <c r="D7" s="460"/>
      <c r="E7" s="460"/>
      <c r="F7" s="460"/>
      <c r="G7" s="460"/>
    </row>
    <row r="8" spans="2:7">
      <c r="B8" s="97" t="s">
        <v>63</v>
      </c>
      <c r="C8" s="447">
        <f>Normalized_FCF!G19</f>
        <v>12844018055.588684</v>
      </c>
      <c r="D8" s="460"/>
      <c r="E8" s="460"/>
      <c r="F8" s="460"/>
      <c r="G8" s="460"/>
    </row>
    <row r="9" spans="2:7">
      <c r="B9" s="97" t="s">
        <v>54</v>
      </c>
      <c r="C9" s="447">
        <f>Normalized_FCF!C19</f>
        <v>13180570558.891336</v>
      </c>
      <c r="D9" s="460"/>
      <c r="E9" s="460"/>
      <c r="F9" s="460"/>
      <c r="G9" s="460"/>
    </row>
    <row r="10" spans="2:7">
      <c r="C10" s="448"/>
      <c r="D10" s="460"/>
      <c r="E10" s="460"/>
      <c r="F10" s="460"/>
      <c r="G10" s="460"/>
    </row>
    <row r="11" spans="2:7" ht="13.15">
      <c r="B11" s="145" t="s">
        <v>320</v>
      </c>
      <c r="C11" s="448"/>
      <c r="D11" s="460"/>
      <c r="E11" s="460"/>
      <c r="F11" s="460"/>
      <c r="G11" s="460"/>
    </row>
    <row r="12" spans="2:7">
      <c r="B12" s="114" t="s">
        <v>121</v>
      </c>
      <c r="C12" s="249" t="e">
        <f ca="1">(Normalized_FCF!G4/OFFSET(Normalized_FCF!G4, 0, $C$4))^(1/$C$4) - 1</f>
        <v>#VALUE!</v>
      </c>
      <c r="D12" s="460"/>
      <c r="E12" s="460"/>
      <c r="F12" s="460"/>
      <c r="G12" s="460"/>
    </row>
    <row r="13" spans="2:7">
      <c r="B13" s="135" t="s">
        <v>127</v>
      </c>
      <c r="C13" s="249" t="e">
        <f ca="1">(Normalized_FCF!G8/OFFSET(Normalized_FCF!G8, 0, $C$4))^(1/$C$4) - 1</f>
        <v>#VALUE!</v>
      </c>
      <c r="D13" s="460"/>
      <c r="E13" s="460"/>
      <c r="F13" s="460"/>
      <c r="G13" s="460"/>
    </row>
    <row r="14" spans="2:7">
      <c r="B14" s="97" t="s">
        <v>63</v>
      </c>
      <c r="C14" s="249" t="e">
        <f ca="1">(Normalized_FCF!G19/OFFSET(Normalized_FCF!G19, 0, $C$4))^(1/$C$4) - 1</f>
        <v>#VALUE!</v>
      </c>
      <c r="D14" s="460"/>
      <c r="E14" s="460"/>
      <c r="F14" s="460"/>
      <c r="G14" s="460"/>
    </row>
    <row r="16" spans="2:7" ht="13.9">
      <c r="B16" s="34" t="s">
        <v>451</v>
      </c>
      <c r="C16" s="35"/>
      <c r="D16" s="35"/>
      <c r="E16" s="35"/>
      <c r="F16" s="35"/>
      <c r="G16" s="35"/>
    </row>
    <row r="17" spans="2:7" ht="13.15">
      <c r="B17" s="106" t="s">
        <v>126</v>
      </c>
      <c r="E17" s="222" t="s">
        <v>251</v>
      </c>
    </row>
    <row r="18" spans="2:7" ht="12.75" customHeight="1">
      <c r="B18" s="139" t="s">
        <v>111</v>
      </c>
      <c r="C18" s="137">
        <v>15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15</v>
      </c>
      <c r="E22" s="326">
        <f>DCF!E91</f>
        <v>183.60962128589512</v>
      </c>
      <c r="F22" s="328">
        <f>1-F23-F24</f>
        <v>0.19999999999999996</v>
      </c>
      <c r="G22" s="328">
        <f>F22*(1-F$29-F$30)</f>
        <v>0.15999999999999995</v>
      </c>
    </row>
    <row r="23" spans="2:7">
      <c r="B23" s="302" t="s">
        <v>435</v>
      </c>
      <c r="C23" s="324">
        <v>0.02</v>
      </c>
      <c r="D23" s="325">
        <f>C18</f>
        <v>15</v>
      </c>
      <c r="E23" s="326">
        <f>DCF!E92</f>
        <v>167.5989435170556</v>
      </c>
      <c r="F23" s="327">
        <v>0.55000000000000004</v>
      </c>
      <c r="G23" s="328">
        <f t="shared" ref="G23:G24" si="0">F23*(1-F$29-F$30)</f>
        <v>0.44</v>
      </c>
    </row>
    <row r="24" spans="2:7">
      <c r="B24" s="302" t="s">
        <v>444</v>
      </c>
      <c r="C24" s="324">
        <v>0.01</v>
      </c>
      <c r="D24" s="325">
        <f>C18</f>
        <v>15</v>
      </c>
      <c r="E24" s="326">
        <f>DCF!E93</f>
        <v>153.32823302640435</v>
      </c>
      <c r="F24" s="327">
        <v>0.25</v>
      </c>
      <c r="G24" s="328">
        <f t="shared" si="0"/>
        <v>0.19999999999999998</v>
      </c>
    </row>
    <row r="25" spans="2:7">
      <c r="B25" s="141" t="s">
        <v>449</v>
      </c>
      <c r="C25" s="441">
        <f>E23*F23+E24*F24+E22*F22</f>
        <v>167.23340144816069</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15</v>
      </c>
      <c r="E29" s="326">
        <f>DCF!E90</f>
        <v>221.73100887050737</v>
      </c>
      <c r="F29" s="327">
        <v>0.15</v>
      </c>
      <c r="G29" s="328">
        <f>F29</f>
        <v>0.15</v>
      </c>
    </row>
    <row r="30" spans="2:7">
      <c r="B30" s="315" t="s">
        <v>445</v>
      </c>
      <c r="C30" s="324">
        <v>0</v>
      </c>
      <c r="D30" s="325">
        <f>C18</f>
        <v>15</v>
      </c>
      <c r="E30" s="326">
        <f>DCF!E94</f>
        <v>140.60619103613459</v>
      </c>
      <c r="F30" s="327">
        <v>0.05</v>
      </c>
      <c r="G30" s="328">
        <f>F30</f>
        <v>0.05</v>
      </c>
    </row>
    <row r="31" spans="2:7">
      <c r="E31" s="329"/>
      <c r="F31" s="329"/>
    </row>
    <row r="32" spans="2:7" ht="13.15">
      <c r="B32" s="145" t="s">
        <v>454</v>
      </c>
    </row>
    <row r="33" spans="2:7">
      <c r="B33" s="97" t="s">
        <v>456</v>
      </c>
      <c r="C33" s="155">
        <f>Normalized_FCF!C88*(1-dividend_tax_rate)</f>
        <v>4.1328000000000005</v>
      </c>
      <c r="D33" t="str">
        <f>Market_currency</f>
        <v>CNY</v>
      </c>
      <c r="E33" s="97" t="s">
        <v>453</v>
      </c>
      <c r="F33" s="219">
        <f>Holding_Period</f>
        <v>3</v>
      </c>
    </row>
    <row r="34" spans="2:7">
      <c r="B34" s="97" t="s">
        <v>233</v>
      </c>
      <c r="C34" s="146">
        <f>Market_Price</f>
        <v>103.39</v>
      </c>
      <c r="D34" t="str">
        <f>Market_currency</f>
        <v>CNY</v>
      </c>
      <c r="E34" s="97" t="s">
        <v>452</v>
      </c>
      <c r="F34" s="330">
        <f>RATE(Holding_Period,$C$33,-C34,$C$36)</f>
        <v>0.22370349845707738</v>
      </c>
    </row>
    <row r="35" spans="2:7">
      <c r="B35" s="97" t="s">
        <v>432</v>
      </c>
      <c r="C35" s="320">
        <f>DCF!C11</f>
        <v>190.20472081320983</v>
      </c>
      <c r="D35" s="97" t="str">
        <f>Market_currency</f>
        <v>CNY</v>
      </c>
      <c r="E35" s="97" t="s">
        <v>452</v>
      </c>
      <c r="F35" s="330">
        <f>RATE(Holding_Period,$C$33,-C35,$C$36)</f>
        <v>-6.7271782565768174E-3</v>
      </c>
    </row>
    <row r="36" spans="2:7">
      <c r="B36" s="97" t="s">
        <v>433</v>
      </c>
      <c r="C36" s="321">
        <f>E22*G22+E23*G23+E24*G24+E30*G30+E29*G29</f>
        <v>174.07668204091138</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0.56520395086535147</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173.55524443059508</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9.3238814628432934E-2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4.1328000000000005</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7.5056313154301346</v>
      </c>
      <c r="D62" s="119">
        <f>C36/(1+F62)^Holding_Period</f>
        <v>79.233810669509026</v>
      </c>
      <c r="E62" s="332">
        <f>C62+D62</f>
        <v>86.739441984939162</v>
      </c>
      <c r="F62" s="301">
        <f>Thesis!E22</f>
        <v>0.3</v>
      </c>
      <c r="G62" s="440">
        <f>(1-E62/C36)</f>
        <v>0.50171705384094056</v>
      </c>
    </row>
    <row r="63" spans="2:7" ht="13.15">
      <c r="B63" s="302" t="s">
        <v>312</v>
      </c>
      <c r="C63" s="119">
        <f>PV(F63, Holding_Period, -C58, 0)</f>
        <v>8.7056666666666676</v>
      </c>
      <c r="D63" s="119">
        <f>C36/(1+F63)^Holding_Period</f>
        <v>100.73882062552742</v>
      </c>
      <c r="E63" s="332">
        <f>C63+D63</f>
        <v>109.4444872921941</v>
      </c>
      <c r="F63" s="301">
        <f>Thesis!E23</f>
        <v>0.2</v>
      </c>
      <c r="G63" s="440">
        <f>(1-E63/C36)</f>
        <v>0.37128576895512899</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10.517521633559475</v>
      </c>
      <c r="D66" s="119">
        <f>C36/(1+F66)^Holding_Period</f>
        <v>135.53515851547391</v>
      </c>
      <c r="E66" s="332">
        <f>C66+D66</f>
        <v>146.05268014903339</v>
      </c>
      <c r="F66" s="301">
        <f>Thesis!E24</f>
        <v>8.6999999999999994E-2</v>
      </c>
      <c r="G66" s="440">
        <f>(1-E66/C36)</f>
        <v>0.16098653514829631</v>
      </c>
    </row>
    <row r="67" spans="2:7" ht="13.15">
      <c r="B67" s="302" t="s">
        <v>313</v>
      </c>
      <c r="C67" s="119">
        <f>PV(F67, Holding_Period, -C58, 0)</f>
        <v>10.796424338860641</v>
      </c>
      <c r="D67" s="119">
        <f>C36/(1+F67)^Holding_Period</f>
        <v>141.10704518598044</v>
      </c>
      <c r="E67" s="332">
        <f>C67+D67</f>
        <v>151.90346952484109</v>
      </c>
      <c r="F67" s="301">
        <f>Thesis!E25</f>
        <v>7.2499999999999995E-2</v>
      </c>
      <c r="G67" s="440">
        <f>(1-E67/C36)</f>
        <v>0.12737612100659845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46105</v>
      </c>
    </row>
    <row r="4" spans="1:10">
      <c r="B4" s="422" t="s">
        <v>531</v>
      </c>
      <c r="C4" s="423" t="str">
        <f>Thesis!C4</f>
        <v>泸州老窖</v>
      </c>
      <c r="D4" s="349"/>
      <c r="E4" s="434" t="s">
        <v>537</v>
      </c>
      <c r="F4" s="437" t="str">
        <f>Thesis!F4</f>
        <v>CN</v>
      </c>
    </row>
    <row r="5" spans="1:10">
      <c r="B5" s="343" t="s">
        <v>362</v>
      </c>
      <c r="C5" s="355" t="str">
        <f>Thesis!C5</f>
        <v>000568.SZ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103.39</v>
      </c>
    </row>
    <row r="9" spans="1:10">
      <c r="B9" s="351" t="s">
        <v>359</v>
      </c>
      <c r="C9" s="353">
        <f>Common_Shares</f>
        <v>1471941963</v>
      </c>
    </row>
    <row r="10" spans="1:10">
      <c r="B10" s="351" t="s">
        <v>365</v>
      </c>
      <c r="C10" s="357">
        <f>投资主题!C8*Common_Shares/1000000</f>
        <v>152184.07955456999</v>
      </c>
      <c r="D10" s="343" t="s">
        <v>526</v>
      </c>
      <c r="E10" s="360">
        <f>Scenarios!F34</f>
        <v>0.22370349845707738</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174.07668204091138</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86.739441984939162</v>
      </c>
      <c r="D22" s="365" t="s">
        <v>438</v>
      </c>
      <c r="E22" s="366">
        <f>Thesis!E22</f>
        <v>0.3</v>
      </c>
    </row>
    <row r="23" spans="1:6">
      <c r="B23" s="343" t="s">
        <v>339</v>
      </c>
      <c r="C23" s="367">
        <f>E141</f>
        <v>109.4444872921941</v>
      </c>
      <c r="D23" s="365" t="s">
        <v>439</v>
      </c>
      <c r="E23" s="368">
        <f>Thesis!E23</f>
        <v>0.2</v>
      </c>
    </row>
    <row r="24" spans="1:6">
      <c r="B24" s="343" t="s">
        <v>341</v>
      </c>
      <c r="C24" s="367">
        <f>E144</f>
        <v>146.05268014903339</v>
      </c>
      <c r="D24" s="365" t="s">
        <v>441</v>
      </c>
      <c r="E24" s="368">
        <f>Thesis!E24</f>
        <v>8.6999999999999994E-2</v>
      </c>
    </row>
    <row r="25" spans="1:6">
      <c r="B25" s="343" t="s">
        <v>340</v>
      </c>
      <c r="C25" s="367">
        <f>E145</f>
        <v>151.90346952484109</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17736569087.803993</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60656509.843866028</v>
      </c>
      <c r="D44" s="343" t="str">
        <f>Reporting_currency</f>
        <v>CNY</v>
      </c>
      <c r="E44" s="371"/>
      <c r="F44" s="371"/>
    </row>
    <row r="45" spans="2:6">
      <c r="B45" s="372" t="s">
        <v>268</v>
      </c>
      <c r="C45" s="376">
        <f>Normalized_FCF!C45</f>
        <v>-164982858.12359998</v>
      </c>
      <c r="D45" s="343" t="str">
        <f>Reporting_currency</f>
        <v>CNY</v>
      </c>
      <c r="E45" s="371"/>
      <c r="F45" s="371"/>
    </row>
    <row r="46" spans="2:6">
      <c r="B46" s="372" t="s">
        <v>203</v>
      </c>
      <c r="C46" s="373">
        <f>Normalized_FCF!C10</f>
        <v>-104326348.27973396</v>
      </c>
      <c r="D46" s="343" t="str">
        <f>Reporting_currency</f>
        <v>CNY</v>
      </c>
    </row>
    <row r="48" spans="2:6">
      <c r="B48" s="343" t="s">
        <v>502</v>
      </c>
    </row>
    <row r="49" spans="2:6">
      <c r="B49" s="372" t="s">
        <v>223</v>
      </c>
      <c r="C49" s="373">
        <f>Normalized_FCF!C13</f>
        <v>-43611495.751855388</v>
      </c>
      <c r="D49" s="343" t="str">
        <f>Reporting_currency</f>
        <v>CNY</v>
      </c>
    </row>
    <row r="51" spans="2:6">
      <c r="B51" s="470" t="s">
        <v>503</v>
      </c>
      <c r="C51" s="470"/>
      <c r="D51" s="470"/>
      <c r="E51" s="470"/>
      <c r="F51" s="470"/>
    </row>
    <row r="52" spans="2:6">
      <c r="B52" s="372" t="s">
        <v>494</v>
      </c>
      <c r="C52" s="373">
        <f>Normalized_FCF!C12</f>
        <v>-4408060684.8810644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12844018055.588684</v>
      </c>
      <c r="D60" s="343" t="str">
        <f>Reporting_currency</f>
        <v>CNY</v>
      </c>
    </row>
    <row r="61" spans="2:6">
      <c r="B61" s="372" t="s">
        <v>213</v>
      </c>
      <c r="C61" s="373">
        <f>Normalized_FCF!C19</f>
        <v>13180570558.891336</v>
      </c>
      <c r="D61" s="343" t="str">
        <f>Reporting_currency</f>
        <v>CNY</v>
      </c>
    </row>
    <row r="62" spans="2:6">
      <c r="B62" s="377" t="s">
        <v>302</v>
      </c>
      <c r="C62" s="378">
        <f>Normalized_FCF!C124</f>
        <v>8.6609391714755957E-2</v>
      </c>
      <c r="F62" s="379"/>
    </row>
    <row r="63" spans="2:6">
      <c r="B63" s="377" t="s">
        <v>330</v>
      </c>
      <c r="C63" s="378">
        <f>Normalized_FCF!C92</f>
        <v>3.9972918077183485E-2</v>
      </c>
      <c r="E63" s="372" t="s">
        <v>371</v>
      </c>
      <c r="F63" s="380">
        <f>Normalized_FCF!C90</f>
        <v>0.51281220823452245</v>
      </c>
    </row>
    <row r="65" spans="1:6">
      <c r="B65" s="369" t="s">
        <v>374</v>
      </c>
      <c r="C65" s="381" t="s">
        <v>325</v>
      </c>
      <c r="D65" s="381" t="s">
        <v>372</v>
      </c>
    </row>
    <row r="66" spans="1:6">
      <c r="B66" s="372" t="s">
        <v>324</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-2749714302.0599999</v>
      </c>
      <c r="D78" s="343" t="str">
        <f>Reporting_currency</f>
        <v>CNY</v>
      </c>
    </row>
    <row r="79" spans="1:6">
      <c r="B79" s="372" t="s">
        <v>234</v>
      </c>
      <c r="C79" s="387">
        <f>C78*scaling_factor*Exchange_Rate/Common_Shares</f>
        <v>-1.8680860870735294</v>
      </c>
      <c r="D79" s="343" t="str">
        <f>Market_currency</f>
        <v>CNY</v>
      </c>
    </row>
    <row r="80" spans="1:6">
      <c r="B80" s="382" t="s">
        <v>308</v>
      </c>
      <c r="C80" s="388">
        <f>IF(BS!G31/BS!G27&gt;300%,"nm",BS!G31/BS!G27)</f>
        <v>5.8904840599867017E-2</v>
      </c>
    </row>
    <row r="81" spans="1:6">
      <c r="B81" s="382" t="s">
        <v>310</v>
      </c>
      <c r="C81" s="389">
        <f>IF(BS!C50&gt;30,"nm",BS!C50)</f>
        <v>0.15503078912543219</v>
      </c>
    </row>
    <row r="83" spans="1:6">
      <c r="B83" s="343" t="s">
        <v>509</v>
      </c>
    </row>
    <row r="84" spans="1:6">
      <c r="B84" s="343" t="s">
        <v>224</v>
      </c>
      <c r="C84" s="373">
        <f>DCF!F5</f>
        <v>25341662019.738998</v>
      </c>
      <c r="D84" s="343" t="str">
        <f>Reporting_currency</f>
        <v>CNY</v>
      </c>
    </row>
    <row r="85" spans="1:6">
      <c r="B85" s="382" t="s">
        <v>479</v>
      </c>
      <c r="C85" s="390">
        <f>BS!C66</f>
        <v>35451080327.050003</v>
      </c>
      <c r="D85" s="391" t="str">
        <f>Reporting_currency</f>
        <v>CNY</v>
      </c>
    </row>
    <row r="86" spans="1:6">
      <c r="B86" s="372" t="s">
        <v>235</v>
      </c>
      <c r="C86" s="387">
        <f>C84*scaling_factor*Exchange_Rate/Common_Shares</f>
        <v>17.216481802101459</v>
      </c>
      <c r="D86" s="343" t="str">
        <f>Market_currency</f>
        <v>CNY</v>
      </c>
    </row>
    <row r="88" spans="1:6">
      <c r="B88" s="343" t="s">
        <v>510</v>
      </c>
    </row>
    <row r="89" spans="1:6">
      <c r="B89" s="343" t="s">
        <v>217</v>
      </c>
      <c r="C89" s="373">
        <f>DCF!F6</f>
        <v>1298705835.2379999</v>
      </c>
      <c r="D89" s="343" t="str">
        <f>Reporting_currency</f>
        <v>CNY</v>
      </c>
    </row>
    <row r="90" spans="1:6">
      <c r="B90" s="372" t="s">
        <v>236</v>
      </c>
      <c r="C90" s="387">
        <f>C89*scaling_factor*Exchange_Rate/Common_Shares</f>
        <v>0.88230777291726681</v>
      </c>
      <c r="D90" s="343" t="str">
        <f>Market_currency</f>
        <v>CNY</v>
      </c>
    </row>
    <row r="92" spans="1:6">
      <c r="B92" s="372" t="s">
        <v>478</v>
      </c>
      <c r="C92" s="387">
        <f>DCF!F8</f>
        <v>16.230703487945195</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12.72773462292413</v>
      </c>
      <c r="D111" s="343" t="str">
        <f>Market_currency</f>
        <v>CNY</v>
      </c>
    </row>
    <row r="112" spans="1:6">
      <c r="A112" s="385"/>
      <c r="B112" s="372" t="s">
        <v>375</v>
      </c>
      <c r="C112" s="394">
        <f>DCF!C11</f>
        <v>190.20472081320983</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15</v>
      </c>
      <c r="E118" s="398" t="str">
        <f>ROUND(DCF!E90,2)&amp;" "&amp;Market_currency</f>
        <v>221.73 CNY</v>
      </c>
      <c r="F118" s="399">
        <f>DCF!F90</f>
        <v>0.15</v>
      </c>
    </row>
    <row r="119" spans="1:6">
      <c r="A119" s="385"/>
      <c r="B119" s="400" t="str">
        <f>DCF!B91</f>
        <v>Optimistic</v>
      </c>
      <c r="C119" s="401">
        <f>DCF!C91</f>
        <v>0.03</v>
      </c>
      <c r="D119" s="402">
        <f>DCF!D91</f>
        <v>15</v>
      </c>
      <c r="E119" s="398" t="str">
        <f>ROUND(DCF!E91,2)&amp;" "&amp;Market_currency</f>
        <v>183.61 CNY</v>
      </c>
      <c r="F119" s="403">
        <f>DCF!F91</f>
        <v>0.15999999999999995</v>
      </c>
    </row>
    <row r="120" spans="1:6">
      <c r="B120" s="400" t="str">
        <f>DCF!B92</f>
        <v>Base</v>
      </c>
      <c r="C120" s="401">
        <f>DCF!C92</f>
        <v>0.02</v>
      </c>
      <c r="D120" s="402">
        <f>DCF!D92</f>
        <v>15</v>
      </c>
      <c r="E120" s="398" t="str">
        <f>ROUND(DCF!E92,2)&amp;" "&amp;Market_currency</f>
        <v>167.6 CNY</v>
      </c>
      <c r="F120" s="403">
        <f>DCF!F92</f>
        <v>0.44</v>
      </c>
    </row>
    <row r="121" spans="1:6">
      <c r="B121" s="400" t="str">
        <f>DCF!B93</f>
        <v>Pessimistic</v>
      </c>
      <c r="C121" s="401">
        <f>DCF!C93</f>
        <v>0.01</v>
      </c>
      <c r="D121" s="402">
        <f>DCF!D93</f>
        <v>15</v>
      </c>
      <c r="E121" s="398" t="str">
        <f>ROUND(DCF!E93,2)&amp;" "&amp;Market_currency</f>
        <v>153.33 CNY</v>
      </c>
      <c r="F121" s="403">
        <f>DCF!F93</f>
        <v>0.19999999999999998</v>
      </c>
    </row>
    <row r="122" spans="1:6">
      <c r="B122" s="400" t="str">
        <f>DCF!B94</f>
        <v>Devil's advocate</v>
      </c>
      <c r="C122" s="401">
        <f>DCF!C94</f>
        <v>0</v>
      </c>
      <c r="D122" s="402">
        <f>DCF!D94</f>
        <v>15</v>
      </c>
      <c r="E122" s="398" t="str">
        <f>ROUND(DCF!E94,2)&amp;" "&amp;Market_currency</f>
        <v>140.61 CNY</v>
      </c>
      <c r="F122" s="403">
        <f>DCF!F94</f>
        <v>0.05</v>
      </c>
    </row>
    <row r="124" spans="1:6">
      <c r="B124" s="470" t="s">
        <v>516</v>
      </c>
      <c r="C124" s="470"/>
      <c r="D124" s="470"/>
      <c r="E124" s="470"/>
      <c r="F124" s="470"/>
    </row>
    <row r="125" spans="1:6">
      <c r="B125" s="372" t="s">
        <v>218</v>
      </c>
      <c r="C125" s="404">
        <f>Scenarios!C36</f>
        <v>174.07668204091138</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4.1328000000000005</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7.5056313154301346</v>
      </c>
      <c r="D140" s="409">
        <f>Scenarios!D62</f>
        <v>79.233810669509026</v>
      </c>
      <c r="E140" s="410">
        <f>Scenarios!E62</f>
        <v>86.739441984939162</v>
      </c>
      <c r="F140" s="411">
        <f>E22</f>
        <v>0.3</v>
      </c>
    </row>
    <row r="141" spans="1:6">
      <c r="B141" s="408" t="s">
        <v>312</v>
      </c>
      <c r="C141" s="409">
        <f>Scenarios!C63</f>
        <v>8.7056666666666676</v>
      </c>
      <c r="D141" s="409">
        <f>Scenarios!D63</f>
        <v>100.73882062552742</v>
      </c>
      <c r="E141" s="410">
        <f>Scenarios!E63</f>
        <v>109.4444872921941</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10.517521633559475</v>
      </c>
      <c r="D144" s="409">
        <f>Scenarios!D66</f>
        <v>135.53515851547391</v>
      </c>
      <c r="E144" s="410">
        <f>Scenarios!E66</f>
        <v>146.05268014903339</v>
      </c>
      <c r="F144" s="411">
        <f>E24</f>
        <v>8.6999999999999994E-2</v>
      </c>
    </row>
    <row r="145" spans="1:6">
      <c r="B145" s="408" t="s">
        <v>313</v>
      </c>
      <c r="C145" s="409">
        <f>Scenarios!C67</f>
        <v>10.796424338860641</v>
      </c>
      <c r="D145" s="409">
        <f>Scenarios!D67</f>
        <v>141.10704518598044</v>
      </c>
      <c r="E145" s="410">
        <f>Scenarios!E67</f>
        <v>151.90346952484109</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