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8DA406-0606-4C85-AB2E-5FA385F335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<sst xmlns="http://schemas.openxmlformats.org/spreadsheetml/2006/main" count="768" uniqueCount="557">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</sst>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108.13</v>
      </c>
      <c r="E8" s="32"/>
    </row>
    <row r="9" spans="1:9">
      <c r="B9" s="4" t="s">
        <v>344</v>
      </c>
      <c r="C9" s="48">
        <v>1471941963</v>
      </c>
    </row>
    <row r="10" spans="1:9">
      <c r="B10" s="4" t="s">
        <v>350</v>
      </c>
      <c r="C10" s="33">
        <f>Thesis!C8*Common_Shares/1000000</f>
        <v>159161.08445918999</v>
      </c>
      <c r="D10" s="1" t="s">
        <v>525</v>
      </c>
      <c r="E10" s="303">
        <f>Scenarios!F34</f>
        <v>0.16144498911950469</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78.012426135280521</v>
      </c>
      <c r="D22" s="38" t="s">
        <v>404</v>
      </c>
      <c r="E22" s="79">
        <v>0.3</v>
      </c>
    </row>
    <row r="23" spans="1:6">
      <c r="B23" s="1" t="s">
        <v>312</v>
      </c>
      <c r="C23" s="256">
        <f>E141</f>
        <v>98.348854293525079</v>
      </c>
      <c r="D23" s="38" t="s">
        <v>405</v>
      </c>
      <c r="E23" s="443">
        <v>0.2</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17736569087.803993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1" t="s">
        <v>206</v>
      </c>
      <c r="C51" s="461"/>
      <c r="D51" s="461"/>
      <c r="E51" s="461"/>
      <c r="F51" s="461"/>
    </row>
    <row r="52" spans="2:6">
      <c r="B52" s="44" t="s">
        <v>204</v>
      </c>
      <c r="C52" s="285">
        <f>Normalized_FCF!C12</f>
        <v>-4408060684.8810644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8.2812771750565228E-2</v>
      </c>
      <c r="F62" s="257"/>
    </row>
    <row r="63" spans="2:6">
      <c r="B63" s="204" t="s">
        <v>330</v>
      </c>
      <c r="C63" s="89">
        <f>Normalized_FCF!C92</f>
        <v>3.8220660316285959E-2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1" t="s">
        <v>355</v>
      </c>
      <c r="C124" s="461"/>
      <c r="D124" s="461"/>
      <c r="E124" s="461"/>
      <c r="F124" s="461"/>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70.506794819850384</v>
      </c>
      <c r="E140" s="334">
        <f>Scenarios!E62</f>
        <v>78.012426135280521</v>
      </c>
      <c r="F140" s="335">
        <f>E22</f>
        <v>0.3</v>
      </c>
    </row>
    <row r="141" spans="1:6">
      <c r="B141" s="336" t="s">
        <v>312</v>
      </c>
      <c r="C141" s="333">
        <f>Scenarios!C63</f>
        <v>8.7056666666666676</v>
      </c>
      <c r="D141" s="333">
        <f>Scenarios!D63</f>
        <v>89.643187626858406</v>
      </c>
      <c r="E141" s="334">
        <f>Scenarios!E63</f>
        <v>98.348854293525079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3.8220660316285959E-2</v>
      </c>
      <c r="E92" s="237"/>
      <c r="G92" s="22">
        <f t="shared" ref="G92:Q92" si="38">IF(G$4="","",(G88*(1-dividend_tax_rate))/Market_Price)</f>
        <v>3.8220660316285959E-2</v>
      </c>
      <c r="H92" s="22">
        <f t="shared" si="38"/>
        <v>4.4946547674095998E-2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8.2812771750565228E-2</v>
      </c>
      <c r="D124" s="26"/>
      <c r="E124" s="234"/>
      <c r="F124" s="26"/>
      <c r="G124" s="74">
        <f t="shared" ref="G124" si="49">IF(G$4="","",G123/Market_Price)</f>
        <v>8.0698231601217696E-2</v>
      </c>
      <c r="H124" s="74">
        <f t="shared" ref="H124" si="50">IF(H$4="","",H123/Market_Price)</f>
        <v>7.8046592823432556E-2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8.4805771566295929E-2</v>
      </c>
      <c r="H125" s="22">
        <f>IF(H$4="","",(Data!D47*$C$3)/(Market_Price*Common_Shares))</f>
        <v>8.3491891679195629E-2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108.13</v>
      </c>
      <c r="D34" t="str">
        <f>Market_currency</f>
        <v>CNY</v>
      </c>
      <c r="E34" s="97" t="s">
        <v>452</v>
      </c>
      <c r="F34" s="330">
        <f>RATE(Holding_Period,$C$33,-C34,$C$36)</f>
        <v>0.16144498911950469</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70.506794819850384</v>
      </c>
      <c r="E62" s="332">
        <f>C62+D62</f>
        <v>78.012426135280521</v>
      </c>
      <c r="F62" s="301">
        <f>Thesis!E22</f>
        <v>0.3</v>
      </c>
      <c r="G62" s="440">
        <f>(1-E62/C36)</f>
        <v>0.49638024779618584</v>
      </c>
    </row>
    <row r="63" spans="2:7" ht="13.15">
      <c r="B63" s="302" t="s">
        <v>312</v>
      </c>
      <c r="C63" s="119">
        <f>PV(F63, Holding_Period, -C58, 0)</f>
        <v>8.7056666666666676</v>
      </c>
      <c r="D63" s="119">
        <f>C36/(1+F63)^Holding_Period</f>
        <v>89.643187626858406</v>
      </c>
      <c r="E63" s="332">
        <f>C63+D63</f>
        <v>98.348854293525079</v>
      </c>
      <c r="F63" s="301">
        <f>Thesis!E23</f>
        <v>0.2</v>
      </c>
      <c r="G63" s="440">
        <f>(1-E63/C36)</f>
        <v>0.36509568946177962</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108.13</v>
      </c>
    </row>
    <row r="9" spans="1:10">
      <c r="B9" s="351" t="s">
        <v>359</v>
      </c>
      <c r="C9" s="353">
        <f>Common_Shares</f>
        <v>1471941963</v>
      </c>
    </row>
    <row r="10" spans="1:10">
      <c r="B10" s="351" t="s">
        <v>365</v>
      </c>
      <c r="C10" s="357">
        <f>投资主题!C8*Common_Shares/1000000</f>
        <v>159161.08445918999</v>
      </c>
      <c r="D10" s="343" t="s">
        <v>526</v>
      </c>
      <c r="E10" s="360">
        <f>Scenarios!F34</f>
        <v>0.16144498911950469</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78.012426135280521</v>
      </c>
      <c r="D22" s="365" t="s">
        <v>438</v>
      </c>
      <c r="E22" s="366">
        <f>Thesis!E22</f>
        <v>0.3</v>
      </c>
    </row>
    <row r="23" spans="1:6">
      <c r="B23" s="343" t="s">
        <v>339</v>
      </c>
      <c r="C23" s="367">
        <f>E141</f>
        <v>98.348854293525079</v>
      </c>
      <c r="D23" s="365" t="s">
        <v>439</v>
      </c>
      <c r="E23" s="368">
        <f>Thesis!E23</f>
        <v>0.2</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8.2812771750565228E-2</v>
      </c>
      <c r="F62" s="379"/>
    </row>
    <row r="63" spans="2:6">
      <c r="B63" s="377" t="s">
        <v>330</v>
      </c>
      <c r="C63" s="378">
        <f>Normalized_FCF!C92</f>
        <v>3.8220660316285959E-2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70.506794819850384</v>
      </c>
      <c r="E140" s="410">
        <f>Scenarios!E62</f>
        <v>78.012426135280521</v>
      </c>
      <c r="F140" s="411">
        <f>E22</f>
        <v>0.3</v>
      </c>
    </row>
    <row r="141" spans="1:6">
      <c r="B141" s="408" t="s">
        <v>312</v>
      </c>
      <c r="C141" s="409">
        <f>Scenarios!C63</f>
        <v>8.7056666666666676</v>
      </c>
      <c r="D141" s="409">
        <f>Scenarios!D63</f>
        <v>89.643187626858406</v>
      </c>
      <c r="E141" s="410">
        <f>Scenarios!E63</f>
        <v>98.348854293525079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