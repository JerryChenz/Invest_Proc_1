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CFF2F1D-A5F9-41C7-893A-35C7C7E48E1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G19" i="3"/>
  <c r="C4" i="3"/>
  <c r="D28" i="4"/>
  <c r="D25" i="4"/>
  <c r="C25" i="4"/>
  <c r="D6" i="4"/>
  <c r="C6" i="4"/>
  <c r="D5" i="4"/>
  <c r="C5" i="4"/>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<sst xmlns="http://schemas.openxmlformats.org/spreadsheetml/2006/main" count="768" uniqueCount="557">
  <si>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</si>
  <si>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</si>
  <si>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</si>
  <si>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</si>
  <si>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</si>
  <si>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</si>
  <si>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</si>
  <si>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</si>
  <si>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</si>
  <si>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</si>
  <si>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</si>
  <si>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</si>
  <si>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</si>
  <si>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</si>
  <si>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</si>
  <si>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</si>
  <si>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</si>
  <si>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</si>
  <si>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</si>
  <si>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</si>
  <si>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</si>
  <si>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</si>
  <si>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</si>
  <si>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</si>
  <si>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</si>
  <si>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</si>
  <si>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</si>
  <si>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</si>
  <si>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</si>
  <si>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</si>
  <si>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</si>
  <si>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</si>
  <si>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</si>
  <si>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</si>
  <si>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</si>
  <si>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</si>
  <si>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</si>
  <si>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</si>
  <si>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</si>
  <si>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</si>
  <si>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</si>
  <si>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</si>
  <si>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</si>
  <si>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</si>
  <si>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</si>
  <si>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</si>
  <si>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</si>
  <si>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</si>
  <si>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</si>
  <si>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</si>
  <si>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</si>
  <si>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</si>
  <si>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</si>
  <si>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</si>
  <si>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</si>
  <si>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</si>
  <si>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</si>
  <si>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</si>
  <si>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</si>
  <si>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</si>
  <si>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</si>
  <si>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</si>
  <si>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</si>
  <si>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</si>
  <si>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</si>
  <si>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</si>
  <si>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</si>
  <si>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</si>
  <si>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</si>
  <si>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</si>
  <si>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</si>
  <si>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</si>
  <si>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</si>
  <si>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</si>
  <si>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</si>
  <si>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</si>
  <si>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</si>
  <si>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</si>
  <si>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</si>
  <si>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</si>
  <si>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</si>
  <si>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</si>
  <si>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</si>
  <si>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</si>
  <si>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</si>
  <si>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</si>
  <si>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</si>
  <si>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</si>
  <si>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</si>
  <si>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</si>
  <si>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</si>
  <si>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</si>
  <si>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</si>
  <si>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</si>
  <si>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</si>
  <si>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</si>
  <si>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</si>
  <si>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</si>
  <si>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</si>
  <si>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</si>
  <si>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</si>
  <si>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</si>
  <si>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</si>
  <si>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</si>
  <si>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</si>
  <si>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</si>
  <si>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</si>
  <si>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</si>
  <si>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</si>
  <si>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</si>
  <si>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</si>
  <si>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</si>
  <si>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</si>
  <si>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</si>
  <si>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</si>
  <si>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</si>
  <si>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</si>
  <si>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</si>
  <si>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</si>
  <si>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</si>
  <si>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</si>
  <si>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</si>
  <si>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</si>
  <si>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</si>
  <si>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</si>
  <si>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</si>
  <si>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</si>
  <si>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</si>
  <si>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</si>
  <si>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</si>
  <si>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</si>
  <si>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</si>
  <si>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</si>
  <si>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</si>
  <si>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</si>
  <si>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</si>
  <si>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</si>
  <si>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</si>
  <si>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</si>
  <si>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</si>
  <si>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</si>
  <si>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</si>
  <si>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</si>
  <si>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</si>
  <si>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</si>
  <si>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</si>
  <si>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</si>
  <si>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</si>
  <si>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</si>
  <si>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</si>
  <si>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</si>
  <si>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</si>
  <si>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</si>
  <si>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</si>
  <si>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</si>
  <si>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</si>
  <si>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</si>
  <si>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</si>
  <si>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</si>
  <si>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</si>
  <si>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</si>
  <si>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</si>
  <si>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</si>
  <si>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</si>
  <si>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</si>
  <si>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</si>
  <si>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</si>
  <si>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</si>
  <si>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</si>
  <si>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</si>
  <si>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</si>
  <si>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</si>
  <si>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</si>
  <si>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</si>
  <si>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</si>
  <si>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</si>
  <si>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</si>
  <si>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</si>
  <si>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</si>
  <si>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</si>
  <si>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</si>
  <si>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</si>
  <si>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</si>
  <si>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</si>
  <si>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</si>
  <si>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</si>
  <si>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</si>
  <si>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</si>
  <si>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</si>
  <si>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</si>
  <si>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</si>
  <si>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</si>
  <si>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</si>
  <si>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</si>
  <si>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</si>
  <si>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</si>
  <si>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</si>
  <si>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</si>
  <si>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</si>
  <si>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</si>
  <si>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</si>
  <si>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</si>
  <si>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</si>
  <si>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</si>
  <si>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</si>
  <si>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</si>
  <si>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</si>
  <si>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</si>
  <si>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</si>
  <si>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</si>
  <si>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</si>
  <si>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</si>
  <si>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</si>
  <si>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</si>
  <si>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</si>
  <si>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</si>
  <si>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</si>
  <si>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</si>
  <si>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</si>
  <si>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</si>
  <si>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</si>
  <si>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</si>
  <si>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</si>
  <si>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</si>
  <si>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</si>
  <si>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</si>
  <si>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</si>
  <si>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</si>
  <si>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</si>
  <si>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</si>
  <si>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</si>
  <si>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</si>
  <si>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</si>
  <si>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</si>
  <si>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</si>
  <si>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</si>
  <si>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</si>
  <si>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</si>
  <si>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</si>
  <si>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</si>
  <si>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</si>
  <si>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</si>
  <si>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</si>
  <si>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</si>
  <si>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</si>
  <si>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</si>
  <si>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</si>
  <si>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</si>
  <si>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</si>
  <si>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</si>
  <si>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</si>
  <si>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</si>
  <si>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</si>
  <si>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</si>
  <si>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</si>
  <si>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</si>
  <si>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</si>
  <si>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</si>
  <si>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</si>
  <si>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</si>
  <si>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</si>
  <si>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</si>
  <si>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</si>
  <si>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</si>
  <si>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</si>
  <si>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</si>
  <si>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</si>
  <si>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</si>
  <si>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</si>
  <si>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</si>
  <si>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</si>
  <si>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</si>
  <si>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</si>
  <si>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</si>
  <si>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</si>
  <si>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</si>
  <si>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</si>
  <si>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</si>
  <si>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</si>
  <si>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</si>
  <si>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</si>
  <si>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</si>
  <si>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</si>
  <si>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</si>
  <si>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</si>
  <si>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</si>
  <si>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</si>
  <si>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</si>
  <si>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</si>
  <si>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</si>
  <si>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</si>
  <si>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</si>
  <si>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</si>
  <si>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</si>
  <si>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</si>
  <si>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</si>
  <si>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</si>
  <si>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</si>
  <si>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</si>
  <si>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</si>
  <si>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</si>
  <si>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</si>
  <si>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</si>
  <si>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</si>
  <si>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</si>
  <si>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</si>
  <si>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</si>
  <si>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</si>
  <si>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</si>
  <si>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</si>
  <si>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</si>
  <si>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</si>
  <si>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</si>
  <si>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</si>
  <si>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</si>
  <si>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</si>
  <si>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</si>
  <si>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</si>
  <si>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</si>
  <si>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</si>
  <si>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</si>
  <si>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</si>
  <si>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</si>
  <si>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</si>
  <si>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</si>
  <si>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</si>
  <si>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</si>
  <si>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</si>
  <si>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</si>
  <si>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</si>
  <si>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</si>
  <si>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</si>
  <si>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</si>
  <si>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</si>
  <si>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</si>
  <si>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</si>
  <si>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</si>
  <si>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</si>
  <si>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</si>
  <si>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</si>
  <si>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</si>
  <si>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</si>
  <si>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</si>
  <si>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</si>
  <si>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</si>
  <si>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</si>
  <si>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</si>
  <si>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</si>
  <si>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</si>
  <si>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</si>
  <si>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</si>
  <si>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</si>
  <si>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</si>
  <si>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</si>
  <si>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</si>
  <si>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</si>
  <si>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</si>
  <si>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</si>
  <si>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</si>
  <si>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</si>
  <si>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</si>
  <si>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</si>
  <si>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</si>
  <si>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</si>
  <si>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</si>
  <si>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</si>
  <si>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</si>
  <si>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</si>
  <si>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</si>
  <si>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</si>
  <si>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</si>
  <si>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</si>
  <si>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</si>
  <si>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</si>
  <si>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</si>
  <si>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</si>
  <si>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</si>
  <si>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</si>
  <si>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</si>
  <si>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</si>
  <si>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</si>
  <si>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</si>
  <si>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</si>
  <si>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</si>
  <si>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</si>
  <si>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</si>
  <si>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</si>
  <si>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</si>
  <si>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</si>
  <si>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</si>
  <si>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</si>
  <si>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</si>
  <si>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</si>
  <si>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</si>
  <si>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</si>
  <si>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</si>
  <si>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</si>
  <si>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</si>
  <si>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</si>
  <si>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</si>
  <si>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</si>
  <si>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</si>
  <si>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</si>
  <si>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</si>
  <si>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</si>
  <si>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</si>
  <si>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</si>
  <si>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</si>
  <si>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</si>
  <si>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</si>
  <si>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</si>
  <si>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</si>
  <si>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</si>
  <si>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</si>
  <si>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</si>
  <si>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</si>
  <si>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</si>
  <si>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</si>
  <si>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</si>
  <si>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</si>
  <si>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</si>
  <si>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</si>
  <si>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</si>
  <si>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</si>
  <si>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</si>
  <si>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</si>
  <si>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</si>
  <si>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</si>
  <si>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</si>
  <si>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</si>
  <si>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</si>
  <si>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</si>
  <si>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</si>
  <si>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</si>
  <si>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</si>
  <si>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</si>
  <si>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</si>
  <si>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</si>
  <si>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</si>
  <si>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</si>
  <si>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</si>
  <si>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</si>
  <si>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</si>
  <si>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</si>
  <si>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</si>
  <si>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</si>
  <si>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</si>
  <si>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</si>
  <si>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</si>
  <si>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</si>
  <si>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</si>
  <si>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</si>
  <si>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</si>
  <si>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</si>
  <si>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</si>
  <si>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</si>
  <si>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</si>
  <si>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</si>
  <si>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</si>
  <si>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</si>
  <si>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</si>
  <si>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</si>
  <si>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</si>
  <si>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</si>
  <si>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</si>
  <si>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</si>
  <si>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</si>
  <si>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</si>
  <si>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</si>
  <si>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</si>
  <si>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</si>
  <si>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</si>
  <si>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</si>
  <si>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</si>
  <si>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</si>
  <si>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</si>
  <si>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</si>
  <si>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</si>
  <si>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</si>
  <si>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</si>
  <si>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</si>
  <si>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</si>
  <si>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</si>
  <si>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</si>
  <si>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</si>
  <si>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</si>
  <si>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</si>
  <si>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</si>
  <si>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</si>
  <si>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</si>
  <si>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</si>
  <si>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</si>
  <si>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</si>
  <si>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</si>
  <si>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</si>
  <si>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</si>
  <si>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</si>
  <si>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</si>
  <si>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</si>
  <si>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</si>
  <si>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</si>
  <si>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</si>
  <si>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</si>
  <si>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</si>
  <si>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</si>
  <si>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</si>
  <si>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</si>
  <si>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</si>
  <si>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</si>
  <si>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</si>
  <si>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</si>
  <si>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</si>
  <si>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</si>
  <si>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</si>
  <si>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</si>
  <si>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</si>
  <si>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</si>
  <si>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</si>
  <si>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</si>
  <si>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</si>
  <si>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</si>
  <si>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</si>
  <si>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</si>
  <si>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</si>
  <si>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</si>
  <si>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</si>
  <si>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</si>
  <si>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</si>
  <si>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</si>
  <si>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</si>
  <si>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</si>
  <si>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</si>
  <si>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</si>
  <si>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</si>
  <si>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</si>
  <si>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</si>
  <si>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</si>
  <si>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</si>
  <si>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</si>
  <si>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</si>
  <si>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</si>
  <si>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</si>
  <si>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</si>
  <si>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</si>
  <si>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</si>
  <si>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</si>
  <si>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</si>
  <si>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</si>
  <si>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</si>
  <si>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</si>
  <si>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</si>
  <si>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</si>
  <si>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</si>
  <si>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000568.SZ</t>
  </si>
  <si>
    <t>CNY</t>
  </si>
  <si>
    <t>泸州老窖</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</si>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</sst>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110.5</v>
      </c>
      <c r="E8" s="32"/>
    </row>
    <row r="9" spans="1:9">
      <c r="B9" s="4" t="s">
        <v>344</v>
      </c>
      <c r="C9" s="48">
        <v>1471941963</v>
      </c>
    </row>
    <row r="10" spans="1:9">
      <c r="B10" s="4" t="s">
        <v>350</v>
      </c>
      <c r="C10" s="33">
        <f>Thesis!C8*Common_Shares/1000000</f>
        <v>162649.5869115</v>
      </c>
      <c r="D10" s="1" t="s">
        <v>525</v>
      </c>
      <c r="E10" s="303">
        <f>Scenarios!F34</f>
        <v>0.15281305363396264</v>
      </c>
    </row>
    <row r="11" spans="1:9">
      <c r="D11" s="5"/>
      <c r="E11" s="5"/>
    </row>
    <row r="12" spans="1:9" ht="24.5" customHeight="1">
      <c r="B12" s="462" t="s">
        <v>353</v>
      </c>
      <c r="C12" s="462"/>
      <c r="D12" s="462"/>
      <c r="E12" s="462"/>
      <c r="F12" s="462"/>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154.90342821921132</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73.121635714867196</v>
      </c>
      <c r="D22" s="38" t="s">
        <v>404</v>
      </c>
      <c r="E22" s="79">
        <v>0.32950289523458665</v>
      </c>
    </row>
    <row r="23" spans="1:6">
      <c r="B23" s="1" t="s">
        <v>312</v>
      </c>
      <c r="C23" s="256">
        <f>E141</f>
        <v>92.375891520070169</v>
      </c>
      <c r="D23" s="38" t="s">
        <v>405</v>
      </c>
      <c r="E23" s="443">
        <v>0.22621703288100403</v>
      </c>
    </row>
    <row r="24" spans="1:6">
      <c r="B24" s="1" t="s">
        <v>314</v>
      </c>
      <c r="C24" s="256">
        <f>E144</f>
        <v>131.12448893172376</v>
      </c>
      <c r="D24" s="38" t="s">
        <v>406</v>
      </c>
      <c r="E24" s="443">
        <v>8.6999999999999994E-2</v>
      </c>
    </row>
    <row r="25" spans="1:6">
      <c r="B25" s="1" t="s">
        <v>313</v>
      </c>
      <c r="C25" s="256">
        <f>E145</f>
        <v>136.36157636797898</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17736569087.803993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60656509.843866028</v>
      </c>
      <c r="D44" s="1" t="str">
        <f>Reporting_currency</f>
        <v>CNY</v>
      </c>
      <c r="E44" s="244"/>
      <c r="F44" s="244"/>
    </row>
    <row r="45" spans="2:6">
      <c r="B45" s="44" t="s">
        <v>268</v>
      </c>
      <c r="C45" s="286">
        <f>Normalized_FCF!C45</f>
        <v>-164982858.12359998</v>
      </c>
      <c r="D45" s="1" t="str">
        <f>Reporting_currency</f>
        <v>CNY</v>
      </c>
      <c r="E45" s="244"/>
      <c r="F45" s="244"/>
    </row>
    <row r="46" spans="2:6">
      <c r="B46" s="44" t="s">
        <v>203</v>
      </c>
      <c r="C46" s="285">
        <f>Normalized_FCF!C10</f>
        <v>-104326348.27973396</v>
      </c>
      <c r="D46" s="1" t="str">
        <f>Reporting_currency</f>
        <v>CNY</v>
      </c>
    </row>
    <row r="48" spans="2:6">
      <c r="B48" s="1" t="s">
        <v>211</v>
      </c>
    </row>
    <row r="49" spans="2:6">
      <c r="B49" s="44" t="s">
        <v>223</v>
      </c>
      <c r="C49" s="285">
        <f>Normalized_FCF!C13</f>
        <v>-43611495.751855388</v>
      </c>
      <c r="D49" s="1" t="str">
        <f>Reporting_currency</f>
        <v>CNY</v>
      </c>
    </row>
    <row r="51" spans="2:6">
      <c r="B51" s="463" t="s">
        <v>206</v>
      </c>
      <c r="C51" s="463"/>
      <c r="D51" s="463"/>
      <c r="E51" s="463"/>
      <c r="F51" s="463"/>
    </row>
    <row r="52" spans="2:6">
      <c r="B52" s="44" t="s">
        <v>204</v>
      </c>
      <c r="C52" s="285">
        <f>Normalized_FCF!C12</f>
        <v>-4408060684.8810644</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12844018055.588684</v>
      </c>
      <c r="D60" s="1" t="str">
        <f>Reporting_currency</f>
        <v>CNY</v>
      </c>
    </row>
    <row r="61" spans="2:6">
      <c r="B61" s="44" t="s">
        <v>213</v>
      </c>
      <c r="C61" s="285">
        <f>Normalized_FCF!C19</f>
        <v>13180570558.891336</v>
      </c>
      <c r="D61" s="1" t="str">
        <f>Reporting_currency</f>
        <v>CNY</v>
      </c>
    </row>
    <row r="62" spans="2:6">
      <c r="B62" s="204" t="s">
        <v>302</v>
      </c>
      <c r="C62" s="89">
        <f>Normalized_FCF!C124</f>
        <v>8.1036606419806506E-2</v>
      </c>
      <c r="F62" s="257"/>
    </row>
    <row r="63" spans="2:6">
      <c r="B63" s="204" t="s">
        <v>330</v>
      </c>
      <c r="C63" s="89">
        <f>Normalized_FCF!C92</f>
        <v>3.7400904977375568E-2</v>
      </c>
      <c r="E63" s="44" t="s">
        <v>321</v>
      </c>
      <c r="F63" s="258">
        <f>Normalized_FCF!C90</f>
        <v>0.51281220823452245</v>
      </c>
    </row>
    <row r="65" spans="1:6">
      <c r="B65" s="192" t="s">
        <v>323</v>
      </c>
      <c r="C65" s="264" t="s">
        <v>325</v>
      </c>
      <c r="D65" s="264" t="s">
        <v>326</v>
      </c>
    </row>
    <row r="66" spans="1:6">
      <c r="B66" s="44" t="s">
        <v>324</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-2749714302.0599999</v>
      </c>
      <c r="D78" s="1" t="str">
        <f>Reporting_currency</f>
        <v>CNY</v>
      </c>
    </row>
    <row r="79" spans="1:6">
      <c r="A79" s="191"/>
      <c r="B79" s="44" t="s">
        <v>234</v>
      </c>
      <c r="C79" s="201">
        <f>C78*scaling_factor*Exchange_Rate/Common_Shares</f>
        <v>-1.8680860870735294</v>
      </c>
      <c r="D79" s="1" t="str">
        <f>Market_currency</f>
        <v>CNY</v>
      </c>
    </row>
    <row r="80" spans="1:6">
      <c r="A80" s="191"/>
      <c r="B80" s="229" t="s">
        <v>308</v>
      </c>
      <c r="C80" s="337">
        <f>IF(BS!G31/BS!G27&gt;300%,"nm",BS!G31/BS!G27)</f>
        <v>5.8904840599867017E-2</v>
      </c>
    </row>
    <row r="81" spans="1:6">
      <c r="A81" s="191"/>
      <c r="B81" s="229" t="s">
        <v>310</v>
      </c>
      <c r="C81" s="338">
        <f>IF(BS!C50&gt;30,"nm",BS!C50)</f>
        <v>0.15503078912543219</v>
      </c>
    </row>
    <row r="82" spans="1:6">
      <c r="A82" s="191"/>
    </row>
    <row r="83" spans="1:6">
      <c r="A83" s="191"/>
      <c r="B83" s="1" t="s">
        <v>464</v>
      </c>
    </row>
    <row r="84" spans="1:6">
      <c r="A84" s="191"/>
      <c r="B84" s="1" t="s">
        <v>224</v>
      </c>
      <c r="C84" s="285">
        <f>DCF!F5</f>
        <v>25341662019.738998</v>
      </c>
      <c r="D84" s="1" t="str">
        <f>Reporting_currency</f>
        <v>CNY</v>
      </c>
    </row>
    <row r="85" spans="1:6">
      <c r="A85" s="191"/>
      <c r="B85" s="229" t="s">
        <v>222</v>
      </c>
      <c r="C85" s="291">
        <f>BS!C66</f>
        <v>35451080327.050003</v>
      </c>
      <c r="D85" s="339" t="str">
        <f>Reporting_currency</f>
        <v>CNY</v>
      </c>
    </row>
    <row r="86" spans="1:6">
      <c r="A86" s="191"/>
      <c r="B86" s="44" t="s">
        <v>235</v>
      </c>
      <c r="C86" s="201">
        <f>C84*scaling_factor*Exchange_Rate/Common_Shares</f>
        <v>17.216481802101459</v>
      </c>
      <c r="D86" s="1" t="str">
        <f>Market_currency</f>
        <v>CNY</v>
      </c>
    </row>
    <row r="87" spans="1:6">
      <c r="A87" s="191"/>
    </row>
    <row r="88" spans="1:6">
      <c r="A88" s="191"/>
      <c r="B88" s="1" t="s">
        <v>216</v>
      </c>
    </row>
    <row r="89" spans="1:6">
      <c r="A89" s="191"/>
      <c r="B89" s="1" t="s">
        <v>217</v>
      </c>
      <c r="C89" s="285">
        <f>DCF!F6</f>
        <v>1298705835.2379999</v>
      </c>
      <c r="D89" s="1" t="str">
        <f>Reporting_currency</f>
        <v>CNY</v>
      </c>
    </row>
    <row r="90" spans="1:6">
      <c r="A90" s="191"/>
      <c r="B90" s="44" t="s">
        <v>236</v>
      </c>
      <c r="C90" s="201">
        <f>C89*scaling_factor*Exchange_Rate/Common_Shares</f>
        <v>0.88230777291726681</v>
      </c>
      <c r="D90" s="1" t="str">
        <f>Market_currency</f>
        <v>CNY</v>
      </c>
    </row>
    <row r="91" spans="1:6">
      <c r="A91" s="191"/>
    </row>
    <row r="92" spans="1:6">
      <c r="A92" s="191"/>
      <c r="B92" s="44" t="s">
        <v>467</v>
      </c>
      <c r="C92" s="216">
        <f>DCF!F8</f>
        <v>16.230703487945195</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12.72773462292413</v>
      </c>
      <c r="D111" s="1" t="str">
        <f>Market_currency</f>
        <v>CNY</v>
      </c>
    </row>
    <row r="112" spans="2:6">
      <c r="B112" s="44" t="s">
        <v>322</v>
      </c>
      <c r="C112" s="216">
        <f>DCF!C11</f>
        <v>190.20472081320983</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0.05</v>
      </c>
      <c r="D118" s="207" t="str">
        <f>ROUND(DCF!E90,2)&amp;" "&amp;Market_currency</f>
        <v>171.57 CNY</v>
      </c>
      <c r="E118" s="208">
        <f>DCF!F90</f>
        <v>0.15</v>
      </c>
      <c r="F118" s="208">
        <f>RATE(Holding_Period,Scenarios!C$58,-DCF!E90,C$18)</f>
        <v>-8.5764377786937424E-3</v>
      </c>
    </row>
    <row r="119" spans="2:6">
      <c r="B119" s="205" t="str">
        <f>DCF!B91&amp;" ("&amp;DCF!D91&amp;"yrs)"</f>
        <v>Optimistic (5yrs)</v>
      </c>
      <c r="C119" s="198">
        <f>DCF!C91</f>
        <v>0.03</v>
      </c>
      <c r="D119" s="207" t="str">
        <f>ROUND(DCF!E91,2)&amp;" "&amp;Market_currency</f>
        <v>158.88 CNY</v>
      </c>
      <c r="E119" s="199">
        <f>DCF!F91</f>
        <v>0.15999999999999995</v>
      </c>
      <c r="F119" s="208">
        <f>RATE(Holding_Period,Scenarios!C$58,-DCF!E91,C$18)</f>
        <v>1.7826766936537737E-2</v>
      </c>
    </row>
    <row r="120" spans="2:6">
      <c r="B120" s="205" t="str">
        <f>DCF!B92&amp;" ("&amp;DCF!D92&amp;"yrs)"</f>
        <v>Base (5yrs)</v>
      </c>
      <c r="C120" s="198">
        <f>DCF!C92</f>
        <v>0.02</v>
      </c>
      <c r="D120" s="207" t="str">
        <f>ROUND(DCF!E92,2)&amp;" "&amp;Market_currency</f>
        <v>152.86 CNY</v>
      </c>
      <c r="E120" s="199">
        <f>DCF!F92</f>
        <v>0.44</v>
      </c>
      <c r="F120" s="208">
        <f>RATE(Holding_Period,Scenarios!C$58,-DCF!E92,C$18)</f>
        <v>3.134800981224807E-2</v>
      </c>
    </row>
    <row r="121" spans="2:6">
      <c r="B121" s="205" t="str">
        <f>DCF!B93&amp;" ("&amp;DCF!D93&amp;"yrs)"</f>
        <v>Pessimistic (5yrs)</v>
      </c>
      <c r="C121" s="198">
        <f>DCF!C93</f>
        <v>0.01</v>
      </c>
      <c r="D121" s="207" t="str">
        <f>ROUND(DCF!E93,2)&amp;" "&amp;Market_currency</f>
        <v>147.07 CNY</v>
      </c>
      <c r="E121" s="199">
        <f>DCF!F93</f>
        <v>0.19999999999999998</v>
      </c>
      <c r="F121" s="208">
        <f>RATE(Holding_Period,Scenarios!C$58,-DCF!E93,C$18)</f>
        <v>4.5083874550095666E-2</v>
      </c>
    </row>
    <row r="122" spans="2:6">
      <c r="B122" s="205" t="str">
        <f>DCF!B94&amp;" ("&amp;DCF!D94&amp;"yrs)"</f>
        <v>Devil's advocate (5yrs)</v>
      </c>
      <c r="C122" s="198">
        <f>DCF!C94</f>
        <v>0</v>
      </c>
      <c r="D122" s="207" t="str">
        <f>ROUND(DCF!E94,2)&amp;" "&amp;Market_currency</f>
        <v>141.48 CNY</v>
      </c>
      <c r="E122" s="199">
        <f>DCF!F94</f>
        <v>0.05</v>
      </c>
      <c r="F122" s="208">
        <f>RATE(Holding_Period,Scenarios!C$58,-DCF!E94,C$18)</f>
        <v>5.9035182400374427E-2</v>
      </c>
    </row>
    <row r="124" spans="2:6">
      <c r="B124" s="463" t="s">
        <v>355</v>
      </c>
      <c r="C124" s="463"/>
      <c r="D124" s="463"/>
      <c r="E124" s="463"/>
      <c r="F124" s="463"/>
    </row>
    <row r="125" spans="2:6">
      <c r="B125" s="193" t="s">
        <v>218</v>
      </c>
      <c r="C125" s="197">
        <f>Scenarios!C36</f>
        <v>154.90342821921132</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4.1328000000000005</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7.2052832811602343</v>
      </c>
      <c r="D140" s="333">
        <f>Scenarios!D62</f>
        <v>65.916352433706962</v>
      </c>
      <c r="E140" s="334">
        <f>Scenarios!E62</f>
        <v>73.121635714867196</v>
      </c>
      <c r="F140" s="335">
        <f>E22</f>
        <v>0.32950289523458665</v>
      </c>
    </row>
    <row r="141" spans="1:6">
      <c r="B141" s="336" t="s">
        <v>312</v>
      </c>
      <c r="C141" s="333">
        <f>Scenarios!C63</f>
        <v>8.3604728249046811</v>
      </c>
      <c r="D141" s="333">
        <f>Scenarios!D63</f>
        <v>84.015418695165494</v>
      </c>
      <c r="E141" s="334">
        <f>Scenarios!E63</f>
        <v>92.375891520070169</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10.517521633559475</v>
      </c>
      <c r="D144" s="333">
        <f>Scenarios!D66</f>
        <v>120.60696729816429</v>
      </c>
      <c r="E144" s="334">
        <f>Scenarios!E66</f>
        <v>131.12448893172376</v>
      </c>
      <c r="F144" s="335">
        <f>E24</f>
        <v>8.6999999999999994E-2</v>
      </c>
    </row>
    <row r="145" spans="1:6">
      <c r="B145" s="336" t="s">
        <v>313</v>
      </c>
      <c r="C145" s="333">
        <f>Scenarios!C67</f>
        <v>10.796424338860641</v>
      </c>
      <c r="D145" s="333">
        <f>Scenarios!D67</f>
        <v>125.56515202911834</v>
      </c>
      <c r="E145" s="334">
        <f>Scenarios!E67</f>
        <v>136.36157636797898</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36" sqref="E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31196248208.330002</v>
      </c>
      <c r="D4" s="287">
        <v>30233301388.259998</v>
      </c>
      <c r="E4" s="287"/>
      <c r="F4" s="287"/>
      <c r="G4" s="287"/>
      <c r="H4" s="287"/>
      <c r="I4" s="287"/>
      <c r="J4" s="287"/>
      <c r="K4" s="287"/>
      <c r="L4" s="287"/>
      <c r="M4" s="287"/>
    </row>
    <row r="5" spans="2:13">
      <c r="B5" s="38" t="s">
        <v>40</v>
      </c>
      <c r="C5" s="287">
        <f>3888116183.93+4753755581.18</f>
        <v>8641871765.1100006</v>
      </c>
      <c r="D5" s="287">
        <f>3537151403.15+4133126350.68</f>
        <v>7670277753.8299999</v>
      </c>
      <c r="E5" s="287"/>
      <c r="F5" s="287"/>
      <c r="G5" s="287"/>
      <c r="H5" s="287"/>
      <c r="I5" s="287"/>
      <c r="J5" s="287"/>
      <c r="K5" s="287"/>
      <c r="L5" s="287"/>
      <c r="M5" s="287"/>
    </row>
    <row r="6" spans="2:13">
      <c r="B6" s="38" t="s">
        <v>51</v>
      </c>
      <c r="C6" s="287">
        <f>1100779964.56+C7</f>
        <v>4639162580.5499992</v>
      </c>
      <c r="D6" s="287">
        <f>1139480677.23+D7</f>
        <v>5113906204.1499996</v>
      </c>
      <c r="E6" s="287"/>
      <c r="F6" s="287"/>
      <c r="G6" s="287"/>
      <c r="H6" s="287"/>
      <c r="I6" s="287"/>
      <c r="J6" s="287"/>
      <c r="K6" s="287"/>
      <c r="L6" s="287"/>
      <c r="M6" s="287"/>
    </row>
    <row r="7" spans="2:13">
      <c r="B7" s="66" t="s">
        <v>58</v>
      </c>
      <c r="C7" s="288">
        <v>3538382615.9899998</v>
      </c>
      <c r="D7" s="288">
        <v>3974425526.9200001</v>
      </c>
      <c r="E7" s="288"/>
      <c r="F7" s="288"/>
      <c r="G7" s="288"/>
      <c r="H7" s="288"/>
      <c r="I7" s="288"/>
      <c r="J7" s="288"/>
      <c r="K7" s="288"/>
      <c r="L7" s="288"/>
      <c r="M7" s="288"/>
    </row>
    <row r="8" spans="2:13">
      <c r="B8" s="38" t="s">
        <v>46</v>
      </c>
      <c r="C8" s="287">
        <v>260975311.09999999</v>
      </c>
      <c r="D8" s="287">
        <v>225955797.33000001</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305448236.36000001</v>
      </c>
      <c r="D12" s="287">
        <v>488003010.93000001</v>
      </c>
      <c r="E12" s="287"/>
      <c r="F12" s="287"/>
      <c r="G12" s="287"/>
      <c r="H12" s="287"/>
      <c r="I12" s="287"/>
      <c r="J12" s="287"/>
      <c r="K12" s="287"/>
      <c r="L12" s="287"/>
      <c r="M12" s="287"/>
    </row>
    <row r="13" spans="2:13">
      <c r="B13" s="38" t="s">
        <v>64</v>
      </c>
      <c r="C13" s="287">
        <v>797923434.29999995</v>
      </c>
      <c r="D13" s="287">
        <v>864006165.58000004</v>
      </c>
      <c r="E13" s="287"/>
      <c r="F13" s="287"/>
      <c r="G13" s="287"/>
      <c r="H13" s="287"/>
      <c r="I13" s="287"/>
      <c r="J13" s="287"/>
      <c r="K13" s="287"/>
      <c r="L13" s="287"/>
      <c r="M13" s="287"/>
    </row>
    <row r="14" spans="2:13">
      <c r="B14" s="38" t="s">
        <v>47</v>
      </c>
      <c r="C14" s="287">
        <v>4707520248.1499996</v>
      </c>
      <c r="D14" s="287">
        <v>4517297533.2299995</v>
      </c>
      <c r="E14" s="287"/>
      <c r="F14" s="287"/>
      <c r="G14" s="287"/>
      <c r="H14" s="287"/>
      <c r="I14" s="287"/>
      <c r="J14" s="287"/>
      <c r="K14" s="287"/>
      <c r="L14" s="287"/>
      <c r="M14" s="287"/>
    </row>
    <row r="15" spans="2:13">
      <c r="B15" s="41" t="s">
        <v>39</v>
      </c>
      <c r="C15" s="289">
        <v>13497778570.889999</v>
      </c>
      <c r="D15" s="289">
        <v>13288660023.209999</v>
      </c>
      <c r="E15" s="289"/>
      <c r="F15" s="289"/>
      <c r="G15" s="289"/>
      <c r="H15" s="289"/>
      <c r="I15" s="289"/>
      <c r="J15" s="289"/>
      <c r="K15" s="289"/>
      <c r="L15" s="289"/>
      <c r="M15" s="289"/>
    </row>
    <row r="16" spans="2:13">
      <c r="B16" s="27" t="s">
        <v>41</v>
      </c>
      <c r="C16" s="287">
        <v>24792094.879999999</v>
      </c>
      <c r="D16" s="287">
        <v>42265322.619999997</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19181768363.650002</v>
      </c>
      <c r="D22" s="287">
        <v>10648364935.459999</v>
      </c>
      <c r="E22" s="287"/>
      <c r="F22" s="287"/>
      <c r="G22" s="287"/>
      <c r="H22" s="287"/>
      <c r="I22" s="287"/>
      <c r="J22" s="287"/>
      <c r="K22" s="287"/>
      <c r="L22" s="287"/>
      <c r="M22" s="287"/>
    </row>
    <row r="23" spans="2:13">
      <c r="B23" s="26" t="s">
        <v>288</v>
      </c>
      <c r="C23" s="287">
        <v>-1382505932.55</v>
      </c>
      <c r="D23" s="287">
        <v>-1268117853</v>
      </c>
      <c r="E23" s="287"/>
      <c r="F23" s="287"/>
      <c r="G23" s="287"/>
      <c r="H23" s="287"/>
      <c r="I23" s="287"/>
      <c r="J23" s="287"/>
      <c r="K23" s="287"/>
      <c r="L23" s="287"/>
      <c r="M23" s="287"/>
    </row>
    <row r="24" spans="2:13">
      <c r="B24" s="26" t="s">
        <v>287</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26</v>
      </c>
      <c r="C27" s="94" t="s">
        <v>544</v>
      </c>
    </row>
    <row r="28" spans="2:13">
      <c r="B28" s="25" t="s">
        <v>22</v>
      </c>
      <c r="C28" s="270">
        <f>BS!C4</f>
        <v>1470111714.1299999</v>
      </c>
      <c r="D28" s="287">
        <f>5938171007.93+17461378.98</f>
        <v>5955632386.9099998</v>
      </c>
      <c r="E28" s="287"/>
      <c r="F28" s="287"/>
      <c r="G28" s="287"/>
      <c r="H28" s="287"/>
      <c r="I28" s="287"/>
      <c r="J28" s="287"/>
      <c r="K28" s="287"/>
      <c r="L28" s="287"/>
      <c r="M28" s="287"/>
    </row>
    <row r="29" spans="2:13">
      <c r="B29" s="25" t="s">
        <v>30</v>
      </c>
      <c r="C29" s="270">
        <f>BS!C6</f>
        <v>13784525369.110001</v>
      </c>
      <c r="D29" s="287">
        <v>11622043947.459999</v>
      </c>
      <c r="E29" s="287"/>
      <c r="F29" s="287"/>
      <c r="G29" s="287"/>
      <c r="H29" s="287"/>
      <c r="I29" s="287"/>
      <c r="J29" s="287"/>
      <c r="K29" s="287"/>
      <c r="L29" s="287"/>
      <c r="M29" s="287"/>
    </row>
    <row r="30" spans="2:13">
      <c r="B30" s="28" t="s">
        <v>38</v>
      </c>
      <c r="C30" s="271">
        <f>BS!C33+BS!C42</f>
        <v>23509629209.560001</v>
      </c>
      <c r="D30" s="289">
        <v>21762747471.75</v>
      </c>
      <c r="E30" s="289"/>
      <c r="F30" s="289"/>
      <c r="G30" s="289"/>
      <c r="H30" s="289"/>
      <c r="I30" s="289"/>
      <c r="J30" s="289"/>
      <c r="K30" s="289"/>
      <c r="L30" s="289"/>
      <c r="M30" s="289"/>
    </row>
    <row r="31" spans="2:13">
      <c r="B31" s="28" t="s">
        <v>28</v>
      </c>
      <c r="C31" s="271">
        <f>BS!G27</f>
        <v>46680616975.75</v>
      </c>
      <c r="D31" s="289">
        <v>41531707729.849998</v>
      </c>
      <c r="E31" s="289"/>
      <c r="F31" s="289"/>
      <c r="G31" s="289"/>
      <c r="H31" s="289"/>
      <c r="I31" s="289"/>
      <c r="J31" s="289"/>
      <c r="K31" s="289"/>
      <c r="L31" s="289"/>
      <c r="M31" s="289"/>
    </row>
    <row r="32" spans="2:13">
      <c r="B32" s="25" t="s">
        <v>143</v>
      </c>
      <c r="C32" s="270">
        <f>BS!G28</f>
        <v>140066503.38999999</v>
      </c>
      <c r="D32" s="287">
        <v>140297234.96000001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83</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16077566.15+1411989312.86+42044835.12</f>
        <v>1470111714.1299999</v>
      </c>
      <c r="D4" s="231">
        <v>0.6</v>
      </c>
      <c r="E4" s="24"/>
      <c r="F4" s="4" t="s">
        <v>74</v>
      </c>
      <c r="G4" s="18">
        <v>35451080327.050003</v>
      </c>
      <c r="H4" s="231">
        <v>0.9</v>
      </c>
    </row>
    <row r="5" spans="2:8" ht="15" customHeight="1">
      <c r="B5" s="1" t="s">
        <v>31</v>
      </c>
      <c r="C5" s="18">
        <v>0</v>
      </c>
      <c r="D5" s="231">
        <v>0.6</v>
      </c>
      <c r="E5" s="24"/>
      <c r="F5" s="1" t="s">
        <v>27</v>
      </c>
      <c r="G5" s="18">
        <v>0</v>
      </c>
      <c r="H5" s="231">
        <v>0.7</v>
      </c>
    </row>
    <row r="6" spans="2:8" ht="15" customHeight="1">
      <c r="B6" s="4" t="s">
        <v>8</v>
      </c>
      <c r="C6" s="18">
        <v>13784525369.110001</v>
      </c>
      <c r="D6" s="231">
        <v>0.5</v>
      </c>
      <c r="E6" s="24"/>
      <c r="F6" s="4" t="s">
        <v>147</v>
      </c>
      <c r="G6" s="18">
        <v>0</v>
      </c>
      <c r="H6" s="231">
        <v>0.6</v>
      </c>
    </row>
    <row r="7" spans="2:8" ht="15" customHeight="1">
      <c r="B7" s="1" t="s">
        <v>66</v>
      </c>
      <c r="C7" s="18">
        <v>0</v>
      </c>
      <c r="D7" s="231">
        <v>0.6</v>
      </c>
      <c r="E7" s="24"/>
      <c r="F7" s="4" t="s">
        <v>148</v>
      </c>
      <c r="G7" s="18">
        <v>1610560917.24</v>
      </c>
      <c r="H7" s="231">
        <v>0.6</v>
      </c>
    </row>
    <row r="8" spans="2:8" ht="15" customHeight="1">
      <c r="B8" s="1" t="s">
        <v>144</v>
      </c>
      <c r="C8" s="18">
        <v>0</v>
      </c>
      <c r="D8" s="231">
        <v>0.6</v>
      </c>
      <c r="E8" s="24"/>
      <c r="F8" s="1" t="s">
        <v>149</v>
      </c>
      <c r="G8" s="18">
        <v>0</v>
      </c>
      <c r="H8" s="231">
        <v>0.6</v>
      </c>
    </row>
    <row r="9" spans="2:8" ht="15" customHeight="1">
      <c r="B9" s="4" t="s">
        <v>23</v>
      </c>
      <c r="C9" s="18">
        <v>228470687.43000001</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44247521.170000002</v>
      </c>
      <c r="D11" s="231">
        <v>0.05</v>
      </c>
      <c r="H11" s="232"/>
    </row>
    <row r="12" spans="2:8" ht="15" customHeight="1">
      <c r="B12" s="77" t="s">
        <v>69</v>
      </c>
      <c r="C12" s="78">
        <f>SUM(C4:C11)</f>
        <v>15527355291.84</v>
      </c>
      <c r="D12" s="19">
        <f>C4*D4+C5*D5+C9*D9+C6*D6+C8*D8+C7*D7+C10*D10+C11*D11</f>
        <v>7799389157.8345003</v>
      </c>
      <c r="F12" s="77" t="s">
        <v>67</v>
      </c>
      <c r="G12" s="78">
        <f>SUM(G4:G10)</f>
        <v>37061641244.290001</v>
      </c>
      <c r="H12" s="19">
        <f>G4*H4+G5*H5+G6*H6+G7*H7+G8*H8+G9*H9+G10*H10</f>
        <v>32872308844.689007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8815147343.06+1165735552.56+24433390.1</f>
        <v>10005316285.719999</v>
      </c>
      <c r="D19" s="231">
        <v>0.1</v>
      </c>
      <c r="F19" s="4" t="s">
        <v>152</v>
      </c>
      <c r="G19" s="18">
        <f>2836552287.45+438338355.95</f>
        <v>3274890643.3999996</v>
      </c>
      <c r="H19" s="231">
        <v>0.1</v>
      </c>
    </row>
    <row r="20" spans="2:8" ht="15" customHeight="1">
      <c r="B20" s="4" t="s">
        <v>16</v>
      </c>
      <c r="C20" s="18">
        <v>0</v>
      </c>
      <c r="D20" s="231">
        <v>0.05</v>
      </c>
      <c r="F20" s="4" t="s">
        <v>149</v>
      </c>
      <c r="G20" s="18">
        <v>0</v>
      </c>
      <c r="H20" s="231">
        <v>0.2</v>
      </c>
    </row>
    <row r="21" spans="2:8" ht="15" customHeight="1">
      <c r="B21" s="4" t="s">
        <v>17</v>
      </c>
      <c r="C21" s="18">
        <v>3452040130.0700002</v>
      </c>
      <c r="D21" s="231">
        <v>0.05</v>
      </c>
      <c r="F21" s="1" t="s">
        <v>150</v>
      </c>
      <c r="G21" s="18">
        <v>48802205.539999999</v>
      </c>
      <c r="H21" s="231">
        <v>0.1</v>
      </c>
    </row>
    <row r="22" spans="2:8" ht="15" customHeight="1">
      <c r="B22" s="4" t="s">
        <v>18</v>
      </c>
      <c r="C22" s="18">
        <v>229979417.63</v>
      </c>
      <c r="D22" s="231">
        <v>0.9</v>
      </c>
      <c r="H22" s="232"/>
    </row>
    <row r="23" spans="2:8" ht="15" customHeight="1">
      <c r="B23" s="4" t="s">
        <v>19</v>
      </c>
      <c r="C23" s="18">
        <f>1322375.9+588898590.92</f>
        <v>590220966.81999993</v>
      </c>
      <c r="D23" s="231">
        <v>0</v>
      </c>
      <c r="H23" s="232"/>
    </row>
    <row r="24" spans="2:8" ht="15" customHeight="1">
      <c r="B24" s="77" t="s">
        <v>70</v>
      </c>
      <c r="C24" s="78">
        <f>SUM(C15:C23)</f>
        <v>14277556800.239998</v>
      </c>
      <c r="D24" s="19">
        <f>C15*D15+C16*D16+C18*D18+C17*D17+C19*D19+C20*D20+C21*D21+C22*D22+C23*D23</f>
        <v>1380115110.9425001</v>
      </c>
      <c r="F24" s="77" t="s">
        <v>68</v>
      </c>
      <c r="G24" s="78">
        <f>SUM(G15:G21)</f>
        <v>3323692848.9399996</v>
      </c>
      <c r="H24" s="19">
        <f>G15*H15+G16*H16+G17*H17+G18*H18+G19*H19+G20*H20+G21*H21</f>
        <v>332369284.89399999</v>
      </c>
    </row>
    <row r="26" spans="2:8" ht="15" customHeight="1">
      <c r="B26" s="16" t="s">
        <v>169</v>
      </c>
      <c r="C26" s="164" t="s">
        <v>113</v>
      </c>
      <c r="F26" s="166" t="s">
        <v>165</v>
      </c>
      <c r="G26" s="167" t="s">
        <v>113</v>
      </c>
      <c r="H26" s="168" t="s">
        <v>33</v>
      </c>
    </row>
    <row r="27" spans="2:8" ht="15" customHeight="1">
      <c r="B27" s="4" t="s">
        <v>3</v>
      </c>
      <c r="C27" s="18">
        <v>0</v>
      </c>
      <c r="F27" s="169" t="s">
        <v>28</v>
      </c>
      <c r="G27" s="82">
        <f>G32-G30</f>
        <v>46680616975.75</v>
      </c>
      <c r="H27" s="170">
        <f>H32-G30</f>
        <v>18874553188.800007</v>
      </c>
    </row>
    <row r="28" spans="2:8" ht="15" customHeight="1">
      <c r="B28" s="4" t="s">
        <v>4</v>
      </c>
      <c r="C28" s="18">
        <v>0</v>
      </c>
      <c r="F28" s="171" t="s">
        <v>209</v>
      </c>
      <c r="G28" s="287">
        <v>140066503.38999999</v>
      </c>
      <c r="H28" s="170"/>
    </row>
    <row r="29" spans="2:8" ht="15" customHeight="1">
      <c r="B29" s="4" t="s">
        <v>5</v>
      </c>
      <c r="C29" s="18">
        <v>0</v>
      </c>
      <c r="F29" s="172" t="s">
        <v>72</v>
      </c>
      <c r="G29" s="14">
        <f>G27-G28</f>
        <v>46540550472.360001</v>
      </c>
      <c r="H29" s="170">
        <f>H27-G28</f>
        <v>18734486685.410007</v>
      </c>
    </row>
    <row r="30" spans="2:8" ht="15" customHeight="1">
      <c r="B30" s="2" t="s">
        <v>6</v>
      </c>
      <c r="C30" s="18">
        <v>0</v>
      </c>
      <c r="F30" s="169" t="s">
        <v>21</v>
      </c>
      <c r="G30" s="82">
        <f>C33+C42</f>
        <v>23509629209.560001</v>
      </c>
      <c r="H30" s="170"/>
    </row>
    <row r="31" spans="2:8" ht="15" customHeight="1">
      <c r="B31" s="77" t="s">
        <v>172</v>
      </c>
      <c r="C31" s="78">
        <f>SUM(C27:C30)</f>
        <v>0</v>
      </c>
      <c r="F31" s="172" t="s">
        <v>73</v>
      </c>
      <c r="G31" s="173">
        <f>C31+C40</f>
        <v>2749714302.0599999</v>
      </c>
      <c r="H31" s="170"/>
    </row>
    <row r="32" spans="2:8" ht="15" customHeight="1">
      <c r="B32" s="4" t="s">
        <v>7</v>
      </c>
      <c r="C32" s="20">
        <f>C33-C31</f>
        <v>20518442745.68</v>
      </c>
      <c r="F32" s="174" t="s">
        <v>71</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29804912092.079998</v>
      </c>
      <c r="H35" s="182">
        <f>D12+D24</f>
        <v>9179504268.7770004</v>
      </c>
    </row>
    <row r="36" spans="2:8" ht="15" customHeight="1">
      <c r="B36" s="4" t="s">
        <v>11</v>
      </c>
      <c r="C36" s="18">
        <v>2728700000</v>
      </c>
      <c r="F36" s="172" t="s">
        <v>166</v>
      </c>
      <c r="G36" s="173">
        <f>C4+C15</f>
        <v>1470111714.1299999</v>
      </c>
      <c r="H36" s="177"/>
    </row>
    <row r="37" spans="2:8" ht="15" customHeight="1">
      <c r="B37" s="4" t="s">
        <v>12</v>
      </c>
      <c r="C37" s="18">
        <v>21014302.059999999</v>
      </c>
      <c r="F37" s="172" t="s">
        <v>167</v>
      </c>
      <c r="G37" s="173">
        <f>C6</f>
        <v>13784525369.110001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10005316285.719999</v>
      </c>
      <c r="H39" s="170">
        <f>C7*D7+C17*D17+C19*D19+C20*D20</f>
        <v>1000531628.572</v>
      </c>
    </row>
    <row r="40" spans="2:8" ht="15" customHeight="1">
      <c r="B40" s="77" t="s">
        <v>173</v>
      </c>
      <c r="C40" s="78">
        <f>SUM(C36:C39)</f>
        <v>2749714302.0599999</v>
      </c>
      <c r="F40" s="181" t="s">
        <v>115</v>
      </c>
      <c r="G40" s="175">
        <f>G12+G24</f>
        <v>40385334093.230003</v>
      </c>
      <c r="H40" s="182">
        <f>H12+H24</f>
        <v>33204678129.583008</v>
      </c>
    </row>
    <row r="41" spans="2:8" ht="15" customHeight="1">
      <c r="B41" s="4" t="s">
        <v>15</v>
      </c>
      <c r="C41" s="20">
        <f>C42-C40</f>
        <v>241472161.82000017</v>
      </c>
      <c r="F41" s="172" t="s">
        <v>160</v>
      </c>
      <c r="G41" s="173">
        <f>C70</f>
        <v>35451080327.050003</v>
      </c>
      <c r="H41" s="182">
        <f>H40-H42</f>
        <v>31905972294.345009</v>
      </c>
    </row>
    <row r="42" spans="2:8" ht="15" customHeight="1">
      <c r="B42" s="80" t="s">
        <v>20</v>
      </c>
      <c r="C42" s="81">
        <v>2991186463.8800001</v>
      </c>
      <c r="F42" s="183" t="s">
        <v>161</v>
      </c>
      <c r="G42" s="184">
        <f>C82</f>
        <v>4934253766.1799994</v>
      </c>
      <c r="H42" s="185">
        <f>D82</f>
        <v>1298705835.2379999</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0.15503078912543219</v>
      </c>
      <c r="D50" s="92">
        <f>G31/Normalized_FCF!G8</f>
        <v>0.15575377516440472</v>
      </c>
      <c r="F50" s="223"/>
    </row>
    <row r="51" spans="2:8" ht="15" customHeight="1">
      <c r="B51" s="1" t="s">
        <v>146</v>
      </c>
      <c r="C51" s="163"/>
      <c r="D51" s="89">
        <f>G29/G32</f>
        <v>0.66306293255458615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0.59508879049896934</v>
      </c>
      <c r="D54" s="89">
        <f>Normalized_FCF!G8/G35</f>
        <v>0.59232647615361456</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0.14254567877287194</v>
      </c>
      <c r="F59" s="223"/>
    </row>
    <row r="60" spans="2:8" ht="15" customHeight="1">
      <c r="F60" s="223"/>
    </row>
    <row r="61" spans="2:8" ht="15" customHeight="1">
      <c r="B61" s="143" t="s">
        <v>231</v>
      </c>
      <c r="C61" s="210" t="s">
        <v>114</v>
      </c>
      <c r="D61" s="179" t="s">
        <v>91</v>
      </c>
      <c r="F61" s="223"/>
    </row>
    <row r="62" spans="2:8" ht="15" customHeight="1">
      <c r="B62" s="1" t="s">
        <v>210</v>
      </c>
      <c r="C62" s="89">
        <f>IF(G28&lt;=0,0,G28/G29)</f>
        <v>3.0095583736849908E-3</v>
      </c>
      <c r="D62" s="89">
        <f>G28/G29</f>
        <v>3.0095583736849908E-3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35451080327.050003</v>
      </c>
      <c r="D66" s="73">
        <f>C66-D75</f>
        <v>25341662019.738998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35451080327.050003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-1691763929.2380002</v>
      </c>
      <c r="D73" s="285">
        <f>(Normalized_FCF!C26+Normalized_FCF!C35-Normalized_FCF!C89)/12</f>
        <v>-1684903051.2185009</v>
      </c>
      <c r="F73" s="1" t="s">
        <v>278</v>
      </c>
    </row>
    <row r="74" spans="2:6" ht="15" customHeight="1">
      <c r="B74" s="227" t="s">
        <v>259</v>
      </c>
      <c r="C74" s="228">
        <f>-$C$66/C73</f>
        <v>20.955098825766893</v>
      </c>
      <c r="D74" s="228">
        <f>-$C$66/D73</f>
        <v>21.040427401097187</v>
      </c>
      <c r="F74" s="223" t="s">
        <v>257</v>
      </c>
    </row>
    <row r="75" spans="2:6" ht="15" customHeight="1">
      <c r="B75" s="77" t="s">
        <v>258</v>
      </c>
      <c r="C75" s="261"/>
      <c r="D75" s="262">
        <f>MAX(-D73*D76,G5)</f>
        <v>10109418307.311005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1610560917.24</v>
      </c>
      <c r="D79" s="73">
        <f>G7*H7+G17*H17</f>
        <v>966336550.34399998</v>
      </c>
      <c r="F79" s="223"/>
    </row>
    <row r="80" spans="2:6" ht="15" customHeight="1">
      <c r="B80" s="102" t="s">
        <v>152</v>
      </c>
      <c r="C80" s="19">
        <f>G19</f>
        <v>3274890643.3999996</v>
      </c>
      <c r="D80" s="73">
        <f>G19*H19</f>
        <v>327489064.33999997</v>
      </c>
      <c r="F80" s="223"/>
    </row>
    <row r="81" spans="2:8" ht="15" customHeight="1">
      <c r="B81" s="102" t="s">
        <v>150</v>
      </c>
      <c r="C81" s="19">
        <f>G9+G21</f>
        <v>48802205.539999999</v>
      </c>
      <c r="D81" s="73">
        <f>G9*H9+G21*H21</f>
        <v>4880220.5540000005</v>
      </c>
      <c r="F81" s="223"/>
    </row>
    <row r="82" spans="2:8" ht="15" customHeight="1">
      <c r="B82" s="77" t="s">
        <v>159</v>
      </c>
      <c r="C82" s="78">
        <f>SUM(C79:C81)</f>
        <v>4934253766.1799994</v>
      </c>
      <c r="D82" s="78">
        <f>SUM(D79:D81)</f>
        <v>1298705835.2379999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-2749714302.0599999</v>
      </c>
      <c r="D86" s="201">
        <f>C86*scaling_factor/Common_Shares</f>
        <v>-1.8680860870735294</v>
      </c>
      <c r="E86" s="214" t="str">
        <f>Market_currency</f>
        <v>CNY</v>
      </c>
    </row>
    <row r="87" spans="2:8" ht="15" customHeight="1">
      <c r="B87" s="212" t="s">
        <v>240</v>
      </c>
      <c r="C87" s="73">
        <f>DCF!F5*Exchange_Rate</f>
        <v>25341662019.738998</v>
      </c>
      <c r="D87" s="201">
        <f>C87*scaling_factor/Common_Shares</f>
        <v>17.216481802101459</v>
      </c>
      <c r="E87" s="214" t="str">
        <f>Market_currency</f>
        <v>CNY</v>
      </c>
    </row>
    <row r="88" spans="2:8" ht="15" customHeight="1">
      <c r="B88" s="213" t="s">
        <v>159</v>
      </c>
      <c r="C88" s="73">
        <f>DCF!F6*Exchange_Rate</f>
        <v>1298705835.2379999</v>
      </c>
      <c r="D88" s="201">
        <f>C88*scaling_factor/Common_Shares</f>
        <v>0.88230777291726681</v>
      </c>
      <c r="E88" s="214" t="str">
        <f>Market_currency</f>
        <v>CNY</v>
      </c>
    </row>
    <row r="89" spans="2:8" ht="15" customHeight="1">
      <c r="B89" s="77" t="s">
        <v>244</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87</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3.7400904977375568E-2</v>
      </c>
      <c r="E92" s="237"/>
      <c r="G92" s="22">
        <f t="shared" ref="G92:Q92" si="38">IF(G$4="","",(G88*(1-dividend_tax_rate))/Market_Price)</f>
        <v>3.7400904977375568E-2</v>
      </c>
      <c r="H92" s="22">
        <f t="shared" si="38"/>
        <v>4.3982535746606335E-2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8.1036606419806506E-2</v>
      </c>
      <c r="D124" s="26"/>
      <c r="E124" s="234"/>
      <c r="F124" s="26"/>
      <c r="G124" s="74">
        <f t="shared" ref="G124" si="49">IF(G$4="","",G123/Market_Price)</f>
        <v>7.8967418851037724E-2</v>
      </c>
      <c r="H124" s="74">
        <f t="shared" ref="H124" si="50">IF(H$4="","",H123/Market_Price)</f>
        <v>7.6372652325771603E-2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8.2986860447634189E-2</v>
      </c>
      <c r="H125" s="22">
        <f>IF(H$4="","",(Data!D47*$C$3)/(Market_Price*Common_Shares))</f>
        <v>8.1701160608791165E-2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13180570558.891336</v>
      </c>
      <c r="D4" t="str">
        <f>Reporting_currency</f>
        <v>CNY</v>
      </c>
      <c r="E4" s="135" t="s">
        <v>429</v>
      </c>
      <c r="F4" s="275">
        <f>-BS!G31</f>
        <v>-2749714302.0599999</v>
      </c>
      <c r="G4" t="str">
        <f>Reporting_currency</f>
        <v>CNY</v>
      </c>
      <c r="H4" s="308" t="s">
        <v>392</v>
      </c>
      <c r="I4" s="305">
        <f>Normalized_FCF!C4</f>
        <v>31196248208.330002</v>
      </c>
      <c r="J4" s="305"/>
    </row>
    <row r="5" spans="2:15">
      <c r="B5" s="187" t="s">
        <v>105</v>
      </c>
      <c r="C5" s="188">
        <f>Equity_Cost</f>
        <v>7.2499999999999995E-2</v>
      </c>
      <c r="E5" s="135" t="s">
        <v>430</v>
      </c>
      <c r="F5" s="275">
        <f>BS!D66</f>
        <v>25341662019.738998</v>
      </c>
      <c r="G5" t="str">
        <f>Reporting_currency</f>
        <v>CNY</v>
      </c>
      <c r="H5" s="308" t="s">
        <v>393</v>
      </c>
      <c r="I5" s="305">
        <f>Normalized_FCF!C7</f>
        <v>-1100779964.5599995</v>
      </c>
      <c r="J5" s="305"/>
    </row>
    <row r="6" spans="2:15" ht="13.25" customHeight="1">
      <c r="B6" s="136" t="s">
        <v>194</v>
      </c>
      <c r="C6" s="283">
        <f>(C4*(1+Terminal_Growth))/(Equity_Cost-Terminal_Growth)</f>
        <v>256079656572.74603</v>
      </c>
      <c r="D6" t="str">
        <f>Reporting_currency</f>
        <v>CNY</v>
      </c>
      <c r="E6" s="187" t="s">
        <v>431</v>
      </c>
      <c r="F6" s="284">
        <f>BS!H42</f>
        <v>1298705835.2379999</v>
      </c>
      <c r="G6" t="str">
        <f>Reporting_currency</f>
        <v>CNY</v>
      </c>
      <c r="H6" s="308" t="s">
        <v>414</v>
      </c>
      <c r="I6" s="305">
        <f>I7+I8</f>
        <v>-104326348.27973396</v>
      </c>
      <c r="J6" s="305"/>
      <c r="N6" s="135"/>
    </row>
    <row r="7" spans="2:15" ht="12.75" customHeight="1">
      <c r="B7" s="318" t="s">
        <v>428</v>
      </c>
      <c r="C7" s="275">
        <f>F7</f>
        <v>23890653552.916996</v>
      </c>
      <c r="E7" s="140" t="s">
        <v>422</v>
      </c>
      <c r="F7" s="283">
        <f>SUM(F4:F6)</f>
        <v>23890653552.916996</v>
      </c>
      <c r="G7" t="str">
        <f>Reporting_currency</f>
        <v>CNY</v>
      </c>
      <c r="H7" s="312" t="s">
        <v>415</v>
      </c>
      <c r="I7" s="313">
        <f>Normalized_FCF!C9</f>
        <v>0</v>
      </c>
      <c r="J7" s="313"/>
      <c r="N7" s="304"/>
      <c r="O7" s="304"/>
    </row>
    <row r="8" spans="2:15" ht="13.15">
      <c r="B8" s="136" t="s">
        <v>424</v>
      </c>
      <c r="C8" s="283">
        <f>C6+C7</f>
        <v>279970310125.66302</v>
      </c>
      <c r="D8" t="str">
        <f>Reporting_currency</f>
        <v>CNY</v>
      </c>
      <c r="E8" s="140" t="s">
        <v>462</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425</v>
      </c>
      <c r="C10" s="283">
        <f>C8*Exchange_Rate</f>
        <v>279970310125.66302</v>
      </c>
      <c r="D10" t="str">
        <f>Market_currency</f>
        <v>CNY</v>
      </c>
      <c r="H10" s="308" t="s">
        <v>395</v>
      </c>
      <c r="I10" s="306">
        <f>Normalized_FCF!C41</f>
        <v>0.25</v>
      </c>
      <c r="N10" s="304"/>
      <c r="O10" s="304"/>
    </row>
    <row r="11" spans="2:15" ht="13.15">
      <c r="B11" s="136" t="s">
        <v>423</v>
      </c>
      <c r="C11" s="108">
        <f>(C10*scaling_factor)/Common_Shares</f>
        <v>190.20472081320983</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0.56520395086535147</v>
      </c>
      <c r="E17" s="308" t="s">
        <v>548</v>
      </c>
      <c r="F17" s="311">
        <f>Scenarios!C40</f>
        <v>0.56520395086535147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155.15545216460865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35801132220.68325</v>
      </c>
      <c r="D51" s="301">
        <f>Terminal_Growth</f>
        <v>0.02</v>
      </c>
      <c r="E51" s="301">
        <f>F17</f>
        <v>0.56520395086535147</v>
      </c>
      <c r="F51" s="277">
        <f>C51*E51</f>
        <v>20234941376.583008</v>
      </c>
      <c r="G51" s="299">
        <f>F18</f>
        <v>0</v>
      </c>
      <c r="H51" s="277">
        <f>(F51*(1-$I$10)+C51*(G51-$I$9))/Equity_Cost</f>
        <v>208636648767.85114</v>
      </c>
      <c r="I51" s="415">
        <f>(F51*(1-$I$10)+C51*(G51-$I$9))/VLOOKUP(C15,B21:H50,COLUMN(H20)-1,FALSE)-1</f>
        <v>1.9999999999999796E-2</v>
      </c>
      <c r="J51" s="454"/>
      <c r="K51" s="119">
        <f>1/(1+Equity_Cost)^C15</f>
        <v>0.70471496766912267</v>
      </c>
      <c r="L51" s="277">
        <f t="shared" si="4"/>
        <v>147029369191.0303</v>
      </c>
    </row>
    <row r="52" spans="1:21" ht="13.15">
      <c r="G52" s="111"/>
      <c r="H52" s="111"/>
      <c r="I52" s="111"/>
      <c r="J52" s="468" t="s">
        <v>418</v>
      </c>
      <c r="K52" s="468"/>
      <c r="L52" s="317">
        <f>SUM(L21:L51)</f>
        <v>204489167276.40967</v>
      </c>
    </row>
    <row r="53" spans="1:21">
      <c r="C53" s="111"/>
    </row>
    <row r="54" spans="1:21" ht="13.15">
      <c r="B54" s="115" t="s">
        <v>108</v>
      </c>
      <c r="C54" s="128"/>
      <c r="D54" s="128"/>
      <c r="E54" s="113"/>
      <c r="F54" s="113"/>
      <c r="G54" s="113"/>
      <c r="H54" s="113"/>
      <c r="I54" s="113"/>
      <c r="J54" s="113"/>
      <c r="K54" s="113"/>
      <c r="L54" s="113"/>
    </row>
    <row r="55" spans="1:21" ht="13.15">
      <c r="A55" s="125">
        <f>L52</f>
        <v>204489167276.40967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5</v>
      </c>
      <c r="E90" s="127">
        <f>INDEX(B$73:F$87, MATCH(D90, A$73:A$87, 0), MATCH(C90, B$72:F$72, 0))</f>
        <v>171.57248846328142</v>
      </c>
      <c r="F90" s="130">
        <f>Scenarios!F29</f>
        <v>0.15</v>
      </c>
      <c r="G90" s="297"/>
      <c r="H90" s="297"/>
      <c r="I90" s="297"/>
      <c r="J90" s="297"/>
      <c r="K90" s="297"/>
      <c r="L90" s="297"/>
    </row>
    <row r="91" spans="1:12">
      <c r="B91" s="120" t="str">
        <f>Scenarios!B22</f>
        <v>Optimistic</v>
      </c>
      <c r="C91" s="130">
        <f>Scenarios!C22</f>
        <v>0.03</v>
      </c>
      <c r="D91" s="133">
        <f>Scenarios!D22</f>
        <v>5</v>
      </c>
      <c r="E91" s="127">
        <f>INDEX(B$73:F$87, MATCH(D91, A$73:A$87, 0), MATCH(C91, B$72:F$72, 0))</f>
        <v>158.87510787252245</v>
      </c>
      <c r="F91" s="130">
        <f>Scenarios!F22*(1-F$90-F$94)</f>
        <v>0.15999999999999995</v>
      </c>
      <c r="G91" s="297"/>
      <c r="H91" s="297"/>
      <c r="I91" s="297"/>
      <c r="J91" s="297"/>
      <c r="K91" s="297"/>
      <c r="L91" s="297"/>
    </row>
    <row r="92" spans="1:12">
      <c r="B92" s="120" t="str">
        <f>Scenarios!B23</f>
        <v>Base</v>
      </c>
      <c r="C92" s="130">
        <f>Scenarios!C23</f>
        <v>0.02</v>
      </c>
      <c r="D92" s="133">
        <f>Scenarios!D23</f>
        <v>5</v>
      </c>
      <c r="E92" s="127">
        <f>INDEX(B$73:F$87, MATCH(D92, A$73:A$87, 0), MATCH(C92, B$72:F$72, 0))</f>
        <v>152.86330883759453</v>
      </c>
      <c r="F92" s="130">
        <f>Scenarios!F23*(1-F$90-F$94)</f>
        <v>0.44</v>
      </c>
      <c r="G92" s="297"/>
      <c r="H92" s="297"/>
      <c r="I92" s="297"/>
      <c r="J92" s="297"/>
      <c r="K92" s="297"/>
      <c r="L92" s="297"/>
    </row>
    <row r="93" spans="1:12">
      <c r="B93" s="120" t="str">
        <f>Scenarios!B24</f>
        <v>Pessimistic</v>
      </c>
      <c r="C93" s="130">
        <f>Scenarios!C24</f>
        <v>0.01</v>
      </c>
      <c r="D93" s="133">
        <f>Scenarios!D24</f>
        <v>5</v>
      </c>
      <c r="E93" s="127">
        <f>INDEX(B$73:F$87, MATCH(D93, A$73:A$87, 0), MATCH(C93, B$72:F$72, 0))</f>
        <v>147.06779159338589</v>
      </c>
      <c r="F93" s="130">
        <f>Scenarios!F24*(1-F$90-F$94)</f>
        <v>0.19999999999999998</v>
      </c>
      <c r="G93" s="297"/>
      <c r="H93" s="297"/>
      <c r="I93" s="297"/>
      <c r="J93" s="297"/>
      <c r="K93" s="297"/>
      <c r="L93" s="297"/>
    </row>
    <row r="94" spans="1:12">
      <c r="B94" s="120" t="str">
        <f>Scenarios!B30</f>
        <v>Devil's advocate</v>
      </c>
      <c r="C94" s="130">
        <f>Scenarios!C30</f>
        <v>0</v>
      </c>
      <c r="D94" s="133">
        <f>Scenarios!D30</f>
        <v>5</v>
      </c>
      <c r="E94" s="127">
        <f>INDEX(B$73:F$87, MATCH(D94, A$73:A$87, 0), MATCH(C94, B$72:F$72, 0))</f>
        <v>141.48246965793527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53" sqref="E5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17654238551.57</v>
      </c>
      <c r="D7" s="469"/>
      <c r="E7" s="469"/>
      <c r="F7" s="469"/>
      <c r="G7" s="469"/>
    </row>
    <row r="8" spans="2:7">
      <c r="B8" s="97" t="s">
        <v>63</v>
      </c>
      <c r="C8" s="447">
        <f>Normalized_FCF!G19</f>
        <v>12844018055.588684</v>
      </c>
      <c r="D8" s="469"/>
      <c r="E8" s="469"/>
      <c r="F8" s="469"/>
      <c r="G8" s="469"/>
    </row>
    <row r="9" spans="2:7">
      <c r="B9" s="97" t="s">
        <v>54</v>
      </c>
      <c r="C9" s="447">
        <f>Normalized_FCF!C19</f>
        <v>13180570558.891336</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158.87510787252245</v>
      </c>
      <c r="F22" s="328">
        <f>1-F23-F24</f>
        <v>0.19999999999999996</v>
      </c>
      <c r="G22" s="328">
        <f>F22*(1-F$29-F$30)</f>
        <v>0.15999999999999995</v>
      </c>
    </row>
    <row r="23" spans="2:7">
      <c r="B23" s="302" t="s">
        <v>435</v>
      </c>
      <c r="C23" s="324">
        <v>0.02</v>
      </c>
      <c r="D23" s="325">
        <f>C18</f>
        <v>5</v>
      </c>
      <c r="E23" s="326">
        <f>DCF!E92</f>
        <v>152.86330883759453</v>
      </c>
      <c r="F23" s="327">
        <v>0.55000000000000004</v>
      </c>
      <c r="G23" s="328">
        <f t="shared" ref="G23:G24" si="0">F23*(1-F$29-F$30)</f>
        <v>0.44</v>
      </c>
    </row>
    <row r="24" spans="2:7">
      <c r="B24" s="302" t="s">
        <v>444</v>
      </c>
      <c r="C24" s="324">
        <v>0.01</v>
      </c>
      <c r="D24" s="325">
        <f>C18</f>
        <v>5</v>
      </c>
      <c r="E24" s="326">
        <f>DCF!E93</f>
        <v>147.06779159338589</v>
      </c>
      <c r="F24" s="327">
        <v>0.25</v>
      </c>
      <c r="G24" s="328">
        <f t="shared" si="0"/>
        <v>0.19999999999999998</v>
      </c>
    </row>
    <row r="25" spans="2:7">
      <c r="B25" s="141" t="s">
        <v>449</v>
      </c>
      <c r="C25" s="441">
        <f>E23*F23+E24*F24+E22*F22</f>
        <v>152.61678933352795</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5</v>
      </c>
      <c r="E29" s="326">
        <f>DCF!E90</f>
        <v>171.57248846328142</v>
      </c>
      <c r="F29" s="327">
        <v>0.15</v>
      </c>
      <c r="G29" s="328">
        <f>F29</f>
        <v>0.15</v>
      </c>
    </row>
    <row r="30" spans="2:7">
      <c r="B30" s="315" t="s">
        <v>445</v>
      </c>
      <c r="C30" s="324">
        <v>0</v>
      </c>
      <c r="D30" s="325">
        <f>C18</f>
        <v>5</v>
      </c>
      <c r="E30" s="326">
        <f>DCF!E94</f>
        <v>141.48246965793527</v>
      </c>
      <c r="F30" s="327">
        <v>0.05</v>
      </c>
      <c r="G30" s="328">
        <f>F30</f>
        <v>0.05</v>
      </c>
    </row>
    <row r="31" spans="2:7">
      <c r="E31" s="329"/>
      <c r="F31" s="329"/>
    </row>
    <row r="32" spans="2:7" ht="13.15">
      <c r="B32" s="145" t="s">
        <v>454</v>
      </c>
    </row>
    <row r="33" spans="2:7">
      <c r="B33" s="97" t="s">
        <v>456</v>
      </c>
      <c r="C33" s="155">
        <f>Normalized_FCF!C88*(1-dividend_tax_rate)</f>
        <v>4.1328000000000005</v>
      </c>
      <c r="D33" t="str">
        <f>Market_currency</f>
        <v>CNY</v>
      </c>
      <c r="E33" s="97" t="s">
        <v>453</v>
      </c>
      <c r="F33" s="219">
        <f>Holding_Period</f>
        <v>3</v>
      </c>
    </row>
    <row r="34" spans="2:7">
      <c r="B34" s="97" t="s">
        <v>233</v>
      </c>
      <c r="C34" s="146">
        <f>Market_Price</f>
        <v>110.5</v>
      </c>
      <c r="D34" t="str">
        <f>Market_currency</f>
        <v>CNY</v>
      </c>
      <c r="E34" s="97" t="s">
        <v>452</v>
      </c>
      <c r="F34" s="330">
        <f>RATE(Holding_Period,$C$33,-C34,$C$36)</f>
        <v>0.15281305363396264</v>
      </c>
    </row>
    <row r="35" spans="2:7">
      <c r="B35" s="97" t="s">
        <v>432</v>
      </c>
      <c r="C35" s="320">
        <f>DCF!C11</f>
        <v>190.20472081320983</v>
      </c>
      <c r="D35" s="97" t="str">
        <f>Market_currency</f>
        <v>CNY</v>
      </c>
      <c r="E35" s="97" t="s">
        <v>452</v>
      </c>
      <c r="F35" s="330">
        <f>RATE(Holding_Period,$C$33,-C35,$C$36)</f>
        <v>-4.2866666015237087E-2</v>
      </c>
    </row>
    <row r="36" spans="2:7">
      <c r="B36" s="97" t="s">
        <v>433</v>
      </c>
      <c r="C36" s="321">
        <f>E22*G22+E23*G23+E24*G24+E30*G30+E29*G29</f>
        <v>154.90342821921132</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0.56520395086535147</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2.38559171477595E-2</v>
      </c>
      <c r="D46" s="138"/>
      <c r="E46" s="221" t="s">
        <v>252</v>
      </c>
    </row>
    <row r="47" spans="2:7">
      <c r="B47" s="97" t="s">
        <v>96</v>
      </c>
      <c r="C47" s="146">
        <f>DCF!I18</f>
        <v>155.15545216460865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0.10477949826246805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4.1328000000000005</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7.2052832811602343</v>
      </c>
      <c r="D62" s="119">
        <f>C36/(1+F62)^Holding_Period</f>
        <v>65.916352433706962</v>
      </c>
      <c r="E62" s="332">
        <f>C62+D62</f>
        <v>73.121635714867196</v>
      </c>
      <c r="F62" s="301">
        <f>Thesis!E22</f>
        <v>0.32950289523458665</v>
      </c>
      <c r="G62" s="440">
        <f>(1-E62/C36)</f>
        <v>0.52795340583818939</v>
      </c>
    </row>
    <row r="63" spans="2:7" ht="13.15">
      <c r="B63" s="302" t="s">
        <v>312</v>
      </c>
      <c r="C63" s="119">
        <f>PV(F63, Holding_Period, -C58, 0)</f>
        <v>8.3604728249046811</v>
      </c>
      <c r="D63" s="119">
        <f>C36/(1+F63)^Holding_Period</f>
        <v>84.015418695165494</v>
      </c>
      <c r="E63" s="332">
        <f>C63+D63</f>
        <v>92.375891520070169</v>
      </c>
      <c r="F63" s="301">
        <f>Thesis!E23</f>
        <v>0.22621703288100403</v>
      </c>
      <c r="G63" s="440">
        <f>(1-E63/C36)</f>
        <v>0.40365495727218781</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10.517521633559475</v>
      </c>
      <c r="D66" s="119">
        <f>C36/(1+F66)^Holding_Period</f>
        <v>120.60696729816429</v>
      </c>
      <c r="E66" s="332">
        <f>C66+D66</f>
        <v>131.12448893172376</v>
      </c>
      <c r="F66" s="301">
        <f>Thesis!E24</f>
        <v>8.6999999999999994E-2</v>
      </c>
      <c r="G66" s="440">
        <f>(1-E66/C36)</f>
        <v>0.15350815382753724</v>
      </c>
    </row>
    <row r="67" spans="2:7" ht="13.15">
      <c r="B67" s="302" t="s">
        <v>313</v>
      </c>
      <c r="C67" s="119">
        <f>PV(F67, Holding_Period, -C58, 0)</f>
        <v>10.796424338860641</v>
      </c>
      <c r="D67" s="119">
        <f>C36/(1+F67)^Holding_Period</f>
        <v>125.56515202911834</v>
      </c>
      <c r="E67" s="332">
        <f>C67+D67</f>
        <v>136.36157636797898</v>
      </c>
      <c r="F67" s="301">
        <f>Thesis!E25</f>
        <v>7.2499999999999995E-2</v>
      </c>
      <c r="G67" s="440">
        <f>(1-E67/C36)</f>
        <v>0.11969942863364436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泸州老窖</v>
      </c>
      <c r="D4" s="349"/>
      <c r="E4" s="434" t="s">
        <v>537</v>
      </c>
      <c r="F4" s="437" t="str">
        <f>Thesis!F4</f>
        <v>CN</v>
      </c>
    </row>
    <row r="5" spans="1:10">
      <c r="B5" s="343" t="s">
        <v>362</v>
      </c>
      <c r="C5" s="355" t="str">
        <f>Thesis!C5</f>
        <v>000568.SZ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110.5</v>
      </c>
    </row>
    <row r="9" spans="1:10">
      <c r="B9" s="351" t="s">
        <v>359</v>
      </c>
      <c r="C9" s="353">
        <f>Common_Shares</f>
        <v>1471941963</v>
      </c>
    </row>
    <row r="10" spans="1:10">
      <c r="B10" s="351" t="s">
        <v>365</v>
      </c>
      <c r="C10" s="357">
        <f>投资主题!C8*Common_Shares/1000000</f>
        <v>162649.5869115</v>
      </c>
      <c r="D10" s="343" t="s">
        <v>526</v>
      </c>
      <c r="E10" s="360">
        <f>Scenarios!F34</f>
        <v>0.15281305363396264</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154.90342821921132</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73.121635714867196</v>
      </c>
      <c r="D22" s="365" t="s">
        <v>438</v>
      </c>
      <c r="E22" s="366">
        <f>Thesis!E22</f>
        <v>0.32950289523458665</v>
      </c>
    </row>
    <row r="23" spans="1:6">
      <c r="B23" s="343" t="s">
        <v>339</v>
      </c>
      <c r="C23" s="367">
        <f>E141</f>
        <v>92.375891520070169</v>
      </c>
      <c r="D23" s="365" t="s">
        <v>439</v>
      </c>
      <c r="E23" s="368">
        <f>Thesis!E23</f>
        <v>0.22621703288100403</v>
      </c>
    </row>
    <row r="24" spans="1:6">
      <c r="B24" s="343" t="s">
        <v>341</v>
      </c>
      <c r="C24" s="367">
        <f>E144</f>
        <v>131.12448893172376</v>
      </c>
      <c r="D24" s="365" t="s">
        <v>441</v>
      </c>
      <c r="E24" s="368">
        <f>Thesis!E24</f>
        <v>8.6999999999999994E-2</v>
      </c>
    </row>
    <row r="25" spans="1:6">
      <c r="B25" s="343" t="s">
        <v>340</v>
      </c>
      <c r="C25" s="367">
        <f>E145</f>
        <v>136.36157636797898</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17736569087.803993</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60656509.843866028</v>
      </c>
      <c r="D44" s="343" t="str">
        <f>Reporting_currency</f>
        <v>CNY</v>
      </c>
      <c r="E44" s="371"/>
      <c r="F44" s="371"/>
    </row>
    <row r="45" spans="2:6">
      <c r="B45" s="372" t="s">
        <v>268</v>
      </c>
      <c r="C45" s="376">
        <f>Normalized_FCF!C45</f>
        <v>-164982858.12359998</v>
      </c>
      <c r="D45" s="343" t="str">
        <f>Reporting_currency</f>
        <v>CNY</v>
      </c>
      <c r="E45" s="371"/>
      <c r="F45" s="371"/>
    </row>
    <row r="46" spans="2:6">
      <c r="B46" s="372" t="s">
        <v>203</v>
      </c>
      <c r="C46" s="373">
        <f>Normalized_FCF!C10</f>
        <v>-104326348.27973396</v>
      </c>
      <c r="D46" s="343" t="str">
        <f>Reporting_currency</f>
        <v>CNY</v>
      </c>
    </row>
    <row r="48" spans="2:6">
      <c r="B48" s="343" t="s">
        <v>502</v>
      </c>
    </row>
    <row r="49" spans="2:6">
      <c r="B49" s="372" t="s">
        <v>223</v>
      </c>
      <c r="C49" s="373">
        <f>Normalized_FCF!C13</f>
        <v>-43611495.751855388</v>
      </c>
      <c r="D49" s="343" t="str">
        <f>Reporting_currency</f>
        <v>CNY</v>
      </c>
    </row>
    <row r="51" spans="2:6">
      <c r="B51" s="470" t="s">
        <v>503</v>
      </c>
      <c r="C51" s="470"/>
      <c r="D51" s="470"/>
      <c r="E51" s="470"/>
      <c r="F51" s="470"/>
    </row>
    <row r="52" spans="2:6">
      <c r="B52" s="372" t="s">
        <v>494</v>
      </c>
      <c r="C52" s="373">
        <f>Normalized_FCF!C12</f>
        <v>-4408060684.8810644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12844018055.588684</v>
      </c>
      <c r="D60" s="343" t="str">
        <f>Reporting_currency</f>
        <v>CNY</v>
      </c>
    </row>
    <row r="61" spans="2:6">
      <c r="B61" s="372" t="s">
        <v>213</v>
      </c>
      <c r="C61" s="373">
        <f>Normalized_FCF!C19</f>
        <v>13180570558.891336</v>
      </c>
      <c r="D61" s="343" t="str">
        <f>Reporting_currency</f>
        <v>CNY</v>
      </c>
    </row>
    <row r="62" spans="2:6">
      <c r="B62" s="377" t="s">
        <v>302</v>
      </c>
      <c r="C62" s="378">
        <f>Normalized_FCF!C124</f>
        <v>8.1036606419806506E-2</v>
      </c>
      <c r="F62" s="379"/>
    </row>
    <row r="63" spans="2:6">
      <c r="B63" s="377" t="s">
        <v>330</v>
      </c>
      <c r="C63" s="378">
        <f>Normalized_FCF!C92</f>
        <v>3.7400904977375568E-2</v>
      </c>
      <c r="E63" s="372" t="s">
        <v>371</v>
      </c>
      <c r="F63" s="380">
        <f>Normalized_FCF!C90</f>
        <v>0.51281220823452245</v>
      </c>
    </row>
    <row r="65" spans="1:6">
      <c r="B65" s="369" t="s">
        <v>374</v>
      </c>
      <c r="C65" s="381" t="s">
        <v>325</v>
      </c>
      <c r="D65" s="381" t="s">
        <v>372</v>
      </c>
    </row>
    <row r="66" spans="1:6">
      <c r="B66" s="372" t="s">
        <v>324</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-2749714302.0599999</v>
      </c>
      <c r="D78" s="343" t="str">
        <f>Reporting_currency</f>
        <v>CNY</v>
      </c>
    </row>
    <row r="79" spans="1:6">
      <c r="B79" s="372" t="s">
        <v>234</v>
      </c>
      <c r="C79" s="387">
        <f>C78*scaling_factor*Exchange_Rate/Common_Shares</f>
        <v>-1.8680860870735294</v>
      </c>
      <c r="D79" s="343" t="str">
        <f>Market_currency</f>
        <v>CNY</v>
      </c>
    </row>
    <row r="80" spans="1:6">
      <c r="B80" s="382" t="s">
        <v>308</v>
      </c>
      <c r="C80" s="388">
        <f>IF(BS!G31/BS!G27&gt;300%,"nm",BS!G31/BS!G27)</f>
        <v>5.8904840599867017E-2</v>
      </c>
    </row>
    <row r="81" spans="1:6">
      <c r="B81" s="382" t="s">
        <v>310</v>
      </c>
      <c r="C81" s="389">
        <f>IF(BS!C50&gt;30,"nm",BS!C50)</f>
        <v>0.15503078912543219</v>
      </c>
    </row>
    <row r="83" spans="1:6">
      <c r="B83" s="343" t="s">
        <v>509</v>
      </c>
    </row>
    <row r="84" spans="1:6">
      <c r="B84" s="343" t="s">
        <v>224</v>
      </c>
      <c r="C84" s="373">
        <f>DCF!F5</f>
        <v>25341662019.738998</v>
      </c>
      <c r="D84" s="343" t="str">
        <f>Reporting_currency</f>
        <v>CNY</v>
      </c>
    </row>
    <row r="85" spans="1:6">
      <c r="B85" s="382" t="s">
        <v>479</v>
      </c>
      <c r="C85" s="390">
        <f>BS!C66</f>
        <v>35451080327.050003</v>
      </c>
      <c r="D85" s="391" t="str">
        <f>Reporting_currency</f>
        <v>CNY</v>
      </c>
    </row>
    <row r="86" spans="1:6">
      <c r="B86" s="372" t="s">
        <v>235</v>
      </c>
      <c r="C86" s="387">
        <f>C84*scaling_factor*Exchange_Rate/Common_Shares</f>
        <v>17.216481802101459</v>
      </c>
      <c r="D86" s="343" t="str">
        <f>Market_currency</f>
        <v>CNY</v>
      </c>
    </row>
    <row r="88" spans="1:6">
      <c r="B88" s="343" t="s">
        <v>510</v>
      </c>
    </row>
    <row r="89" spans="1:6">
      <c r="B89" s="343" t="s">
        <v>217</v>
      </c>
      <c r="C89" s="373">
        <f>DCF!F6</f>
        <v>1298705835.2379999</v>
      </c>
      <c r="D89" s="343" t="str">
        <f>Reporting_currency</f>
        <v>CNY</v>
      </c>
    </row>
    <row r="90" spans="1:6">
      <c r="B90" s="372" t="s">
        <v>236</v>
      </c>
      <c r="C90" s="387">
        <f>C89*scaling_factor*Exchange_Rate/Common_Shares</f>
        <v>0.88230777291726681</v>
      </c>
      <c r="D90" s="343" t="str">
        <f>Market_currency</f>
        <v>CNY</v>
      </c>
    </row>
    <row r="92" spans="1:6">
      <c r="B92" s="372" t="s">
        <v>478</v>
      </c>
      <c r="C92" s="387">
        <f>DCF!F8</f>
        <v>16.230703487945195</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12.72773462292413</v>
      </c>
      <c r="D111" s="343" t="str">
        <f>Market_currency</f>
        <v>CNY</v>
      </c>
    </row>
    <row r="112" spans="1:6">
      <c r="A112" s="385"/>
      <c r="B112" s="372" t="s">
        <v>375</v>
      </c>
      <c r="C112" s="394">
        <f>DCF!C11</f>
        <v>190.20472081320983</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5</v>
      </c>
      <c r="E118" s="398" t="str">
        <f>ROUND(DCF!E90,2)&amp;" "&amp;Market_currency</f>
        <v>171.57 CNY</v>
      </c>
      <c r="F118" s="399">
        <f>DCF!F90</f>
        <v>0.15</v>
      </c>
    </row>
    <row r="119" spans="1:6">
      <c r="A119" s="385"/>
      <c r="B119" s="400" t="str">
        <f>DCF!B91</f>
        <v>Optimistic</v>
      </c>
      <c r="C119" s="401">
        <f>DCF!C91</f>
        <v>0.03</v>
      </c>
      <c r="D119" s="402">
        <f>DCF!D91</f>
        <v>5</v>
      </c>
      <c r="E119" s="398" t="str">
        <f>ROUND(DCF!E91,2)&amp;" "&amp;Market_currency</f>
        <v>158.88 CNY</v>
      </c>
      <c r="F119" s="403">
        <f>DCF!F91</f>
        <v>0.15999999999999995</v>
      </c>
    </row>
    <row r="120" spans="1:6">
      <c r="B120" s="400" t="str">
        <f>DCF!B92</f>
        <v>Base</v>
      </c>
      <c r="C120" s="401">
        <f>DCF!C92</f>
        <v>0.02</v>
      </c>
      <c r="D120" s="402">
        <f>DCF!D92</f>
        <v>5</v>
      </c>
      <c r="E120" s="398" t="str">
        <f>ROUND(DCF!E92,2)&amp;" "&amp;Market_currency</f>
        <v>152.86 CNY</v>
      </c>
      <c r="F120" s="403">
        <f>DCF!F92</f>
        <v>0.44</v>
      </c>
    </row>
    <row r="121" spans="1:6">
      <c r="B121" s="400" t="str">
        <f>DCF!B93</f>
        <v>Pessimistic</v>
      </c>
      <c r="C121" s="401">
        <f>DCF!C93</f>
        <v>0.01</v>
      </c>
      <c r="D121" s="402">
        <f>DCF!D93</f>
        <v>5</v>
      </c>
      <c r="E121" s="398" t="str">
        <f>ROUND(DCF!E93,2)&amp;" "&amp;Market_currency</f>
        <v>147.07 CNY</v>
      </c>
      <c r="F121" s="403">
        <f>DCF!F93</f>
        <v>0.19999999999999998</v>
      </c>
    </row>
    <row r="122" spans="1:6">
      <c r="B122" s="400" t="str">
        <f>DCF!B94</f>
        <v>Devil's advocate</v>
      </c>
      <c r="C122" s="401">
        <f>DCF!C94</f>
        <v>0</v>
      </c>
      <c r="D122" s="402">
        <f>DCF!D94</f>
        <v>5</v>
      </c>
      <c r="E122" s="398" t="str">
        <f>ROUND(DCF!E94,2)&amp;" "&amp;Market_currency</f>
        <v>141.48 CNY</v>
      </c>
      <c r="F122" s="403">
        <f>DCF!F94</f>
        <v>0.05</v>
      </c>
    </row>
    <row r="124" spans="1:6">
      <c r="B124" s="470" t="s">
        <v>516</v>
      </c>
      <c r="C124" s="470"/>
      <c r="D124" s="470"/>
      <c r="E124" s="470"/>
      <c r="F124" s="470"/>
    </row>
    <row r="125" spans="1:6">
      <c r="B125" s="372" t="s">
        <v>218</v>
      </c>
      <c r="C125" s="404">
        <f>Scenarios!C36</f>
        <v>154.90342821921132</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4.1328000000000005</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7.2052832811602343</v>
      </c>
      <c r="D140" s="409">
        <f>Scenarios!D62</f>
        <v>65.916352433706962</v>
      </c>
      <c r="E140" s="410">
        <f>Scenarios!E62</f>
        <v>73.121635714867196</v>
      </c>
      <c r="F140" s="411">
        <f>E22</f>
        <v>0.32950289523458665</v>
      </c>
    </row>
    <row r="141" spans="1:6">
      <c r="B141" s="408" t="s">
        <v>312</v>
      </c>
      <c r="C141" s="409">
        <f>Scenarios!C63</f>
        <v>8.3604728249046811</v>
      </c>
      <c r="D141" s="409">
        <f>Scenarios!D63</f>
        <v>84.015418695165494</v>
      </c>
      <c r="E141" s="410">
        <f>Scenarios!E63</f>
        <v>92.375891520070169</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10.517521633559475</v>
      </c>
      <c r="D144" s="409">
        <f>Scenarios!D66</f>
        <v>120.60696729816429</v>
      </c>
      <c r="E144" s="410">
        <f>Scenarios!E66</f>
        <v>131.12448893172376</v>
      </c>
      <c r="F144" s="411">
        <f>E24</f>
        <v>8.6999999999999994E-2</v>
      </c>
    </row>
    <row r="145" spans="1:6">
      <c r="B145" s="408" t="s">
        <v>313</v>
      </c>
      <c r="C145" s="409">
        <f>Scenarios!C67</f>
        <v>10.796424338860641</v>
      </c>
      <c r="D145" s="409">
        <f>Scenarios!D67</f>
        <v>125.56515202911834</v>
      </c>
      <c r="E145" s="410">
        <f>Scenarios!E67</f>
        <v>136.36157636797898</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2026-02-28T02:43:35Z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