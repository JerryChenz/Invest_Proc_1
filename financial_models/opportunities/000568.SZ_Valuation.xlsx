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791196-A29C-425B-A0AE-07410D6DF75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<sst xmlns="http://schemas.openxmlformats.org/spreadsheetml/2006/main" count="768" uniqueCount="557">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</sst>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10"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46105</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105.3</v>
      </c>
      <c r="E8" s="32"/>
    </row>
    <row r="9" spans="1:9">
      <c r="B9" s="4" t="s">
        <v>344</v>
      </c>
      <c r="C9" s="48">
        <v>1471941963</v>
      </c>
    </row>
    <row r="10" spans="1:9">
      <c r="B10" s="4" t="s">
        <v>350</v>
      </c>
      <c r="C10" s="33">
        <f>Thesis!C8*Common_Shares/1000000</f>
        <v>154995.48870389999</v>
      </c>
      <c r="D10" s="1" t="s">
        <v>525</v>
      </c>
      <c r="E10" s="303">
        <f>Scenarios!F34</f>
        <v>0.2160259300061575</v>
      </c>
    </row>
    <row r="11" spans="1:9">
      <c r="D11" s="5"/>
      <c r="E11" s="5"/>
    </row>
    <row r="12" spans="1:9" ht="24.5" customHeight="1">
      <c r="B12" s="463" t="s">
        <v>353</v>
      </c>
      <c r="C12" s="463"/>
      <c r="D12" s="463"/>
      <c r="E12" s="463"/>
      <c r="F12" s="463"/>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174.07668204091138</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86.739441984939162</v>
      </c>
      <c r="D22" s="38" t="s">
        <v>404</v>
      </c>
      <c r="E22" s="79">
        <v>0.3</v>
      </c>
    </row>
    <row r="23" spans="1:6">
      <c r="B23" s="1" t="s">
        <v>312</v>
      </c>
      <c r="C23" s="256">
        <f>E141</f>
        <v>109.4444872921941</v>
      </c>
      <c r="D23" s="38" t="s">
        <v>405</v>
      </c>
      <c r="E23" s="443">
        <v>0.2</v>
      </c>
    </row>
    <row r="24" spans="1:6">
      <c r="B24" s="1" t="s">
        <v>314</v>
      </c>
      <c r="C24" s="256">
        <f>E144</f>
        <v>146.05268014903339</v>
      </c>
      <c r="D24" s="38" t="s">
        <v>406</v>
      </c>
      <c r="E24" s="443">
        <v>8.6999999999999994E-2</v>
      </c>
    </row>
    <row r="25" spans="1:6">
      <c r="B25" s="1" t="s">
        <v>313</v>
      </c>
      <c r="C25" s="256">
        <f>E145</f>
        <v>151.90346952484109</v>
      </c>
      <c r="D25" s="38" t="s">
        <v>407</v>
      </c>
      <c r="E25" s="444">
        <v>7.2499999999999995E-2</v>
      </c>
    </row>
    <row r="26" spans="1:6">
      <c r="D26" s="5"/>
      <c r="E26" s="5"/>
    </row>
    <row r="27" spans="1:6" ht="13.9">
      <c r="A27" s="200" t="s">
        <v>280</v>
      </c>
      <c r="B27" s="34"/>
      <c r="C27" s="34"/>
      <c r="D27" s="34"/>
      <c r="E27" s="34"/>
      <c r="F27" s="34"/>
    </row>
    <row r="29" spans="1:6">
      <c r="B29" s="463" t="s">
        <v>354</v>
      </c>
      <c r="C29" s="463"/>
      <c r="D29" s="463"/>
      <c r="E29" s="463"/>
      <c r="F29" s="463"/>
    </row>
    <row r="30" spans="1:6" ht="24.5" customHeight="1">
      <c r="B30" s="467" t="s">
        <v>266</v>
      </c>
      <c r="C30" s="467"/>
      <c r="D30" s="467"/>
      <c r="E30" s="467"/>
      <c r="F30" s="467"/>
    </row>
    <row r="32" spans="1:6">
      <c r="B32" s="192" t="s">
        <v>195</v>
      </c>
      <c r="C32" s="105">
        <f>scaling_factor</f>
        <v>1</v>
      </c>
    </row>
    <row r="33" spans="2:6" ht="24.5" customHeight="1">
      <c r="B33" s="464" t="s">
        <v>196</v>
      </c>
      <c r="C33" s="464"/>
      <c r="D33" s="464"/>
      <c r="E33" s="464"/>
      <c r="F33" s="464"/>
    </row>
    <row r="34" spans="2:6">
      <c r="B34" s="44" t="s">
        <v>197</v>
      </c>
      <c r="C34" s="285">
        <f>Normalized_FCF!C8</f>
        <v>17736569087.803993</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4" t="s">
        <v>206</v>
      </c>
      <c r="C51" s="464"/>
      <c r="D51" s="464"/>
      <c r="E51" s="464"/>
      <c r="F51" s="464"/>
    </row>
    <row r="52" spans="2:6">
      <c r="B52" s="44" t="s">
        <v>204</v>
      </c>
      <c r="C52" s="285">
        <f>Normalized_FCF!C12</f>
        <v>-4408060684.8810644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8.5038414144241389E-2</v>
      </c>
      <c r="F62" s="257"/>
    </row>
    <row r="63" spans="2:6">
      <c r="B63" s="204" t="s">
        <v>330</v>
      </c>
      <c r="C63" s="89">
        <f>Normalized_FCF!C92</f>
        <v>3.9247863247863252E-2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3" t="s">
        <v>476</v>
      </c>
      <c r="C73" s="463"/>
      <c r="D73" s="463"/>
      <c r="E73" s="463"/>
      <c r="F73" s="463"/>
    </row>
    <row r="74" spans="1:6">
      <c r="A74" s="191"/>
      <c r="B74" s="1" t="s">
        <v>463</v>
      </c>
    </row>
    <row r="75" spans="1:6">
      <c r="A75" s="191"/>
    </row>
    <row r="76" spans="1:6">
      <c r="A76" s="191"/>
      <c r="B76" s="192" t="s">
        <v>195</v>
      </c>
    </row>
    <row r="77" spans="1:6">
      <c r="A77" s="191"/>
      <c r="B77" s="463" t="s">
        <v>271</v>
      </c>
      <c r="C77" s="463"/>
      <c r="D77" s="463"/>
      <c r="E77" s="463"/>
      <c r="F77" s="463"/>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3" t="s">
        <v>483</v>
      </c>
      <c r="C96" s="463"/>
      <c r="D96" s="463"/>
      <c r="E96" s="463"/>
      <c r="F96" s="463"/>
    </row>
    <row r="97" spans="2:6">
      <c r="B97" s="467" t="s">
        <v>482</v>
      </c>
      <c r="C97" s="467"/>
      <c r="D97" s="467"/>
      <c r="E97" s="467"/>
      <c r="F97" s="467"/>
    </row>
    <row r="98" spans="2:6">
      <c r="B98" s="467" t="s">
        <v>481</v>
      </c>
      <c r="C98" s="467"/>
      <c r="D98" s="467"/>
      <c r="E98" s="467"/>
      <c r="F98" s="467"/>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3" t="s">
        <v>489</v>
      </c>
      <c r="C114" s="463"/>
      <c r="D114" s="463"/>
      <c r="E114" s="463"/>
      <c r="F114" s="463"/>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4" t="s">
        <v>355</v>
      </c>
      <c r="C124" s="464"/>
      <c r="D124" s="464"/>
      <c r="E124" s="464"/>
      <c r="F124" s="464"/>
    </row>
    <row r="125" spans="2:6">
      <c r="B125" s="193" t="s">
        <v>218</v>
      </c>
      <c r="C125" s="197">
        <f>Scenarios!C36</f>
        <v>174.07668204091138</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8" t="s">
        <v>285</v>
      </c>
      <c r="C131" s="468"/>
      <c r="D131" s="468"/>
      <c r="E131" s="468"/>
      <c r="F131" s="468"/>
    </row>
    <row r="132" spans="1:6">
      <c r="B132" s="463" t="s">
        <v>357</v>
      </c>
      <c r="C132" s="463"/>
      <c r="D132" s="463"/>
      <c r="E132" s="463"/>
      <c r="F132" s="463"/>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7.5056313154301346</v>
      </c>
      <c r="D140" s="333">
        <f>Scenarios!D62</f>
        <v>79.233810669509026</v>
      </c>
      <c r="E140" s="334">
        <f>Scenarios!E62</f>
        <v>86.739441984939162</v>
      </c>
      <c r="F140" s="335">
        <f>E22</f>
        <v>0.3</v>
      </c>
    </row>
    <row r="141" spans="1:6">
      <c r="B141" s="336" t="s">
        <v>312</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135.53515851547391</v>
      </c>
      <c r="E144" s="334">
        <f>Scenarios!E66</f>
        <v>146.05268014903339</v>
      </c>
      <c r="F144" s="335">
        <f>E24</f>
        <v>8.6999999999999994E-2</v>
      </c>
    </row>
    <row r="145" spans="1:6">
      <c r="B145" s="336" t="s">
        <v>313</v>
      </c>
      <c r="C145" s="333">
        <f>Scenarios!C67</f>
        <v>10.796424338860641</v>
      </c>
      <c r="D145" s="333">
        <f>Scenarios!D67</f>
        <v>141.10704518598044</v>
      </c>
      <c r="E145" s="334">
        <f>Scenarios!E67</f>
        <v>151.90346952484109</v>
      </c>
      <c r="F145" s="335">
        <f>Scenarios!F67</f>
        <v>7.2499999999999995E-2</v>
      </c>
    </row>
    <row r="147" spans="1:6" ht="13.9">
      <c r="A147" s="200" t="s">
        <v>473</v>
      </c>
      <c r="B147" s="34"/>
      <c r="C147" s="34"/>
      <c r="D147" s="34"/>
      <c r="E147" s="34"/>
      <c r="F147" s="34"/>
    </row>
    <row r="149" spans="1:6">
      <c r="B149" s="462" t="s">
        <v>358</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436</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7" sqref="D2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3.9247863247863252E-2</v>
      </c>
      <c r="E92" s="237"/>
      <c r="G92" s="22">
        <f t="shared" ref="G92:Q92" si="38">IF(G$4="","",(G88*(1-dividend_tax_rate))/Market_Price)</f>
        <v>3.9247863247863252E-2</v>
      </c>
      <c r="H92" s="22">
        <f t="shared" si="38"/>
        <v>4.6154512820512819E-2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8.5038414144241389E-2</v>
      </c>
      <c r="D124" s="26"/>
      <c r="E124" s="234"/>
      <c r="F124" s="26"/>
      <c r="G124" s="74">
        <f t="shared" ref="G124" si="49">IF(G$4="","",G123/Market_Price)</f>
        <v>8.2867044473311197E-2</v>
      </c>
      <c r="H124" s="74">
        <f t="shared" ref="H124" si="50">IF(H$4="","",H123/Market_Price)</f>
        <v>8.0144141329513405E-2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8.7084977012949469E-2</v>
      </c>
      <c r="H125" s="22">
        <f>IF(H$4="","",(Data!D47*$C$3)/(Market_Price*Common_Shares))</f>
        <v>8.5735785824040123E-2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15</v>
      </c>
      <c r="E15" s="308" t="str">
        <f>IF(F14="II","Change year","Terminal Year")</f>
        <v>Terminal Year</v>
      </c>
      <c r="F15" s="310">
        <f>IF(F14="II",_xlfn.CEILING.MATH(C15/2),C15+1)</f>
        <v>16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173.55524443059508</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9" t="s">
        <v>418</v>
      </c>
      <c r="K52" s="469"/>
      <c r="L52" s="317">
        <f>SUM(L21:L51)</f>
        <v>231572593623.19797</v>
      </c>
    </row>
    <row r="53" spans="1:21">
      <c r="C53" s="111"/>
    </row>
    <row r="54" spans="1:21" ht="13.15">
      <c r="B54" s="115" t="s">
        <v>108</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D22" sqref="D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 CNY</v>
      </c>
      <c r="D6" s="460"/>
      <c r="E6" s="460"/>
      <c r="F6" s="460"/>
      <c r="G6" s="460"/>
    </row>
    <row r="7" spans="2:7" ht="12.75" customHeight="1">
      <c r="B7" s="97" t="s">
        <v>232</v>
      </c>
      <c r="C7" s="447">
        <f>Normalized_FCF!G8</f>
        <v>17654238551.57</v>
      </c>
      <c r="D7" s="460"/>
      <c r="E7" s="460"/>
      <c r="F7" s="460"/>
      <c r="G7" s="460"/>
    </row>
    <row r="8" spans="2:7">
      <c r="B8" s="97" t="s">
        <v>63</v>
      </c>
      <c r="C8" s="447">
        <f>Normalized_FCF!G19</f>
        <v>12844018055.588684</v>
      </c>
      <c r="D8" s="460"/>
      <c r="E8" s="460"/>
      <c r="F8" s="460"/>
      <c r="G8" s="460"/>
    </row>
    <row r="9" spans="2:7">
      <c r="B9" s="97" t="s">
        <v>54</v>
      </c>
      <c r="C9" s="447">
        <f>Normalized_FCF!C19</f>
        <v>13180570558.891336</v>
      </c>
      <c r="D9" s="460"/>
      <c r="E9" s="460"/>
      <c r="F9" s="460"/>
      <c r="G9" s="460"/>
    </row>
    <row r="10" spans="2:7">
      <c r="C10" s="448"/>
      <c r="D10" s="460"/>
      <c r="E10" s="460"/>
      <c r="F10" s="460"/>
      <c r="G10" s="460"/>
    </row>
    <row r="11" spans="2:7" ht="13.15">
      <c r="B11" s="145" t="s">
        <v>320</v>
      </c>
      <c r="C11" s="448"/>
      <c r="D11" s="460"/>
      <c r="E11" s="460"/>
      <c r="F11" s="460"/>
      <c r="G11" s="460"/>
    </row>
    <row r="12" spans="2:7">
      <c r="B12" s="114" t="s">
        <v>121</v>
      </c>
      <c r="C12" s="249" t="e">
        <f ca="1">(Normalized_FCF!G4/OFFSET(Normalized_FCF!G4, 0, $C$4))^(1/$C$4) - 1</f>
        <v>#VALUE!</v>
      </c>
      <c r="D12" s="460"/>
      <c r="E12" s="460"/>
      <c r="F12" s="460"/>
      <c r="G12" s="460"/>
    </row>
    <row r="13" spans="2:7">
      <c r="B13" s="135" t="s">
        <v>127</v>
      </c>
      <c r="C13" s="249" t="e">
        <f ca="1">(Normalized_FCF!G8/OFFSET(Normalized_FCF!G8, 0, $C$4))^(1/$C$4) - 1</f>
        <v>#VALUE!</v>
      </c>
      <c r="D13" s="460"/>
      <c r="E13" s="460"/>
      <c r="F13" s="460"/>
      <c r="G13" s="460"/>
    </row>
    <row r="14" spans="2:7">
      <c r="B14" s="97" t="s">
        <v>63</v>
      </c>
      <c r="C14" s="249" t="e">
        <f ca="1">(Normalized_FCF!G19/OFFSET(Normalized_FCF!G19, 0, $C$4))^(1/$C$4) - 1</f>
        <v>#VALUE!</v>
      </c>
      <c r="D14" s="460"/>
      <c r="E14" s="460"/>
      <c r="F14" s="460"/>
      <c r="G14" s="460"/>
    </row>
    <row r="16" spans="2:7" ht="13.9">
      <c r="B16" s="34" t="s">
        <v>451</v>
      </c>
      <c r="C16" s="35"/>
      <c r="D16" s="35"/>
      <c r="E16" s="35"/>
      <c r="F16" s="35"/>
      <c r="G16" s="35"/>
    </row>
    <row r="17" spans="2:7" ht="13.15">
      <c r="B17" s="106" t="s">
        <v>126</v>
      </c>
      <c r="E17" s="222" t="s">
        <v>251</v>
      </c>
    </row>
    <row r="18" spans="2:7" ht="12.75" customHeight="1">
      <c r="B18" s="139" t="s">
        <v>111</v>
      </c>
      <c r="C18" s="137">
        <v>15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15</v>
      </c>
      <c r="E22" s="326">
        <f>DCF!E91</f>
        <v>183.60962128589512</v>
      </c>
      <c r="F22" s="328">
        <f>1-F23-F24</f>
        <v>0.19999999999999996</v>
      </c>
      <c r="G22" s="328">
        <f>F22*(1-F$29-F$30)</f>
        <v>0.15999999999999995</v>
      </c>
    </row>
    <row r="23" spans="2:7">
      <c r="B23" s="302" t="s">
        <v>435</v>
      </c>
      <c r="C23" s="324">
        <v>0.02</v>
      </c>
      <c r="D23" s="325">
        <f>C18</f>
        <v>15</v>
      </c>
      <c r="E23" s="326">
        <f>DCF!E92</f>
        <v>167.5989435170556</v>
      </c>
      <c r="F23" s="327">
        <v>0.55000000000000004</v>
      </c>
      <c r="G23" s="328">
        <f t="shared" ref="G23:G24" si="0">F23*(1-F$29-F$30)</f>
        <v>0.44</v>
      </c>
    </row>
    <row r="24" spans="2:7">
      <c r="B24" s="302" t="s">
        <v>444</v>
      </c>
      <c r="C24" s="324">
        <v>0.01</v>
      </c>
      <c r="D24" s="325">
        <f>C18</f>
        <v>15</v>
      </c>
      <c r="E24" s="326">
        <f>DCF!E93</f>
        <v>153.32823302640435</v>
      </c>
      <c r="F24" s="327">
        <v>0.25</v>
      </c>
      <c r="G24" s="328">
        <f t="shared" si="0"/>
        <v>0.19999999999999998</v>
      </c>
    </row>
    <row r="25" spans="2:7">
      <c r="B25" s="141" t="s">
        <v>449</v>
      </c>
      <c r="C25" s="441">
        <f>E23*F23+E24*F24+E22*F22</f>
        <v>167.23340144816069</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15</v>
      </c>
      <c r="E29" s="326">
        <f>DCF!E90</f>
        <v>221.73100887050737</v>
      </c>
      <c r="F29" s="327">
        <v>0.15</v>
      </c>
      <c r="G29" s="328">
        <f>F29</f>
        <v>0.15</v>
      </c>
    </row>
    <row r="30" spans="2:7">
      <c r="B30" s="315" t="s">
        <v>445</v>
      </c>
      <c r="C30" s="324">
        <v>0</v>
      </c>
      <c r="D30" s="325">
        <f>C18</f>
        <v>15</v>
      </c>
      <c r="E30" s="326">
        <f>DCF!E94</f>
        <v>140.60619103613459</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105.3</v>
      </c>
      <c r="D34" t="str">
        <f>Market_currency</f>
        <v>CNY</v>
      </c>
      <c r="E34" s="97" t="s">
        <v>452</v>
      </c>
      <c r="F34" s="330">
        <f>RATE(Holding_Period,$C$33,-C34,$C$36)</f>
        <v>0.2160259300061575</v>
      </c>
    </row>
    <row r="35" spans="2:7">
      <c r="B35" s="97" t="s">
        <v>432</v>
      </c>
      <c r="C35" s="320">
        <f>DCF!C11</f>
        <v>190.20472081320983</v>
      </c>
      <c r="D35" s="97" t="str">
        <f>Market_currency</f>
        <v>CNY</v>
      </c>
      <c r="E35" s="97" t="s">
        <v>452</v>
      </c>
      <c r="F35" s="330">
        <f>RATE(Holding_Period,$C$33,-C35,$C$36)</f>
        <v>-6.7271782565768174E-3</v>
      </c>
    </row>
    <row r="36" spans="2:7">
      <c r="B36" s="97" t="s">
        <v>433</v>
      </c>
      <c r="C36" s="321">
        <f>E22*G22+E23*G23+E24*G24+E30*G30+E29*G29</f>
        <v>174.07668204091138</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173.55524443059508</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9.3238814628432934E-2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312</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313</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46105</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105.3</v>
      </c>
    </row>
    <row r="9" spans="1:10">
      <c r="B9" s="351" t="s">
        <v>359</v>
      </c>
      <c r="C9" s="353">
        <f>Common_Shares</f>
        <v>1471941963</v>
      </c>
    </row>
    <row r="10" spans="1:10">
      <c r="B10" s="351" t="s">
        <v>365</v>
      </c>
      <c r="C10" s="357">
        <f>投资主题!C8*Common_Shares/1000000</f>
        <v>154995.48870389999</v>
      </c>
      <c r="D10" s="343" t="s">
        <v>526</v>
      </c>
      <c r="E10" s="360">
        <f>Scenarios!F34</f>
        <v>0.2160259300061575</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174.07668204091138</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86.739441984939162</v>
      </c>
      <c r="D22" s="365" t="s">
        <v>438</v>
      </c>
      <c r="E22" s="366">
        <f>Thesis!E22</f>
        <v>0.3</v>
      </c>
    </row>
    <row r="23" spans="1:6">
      <c r="B23" s="343" t="s">
        <v>339</v>
      </c>
      <c r="C23" s="367">
        <f>E141</f>
        <v>109.4444872921941</v>
      </c>
      <c r="D23" s="365" t="s">
        <v>439</v>
      </c>
      <c r="E23" s="368">
        <f>Thesis!E23</f>
        <v>0.2</v>
      </c>
    </row>
    <row r="24" spans="1:6">
      <c r="B24" s="343" t="s">
        <v>341</v>
      </c>
      <c r="C24" s="367">
        <f>E144</f>
        <v>146.05268014903339</v>
      </c>
      <c r="D24" s="365" t="s">
        <v>441</v>
      </c>
      <c r="E24" s="368">
        <f>Thesis!E24</f>
        <v>8.6999999999999994E-2</v>
      </c>
    </row>
    <row r="25" spans="1:6">
      <c r="B25" s="343" t="s">
        <v>340</v>
      </c>
      <c r="C25" s="367">
        <f>E145</f>
        <v>151.90346952484109</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8.5038414144241389E-2</v>
      </c>
      <c r="F62" s="379"/>
    </row>
    <row r="63" spans="2:6">
      <c r="B63" s="377" t="s">
        <v>330</v>
      </c>
      <c r="C63" s="378">
        <f>Normalized_FCF!C92</f>
        <v>3.9247863247863252E-2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516</v>
      </c>
      <c r="C124" s="470"/>
      <c r="D124" s="470"/>
      <c r="E124" s="470"/>
      <c r="F124" s="470"/>
    </row>
    <row r="125" spans="1:6">
      <c r="B125" s="372" t="s">
        <v>218</v>
      </c>
      <c r="C125" s="404">
        <f>Scenarios!C36</f>
        <v>174.07668204091138</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7.5056313154301346</v>
      </c>
      <c r="D140" s="409">
        <f>Scenarios!D62</f>
        <v>79.233810669509026</v>
      </c>
      <c r="E140" s="410">
        <f>Scenarios!E62</f>
        <v>86.739441984939162</v>
      </c>
      <c r="F140" s="411">
        <f>E22</f>
        <v>0.3</v>
      </c>
    </row>
    <row r="141" spans="1:6">
      <c r="B141" s="408" t="s">
        <v>312</v>
      </c>
      <c r="C141" s="409">
        <f>Scenarios!C63</f>
        <v>8.7056666666666676</v>
      </c>
      <c r="D141" s="409">
        <f>Scenarios!D63</f>
        <v>100.73882062552742</v>
      </c>
      <c r="E141" s="410">
        <f>Scenarios!E63</f>
        <v>109.4444872921941</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135.53515851547391</v>
      </c>
      <c r="E144" s="410">
        <f>Scenarios!E66</f>
        <v>146.05268014903339</v>
      </c>
      <c r="F144" s="411">
        <f>E24</f>
        <v>8.6999999999999994E-2</v>
      </c>
    </row>
    <row r="145" spans="1:6">
      <c r="B145" s="408" t="s">
        <v>313</v>
      </c>
      <c r="C145" s="409">
        <f>Scenarios!C67</f>
        <v>10.796424338860641</v>
      </c>
      <c r="D145" s="409">
        <f>Scenarios!D67</f>
        <v>141.10704518598044</v>
      </c>
      <c r="E145" s="410">
        <f>Scenarios!E67</f>
        <v>151.90346952484109</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