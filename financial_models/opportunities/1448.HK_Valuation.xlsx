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5AD51B56-00F9-49CD-B764-50ECC7FBBBB6}" xr6:coauthVersionLast="47" xr6:coauthVersionMax="47" xr10:uidLastSave="{00000000-0000-0000-0000-000000000000}"/>
  <bookViews>
    <workbookView xWindow="-98" yWindow="-98" windowWidth="17115" windowHeight="10755" activeTab="4"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 name="Breakdown" sheetId="13" r:id="rId8"/>
  </sheets>
  <externalReferences>
    <externalReference r:id="rId9"/>
  </externalReferences>
  <definedNames>
    <definedName name="_xlnm._FilterDatabase" localSheetId="4" hidden="1">DCF!$B$73:$M$73</definedName>
    <definedName name="Common_Shares" localSheetId="7">[1]Thesis!$C$9</definedName>
    <definedName name="Common_Shares">Thesis!$C$9</definedName>
    <definedName name="dividend_tax_rate" localSheetId="7">[1]Normalized_FCF!$C$91</definedName>
    <definedName name="dividend_tax_rate">Normalized_FCF!$C$91</definedName>
    <definedName name="Equity_Cost" localSheetId="7">[1]Thesis!$C$101</definedName>
    <definedName name="Equity_Cost">Thesis!$C$101</definedName>
    <definedName name="Exchange_Rate" localSheetId="7">[1]Thesis!$E$16</definedName>
    <definedName name="Exchange_Rate">Thesis!$E$16</definedName>
    <definedName name="FV_adjustments" localSheetId="7">[1]DCF!$F$7</definedName>
    <definedName name="FV_adjustments">DCF!$F$7</definedName>
    <definedName name="Holding_Period" localSheetId="7">[1]Thesis!$E$21</definedName>
    <definedName name="Holding_Period">Thesis!$E$21</definedName>
    <definedName name="Market_currency" localSheetId="7">[1]Thesis!$C$7</definedName>
    <definedName name="Market_currency">Thesis!$C$7</definedName>
    <definedName name="Market_Price" localSheetId="7">[1]Thesis!$C$8</definedName>
    <definedName name="Market_Price">Thesis!$C$8</definedName>
    <definedName name="Reporting_currency" localSheetId="7">[1]Thesis!$E$17</definedName>
    <definedName name="Reporting_currency">Thesis!$E$17</definedName>
    <definedName name="scaling_factor" localSheetId="7">[1]Data!$C$3</definedName>
    <definedName name="scaling_factor">Data!$C$3</definedName>
    <definedName name="Terminal_Growth" localSheetId="7">[1]Thesis!$C$17</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40" i="9" l="1"/>
  <c r="E83" i="2"/>
  <c r="E84" i="2"/>
  <c r="C88" i="2"/>
  <c r="C82" i="2"/>
  <c r="C79" i="2"/>
  <c r="C64" i="2"/>
  <c r="C65" i="2"/>
  <c r="C66" i="2"/>
  <c r="C35" i="2"/>
  <c r="C29" i="2"/>
  <c r="C30" i="2"/>
  <c r="C4" i="2"/>
  <c r="G15" i="3"/>
  <c r="G18" i="3"/>
  <c r="C17" i="3"/>
  <c r="C19" i="3"/>
  <c r="C23" i="3"/>
  <c r="G4" i="3"/>
  <c r="C4" i="3"/>
  <c r="C25" i="4"/>
  <c r="D25" i="4"/>
  <c r="C28" i="4"/>
  <c r="C29" i="4"/>
  <c r="C30" i="4"/>
  <c r="C32" i="4"/>
  <c r="C104" i="6"/>
  <c r="C17" i="12"/>
  <c r="D51" i="8"/>
  <c r="C143" i="6" l="1"/>
  <c r="C139" i="6"/>
  <c r="C139" i="12"/>
  <c r="C143" i="12"/>
  <c r="E143" i="12"/>
  <c r="E139" i="12"/>
  <c r="E143" i="6" l="1"/>
  <c r="E139" i="6"/>
  <c r="D92" i="6"/>
  <c r="G8" i="8"/>
  <c r="C9" i="8"/>
  <c r="G23" i="9"/>
  <c r="G24" i="9"/>
  <c r="G30" i="9"/>
  <c r="G29" i="9"/>
  <c r="C57" i="9"/>
  <c r="F33" i="9"/>
  <c r="E21" i="12"/>
  <c r="E65" i="9"/>
  <c r="E61" i="9"/>
  <c r="D33" i="9"/>
  <c r="D25" i="9"/>
  <c r="B78" i="8"/>
  <c r="B74" i="8"/>
  <c r="E4" i="9"/>
  <c r="E28" i="9"/>
  <c r="B76" i="8"/>
  <c r="B77" i="8"/>
  <c r="B75" i="8"/>
  <c r="D30" i="9"/>
  <c r="D29" i="9"/>
  <c r="E21" i="9"/>
  <c r="D10" i="8"/>
  <c r="G7" i="8"/>
  <c r="H8" i="8"/>
  <c r="H20" i="8"/>
  <c r="H3" i="2"/>
  <c r="H12" i="3"/>
  <c r="G12" i="3"/>
  <c r="C16" i="8" l="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C41" i="9" l="1"/>
  <c r="F16" i="8" s="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D9" i="9"/>
  <c r="E87" i="3"/>
  <c r="E88" i="3"/>
  <c r="E89" i="3"/>
  <c r="E86" i="3"/>
  <c r="D90" i="6" l="1"/>
  <c r="D86" i="6"/>
  <c r="D79" i="6"/>
  <c r="D8" i="9"/>
  <c r="D7" i="9"/>
  <c r="C34" i="9"/>
  <c r="D60" i="6"/>
  <c r="B123" i="2"/>
  <c r="C135" i="6"/>
  <c r="D85" i="6"/>
  <c r="D112" i="6"/>
  <c r="D136" i="6"/>
  <c r="D125" i="6"/>
  <c r="F78" i="8"/>
  <c r="F122" i="12" s="1"/>
  <c r="F74" i="8"/>
  <c r="D89" i="6"/>
  <c r="D84" i="6"/>
  <c r="D78" i="6"/>
  <c r="D61" i="6"/>
  <c r="D49" i="6"/>
  <c r="B79" i="2"/>
  <c r="H9" i="8" s="1"/>
  <c r="D55" i="6"/>
  <c r="D52" i="6"/>
  <c r="D46" i="6"/>
  <c r="D41" i="6"/>
  <c r="D38" i="6"/>
  <c r="D37" i="6"/>
  <c r="D34" i="6"/>
  <c r="F118" i="6" l="1"/>
  <c r="F118" i="12"/>
  <c r="F76" i="8"/>
  <c r="F77" i="8"/>
  <c r="F122" i="6"/>
  <c r="F121" i="6" l="1"/>
  <c r="F121" i="12"/>
  <c r="F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56" i="2" s="1"/>
  <c r="D79" i="3"/>
  <c r="D82" i="3" s="1"/>
  <c r="H42" i="3" s="1"/>
  <c r="F6" i="8" s="1"/>
  <c r="C79" i="3"/>
  <c r="C82" i="3" s="1"/>
  <c r="G42" i="3" s="1"/>
  <c r="B47" i="3"/>
  <c r="D58" i="9"/>
  <c r="D36" i="9"/>
  <c r="D11" i="8"/>
  <c r="D8" i="8"/>
  <c r="C74"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B122" i="6" l="1"/>
  <c r="B122" i="12"/>
  <c r="B120" i="6"/>
  <c r="B120" i="12"/>
  <c r="B118" i="6"/>
  <c r="B118" i="12"/>
  <c r="B121" i="6"/>
  <c r="B121" i="12"/>
  <c r="B119" i="6"/>
  <c r="B119" i="12"/>
  <c r="C88" i="3"/>
  <c r="D88" i="3" s="1"/>
  <c r="C89" i="12"/>
  <c r="C90" i="12" s="1"/>
  <c r="F75" i="8"/>
  <c r="D74" i="8"/>
  <c r="F55" i="8"/>
  <c r="F64" i="8" s="1"/>
  <c r="C118" i="6"/>
  <c r="C89" i="6"/>
  <c r="C90" i="6" s="1"/>
  <c r="G65" i="2"/>
  <c r="C57" i="2" l="1"/>
  <c r="D118" i="6"/>
  <c r="D118" i="12"/>
  <c r="F119" i="6"/>
  <c r="F119" i="12"/>
  <c r="C77" i="8"/>
  <c r="C121" i="12" s="1"/>
  <c r="D24" i="9"/>
  <c r="D78" i="8"/>
  <c r="D23" i="9"/>
  <c r="C76" i="8"/>
  <c r="C120" i="12" s="1"/>
  <c r="C78" i="8"/>
  <c r="C122" i="12" s="1"/>
  <c r="D75" i="8"/>
  <c r="C75" i="8"/>
  <c r="C119" i="12" s="1"/>
  <c r="C15" i="8"/>
  <c r="B51" i="8" s="1"/>
  <c r="Q95" i="2"/>
  <c r="A71" i="8"/>
  <c r="A70" i="8"/>
  <c r="D122" i="6" l="1"/>
  <c r="D122" i="12"/>
  <c r="D119" i="6"/>
  <c r="D119" i="12"/>
  <c r="D77" i="8"/>
  <c r="D76" i="8"/>
  <c r="C59" i="2"/>
  <c r="C61" i="2" s="1"/>
  <c r="D55" i="8"/>
  <c r="C120" i="6"/>
  <c r="B55" i="8"/>
  <c r="B64"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6" l="1"/>
  <c r="D120" i="12"/>
  <c r="D121" i="6"/>
  <c r="D121" i="12"/>
  <c r="C9" i="2"/>
  <c r="I7" i="8" s="1"/>
  <c r="H32" i="3"/>
  <c r="H27" i="3" s="1"/>
  <c r="H29" i="3" s="1"/>
  <c r="D46" i="3" s="1"/>
  <c r="D47" i="3" s="1"/>
  <c r="D64" i="8"/>
  <c r="E64" i="8"/>
  <c r="A67" i="8"/>
  <c r="A68" i="8"/>
  <c r="A69" i="8"/>
  <c r="A66"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33" i="9" s="1"/>
  <c r="C58" i="9" s="1"/>
  <c r="G103" i="2"/>
  <c r="E77" i="4"/>
  <c r="F77" i="4"/>
  <c r="G77" i="4"/>
  <c r="H77" i="4"/>
  <c r="E78" i="4"/>
  <c r="F78" i="4"/>
  <c r="G78" i="4"/>
  <c r="H78" i="4"/>
  <c r="D78" i="4"/>
  <c r="D80" i="4"/>
  <c r="H104" i="2" s="1"/>
  <c r="D77" i="4"/>
  <c r="C62" i="9" l="1"/>
  <c r="C66" i="9"/>
  <c r="C63" i="9"/>
  <c r="C67" i="9"/>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136" i="6" l="1"/>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C25"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G38" i="2" l="1"/>
  <c r="C23" i="2"/>
  <c r="C117" i="2"/>
  <c r="O117" i="2"/>
  <c r="P117" i="2"/>
  <c r="I4" i="8"/>
  <c r="O32" i="2"/>
  <c r="O72" i="2"/>
  <c r="O8" i="2"/>
  <c r="H58" i="4"/>
  <c r="L60" i="2" s="1"/>
  <c r="G71" i="4"/>
  <c r="H71" i="4"/>
  <c r="O38" i="2"/>
  <c r="O61" i="2"/>
  <c r="O71" i="2"/>
  <c r="C58" i="4"/>
  <c r="G60" i="2" s="1"/>
  <c r="G61" i="2" s="1"/>
  <c r="C71" i="4"/>
  <c r="E58" i="4"/>
  <c r="I60" i="2" s="1"/>
  <c r="E71" i="4"/>
  <c r="D71" i="4"/>
  <c r="G104" i="2"/>
  <c r="G100" i="2" s="1"/>
  <c r="P38" i="2"/>
  <c r="P32" i="2"/>
  <c r="P61" i="2"/>
  <c r="P6" i="2"/>
  <c r="P71" i="2"/>
  <c r="C47" i="2"/>
  <c r="C24" i="2"/>
  <c r="C109" i="2"/>
  <c r="G32" i="2"/>
  <c r="C17" i="2"/>
  <c r="M61" i="2"/>
  <c r="M9" i="2"/>
  <c r="N61" i="2"/>
  <c r="N9" i="2"/>
  <c r="G67" i="2"/>
  <c r="G9" i="2"/>
  <c r="N71" i="2"/>
  <c r="M6" i="2"/>
  <c r="M8" i="2" s="1"/>
  <c r="C95" i="2"/>
  <c r="J61" i="2"/>
  <c r="J75" i="2" s="1"/>
  <c r="H61" i="2"/>
  <c r="H75" i="2" s="1"/>
  <c r="N38" i="2"/>
  <c r="N118" i="2"/>
  <c r="M118" i="2"/>
  <c r="M38" i="2"/>
  <c r="N6" i="2"/>
  <c r="N8" i="2" s="1"/>
  <c r="M32" i="2"/>
  <c r="M71" i="2"/>
  <c r="N32" i="2"/>
  <c r="K60" i="2"/>
  <c r="C118" i="2"/>
  <c r="C55" i="3"/>
  <c r="L118" i="2"/>
  <c r="J118" i="2"/>
  <c r="H118" i="2"/>
  <c r="K118" i="2"/>
  <c r="I118" i="2"/>
  <c r="H5" i="2"/>
  <c r="I5" i="2"/>
  <c r="C107" i="2"/>
  <c r="C108" i="2"/>
  <c r="K5" i="2"/>
  <c r="J7" i="2"/>
  <c r="J73" i="2" s="1"/>
  <c r="C81" i="2"/>
  <c r="L5" i="2"/>
  <c r="G7" i="2"/>
  <c r="G73" i="2" s="1"/>
  <c r="J5" i="2"/>
  <c r="L7" i="2"/>
  <c r="L73" i="2" s="1"/>
  <c r="H7" i="2"/>
  <c r="H73" i="2" s="1"/>
  <c r="G5" i="2"/>
  <c r="G71" i="2" s="1"/>
  <c r="K7" i="2"/>
  <c r="K73" i="2" s="1"/>
  <c r="K38" i="2"/>
  <c r="I7" i="2"/>
  <c r="I73" i="2" s="1"/>
  <c r="C7" i="2"/>
  <c r="I5" i="8" s="1"/>
  <c r="C26" i="2" l="1"/>
  <c r="C18" i="8"/>
  <c r="G118" i="2"/>
  <c r="D69" i="6" s="1"/>
  <c r="G117" i="2"/>
  <c r="C69" i="6"/>
  <c r="C69" i="12"/>
  <c r="C55" i="6"/>
  <c r="C55" i="12"/>
  <c r="M72" i="2"/>
  <c r="O53" i="2"/>
  <c r="O74" i="2"/>
  <c r="M53" i="2"/>
  <c r="M75" i="2"/>
  <c r="P72" i="2"/>
  <c r="P8" i="2"/>
  <c r="N75" i="2"/>
  <c r="N53" i="2"/>
  <c r="K71" i="2"/>
  <c r="I71" i="2"/>
  <c r="H71" i="2"/>
  <c r="J71" i="2"/>
  <c r="L71" i="2"/>
  <c r="L61" i="2"/>
  <c r="L75" i="2" s="1"/>
  <c r="K61" i="2"/>
  <c r="K75" i="2" s="1"/>
  <c r="I61" i="2"/>
  <c r="I75" i="2" s="1"/>
  <c r="N72" i="2"/>
  <c r="C75" i="2"/>
  <c r="H6" i="2"/>
  <c r="H8" i="2" s="1"/>
  <c r="K6" i="2"/>
  <c r="K8" i="2" s="1"/>
  <c r="G6" i="2"/>
  <c r="G8" i="2" s="1"/>
  <c r="I6" i="2"/>
  <c r="I8" i="2" s="1"/>
  <c r="L6" i="2"/>
  <c r="L8" i="2" s="1"/>
  <c r="J6" i="2"/>
  <c r="J8" i="2" s="1"/>
  <c r="C73" i="2"/>
  <c r="C38" i="2"/>
  <c r="D69" i="12" l="1"/>
  <c r="C16" i="2"/>
  <c r="C38" i="12" s="1"/>
  <c r="L53" i="2"/>
  <c r="P53" i="2"/>
  <c r="P74" i="2"/>
  <c r="C32" i="2"/>
  <c r="C17" i="8" s="1"/>
  <c r="C5" i="2"/>
  <c r="C6" i="2" s="1"/>
  <c r="C8" i="2" s="1"/>
  <c r="C34" i="12" s="1"/>
  <c r="I53" i="2"/>
  <c r="H53" i="2"/>
  <c r="J53" i="2"/>
  <c r="G53" i="2"/>
  <c r="C7" i="9"/>
  <c r="K53" i="2"/>
  <c r="C13" i="9"/>
  <c r="G75" i="2"/>
  <c r="L72" i="2"/>
  <c r="I72" i="2"/>
  <c r="H72" i="2"/>
  <c r="G72" i="2"/>
  <c r="K72" i="2"/>
  <c r="J72" i="2"/>
  <c r="C103" i="2"/>
  <c r="C38" i="6" l="1"/>
  <c r="F17" i="8"/>
  <c r="E51" i="8" s="1"/>
  <c r="E21" i="8"/>
  <c r="D55" i="3"/>
  <c r="G29" i="3"/>
  <c r="D62" i="3" s="1"/>
  <c r="F14" i="8" l="1"/>
  <c r="B39" i="9" s="1"/>
  <c r="B14" i="6" s="1"/>
  <c r="D51" i="3"/>
  <c r="C46" i="3"/>
  <c r="C47" i="3" s="1"/>
  <c r="C62" i="3"/>
  <c r="I9" i="8" s="1"/>
  <c r="F18" i="8" l="1"/>
  <c r="H51" i="8" s="1"/>
  <c r="E15" i="8"/>
  <c r="F15" i="8"/>
  <c r="C13" i="2"/>
  <c r="C49" i="12" s="1"/>
  <c r="G1" i="2"/>
  <c r="A41" i="8" l="1"/>
  <c r="I41" i="8" s="1"/>
  <c r="E46" i="8"/>
  <c r="E44" i="8"/>
  <c r="A45" i="8"/>
  <c r="I45" i="8" s="1"/>
  <c r="E48" i="8"/>
  <c r="A44" i="8"/>
  <c r="I44" i="8" s="1"/>
  <c r="E43" i="8"/>
  <c r="E42" i="8"/>
  <c r="A47" i="8"/>
  <c r="I47" i="8" s="1"/>
  <c r="A48" i="8"/>
  <c r="I48" i="8" s="1"/>
  <c r="E41" i="8"/>
  <c r="A50" i="8"/>
  <c r="I50" i="8" s="1"/>
  <c r="E45" i="8"/>
  <c r="E49" i="8"/>
  <c r="A42" i="8"/>
  <c r="I42" i="8" s="1"/>
  <c r="A46" i="8"/>
  <c r="I46" i="8" s="1"/>
  <c r="A43" i="8"/>
  <c r="I43" i="8" s="1"/>
  <c r="E47" i="8"/>
  <c r="A49" i="8"/>
  <c r="I49" i="8" s="1"/>
  <c r="E50" i="8"/>
  <c r="A36" i="8"/>
  <c r="I36" i="8" s="1"/>
  <c r="A39" i="8"/>
  <c r="I39" i="8" s="1"/>
  <c r="A40" i="8"/>
  <c r="I40" i="8" s="1"/>
  <c r="E38" i="8"/>
  <c r="E40" i="8"/>
  <c r="E37" i="8"/>
  <c r="A38" i="8"/>
  <c r="I38" i="8" s="1"/>
  <c r="E39" i="8"/>
  <c r="E36" i="8"/>
  <c r="A37" i="8"/>
  <c r="I37" i="8" s="1"/>
  <c r="A33" i="8"/>
  <c r="I33" i="8" s="1"/>
  <c r="E33" i="8"/>
  <c r="A34" i="8"/>
  <c r="I34" i="8" s="1"/>
  <c r="E31" i="8"/>
  <c r="E35" i="8"/>
  <c r="A35" i="8"/>
  <c r="I35" i="8" s="1"/>
  <c r="E32" i="8"/>
  <c r="E34" i="8"/>
  <c r="A32" i="8"/>
  <c r="I32" i="8" s="1"/>
  <c r="A31" i="8"/>
  <c r="I31" i="8" s="1"/>
  <c r="E29" i="8"/>
  <c r="E26" i="8"/>
  <c r="E27" i="8"/>
  <c r="E30" i="8"/>
  <c r="A29" i="8"/>
  <c r="I29" i="8" s="1"/>
  <c r="E28" i="8"/>
  <c r="A26" i="8"/>
  <c r="I26" i="8" s="1"/>
  <c r="A28" i="8"/>
  <c r="I28" i="8" s="1"/>
  <c r="A30" i="8"/>
  <c r="I30" i="8" s="1"/>
  <c r="A27" i="8"/>
  <c r="I27" i="8" s="1"/>
  <c r="E24" i="8"/>
  <c r="E22" i="8"/>
  <c r="A23" i="8"/>
  <c r="E25" i="8"/>
  <c r="A24" i="8"/>
  <c r="A21" i="8"/>
  <c r="H21" i="8" s="1"/>
  <c r="E23" i="8"/>
  <c r="A22" i="8"/>
  <c r="A25" i="8"/>
  <c r="C49" i="6"/>
  <c r="D73" i="3"/>
  <c r="C73" i="3"/>
  <c r="C74" i="3" s="1"/>
  <c r="F1" i="3"/>
  <c r="H1" i="2"/>
  <c r="E1" i="4"/>
  <c r="F1" i="4" s="1"/>
  <c r="G1" i="4" s="1"/>
  <c r="H1" i="4" s="1"/>
  <c r="I1" i="4" s="1"/>
  <c r="J1" i="4" s="1"/>
  <c r="K1" i="4" s="1"/>
  <c r="L1" i="4" s="1"/>
  <c r="M1" i="4" s="1"/>
  <c r="J42" i="8" l="1"/>
  <c r="J39" i="8"/>
  <c r="J28" i="8"/>
  <c r="J31" i="8"/>
  <c r="J46" i="8"/>
  <c r="J33" i="8"/>
  <c r="J35" i="8"/>
  <c r="J45" i="8"/>
  <c r="J38" i="8"/>
  <c r="J49" i="8"/>
  <c r="J32" i="8"/>
  <c r="J44" i="8"/>
  <c r="J26" i="8"/>
  <c r="J40" i="8"/>
  <c r="J37" i="8"/>
  <c r="J29" i="8"/>
  <c r="J36" i="8"/>
  <c r="J50" i="8"/>
  <c r="J27" i="8"/>
  <c r="J48" i="8"/>
  <c r="J30" i="8"/>
  <c r="J34" i="8"/>
  <c r="J43" i="8"/>
  <c r="J47" i="8"/>
  <c r="J41" i="8"/>
  <c r="D46" i="8"/>
  <c r="H46" i="8"/>
  <c r="H42" i="8"/>
  <c r="D42" i="8"/>
  <c r="D44" i="8"/>
  <c r="H44" i="8"/>
  <c r="D50" i="8"/>
  <c r="H50" i="8"/>
  <c r="H45" i="8"/>
  <c r="D45" i="8"/>
  <c r="D49" i="8"/>
  <c r="H49" i="8"/>
  <c r="D48" i="8"/>
  <c r="H48" i="8"/>
  <c r="D43" i="8"/>
  <c r="H43" i="8"/>
  <c r="D47" i="8"/>
  <c r="H47" i="8"/>
  <c r="H41" i="8"/>
  <c r="D41" i="8"/>
  <c r="D38" i="8"/>
  <c r="H38" i="8"/>
  <c r="H40" i="8"/>
  <c r="D40" i="8"/>
  <c r="D37" i="8"/>
  <c r="H37" i="8"/>
  <c r="D39" i="8"/>
  <c r="H39" i="8"/>
  <c r="H36" i="8"/>
  <c r="D36" i="8"/>
  <c r="D35" i="8"/>
  <c r="H35" i="8"/>
  <c r="D34" i="8"/>
  <c r="H34" i="8"/>
  <c r="H31" i="8"/>
  <c r="D31" i="8"/>
  <c r="H32" i="8"/>
  <c r="D32" i="8"/>
  <c r="D33" i="8"/>
  <c r="H33" i="8"/>
  <c r="D28" i="8"/>
  <c r="H28" i="8"/>
  <c r="H29" i="8"/>
  <c r="D29" i="8"/>
  <c r="H26" i="8"/>
  <c r="D26" i="8"/>
  <c r="H27" i="8"/>
  <c r="D27" i="8"/>
  <c r="H30" i="8"/>
  <c r="D30" i="8"/>
  <c r="H22" i="8"/>
  <c r="H23" i="8"/>
  <c r="H24" i="8"/>
  <c r="H25" i="8"/>
  <c r="D21" i="8"/>
  <c r="C21" i="8" s="1"/>
  <c r="D25" i="8"/>
  <c r="D22" i="8"/>
  <c r="D24" i="8"/>
  <c r="D23" i="8"/>
  <c r="D74" i="3"/>
  <c r="D76" i="3" s="1"/>
  <c r="C6" i="9"/>
  <c r="F21" i="8" l="1"/>
  <c r="C22" i="8"/>
  <c r="C23" i="8" s="1"/>
  <c r="D75" i="3"/>
  <c r="Q115" i="2"/>
  <c r="F22" i="8" l="1"/>
  <c r="F23" i="8" s="1"/>
  <c r="F24" i="8" s="1"/>
  <c r="F25" i="8" s="1"/>
  <c r="F26" i="8" s="1"/>
  <c r="F27" i="8" s="1"/>
  <c r="F28" i="8" s="1"/>
  <c r="F29" i="8" s="1"/>
  <c r="F30" i="8" s="1"/>
  <c r="C24" i="8"/>
  <c r="C46" i="2"/>
  <c r="C44" i="12" s="1"/>
  <c r="D66" i="3"/>
  <c r="C71" i="2"/>
  <c r="C41" i="3"/>
  <c r="F31" i="8" l="1"/>
  <c r="F32" i="8" s="1"/>
  <c r="F33" i="8" s="1"/>
  <c r="F34" i="8" s="1"/>
  <c r="F35" i="8" s="1"/>
  <c r="F36" i="8" s="1"/>
  <c r="F37" i="8" s="1"/>
  <c r="F38" i="8" s="1"/>
  <c r="F39" i="8" s="1"/>
  <c r="F40" i="8" s="1"/>
  <c r="F41" i="8" s="1"/>
  <c r="F42" i="8" s="1"/>
  <c r="F43" i="8" s="1"/>
  <c r="F44" i="8" s="1"/>
  <c r="F45" i="8" s="1"/>
  <c r="F46" i="8" s="1"/>
  <c r="F47" i="8" s="1"/>
  <c r="F48" i="8" s="1"/>
  <c r="F49" i="8" s="1"/>
  <c r="F50" i="8" s="1"/>
  <c r="F51" i="8" s="1"/>
  <c r="C25" i="8"/>
  <c r="F5" i="8"/>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C26" i="8" l="1"/>
  <c r="I76" i="2"/>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F7" i="8" s="1"/>
  <c r="B1" i="2"/>
  <c r="F8" i="8" l="1"/>
  <c r="B66" i="8"/>
  <c r="B68" i="8"/>
  <c r="D68" i="8"/>
  <c r="F71" i="8"/>
  <c r="E69" i="8"/>
  <c r="F66" i="8"/>
  <c r="C67" i="8"/>
  <c r="C71" i="8"/>
  <c r="C66" i="8"/>
  <c r="E71" i="8"/>
  <c r="F68" i="8"/>
  <c r="C69" i="8"/>
  <c r="F70" i="8"/>
  <c r="D71" i="8"/>
  <c r="F67" i="8"/>
  <c r="E66" i="8"/>
  <c r="F69" i="8"/>
  <c r="B67" i="8"/>
  <c r="E68" i="8"/>
  <c r="C68" i="8"/>
  <c r="B70" i="8"/>
  <c r="B71" i="8"/>
  <c r="E70" i="8"/>
  <c r="C70" i="8"/>
  <c r="E67" i="8"/>
  <c r="D67" i="8"/>
  <c r="D70" i="8"/>
  <c r="B69" i="8"/>
  <c r="D66" i="8"/>
  <c r="D69" i="8"/>
  <c r="C27" i="8"/>
  <c r="C80" i="6"/>
  <c r="C80" i="12"/>
  <c r="D68" i="6"/>
  <c r="D68" i="12"/>
  <c r="O77" i="2"/>
  <c r="O116" i="2" s="1"/>
  <c r="O14" i="2"/>
  <c r="P77" i="2"/>
  <c r="P116" i="2" s="1"/>
  <c r="P14" i="2"/>
  <c r="O96" i="2"/>
  <c r="G52" i="2"/>
  <c r="C92" i="6" l="1"/>
  <c r="C92" i="12"/>
  <c r="C28" i="8"/>
  <c r="C7" i="8"/>
  <c r="C86" i="3"/>
  <c r="D86" i="3" s="1"/>
  <c r="D89" i="3" s="1"/>
  <c r="C78" i="12"/>
  <c r="C79" i="12" s="1"/>
  <c r="C78" i="6"/>
  <c r="C79" i="6" s="1"/>
  <c r="O80" i="2"/>
  <c r="O19" i="2"/>
  <c r="O90" i="2" s="1"/>
  <c r="O123" i="2"/>
  <c r="O124" i="2" s="1"/>
  <c r="P80" i="2"/>
  <c r="P19" i="2"/>
  <c r="P90" i="2" s="1"/>
  <c r="P123" i="2"/>
  <c r="P124" i="2" s="1"/>
  <c r="C45" i="2"/>
  <c r="C45" i="12" s="1"/>
  <c r="C29" i="8" l="1"/>
  <c r="C89" i="3"/>
  <c r="O113" i="2"/>
  <c r="O85" i="2"/>
  <c r="P113" i="2"/>
  <c r="P85" i="2"/>
  <c r="C53" i="2"/>
  <c r="C45" i="6"/>
  <c r="E78" i="8"/>
  <c r="C48" i="2"/>
  <c r="C10" i="2" s="1"/>
  <c r="I8" i="8" s="1"/>
  <c r="I6" i="8" s="1"/>
  <c r="I1" i="2"/>
  <c r="G21" i="8" l="1"/>
  <c r="I21" i="8" s="1"/>
  <c r="G26" i="8"/>
  <c r="G27" i="8"/>
  <c r="G28" i="8"/>
  <c r="E122" i="6"/>
  <c r="E122" i="12"/>
  <c r="E30" i="9"/>
  <c r="G29" i="8"/>
  <c r="C30" i="8"/>
  <c r="C31" i="8" s="1"/>
  <c r="G23" i="8"/>
  <c r="I23" i="8" s="1"/>
  <c r="G22" i="8"/>
  <c r="I22" i="8" s="1"/>
  <c r="G24" i="8"/>
  <c r="I24" i="8" s="1"/>
  <c r="G25" i="8"/>
  <c r="I25" i="8" s="1"/>
  <c r="C46" i="12"/>
  <c r="C11" i="2"/>
  <c r="C12" i="2" s="1"/>
  <c r="C46" i="6"/>
  <c r="C76" i="2"/>
  <c r="J1" i="2"/>
  <c r="K1" i="2" s="1"/>
  <c r="L1" i="2" s="1"/>
  <c r="M1" i="2" s="1"/>
  <c r="N1" i="2" s="1"/>
  <c r="O1" i="2" s="1"/>
  <c r="P1" i="2" s="1"/>
  <c r="Q1" i="2" s="1"/>
  <c r="J25" i="8" l="1"/>
  <c r="J24" i="8"/>
  <c r="G31" i="8"/>
  <c r="C32" i="8"/>
  <c r="G30" i="8"/>
  <c r="J22" i="8"/>
  <c r="C52" i="6"/>
  <c r="C52" i="12"/>
  <c r="C68" i="6"/>
  <c r="C68" i="12"/>
  <c r="C119" i="2"/>
  <c r="C14" i="2"/>
  <c r="C19" i="2" s="1"/>
  <c r="J23" i="8" l="1"/>
  <c r="G32" i="8"/>
  <c r="C33" i="8"/>
  <c r="C90" i="2"/>
  <c r="F63" i="12" s="1"/>
  <c r="C61" i="12"/>
  <c r="C66" i="6"/>
  <c r="C66" i="12"/>
  <c r="C4" i="8"/>
  <c r="J21" i="8" s="1"/>
  <c r="G33" i="8" l="1"/>
  <c r="C34" i="8"/>
  <c r="F63" i="6"/>
  <c r="G34" i="8" l="1"/>
  <c r="C35" i="8"/>
  <c r="C36" i="8" s="1"/>
  <c r="C64" i="8"/>
  <c r="G36" i="8" l="1"/>
  <c r="C37" i="8"/>
  <c r="G35" i="8"/>
  <c r="E74" i="8"/>
  <c r="E75" i="8"/>
  <c r="E77" i="8"/>
  <c r="E76" i="8"/>
  <c r="E120" i="6" l="1"/>
  <c r="E120" i="12"/>
  <c r="E121" i="6"/>
  <c r="E121" i="12"/>
  <c r="E118" i="12"/>
  <c r="E118" i="6"/>
  <c r="E119" i="12"/>
  <c r="E119" i="6"/>
  <c r="E24" i="9"/>
  <c r="E29" i="9"/>
  <c r="E23" i="9"/>
  <c r="E22" i="9"/>
  <c r="G37" i="8"/>
  <c r="C38" i="8"/>
  <c r="C36" i="9" l="1"/>
  <c r="C25" i="9"/>
  <c r="G38" i="8"/>
  <c r="C39" i="8"/>
  <c r="F34" i="9" l="1"/>
  <c r="D62" i="9"/>
  <c r="D63" i="9"/>
  <c r="D67" i="9"/>
  <c r="D66" i="9"/>
  <c r="G39" i="8"/>
  <c r="C40" i="8"/>
  <c r="C41" i="8" s="1"/>
  <c r="C125" i="12"/>
  <c r="C18" i="12" s="1"/>
  <c r="C125" i="6"/>
  <c r="C18" i="6" s="1"/>
  <c r="F53" i="9"/>
  <c r="C53" i="9" s="1"/>
  <c r="H74" i="2"/>
  <c r="H11" i="2"/>
  <c r="E8" i="12" l="1"/>
  <c r="C42" i="8"/>
  <c r="G41" i="8"/>
  <c r="G40" i="8"/>
  <c r="H119" i="2"/>
  <c r="H115" i="2" s="1"/>
  <c r="E66" i="9"/>
  <c r="D144" i="12"/>
  <c r="E62" i="9"/>
  <c r="D140" i="12"/>
  <c r="D145" i="6"/>
  <c r="D145" i="12"/>
  <c r="D141" i="6"/>
  <c r="D141" i="12"/>
  <c r="D144" i="6"/>
  <c r="D140" i="6"/>
  <c r="E67" i="9"/>
  <c r="E63" i="9"/>
  <c r="E141" i="12" s="1"/>
  <c r="C23" i="12" s="1"/>
  <c r="H14" i="2"/>
  <c r="H19" i="2" s="1"/>
  <c r="H90" i="2" s="1"/>
  <c r="H77" i="2"/>
  <c r="H116" i="2" s="1"/>
  <c r="E10" i="6" l="1"/>
  <c r="G42" i="8"/>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G43" i="8" l="1"/>
  <c r="C44" i="8"/>
  <c r="G96" i="2"/>
  <c r="G119" i="2"/>
  <c r="D66" i="12" s="1"/>
  <c r="C23" i="6"/>
  <c r="H85" i="2"/>
  <c r="G14" i="2"/>
  <c r="G19" i="2" s="1"/>
  <c r="G77" i="2"/>
  <c r="G116" i="2" s="1"/>
  <c r="C45" i="8" l="1"/>
  <c r="G44" i="8"/>
  <c r="D67" i="12"/>
  <c r="G90" i="2"/>
  <c r="C60" i="12"/>
  <c r="G115" i="2"/>
  <c r="D66" i="6"/>
  <c r="G113" i="2"/>
  <c r="G123" i="2"/>
  <c r="G124" i="2" s="1"/>
  <c r="G80" i="2"/>
  <c r="J74" i="2"/>
  <c r="I74" i="2"/>
  <c r="N74" i="2"/>
  <c r="L74" i="2"/>
  <c r="J11" i="2"/>
  <c r="M74" i="2"/>
  <c r="L11" i="2"/>
  <c r="L119" i="2" s="1"/>
  <c r="L115" i="2" s="1"/>
  <c r="K11" i="2"/>
  <c r="N11" i="2"/>
  <c r="M11" i="2"/>
  <c r="M119" i="2" s="1"/>
  <c r="M115" i="2" s="1"/>
  <c r="I11" i="2"/>
  <c r="K74" i="2"/>
  <c r="G45" i="8" l="1"/>
  <c r="C46" i="8"/>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G46"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G47" i="8"/>
  <c r="L85" i="2"/>
  <c r="L90" i="2"/>
  <c r="C81" i="6"/>
  <c r="C81" i="12"/>
  <c r="M113" i="2"/>
  <c r="L113" i="2"/>
  <c r="C14" i="9"/>
  <c r="M85" i="2"/>
  <c r="C77" i="2"/>
  <c r="C116" i="2" s="1"/>
  <c r="C96" i="2"/>
  <c r="J85" i="2"/>
  <c r="C78" i="2"/>
  <c r="C49" i="8" l="1"/>
  <c r="G48" i="8"/>
  <c r="C67" i="12"/>
  <c r="C123" i="2"/>
  <c r="G49" i="8" l="1"/>
  <c r="C50" i="8"/>
  <c r="C67" i="6"/>
  <c r="C80" i="2"/>
  <c r="C9" i="9"/>
  <c r="G50" i="8" l="1"/>
  <c r="C51" i="8"/>
  <c r="G51" i="8" s="1"/>
  <c r="C61" i="6"/>
  <c r="C124" i="2"/>
  <c r="C85" i="2"/>
  <c r="I51" i="8" l="1"/>
  <c r="J51" i="8"/>
  <c r="C62" i="6"/>
  <c r="C62" i="12"/>
  <c r="C6" i="8"/>
  <c r="C8" i="8" l="1"/>
  <c r="C10" i="8" s="1"/>
  <c r="L46" i="8"/>
  <c r="L49" i="8"/>
  <c r="L43" i="8"/>
  <c r="L47" i="8"/>
  <c r="L44" i="8"/>
  <c r="L45" i="8"/>
  <c r="L50" i="8"/>
  <c r="L48" i="8"/>
  <c r="L41" i="8"/>
  <c r="L42" i="8"/>
  <c r="L36" i="8"/>
  <c r="L39" i="8"/>
  <c r="L40" i="8"/>
  <c r="L38" i="8"/>
  <c r="L37" i="8"/>
  <c r="L24" i="8"/>
  <c r="L30" i="8"/>
  <c r="L35" i="8"/>
  <c r="L51" i="8"/>
  <c r="L28" i="8"/>
  <c r="L31" i="8"/>
  <c r="L29" i="8"/>
  <c r="L21" i="8"/>
  <c r="L23" i="8"/>
  <c r="L32" i="8"/>
  <c r="L34" i="8"/>
  <c r="L25" i="8"/>
  <c r="L26" i="8"/>
  <c r="L27" i="8"/>
  <c r="L33" i="8"/>
  <c r="L22" i="8"/>
  <c r="C11" i="8" l="1"/>
  <c r="L52" i="8"/>
  <c r="B65" i="8" l="1"/>
  <c r="C112" i="6"/>
  <c r="C112" i="12"/>
  <c r="C35" i="9"/>
  <c r="F35" i="9" s="1"/>
  <c r="I18" i="8"/>
  <c r="C65" i="8"/>
  <c r="D65" i="8"/>
  <c r="E65" i="8"/>
  <c r="F65" i="8"/>
  <c r="A55" i="8"/>
  <c r="C50" i="9" l="1"/>
  <c r="C51" i="9" s="1"/>
  <c r="C19" i="6" s="1"/>
  <c r="C47" i="9"/>
  <c r="G66" i="9" s="1"/>
  <c r="C19" i="12" l="1"/>
</calcChain>
</file>

<file path=xl/sharedStrings.xml><?xml version="1.0" encoding="utf-8"?>
<sst xmlns="http://schemas.openxmlformats.org/spreadsheetml/2006/main" count="765" uniqueCount="555">
  <si>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</si>
  <si>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</si>
  <si>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</si>
  <si>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</si>
  <si>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</si>
  <si>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</si>
  <si>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</si>
  <si>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</si>
  <si>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</si>
  <si>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</si>
  <si>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</si>
  <si>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</si>
  <si>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</si>
  <si>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</si>
  <si>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</si>
  <si>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</si>
  <si>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</si>
  <si>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</si>
  <si>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</si>
  <si>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</si>
  <si>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</si>
  <si>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</si>
  <si>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</si>
  <si>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</si>
  <si>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</si>
  <si>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</si>
  <si>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</si>
  <si>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</si>
  <si>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</si>
  <si>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</si>
  <si>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</si>
  <si>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</si>
  <si>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</si>
  <si>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</si>
  <si>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</si>
  <si>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</si>
  <si>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</si>
  <si>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</si>
  <si>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</si>
  <si>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</si>
  <si>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</si>
  <si>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</si>
  <si>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</si>
  <si>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</si>
  <si>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</si>
  <si>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</si>
  <si>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</si>
  <si>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</si>
  <si>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</si>
  <si>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</si>
  <si>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</si>
  <si>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</si>
  <si>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</si>
  <si>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</si>
  <si>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</si>
  <si>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</si>
  <si>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</si>
  <si>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</si>
  <si>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</si>
  <si>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</si>
  <si>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</si>
  <si>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</si>
  <si>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</si>
  <si>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</si>
  <si>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</si>
  <si>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</si>
  <si>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</si>
  <si>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</si>
  <si>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</si>
  <si>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</si>
  <si>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</si>
  <si>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</si>
  <si>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</si>
  <si>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</si>
  <si>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</si>
  <si>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</si>
  <si>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</si>
  <si>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</si>
  <si>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</si>
  <si>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</si>
  <si>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</si>
  <si>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</si>
  <si>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</si>
  <si>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</si>
  <si>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</si>
  <si>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</si>
  <si>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</si>
  <si>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</si>
  <si>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</si>
  <si>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</si>
  <si>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</si>
  <si>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</si>
  <si>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</si>
  <si>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</si>
  <si>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</si>
  <si>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</si>
  <si>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</si>
  <si>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</si>
  <si>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</si>
  <si>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</si>
  <si>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</si>
  <si>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</si>
  <si>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</si>
  <si>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</si>
  <si>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</si>
  <si>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</si>
  <si>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</si>
  <si>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</si>
  <si>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</si>
  <si>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</si>
  <si>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</si>
  <si>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</si>
  <si>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</si>
  <si>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</si>
  <si>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</si>
  <si>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</si>
  <si>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</si>
  <si>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</si>
  <si>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</si>
  <si>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</si>
  <si>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</si>
  <si>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</si>
  <si>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</si>
  <si>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</si>
  <si>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</si>
  <si>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</si>
  <si>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</si>
  <si>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</si>
  <si>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</si>
  <si>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</si>
  <si>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</si>
  <si>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</si>
  <si>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</si>
  <si>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</si>
  <si>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</si>
  <si>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</si>
  <si>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</si>
  <si>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</si>
  <si>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</si>
  <si>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</si>
  <si>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</si>
  <si>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</si>
  <si>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</si>
  <si>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</si>
  <si>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</si>
  <si>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</si>
  <si>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</si>
  <si>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</si>
  <si>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</si>
  <si>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</si>
  <si>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</si>
  <si>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</si>
  <si>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</si>
  <si>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</si>
  <si>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</si>
  <si>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</si>
  <si>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</si>
  <si>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</si>
  <si>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</si>
  <si>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</si>
  <si>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</si>
  <si>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</si>
  <si>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</si>
  <si>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</si>
  <si>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</si>
  <si>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</si>
  <si>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</si>
  <si>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</si>
  <si>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</si>
  <si>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</si>
  <si>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</si>
  <si>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</si>
  <si>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</si>
  <si>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</si>
  <si>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</si>
  <si>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</si>
  <si>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</si>
  <si>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</si>
  <si>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</si>
  <si>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</si>
  <si>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</si>
  <si>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</si>
  <si>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</si>
  <si>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</si>
  <si>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</si>
  <si>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</si>
  <si>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</si>
  <si>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</si>
  <si>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</si>
  <si>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</si>
  <si>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</si>
  <si>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</si>
  <si>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</si>
  <si>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</si>
  <si>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</si>
  <si>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</si>
  <si>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</si>
  <si>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</si>
  <si>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</si>
  <si>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</si>
  <si>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</si>
  <si>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</si>
  <si>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</si>
  <si>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</si>
  <si>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</si>
  <si>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</si>
  <si>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</si>
  <si>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</si>
  <si>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</si>
  <si>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</si>
  <si>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</si>
  <si>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</si>
  <si>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</si>
  <si>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</si>
  <si>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</si>
  <si>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</si>
  <si>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</si>
  <si>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</si>
  <si>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</si>
  <si>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</si>
  <si>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</si>
  <si>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</si>
  <si>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</si>
  <si>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</si>
  <si>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</si>
  <si>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</si>
  <si>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</si>
  <si>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</si>
  <si>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</si>
  <si>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</si>
  <si>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</si>
  <si>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</si>
  <si>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</si>
  <si>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</si>
  <si>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Prompt for fundamental Analysis</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</si>
  <si>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</si>
  <si>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</si>
  <si>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</si>
  <si>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</si>
  <si>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</si>
  <si>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</si>
  <si>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</si>
  <si>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</si>
  <si>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</si>
  <si>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</si>
  <si>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</si>
  <si>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</si>
  <si>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</si>
  <si>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</si>
  <si>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</si>
  <si>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</si>
  <si>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</si>
  <si>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</si>
  <si>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</si>
  <si>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</si>
  <si>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</si>
  <si>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</si>
  <si>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</si>
  <si>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</si>
  <si>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</si>
  <si>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</si>
  <si>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</si>
  <si>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</si>
  <si>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</si>
  <si>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</si>
  <si>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</si>
  <si>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</si>
  <si>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</si>
  <si>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</si>
  <si>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</si>
  <si>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</si>
  <si>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</si>
  <si>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</si>
  <si>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</si>
  <si>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</si>
  <si>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</si>
  <si>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</si>
  <si>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</si>
  <si>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</si>
  <si>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</si>
  <si>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</si>
  <si>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</si>
  <si>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</si>
  <si>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</si>
  <si>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</si>
  <si>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</si>
  <si>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</si>
  <si>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</si>
  <si>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</si>
  <si>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</si>
  <si>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</si>
  <si>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</si>
  <si>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</si>
  <si>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</si>
  <si>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</si>
  <si>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</si>
  <si>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</si>
  <si>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</si>
  <si>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</si>
  <si>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</si>
  <si>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</si>
  <si>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</si>
  <si>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</si>
  <si>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</si>
  <si>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</si>
  <si>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</si>
  <si>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</si>
  <si>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</si>
  <si>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</si>
  <si>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</si>
  <si>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</si>
  <si>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</si>
  <si>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</si>
  <si>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</si>
  <si>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</si>
  <si>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</si>
  <si>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</si>
  <si>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</si>
  <si>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</si>
  <si>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</si>
  <si>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</si>
  <si>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</si>
  <si>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</si>
  <si>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</si>
  <si>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</si>
  <si>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</si>
  <si>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</si>
  <si>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</si>
  <si>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</si>
  <si>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</si>
  <si>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</si>
  <si>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</si>
  <si>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</si>
  <si>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</si>
  <si>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</si>
  <si>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Divisional Analysis (Optional)</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</si>
  <si>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</si>
  <si>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</si>
  <si>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</si>
  <si>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</si>
  <si>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</si>
  <si>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</si>
  <si>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</si>
  <si>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</si>
  <si>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</si>
  <si>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</si>
  <si>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</si>
  <si>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</si>
  <si>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</si>
  <si>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</si>
  <si>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</si>
  <si>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</si>
  <si>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</si>
  <si>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</si>
  <si>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</si>
  <si>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</si>
  <si>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</si>
  <si>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</si>
  <si>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</si>
  <si>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</si>
  <si>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</si>
  <si>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</si>
  <si>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</si>
  <si>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</si>
  <si>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</si>
  <si>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</si>
  <si>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</si>
  <si>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</si>
  <si>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</si>
  <si>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</si>
  <si>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</si>
  <si>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</si>
  <si>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</si>
  <si>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</si>
  <si>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</si>
  <si>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</si>
  <si>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</si>
  <si>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</si>
  <si>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</si>
  <si>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</si>
  <si>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</si>
  <si>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</si>
  <si>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</si>
  <si>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</si>
  <si>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</si>
  <si>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</si>
  <si>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</si>
  <si>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</si>
  <si>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</si>
  <si>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</si>
  <si>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</si>
  <si>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</si>
  <si>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</si>
  <si>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</si>
  <si>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</si>
  <si>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</si>
  <si>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</si>
  <si>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Contribution Margin</t>
  </si>
  <si>
    <t>Fixed Costs</t>
  </si>
  <si>
    <t>G&amp;A and other Opex</t>
  </si>
  <si>
    <t>Tax rate</t>
  </si>
  <si>
    <t>Maintenance Capex</t>
  </si>
  <si>
    <t>Stage</t>
  </si>
  <si>
    <t>High Growth Rate_II</t>
  </si>
  <si>
    <t>Contribution Margin_II</t>
  </si>
  <si>
    <t>Try obtain this number by reverse engineering.</t>
  </si>
  <si>
    <t>CNS_01</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</si>
  <si>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</si>
  <si>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</si>
  <si>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</si>
  <si>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</si>
  <si>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</si>
  <si>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</si>
  <si>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</si>
  <si>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</si>
  <si>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</si>
  <si>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</si>
  <si>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</si>
  <si>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</si>
  <si>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</si>
  <si>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</si>
  <si>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</si>
  <si>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</si>
  <si>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</si>
  <si>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FCFE/TV</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</si>
  <si>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</si>
  <si>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</si>
  <si>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</si>
  <si>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</si>
  <si>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</si>
  <si>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</si>
  <si>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</si>
  <si>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</si>
  <si>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</si>
  <si>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</si>
  <si>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</si>
  <si>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</si>
  <si>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</si>
  <si>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</si>
  <si>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</si>
  <si>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</si>
  <si>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</si>
  <si>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</si>
  <si>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</si>
  <si>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</si>
  <si>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</si>
  <si>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</si>
  <si>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</si>
  <si>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</si>
  <si>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</si>
  <si>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</si>
  <si>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</si>
  <si>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</si>
  <si>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</si>
  <si>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</si>
  <si>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</si>
  <si>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</si>
  <si>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</si>
  <si>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</si>
  <si>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</si>
  <si>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</si>
  <si>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</si>
  <si>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</si>
  <si>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</si>
  <si>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</si>
  <si>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</si>
  <si>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</si>
  <si>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</si>
  <si>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</si>
  <si>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</si>
  <si>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</si>
  <si>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</si>
  <si>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</si>
  <si>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</si>
  <si>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</si>
  <si>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</si>
  <si>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</si>
  <si>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</si>
  <si>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</si>
  <si>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</si>
  <si>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</si>
  <si>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</si>
  <si>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</si>
  <si>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</si>
  <si>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</si>
  <si>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</si>
  <si>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</si>
  <si>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</si>
  <si>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</si>
  <si>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</si>
  <si>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</si>
  <si>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</si>
  <si>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</si>
  <si>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</si>
  <si>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</si>
  <si>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</si>
  <si>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</si>
  <si>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</si>
  <si>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</si>
  <si>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</si>
  <si>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</si>
  <si>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</si>
  <si>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</si>
  <si>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</si>
  <si>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</si>
  <si>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</si>
  <si>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</si>
  <si>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</si>
  <si>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</si>
  <si>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</si>
  <si>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</si>
  <si>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</si>
  <si>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</si>
  <si>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</si>
  <si>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</si>
  <si>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</si>
  <si>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</si>
  <si>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</si>
  <si>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</si>
  <si>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</si>
  <si>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</si>
  <si>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</si>
  <si>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</si>
  <si>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</si>
  <si>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</si>
  <si>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</si>
  <si>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</si>
  <si>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</si>
  <si>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</si>
  <si>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</si>
  <si>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</si>
  <si>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</si>
  <si>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</si>
  <si>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</si>
  <si>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</si>
  <si>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</si>
  <si>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</si>
  <si>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</si>
  <si>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</si>
  <si>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</si>
  <si>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</si>
  <si>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</si>
  <si>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</si>
  <si>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</si>
  <si>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</si>
  <si>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</si>
  <si>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</si>
  <si>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</si>
  <si>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1448.HK</t>
  </si>
  <si>
    <t>福寿园</t>
  </si>
  <si>
    <t>CNY</t>
  </si>
  <si>
    <t>EBIT</t>
  </si>
  <si>
    <t>N</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</si>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</sst>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sz val="10"/>
      <color rgb="FF000000"/>
      <name val="Arial"/>
      <family val="2"/>
      <scheme val="min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3">
    <xf numFmtId="0" fontId="0" fillId="0" borderId="0"/>
    <xf numFmtId="0" fontId="52" fillId="0" borderId="1"/>
    <xf numFmtId="0" fontId="71" fillId="0" borderId="1"/>
  </cellStyleXfs>
  <cellXfs count="476">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1" fillId="0" borderId="1" xfId="0" applyFont="1" applyBorder="1" applyAlignment="1">
      <alignment vertical="center" wrapText="1"/>
    </xf>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10" fontId="47" fillId="0" borderId="0" xfId="0" applyNumberFormat="1" applyFont="1" applyAlignment="1">
      <alignment horizontal="left"/>
    </xf>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16" fillId="3" borderId="1" xfId="2" applyFont="1" applyFill="1"/>
    <xf numFmtId="168" fontId="9" fillId="4" borderId="1" xfId="2" applyNumberFormat="1" applyFont="1" applyFill="1" applyAlignment="1">
      <alignment horizontal="center"/>
    </xf>
    <xf numFmtId="0" fontId="71" fillId="0" borderId="1" xfId="2"/>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3">
    <cellStyle name="常规" xfId="0" builtinId="0"/>
    <cellStyle name="常规 2" xfId="2" xr:uid="{887CAECA-5945-42F9-B8D2-0BD44543E946}"/>
    <cellStyle name="常规 2 2" xfId="1" xr:uid="{A35F4541-DCCE-4554-A311-39480A36979A}"/>
  </cellStyles>
  <dxfs count="7">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0000"/>
      <color rgb="FFFF00FF"/>
      <color rgb="FF00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erry\PycharmProjects\Invest_Proc\financial_models\opportunities\1448.HK_Valuation_backup.xlsx" TargetMode="External"/><Relationship Id="rId1" Type="http://schemas.openxmlformats.org/officeDocument/2006/relationships/externalLinkPath" Target="1448.HK_Valuation_bac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hesis"/>
      <sheetName val="Data"/>
      <sheetName val="BS"/>
      <sheetName val="Normalized_FCF"/>
      <sheetName val="DCF"/>
      <sheetName val="Scenarios"/>
      <sheetName val="投资主题"/>
      <sheetName val="Breakdown"/>
    </sheetNames>
    <sheetDataSet>
      <sheetData sheetId="0">
        <row r="7">
          <cell r="C7" t="str">
            <v>HKD</v>
          </cell>
        </row>
        <row r="8">
          <cell r="C8">
            <v>2.86</v>
          </cell>
        </row>
        <row r="9">
          <cell r="C9">
            <v>2319863422</v>
          </cell>
        </row>
        <row r="16">
          <cell r="E16">
            <v>1.0932867000000002</v>
          </cell>
        </row>
        <row r="17">
          <cell r="C17">
            <v>0</v>
          </cell>
          <cell r="E17" t="str">
            <v>CNY</v>
          </cell>
        </row>
        <row r="21">
          <cell r="E21">
            <v>2</v>
          </cell>
        </row>
        <row r="101">
          <cell r="C101">
            <v>7.2499999999999995E-2</v>
          </cell>
        </row>
      </sheetData>
      <sheetData sheetId="1">
        <row r="3">
          <cell r="C3">
            <v>1000</v>
          </cell>
        </row>
      </sheetData>
      <sheetData sheetId="2"/>
      <sheetData sheetId="3">
        <row r="91">
          <cell r="C91">
            <v>0</v>
          </cell>
        </row>
      </sheetData>
      <sheetData sheetId="4">
        <row r="7">
          <cell r="F7">
            <v>1560745.9216088001</v>
          </cell>
        </row>
      </sheetData>
      <sheetData sheetId="5"/>
      <sheetData sheetId="6"/>
      <sheetData sheetId="7"/>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zoomScaleNormal="100" workbookViewId="0">
      <selection activeCell="C32" sqref="C32"/>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3" t="s">
        <v>225</v>
      </c>
      <c r="B2" s="34"/>
      <c r="C2" s="34"/>
      <c r="D2" s="34"/>
      <c r="E2" s="34"/>
      <c r="F2" s="34"/>
      <c r="G2" s="21"/>
      <c r="H2" s="21"/>
      <c r="I2" s="21"/>
    </row>
    <row r="3" spans="1:9">
      <c r="E3" s="438" t="s">
        <v>543</v>
      </c>
      <c r="F3" s="439">
        <v>45930</v>
      </c>
    </row>
    <row r="4" spans="1:9" ht="12.4">
      <c r="B4" s="431" t="s">
        <v>538</v>
      </c>
      <c r="C4" s="430" t="s">
        <v>549</v>
      </c>
      <c r="E4" s="440" t="s">
        <v>542</v>
      </c>
      <c r="F4" s="441" t="s">
        <v>325</v>
      </c>
    </row>
    <row r="5" spans="1:9">
      <c r="B5" s="1" t="s">
        <v>351</v>
      </c>
      <c r="C5" s="46" t="s">
        <v>548</v>
      </c>
      <c r="E5" s="443" t="s">
        <v>544</v>
      </c>
      <c r="F5" s="442" t="s">
        <v>552</v>
      </c>
    </row>
    <row r="6" spans="1:9">
      <c r="B6" s="2" t="s">
        <v>53</v>
      </c>
      <c r="C6" s="45" t="s">
        <v>406</v>
      </c>
      <c r="D6" s="45"/>
      <c r="E6" s="45"/>
    </row>
    <row r="7" spans="1:9">
      <c r="B7" s="1" t="s">
        <v>353</v>
      </c>
      <c r="C7" s="45" t="s">
        <v>309</v>
      </c>
      <c r="D7" s="45"/>
      <c r="E7" s="45"/>
    </row>
    <row r="8" spans="1:9">
      <c r="B8" s="4" t="s">
        <v>352</v>
      </c>
      <c r="C8" s="47">
        <v>2.96</v>
      </c>
      <c r="E8" s="32"/>
    </row>
    <row r="9" spans="1:9">
      <c r="B9" s="4" t="s">
        <v>348</v>
      </c>
      <c r="C9" s="48">
        <v>2319863422</v>
      </c>
    </row>
    <row r="10" spans="1:9">
      <c r="B10" s="4" t="s">
        <v>354</v>
      </c>
      <c r="C10" s="33">
        <f>Thesis!C8*Common_Shares/1000000</f>
        <v>6866.79572912</v>
      </c>
      <c r="D10" s="1" t="s">
        <v>533</v>
      </c>
      <c r="E10" s="311">
        <f>Scenarios!F34</f>
        <v>9.0084070295280566E-2</v>
      </c>
    </row>
    <row r="11" spans="1:9">
      <c r="D11" s="5"/>
      <c r="E11" s="5"/>
    </row>
    <row r="12" spans="1:9" ht="24.5" customHeight="1">
      <c r="B12" s="458" t="s">
        <v>357</v>
      </c>
      <c r="C12" s="458"/>
      <c r="D12" s="458"/>
      <c r="E12" s="458"/>
      <c r="F12" s="458"/>
    </row>
    <row r="14" spans="1:9">
      <c r="B14" s="42" t="str">
        <f>Scenarios!B39&amp;" Valuation Conclusion"</f>
        <v>1-stage DCF Valuation Conclusion</v>
      </c>
      <c r="C14" s="43"/>
    </row>
    <row r="15" spans="1:9">
      <c r="B15" s="1" t="s">
        <v>320</v>
      </c>
      <c r="C15" s="427" t="s">
        <v>552</v>
      </c>
      <c r="D15" s="4" t="s">
        <v>355</v>
      </c>
      <c r="E15" s="260" t="str">
        <f>IF(E17=C7,C7,E17&amp;"/"&amp;C7)</f>
        <v>CNY/HKD</v>
      </c>
    </row>
    <row r="16" spans="1:9">
      <c r="B16" s="1" t="s">
        <v>321</v>
      </c>
      <c r="C16" s="427" t="s">
        <v>552</v>
      </c>
      <c r="D16" s="4" t="s">
        <v>356</v>
      </c>
      <c r="E16" s="426">
        <v>1.0934131500000002</v>
      </c>
    </row>
    <row r="17" spans="1:6">
      <c r="B17" s="1" t="s">
        <v>537</v>
      </c>
      <c r="C17" s="425">
        <v>0</v>
      </c>
      <c r="D17" s="4" t="s">
        <v>275</v>
      </c>
      <c r="E17" s="228" t="s">
        <v>550</v>
      </c>
    </row>
    <row r="18" spans="1:6">
      <c r="B18" s="1" t="str">
        <f>"Expected Equity Value ("&amp;C7&amp;") :"</f>
        <v>Expected Equity Value (HKD) :</v>
      </c>
      <c r="C18" s="259">
        <f>C125</f>
        <v>3.1845771257311086</v>
      </c>
      <c r="D18" s="2" t="s">
        <v>349</v>
      </c>
      <c r="E18" s="428">
        <v>6</v>
      </c>
    </row>
    <row r="19" spans="1:6">
      <c r="B19" s="2" t="s">
        <v>276</v>
      </c>
      <c r="C19" s="31" t="str">
        <f>IF(Scenarios!C50="Y",Scenarios!B50,"")&amp;IF(Scenarios!C51="Y",Scenarios!B51,"")&amp;IF(Scenarios!C52="Y",Scenarios!B52,"")&amp;" "&amp;IF(Scenarios!C53="Y",Scenarios!B53,"")</f>
        <v xml:space="preserve">Low Growth </v>
      </c>
      <c r="D19" s="1" t="s">
        <v>350</v>
      </c>
      <c r="E19" s="429">
        <f>EOMONTH(EDATE(BS!C1,E18+2),0)</f>
        <v>46081</v>
      </c>
    </row>
    <row r="20" spans="1:6">
      <c r="D20" s="5"/>
      <c r="E20" s="5"/>
    </row>
    <row r="21" spans="1:6">
      <c r="B21" s="42" t="s">
        <v>409</v>
      </c>
      <c r="C21" s="261" t="str">
        <f>C138&amp;" ("&amp;Market_currency&amp;")"</f>
        <v xml:space="preserve"> (HKD)</v>
      </c>
      <c r="D21" s="31" t="s">
        <v>317</v>
      </c>
      <c r="E21" s="452">
        <v>2</v>
      </c>
    </row>
    <row r="22" spans="1:6">
      <c r="B22" s="1" t="s">
        <v>313</v>
      </c>
      <c r="C22" s="262">
        <f>E140</f>
        <v>1.9526458851748194</v>
      </c>
      <c r="D22" s="38" t="s">
        <v>411</v>
      </c>
      <c r="E22" s="79">
        <v>0.35</v>
      </c>
    </row>
    <row r="23" spans="1:6">
      <c r="B23" s="1" t="s">
        <v>314</v>
      </c>
      <c r="C23" s="263">
        <f>E141</f>
        <v>2.2673773604679095</v>
      </c>
      <c r="D23" s="38" t="s">
        <v>412</v>
      </c>
      <c r="E23" s="453">
        <v>0.25</v>
      </c>
    </row>
    <row r="24" spans="1:6">
      <c r="B24" s="1" t="s">
        <v>316</v>
      </c>
      <c r="C24" s="263">
        <f>E144</f>
        <v>2.8205316608176689</v>
      </c>
      <c r="D24" s="38" t="s">
        <v>413</v>
      </c>
      <c r="E24" s="453">
        <v>0.1174</v>
      </c>
    </row>
    <row r="25" spans="1:6">
      <c r="B25" s="1" t="s">
        <v>315</v>
      </c>
      <c r="C25" s="263">
        <f>E145</f>
        <v>3.0554227596947281</v>
      </c>
      <c r="D25" s="38" t="s">
        <v>414</v>
      </c>
      <c r="E25" s="454">
        <v>7.2499999999999995E-2</v>
      </c>
    </row>
    <row r="26" spans="1:6">
      <c r="D26" s="5"/>
      <c r="E26" s="5"/>
    </row>
    <row r="27" spans="1:6" ht="13.9">
      <c r="A27" s="203" t="s">
        <v>281</v>
      </c>
      <c r="B27" s="34"/>
      <c r="C27" s="34"/>
      <c r="D27" s="34"/>
      <c r="E27" s="34"/>
      <c r="F27" s="34"/>
    </row>
    <row r="29" spans="1:6">
      <c r="B29" s="458" t="s">
        <v>358</v>
      </c>
      <c r="C29" s="458"/>
      <c r="D29" s="458"/>
      <c r="E29" s="458"/>
      <c r="F29" s="458"/>
    </row>
    <row r="30" spans="1:6" ht="24.5" customHeight="1">
      <c r="B30" s="460" t="s">
        <v>267</v>
      </c>
      <c r="C30" s="460"/>
      <c r="D30" s="460"/>
      <c r="E30" s="460"/>
      <c r="F30" s="460"/>
    </row>
    <row r="32" spans="1:6">
      <c r="B32" s="193" t="s">
        <v>195</v>
      </c>
      <c r="C32" s="105">
        <f>scaling_factor</f>
        <v>1000</v>
      </c>
    </row>
    <row r="33" spans="2:6" ht="24.5" customHeight="1">
      <c r="B33" s="459" t="s">
        <v>196</v>
      </c>
      <c r="C33" s="459"/>
      <c r="D33" s="459"/>
      <c r="E33" s="459"/>
      <c r="F33" s="459"/>
    </row>
    <row r="34" spans="2:6">
      <c r="B34" s="44" t="s">
        <v>197</v>
      </c>
      <c r="C34" s="293">
        <f>Normalized_FCF!C8</f>
        <v>611412.69999999972</v>
      </c>
      <c r="D34" s="1" t="str">
        <f>Reporting_currency</f>
        <v>CNY</v>
      </c>
    </row>
    <row r="35" spans="2:6">
      <c r="B35" s="44"/>
      <c r="C35" s="73"/>
    </row>
    <row r="36" spans="2:6" ht="24.5" customHeight="1">
      <c r="B36" s="459" t="s">
        <v>198</v>
      </c>
      <c r="C36" s="459"/>
      <c r="D36" s="459"/>
      <c r="E36" s="459"/>
      <c r="F36" s="459"/>
    </row>
    <row r="37" spans="2:6">
      <c r="B37" s="44" t="s">
        <v>199</v>
      </c>
      <c r="C37" s="293">
        <f>Normalized_FCF!C15</f>
        <v>173178.99999999997</v>
      </c>
      <c r="D37" s="1" t="str">
        <f>Reporting_currency</f>
        <v>CNY</v>
      </c>
    </row>
    <row r="38" spans="2:6">
      <c r="B38" s="49" t="s">
        <v>200</v>
      </c>
      <c r="C38" s="293">
        <f>Normalized_FCF!C16</f>
        <v>-173178.99999999997</v>
      </c>
      <c r="D38" s="1" t="str">
        <f>Reporting_currency</f>
        <v>CNY</v>
      </c>
    </row>
    <row r="40" spans="2:6">
      <c r="B40" s="459" t="s">
        <v>201</v>
      </c>
      <c r="C40" s="459"/>
      <c r="D40" s="459"/>
      <c r="E40" s="459"/>
      <c r="F40" s="459"/>
    </row>
    <row r="41" spans="2:6">
      <c r="B41" s="44" t="s">
        <v>202</v>
      </c>
      <c r="C41" s="293">
        <f>Normalized_FCF!C9</f>
        <v>-2798</v>
      </c>
      <c r="D41" s="1" t="str">
        <f>Reporting_currency</f>
        <v>CNY</v>
      </c>
    </row>
    <row r="43" spans="2:6">
      <c r="B43" s="459" t="s">
        <v>205</v>
      </c>
      <c r="C43" s="459"/>
      <c r="D43" s="459"/>
      <c r="E43" s="459"/>
      <c r="F43" s="459"/>
    </row>
    <row r="44" spans="2:6">
      <c r="B44" s="44" t="s">
        <v>268</v>
      </c>
      <c r="C44" s="294">
        <f>Normalized_FCF!C46</f>
        <v>3636.4450703472003</v>
      </c>
      <c r="D44" s="1" t="str">
        <f>Reporting_currency</f>
        <v>CNY</v>
      </c>
      <c r="E44" s="251"/>
      <c r="F44" s="251"/>
    </row>
    <row r="45" spans="2:6">
      <c r="B45" s="44" t="s">
        <v>269</v>
      </c>
      <c r="C45" s="294">
        <f>Normalized_FCF!C45</f>
        <v>-8088.24</v>
      </c>
      <c r="D45" s="1" t="str">
        <f>Reporting_currency</f>
        <v>CNY</v>
      </c>
      <c r="E45" s="251"/>
      <c r="F45" s="251"/>
    </row>
    <row r="46" spans="2:6">
      <c r="B46" s="44" t="s">
        <v>203</v>
      </c>
      <c r="C46" s="293">
        <f>Normalized_FCF!C10</f>
        <v>-4451.7949296527995</v>
      </c>
      <c r="D46" s="1" t="str">
        <f>Reporting_currency</f>
        <v>CNY</v>
      </c>
    </row>
    <row r="48" spans="2:6">
      <c r="B48" s="1" t="s">
        <v>211</v>
      </c>
    </row>
    <row r="49" spans="2:6">
      <c r="B49" s="44" t="s">
        <v>223</v>
      </c>
      <c r="C49" s="293">
        <f>Normalized_FCF!C13</f>
        <v>-106049.44824717694</v>
      </c>
      <c r="D49" s="1" t="str">
        <f>Reporting_currency</f>
        <v>CNY</v>
      </c>
    </row>
    <row r="51" spans="2:6">
      <c r="B51" s="459" t="s">
        <v>206</v>
      </c>
      <c r="C51" s="459"/>
      <c r="D51" s="459"/>
      <c r="E51" s="459"/>
      <c r="F51" s="459"/>
    </row>
    <row r="52" spans="2:6">
      <c r="B52" s="44" t="s">
        <v>204</v>
      </c>
      <c r="C52" s="293">
        <f>Normalized_FCF!C12</f>
        <v>-151040.72626758672</v>
      </c>
      <c r="D52" s="1" t="str">
        <f>Reporting_currency</f>
        <v>CNY</v>
      </c>
    </row>
    <row r="54" spans="2:6">
      <c r="B54" s="459" t="s">
        <v>266</v>
      </c>
      <c r="C54" s="462"/>
      <c r="D54" s="462"/>
      <c r="E54" s="462"/>
      <c r="F54" s="462"/>
    </row>
    <row r="55" spans="2:6">
      <c r="B55" s="44" t="s">
        <v>207</v>
      </c>
      <c r="C55" s="293">
        <f>Normalized_FCF!C17</f>
        <v>0</v>
      </c>
      <c r="D55" s="1" t="str">
        <f>Reporting_currency</f>
        <v>CNY</v>
      </c>
    </row>
    <row r="57" spans="2:6" ht="24.5" customHeight="1">
      <c r="B57" s="458" t="s">
        <v>271</v>
      </c>
      <c r="C57" s="458"/>
      <c r="D57" s="458"/>
      <c r="E57" s="458"/>
      <c r="F57" s="458"/>
    </row>
    <row r="58" spans="2:6" ht="24.5" customHeight="1">
      <c r="B58" s="458" t="s">
        <v>283</v>
      </c>
      <c r="C58" s="458"/>
      <c r="D58" s="458"/>
      <c r="E58" s="458"/>
      <c r="F58" s="458"/>
    </row>
    <row r="60" spans="2:6">
      <c r="B60" s="44" t="s">
        <v>227</v>
      </c>
      <c r="C60" s="293">
        <f>Normalized_FCF!G19</f>
        <v>631699.59365518577</v>
      </c>
      <c r="D60" s="1" t="str">
        <f>Reporting_currency</f>
        <v>CNY</v>
      </c>
    </row>
    <row r="61" spans="2:6">
      <c r="B61" s="44" t="s">
        <v>213</v>
      </c>
      <c r="C61" s="293">
        <f>Normalized_FCF!C19</f>
        <v>347072.73055558326</v>
      </c>
      <c r="D61" s="1" t="str">
        <f>Reporting_currency</f>
        <v>CNY</v>
      </c>
    </row>
    <row r="62" spans="2:6">
      <c r="B62" s="207" t="s">
        <v>303</v>
      </c>
      <c r="C62" s="89">
        <f>Normalized_FCF!C124</f>
        <v>5.526506140070004E-2</v>
      </c>
      <c r="F62" s="264"/>
    </row>
    <row r="63" spans="2:6">
      <c r="B63" s="207" t="s">
        <v>333</v>
      </c>
      <c r="C63" s="89">
        <f>Normalized_FCF!C92</f>
        <v>5.378378378378379E-2</v>
      </c>
      <c r="E63" s="44" t="s">
        <v>323</v>
      </c>
      <c r="F63" s="265">
        <f>Normalized_FCF!C90</f>
        <v>1.0641062355754669</v>
      </c>
    </row>
    <row r="65" spans="1:6">
      <c r="B65" s="193" t="s">
        <v>326</v>
      </c>
      <c r="C65" s="271" t="s">
        <v>328</v>
      </c>
      <c r="D65" s="271" t="s">
        <v>329</v>
      </c>
    </row>
    <row r="66" spans="1:6">
      <c r="B66" s="44" t="s">
        <v>327</v>
      </c>
      <c r="C66" s="89">
        <f>Normalized_FCF!C119</f>
        <v>0.12416948697308672</v>
      </c>
      <c r="D66" s="89">
        <f>Normalized_FCF!G119</f>
        <v>0.21971961985098865</v>
      </c>
    </row>
    <row r="67" spans="1:6">
      <c r="B67" s="233" t="str">
        <f>Normalized_FCF!B116</f>
        <v>Pre-tax Profit/Sales</v>
      </c>
      <c r="C67" s="270">
        <f>Normalized_FCF!C116</f>
        <v>0.41544958439449353</v>
      </c>
      <c r="D67" s="270">
        <f>Normalized_FCF!G116</f>
        <v>0.51460063887624918</v>
      </c>
    </row>
    <row r="68" spans="1:6">
      <c r="B68" s="233" t="str">
        <f>Normalized_FCF!B117</f>
        <v>Sales/Total Assets</v>
      </c>
      <c r="C68" s="272">
        <f>Normalized_FCF!C117</f>
        <v>0.20090947033127624</v>
      </c>
      <c r="D68" s="272">
        <f>Normalized_FCF!G117</f>
        <v>0.28701352904468036</v>
      </c>
    </row>
    <row r="69" spans="1:6">
      <c r="B69" s="233" t="str">
        <f>Normalized_FCF!B118</f>
        <v>Total Assets/Equity</v>
      </c>
      <c r="C69" s="272">
        <f>Normalized_FCF!C118</f>
        <v>1.4876341835211095</v>
      </c>
      <c r="D69" s="272">
        <f>Normalized_FCF!G118</f>
        <v>1.4876341835211095</v>
      </c>
    </row>
    <row r="71" spans="1:6" ht="13.9">
      <c r="A71" s="203" t="s">
        <v>483</v>
      </c>
      <c r="B71" s="34"/>
      <c r="C71" s="34"/>
      <c r="D71" s="34"/>
      <c r="E71" s="34"/>
      <c r="F71" s="34"/>
    </row>
    <row r="72" spans="1:6">
      <c r="A72" s="192"/>
    </row>
    <row r="73" spans="1:6">
      <c r="A73" s="192"/>
      <c r="B73" s="458" t="s">
        <v>484</v>
      </c>
      <c r="C73" s="458"/>
      <c r="D73" s="458"/>
      <c r="E73" s="458"/>
      <c r="F73" s="458"/>
    </row>
    <row r="74" spans="1:6">
      <c r="A74" s="192"/>
      <c r="B74" s="1" t="s">
        <v>471</v>
      </c>
    </row>
    <row r="75" spans="1:6">
      <c r="A75" s="192"/>
    </row>
    <row r="76" spans="1:6">
      <c r="A76" s="192"/>
      <c r="B76" s="193" t="s">
        <v>195</v>
      </c>
    </row>
    <row r="77" spans="1:6">
      <c r="A77" s="192"/>
      <c r="B77" s="458" t="s">
        <v>272</v>
      </c>
      <c r="C77" s="458"/>
      <c r="D77" s="458"/>
      <c r="E77" s="458"/>
      <c r="F77" s="458"/>
    </row>
    <row r="78" spans="1:6">
      <c r="A78" s="192"/>
      <c r="B78" s="1" t="s">
        <v>215</v>
      </c>
      <c r="C78" s="293">
        <f>DCF!F4</f>
        <v>-134804</v>
      </c>
      <c r="D78" s="1" t="str">
        <f>Reporting_currency</f>
        <v>CNY</v>
      </c>
    </row>
    <row r="79" spans="1:6">
      <c r="A79" s="192"/>
      <c r="B79" s="44" t="s">
        <v>235</v>
      </c>
      <c r="C79" s="204">
        <f>C78*scaling_factor*Exchange_Rate/Common_Shares</f>
        <v>-6.3536699994832718E-2</v>
      </c>
      <c r="D79" s="1" t="str">
        <f>Market_currency</f>
        <v>HKD</v>
      </c>
    </row>
    <row r="80" spans="1:6">
      <c r="A80" s="192"/>
      <c r="B80" s="233" t="s">
        <v>310</v>
      </c>
      <c r="C80" s="346">
        <f>IF(BS!G31/BS!G27&gt;300%,"nm",BS!G31/BS!G27)</f>
        <v>2.7705347980559972E-2</v>
      </c>
    </row>
    <row r="81" spans="1:6">
      <c r="A81" s="192"/>
      <c r="B81" s="233" t="s">
        <v>312</v>
      </c>
      <c r="C81" s="347">
        <f>IF(BS!C50&gt;30,"nm",BS!C50)</f>
        <v>0.22047955497162566</v>
      </c>
    </row>
    <row r="82" spans="1:6">
      <c r="A82" s="192"/>
    </row>
    <row r="83" spans="1:6">
      <c r="A83" s="192"/>
      <c r="B83" s="1" t="s">
        <v>472</v>
      </c>
    </row>
    <row r="84" spans="1:6">
      <c r="A84" s="192"/>
      <c r="B84" s="1" t="s">
        <v>224</v>
      </c>
      <c r="C84" s="293">
        <f>DCF!F5</f>
        <v>1507763.8216088</v>
      </c>
      <c r="D84" s="1" t="str">
        <f>Reporting_currency</f>
        <v>CNY</v>
      </c>
    </row>
    <row r="85" spans="1:6">
      <c r="A85" s="192"/>
      <c r="B85" s="233" t="s">
        <v>222</v>
      </c>
      <c r="C85" s="299">
        <f>BS!C66</f>
        <v>2113838</v>
      </c>
      <c r="D85" s="348" t="str">
        <f>Reporting_currency</f>
        <v>CNY</v>
      </c>
    </row>
    <row r="86" spans="1:6">
      <c r="A86" s="192"/>
      <c r="B86" s="44" t="s">
        <v>236</v>
      </c>
      <c r="C86" s="204">
        <f>C84*scaling_factor*Exchange_Rate/Common_Shares</f>
        <v>0.71064907270274469</v>
      </c>
      <c r="D86" s="1" t="str">
        <f>Market_currency</f>
        <v>HKD</v>
      </c>
    </row>
    <row r="87" spans="1:6">
      <c r="A87" s="192"/>
    </row>
    <row r="88" spans="1:6">
      <c r="A88" s="192"/>
      <c r="B88" s="1" t="s">
        <v>216</v>
      </c>
    </row>
    <row r="89" spans="1:6">
      <c r="A89" s="192"/>
      <c r="B89" s="1" t="s">
        <v>217</v>
      </c>
      <c r="C89" s="293">
        <f>DCF!F6</f>
        <v>187786.09999999998</v>
      </c>
      <c r="D89" s="1" t="str">
        <f>Reporting_currency</f>
        <v>CNY</v>
      </c>
    </row>
    <row r="90" spans="1:6">
      <c r="A90" s="192"/>
      <c r="B90" s="44" t="s">
        <v>237</v>
      </c>
      <c r="C90" s="204">
        <f>C89*scaling_factor*Exchange_Rate/Common_Shares</f>
        <v>8.8508568728670176E-2</v>
      </c>
      <c r="D90" s="1" t="str">
        <f>Market_currency</f>
        <v>HKD</v>
      </c>
    </row>
    <row r="91" spans="1:6">
      <c r="A91" s="192"/>
    </row>
    <row r="92" spans="1:6">
      <c r="A92" s="192"/>
      <c r="B92" s="44" t="s">
        <v>475</v>
      </c>
      <c r="C92" s="220">
        <f>DCF!F8</f>
        <v>0.7356209414365823</v>
      </c>
      <c r="D92" s="44" t="str">
        <f>Market_currency</f>
        <v>HKD</v>
      </c>
    </row>
    <row r="94" spans="1:6" ht="13.9">
      <c r="A94" s="203" t="s">
        <v>476</v>
      </c>
      <c r="B94" s="34"/>
      <c r="C94" s="34"/>
      <c r="D94" s="34"/>
      <c r="E94" s="34"/>
      <c r="F94" s="34"/>
    </row>
    <row r="95" spans="1:6">
      <c r="A95" s="192"/>
    </row>
    <row r="96" spans="1:6" ht="11.75" customHeight="1">
      <c r="B96" s="458" t="s">
        <v>491</v>
      </c>
      <c r="C96" s="458"/>
      <c r="D96" s="458"/>
      <c r="E96" s="458"/>
      <c r="F96" s="458"/>
    </row>
    <row r="97" spans="2:6">
      <c r="B97" s="460" t="s">
        <v>490</v>
      </c>
      <c r="C97" s="460"/>
      <c r="D97" s="460"/>
      <c r="E97" s="460"/>
      <c r="F97" s="460"/>
    </row>
    <row r="98" spans="2:6">
      <c r="B98" s="460" t="s">
        <v>489</v>
      </c>
      <c r="C98" s="460"/>
      <c r="D98" s="460"/>
      <c r="E98" s="460"/>
      <c r="F98" s="460"/>
    </row>
    <row r="100" spans="2:6">
      <c r="B100" s="193" t="s">
        <v>195</v>
      </c>
    </row>
    <row r="101" spans="2:6">
      <c r="B101" s="49" t="s">
        <v>473</v>
      </c>
      <c r="C101" s="215">
        <f>E25+C103</f>
        <v>7.2499999999999995E-2</v>
      </c>
    </row>
    <row r="102" spans="2:6">
      <c r="B102" s="233" t="s">
        <v>319</v>
      </c>
      <c r="C102" s="270">
        <f>E25</f>
        <v>7.2499999999999995E-2</v>
      </c>
    </row>
    <row r="103" spans="2:6">
      <c r="B103" s="233" t="s">
        <v>318</v>
      </c>
      <c r="C103" s="270">
        <f>IF(C15="Y",1%,0)+IF(C16="Y",1%,0)</f>
        <v>0</v>
      </c>
    </row>
    <row r="104" spans="2:6">
      <c r="B104" s="44" t="s">
        <v>214</v>
      </c>
      <c r="C104" s="215">
        <f>Terminal_Growth</f>
        <v>0</v>
      </c>
    </row>
    <row r="106" spans="2:6">
      <c r="B106" s="257" t="s">
        <v>282</v>
      </c>
      <c r="C106" s="117"/>
    </row>
    <row r="107" spans="2:6">
      <c r="B107" s="458" t="s">
        <v>284</v>
      </c>
      <c r="C107" s="458"/>
      <c r="D107" s="458"/>
      <c r="E107" s="458"/>
      <c r="F107" s="458"/>
    </row>
    <row r="108" spans="2:6">
      <c r="B108" s="458" t="s">
        <v>285</v>
      </c>
      <c r="C108" s="458"/>
      <c r="D108" s="458"/>
      <c r="E108" s="458"/>
      <c r="F108" s="458"/>
    </row>
    <row r="110" spans="2:6">
      <c r="B110" s="193" t="s">
        <v>493</v>
      </c>
    </row>
    <row r="111" spans="2:6">
      <c r="B111" s="49" t="s">
        <v>474</v>
      </c>
      <c r="C111" s="220">
        <f>BS!D47</f>
        <v>0.40766152338944456</v>
      </c>
      <c r="D111" s="1" t="str">
        <f>Market_currency</f>
        <v>HKD</v>
      </c>
    </row>
    <row r="112" spans="2:6">
      <c r="B112" s="44" t="s">
        <v>324</v>
      </c>
      <c r="C112" s="220">
        <f>DCF!C11</f>
        <v>2.9919600000030946</v>
      </c>
      <c r="D112" s="1" t="str">
        <f>Market_currency</f>
        <v>HKD</v>
      </c>
    </row>
    <row r="114" spans="2:6" ht="24.5" customHeight="1">
      <c r="B114" s="458" t="s">
        <v>497</v>
      </c>
      <c r="C114" s="458"/>
      <c r="D114" s="458"/>
      <c r="E114" s="458"/>
      <c r="F114" s="458"/>
    </row>
    <row r="116" spans="2:6">
      <c r="B116" s="193" t="s">
        <v>494</v>
      </c>
    </row>
    <row r="117" spans="2:6" ht="12.4">
      <c r="B117" s="351" t="s">
        <v>101</v>
      </c>
      <c r="C117" s="351" t="s">
        <v>110</v>
      </c>
      <c r="D117" s="351" t="s">
        <v>99</v>
      </c>
      <c r="E117" s="351" t="s">
        <v>219</v>
      </c>
      <c r="F117" s="351" t="s">
        <v>124</v>
      </c>
    </row>
    <row r="118" spans="2:6">
      <c r="B118" s="208" t="str">
        <f>DCF!B74</f>
        <v>Snowball Scenario</v>
      </c>
      <c r="C118" s="209">
        <f>DCF!C74</f>
        <v>0.08</v>
      </c>
      <c r="D118" s="210">
        <f>DCF!D74</f>
        <v>5</v>
      </c>
      <c r="E118" s="211" t="str">
        <f>ROUND(DCF!E74,2)&amp;" "&amp;Market_currency</f>
        <v>3.92 HKD</v>
      </c>
      <c r="F118" s="212">
        <f>DCF!F74</f>
        <v>0.05</v>
      </c>
    </row>
    <row r="119" spans="2:6">
      <c r="B119" s="199" t="str">
        <f>DCF!B75</f>
        <v>Optimistic</v>
      </c>
      <c r="C119" s="200">
        <f>DCF!C75</f>
        <v>0.03</v>
      </c>
      <c r="D119" s="201">
        <f>DCF!D75</f>
        <v>5</v>
      </c>
      <c r="E119" s="211" t="str">
        <f>ROUND(DCF!E75,2)&amp;" "&amp;Market_currency</f>
        <v>3.31 HKD</v>
      </c>
      <c r="F119" s="202">
        <f>DCF!F75</f>
        <v>0.18</v>
      </c>
    </row>
    <row r="120" spans="2:6">
      <c r="B120" s="199" t="str">
        <f>DCF!B76</f>
        <v>Base</v>
      </c>
      <c r="C120" s="200">
        <f>DCF!C76</f>
        <v>0.02</v>
      </c>
      <c r="D120" s="201">
        <f>DCF!D76</f>
        <v>5</v>
      </c>
      <c r="E120" s="211" t="str">
        <f>ROUND(DCF!E76,2)&amp;" "&amp;Market_currency</f>
        <v>3.2 HKD</v>
      </c>
      <c r="F120" s="202">
        <f>DCF!F76</f>
        <v>0.53999999999999992</v>
      </c>
    </row>
    <row r="121" spans="2:6">
      <c r="B121" s="199" t="str">
        <f>DCF!B77</f>
        <v>Pessimistic</v>
      </c>
      <c r="C121" s="200">
        <f>DCF!C77</f>
        <v>0.01</v>
      </c>
      <c r="D121" s="201">
        <f>DCF!D77</f>
        <v>5</v>
      </c>
      <c r="E121" s="211" t="str">
        <f>ROUND(DCF!E77,2)&amp;" "&amp;Market_currency</f>
        <v>3.09 HKD</v>
      </c>
      <c r="F121" s="202">
        <f>DCF!F77</f>
        <v>0.18</v>
      </c>
    </row>
    <row r="122" spans="2:6">
      <c r="B122" s="199" t="str">
        <f>DCF!B78</f>
        <v>Devil's advocate</v>
      </c>
      <c r="C122" s="200">
        <f>DCF!C78</f>
        <v>-0.1</v>
      </c>
      <c r="D122" s="201">
        <f>DCF!D78</f>
        <v>5</v>
      </c>
      <c r="E122" s="211" t="str">
        <f>ROUND(DCF!E78,2)&amp;" "&amp;Market_currency</f>
        <v>2.16 HKD</v>
      </c>
      <c r="F122" s="202">
        <f>DCF!F78</f>
        <v>0.05</v>
      </c>
    </row>
    <row r="124" spans="2:6">
      <c r="B124" s="459" t="s">
        <v>359</v>
      </c>
      <c r="C124" s="459"/>
      <c r="D124" s="459"/>
      <c r="E124" s="459"/>
      <c r="F124" s="459"/>
    </row>
    <row r="125" spans="2:6">
      <c r="B125" s="194" t="s">
        <v>218</v>
      </c>
      <c r="C125" s="198">
        <f>Scenarios!C36</f>
        <v>3.1845771257311086</v>
      </c>
      <c r="D125" s="195" t="str">
        <f>Market_currency</f>
        <v>HKD</v>
      </c>
    </row>
    <row r="127" spans="2:6" ht="24.5" customHeight="1">
      <c r="B127" s="463" t="s">
        <v>360</v>
      </c>
      <c r="C127" s="463"/>
      <c r="D127" s="463"/>
      <c r="E127" s="463"/>
      <c r="F127" s="463"/>
    </row>
    <row r="129" spans="1:6" ht="13.9">
      <c r="A129" s="203" t="s">
        <v>480</v>
      </c>
      <c r="B129" s="34"/>
      <c r="C129" s="34"/>
      <c r="D129" s="34"/>
      <c r="E129" s="34"/>
      <c r="F129" s="34"/>
    </row>
    <row r="131" spans="1:6">
      <c r="B131" s="461" t="s">
        <v>286</v>
      </c>
      <c r="C131" s="461"/>
      <c r="D131" s="461"/>
      <c r="E131" s="461"/>
      <c r="F131" s="461"/>
    </row>
    <row r="132" spans="1:6">
      <c r="B132" s="458" t="s">
        <v>361</v>
      </c>
      <c r="C132" s="458"/>
      <c r="D132" s="458"/>
      <c r="E132" s="458"/>
      <c r="F132" s="458"/>
    </row>
    <row r="134" spans="1:6">
      <c r="B134" s="193" t="s">
        <v>195</v>
      </c>
    </row>
    <row r="135" spans="1:6">
      <c r="B135" s="1" t="s">
        <v>221</v>
      </c>
      <c r="C135" s="205">
        <f>E21</f>
        <v>2</v>
      </c>
    </row>
    <row r="136" spans="1:6">
      <c r="B136" s="195" t="s">
        <v>220</v>
      </c>
      <c r="C136" s="196">
        <f>Scenarios!C58</f>
        <v>0.15920000000000001</v>
      </c>
      <c r="D136" s="195" t="str">
        <f>Market_currency</f>
        <v>HKD</v>
      </c>
    </row>
    <row r="138" spans="1:6">
      <c r="B138" s="193" t="s">
        <v>500</v>
      </c>
      <c r="C138" s="218"/>
      <c r="D138" s="219"/>
    </row>
    <row r="139" spans="1:6" ht="12.4">
      <c r="B139" s="349" t="s">
        <v>468</v>
      </c>
      <c r="C139" s="349" t="str">
        <f>"PV("&amp;Holding_Period&amp;" yrs of Dividends)"</f>
        <v>PV(2 yrs of Dividends)</v>
      </c>
      <c r="D139" s="349" t="s">
        <v>477</v>
      </c>
      <c r="E139" s="350" t="str">
        <f>"Buy below ("&amp;Market_currency&amp;")"</f>
        <v>Buy below (HKD)</v>
      </c>
      <c r="F139" s="350" t="s">
        <v>478</v>
      </c>
    </row>
    <row r="140" spans="1:6">
      <c r="B140" s="345" t="s">
        <v>313</v>
      </c>
      <c r="C140" s="342">
        <f>Scenarios!C62</f>
        <v>0.20527846364883409</v>
      </c>
      <c r="D140" s="342">
        <f>Scenarios!D62</f>
        <v>1.7473674215259853</v>
      </c>
      <c r="E140" s="343">
        <f>Scenarios!E62</f>
        <v>1.9526458851748194</v>
      </c>
      <c r="F140" s="344">
        <f>E22</f>
        <v>0.35</v>
      </c>
    </row>
    <row r="141" spans="1:6">
      <c r="B141" s="345" t="s">
        <v>314</v>
      </c>
      <c r="C141" s="342">
        <f>Scenarios!C63</f>
        <v>0.22924800000000001</v>
      </c>
      <c r="D141" s="342">
        <f>Scenarios!D63</f>
        <v>2.0381293604679094</v>
      </c>
      <c r="E141" s="343">
        <f>Scenarios!E63</f>
        <v>2.2673773604679095</v>
      </c>
      <c r="F141" s="344">
        <f>Scenarios!F63</f>
        <v>0.25</v>
      </c>
    </row>
    <row r="142" spans="1:6">
      <c r="B142" s="195"/>
      <c r="C142" s="195"/>
      <c r="D142" s="195"/>
      <c r="E142" s="195"/>
      <c r="F142" s="195"/>
    </row>
    <row r="143" spans="1:6" ht="12.4">
      <c r="B143" s="349" t="s">
        <v>469</v>
      </c>
      <c r="C143" s="349" t="str">
        <f>"PV("&amp;Holding_Period&amp;" yrs of Dividends)"</f>
        <v>PV(2 yrs of Dividends)</v>
      </c>
      <c r="D143" s="349" t="s">
        <v>477</v>
      </c>
      <c r="E143" s="350" t="str">
        <f>"Sell above ("&amp;Market_currency&amp;")"</f>
        <v>Sell above (HKD)</v>
      </c>
      <c r="F143" s="350" t="s">
        <v>478</v>
      </c>
    </row>
    <row r="144" spans="1:6">
      <c r="B144" s="345" t="s">
        <v>316</v>
      </c>
      <c r="C144" s="342">
        <f>Scenarios!C66</f>
        <v>0.26997816308147637</v>
      </c>
      <c r="D144" s="342">
        <f>Scenarios!D66</f>
        <v>2.5505534977361926</v>
      </c>
      <c r="E144" s="343">
        <f>Scenarios!E66</f>
        <v>2.8205316608176689</v>
      </c>
      <c r="F144" s="344">
        <f>E24</f>
        <v>0.1174</v>
      </c>
    </row>
    <row r="145" spans="1:6">
      <c r="B145" s="345" t="s">
        <v>315</v>
      </c>
      <c r="C145" s="342">
        <f>Scenarios!C67</f>
        <v>0.28684217103797521</v>
      </c>
      <c r="D145" s="342">
        <f>Scenarios!D67</f>
        <v>2.7685805886567527</v>
      </c>
      <c r="E145" s="343">
        <f>Scenarios!E67</f>
        <v>3.0554227596947281</v>
      </c>
      <c r="F145" s="344">
        <f>Scenarios!F67</f>
        <v>7.2499999999999995E-2</v>
      </c>
    </row>
    <row r="147" spans="1:6" ht="13.9">
      <c r="A147" s="203" t="s">
        <v>481</v>
      </c>
      <c r="B147" s="34"/>
      <c r="C147" s="34"/>
      <c r="D147" s="34"/>
      <c r="E147" s="34"/>
      <c r="F147" s="34"/>
    </row>
    <row r="149" spans="1:6">
      <c r="B149" s="465" t="s">
        <v>362</v>
      </c>
      <c r="C149" s="458"/>
      <c r="D149" s="458"/>
      <c r="E149" s="458"/>
      <c r="F149" s="458"/>
    </row>
    <row r="151" spans="1:6">
      <c r="B151" s="193" t="s">
        <v>290</v>
      </c>
    </row>
    <row r="152" spans="1:6">
      <c r="B152" s="462" t="s">
        <v>294</v>
      </c>
      <c r="C152" s="462"/>
      <c r="D152" s="462"/>
      <c r="E152" s="462"/>
      <c r="F152" s="462"/>
    </row>
    <row r="153" spans="1:6">
      <c r="B153" s="197" t="s">
        <v>291</v>
      </c>
    </row>
    <row r="154" spans="1:6">
      <c r="B154" s="197" t="s">
        <v>292</v>
      </c>
    </row>
    <row r="155" spans="1:6">
      <c r="B155" s="197" t="s">
        <v>293</v>
      </c>
    </row>
    <row r="157" spans="1:6">
      <c r="B157" s="1" t="s">
        <v>297</v>
      </c>
    </row>
    <row r="158" spans="1:6" ht="34.25" customHeight="1">
      <c r="B158" s="459" t="s">
        <v>444</v>
      </c>
      <c r="C158" s="459"/>
      <c r="D158" s="459"/>
      <c r="E158" s="459"/>
      <c r="F158" s="459"/>
    </row>
    <row r="160" spans="1:6">
      <c r="B160" s="1" t="s">
        <v>298</v>
      </c>
    </row>
    <row r="161" spans="2:6" ht="24.5" customHeight="1">
      <c r="B161" s="464" t="s">
        <v>295</v>
      </c>
      <c r="C161" s="464"/>
      <c r="D161" s="464"/>
      <c r="E161" s="464"/>
      <c r="F161" s="464"/>
    </row>
    <row r="162" spans="2:6" ht="24.5" customHeight="1">
      <c r="B162" s="464" t="s">
        <v>296</v>
      </c>
      <c r="C162" s="464"/>
      <c r="D162" s="464"/>
      <c r="E162" s="464"/>
      <c r="F162" s="464"/>
    </row>
    <row r="164" spans="2:6">
      <c r="B164" s="1" t="s">
        <v>302</v>
      </c>
    </row>
    <row r="165" spans="2:6">
      <c r="B165" s="197" t="s">
        <v>299</v>
      </c>
    </row>
    <row r="166" spans="2:6">
      <c r="B166" s="197" t="s">
        <v>300</v>
      </c>
    </row>
    <row r="167" spans="2:6">
      <c r="B167" s="197" t="s">
        <v>301</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168" zoomScaleNormal="100" workbookViewId="0">
      <pane xSplit="2" ySplit="1" topLeftCell="C2" activePane="bottomRight" state="frozen"/>
      <selection pane="topRight" activeCell="C1" sqref="C1"/>
      <selection pane="bottomLeft" activeCell="A2" sqref="A2"/>
      <selection pane="bottomRight" activeCell="E29" sqref="E29"/>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1000</v>
      </c>
    </row>
    <row r="4" spans="2:13">
      <c r="B4" s="31" t="s">
        <v>0</v>
      </c>
      <c r="C4" s="295">
        <v>2077484</v>
      </c>
      <c r="D4" s="295">
        <v>2628029</v>
      </c>
      <c r="E4" s="295">
        <v>2171626</v>
      </c>
      <c r="F4" s="295">
        <v>2325848</v>
      </c>
      <c r="G4" s="295">
        <v>1892537</v>
      </c>
      <c r="H4" s="295">
        <v>1850574</v>
      </c>
      <c r="I4" s="295">
        <v>1651299</v>
      </c>
      <c r="J4" s="295">
        <v>1477208</v>
      </c>
      <c r="K4" s="295">
        <v>1267655</v>
      </c>
      <c r="L4" s="295">
        <v>1107960</v>
      </c>
      <c r="M4" s="295"/>
    </row>
    <row r="5" spans="2:13">
      <c r="B5" s="38" t="s">
        <v>40</v>
      </c>
      <c r="C5" s="295">
        <v>467126</v>
      </c>
      <c r="D5" s="295">
        <v>362473</v>
      </c>
      <c r="E5" s="295">
        <v>479666</v>
      </c>
      <c r="F5" s="295">
        <v>516304</v>
      </c>
      <c r="G5" s="295">
        <v>409351</v>
      </c>
      <c r="H5" s="295">
        <v>387398</v>
      </c>
      <c r="I5" s="295">
        <v>324344</v>
      </c>
      <c r="J5" s="295">
        <v>292316</v>
      </c>
      <c r="K5" s="295">
        <v>265303</v>
      </c>
      <c r="L5" s="295">
        <v>248161</v>
      </c>
      <c r="M5" s="295"/>
    </row>
    <row r="6" spans="2:13">
      <c r="B6" s="38" t="s">
        <v>51</v>
      </c>
      <c r="C6" s="295">
        <v>528317</v>
      </c>
      <c r="D6" s="295">
        <v>555259</v>
      </c>
      <c r="E6" s="295">
        <v>506779</v>
      </c>
      <c r="F6" s="295">
        <v>522738</v>
      </c>
      <c r="G6" s="295">
        <v>421877</v>
      </c>
      <c r="H6" s="295">
        <v>454796</v>
      </c>
      <c r="I6" s="295">
        <v>445068</v>
      </c>
      <c r="J6" s="295">
        <v>543726</v>
      </c>
      <c r="K6" s="295">
        <v>496391</v>
      </c>
      <c r="L6" s="295">
        <v>455577</v>
      </c>
      <c r="M6" s="295"/>
    </row>
    <row r="7" spans="2:13">
      <c r="B7" s="66" t="s">
        <v>58</v>
      </c>
      <c r="C7" s="296">
        <v>41597</v>
      </c>
      <c r="D7" s="296">
        <v>48899</v>
      </c>
      <c r="E7" s="296">
        <v>43155</v>
      </c>
      <c r="F7" s="296">
        <v>53122</v>
      </c>
      <c r="G7" s="296">
        <v>36072</v>
      </c>
      <c r="H7" s="296">
        <v>38671</v>
      </c>
      <c r="I7" s="296">
        <v>43876</v>
      </c>
      <c r="J7" s="296">
        <v>250830</v>
      </c>
      <c r="K7" s="296">
        <v>217517</v>
      </c>
      <c r="L7" s="296">
        <v>205442</v>
      </c>
      <c r="M7" s="296"/>
    </row>
    <row r="8" spans="2:13">
      <c r="B8" s="38" t="s">
        <v>46</v>
      </c>
      <c r="C8" s="295"/>
      <c r="D8" s="295"/>
      <c r="E8" s="295"/>
      <c r="F8" s="295"/>
      <c r="G8" s="295"/>
      <c r="H8" s="295"/>
      <c r="I8" s="295"/>
      <c r="J8" s="295"/>
      <c r="K8" s="295"/>
      <c r="L8" s="295"/>
      <c r="M8" s="295"/>
    </row>
    <row r="9" spans="2:13">
      <c r="B9" s="38" t="s">
        <v>134</v>
      </c>
      <c r="C9" s="295">
        <v>-2798</v>
      </c>
      <c r="D9" s="295">
        <v>-18436</v>
      </c>
      <c r="E9" s="295">
        <v>-7407</v>
      </c>
      <c r="F9" s="295">
        <v>-11577</v>
      </c>
      <c r="G9" s="295">
        <v>4</v>
      </c>
      <c r="H9" s="295">
        <v>-176</v>
      </c>
      <c r="I9" s="295">
        <v>0</v>
      </c>
      <c r="J9" s="295">
        <v>398</v>
      </c>
      <c r="K9" s="295">
        <v>485</v>
      </c>
      <c r="L9" s="295">
        <v>0</v>
      </c>
      <c r="M9" s="295"/>
    </row>
    <row r="10" spans="2:13">
      <c r="B10" s="38" t="s">
        <v>138</v>
      </c>
      <c r="C10" s="295"/>
      <c r="D10" s="295"/>
      <c r="E10" s="295"/>
      <c r="F10" s="295"/>
      <c r="G10" s="295"/>
      <c r="H10" s="295"/>
      <c r="I10" s="295"/>
      <c r="J10" s="295"/>
      <c r="K10" s="295"/>
      <c r="L10" s="295"/>
      <c r="M10" s="295"/>
    </row>
    <row r="11" spans="2:13">
      <c r="B11" s="38" t="s">
        <v>133</v>
      </c>
      <c r="C11" s="295"/>
      <c r="D11" s="295"/>
      <c r="E11" s="295"/>
      <c r="F11" s="295"/>
      <c r="G11" s="295"/>
      <c r="H11" s="295"/>
      <c r="I11" s="295"/>
      <c r="J11" s="295"/>
      <c r="K11" s="295"/>
      <c r="L11" s="295"/>
      <c r="M11" s="295"/>
    </row>
    <row r="12" spans="2:13">
      <c r="B12" s="38" t="s">
        <v>37</v>
      </c>
      <c r="C12" s="295">
        <v>16422</v>
      </c>
      <c r="D12" s="295">
        <v>7392</v>
      </c>
      <c r="E12" s="295">
        <v>5008</v>
      </c>
      <c r="F12" s="295">
        <v>7246</v>
      </c>
      <c r="G12" s="295">
        <v>9525</v>
      </c>
      <c r="H12" s="295">
        <v>11128</v>
      </c>
      <c r="I12" s="295">
        <v>8293</v>
      </c>
      <c r="J12" s="295">
        <v>15585</v>
      </c>
      <c r="K12" s="295">
        <v>8256</v>
      </c>
      <c r="L12" s="295">
        <v>7799</v>
      </c>
      <c r="M12" s="295"/>
    </row>
    <row r="13" spans="2:13">
      <c r="B13" s="38" t="s">
        <v>64</v>
      </c>
      <c r="C13" s="295">
        <v>21811</v>
      </c>
      <c r="D13" s="295">
        <v>17341</v>
      </c>
      <c r="E13" s="295"/>
      <c r="F13" s="295"/>
      <c r="G13" s="295"/>
      <c r="H13" s="295"/>
      <c r="I13" s="295"/>
      <c r="J13" s="295"/>
      <c r="K13" s="295"/>
      <c r="L13" s="295"/>
      <c r="M13" s="295"/>
    </row>
    <row r="14" spans="2:13">
      <c r="B14" s="38" t="s">
        <v>47</v>
      </c>
      <c r="C14" s="295">
        <v>313181</v>
      </c>
      <c r="D14" s="295">
        <v>455638</v>
      </c>
      <c r="E14" s="295">
        <v>281476</v>
      </c>
      <c r="F14" s="295">
        <v>289591</v>
      </c>
      <c r="G14" s="295">
        <v>222784</v>
      </c>
      <c r="H14" s="295">
        <v>211350</v>
      </c>
      <c r="I14" s="295">
        <v>159140</v>
      </c>
      <c r="J14" s="295">
        <v>134611</v>
      </c>
      <c r="K14" s="295">
        <v>108508</v>
      </c>
      <c r="L14" s="295">
        <v>94437</v>
      </c>
      <c r="M14" s="295"/>
    </row>
    <row r="15" spans="2:13">
      <c r="B15" s="41" t="s">
        <v>39</v>
      </c>
      <c r="C15" s="297">
        <v>497328</v>
      </c>
      <c r="D15" s="297">
        <v>975916</v>
      </c>
      <c r="E15" s="297">
        <v>810729</v>
      </c>
      <c r="F15" s="297">
        <v>889644</v>
      </c>
      <c r="G15" s="297">
        <v>757305</v>
      </c>
      <c r="H15" s="297">
        <v>735319</v>
      </c>
      <c r="I15" s="297">
        <v>615633</v>
      </c>
      <c r="J15" s="297">
        <v>550173</v>
      </c>
      <c r="K15" s="297">
        <v>448505</v>
      </c>
      <c r="L15" s="297">
        <v>365169</v>
      </c>
      <c r="M15" s="297"/>
    </row>
    <row r="16" spans="2:13">
      <c r="B16" s="27" t="s">
        <v>41</v>
      </c>
      <c r="C16" s="295">
        <v>124194</v>
      </c>
      <c r="D16" s="295">
        <v>184676</v>
      </c>
      <c r="E16" s="295">
        <v>152133</v>
      </c>
      <c r="F16" s="295">
        <v>169611</v>
      </c>
      <c r="G16" s="295">
        <v>137241</v>
      </c>
      <c r="H16" s="295">
        <v>156740</v>
      </c>
      <c r="I16" s="295">
        <v>127269</v>
      </c>
      <c r="J16" s="295">
        <v>132823</v>
      </c>
      <c r="K16" s="295">
        <v>109531</v>
      </c>
      <c r="L16" s="295">
        <v>80725</v>
      </c>
      <c r="M16" s="295"/>
    </row>
    <row r="18" spans="2:13">
      <c r="B18" s="16" t="s">
        <v>48</v>
      </c>
      <c r="C18" s="9"/>
    </row>
    <row r="19" spans="2:13">
      <c r="B19" s="26" t="s">
        <v>44</v>
      </c>
      <c r="C19" s="295">
        <v>173179</v>
      </c>
      <c r="D19" s="295">
        <v>166609</v>
      </c>
      <c r="E19" s="295"/>
      <c r="F19" s="295"/>
      <c r="G19" s="295"/>
      <c r="H19" s="295"/>
      <c r="I19" s="295"/>
      <c r="J19" s="295"/>
      <c r="K19" s="295"/>
      <c r="L19" s="295"/>
      <c r="M19" s="295"/>
    </row>
    <row r="20" spans="2:13">
      <c r="B20" s="26" t="s">
        <v>50</v>
      </c>
      <c r="C20" s="295"/>
      <c r="D20" s="295"/>
      <c r="E20" s="295"/>
      <c r="F20" s="295"/>
      <c r="G20" s="295"/>
      <c r="H20" s="295"/>
      <c r="I20" s="295"/>
      <c r="J20" s="295"/>
      <c r="K20" s="295"/>
      <c r="L20" s="295"/>
      <c r="M20" s="295"/>
    </row>
    <row r="21" spans="2:13">
      <c r="B21" s="26" t="s">
        <v>49</v>
      </c>
      <c r="C21" s="295"/>
      <c r="D21" s="295"/>
      <c r="E21" s="295"/>
      <c r="F21" s="295"/>
      <c r="G21" s="295"/>
      <c r="H21" s="295"/>
      <c r="I21" s="295"/>
      <c r="J21" s="295"/>
      <c r="K21" s="295"/>
      <c r="L21" s="295"/>
      <c r="M21" s="295"/>
    </row>
    <row r="22" spans="2:13">
      <c r="B22" s="26" t="s">
        <v>287</v>
      </c>
      <c r="C22" s="295">
        <v>708532</v>
      </c>
      <c r="D22" s="295">
        <v>1102878</v>
      </c>
      <c r="E22" s="295">
        <v>852933</v>
      </c>
      <c r="F22" s="295">
        <v>992369</v>
      </c>
      <c r="G22" s="295">
        <v>822349</v>
      </c>
      <c r="H22" s="295">
        <v>707084</v>
      </c>
      <c r="I22" s="295">
        <v>670523</v>
      </c>
      <c r="J22" s="295">
        <v>648172</v>
      </c>
      <c r="K22" s="295">
        <v>455423</v>
      </c>
      <c r="L22" s="295">
        <v>366578</v>
      </c>
      <c r="M22" s="295"/>
    </row>
    <row r="23" spans="2:13">
      <c r="B23" s="26" t="s">
        <v>289</v>
      </c>
      <c r="C23" s="295">
        <v>130841</v>
      </c>
      <c r="D23" s="295">
        <v>-362126</v>
      </c>
      <c r="E23" s="295">
        <v>413235</v>
      </c>
      <c r="F23" s="295">
        <v>-648300</v>
      </c>
      <c r="G23" s="295">
        <v>-1109086</v>
      </c>
      <c r="H23" s="295">
        <v>-12368</v>
      </c>
      <c r="I23" s="295">
        <v>-1021467</v>
      </c>
      <c r="J23" s="295">
        <v>134672</v>
      </c>
      <c r="K23" s="295">
        <v>-340500</v>
      </c>
      <c r="L23" s="295">
        <v>-381434</v>
      </c>
      <c r="M23" s="295"/>
    </row>
    <row r="24" spans="2:13">
      <c r="B24" s="26" t="s">
        <v>288</v>
      </c>
      <c r="C24" s="295">
        <v>-1078214</v>
      </c>
      <c r="D24" s="295">
        <v>-387518</v>
      </c>
      <c r="E24" s="295">
        <v>-399541</v>
      </c>
      <c r="F24" s="295">
        <v>-502485</v>
      </c>
      <c r="G24" s="295">
        <v>-486383</v>
      </c>
      <c r="H24" s="295">
        <v>-181225</v>
      </c>
      <c r="I24" s="295">
        <v>-92397</v>
      </c>
      <c r="J24" s="295">
        <v>-84758</v>
      </c>
      <c r="K24" s="295">
        <v>-152778</v>
      </c>
      <c r="L24" s="295">
        <v>-5140</v>
      </c>
      <c r="M24" s="295"/>
    </row>
    <row r="25" spans="2:13">
      <c r="B25" s="23" t="str">
        <f>"Dividend per share ("&amp;Market_currency&amp;")"</f>
        <v>Dividend per share (HKD)</v>
      </c>
      <c r="C25" s="37">
        <f>0.0638+0.0954</f>
        <v>0.15920000000000001</v>
      </c>
      <c r="D25" s="37">
        <f>0.0906+0.0686</f>
        <v>0.15920000000000001</v>
      </c>
      <c r="E25" s="37"/>
      <c r="F25" s="37"/>
      <c r="G25" s="37"/>
      <c r="H25" s="37"/>
      <c r="I25" s="37"/>
      <c r="J25" s="37"/>
      <c r="K25" s="37"/>
      <c r="L25" s="37"/>
      <c r="M25" s="37"/>
    </row>
    <row r="27" spans="2:13">
      <c r="B27" s="16" t="s">
        <v>26</v>
      </c>
      <c r="C27" s="94" t="s">
        <v>553</v>
      </c>
    </row>
    <row r="28" spans="2:13">
      <c r="B28" s="25" t="s">
        <v>22</v>
      </c>
      <c r="C28" s="278">
        <f>BS!C4</f>
        <v>144049</v>
      </c>
      <c r="D28" s="295">
        <v>139113</v>
      </c>
      <c r="E28" s="295">
        <v>137875</v>
      </c>
      <c r="F28" s="295">
        <v>108344</v>
      </c>
      <c r="G28" s="295">
        <v>63265</v>
      </c>
      <c r="H28" s="295">
        <v>56480</v>
      </c>
      <c r="I28" s="295">
        <v>14778</v>
      </c>
      <c r="J28" s="295">
        <v>6310</v>
      </c>
      <c r="K28" s="295">
        <v>19038</v>
      </c>
      <c r="L28" s="295">
        <v>9622</v>
      </c>
      <c r="M28" s="295"/>
    </row>
    <row r="29" spans="2:13">
      <c r="B29" s="25" t="s">
        <v>30</v>
      </c>
      <c r="C29" s="278">
        <f>BS!C6</f>
        <v>558421</v>
      </c>
      <c r="D29" s="295">
        <v>557991</v>
      </c>
      <c r="E29" s="295">
        <v>558958</v>
      </c>
      <c r="F29" s="295">
        <v>544487</v>
      </c>
      <c r="G29" s="295">
        <v>502263</v>
      </c>
      <c r="H29" s="295">
        <v>481059</v>
      </c>
      <c r="I29" s="295">
        <v>448003</v>
      </c>
      <c r="J29" s="295">
        <v>426381</v>
      </c>
      <c r="K29" s="295">
        <v>372407</v>
      </c>
      <c r="L29" s="295">
        <v>339522</v>
      </c>
      <c r="M29" s="295"/>
    </row>
    <row r="30" spans="2:13">
      <c r="B30" s="28" t="s">
        <v>38</v>
      </c>
      <c r="C30" s="279">
        <f>BS!C33+BS!C42</f>
        <v>2372648</v>
      </c>
      <c r="D30" s="297">
        <v>2093923</v>
      </c>
      <c r="E30" s="297">
        <v>1701887</v>
      </c>
      <c r="F30" s="297">
        <v>1733130</v>
      </c>
      <c r="G30" s="297">
        <v>1536089</v>
      </c>
      <c r="H30" s="297">
        <v>1400407</v>
      </c>
      <c r="I30" s="297">
        <v>1186821</v>
      </c>
      <c r="J30" s="297">
        <v>1057531</v>
      </c>
      <c r="K30" s="297">
        <v>907178</v>
      </c>
      <c r="L30" s="297">
        <v>913796</v>
      </c>
      <c r="M30" s="297"/>
    </row>
    <row r="31" spans="2:13">
      <c r="B31" s="28" t="s">
        <v>28</v>
      </c>
      <c r="C31" s="279">
        <f>BS!G27</f>
        <v>4865631</v>
      </c>
      <c r="D31" s="297">
        <v>6155828</v>
      </c>
      <c r="E31" s="297">
        <v>6573864</v>
      </c>
      <c r="F31" s="297">
        <v>6114004</v>
      </c>
      <c r="G31" s="297">
        <v>5672320</v>
      </c>
      <c r="H31" s="297">
        <v>5142086</v>
      </c>
      <c r="I31" s="297">
        <v>4585213</v>
      </c>
      <c r="J31" s="297">
        <v>4050883</v>
      </c>
      <c r="K31" s="297">
        <v>3604504</v>
      </c>
      <c r="L31" s="297">
        <v>3029040</v>
      </c>
      <c r="M31" s="297">
        <v>2649769</v>
      </c>
    </row>
    <row r="32" spans="2:13">
      <c r="B32" s="25" t="s">
        <v>143</v>
      </c>
      <c r="C32" s="278">
        <f>BS!G28</f>
        <v>574396</v>
      </c>
      <c r="D32" s="295">
        <v>594674</v>
      </c>
      <c r="E32" s="295">
        <v>653809</v>
      </c>
      <c r="F32" s="295">
        <v>638246</v>
      </c>
      <c r="G32" s="295">
        <v>628880</v>
      </c>
      <c r="H32" s="295">
        <v>574205</v>
      </c>
      <c r="I32" s="295">
        <v>542143</v>
      </c>
      <c r="J32" s="295">
        <v>538452</v>
      </c>
      <c r="K32" s="295">
        <v>586341</v>
      </c>
      <c r="L32" s="295">
        <v>492860</v>
      </c>
      <c r="M32" s="295">
        <v>413840</v>
      </c>
    </row>
    <row r="34" spans="2:13" ht="13.9">
      <c r="B34" s="34" t="s">
        <v>78</v>
      </c>
      <c r="C34" s="35"/>
      <c r="D34" s="35"/>
      <c r="E34" s="35"/>
      <c r="F34" s="35"/>
      <c r="G34" s="35"/>
      <c r="H34" s="35"/>
      <c r="I34" s="35"/>
      <c r="J34" s="35"/>
      <c r="K34" s="35"/>
      <c r="L34" s="35"/>
      <c r="M34" s="35"/>
    </row>
    <row r="35" spans="2:13">
      <c r="B35" s="16" t="s">
        <v>25</v>
      </c>
    </row>
    <row r="36" spans="2:13">
      <c r="B36" s="31" t="s">
        <v>0</v>
      </c>
      <c r="C36" s="278">
        <f t="shared" ref="C36:M36" si="1">IF(C$4="","",C4)</f>
        <v>2077484</v>
      </c>
      <c r="D36" s="278">
        <f t="shared" si="1"/>
        <v>2628029</v>
      </c>
      <c r="E36" s="278">
        <f t="shared" si="1"/>
        <v>2171626</v>
      </c>
      <c r="F36" s="278">
        <f t="shared" si="1"/>
        <v>2325848</v>
      </c>
      <c r="G36" s="278">
        <f t="shared" si="1"/>
        <v>1892537</v>
      </c>
      <c r="H36" s="278">
        <f t="shared" si="1"/>
        <v>1850574</v>
      </c>
      <c r="I36" s="278">
        <f t="shared" si="1"/>
        <v>1651299</v>
      </c>
      <c r="J36" s="278">
        <f t="shared" si="1"/>
        <v>1477208</v>
      </c>
      <c r="K36" s="278">
        <f t="shared" si="1"/>
        <v>1267655</v>
      </c>
      <c r="L36" s="278">
        <f t="shared" si="1"/>
        <v>1107960</v>
      </c>
      <c r="M36" s="278" t="str">
        <f t="shared" si="1"/>
        <v/>
      </c>
    </row>
    <row r="37" spans="2:13">
      <c r="B37" s="38" t="s">
        <v>40</v>
      </c>
      <c r="C37" s="278">
        <f t="shared" ref="C37:M37" si="2">IF(C$4="","",-C5)</f>
        <v>-467126</v>
      </c>
      <c r="D37" s="278">
        <f t="shared" si="2"/>
        <v>-362473</v>
      </c>
      <c r="E37" s="278">
        <f t="shared" si="2"/>
        <v>-479666</v>
      </c>
      <c r="F37" s="278">
        <f t="shared" si="2"/>
        <v>-516304</v>
      </c>
      <c r="G37" s="278">
        <f t="shared" si="2"/>
        <v>-409351</v>
      </c>
      <c r="H37" s="278">
        <f t="shared" si="2"/>
        <v>-387398</v>
      </c>
      <c r="I37" s="278">
        <f t="shared" si="2"/>
        <v>-324344</v>
      </c>
      <c r="J37" s="278">
        <f t="shared" si="2"/>
        <v>-292316</v>
      </c>
      <c r="K37" s="278">
        <f t="shared" si="2"/>
        <v>-265303</v>
      </c>
      <c r="L37" s="278">
        <f t="shared" si="2"/>
        <v>-248161</v>
      </c>
      <c r="M37" s="278" t="str">
        <f t="shared" si="2"/>
        <v/>
      </c>
    </row>
    <row r="38" spans="2:13">
      <c r="B38" s="30" t="s">
        <v>55</v>
      </c>
      <c r="C38" s="275">
        <f>IF(C36="","",C36+C37)</f>
        <v>1610358</v>
      </c>
      <c r="D38" s="275">
        <f t="shared" ref="D38" si="3">IF(D36="","",D36+D37)</f>
        <v>2265556</v>
      </c>
      <c r="E38" s="275">
        <f t="shared" ref="E38" si="4">IF(E36="","",E36+E37)</f>
        <v>1691960</v>
      </c>
      <c r="F38" s="275">
        <f t="shared" ref="F38" si="5">IF(F36="","",F36+F37)</f>
        <v>1809544</v>
      </c>
      <c r="G38" s="275">
        <f t="shared" ref="G38" si="6">IF(G36="","",G36+G37)</f>
        <v>1483186</v>
      </c>
      <c r="H38" s="275">
        <f t="shared" ref="H38" si="7">IF(H36="","",H36+H37)</f>
        <v>1463176</v>
      </c>
      <c r="I38" s="275">
        <f t="shared" ref="I38" si="8">IF(I36="","",I36+I37)</f>
        <v>1326955</v>
      </c>
      <c r="J38" s="275">
        <f t="shared" ref="J38" si="9">IF(J36="","",J36+J37)</f>
        <v>1184892</v>
      </c>
      <c r="K38" s="275">
        <f t="shared" ref="K38" si="10">IF(K36="","",K36+K37)</f>
        <v>1002352</v>
      </c>
      <c r="L38" s="275">
        <f t="shared" ref="L38" si="11">IF(L36="","",L36+L37)</f>
        <v>859799</v>
      </c>
      <c r="M38" s="275" t="str">
        <f t="shared" ref="M38" si="12">IF(M36="","",M36+M37)</f>
        <v/>
      </c>
    </row>
    <row r="39" spans="2:13">
      <c r="B39" s="38" t="s">
        <v>51</v>
      </c>
      <c r="C39" s="278">
        <f t="shared" ref="C39:M39" si="13">IF(C$4="","",-C6)</f>
        <v>-528317</v>
      </c>
      <c r="D39" s="278">
        <f t="shared" si="13"/>
        <v>-555259</v>
      </c>
      <c r="E39" s="278">
        <f t="shared" si="13"/>
        <v>-506779</v>
      </c>
      <c r="F39" s="278">
        <f t="shared" si="13"/>
        <v>-522738</v>
      </c>
      <c r="G39" s="278">
        <f t="shared" si="13"/>
        <v>-421877</v>
      </c>
      <c r="H39" s="278">
        <f t="shared" si="13"/>
        <v>-454796</v>
      </c>
      <c r="I39" s="278">
        <f t="shared" si="13"/>
        <v>-445068</v>
      </c>
      <c r="J39" s="278">
        <f t="shared" si="13"/>
        <v>-543726</v>
      </c>
      <c r="K39" s="278">
        <f t="shared" si="13"/>
        <v>-496391</v>
      </c>
      <c r="L39" s="278">
        <f t="shared" si="13"/>
        <v>-455577</v>
      </c>
      <c r="M39" s="278" t="str">
        <f t="shared" si="13"/>
        <v/>
      </c>
    </row>
    <row r="40" spans="2:13">
      <c r="B40" s="66" t="s">
        <v>58</v>
      </c>
      <c r="C40" s="290">
        <f t="shared" ref="C40:M40" si="14">IF(C$4="","",-C7)</f>
        <v>-41597</v>
      </c>
      <c r="D40" s="290">
        <f t="shared" si="14"/>
        <v>-48899</v>
      </c>
      <c r="E40" s="290">
        <f t="shared" si="14"/>
        <v>-43155</v>
      </c>
      <c r="F40" s="290">
        <f t="shared" si="14"/>
        <v>-53122</v>
      </c>
      <c r="G40" s="290">
        <f t="shared" si="14"/>
        <v>-36072</v>
      </c>
      <c r="H40" s="290">
        <f t="shared" si="14"/>
        <v>-38671</v>
      </c>
      <c r="I40" s="290">
        <f t="shared" si="14"/>
        <v>-43876</v>
      </c>
      <c r="J40" s="290">
        <f t="shared" si="14"/>
        <v>-250830</v>
      </c>
      <c r="K40" s="290">
        <f t="shared" si="14"/>
        <v>-217517</v>
      </c>
      <c r="L40" s="290">
        <f t="shared" si="14"/>
        <v>-205442</v>
      </c>
      <c r="M40" s="290" t="str">
        <f t="shared" si="14"/>
        <v/>
      </c>
    </row>
    <row r="41" spans="2:13">
      <c r="B41" s="66" t="s">
        <v>61</v>
      </c>
      <c r="C41" s="290">
        <f>IF(C$4="","",C39-C40)</f>
        <v>-486720</v>
      </c>
      <c r="D41" s="290">
        <f t="shared" ref="D41:M41" si="15">IF(D$4="","",D39-D40)</f>
        <v>-506360</v>
      </c>
      <c r="E41" s="290">
        <f t="shared" si="15"/>
        <v>-463624</v>
      </c>
      <c r="F41" s="290">
        <f t="shared" si="15"/>
        <v>-469616</v>
      </c>
      <c r="G41" s="290">
        <f t="shared" si="15"/>
        <v>-385805</v>
      </c>
      <c r="H41" s="290">
        <f t="shared" si="15"/>
        <v>-416125</v>
      </c>
      <c r="I41" s="290">
        <f t="shared" si="15"/>
        <v>-401192</v>
      </c>
      <c r="J41" s="290">
        <f t="shared" si="15"/>
        <v>-292896</v>
      </c>
      <c r="K41" s="290">
        <f t="shared" si="15"/>
        <v>-278874</v>
      </c>
      <c r="L41" s="290">
        <f t="shared" si="15"/>
        <v>-250135</v>
      </c>
      <c r="M41" s="290" t="str">
        <f t="shared" si="15"/>
        <v/>
      </c>
    </row>
    <row r="42" spans="2:13">
      <c r="B42" s="38" t="s">
        <v>46</v>
      </c>
      <c r="C42" s="278">
        <f t="shared" ref="C42:M42" si="16">IF(C$4="","",-C8)</f>
        <v>0</v>
      </c>
      <c r="D42" s="278">
        <f t="shared" si="16"/>
        <v>0</v>
      </c>
      <c r="E42" s="278">
        <f t="shared" si="16"/>
        <v>0</v>
      </c>
      <c r="F42" s="278">
        <f t="shared" si="16"/>
        <v>0</v>
      </c>
      <c r="G42" s="278">
        <f t="shared" si="16"/>
        <v>0</v>
      </c>
      <c r="H42" s="278">
        <f t="shared" si="16"/>
        <v>0</v>
      </c>
      <c r="I42" s="278">
        <f t="shared" si="16"/>
        <v>0</v>
      </c>
      <c r="J42" s="278">
        <f t="shared" si="16"/>
        <v>0</v>
      </c>
      <c r="K42" s="278">
        <f t="shared" si="16"/>
        <v>0</v>
      </c>
      <c r="L42" s="278">
        <f t="shared" si="16"/>
        <v>0</v>
      </c>
      <c r="M42" s="278" t="str">
        <f t="shared" si="16"/>
        <v/>
      </c>
    </row>
    <row r="43" spans="2:13">
      <c r="B43" s="41" t="s">
        <v>127</v>
      </c>
      <c r="C43" s="279">
        <f>IF(C$4="","",C38+C39+C42)</f>
        <v>1082041</v>
      </c>
      <c r="D43" s="279">
        <f t="shared" ref="D43:M43" si="17">IF(D$4="","",D38+D39+D42)</f>
        <v>1710297</v>
      </c>
      <c r="E43" s="279">
        <f t="shared" si="17"/>
        <v>1185181</v>
      </c>
      <c r="F43" s="279">
        <f t="shared" si="17"/>
        <v>1286806</v>
      </c>
      <c r="G43" s="279">
        <f t="shared" si="17"/>
        <v>1061309</v>
      </c>
      <c r="H43" s="279">
        <f t="shared" si="17"/>
        <v>1008380</v>
      </c>
      <c r="I43" s="279">
        <f t="shared" si="17"/>
        <v>881887</v>
      </c>
      <c r="J43" s="279">
        <f t="shared" si="17"/>
        <v>641166</v>
      </c>
      <c r="K43" s="279">
        <f t="shared" si="17"/>
        <v>505961</v>
      </c>
      <c r="L43" s="279">
        <f t="shared" si="17"/>
        <v>404222</v>
      </c>
      <c r="M43" s="279" t="str">
        <f t="shared" si="17"/>
        <v/>
      </c>
    </row>
    <row r="44" spans="2:13">
      <c r="B44" s="41" t="s">
        <v>139</v>
      </c>
      <c r="C44" s="298">
        <f t="shared" ref="C44:M44" si="18">IF(C$4="","",C47-C46-C45-C43)</f>
        <v>-276921</v>
      </c>
      <c r="D44" s="298">
        <f t="shared" si="18"/>
        <v>-288692</v>
      </c>
      <c r="E44" s="298">
        <f t="shared" si="18"/>
        <v>-87968</v>
      </c>
      <c r="F44" s="298">
        <f t="shared" si="18"/>
        <v>-100325</v>
      </c>
      <c r="G44" s="298">
        <f t="shared" si="18"/>
        <v>-71695</v>
      </c>
      <c r="H44" s="298">
        <f t="shared" si="18"/>
        <v>-50583</v>
      </c>
      <c r="I44" s="298">
        <f t="shared" si="18"/>
        <v>-98821</v>
      </c>
      <c r="J44" s="298">
        <f t="shared" si="18"/>
        <v>59203</v>
      </c>
      <c r="K44" s="298">
        <f t="shared" si="18"/>
        <v>59308</v>
      </c>
      <c r="L44" s="298">
        <f t="shared" si="18"/>
        <v>63183</v>
      </c>
      <c r="M44" s="298" t="str">
        <f t="shared" si="18"/>
        <v/>
      </c>
    </row>
    <row r="45" spans="2:13">
      <c r="B45" s="38" t="s">
        <v>65</v>
      </c>
      <c r="C45" s="293">
        <f t="shared" ref="C45:M45" si="19">IF(C$4="","",C51+C52)</f>
        <v>5389</v>
      </c>
      <c r="D45" s="293">
        <f t="shared" si="19"/>
        <v>9949</v>
      </c>
      <c r="E45" s="293">
        <f t="shared" si="19"/>
        <v>-5008</v>
      </c>
      <c r="F45" s="293">
        <f t="shared" si="19"/>
        <v>-7246</v>
      </c>
      <c r="G45" s="293">
        <f t="shared" si="19"/>
        <v>-9525</v>
      </c>
      <c r="H45" s="293">
        <f t="shared" si="19"/>
        <v>-11128</v>
      </c>
      <c r="I45" s="293">
        <f t="shared" si="19"/>
        <v>-8293</v>
      </c>
      <c r="J45" s="293">
        <f t="shared" si="19"/>
        <v>-15585</v>
      </c>
      <c r="K45" s="293">
        <f t="shared" si="19"/>
        <v>-8256</v>
      </c>
      <c r="L45" s="293">
        <f t="shared" si="19"/>
        <v>-7799</v>
      </c>
      <c r="M45" s="293" t="str">
        <f t="shared" si="19"/>
        <v/>
      </c>
    </row>
    <row r="46" spans="2:13">
      <c r="B46" s="38" t="s">
        <v>47</v>
      </c>
      <c r="C46" s="278">
        <f>IF(C$4="","",-C14)</f>
        <v>-313181</v>
      </c>
      <c r="D46" s="278">
        <f t="shared" ref="D46:M46" si="20">IF(D$4="","",-D14)</f>
        <v>-455638</v>
      </c>
      <c r="E46" s="278">
        <f t="shared" si="20"/>
        <v>-281476</v>
      </c>
      <c r="F46" s="278">
        <f t="shared" si="20"/>
        <v>-289591</v>
      </c>
      <c r="G46" s="278">
        <f t="shared" si="20"/>
        <v>-222784</v>
      </c>
      <c r="H46" s="278">
        <f t="shared" si="20"/>
        <v>-211350</v>
      </c>
      <c r="I46" s="278">
        <f t="shared" si="20"/>
        <v>-159140</v>
      </c>
      <c r="J46" s="278">
        <f t="shared" si="20"/>
        <v>-134611</v>
      </c>
      <c r="K46" s="278">
        <f t="shared" si="20"/>
        <v>-108508</v>
      </c>
      <c r="L46" s="278">
        <f t="shared" si="20"/>
        <v>-94437</v>
      </c>
      <c r="M46" s="278" t="str">
        <f t="shared" si="20"/>
        <v/>
      </c>
    </row>
    <row r="47" spans="2:13">
      <c r="B47" s="41" t="s">
        <v>39</v>
      </c>
      <c r="C47" s="279">
        <f t="shared" ref="C47:M47" si="21">IF(C$4="","",C15)</f>
        <v>497328</v>
      </c>
      <c r="D47" s="279">
        <f t="shared" si="21"/>
        <v>975916</v>
      </c>
      <c r="E47" s="279">
        <f t="shared" si="21"/>
        <v>810729</v>
      </c>
      <c r="F47" s="279">
        <f t="shared" si="21"/>
        <v>889644</v>
      </c>
      <c r="G47" s="279">
        <f t="shared" si="21"/>
        <v>757305</v>
      </c>
      <c r="H47" s="279">
        <f t="shared" si="21"/>
        <v>735319</v>
      </c>
      <c r="I47" s="279">
        <f t="shared" si="21"/>
        <v>615633</v>
      </c>
      <c r="J47" s="279">
        <f t="shared" si="21"/>
        <v>550173</v>
      </c>
      <c r="K47" s="279">
        <f t="shared" si="21"/>
        <v>448505</v>
      </c>
      <c r="L47" s="279">
        <f t="shared" si="21"/>
        <v>365169</v>
      </c>
      <c r="M47" s="279" t="str">
        <f t="shared" si="21"/>
        <v/>
      </c>
    </row>
    <row r="48" spans="2:13">
      <c r="B48" s="27" t="s">
        <v>41</v>
      </c>
      <c r="C48" s="278">
        <f t="shared" ref="C48:M48" si="22">IF(C$4="","",MIN(-C16,0))</f>
        <v>-124194</v>
      </c>
      <c r="D48" s="278">
        <f t="shared" si="22"/>
        <v>-184676</v>
      </c>
      <c r="E48" s="278">
        <f t="shared" si="22"/>
        <v>-152133</v>
      </c>
      <c r="F48" s="278">
        <f t="shared" si="22"/>
        <v>-169611</v>
      </c>
      <c r="G48" s="278">
        <f t="shared" si="22"/>
        <v>-137241</v>
      </c>
      <c r="H48" s="278">
        <f t="shared" si="22"/>
        <v>-156740</v>
      </c>
      <c r="I48" s="278">
        <f t="shared" si="22"/>
        <v>-127269</v>
      </c>
      <c r="J48" s="278">
        <f t="shared" si="22"/>
        <v>-132823</v>
      </c>
      <c r="K48" s="278">
        <f t="shared" si="22"/>
        <v>-109531</v>
      </c>
      <c r="L48" s="278">
        <f t="shared" si="22"/>
        <v>-80725</v>
      </c>
      <c r="M48" s="278" t="str">
        <f t="shared" si="22"/>
        <v/>
      </c>
    </row>
    <row r="50" spans="2:13">
      <c r="B50" s="16" t="s">
        <v>65</v>
      </c>
    </row>
    <row r="51" spans="2:13">
      <c r="B51" s="38" t="s">
        <v>37</v>
      </c>
      <c r="C51" s="278">
        <f t="shared" ref="C51:M51" si="23">IF(C$4="","",-C12)</f>
        <v>-16422</v>
      </c>
      <c r="D51" s="278">
        <f t="shared" si="23"/>
        <v>-7392</v>
      </c>
      <c r="E51" s="278">
        <f t="shared" si="23"/>
        <v>-5008</v>
      </c>
      <c r="F51" s="278">
        <f t="shared" si="23"/>
        <v>-7246</v>
      </c>
      <c r="G51" s="278">
        <f t="shared" si="23"/>
        <v>-9525</v>
      </c>
      <c r="H51" s="278">
        <f t="shared" si="23"/>
        <v>-11128</v>
      </c>
      <c r="I51" s="278">
        <f t="shared" si="23"/>
        <v>-8293</v>
      </c>
      <c r="J51" s="278">
        <f t="shared" si="23"/>
        <v>-15585</v>
      </c>
      <c r="K51" s="278">
        <f t="shared" si="23"/>
        <v>-8256</v>
      </c>
      <c r="L51" s="278">
        <f t="shared" si="23"/>
        <v>-7799</v>
      </c>
      <c r="M51" s="278" t="str">
        <f t="shared" si="23"/>
        <v/>
      </c>
    </row>
    <row r="52" spans="2:13">
      <c r="B52" s="38" t="s">
        <v>64</v>
      </c>
      <c r="C52" s="278">
        <f>IF(C$4="","",C13)</f>
        <v>21811</v>
      </c>
      <c r="D52" s="278">
        <f t="shared" ref="D52:M52" si="24">IF(D$4="","",D13)</f>
        <v>17341</v>
      </c>
      <c r="E52" s="278">
        <f t="shared" si="24"/>
        <v>0</v>
      </c>
      <c r="F52" s="278">
        <f t="shared" si="24"/>
        <v>0</v>
      </c>
      <c r="G52" s="278">
        <f t="shared" si="24"/>
        <v>0</v>
      </c>
      <c r="H52" s="278">
        <f t="shared" si="24"/>
        <v>0</v>
      </c>
      <c r="I52" s="278">
        <f t="shared" si="24"/>
        <v>0</v>
      </c>
      <c r="J52" s="278">
        <f t="shared" si="24"/>
        <v>0</v>
      </c>
      <c r="K52" s="278">
        <f t="shared" si="24"/>
        <v>0</v>
      </c>
      <c r="L52" s="278">
        <f t="shared" si="24"/>
        <v>0</v>
      </c>
      <c r="M52" s="278" t="str">
        <f t="shared" si="24"/>
        <v/>
      </c>
    </row>
    <row r="54" spans="2:13">
      <c r="B54" s="157" t="s">
        <v>139</v>
      </c>
    </row>
    <row r="55" spans="2:13">
      <c r="B55" s="38" t="s">
        <v>134</v>
      </c>
      <c r="C55" s="293">
        <f t="shared" ref="C55:M55" si="25">IF(C$4="","",C9)</f>
        <v>-2798</v>
      </c>
      <c r="D55" s="293">
        <f t="shared" si="25"/>
        <v>-18436</v>
      </c>
      <c r="E55" s="293">
        <f t="shared" si="25"/>
        <v>-7407</v>
      </c>
      <c r="F55" s="293">
        <f t="shared" si="25"/>
        <v>-11577</v>
      </c>
      <c r="G55" s="293">
        <f t="shared" si="25"/>
        <v>4</v>
      </c>
      <c r="H55" s="293">
        <f t="shared" si="25"/>
        <v>-176</v>
      </c>
      <c r="I55" s="293">
        <f t="shared" si="25"/>
        <v>0</v>
      </c>
      <c r="J55" s="293">
        <f t="shared" si="25"/>
        <v>398</v>
      </c>
      <c r="K55" s="293">
        <f t="shared" si="25"/>
        <v>485</v>
      </c>
      <c r="L55" s="293">
        <f t="shared" si="25"/>
        <v>0</v>
      </c>
      <c r="M55" s="293" t="str">
        <f t="shared" si="25"/>
        <v/>
      </c>
    </row>
    <row r="56" spans="2:13">
      <c r="B56" s="38" t="s">
        <v>138</v>
      </c>
      <c r="C56" s="293">
        <f t="shared" ref="C56:M56" si="26">IF(C$4="","",C10)</f>
        <v>0</v>
      </c>
      <c r="D56" s="293">
        <f t="shared" si="26"/>
        <v>0</v>
      </c>
      <c r="E56" s="293">
        <f t="shared" si="26"/>
        <v>0</v>
      </c>
      <c r="F56" s="293">
        <f t="shared" si="26"/>
        <v>0</v>
      </c>
      <c r="G56" s="293">
        <f t="shared" si="26"/>
        <v>0</v>
      </c>
      <c r="H56" s="293">
        <f t="shared" si="26"/>
        <v>0</v>
      </c>
      <c r="I56" s="293">
        <f t="shared" si="26"/>
        <v>0</v>
      </c>
      <c r="J56" s="293">
        <f t="shared" si="26"/>
        <v>0</v>
      </c>
      <c r="K56" s="293">
        <f t="shared" si="26"/>
        <v>0</v>
      </c>
      <c r="L56" s="293">
        <f t="shared" si="26"/>
        <v>0</v>
      </c>
      <c r="M56" s="293" t="str">
        <f t="shared" si="26"/>
        <v/>
      </c>
    </row>
    <row r="57" spans="2:13">
      <c r="B57" s="38" t="s">
        <v>133</v>
      </c>
      <c r="C57" s="293">
        <f t="shared" ref="C57:M57" si="27">IF(C$4="","",C11)</f>
        <v>0</v>
      </c>
      <c r="D57" s="293">
        <f t="shared" si="27"/>
        <v>0</v>
      </c>
      <c r="E57" s="293">
        <f t="shared" si="27"/>
        <v>0</v>
      </c>
      <c r="F57" s="293">
        <f t="shared" si="27"/>
        <v>0</v>
      </c>
      <c r="G57" s="293">
        <f t="shared" si="27"/>
        <v>0</v>
      </c>
      <c r="H57" s="293">
        <f t="shared" si="27"/>
        <v>0</v>
      </c>
      <c r="I57" s="293">
        <f t="shared" si="27"/>
        <v>0</v>
      </c>
      <c r="J57" s="293">
        <f t="shared" si="27"/>
        <v>0</v>
      </c>
      <c r="K57" s="293">
        <f t="shared" si="27"/>
        <v>0</v>
      </c>
      <c r="L57" s="293">
        <f t="shared" si="27"/>
        <v>0</v>
      </c>
      <c r="M57" s="293" t="str">
        <f t="shared" si="27"/>
        <v/>
      </c>
    </row>
    <row r="58" spans="2:13">
      <c r="B58" s="38" t="s">
        <v>135</v>
      </c>
      <c r="C58" s="293">
        <f>IF(C$4="","",C44-C55-C56-C57)</f>
        <v>-274123</v>
      </c>
      <c r="D58" s="293">
        <f t="shared" ref="D58:M58" si="28">IF(D$4="","",D44-D55-D56-D57)</f>
        <v>-270256</v>
      </c>
      <c r="E58" s="293">
        <f t="shared" si="28"/>
        <v>-80561</v>
      </c>
      <c r="F58" s="293">
        <f t="shared" si="28"/>
        <v>-88748</v>
      </c>
      <c r="G58" s="293">
        <f t="shared" si="28"/>
        <v>-71699</v>
      </c>
      <c r="H58" s="293">
        <f t="shared" si="28"/>
        <v>-50407</v>
      </c>
      <c r="I58" s="293">
        <f t="shared" si="28"/>
        <v>-98821</v>
      </c>
      <c r="J58" s="293">
        <f t="shared" si="28"/>
        <v>58805</v>
      </c>
      <c r="K58" s="293">
        <f t="shared" si="28"/>
        <v>58823</v>
      </c>
      <c r="L58" s="293">
        <f t="shared" si="28"/>
        <v>63183</v>
      </c>
      <c r="M58" s="293" t="str">
        <f t="shared" si="28"/>
        <v/>
      </c>
    </row>
    <row r="60" spans="2:13">
      <c r="B60" s="16" t="s">
        <v>48</v>
      </c>
      <c r="C60" s="9"/>
    </row>
    <row r="61" spans="2:13">
      <c r="B61" s="26" t="s">
        <v>44</v>
      </c>
      <c r="C61" s="278">
        <f>IF(C$4="","",-C19)</f>
        <v>-173179</v>
      </c>
      <c r="D61" s="278">
        <f t="shared" ref="D61:M61" si="29">IF(D$4="","",-D19)</f>
        <v>-166609</v>
      </c>
      <c r="E61" s="278">
        <f t="shared" si="29"/>
        <v>0</v>
      </c>
      <c r="F61" s="278">
        <f t="shared" si="29"/>
        <v>0</v>
      </c>
      <c r="G61" s="278">
        <f t="shared" si="29"/>
        <v>0</v>
      </c>
      <c r="H61" s="278">
        <f t="shared" si="29"/>
        <v>0</v>
      </c>
      <c r="I61" s="278">
        <f t="shared" si="29"/>
        <v>0</v>
      </c>
      <c r="J61" s="278">
        <f t="shared" si="29"/>
        <v>0</v>
      </c>
      <c r="K61" s="278">
        <f t="shared" si="29"/>
        <v>0</v>
      </c>
      <c r="L61" s="278">
        <f t="shared" si="29"/>
        <v>0</v>
      </c>
      <c r="M61" s="278" t="str">
        <f t="shared" si="29"/>
        <v/>
      </c>
    </row>
    <row r="62" spans="2:13">
      <c r="B62" s="26" t="s">
        <v>50</v>
      </c>
      <c r="C62" s="278">
        <f>IF(C$4="","",IF(C20=0,C61,-C20))</f>
        <v>-173179</v>
      </c>
      <c r="D62" s="278">
        <f t="shared" ref="D62:M62" si="30">IF(D$4="","",IF(D20=0,D61,-D20))</f>
        <v>-166609</v>
      </c>
      <c r="E62" s="278">
        <f t="shared" si="30"/>
        <v>0</v>
      </c>
      <c r="F62" s="278">
        <f t="shared" si="30"/>
        <v>0</v>
      </c>
      <c r="G62" s="278">
        <f t="shared" si="30"/>
        <v>0</v>
      </c>
      <c r="H62" s="278">
        <f t="shared" si="30"/>
        <v>0</v>
      </c>
      <c r="I62" s="278">
        <f t="shared" si="30"/>
        <v>0</v>
      </c>
      <c r="J62" s="278">
        <f t="shared" si="30"/>
        <v>0</v>
      </c>
      <c r="K62" s="278">
        <f t="shared" si="30"/>
        <v>0</v>
      </c>
      <c r="L62" s="278">
        <f t="shared" si="30"/>
        <v>0</v>
      </c>
      <c r="M62" s="278" t="str">
        <f t="shared" si="30"/>
        <v/>
      </c>
    </row>
    <row r="63" spans="2:13">
      <c r="B63" s="26" t="s">
        <v>49</v>
      </c>
      <c r="C63" s="278">
        <f>IF(C$4="","",-C21)</f>
        <v>0</v>
      </c>
      <c r="D63" s="278">
        <f t="shared" ref="D63:M63" si="31">IF(D$4="","",-D21)</f>
        <v>0</v>
      </c>
      <c r="E63" s="278">
        <f t="shared" si="31"/>
        <v>0</v>
      </c>
      <c r="F63" s="278">
        <f t="shared" si="31"/>
        <v>0</v>
      </c>
      <c r="G63" s="278">
        <f t="shared" si="31"/>
        <v>0</v>
      </c>
      <c r="H63" s="278">
        <f t="shared" si="31"/>
        <v>0</v>
      </c>
      <c r="I63" s="278">
        <f t="shared" si="31"/>
        <v>0</v>
      </c>
      <c r="J63" s="278">
        <f t="shared" si="31"/>
        <v>0</v>
      </c>
      <c r="K63" s="278">
        <f t="shared" si="31"/>
        <v>0</v>
      </c>
      <c r="L63" s="278">
        <f t="shared" si="31"/>
        <v>0</v>
      </c>
      <c r="M63" s="278" t="str">
        <f t="shared" si="31"/>
        <v/>
      </c>
    </row>
    <row r="64" spans="2:13">
      <c r="B64" s="26" t="s">
        <v>306</v>
      </c>
      <c r="C64" s="278">
        <f>IF(C$4="","",C22+C23+C24)</f>
        <v>-238841</v>
      </c>
      <c r="D64" s="278">
        <f t="shared" ref="D64:M64" si="32">IF(D$4="","",D22+D23+D24)</f>
        <v>353234</v>
      </c>
      <c r="E64" s="278">
        <f t="shared" si="32"/>
        <v>866627</v>
      </c>
      <c r="F64" s="278">
        <f t="shared" si="32"/>
        <v>-158416</v>
      </c>
      <c r="G64" s="278">
        <f t="shared" si="32"/>
        <v>-773120</v>
      </c>
      <c r="H64" s="278">
        <f t="shared" si="32"/>
        <v>513491</v>
      </c>
      <c r="I64" s="278">
        <f t="shared" si="32"/>
        <v>-443341</v>
      </c>
      <c r="J64" s="278">
        <f t="shared" si="32"/>
        <v>698086</v>
      </c>
      <c r="K64" s="278">
        <f t="shared" si="32"/>
        <v>-37855</v>
      </c>
      <c r="L64" s="278">
        <f t="shared" si="32"/>
        <v>-19996</v>
      </c>
      <c r="M64" s="278" t="str">
        <f t="shared" si="32"/>
        <v/>
      </c>
    </row>
    <row r="65" spans="2:13">
      <c r="B65" s="23" t="s">
        <v>34</v>
      </c>
      <c r="C65" s="70">
        <f>IF(C$4="","",C25)</f>
        <v>0.15920000000000001</v>
      </c>
      <c r="D65" s="70">
        <f t="shared" ref="D65:M65" si="33">IF(D$4="","",D25)</f>
        <v>0.15920000000000001</v>
      </c>
      <c r="E65" s="70">
        <f t="shared" si="33"/>
        <v>0</v>
      </c>
      <c r="F65" s="70">
        <f t="shared" si="33"/>
        <v>0</v>
      </c>
      <c r="G65" s="70">
        <f t="shared" si="33"/>
        <v>0</v>
      </c>
      <c r="H65" s="70">
        <f t="shared" si="33"/>
        <v>0</v>
      </c>
      <c r="I65" s="70">
        <f t="shared" si="33"/>
        <v>0</v>
      </c>
      <c r="J65" s="70">
        <f t="shared" si="33"/>
        <v>0</v>
      </c>
      <c r="K65" s="70">
        <f t="shared" si="33"/>
        <v>0</v>
      </c>
      <c r="L65" s="70">
        <f t="shared" si="33"/>
        <v>0</v>
      </c>
      <c r="M65" s="70" t="str">
        <f t="shared" si="33"/>
        <v/>
      </c>
    </row>
    <row r="67" spans="2:13">
      <c r="B67" s="88" t="s">
        <v>81</v>
      </c>
    </row>
    <row r="68" spans="2:13">
      <c r="B68" s="1" t="str">
        <f>B36</f>
        <v>Sales</v>
      </c>
      <c r="C68" s="89">
        <f t="shared" ref="C68:M68" si="34">IF(D$36="","",C36/D36-1)</f>
        <v>-0.20948969741201484</v>
      </c>
      <c r="D68" s="89">
        <f t="shared" si="34"/>
        <v>0.21016648354735112</v>
      </c>
      <c r="E68" s="89">
        <f t="shared" si="34"/>
        <v>-6.6307858467105296E-2</v>
      </c>
      <c r="F68" s="89">
        <f t="shared" si="34"/>
        <v>0.22895774296618776</v>
      </c>
      <c r="G68" s="89">
        <f t="shared" si="34"/>
        <v>2.2675667117337595E-2</v>
      </c>
      <c r="H68" s="89">
        <f t="shared" si="34"/>
        <v>0.12067772099419916</v>
      </c>
      <c r="I68" s="89">
        <f t="shared" si="34"/>
        <v>0.11785137908811749</v>
      </c>
      <c r="J68" s="89">
        <f t="shared" si="34"/>
        <v>0.16530759552086338</v>
      </c>
      <c r="K68" s="89">
        <f t="shared" si="34"/>
        <v>0.14413426477490154</v>
      </c>
      <c r="L68" s="89" t="str">
        <f t="shared" si="34"/>
        <v/>
      </c>
      <c r="M68" s="89" t="str">
        <f t="shared" si="34"/>
        <v/>
      </c>
    </row>
    <row r="69" spans="2:13">
      <c r="B69" s="30" t="s">
        <v>55</v>
      </c>
      <c r="C69" s="89">
        <f>IF(D$36="","",C38/D38-1)</f>
        <v>-0.28919964900448281</v>
      </c>
      <c r="D69" s="89">
        <f t="shared" ref="D69:M69" si="35">IF(E$36="","",D38/E38-1)</f>
        <v>0.33901274261802872</v>
      </c>
      <c r="E69" s="89">
        <f t="shared" si="35"/>
        <v>-6.4979906539990195E-2</v>
      </c>
      <c r="F69" s="89">
        <f t="shared" si="35"/>
        <v>0.22003848472140386</v>
      </c>
      <c r="G69" s="89">
        <f t="shared" si="35"/>
        <v>1.367573005571443E-2</v>
      </c>
      <c r="H69" s="89">
        <f t="shared" si="35"/>
        <v>0.10265683463267417</v>
      </c>
      <c r="I69" s="89">
        <f t="shared" si="35"/>
        <v>0.11989531535363551</v>
      </c>
      <c r="J69" s="89">
        <f t="shared" si="35"/>
        <v>0.18211167334429423</v>
      </c>
      <c r="K69" s="89">
        <f t="shared" si="35"/>
        <v>0.1657980528007128</v>
      </c>
      <c r="L69" s="89" t="str">
        <f t="shared" si="35"/>
        <v/>
      </c>
      <c r="M69" s="89" t="str">
        <f t="shared" si="35"/>
        <v/>
      </c>
    </row>
    <row r="70" spans="2:13">
      <c r="B70" s="77" t="str">
        <f>B43</f>
        <v>Operating EBIT</v>
      </c>
      <c r="C70" s="98">
        <f>IF(D$36="","",C43/D43-1)</f>
        <v>-0.3673373688897309</v>
      </c>
      <c r="D70" s="98">
        <f t="shared" ref="D70:M70" si="36">IF(E$36="","",D43/E43-1)</f>
        <v>0.44306818958454453</v>
      </c>
      <c r="E70" s="98">
        <f t="shared" si="36"/>
        <v>-7.8974608449136841E-2</v>
      </c>
      <c r="F70" s="98">
        <f t="shared" si="36"/>
        <v>0.21247063767479601</v>
      </c>
      <c r="G70" s="98">
        <f t="shared" si="36"/>
        <v>5.2489140998433159E-2</v>
      </c>
      <c r="H70" s="98">
        <f t="shared" si="36"/>
        <v>0.14343447629911776</v>
      </c>
      <c r="I70" s="98">
        <f t="shared" si="36"/>
        <v>0.37544255309857344</v>
      </c>
      <c r="J70" s="98">
        <f t="shared" si="36"/>
        <v>0.26722415364030039</v>
      </c>
      <c r="K70" s="98">
        <f t="shared" si="36"/>
        <v>0.25169090252386073</v>
      </c>
      <c r="L70" s="98" t="str">
        <f t="shared" si="36"/>
        <v/>
      </c>
      <c r="M70" s="98" t="str">
        <f t="shared" si="36"/>
        <v/>
      </c>
    </row>
    <row r="71" spans="2:13">
      <c r="B71" s="41" t="s">
        <v>139</v>
      </c>
      <c r="C71" s="98">
        <f>IF(D$36="","",C44/D44-1)</f>
        <v>-4.0773557978745489E-2</v>
      </c>
      <c r="D71" s="98">
        <f t="shared" ref="D71:M71" si="37">IF(E$36="","",D44/E44-1)</f>
        <v>2.2817842851946164</v>
      </c>
      <c r="E71" s="98">
        <f t="shared" si="37"/>
        <v>-0.12316969847994019</v>
      </c>
      <c r="F71" s="98">
        <f t="shared" si="37"/>
        <v>0.39933049724527514</v>
      </c>
      <c r="G71" s="98">
        <f t="shared" si="37"/>
        <v>0.41737342585453607</v>
      </c>
      <c r="H71" s="98">
        <f t="shared" si="37"/>
        <v>-0.48813511298205847</v>
      </c>
      <c r="I71" s="98">
        <f t="shared" si="37"/>
        <v>-2.6691890613651337</v>
      </c>
      <c r="J71" s="98">
        <f t="shared" si="37"/>
        <v>-1.7704188305118773E-3</v>
      </c>
      <c r="K71" s="98">
        <f t="shared" si="37"/>
        <v>-6.13297880759065E-2</v>
      </c>
      <c r="L71" s="98" t="str">
        <f t="shared" si="37"/>
        <v/>
      </c>
      <c r="M71" s="98" t="str">
        <f t="shared" si="37"/>
        <v/>
      </c>
    </row>
    <row r="72" spans="2:13">
      <c r="B72" s="77" t="str">
        <f>B47</f>
        <v>Reported Net Income</v>
      </c>
      <c r="C72" s="98">
        <f>IF(D$36="","",C47/D47-1)</f>
        <v>-0.49039876382803438</v>
      </c>
      <c r="D72" s="98">
        <f t="shared" ref="D72:M72" si="38">IF(E$36="","",D47/E47-1)</f>
        <v>0.20375119182858881</v>
      </c>
      <c r="E72" s="98">
        <f t="shared" si="38"/>
        <v>-8.8704020934216365E-2</v>
      </c>
      <c r="F72" s="98">
        <f t="shared" si="38"/>
        <v>0.17474993562699304</v>
      </c>
      <c r="G72" s="98">
        <f t="shared" si="38"/>
        <v>2.9899948185753367E-2</v>
      </c>
      <c r="H72" s="98">
        <f t="shared" si="38"/>
        <v>0.19441128074680858</v>
      </c>
      <c r="I72" s="98">
        <f t="shared" si="38"/>
        <v>0.11898075696190102</v>
      </c>
      <c r="J72" s="98">
        <f t="shared" si="38"/>
        <v>0.22668197678955648</v>
      </c>
      <c r="K72" s="98">
        <f t="shared" si="38"/>
        <v>0.22821214287083524</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7238279</v>
      </c>
      <c r="D76" s="293">
        <f t="shared" ref="D76:M76" si="39">IF(D$4="","",D79+D80)</f>
        <v>8249751</v>
      </c>
      <c r="E76" s="293">
        <f t="shared" si="39"/>
        <v>8275751</v>
      </c>
      <c r="F76" s="293">
        <f t="shared" si="39"/>
        <v>7847134</v>
      </c>
      <c r="G76" s="293">
        <f t="shared" si="39"/>
        <v>7208409</v>
      </c>
      <c r="H76" s="293">
        <f t="shared" si="39"/>
        <v>6542493</v>
      </c>
      <c r="I76" s="293">
        <f t="shared" si="39"/>
        <v>5772034</v>
      </c>
      <c r="J76" s="293">
        <f t="shared" si="39"/>
        <v>5108414</v>
      </c>
      <c r="K76" s="293">
        <f t="shared" si="39"/>
        <v>4511682</v>
      </c>
      <c r="L76" s="293">
        <f t="shared" si="39"/>
        <v>3942836</v>
      </c>
      <c r="M76" s="293" t="str">
        <f t="shared" si="39"/>
        <v/>
      </c>
    </row>
    <row r="77" spans="2:13">
      <c r="B77" s="90" t="s">
        <v>82</v>
      </c>
      <c r="C77" s="267">
        <f t="shared" ref="C77:H78" si="40">IF(C$4="","",C28)</f>
        <v>144049</v>
      </c>
      <c r="D77" s="290">
        <f t="shared" si="40"/>
        <v>139113</v>
      </c>
      <c r="E77" s="290">
        <f t="shared" si="40"/>
        <v>137875</v>
      </c>
      <c r="F77" s="290">
        <f t="shared" si="40"/>
        <v>108344</v>
      </c>
      <c r="G77" s="290">
        <f t="shared" si="40"/>
        <v>63265</v>
      </c>
      <c r="H77" s="290">
        <f t="shared" si="40"/>
        <v>56480</v>
      </c>
      <c r="I77" s="299"/>
      <c r="J77" s="299"/>
      <c r="K77" s="299"/>
      <c r="L77" s="299"/>
      <c r="M77" s="299"/>
    </row>
    <row r="78" spans="2:13">
      <c r="B78" s="90" t="s">
        <v>83</v>
      </c>
      <c r="C78" s="267">
        <f t="shared" si="40"/>
        <v>558421</v>
      </c>
      <c r="D78" s="290">
        <f t="shared" si="40"/>
        <v>557991</v>
      </c>
      <c r="E78" s="290">
        <f t="shared" si="40"/>
        <v>558958</v>
      </c>
      <c r="F78" s="290">
        <f t="shared" si="40"/>
        <v>544487</v>
      </c>
      <c r="G78" s="290">
        <f t="shared" si="40"/>
        <v>502263</v>
      </c>
      <c r="H78" s="290">
        <f t="shared" si="40"/>
        <v>481059</v>
      </c>
      <c r="I78" s="299"/>
      <c r="J78" s="299"/>
      <c r="K78" s="299"/>
      <c r="L78" s="299"/>
      <c r="M78" s="299"/>
    </row>
    <row r="79" spans="2:13">
      <c r="B79" s="25" t="s">
        <v>38</v>
      </c>
      <c r="C79" s="266">
        <f t="shared" ref="C79:M79" si="41">IF(C$4="","",C30)</f>
        <v>2372648</v>
      </c>
      <c r="D79" s="278">
        <f t="shared" si="41"/>
        <v>2093923</v>
      </c>
      <c r="E79" s="278">
        <f t="shared" si="41"/>
        <v>1701887</v>
      </c>
      <c r="F79" s="278">
        <f t="shared" si="41"/>
        <v>1733130</v>
      </c>
      <c r="G79" s="278">
        <f t="shared" si="41"/>
        <v>1536089</v>
      </c>
      <c r="H79" s="278">
        <f t="shared" si="41"/>
        <v>1400407</v>
      </c>
      <c r="I79" s="278">
        <f t="shared" si="41"/>
        <v>1186821</v>
      </c>
      <c r="J79" s="278">
        <f t="shared" si="41"/>
        <v>1057531</v>
      </c>
      <c r="K79" s="278">
        <f t="shared" si="41"/>
        <v>907178</v>
      </c>
      <c r="L79" s="278">
        <f t="shared" si="41"/>
        <v>913796</v>
      </c>
      <c r="M79" s="278" t="str">
        <f t="shared" si="41"/>
        <v/>
      </c>
    </row>
    <row r="80" spans="2:13">
      <c r="B80" s="25" t="s">
        <v>28</v>
      </c>
      <c r="C80" s="266">
        <f t="shared" ref="C80:M80" si="42">IF(C$4="","",C31)</f>
        <v>4865631</v>
      </c>
      <c r="D80" s="278">
        <f t="shared" si="42"/>
        <v>6155828</v>
      </c>
      <c r="E80" s="278">
        <f t="shared" si="42"/>
        <v>6573864</v>
      </c>
      <c r="F80" s="278">
        <f t="shared" si="42"/>
        <v>6114004</v>
      </c>
      <c r="G80" s="278">
        <f t="shared" si="42"/>
        <v>5672320</v>
      </c>
      <c r="H80" s="278">
        <f t="shared" si="42"/>
        <v>5142086</v>
      </c>
      <c r="I80" s="278">
        <f t="shared" si="42"/>
        <v>4585213</v>
      </c>
      <c r="J80" s="278">
        <f t="shared" si="42"/>
        <v>4050883</v>
      </c>
      <c r="K80" s="278">
        <f t="shared" si="42"/>
        <v>3604504</v>
      </c>
      <c r="L80" s="278">
        <f t="shared" si="42"/>
        <v>3029040</v>
      </c>
      <c r="M80" s="278"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46" zoomScale="150" zoomScaleNormal="100" workbookViewId="0">
      <selection activeCell="F61" sqref="F61"/>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1000</v>
      </c>
    </row>
    <row r="2" spans="2:8" ht="15" customHeight="1">
      <c r="B2" s="76" t="s">
        <v>131</v>
      </c>
      <c r="C2" s="35"/>
      <c r="D2" s="35"/>
      <c r="E2" s="35"/>
      <c r="F2" s="35"/>
      <c r="G2" s="35"/>
      <c r="H2" s="35"/>
    </row>
    <row r="3" spans="2:8" ht="15" customHeight="1">
      <c r="B3" s="16" t="s">
        <v>154</v>
      </c>
      <c r="C3" s="165" t="s">
        <v>113</v>
      </c>
      <c r="D3" s="166" t="s">
        <v>33</v>
      </c>
      <c r="F3" s="16" t="s">
        <v>155</v>
      </c>
      <c r="G3" s="165" t="s">
        <v>113</v>
      </c>
      <c r="H3" s="166" t="s">
        <v>33</v>
      </c>
    </row>
    <row r="4" spans="2:8" ht="15" customHeight="1">
      <c r="B4" s="4" t="s">
        <v>22</v>
      </c>
      <c r="C4" s="18">
        <f>144049</f>
        <v>144049</v>
      </c>
      <c r="D4" s="235">
        <v>0.6</v>
      </c>
      <c r="E4" s="24"/>
      <c r="F4" s="4" t="s">
        <v>74</v>
      </c>
      <c r="G4" s="18">
        <f>171238+1622742</f>
        <v>1793980</v>
      </c>
      <c r="H4" s="235">
        <v>0.9</v>
      </c>
    </row>
    <row r="5" spans="2:8" ht="15" customHeight="1">
      <c r="B5" s="1" t="s">
        <v>31</v>
      </c>
      <c r="C5" s="18">
        <v>0</v>
      </c>
      <c r="D5" s="235">
        <v>0.6</v>
      </c>
      <c r="E5" s="24"/>
      <c r="F5" s="1" t="s">
        <v>27</v>
      </c>
      <c r="G5" s="18">
        <v>0</v>
      </c>
      <c r="H5" s="235">
        <v>0.7</v>
      </c>
    </row>
    <row r="6" spans="2:8" ht="15" customHeight="1">
      <c r="B6" s="4" t="s">
        <v>8</v>
      </c>
      <c r="C6" s="18">
        <v>558421</v>
      </c>
      <c r="D6" s="235">
        <v>0.5</v>
      </c>
      <c r="E6" s="24"/>
      <c r="F6" s="4" t="s">
        <v>147</v>
      </c>
      <c r="G6" s="18">
        <v>0</v>
      </c>
      <c r="H6" s="235">
        <v>0.6</v>
      </c>
    </row>
    <row r="7" spans="2:8" ht="15" customHeight="1">
      <c r="B7" s="1" t="s">
        <v>66</v>
      </c>
      <c r="C7" s="18">
        <v>0</v>
      </c>
      <c r="D7" s="235">
        <v>0.6</v>
      </c>
      <c r="E7" s="24"/>
      <c r="F7" s="4" t="s">
        <v>148</v>
      </c>
      <c r="G7" s="18">
        <v>311892</v>
      </c>
      <c r="H7" s="235">
        <v>0.6</v>
      </c>
    </row>
    <row r="8" spans="2:8" ht="15" customHeight="1">
      <c r="B8" s="1" t="s">
        <v>144</v>
      </c>
      <c r="C8" s="18">
        <v>0</v>
      </c>
      <c r="D8" s="235">
        <v>0.6</v>
      </c>
      <c r="E8" s="24"/>
      <c r="F8" s="1" t="s">
        <v>149</v>
      </c>
      <c r="G8" s="18">
        <v>0</v>
      </c>
      <c r="H8" s="235">
        <v>0.6</v>
      </c>
    </row>
    <row r="9" spans="2:8" ht="15" customHeight="1">
      <c r="B9" s="4" t="s">
        <v>23</v>
      </c>
      <c r="C9" s="18">
        <v>12976</v>
      </c>
      <c r="D9" s="235">
        <v>0.1</v>
      </c>
      <c r="E9" s="24"/>
      <c r="F9" s="4" t="s">
        <v>150</v>
      </c>
      <c r="G9" s="18">
        <v>0</v>
      </c>
      <c r="H9" s="235">
        <v>0.6</v>
      </c>
    </row>
    <row r="10" spans="2:8" ht="15" customHeight="1">
      <c r="B10" s="4" t="s">
        <v>9</v>
      </c>
      <c r="C10" s="18">
        <v>0</v>
      </c>
      <c r="D10" s="235">
        <v>0.9</v>
      </c>
      <c r="F10" s="1" t="s">
        <v>407</v>
      </c>
      <c r="G10" s="18">
        <v>26801</v>
      </c>
      <c r="H10" s="235">
        <v>0.6</v>
      </c>
    </row>
    <row r="11" spans="2:8" ht="15" customHeight="1">
      <c r="B11" s="4" t="s">
        <v>10</v>
      </c>
      <c r="C11" s="18">
        <v>0</v>
      </c>
      <c r="D11" s="235">
        <v>0.05</v>
      </c>
      <c r="H11" s="236"/>
    </row>
    <row r="12" spans="2:8" ht="15" customHeight="1">
      <c r="B12" s="77" t="s">
        <v>69</v>
      </c>
      <c r="C12" s="78">
        <f>SUM(C4:C11)</f>
        <v>715446</v>
      </c>
      <c r="D12" s="19">
        <f>C4*D4+C5*D5+C9*D9+C6*D6+C8*D8+C7*D7+C10*D10+C11*D11</f>
        <v>366937.5</v>
      </c>
      <c r="F12" s="77" t="s">
        <v>67</v>
      </c>
      <c r="G12" s="78">
        <f>SUM(G4:G10)</f>
        <v>2132673</v>
      </c>
      <c r="H12" s="19">
        <f>G4*H4+G5*H5+G6*H6+G7*H7+G8*H8+G9*H9+G10*H10</f>
        <v>1817797.8</v>
      </c>
    </row>
    <row r="13" spans="2:8" ht="15" customHeight="1">
      <c r="F13" s="77"/>
      <c r="G13" s="78"/>
      <c r="H13" s="19"/>
    </row>
    <row r="14" spans="2:8" ht="15" customHeight="1">
      <c r="B14" s="16" t="s">
        <v>153</v>
      </c>
      <c r="C14" s="165" t="s">
        <v>113</v>
      </c>
      <c r="D14" s="166" t="s">
        <v>33</v>
      </c>
      <c r="F14" s="16" t="s">
        <v>156</v>
      </c>
      <c r="G14" s="165" t="s">
        <v>113</v>
      </c>
      <c r="H14" s="166" t="s">
        <v>33</v>
      </c>
    </row>
    <row r="15" spans="2:8" ht="15" customHeight="1">
      <c r="B15" s="4" t="s">
        <v>330</v>
      </c>
      <c r="C15" s="18">
        <v>0</v>
      </c>
      <c r="D15" s="235">
        <v>0.4</v>
      </c>
      <c r="F15" s="4" t="s">
        <v>75</v>
      </c>
      <c r="G15" s="18">
        <f>210586+109272</f>
        <v>319858</v>
      </c>
      <c r="H15" s="235">
        <v>0.8</v>
      </c>
    </row>
    <row r="16" spans="2:8" ht="15" customHeight="1">
      <c r="B16" s="1" t="s">
        <v>32</v>
      </c>
      <c r="C16" s="18">
        <v>0</v>
      </c>
      <c r="D16" s="235">
        <v>0.5</v>
      </c>
      <c r="F16" s="4" t="s">
        <v>147</v>
      </c>
      <c r="G16" s="18">
        <v>0</v>
      </c>
      <c r="H16" s="235">
        <v>0.6</v>
      </c>
    </row>
    <row r="17" spans="2:8" ht="15" customHeight="1">
      <c r="B17" s="1" t="s">
        <v>66</v>
      </c>
      <c r="C17" s="18">
        <f>1922097+21963</f>
        <v>1944060</v>
      </c>
      <c r="D17" s="235">
        <v>0.6</v>
      </c>
      <c r="F17" s="4" t="s">
        <v>148</v>
      </c>
      <c r="G17" s="18">
        <v>0</v>
      </c>
      <c r="H17" s="235">
        <v>0.6</v>
      </c>
    </row>
    <row r="18" spans="2:8" ht="15" customHeight="1">
      <c r="B18" s="4" t="s">
        <v>144</v>
      </c>
      <c r="C18" s="18">
        <v>0</v>
      </c>
      <c r="D18" s="235">
        <v>0.6</v>
      </c>
      <c r="F18" s="4" t="s">
        <v>151</v>
      </c>
      <c r="G18" s="18">
        <f>13948+51286</f>
        <v>65234</v>
      </c>
      <c r="H18" s="235">
        <v>0.1</v>
      </c>
    </row>
    <row r="19" spans="2:8" ht="15" customHeight="1">
      <c r="B19" s="4" t="s">
        <v>24</v>
      </c>
      <c r="C19" s="18">
        <f>571235+160809</f>
        <v>732044</v>
      </c>
      <c r="D19" s="235">
        <v>0.1</v>
      </c>
      <c r="F19" s="4" t="s">
        <v>152</v>
      </c>
      <c r="G19" s="18">
        <v>0</v>
      </c>
      <c r="H19" s="235">
        <v>0.1</v>
      </c>
    </row>
    <row r="20" spans="2:8" ht="15" customHeight="1">
      <c r="B20" s="4" t="s">
        <v>16</v>
      </c>
      <c r="C20" s="18">
        <v>0</v>
      </c>
      <c r="D20" s="235">
        <v>0.05</v>
      </c>
      <c r="F20" s="4" t="s">
        <v>149</v>
      </c>
      <c r="G20" s="18">
        <v>0</v>
      </c>
      <c r="H20" s="235">
        <v>0.2</v>
      </c>
    </row>
    <row r="21" spans="2:8" ht="15" customHeight="1">
      <c r="B21" s="4" t="s">
        <v>17</v>
      </c>
      <c r="C21" s="18">
        <v>255046</v>
      </c>
      <c r="D21" s="235">
        <v>0.05</v>
      </c>
      <c r="F21" s="1" t="s">
        <v>150</v>
      </c>
      <c r="G21" s="18">
        <v>6509</v>
      </c>
      <c r="H21" s="235">
        <v>0.1</v>
      </c>
    </row>
    <row r="22" spans="2:8" ht="15" customHeight="1">
      <c r="B22" s="4" t="s">
        <v>18</v>
      </c>
      <c r="C22" s="18">
        <v>124199</v>
      </c>
      <c r="D22" s="235">
        <v>0.9</v>
      </c>
      <c r="H22" s="236"/>
    </row>
    <row r="23" spans="2:8" ht="15" customHeight="1">
      <c r="B23" s="4" t="s">
        <v>19</v>
      </c>
      <c r="C23" s="18">
        <f>940923+2287</f>
        <v>943210</v>
      </c>
      <c r="D23" s="235">
        <v>0</v>
      </c>
      <c r="H23" s="236"/>
    </row>
    <row r="24" spans="2:8" ht="15" customHeight="1">
      <c r="B24" s="77" t="s">
        <v>70</v>
      </c>
      <c r="C24" s="78">
        <f>SUM(C15:C23)</f>
        <v>3998559</v>
      </c>
      <c r="D24" s="19">
        <f>C15*D15+C16*D16+C18*D18+C17*D17+C19*D19+C20*D20+C21*D21+C22*D22+C23*D23</f>
        <v>1364171.8</v>
      </c>
      <c r="F24" s="77" t="s">
        <v>68</v>
      </c>
      <c r="G24" s="78">
        <f>SUM(G15:G21)</f>
        <v>391601</v>
      </c>
      <c r="H24" s="19">
        <f>G15*H15+G16*H16+G17*H17+G18*H18+G19*H19+G20*H20+G21*H21</f>
        <v>263060.70000000007</v>
      </c>
    </row>
    <row r="26" spans="2:8" ht="15" customHeight="1">
      <c r="B26" s="16" t="s">
        <v>169</v>
      </c>
      <c r="C26" s="165" t="s">
        <v>113</v>
      </c>
      <c r="F26" s="167" t="s">
        <v>165</v>
      </c>
      <c r="G26" s="168" t="s">
        <v>113</v>
      </c>
      <c r="H26" s="169" t="s">
        <v>33</v>
      </c>
    </row>
    <row r="27" spans="2:8" ht="15" customHeight="1">
      <c r="B27" s="4" t="s">
        <v>3</v>
      </c>
      <c r="C27" s="18">
        <v>30472</v>
      </c>
      <c r="F27" s="170" t="s">
        <v>28</v>
      </c>
      <c r="G27" s="82">
        <f>G32-G30</f>
        <v>4865631</v>
      </c>
      <c r="H27" s="171">
        <f>H32-G30</f>
        <v>1439319.7999999998</v>
      </c>
    </row>
    <row r="28" spans="2:8" ht="15" customHeight="1">
      <c r="B28" s="4" t="s">
        <v>4</v>
      </c>
      <c r="C28" s="18">
        <v>13400</v>
      </c>
      <c r="F28" s="172" t="s">
        <v>209</v>
      </c>
      <c r="G28" s="295">
        <v>574396</v>
      </c>
      <c r="H28" s="171"/>
    </row>
    <row r="29" spans="2:8" ht="15" customHeight="1">
      <c r="B29" s="4" t="s">
        <v>5</v>
      </c>
      <c r="C29" s="18">
        <v>0</v>
      </c>
      <c r="F29" s="173" t="s">
        <v>72</v>
      </c>
      <c r="G29" s="14">
        <f>G27-G28</f>
        <v>4291235</v>
      </c>
      <c r="H29" s="171">
        <f>H27-G28</f>
        <v>864923.79999999981</v>
      </c>
    </row>
    <row r="30" spans="2:8" ht="15" customHeight="1">
      <c r="B30" s="2" t="s">
        <v>6</v>
      </c>
      <c r="C30" s="18">
        <v>0</v>
      </c>
      <c r="F30" s="170" t="s">
        <v>21</v>
      </c>
      <c r="G30" s="82">
        <f>C33+C42</f>
        <v>2372648</v>
      </c>
      <c r="H30" s="171"/>
    </row>
    <row r="31" spans="2:8" ht="15" customHeight="1">
      <c r="B31" s="77" t="s">
        <v>172</v>
      </c>
      <c r="C31" s="78">
        <f>SUM(C27:C30)</f>
        <v>43872</v>
      </c>
      <c r="F31" s="173" t="s">
        <v>73</v>
      </c>
      <c r="G31" s="174">
        <f>C31+C40</f>
        <v>134804</v>
      </c>
      <c r="H31" s="171"/>
    </row>
    <row r="32" spans="2:8" ht="15" customHeight="1">
      <c r="B32" s="4" t="s">
        <v>7</v>
      </c>
      <c r="C32" s="20">
        <f>C33-C31</f>
        <v>1513696</v>
      </c>
      <c r="F32" s="175" t="s">
        <v>71</v>
      </c>
      <c r="G32" s="176">
        <f>G35+G40</f>
        <v>7238279</v>
      </c>
      <c r="H32" s="171">
        <f>H35+H40</f>
        <v>3811967.8</v>
      </c>
    </row>
    <row r="33" spans="2:8" ht="15" customHeight="1">
      <c r="B33" s="80" t="s">
        <v>2</v>
      </c>
      <c r="C33" s="81">
        <v>1557568</v>
      </c>
      <c r="F33" s="177"/>
      <c r="G33" s="2"/>
      <c r="H33" s="178"/>
    </row>
    <row r="34" spans="2:8" ht="15" customHeight="1">
      <c r="B34" s="80"/>
      <c r="C34" s="81"/>
      <c r="F34" s="179" t="s">
        <v>171</v>
      </c>
      <c r="G34" s="180" t="s">
        <v>113</v>
      </c>
      <c r="H34" s="181" t="s">
        <v>33</v>
      </c>
    </row>
    <row r="35" spans="2:8" ht="15" customHeight="1">
      <c r="B35" s="16" t="s">
        <v>170</v>
      </c>
      <c r="C35" s="165" t="s">
        <v>113</v>
      </c>
      <c r="F35" s="182" t="s">
        <v>29</v>
      </c>
      <c r="G35" s="176">
        <f>C12+C24</f>
        <v>4714005</v>
      </c>
      <c r="H35" s="183">
        <f>D12+D24</f>
        <v>1731109.3</v>
      </c>
    </row>
    <row r="36" spans="2:8" ht="15" customHeight="1">
      <c r="B36" s="4" t="s">
        <v>11</v>
      </c>
      <c r="C36" s="18">
        <v>0</v>
      </c>
      <c r="F36" s="173" t="s">
        <v>166</v>
      </c>
      <c r="G36" s="174">
        <f>C4+C15</f>
        <v>144049</v>
      </c>
      <c r="H36" s="178"/>
    </row>
    <row r="37" spans="2:8" ht="15" customHeight="1">
      <c r="B37" s="4" t="s">
        <v>12</v>
      </c>
      <c r="C37" s="18">
        <v>90932</v>
      </c>
      <c r="F37" s="173" t="s">
        <v>167</v>
      </c>
      <c r="G37" s="174">
        <f>C6</f>
        <v>558421</v>
      </c>
      <c r="H37" s="178"/>
    </row>
    <row r="38" spans="2:8" ht="15" customHeight="1">
      <c r="B38" s="4" t="s">
        <v>13</v>
      </c>
      <c r="C38" s="18">
        <v>0</v>
      </c>
      <c r="F38" s="173" t="s">
        <v>168</v>
      </c>
      <c r="G38" s="174">
        <f>C7+C17</f>
        <v>1944060</v>
      </c>
      <c r="H38" s="178"/>
    </row>
    <row r="39" spans="2:8" ht="15" customHeight="1">
      <c r="B39" s="2" t="s">
        <v>14</v>
      </c>
      <c r="C39" s="18">
        <v>0</v>
      </c>
      <c r="F39" s="173" t="s">
        <v>76</v>
      </c>
      <c r="G39" s="174">
        <f>C7+C17+C19+C20</f>
        <v>2676104</v>
      </c>
      <c r="H39" s="171">
        <f>C7*D7+C17*D17+C19*D19+C20*D20</f>
        <v>1239640.3999999999</v>
      </c>
    </row>
    <row r="40" spans="2:8" ht="15" customHeight="1">
      <c r="B40" s="77" t="s">
        <v>173</v>
      </c>
      <c r="C40" s="78">
        <f>SUM(C36:C39)</f>
        <v>90932</v>
      </c>
      <c r="F40" s="182" t="s">
        <v>115</v>
      </c>
      <c r="G40" s="176">
        <f>G12+G24</f>
        <v>2524274</v>
      </c>
      <c r="H40" s="183">
        <f>H12+H24</f>
        <v>2080858.5</v>
      </c>
    </row>
    <row r="41" spans="2:8" ht="15" customHeight="1">
      <c r="B41" s="4" t="s">
        <v>15</v>
      </c>
      <c r="C41" s="20">
        <f>C42-C40</f>
        <v>724148</v>
      </c>
      <c r="F41" s="173" t="s">
        <v>160</v>
      </c>
      <c r="G41" s="174">
        <f>C70</f>
        <v>2179072</v>
      </c>
      <c r="H41" s="183">
        <f>H40-H42</f>
        <v>1893072.4</v>
      </c>
    </row>
    <row r="42" spans="2:8" ht="15" customHeight="1">
      <c r="B42" s="80" t="s">
        <v>20</v>
      </c>
      <c r="C42" s="81">
        <v>815080</v>
      </c>
      <c r="F42" s="184" t="s">
        <v>161</v>
      </c>
      <c r="G42" s="185">
        <f>C82</f>
        <v>318401</v>
      </c>
      <c r="H42" s="186">
        <f>D82</f>
        <v>187786.09999999998</v>
      </c>
    </row>
    <row r="44" spans="2:8" ht="15" customHeight="1">
      <c r="B44" s="76" t="s">
        <v>92</v>
      </c>
      <c r="C44" s="35"/>
      <c r="D44" s="35"/>
      <c r="E44" s="35"/>
      <c r="F44" s="35"/>
      <c r="G44" s="35"/>
      <c r="H44" s="35"/>
    </row>
    <row r="45" spans="2:8" ht="15" customHeight="1">
      <c r="B45" s="16" t="s">
        <v>228</v>
      </c>
      <c r="C45" s="213" t="s">
        <v>113</v>
      </c>
      <c r="D45" s="165" t="s">
        <v>311</v>
      </c>
      <c r="F45" s="230" t="s">
        <v>56</v>
      </c>
    </row>
    <row r="46" spans="2:8" ht="15" customHeight="1">
      <c r="B46" s="1" t="s">
        <v>230</v>
      </c>
      <c r="C46" s="73">
        <f>G29</f>
        <v>4291235</v>
      </c>
      <c r="D46" s="73">
        <f>H29</f>
        <v>864923.79999999981</v>
      </c>
      <c r="F46" s="227"/>
    </row>
    <row r="47" spans="2:8" ht="15" customHeight="1">
      <c r="B47" s="1" t="str">
        <f>"Equity per share ("&amp;Market_currency&amp;")"</f>
        <v>Equity per share (HKD)</v>
      </c>
      <c r="C47" s="135">
        <f>C46*H1/Common_Shares*Exchange_Rate</f>
        <v>2.0225728524548678</v>
      </c>
      <c r="D47" s="135">
        <f>D46*H1/Common_Shares*Exchange_Rate</f>
        <v>0.40766152338944456</v>
      </c>
      <c r="F47" s="227"/>
    </row>
    <row r="48" spans="2:8" ht="15" customHeight="1">
      <c r="F48" s="227"/>
    </row>
    <row r="49" spans="2:8" ht="15" customHeight="1">
      <c r="B49" s="144" t="s">
        <v>120</v>
      </c>
      <c r="C49" s="214" t="s">
        <v>54</v>
      </c>
      <c r="D49" s="180" t="s">
        <v>91</v>
      </c>
      <c r="E49" s="2"/>
      <c r="F49" s="227"/>
    </row>
    <row r="50" spans="2:8" ht="15" customHeight="1">
      <c r="B50" s="8" t="s">
        <v>90</v>
      </c>
      <c r="C50" s="92">
        <f>G31/Normalized_FCF!C8</f>
        <v>0.22047955497162566</v>
      </c>
      <c r="D50" s="92">
        <f>G31/Normalized_FCF!G8</f>
        <v>0.12458307956907363</v>
      </c>
      <c r="F50" s="227"/>
    </row>
    <row r="51" spans="2:8" ht="15" customHeight="1">
      <c r="B51" s="1" t="s">
        <v>146</v>
      </c>
      <c r="C51" s="164"/>
      <c r="D51" s="89">
        <f>G29/G32</f>
        <v>0.59285294197695337</v>
      </c>
      <c r="F51" s="227"/>
    </row>
    <row r="52" spans="2:8" ht="15" customHeight="1">
      <c r="F52" s="227"/>
    </row>
    <row r="53" spans="2:8" ht="15" customHeight="1">
      <c r="B53" s="144" t="s">
        <v>119</v>
      </c>
      <c r="C53" s="214" t="s">
        <v>54</v>
      </c>
      <c r="D53" s="180" t="s">
        <v>91</v>
      </c>
      <c r="F53" s="227"/>
    </row>
    <row r="54" spans="2:8" ht="15" customHeight="1">
      <c r="B54" s="1" t="s">
        <v>116</v>
      </c>
      <c r="C54" s="89">
        <f>Normalized_FCF!C8/G35</f>
        <v>0.12970132615472399</v>
      </c>
      <c r="D54" s="89">
        <f>Normalized_FCF!G8/G35</f>
        <v>0.2295375164005978</v>
      </c>
      <c r="F54" s="227"/>
    </row>
    <row r="55" spans="2:8" ht="15" customHeight="1">
      <c r="B55" s="1" t="s">
        <v>118</v>
      </c>
      <c r="C55" s="89">
        <f>Normalized_FCF!C9/G40</f>
        <v>-1.1084375151033524E-3</v>
      </c>
      <c r="D55" s="89">
        <f>Normalized_FCF!G9/G40</f>
        <v>-1.1084375151033524E-3</v>
      </c>
      <c r="F55" s="227"/>
    </row>
    <row r="56" spans="2:8" ht="15" customHeight="1">
      <c r="F56" s="227"/>
    </row>
    <row r="57" spans="2:8" ht="15" customHeight="1">
      <c r="B57" s="144" t="s">
        <v>145</v>
      </c>
      <c r="C57" s="214" t="s">
        <v>54</v>
      </c>
      <c r="D57" s="180" t="s">
        <v>91</v>
      </c>
      <c r="F57" s="227"/>
    </row>
    <row r="58" spans="2:8" ht="15" customHeight="1">
      <c r="B58" s="2" t="s">
        <v>86</v>
      </c>
      <c r="C58" s="95"/>
      <c r="D58" s="22">
        <f>Normalized_FCF!G15/BS!$G$39</f>
        <v>6.4713105320271552E-2</v>
      </c>
      <c r="F58" s="5"/>
    </row>
    <row r="59" spans="2:8" ht="15" customHeight="1">
      <c r="B59" s="1" t="s">
        <v>89</v>
      </c>
      <c r="C59" s="95"/>
      <c r="D59" s="89">
        <f>G39/G32</f>
        <v>0.3697155083411402</v>
      </c>
      <c r="F59" s="227"/>
    </row>
    <row r="60" spans="2:8" ht="15" customHeight="1">
      <c r="F60" s="227"/>
    </row>
    <row r="61" spans="2:8" ht="15" customHeight="1">
      <c r="B61" s="144" t="s">
        <v>231</v>
      </c>
      <c r="C61" s="214" t="s">
        <v>114</v>
      </c>
      <c r="D61" s="180" t="s">
        <v>91</v>
      </c>
      <c r="F61" s="227"/>
    </row>
    <row r="62" spans="2:8" ht="15" customHeight="1">
      <c r="B62" s="1" t="s">
        <v>210</v>
      </c>
      <c r="C62" s="89">
        <f>IF(G28&lt;=0,0,G28/G29)</f>
        <v>0.1338533079637913</v>
      </c>
      <c r="D62" s="89">
        <f>G28/G29</f>
        <v>0.1338533079637913</v>
      </c>
      <c r="F62" s="227" t="s">
        <v>229</v>
      </c>
    </row>
    <row r="64" spans="2:8" ht="15" customHeight="1">
      <c r="B64" s="76" t="s">
        <v>162</v>
      </c>
      <c r="C64" s="35"/>
      <c r="D64" s="35"/>
      <c r="E64" s="35"/>
      <c r="F64" s="35"/>
      <c r="G64" s="35"/>
      <c r="H64" s="35"/>
    </row>
    <row r="65" spans="2:6" ht="15" customHeight="1">
      <c r="B65" s="16" t="s">
        <v>158</v>
      </c>
      <c r="C65" s="213" t="s">
        <v>113</v>
      </c>
      <c r="D65" s="166" t="s">
        <v>239</v>
      </c>
      <c r="F65" s="230" t="s">
        <v>56</v>
      </c>
    </row>
    <row r="66" spans="2:6" ht="15" customHeight="1">
      <c r="B66" s="102" t="s">
        <v>157</v>
      </c>
      <c r="C66" s="19">
        <f>G4+G5+G15</f>
        <v>2113838</v>
      </c>
      <c r="D66" s="73">
        <f>C66-D75</f>
        <v>1507763.8216088</v>
      </c>
      <c r="F66" s="5" t="s">
        <v>193</v>
      </c>
    </row>
    <row r="67" spans="2:6" ht="15" customHeight="1">
      <c r="B67" s="102" t="s">
        <v>147</v>
      </c>
      <c r="C67" s="19">
        <f>G6+G16</f>
        <v>0</v>
      </c>
      <c r="F67" s="227"/>
    </row>
    <row r="68" spans="2:6" ht="15" customHeight="1">
      <c r="B68" s="102" t="s">
        <v>151</v>
      </c>
      <c r="C68" s="19">
        <f>G18</f>
        <v>65234</v>
      </c>
      <c r="F68" s="227"/>
    </row>
    <row r="69" spans="2:6" ht="15" customHeight="1">
      <c r="B69" s="102" t="s">
        <v>149</v>
      </c>
      <c r="C69" s="19">
        <f>G8+G20</f>
        <v>0</v>
      </c>
      <c r="F69" s="227"/>
    </row>
    <row r="70" spans="2:6" ht="15" customHeight="1">
      <c r="B70" s="77" t="s">
        <v>158</v>
      </c>
      <c r="C70" s="78">
        <f>SUM(C66:C69)</f>
        <v>2179072</v>
      </c>
      <c r="F70" s="227"/>
    </row>
    <row r="71" spans="2:6" ht="15" customHeight="1">
      <c r="F71" s="227"/>
    </row>
    <row r="72" spans="2:6" ht="15" customHeight="1">
      <c r="B72" s="229" t="s">
        <v>257</v>
      </c>
      <c r="C72" s="213" t="s">
        <v>91</v>
      </c>
      <c r="D72" s="165" t="s">
        <v>54</v>
      </c>
      <c r="F72" s="227"/>
    </row>
    <row r="73" spans="2:6" ht="15" customHeight="1">
      <c r="B73" s="102" t="s">
        <v>256</v>
      </c>
      <c r="C73" s="293">
        <f>(Normalized_FCF!G26+Normalized_FCF!G35-Normalized_FCF!G89)/12</f>
        <v>-113730.4380652</v>
      </c>
      <c r="D73" s="293">
        <f>(Normalized_FCF!C26+Normalized_FCF!C35-Normalized_FCF!C89)/12</f>
        <v>-101012.3630652</v>
      </c>
      <c r="F73" s="1" t="s">
        <v>279</v>
      </c>
    </row>
    <row r="74" spans="2:6" ht="15" customHeight="1">
      <c r="B74" s="231" t="s">
        <v>260</v>
      </c>
      <c r="C74" s="232">
        <f>-$C$66/C73</f>
        <v>18.586387566608753</v>
      </c>
      <c r="D74" s="232">
        <f>-$C$66/D73</f>
        <v>20.926527564112032</v>
      </c>
      <c r="F74" s="227" t="s">
        <v>258</v>
      </c>
    </row>
    <row r="75" spans="2:6" ht="15" customHeight="1">
      <c r="B75" s="77" t="s">
        <v>259</v>
      </c>
      <c r="C75" s="268"/>
      <c r="D75" s="269">
        <f>MAX(-D73*D76,G5)</f>
        <v>606074.17839120002</v>
      </c>
      <c r="F75" s="227" t="s">
        <v>280</v>
      </c>
    </row>
    <row r="76" spans="2:6" ht="15" customHeight="1">
      <c r="B76" s="233" t="s">
        <v>261</v>
      </c>
      <c r="C76" s="234"/>
      <c r="D76" s="255">
        <f>IF(D74&lt;=3,1,IF(D74&gt;18,6,2))</f>
        <v>6</v>
      </c>
      <c r="F76" s="227" t="s">
        <v>262</v>
      </c>
    </row>
    <row r="77" spans="2:6" ht="15" customHeight="1">
      <c r="F77" s="227"/>
    </row>
    <row r="78" spans="2:6" ht="15" customHeight="1">
      <c r="B78" s="16" t="s">
        <v>159</v>
      </c>
      <c r="C78" s="213" t="s">
        <v>113</v>
      </c>
      <c r="D78" s="166" t="s">
        <v>33</v>
      </c>
      <c r="F78" s="227"/>
    </row>
    <row r="79" spans="2:6" ht="15" customHeight="1">
      <c r="B79" s="102" t="s">
        <v>148</v>
      </c>
      <c r="C79" s="19">
        <f>G7+G17</f>
        <v>311892</v>
      </c>
      <c r="D79" s="73">
        <f>G7*H7+G17*H17</f>
        <v>187135.19999999998</v>
      </c>
      <c r="F79" s="227"/>
    </row>
    <row r="80" spans="2:6" ht="15" customHeight="1">
      <c r="B80" s="102" t="s">
        <v>152</v>
      </c>
      <c r="C80" s="19">
        <f>G19</f>
        <v>0</v>
      </c>
      <c r="D80" s="73">
        <f>G19*H19</f>
        <v>0</v>
      </c>
      <c r="F80" s="227"/>
    </row>
    <row r="81" spans="2:8" ht="15" customHeight="1">
      <c r="B81" s="102" t="s">
        <v>150</v>
      </c>
      <c r="C81" s="19">
        <f>G9+G21</f>
        <v>6509</v>
      </c>
      <c r="D81" s="73">
        <f>G9*H9+G21*H21</f>
        <v>650.90000000000009</v>
      </c>
      <c r="F81" s="227"/>
    </row>
    <row r="82" spans="2:8" ht="15" customHeight="1">
      <c r="B82" s="77" t="s">
        <v>159</v>
      </c>
      <c r="C82" s="78">
        <f>SUM(C79:C81)</f>
        <v>318401</v>
      </c>
      <c r="D82" s="78">
        <f>SUM(D79:D81)</f>
        <v>187786.09999999998</v>
      </c>
      <c r="F82" s="227"/>
    </row>
    <row r="84" spans="2:8" ht="15" customHeight="1">
      <c r="B84" s="76" t="s">
        <v>242</v>
      </c>
      <c r="C84" s="35"/>
      <c r="D84" s="35"/>
      <c r="E84" s="35"/>
      <c r="F84" s="35"/>
      <c r="G84" s="35"/>
      <c r="H84" s="35"/>
    </row>
    <row r="85" spans="2:8" ht="15" customHeight="1">
      <c r="B85" s="16" t="s">
        <v>243</v>
      </c>
      <c r="D85" s="219" t="s">
        <v>244</v>
      </c>
    </row>
    <row r="86" spans="2:8" ht="15" customHeight="1">
      <c r="B86" s="216" t="s">
        <v>240</v>
      </c>
      <c r="C86" s="73">
        <f>-DCF!F4*Exchange_Rate</f>
        <v>147396.46627260002</v>
      </c>
      <c r="D86" s="204">
        <f>C86*scaling_factor/Common_Shares</f>
        <v>6.3536699994832718E-2</v>
      </c>
      <c r="E86" s="218" t="str">
        <f>Market_currency</f>
        <v>HKD</v>
      </c>
    </row>
    <row r="87" spans="2:8" ht="15" customHeight="1">
      <c r="B87" s="216" t="s">
        <v>241</v>
      </c>
      <c r="C87" s="73">
        <f>DCF!F5*Exchange_Rate</f>
        <v>1648608.7896413163</v>
      </c>
      <c r="D87" s="204">
        <f>C87*scaling_factor/Common_Shares</f>
        <v>0.71064907270274469</v>
      </c>
      <c r="E87" s="218" t="str">
        <f>Market_currency</f>
        <v>HKD</v>
      </c>
    </row>
    <row r="88" spans="2:8" ht="15" customHeight="1">
      <c r="B88" s="217" t="s">
        <v>159</v>
      </c>
      <c r="C88" s="73">
        <f>DCF!F6*Exchange_Rate</f>
        <v>205327.79112721499</v>
      </c>
      <c r="D88" s="204">
        <f>C88*scaling_factor/Common_Shares</f>
        <v>8.8508568728670176E-2</v>
      </c>
      <c r="E88" s="218" t="str">
        <f>Market_currency</f>
        <v>HKD</v>
      </c>
    </row>
    <row r="89" spans="2:8" ht="15" customHeight="1">
      <c r="B89" s="77" t="s">
        <v>245</v>
      </c>
      <c r="C89" s="163">
        <f>SUM(C86:C88)</f>
        <v>2001333.0470411312</v>
      </c>
      <c r="D89" s="220">
        <f>SUM(D86:D88)</f>
        <v>0.86269434142624757</v>
      </c>
      <c r="E89" s="218"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136" zoomScaleNormal="100" workbookViewId="0">
      <pane xSplit="2" ySplit="1" topLeftCell="C2" activePane="bottomRight" state="frozen"/>
      <selection activeCell="C17" sqref="C17"/>
      <selection pane="topRight" activeCell="C17" sqref="C17"/>
      <selection pane="bottomLeft" activeCell="C17" sqref="C17"/>
      <selection pane="bottomRight" activeCell="C5" sqref="C5"/>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395</v>
      </c>
      <c r="C3" s="104">
        <f>scaling_factor</f>
        <v>1000</v>
      </c>
      <c r="D3" s="9"/>
      <c r="E3" s="242"/>
      <c r="F3" s="9"/>
      <c r="G3" s="16" t="s">
        <v>415</v>
      </c>
      <c r="H3" s="104">
        <f>scaling_factor</f>
        <v>1000</v>
      </c>
    </row>
    <row r="4" spans="1:17" ht="15.75" customHeight="1">
      <c r="A4" s="10"/>
      <c r="B4" s="25" t="s">
        <v>0</v>
      </c>
      <c r="C4" s="273">
        <f>G4*0.7</f>
        <v>1454238.7999999998</v>
      </c>
      <c r="D4" s="54"/>
      <c r="E4" s="240"/>
      <c r="F4" s="54"/>
      <c r="G4" s="278">
        <f>Data!C36</f>
        <v>2077484</v>
      </c>
      <c r="H4" s="278">
        <f>Data!D36</f>
        <v>2628029</v>
      </c>
      <c r="I4" s="278">
        <f>Data!E36</f>
        <v>2171626</v>
      </c>
      <c r="J4" s="278">
        <f>Data!F36</f>
        <v>2325848</v>
      </c>
      <c r="K4" s="278">
        <f>Data!G36</f>
        <v>1892537</v>
      </c>
      <c r="L4" s="278">
        <f>Data!H36</f>
        <v>1850574</v>
      </c>
      <c r="M4" s="278">
        <f>Data!I36</f>
        <v>1651299</v>
      </c>
      <c r="N4" s="278">
        <f>Data!J36</f>
        <v>1477208</v>
      </c>
      <c r="O4" s="278">
        <f>Data!K36</f>
        <v>1267655</v>
      </c>
      <c r="P4" s="278">
        <f>Data!L36</f>
        <v>1107960</v>
      </c>
      <c r="Q4" s="278" t="str">
        <f>Data!M36</f>
        <v/>
      </c>
    </row>
    <row r="5" spans="1:17" ht="15.75" customHeight="1">
      <c r="A5" s="10"/>
      <c r="B5" s="2" t="s">
        <v>43</v>
      </c>
      <c r="C5" s="274">
        <f>C26</f>
        <v>-356106.1</v>
      </c>
      <c r="E5" s="242"/>
      <c r="G5" s="278">
        <f t="shared" ref="G5:Q5" si="1">G26</f>
        <v>-508723</v>
      </c>
      <c r="H5" s="278">
        <f t="shared" si="1"/>
        <v>-411372</v>
      </c>
      <c r="I5" s="278">
        <f t="shared" si="1"/>
        <v>-522821</v>
      </c>
      <c r="J5" s="278">
        <f t="shared" si="1"/>
        <v>-569426</v>
      </c>
      <c r="K5" s="278">
        <f t="shared" si="1"/>
        <v>-445423</v>
      </c>
      <c r="L5" s="278">
        <f t="shared" si="1"/>
        <v>-426069</v>
      </c>
      <c r="M5" s="278">
        <f t="shared" si="1"/>
        <v>-368220</v>
      </c>
      <c r="N5" s="278">
        <f t="shared" si="1"/>
        <v>-543146</v>
      </c>
      <c r="O5" s="278">
        <f t="shared" si="1"/>
        <v>-482820</v>
      </c>
      <c r="P5" s="278">
        <f t="shared" si="1"/>
        <v>-453603</v>
      </c>
      <c r="Q5" s="278" t="str">
        <f t="shared" si="1"/>
        <v/>
      </c>
    </row>
    <row r="6" spans="1:17" ht="15.75" customHeight="1">
      <c r="A6" s="10"/>
      <c r="B6" s="30" t="s">
        <v>45</v>
      </c>
      <c r="C6" s="275">
        <f>C4+C5</f>
        <v>1098132.6999999997</v>
      </c>
      <c r="E6" s="242"/>
      <c r="G6" s="275">
        <f>IF(G4="","",G4+G5)</f>
        <v>1568761</v>
      </c>
      <c r="H6" s="275">
        <f t="shared" ref="H6:Q6" si="2">IF(H4="","",H4+H5)</f>
        <v>2216657</v>
      </c>
      <c r="I6" s="275">
        <f t="shared" si="2"/>
        <v>1648805</v>
      </c>
      <c r="J6" s="275">
        <f t="shared" si="2"/>
        <v>1756422</v>
      </c>
      <c r="K6" s="275">
        <f t="shared" si="2"/>
        <v>1447114</v>
      </c>
      <c r="L6" s="275">
        <f t="shared" si="2"/>
        <v>1424505</v>
      </c>
      <c r="M6" s="275">
        <f t="shared" si="2"/>
        <v>1283079</v>
      </c>
      <c r="N6" s="275">
        <f t="shared" si="2"/>
        <v>934062</v>
      </c>
      <c r="O6" s="275">
        <f t="shared" si="2"/>
        <v>784835</v>
      </c>
      <c r="P6" s="275">
        <f t="shared" si="2"/>
        <v>654357</v>
      </c>
      <c r="Q6" s="275" t="str">
        <f t="shared" si="2"/>
        <v/>
      </c>
    </row>
    <row r="7" spans="1:17" ht="15.75" customHeight="1">
      <c r="A7" s="10"/>
      <c r="B7" s="8" t="s">
        <v>42</v>
      </c>
      <c r="C7" s="274">
        <f>C35</f>
        <v>-486720</v>
      </c>
      <c r="E7" s="242"/>
      <c r="G7" s="274">
        <f t="shared" ref="G7:Q7" si="3">G35</f>
        <v>-486720</v>
      </c>
      <c r="H7" s="274">
        <f t="shared" si="3"/>
        <v>-506360</v>
      </c>
      <c r="I7" s="274">
        <f t="shared" si="3"/>
        <v>-463624</v>
      </c>
      <c r="J7" s="274">
        <f t="shared" si="3"/>
        <v>-469616</v>
      </c>
      <c r="K7" s="274">
        <f t="shared" si="3"/>
        <v>-385805</v>
      </c>
      <c r="L7" s="274">
        <f t="shared" si="3"/>
        <v>-416125</v>
      </c>
      <c r="M7" s="274">
        <f t="shared" si="3"/>
        <v>-401192</v>
      </c>
      <c r="N7" s="274">
        <f t="shared" si="3"/>
        <v>-292896</v>
      </c>
      <c r="O7" s="274">
        <f t="shared" si="3"/>
        <v>-278874</v>
      </c>
      <c r="P7" s="274">
        <f t="shared" si="3"/>
        <v>-250135</v>
      </c>
      <c r="Q7" s="274" t="str">
        <f t="shared" si="3"/>
        <v/>
      </c>
    </row>
    <row r="8" spans="1:17" ht="15.75" customHeight="1">
      <c r="A8" s="10"/>
      <c r="B8" s="28" t="s">
        <v>127</v>
      </c>
      <c r="C8" s="276">
        <f>C6+C7</f>
        <v>611412.69999999972</v>
      </c>
      <c r="D8" s="56"/>
      <c r="E8" s="248"/>
      <c r="F8" s="56"/>
      <c r="G8" s="275">
        <f>IF(G$4="","",G6+G7)</f>
        <v>1082041</v>
      </c>
      <c r="H8" s="275">
        <f t="shared" ref="H8:Q8" si="4">IF(H$4="","",H6+H7)</f>
        <v>1710297</v>
      </c>
      <c r="I8" s="275">
        <f t="shared" si="4"/>
        <v>1185181</v>
      </c>
      <c r="J8" s="275">
        <f t="shared" si="4"/>
        <v>1286806</v>
      </c>
      <c r="K8" s="275">
        <f t="shared" si="4"/>
        <v>1061309</v>
      </c>
      <c r="L8" s="275">
        <f t="shared" si="4"/>
        <v>1008380</v>
      </c>
      <c r="M8" s="275">
        <f t="shared" si="4"/>
        <v>881887</v>
      </c>
      <c r="N8" s="275">
        <f t="shared" si="4"/>
        <v>641166</v>
      </c>
      <c r="O8" s="275">
        <f t="shared" si="4"/>
        <v>505961</v>
      </c>
      <c r="P8" s="275">
        <f t="shared" si="4"/>
        <v>404222</v>
      </c>
      <c r="Q8" s="275" t="str">
        <f t="shared" si="4"/>
        <v/>
      </c>
    </row>
    <row r="9" spans="1:17" ht="15.75" customHeight="1">
      <c r="A9" s="10"/>
      <c r="B9" s="26" t="s">
        <v>420</v>
      </c>
      <c r="C9" s="308">
        <f>C61</f>
        <v>-2798</v>
      </c>
      <c r="D9" s="55"/>
      <c r="E9" s="241"/>
      <c r="F9" s="55"/>
      <c r="G9" s="278">
        <f>G59</f>
        <v>-2798</v>
      </c>
      <c r="H9" s="278">
        <f t="shared" ref="H9:Q9" si="5">H59</f>
        <v>-18436</v>
      </c>
      <c r="I9" s="278">
        <f t="shared" si="5"/>
        <v>-7407</v>
      </c>
      <c r="J9" s="278">
        <f t="shared" si="5"/>
        <v>-11577</v>
      </c>
      <c r="K9" s="278">
        <f t="shared" si="5"/>
        <v>4</v>
      </c>
      <c r="L9" s="278">
        <f t="shared" si="5"/>
        <v>-176</v>
      </c>
      <c r="M9" s="278">
        <f t="shared" si="5"/>
        <v>0</v>
      </c>
      <c r="N9" s="278">
        <f t="shared" si="5"/>
        <v>398</v>
      </c>
      <c r="O9" s="278">
        <f t="shared" si="5"/>
        <v>485</v>
      </c>
      <c r="P9" s="278">
        <f t="shared" si="5"/>
        <v>0</v>
      </c>
      <c r="Q9" s="278" t="str">
        <f t="shared" si="5"/>
        <v/>
      </c>
    </row>
    <row r="10" spans="1:17" ht="15.75" customHeight="1">
      <c r="A10" s="10"/>
      <c r="B10" s="2" t="s">
        <v>65</v>
      </c>
      <c r="C10" s="274">
        <f>C48</f>
        <v>-4451.7949296527995</v>
      </c>
      <c r="E10" s="242"/>
      <c r="G10" s="274">
        <f>G48</f>
        <v>-10168.406344814284</v>
      </c>
      <c r="H10" s="274">
        <f t="shared" ref="H10:Q10" si="6">H48</f>
        <v>-2420.0332137648202</v>
      </c>
      <c r="I10" s="274">
        <f t="shared" si="6"/>
        <v>-5008</v>
      </c>
      <c r="J10" s="274">
        <f t="shared" si="6"/>
        <v>-7246</v>
      </c>
      <c r="K10" s="274">
        <f t="shared" si="6"/>
        <v>-9525</v>
      </c>
      <c r="L10" s="274">
        <f t="shared" si="6"/>
        <v>-11128</v>
      </c>
      <c r="M10" s="274">
        <f t="shared" si="6"/>
        <v>-8293</v>
      </c>
      <c r="N10" s="274">
        <f t="shared" si="6"/>
        <v>-15585</v>
      </c>
      <c r="O10" s="274">
        <f t="shared" si="6"/>
        <v>-8256</v>
      </c>
      <c r="P10" s="274">
        <f t="shared" si="6"/>
        <v>-7799</v>
      </c>
      <c r="Q10" s="274" t="str">
        <f t="shared" si="6"/>
        <v/>
      </c>
    </row>
    <row r="11" spans="1:17" ht="15.75" customHeight="1">
      <c r="A11" s="10"/>
      <c r="B11" s="67" t="s">
        <v>137</v>
      </c>
      <c r="C11" s="275">
        <f>SUM(C8:C10)</f>
        <v>604162.9050703469</v>
      </c>
      <c r="E11" s="242"/>
      <c r="G11" s="275">
        <f t="shared" ref="G11:Q11" si="7">IF(G$4="","",SUM(G8:G10))</f>
        <v>1069074.5936551858</v>
      </c>
      <c r="H11" s="275">
        <f t="shared" si="7"/>
        <v>1689440.9667862351</v>
      </c>
      <c r="I11" s="275">
        <f t="shared" si="7"/>
        <v>1172766</v>
      </c>
      <c r="J11" s="275">
        <f t="shared" si="7"/>
        <v>1267983</v>
      </c>
      <c r="K11" s="275">
        <f t="shared" si="7"/>
        <v>1051788</v>
      </c>
      <c r="L11" s="275">
        <f t="shared" si="7"/>
        <v>997076</v>
      </c>
      <c r="M11" s="275">
        <f t="shared" si="7"/>
        <v>873594</v>
      </c>
      <c r="N11" s="275">
        <f t="shared" si="7"/>
        <v>625979</v>
      </c>
      <c r="O11" s="275">
        <f t="shared" si="7"/>
        <v>498190</v>
      </c>
      <c r="P11" s="275">
        <f t="shared" si="7"/>
        <v>396423</v>
      </c>
      <c r="Q11" s="275" t="str">
        <f t="shared" si="7"/>
        <v/>
      </c>
    </row>
    <row r="12" spans="1:17" ht="15.75" customHeight="1">
      <c r="A12" s="10"/>
      <c r="B12" s="2" t="s">
        <v>60</v>
      </c>
      <c r="C12" s="274">
        <f>-C11*C41</f>
        <v>-151040.72626758672</v>
      </c>
      <c r="E12" s="242"/>
      <c r="G12" s="274">
        <f>Data!C46</f>
        <v>-313181</v>
      </c>
      <c r="H12" s="274">
        <f>Data!D46</f>
        <v>-455638</v>
      </c>
      <c r="I12" s="274">
        <f>Data!E46</f>
        <v>-281476</v>
      </c>
      <c r="J12" s="274">
        <f>Data!F46</f>
        <v>-289591</v>
      </c>
      <c r="K12" s="274">
        <f>Data!G46</f>
        <v>-222784</v>
      </c>
      <c r="L12" s="274">
        <f>Data!H46</f>
        <v>-211350</v>
      </c>
      <c r="M12" s="274">
        <f>Data!I46</f>
        <v>-159140</v>
      </c>
      <c r="N12" s="274">
        <f>Data!J46</f>
        <v>-134611</v>
      </c>
      <c r="O12" s="274">
        <f>Data!K46</f>
        <v>-108508</v>
      </c>
      <c r="P12" s="274">
        <f>Data!L46</f>
        <v>-94437</v>
      </c>
      <c r="Q12" s="274" t="str">
        <f>Data!M46</f>
        <v/>
      </c>
    </row>
    <row r="13" spans="1:17" ht="15.75" customHeight="1">
      <c r="A13" s="10"/>
      <c r="B13" s="38" t="s">
        <v>208</v>
      </c>
      <c r="C13" s="274">
        <f>-C4*C79</f>
        <v>-106049.44824717694</v>
      </c>
      <c r="D13" s="57"/>
      <c r="E13" s="249"/>
      <c r="F13" s="57"/>
      <c r="G13" s="278">
        <f>Data!C48</f>
        <v>-124194</v>
      </c>
      <c r="H13" s="278">
        <f>Data!D48</f>
        <v>-184676</v>
      </c>
      <c r="I13" s="278">
        <f>Data!E48</f>
        <v>-152133</v>
      </c>
      <c r="J13" s="278">
        <f>Data!F48</f>
        <v>-169611</v>
      </c>
      <c r="K13" s="278">
        <f>Data!G48</f>
        <v>-137241</v>
      </c>
      <c r="L13" s="278">
        <f>Data!H48</f>
        <v>-156740</v>
      </c>
      <c r="M13" s="278">
        <f>Data!I48</f>
        <v>-127269</v>
      </c>
      <c r="N13" s="278">
        <f>Data!J48</f>
        <v>-132823</v>
      </c>
      <c r="O13" s="278">
        <f>Data!K48</f>
        <v>-109531</v>
      </c>
      <c r="P13" s="278">
        <f>Data!L48</f>
        <v>-80725</v>
      </c>
      <c r="Q13" s="278" t="str">
        <f>Data!M48</f>
        <v/>
      </c>
    </row>
    <row r="14" spans="1:17" ht="15.75" customHeight="1">
      <c r="A14" s="10"/>
      <c r="B14" s="39" t="s">
        <v>129</v>
      </c>
      <c r="C14" s="277">
        <f>SUM(C11:C13)</f>
        <v>347072.73055558326</v>
      </c>
      <c r="D14" s="58"/>
      <c r="E14" s="250"/>
      <c r="F14" s="58"/>
      <c r="G14" s="275">
        <f t="shared" ref="G14:Q14" si="8">IF(G$4="","",SUM(G11:G13))</f>
        <v>631699.59365518577</v>
      </c>
      <c r="H14" s="275">
        <f t="shared" si="8"/>
        <v>1049126.9667862351</v>
      </c>
      <c r="I14" s="275">
        <f t="shared" si="8"/>
        <v>739157</v>
      </c>
      <c r="J14" s="275">
        <f t="shared" si="8"/>
        <v>808781</v>
      </c>
      <c r="K14" s="275">
        <f t="shared" si="8"/>
        <v>691763</v>
      </c>
      <c r="L14" s="275">
        <f t="shared" si="8"/>
        <v>628986</v>
      </c>
      <c r="M14" s="275">
        <f t="shared" si="8"/>
        <v>587185</v>
      </c>
      <c r="N14" s="275">
        <f t="shared" si="8"/>
        <v>358545</v>
      </c>
      <c r="O14" s="275">
        <f t="shared" si="8"/>
        <v>280151</v>
      </c>
      <c r="P14" s="275">
        <f t="shared" si="8"/>
        <v>221261</v>
      </c>
      <c r="Q14" s="275" t="str">
        <f t="shared" si="8"/>
        <v/>
      </c>
    </row>
    <row r="15" spans="1:17" ht="15.75" customHeight="1">
      <c r="A15" s="10"/>
      <c r="B15" s="2" t="s">
        <v>62</v>
      </c>
      <c r="C15" s="274">
        <f>BS!$G$39*BS!D58</f>
        <v>173178.99999999997</v>
      </c>
      <c r="E15" s="242"/>
      <c r="G15" s="274">
        <f>IF(Data!C61="","",-Data!C61)</f>
        <v>173179</v>
      </c>
      <c r="H15" s="274">
        <f>IF(Data!D61="","",-Data!D61)</f>
        <v>166609</v>
      </c>
      <c r="I15" s="274">
        <f>IF(Data!E61="","",-Data!E61)</f>
        <v>0</v>
      </c>
      <c r="J15" s="274">
        <f>IF(Data!F61="","",-Data!F61)</f>
        <v>0</v>
      </c>
      <c r="K15" s="274">
        <f>IF(Data!G61="","",-Data!G61)</f>
        <v>0</v>
      </c>
      <c r="L15" s="274">
        <f>IF(Data!H61="","",-Data!H61)</f>
        <v>0</v>
      </c>
      <c r="M15" s="274">
        <f>IF(Data!I61="","",-Data!I61)</f>
        <v>0</v>
      </c>
      <c r="N15" s="274">
        <f>IF(Data!J61="","",-Data!J61)</f>
        <v>0</v>
      </c>
      <c r="O15" s="274">
        <f>IF(Data!K61="","",-Data!K61)</f>
        <v>0</v>
      </c>
      <c r="P15" s="274">
        <f>IF(Data!L61="","",-Data!L61)</f>
        <v>0</v>
      </c>
      <c r="Q15" s="274" t="str">
        <f>IF(Data!M61="","",-Data!M61)</f>
        <v/>
      </c>
    </row>
    <row r="16" spans="1:17" ht="15.75" customHeight="1">
      <c r="A16" s="10"/>
      <c r="B16" s="2" t="s">
        <v>401</v>
      </c>
      <c r="C16" s="274">
        <f>-C4*C82</f>
        <v>-173178.99999999997</v>
      </c>
      <c r="E16" s="242"/>
      <c r="G16" s="274">
        <f>Data!C62</f>
        <v>-173179</v>
      </c>
      <c r="H16" s="274">
        <f>Data!D62</f>
        <v>-166609</v>
      </c>
      <c r="I16" s="274">
        <f>Data!E62</f>
        <v>0</v>
      </c>
      <c r="J16" s="274">
        <f>Data!F62</f>
        <v>0</v>
      </c>
      <c r="K16" s="274">
        <f>Data!G62</f>
        <v>0</v>
      </c>
      <c r="L16" s="274">
        <f>Data!H62</f>
        <v>0</v>
      </c>
      <c r="M16" s="274">
        <f>Data!I62</f>
        <v>0</v>
      </c>
      <c r="N16" s="274">
        <f>Data!J62</f>
        <v>0</v>
      </c>
      <c r="O16" s="274">
        <f>Data!K62</f>
        <v>0</v>
      </c>
      <c r="P16" s="274">
        <f>Data!L62</f>
        <v>0</v>
      </c>
      <c r="Q16" s="274" t="str">
        <f>Data!M62</f>
        <v/>
      </c>
    </row>
    <row r="17" spans="1:17" ht="15.75" customHeight="1">
      <c r="A17" s="10"/>
      <c r="B17" s="26" t="s">
        <v>49</v>
      </c>
      <c r="C17" s="274">
        <f>-C4*C83</f>
        <v>0</v>
      </c>
      <c r="D17" s="55"/>
      <c r="E17" s="241" t="s">
        <v>263</v>
      </c>
      <c r="F17" s="55"/>
      <c r="G17" s="280"/>
      <c r="H17" s="280"/>
      <c r="I17" s="280"/>
      <c r="J17" s="280"/>
      <c r="K17" s="280"/>
      <c r="L17" s="280"/>
      <c r="M17" s="280"/>
      <c r="N17" s="280"/>
      <c r="O17" s="280"/>
      <c r="P17" s="280"/>
      <c r="Q17" s="280"/>
    </row>
    <row r="18" spans="1:17" ht="15.75" customHeight="1">
      <c r="A18" s="10"/>
      <c r="B18" s="26" t="s">
        <v>94</v>
      </c>
      <c r="C18" s="274">
        <v>0</v>
      </c>
      <c r="D18" s="55"/>
      <c r="E18" s="241" t="s">
        <v>264</v>
      </c>
      <c r="F18" s="55"/>
      <c r="G18" s="281"/>
      <c r="H18" s="281"/>
      <c r="I18" s="281"/>
      <c r="J18" s="281"/>
      <c r="K18" s="281"/>
      <c r="L18" s="281"/>
      <c r="M18" s="281"/>
      <c r="N18" s="281"/>
      <c r="O18" s="281"/>
      <c r="P18" s="281"/>
      <c r="Q18" s="281"/>
    </row>
    <row r="19" spans="1:17" ht="15.75" customHeight="1">
      <c r="A19" s="10"/>
      <c r="B19" s="30" t="s">
        <v>63</v>
      </c>
      <c r="C19" s="275">
        <f>C14+C17</f>
        <v>347072.73055558326</v>
      </c>
      <c r="D19" s="26"/>
      <c r="E19" s="239"/>
      <c r="F19" s="26"/>
      <c r="G19" s="279">
        <f t="shared" ref="G19:Q19" si="9">IF(G$4="","",G14+G17)</f>
        <v>631699.59365518577</v>
      </c>
      <c r="H19" s="279">
        <f t="shared" si="9"/>
        <v>1049126.9667862351</v>
      </c>
      <c r="I19" s="279">
        <f t="shared" si="9"/>
        <v>739157</v>
      </c>
      <c r="J19" s="279">
        <f t="shared" si="9"/>
        <v>808781</v>
      </c>
      <c r="K19" s="279">
        <f t="shared" si="9"/>
        <v>691763</v>
      </c>
      <c r="L19" s="279">
        <f t="shared" si="9"/>
        <v>628986</v>
      </c>
      <c r="M19" s="279">
        <f t="shared" si="9"/>
        <v>587185</v>
      </c>
      <c r="N19" s="279">
        <f t="shared" si="9"/>
        <v>358545</v>
      </c>
      <c r="O19" s="279">
        <f t="shared" si="9"/>
        <v>280151</v>
      </c>
      <c r="P19" s="279">
        <f t="shared" si="9"/>
        <v>221261</v>
      </c>
      <c r="Q19" s="279"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9"/>
      <c r="F22" s="26"/>
      <c r="G22" s="12"/>
      <c r="H22" s="12"/>
      <c r="I22" s="12"/>
      <c r="J22" s="12"/>
      <c r="K22" s="12"/>
      <c r="L22" s="12"/>
      <c r="M22" s="12"/>
      <c r="N22" s="12"/>
      <c r="O22" s="12"/>
      <c r="P22" s="12"/>
      <c r="Q22" s="12"/>
    </row>
    <row r="23" spans="1:17" ht="15.75" customHeight="1">
      <c r="A23" s="10"/>
      <c r="B23" s="26" t="s">
        <v>40</v>
      </c>
      <c r="C23" s="282">
        <f>-C4*C29</f>
        <v>-326988.19999999995</v>
      </c>
      <c r="D23" s="55"/>
      <c r="E23" s="241"/>
      <c r="F23" s="55"/>
      <c r="G23" s="278">
        <f>Data!C37</f>
        <v>-467126</v>
      </c>
      <c r="H23" s="278">
        <f>Data!D37</f>
        <v>-362473</v>
      </c>
      <c r="I23" s="278">
        <f>Data!E37</f>
        <v>-479666</v>
      </c>
      <c r="J23" s="278">
        <f>Data!F37</f>
        <v>-516304</v>
      </c>
      <c r="K23" s="278">
        <f>Data!G37</f>
        <v>-409351</v>
      </c>
      <c r="L23" s="278">
        <f>Data!H37</f>
        <v>-387398</v>
      </c>
      <c r="M23" s="278">
        <f>Data!I37</f>
        <v>-324344</v>
      </c>
      <c r="N23" s="278">
        <f>Data!J37</f>
        <v>-292316</v>
      </c>
      <c r="O23" s="278">
        <f>Data!K37</f>
        <v>-265303</v>
      </c>
      <c r="P23" s="278">
        <f>Data!L37</f>
        <v>-248161</v>
      </c>
      <c r="Q23" s="278" t="str">
        <f>Data!M37</f>
        <v/>
      </c>
    </row>
    <row r="24" spans="1:17" ht="15.75" customHeight="1">
      <c r="A24" s="10"/>
      <c r="B24" s="65" t="s">
        <v>59</v>
      </c>
      <c r="C24" s="274">
        <f>-C4*C30</f>
        <v>-29117.899999999998</v>
      </c>
      <c r="D24" s="26"/>
      <c r="E24" s="239"/>
      <c r="F24" s="26"/>
      <c r="G24" s="278">
        <f>Data!C40</f>
        <v>-41597</v>
      </c>
      <c r="H24" s="278">
        <f>Data!D40</f>
        <v>-48899</v>
      </c>
      <c r="I24" s="278">
        <f>Data!E40</f>
        <v>-43155</v>
      </c>
      <c r="J24" s="278">
        <f>Data!F40</f>
        <v>-53122</v>
      </c>
      <c r="K24" s="278">
        <f>Data!G40</f>
        <v>-36072</v>
      </c>
      <c r="L24" s="278">
        <f>Data!H40</f>
        <v>-38671</v>
      </c>
      <c r="M24" s="278">
        <f>Data!I40</f>
        <v>-43876</v>
      </c>
      <c r="N24" s="278">
        <f>Data!J40</f>
        <v>-250830</v>
      </c>
      <c r="O24" s="278">
        <f>Data!K40</f>
        <v>-217517</v>
      </c>
      <c r="P24" s="278">
        <f>Data!L40</f>
        <v>-205442</v>
      </c>
      <c r="Q24" s="278" t="str">
        <f>Data!M40</f>
        <v/>
      </c>
    </row>
    <row r="25" spans="1:17" ht="15.75" customHeight="1">
      <c r="A25" s="10"/>
      <c r="B25" s="26" t="s">
        <v>46</v>
      </c>
      <c r="C25" s="274">
        <f>-C4*C31</f>
        <v>0</v>
      </c>
      <c r="D25" s="55"/>
      <c r="E25" s="240"/>
      <c r="F25" s="55"/>
      <c r="G25" s="278">
        <f>Data!C42</f>
        <v>0</v>
      </c>
      <c r="H25" s="278">
        <f>Data!D42</f>
        <v>0</v>
      </c>
      <c r="I25" s="278">
        <f>Data!E42</f>
        <v>0</v>
      </c>
      <c r="J25" s="278">
        <f>Data!F42</f>
        <v>0</v>
      </c>
      <c r="K25" s="278">
        <f>Data!G42</f>
        <v>0</v>
      </c>
      <c r="L25" s="278">
        <f>Data!H42</f>
        <v>0</v>
      </c>
      <c r="M25" s="278">
        <f>Data!I42</f>
        <v>0</v>
      </c>
      <c r="N25" s="278">
        <f>Data!J42</f>
        <v>0</v>
      </c>
      <c r="O25" s="278">
        <f>Data!K42</f>
        <v>0</v>
      </c>
      <c r="P25" s="278">
        <f>Data!L42</f>
        <v>0</v>
      </c>
      <c r="Q25" s="278" t="str">
        <f>Data!M42</f>
        <v/>
      </c>
    </row>
    <row r="26" spans="1:17" ht="15.75" customHeight="1">
      <c r="A26" s="10"/>
      <c r="B26" s="67" t="s">
        <v>43</v>
      </c>
      <c r="C26" s="275">
        <f>SUM(C23:C25)</f>
        <v>-356106.1</v>
      </c>
      <c r="D26" s="9"/>
      <c r="E26" s="247"/>
      <c r="F26" s="9"/>
      <c r="G26" s="275">
        <f>IF(G$4="","",SUM(G23:G25))</f>
        <v>-508723</v>
      </c>
      <c r="H26" s="275">
        <f t="shared" ref="H26:Q26" si="10">IF(H$4="","",SUM(H23:H25))</f>
        <v>-411372</v>
      </c>
      <c r="I26" s="275">
        <f t="shared" si="10"/>
        <v>-522821</v>
      </c>
      <c r="J26" s="275">
        <f t="shared" si="10"/>
        <v>-569426</v>
      </c>
      <c r="K26" s="275">
        <f t="shared" si="10"/>
        <v>-445423</v>
      </c>
      <c r="L26" s="275">
        <f t="shared" si="10"/>
        <v>-426069</v>
      </c>
      <c r="M26" s="275">
        <f t="shared" si="10"/>
        <v>-368220</v>
      </c>
      <c r="N26" s="275">
        <f t="shared" si="10"/>
        <v>-543146</v>
      </c>
      <c r="O26" s="275">
        <f t="shared" si="10"/>
        <v>-482820</v>
      </c>
      <c r="P26" s="275">
        <f t="shared" si="10"/>
        <v>-453603</v>
      </c>
      <c r="Q26" s="275" t="str">
        <f t="shared" si="10"/>
        <v/>
      </c>
    </row>
    <row r="27" spans="1:17" ht="15.75" customHeight="1">
      <c r="A27" s="10"/>
      <c r="E27" s="242"/>
    </row>
    <row r="28" spans="1:17" ht="15.75" customHeight="1">
      <c r="A28" s="10"/>
      <c r="B28" s="61" t="s">
        <v>175</v>
      </c>
      <c r="E28" s="242"/>
    </row>
    <row r="29" spans="1:17" ht="15.75" customHeight="1">
      <c r="A29" s="10"/>
      <c r="B29" s="25" t="s">
        <v>40</v>
      </c>
      <c r="C29" s="60">
        <f>G29</f>
        <v>0.22485179187902291</v>
      </c>
      <c r="D29" s="25"/>
      <c r="E29" s="240"/>
      <c r="F29" s="25"/>
      <c r="G29" s="13">
        <f t="shared" ref="G29:Q29" si="11">IF(G$4="","",ABS(G23/G$4))</f>
        <v>0.22485179187902291</v>
      </c>
      <c r="H29" s="13">
        <f t="shared" si="11"/>
        <v>0.13792579914452999</v>
      </c>
      <c r="I29" s="13">
        <f t="shared" si="11"/>
        <v>0.22087873326254154</v>
      </c>
      <c r="J29" s="13">
        <f t="shared" si="11"/>
        <v>0.22198527160846282</v>
      </c>
      <c r="K29" s="13">
        <f t="shared" si="11"/>
        <v>0.21629748850352729</v>
      </c>
      <c r="L29" s="13">
        <f t="shared" si="11"/>
        <v>0.20933937254062793</v>
      </c>
      <c r="M29" s="13">
        <f t="shared" si="11"/>
        <v>0.1964174870813826</v>
      </c>
      <c r="N29" s="13">
        <f t="shared" si="11"/>
        <v>0.19788411652252086</v>
      </c>
      <c r="O29" s="13">
        <f t="shared" si="11"/>
        <v>0.2092864383448178</v>
      </c>
      <c r="P29" s="13">
        <f t="shared" si="11"/>
        <v>0.22398010758511139</v>
      </c>
      <c r="Q29" s="13" t="str">
        <f t="shared" si="11"/>
        <v/>
      </c>
    </row>
    <row r="30" spans="1:17" ht="15.75" customHeight="1">
      <c r="A30" s="10"/>
      <c r="B30" s="65" t="str">
        <f>B24</f>
        <v>Selling Expenses</v>
      </c>
      <c r="C30" s="60">
        <f>G30</f>
        <v>2.0022777552077417E-2</v>
      </c>
      <c r="D30" s="25"/>
      <c r="E30" s="240"/>
      <c r="F30" s="25"/>
      <c r="G30" s="13">
        <f t="shared" ref="G30:Q30" si="12">IF(G$4="","",ABS(G24/G$4))</f>
        <v>2.0022777552077417E-2</v>
      </c>
      <c r="H30" s="13">
        <f t="shared" si="12"/>
        <v>1.8606720093271422E-2</v>
      </c>
      <c r="I30" s="13">
        <f t="shared" si="12"/>
        <v>1.9872206355974739E-2</v>
      </c>
      <c r="J30" s="13">
        <f t="shared" si="12"/>
        <v>2.2839841640554328E-2</v>
      </c>
      <c r="K30" s="13">
        <f t="shared" si="12"/>
        <v>1.9060129339611327E-2</v>
      </c>
      <c r="L30" s="13">
        <f t="shared" si="12"/>
        <v>2.0896759599994381E-2</v>
      </c>
      <c r="M30" s="13">
        <f t="shared" si="12"/>
        <v>2.6570596845271511E-2</v>
      </c>
      <c r="N30" s="13">
        <f t="shared" si="12"/>
        <v>0.16980005523934341</v>
      </c>
      <c r="O30" s="13">
        <f t="shared" si="12"/>
        <v>0.17159006196480903</v>
      </c>
      <c r="P30" s="13">
        <f t="shared" si="12"/>
        <v>0.18542366150402542</v>
      </c>
      <c r="Q30" s="13" t="str">
        <f t="shared" si="12"/>
        <v/>
      </c>
    </row>
    <row r="31" spans="1:17" ht="15.75" customHeight="1">
      <c r="A31" s="10"/>
      <c r="B31" s="26" t="str">
        <f>B25</f>
        <v>R&amp;D</v>
      </c>
      <c r="C31" s="60">
        <v>0</v>
      </c>
      <c r="D31" s="26"/>
      <c r="E31" s="239"/>
      <c r="F31" s="26"/>
      <c r="G31" s="13">
        <f t="shared" ref="G31:Q31" si="13">IF(G$4="","",ABS(G25/G$4))</f>
        <v>0</v>
      </c>
      <c r="H31" s="13">
        <f t="shared" si="13"/>
        <v>0</v>
      </c>
      <c r="I31" s="13">
        <f t="shared" si="13"/>
        <v>0</v>
      </c>
      <c r="J31" s="13">
        <f t="shared" si="13"/>
        <v>0</v>
      </c>
      <c r="K31" s="13">
        <f t="shared" si="13"/>
        <v>0</v>
      </c>
      <c r="L31" s="13">
        <f t="shared" si="13"/>
        <v>0</v>
      </c>
      <c r="M31" s="13">
        <f t="shared" si="13"/>
        <v>0</v>
      </c>
      <c r="N31" s="13">
        <f t="shared" si="13"/>
        <v>0</v>
      </c>
      <c r="O31" s="13">
        <f t="shared" si="13"/>
        <v>0</v>
      </c>
      <c r="P31" s="13">
        <f t="shared" si="13"/>
        <v>0</v>
      </c>
      <c r="Q31" s="13" t="str">
        <f t="shared" si="13"/>
        <v/>
      </c>
    </row>
    <row r="32" spans="1:17" ht="15.75" customHeight="1">
      <c r="A32" s="10"/>
      <c r="B32" s="67" t="s">
        <v>43</v>
      </c>
      <c r="C32" s="68">
        <f>ABS(C26/$C$4)</f>
        <v>0.24487456943110034</v>
      </c>
      <c r="E32" s="242"/>
      <c r="G32" s="29">
        <f t="shared" ref="G32:Q32" si="14">IF(G$4="","",ABS(G26/G$4))</f>
        <v>0.24487456943110031</v>
      </c>
      <c r="H32" s="29">
        <f t="shared" si="14"/>
        <v>0.1565325192378014</v>
      </c>
      <c r="I32" s="29">
        <f t="shared" si="14"/>
        <v>0.24075093961851626</v>
      </c>
      <c r="J32" s="29">
        <f t="shared" si="14"/>
        <v>0.24482511324901712</v>
      </c>
      <c r="K32" s="29">
        <f t="shared" si="14"/>
        <v>0.23535761784313861</v>
      </c>
      <c r="L32" s="29">
        <f t="shared" si="14"/>
        <v>0.2302361321406223</v>
      </c>
      <c r="M32" s="29">
        <f t="shared" si="14"/>
        <v>0.22298808392665412</v>
      </c>
      <c r="N32" s="29">
        <f t="shared" si="14"/>
        <v>0.3676841717618643</v>
      </c>
      <c r="O32" s="29">
        <f t="shared" si="14"/>
        <v>0.38087650030962683</v>
      </c>
      <c r="P32" s="29">
        <f t="shared" si="14"/>
        <v>0.40940376908913678</v>
      </c>
      <c r="Q32" s="29" t="str">
        <f t="shared" si="14"/>
        <v/>
      </c>
    </row>
    <row r="33" spans="1:17" ht="15.75" customHeight="1">
      <c r="A33" s="10"/>
      <c r="E33" s="242"/>
    </row>
    <row r="34" spans="1:17" ht="15.75" customHeight="1">
      <c r="A34" s="10"/>
      <c r="B34" s="61" t="s">
        <v>42</v>
      </c>
      <c r="E34" s="242"/>
    </row>
    <row r="35" spans="1:17" ht="15.75" customHeight="1">
      <c r="A35" s="10"/>
      <c r="B35" s="306" t="s">
        <v>399</v>
      </c>
      <c r="C35" s="284">
        <f>G35</f>
        <v>-486720</v>
      </c>
      <c r="D35" s="55"/>
      <c r="E35" s="241"/>
      <c r="F35" s="55"/>
      <c r="G35" s="275">
        <f>IF(G4="","",Data!C41)</f>
        <v>-486720</v>
      </c>
      <c r="H35" s="275">
        <f>IF(H4="","",Data!D41)</f>
        <v>-506360</v>
      </c>
      <c r="I35" s="275">
        <f>IF(I4="","",Data!E41)</f>
        <v>-463624</v>
      </c>
      <c r="J35" s="275">
        <f>IF(J4="","",Data!F41)</f>
        <v>-469616</v>
      </c>
      <c r="K35" s="275">
        <f>IF(K4="","",Data!G41)</f>
        <v>-385805</v>
      </c>
      <c r="L35" s="275">
        <f>IF(L4="","",Data!H41)</f>
        <v>-416125</v>
      </c>
      <c r="M35" s="275">
        <f>IF(M4="","",Data!I41)</f>
        <v>-401192</v>
      </c>
      <c r="N35" s="275">
        <f>IF(N4="","",Data!J41)</f>
        <v>-292896</v>
      </c>
      <c r="O35" s="275">
        <f>IF(O4="","",Data!K41)</f>
        <v>-278874</v>
      </c>
      <c r="P35" s="275">
        <f>IF(P4="","",Data!L41)</f>
        <v>-250135</v>
      </c>
      <c r="Q35" s="275" t="str">
        <f>IF(Q4="","",Data!M41)</f>
        <v/>
      </c>
    </row>
    <row r="36" spans="1:17" ht="15.75" customHeight="1">
      <c r="A36" s="10"/>
      <c r="E36" s="242"/>
    </row>
    <row r="37" spans="1:17" ht="15.75" customHeight="1">
      <c r="A37" s="10"/>
      <c r="B37" s="61" t="s">
        <v>176</v>
      </c>
      <c r="E37" s="242"/>
    </row>
    <row r="38" spans="1:17" ht="15.75" customHeight="1">
      <c r="A38" s="10"/>
      <c r="B38" s="306" t="s">
        <v>399</v>
      </c>
      <c r="C38" s="68">
        <f>ABS(C35/$C$4)</f>
        <v>0.33469056113755186</v>
      </c>
      <c r="E38" s="242"/>
      <c r="G38" s="29">
        <f t="shared" ref="G38:Q38" si="15">IF(G$4="","",ABS(G35/G$4))</f>
        <v>0.23428339279628627</v>
      </c>
      <c r="H38" s="29">
        <f t="shared" si="15"/>
        <v>0.19267671703774958</v>
      </c>
      <c r="I38" s="29">
        <f t="shared" si="15"/>
        <v>0.21349164174678328</v>
      </c>
      <c r="J38" s="29">
        <f t="shared" si="15"/>
        <v>0.20191173283894734</v>
      </c>
      <c r="K38" s="29">
        <f t="shared" si="15"/>
        <v>0.20385598802031346</v>
      </c>
      <c r="L38" s="29">
        <f t="shared" si="15"/>
        <v>0.22486266423282722</v>
      </c>
      <c r="M38" s="29">
        <f t="shared" si="15"/>
        <v>0.24295539451062467</v>
      </c>
      <c r="N38" s="29">
        <f t="shared" si="15"/>
        <v>0.1982767491104841</v>
      </c>
      <c r="O38" s="29">
        <f t="shared" si="15"/>
        <v>0.21999203253251082</v>
      </c>
      <c r="P38" s="29">
        <f t="shared" si="15"/>
        <v>0.22576176035235929</v>
      </c>
      <c r="Q38" s="29" t="str">
        <f t="shared" si="15"/>
        <v/>
      </c>
    </row>
    <row r="39" spans="1:17" ht="15.75" customHeight="1">
      <c r="A39" s="10"/>
      <c r="E39" s="242"/>
    </row>
    <row r="40" spans="1:17" ht="15.75" customHeight="1">
      <c r="A40" s="10"/>
      <c r="B40" s="61" t="s">
        <v>177</v>
      </c>
      <c r="E40" s="242"/>
    </row>
    <row r="41" spans="1:17" ht="15.75" customHeight="1">
      <c r="A41" s="10"/>
      <c r="B41" s="26" t="s">
        <v>142</v>
      </c>
      <c r="C41" s="237">
        <v>0.25</v>
      </c>
      <c r="D41" s="26"/>
      <c r="E41" s="239" t="s">
        <v>408</v>
      </c>
      <c r="F41" s="26"/>
      <c r="G41" s="6">
        <f t="shared" ref="G41:Q41" si="16">IF(G$4="","",-G12/SUM(G8+G9,G10))</f>
        <v>0.29294588222251955</v>
      </c>
      <c r="H41" s="6">
        <f t="shared" si="16"/>
        <v>0.2696974969576737</v>
      </c>
      <c r="I41" s="6">
        <f t="shared" si="16"/>
        <v>0.24001036864984149</v>
      </c>
      <c r="J41" s="6">
        <f t="shared" si="16"/>
        <v>0.22838713137321243</v>
      </c>
      <c r="K41" s="6">
        <f t="shared" si="16"/>
        <v>0.21181454817891057</v>
      </c>
      <c r="L41" s="6">
        <f t="shared" si="16"/>
        <v>0.21196979969430615</v>
      </c>
      <c r="M41" s="6">
        <f t="shared" si="16"/>
        <v>0.18216700206274311</v>
      </c>
      <c r="N41" s="6">
        <f t="shared" si="16"/>
        <v>0.21504076015329587</v>
      </c>
      <c r="O41" s="6">
        <f t="shared" si="16"/>
        <v>0.21780445211666233</v>
      </c>
      <c r="P41" s="6">
        <f t="shared" si="16"/>
        <v>0.23822280745567234</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42"/>
    </row>
    <row r="45" spans="1:17" ht="15.75" customHeight="1">
      <c r="A45" s="10"/>
      <c r="B45" s="2" t="s">
        <v>37</v>
      </c>
      <c r="C45" s="274">
        <f>-BS!G31*Normalized_FCF!C52</f>
        <v>-8088.24</v>
      </c>
      <c r="E45" s="242"/>
      <c r="G45" s="274">
        <f>Data!C51</f>
        <v>-16422</v>
      </c>
      <c r="H45" s="274">
        <f>Data!D51</f>
        <v>-7392</v>
      </c>
      <c r="I45" s="274">
        <f>Data!E51</f>
        <v>-5008</v>
      </c>
      <c r="J45" s="274">
        <f>Data!F51</f>
        <v>-7246</v>
      </c>
      <c r="K45" s="274">
        <f>Data!G51</f>
        <v>-9525</v>
      </c>
      <c r="L45" s="274">
        <f>Data!H51</f>
        <v>-11128</v>
      </c>
      <c r="M45" s="274">
        <f>Data!I51</f>
        <v>-8293</v>
      </c>
      <c r="N45" s="274">
        <f>Data!J51</f>
        <v>-15585</v>
      </c>
      <c r="O45" s="274">
        <f>Data!K51</f>
        <v>-8256</v>
      </c>
      <c r="P45" s="274">
        <f>Data!L51</f>
        <v>-7799</v>
      </c>
      <c r="Q45" s="274" t="str">
        <f>Data!M51</f>
        <v/>
      </c>
    </row>
    <row r="46" spans="1:17" ht="15.75" customHeight="1">
      <c r="A46" s="10"/>
      <c r="B46" s="2" t="s">
        <v>273</v>
      </c>
      <c r="C46" s="274">
        <f>BS!D75*C51</f>
        <v>3636.4450703472003</v>
      </c>
      <c r="E46" s="242"/>
      <c r="G46" s="282">
        <f t="shared" ref="G46:Q46" si="17">IFERROR(IF(G$4="","",($C$46/$C$47)*G47),0)</f>
        <v>6253.5936551857167</v>
      </c>
      <c r="H46" s="282">
        <f t="shared" si="17"/>
        <v>4971.9667862351798</v>
      </c>
      <c r="I46" s="282">
        <f t="shared" si="17"/>
        <v>0</v>
      </c>
      <c r="J46" s="282">
        <f t="shared" si="17"/>
        <v>0</v>
      </c>
      <c r="K46" s="282">
        <f t="shared" si="17"/>
        <v>0</v>
      </c>
      <c r="L46" s="282">
        <f t="shared" si="17"/>
        <v>0</v>
      </c>
      <c r="M46" s="282">
        <f t="shared" si="17"/>
        <v>0</v>
      </c>
      <c r="N46" s="282">
        <f t="shared" si="17"/>
        <v>0</v>
      </c>
      <c r="O46" s="282">
        <f t="shared" si="17"/>
        <v>0</v>
      </c>
      <c r="P46" s="282">
        <f t="shared" si="17"/>
        <v>0</v>
      </c>
      <c r="Q46" s="282" t="str">
        <f t="shared" si="17"/>
        <v/>
      </c>
    </row>
    <row r="47" spans="1:17" ht="15.75" customHeight="1">
      <c r="A47" s="10"/>
      <c r="B47" s="252" t="s">
        <v>270</v>
      </c>
      <c r="C47" s="286">
        <f>BS!$C$66*C51</f>
        <v>12683.028</v>
      </c>
      <c r="D47" s="253"/>
      <c r="E47" s="254"/>
      <c r="F47" s="253"/>
      <c r="G47" s="286">
        <f>Data!C52</f>
        <v>21811</v>
      </c>
      <c r="H47" s="286">
        <f>Data!D52</f>
        <v>17341</v>
      </c>
      <c r="I47" s="286">
        <f>Data!E52</f>
        <v>0</v>
      </c>
      <c r="J47" s="286">
        <f>Data!F52</f>
        <v>0</v>
      </c>
      <c r="K47" s="286">
        <f>Data!G52</f>
        <v>0</v>
      </c>
      <c r="L47" s="286">
        <f>Data!H52</f>
        <v>0</v>
      </c>
      <c r="M47" s="286">
        <f>Data!I52</f>
        <v>0</v>
      </c>
      <c r="N47" s="286">
        <f>Data!J52</f>
        <v>0</v>
      </c>
      <c r="O47" s="286">
        <f>Data!K52</f>
        <v>0</v>
      </c>
      <c r="P47" s="286">
        <f>Data!L52</f>
        <v>0</v>
      </c>
      <c r="Q47" s="286" t="str">
        <f>Data!M52</f>
        <v/>
      </c>
    </row>
    <row r="48" spans="1:17" ht="15.75" customHeight="1">
      <c r="A48" s="10"/>
      <c r="B48" s="67" t="s">
        <v>65</v>
      </c>
      <c r="C48" s="275">
        <f>C45+C46</f>
        <v>-4451.7949296527995</v>
      </c>
      <c r="E48" s="242"/>
      <c r="G48" s="275">
        <f>IF(G$4="","",(G45+G46))</f>
        <v>-10168.406344814284</v>
      </c>
      <c r="H48" s="275">
        <f t="shared" ref="H48:Q48" si="18">IF(H$4="","",(H45+H46))</f>
        <v>-2420.0332137648202</v>
      </c>
      <c r="I48" s="275">
        <f t="shared" si="18"/>
        <v>-5008</v>
      </c>
      <c r="J48" s="275">
        <f t="shared" si="18"/>
        <v>-7246</v>
      </c>
      <c r="K48" s="275">
        <f t="shared" si="18"/>
        <v>-9525</v>
      </c>
      <c r="L48" s="275">
        <f t="shared" si="18"/>
        <v>-11128</v>
      </c>
      <c r="M48" s="275">
        <f t="shared" si="18"/>
        <v>-8293</v>
      </c>
      <c r="N48" s="275">
        <f t="shared" si="18"/>
        <v>-15585</v>
      </c>
      <c r="O48" s="275">
        <f t="shared" si="18"/>
        <v>-8256</v>
      </c>
      <c r="P48" s="275">
        <f t="shared" si="18"/>
        <v>-7799</v>
      </c>
      <c r="Q48" s="275" t="str">
        <f t="shared" si="18"/>
        <v/>
      </c>
    </row>
    <row r="49" spans="1:17" ht="15.75" customHeight="1">
      <c r="A49" s="10"/>
      <c r="E49" s="242"/>
    </row>
    <row r="50" spans="1:17" ht="15.75" customHeight="1">
      <c r="A50" s="10"/>
      <c r="B50" s="69" t="s">
        <v>130</v>
      </c>
      <c r="E50" s="242"/>
      <c r="G50" s="94" t="s">
        <v>188</v>
      </c>
    </row>
    <row r="51" spans="1:17" ht="15.75" customHeight="1">
      <c r="A51" s="10"/>
      <c r="B51" s="8" t="s">
        <v>85</v>
      </c>
      <c r="C51" s="84">
        <v>6.0000000000000001E-3</v>
      </c>
      <c r="E51" s="239"/>
      <c r="G51" s="6">
        <f>IF(Normalized_FCF!G4="","",Normalized_FCF!G47/BS!$C$66)</f>
        <v>1.0318198461755348E-2</v>
      </c>
      <c r="H51" s="152"/>
      <c r="I51" s="152"/>
      <c r="J51" s="152"/>
      <c r="K51" s="152"/>
      <c r="L51" s="152"/>
      <c r="M51" s="152"/>
      <c r="N51" s="152"/>
      <c r="O51" s="152"/>
      <c r="P51" s="152"/>
      <c r="Q51" s="152"/>
    </row>
    <row r="52" spans="1:17" ht="15.75" customHeight="1">
      <c r="A52" s="10"/>
      <c r="B52" s="8" t="s">
        <v>84</v>
      </c>
      <c r="C52" s="79">
        <v>0.06</v>
      </c>
      <c r="E52" s="239"/>
      <c r="G52" s="22">
        <f>IFERROR(ABS(Normalized_FCF!G45/BS!$G$31),0)</f>
        <v>0.12182131094032818</v>
      </c>
      <c r="H52" s="152"/>
      <c r="I52" s="152"/>
      <c r="J52" s="152"/>
      <c r="K52" s="152"/>
      <c r="L52" s="152"/>
      <c r="M52" s="152"/>
      <c r="N52" s="152"/>
      <c r="O52" s="152"/>
      <c r="P52" s="152"/>
      <c r="Q52" s="152"/>
    </row>
    <row r="53" spans="1:17" ht="15.75" customHeight="1">
      <c r="A53" s="10"/>
      <c r="B53" s="25" t="s">
        <v>87</v>
      </c>
      <c r="C53" s="40">
        <f>-C8/C45</f>
        <v>75.592798927826053</v>
      </c>
      <c r="E53" s="242"/>
      <c r="G53" s="40">
        <f t="shared" ref="G53:Q53" si="19">IF(G4="","",-G8/G45)</f>
        <v>65.889721105833644</v>
      </c>
      <c r="H53" s="40">
        <f t="shared" si="19"/>
        <v>231.37134740259739</v>
      </c>
      <c r="I53" s="40">
        <f t="shared" si="19"/>
        <v>236.65754792332268</v>
      </c>
      <c r="J53" s="40">
        <f t="shared" si="19"/>
        <v>177.58846260005521</v>
      </c>
      <c r="K53" s="40">
        <f t="shared" si="19"/>
        <v>111.42351706036746</v>
      </c>
      <c r="L53" s="40">
        <f t="shared" si="19"/>
        <v>90.616462976276054</v>
      </c>
      <c r="M53" s="40">
        <f t="shared" si="19"/>
        <v>106.3411310744001</v>
      </c>
      <c r="N53" s="40">
        <f t="shared" si="19"/>
        <v>41.139942252165547</v>
      </c>
      <c r="O53" s="40">
        <f t="shared" si="19"/>
        <v>61.284035852713181</v>
      </c>
      <c r="P53" s="40">
        <f t="shared" si="19"/>
        <v>51.829978202333635</v>
      </c>
      <c r="Q53" s="40" t="str">
        <f t="shared" si="19"/>
        <v/>
      </c>
    </row>
    <row r="54" spans="1:17" ht="15.75" customHeight="1">
      <c r="A54" s="10"/>
      <c r="E54" s="242"/>
    </row>
    <row r="55" spans="1:17" ht="15.75" customHeight="1">
      <c r="A55" s="10"/>
      <c r="B55" s="61" t="s">
        <v>139</v>
      </c>
      <c r="E55" s="242"/>
      <c r="G55" s="94" t="s">
        <v>188</v>
      </c>
    </row>
    <row r="56" spans="1:17" ht="15.75" customHeight="1">
      <c r="A56" s="10"/>
      <c r="B56" s="38" t="s">
        <v>138</v>
      </c>
      <c r="C56" s="274">
        <f>BS!$C67*C64</f>
        <v>0</v>
      </c>
      <c r="E56" s="242"/>
      <c r="G56" s="274">
        <f>Data!C56</f>
        <v>0</v>
      </c>
      <c r="H56" s="274">
        <f>Data!D56</f>
        <v>0</v>
      </c>
      <c r="I56" s="274">
        <f>Data!E56</f>
        <v>0</v>
      </c>
      <c r="J56" s="274">
        <f>Data!F56</f>
        <v>0</v>
      </c>
      <c r="K56" s="274">
        <f>Data!G56</f>
        <v>0</v>
      </c>
      <c r="L56" s="274">
        <f>Data!H56</f>
        <v>0</v>
      </c>
      <c r="M56" s="274">
        <f>Data!I56</f>
        <v>0</v>
      </c>
      <c r="N56" s="274">
        <f>Data!J56</f>
        <v>0</v>
      </c>
      <c r="O56" s="274">
        <f>Data!K56</f>
        <v>0</v>
      </c>
      <c r="P56" s="274">
        <f>Data!L56</f>
        <v>0</v>
      </c>
      <c r="Q56" s="274" t="str">
        <f>Data!M56</f>
        <v/>
      </c>
    </row>
    <row r="57" spans="1:17" ht="15.75" customHeight="1">
      <c r="A57" s="10"/>
      <c r="B57" s="38" t="s">
        <v>134</v>
      </c>
      <c r="C57" s="274">
        <f>BS!$C68*C65</f>
        <v>-2798</v>
      </c>
      <c r="E57" s="242"/>
      <c r="G57" s="274">
        <f>Data!C55</f>
        <v>-2798</v>
      </c>
      <c r="H57" s="274">
        <f>Data!D55</f>
        <v>-18436</v>
      </c>
      <c r="I57" s="274">
        <f>Data!E55</f>
        <v>-7407</v>
      </c>
      <c r="J57" s="274">
        <f>Data!F55</f>
        <v>-11577</v>
      </c>
      <c r="K57" s="274">
        <f>Data!G55</f>
        <v>4</v>
      </c>
      <c r="L57" s="274">
        <f>Data!H55</f>
        <v>-176</v>
      </c>
      <c r="M57" s="274">
        <f>Data!I55</f>
        <v>0</v>
      </c>
      <c r="N57" s="274">
        <f>Data!J55</f>
        <v>398</v>
      </c>
      <c r="O57" s="274">
        <f>Data!K55</f>
        <v>485</v>
      </c>
      <c r="P57" s="274">
        <f>Data!L55</f>
        <v>0</v>
      </c>
      <c r="Q57" s="274" t="str">
        <f>Data!M55</f>
        <v/>
      </c>
    </row>
    <row r="58" spans="1:17" ht="15.75" customHeight="1">
      <c r="A58" s="10"/>
      <c r="B58" s="38" t="s">
        <v>133</v>
      </c>
      <c r="C58" s="274">
        <f>BS!$C69*C66</f>
        <v>0</v>
      </c>
      <c r="E58" s="242"/>
      <c r="G58" s="274">
        <f>Data!C57</f>
        <v>0</v>
      </c>
      <c r="H58" s="274">
        <f>Data!D57</f>
        <v>0</v>
      </c>
      <c r="I58" s="274">
        <f>Data!E57</f>
        <v>0</v>
      </c>
      <c r="J58" s="274">
        <f>Data!F57</f>
        <v>0</v>
      </c>
      <c r="K58" s="274">
        <f>Data!G57</f>
        <v>0</v>
      </c>
      <c r="L58" s="274">
        <f>Data!H57</f>
        <v>0</v>
      </c>
      <c r="M58" s="274">
        <f>Data!I57</f>
        <v>0</v>
      </c>
      <c r="N58" s="274">
        <f>Data!J57</f>
        <v>0</v>
      </c>
      <c r="O58" s="274">
        <f>Data!K57</f>
        <v>0</v>
      </c>
      <c r="P58" s="274">
        <f>Data!L57</f>
        <v>0</v>
      </c>
      <c r="Q58" s="274" t="str">
        <f>Data!M57</f>
        <v/>
      </c>
    </row>
    <row r="59" spans="1:17" ht="15.75" customHeight="1">
      <c r="A59" s="10"/>
      <c r="B59" s="30" t="s">
        <v>163</v>
      </c>
      <c r="C59" s="275">
        <f>SUM(C56:C58)</f>
        <v>-2798</v>
      </c>
      <c r="E59" s="242"/>
      <c r="G59" s="275">
        <f t="shared" ref="G59:Q59" si="20">IF(G4="","",SUM(G56:G58))</f>
        <v>-2798</v>
      </c>
      <c r="H59" s="275">
        <f t="shared" si="20"/>
        <v>-18436</v>
      </c>
      <c r="I59" s="275">
        <f t="shared" si="20"/>
        <v>-7407</v>
      </c>
      <c r="J59" s="275">
        <f t="shared" si="20"/>
        <v>-11577</v>
      </c>
      <c r="K59" s="275">
        <f t="shared" si="20"/>
        <v>4</v>
      </c>
      <c r="L59" s="275">
        <f t="shared" si="20"/>
        <v>-176</v>
      </c>
      <c r="M59" s="275">
        <f t="shared" si="20"/>
        <v>0</v>
      </c>
      <c r="N59" s="275">
        <f t="shared" si="20"/>
        <v>398</v>
      </c>
      <c r="O59" s="275">
        <f t="shared" si="20"/>
        <v>485</v>
      </c>
      <c r="P59" s="275">
        <f t="shared" si="20"/>
        <v>0</v>
      </c>
      <c r="Q59" s="275" t="str">
        <f t="shared" si="20"/>
        <v/>
      </c>
    </row>
    <row r="60" spans="1:17" ht="15.75" customHeight="1">
      <c r="A60" s="10"/>
      <c r="B60" s="38" t="s">
        <v>135</v>
      </c>
      <c r="C60" s="287">
        <v>0</v>
      </c>
      <c r="E60" s="240" t="s">
        <v>265</v>
      </c>
      <c r="G60" s="274">
        <f>Data!C58</f>
        <v>-274123</v>
      </c>
      <c r="H60" s="274">
        <f>Data!D58</f>
        <v>-270256</v>
      </c>
      <c r="I60" s="274">
        <f>Data!E58</f>
        <v>-80561</v>
      </c>
      <c r="J60" s="274">
        <f>Data!F58</f>
        <v>-88748</v>
      </c>
      <c r="K60" s="274">
        <f>Data!G58</f>
        <v>-71699</v>
      </c>
      <c r="L60" s="274">
        <f>Data!H58</f>
        <v>-50407</v>
      </c>
      <c r="M60" s="274">
        <f>Data!I58</f>
        <v>-98821</v>
      </c>
      <c r="N60" s="274">
        <f>Data!J58</f>
        <v>58805</v>
      </c>
      <c r="O60" s="274">
        <f>Data!K58</f>
        <v>58823</v>
      </c>
      <c r="P60" s="274">
        <f>Data!L58</f>
        <v>63183</v>
      </c>
      <c r="Q60" s="274" t="str">
        <f>Data!M58</f>
        <v/>
      </c>
    </row>
    <row r="61" spans="1:17" ht="15.75" customHeight="1">
      <c r="A61" s="10"/>
      <c r="B61" s="30" t="s">
        <v>164</v>
      </c>
      <c r="C61" s="275">
        <f>C59+C60</f>
        <v>-2798</v>
      </c>
      <c r="E61" s="242"/>
      <c r="G61" s="275">
        <f t="shared" ref="G61:Q61" si="21">IF(G4="","",G59+G60)</f>
        <v>-276921</v>
      </c>
      <c r="H61" s="275">
        <f t="shared" si="21"/>
        <v>-288692</v>
      </c>
      <c r="I61" s="275">
        <f t="shared" si="21"/>
        <v>-87968</v>
      </c>
      <c r="J61" s="275">
        <f t="shared" si="21"/>
        <v>-100325</v>
      </c>
      <c r="K61" s="275">
        <f t="shared" si="21"/>
        <v>-71695</v>
      </c>
      <c r="L61" s="275">
        <f t="shared" si="21"/>
        <v>-50583</v>
      </c>
      <c r="M61" s="275">
        <f t="shared" si="21"/>
        <v>-98821</v>
      </c>
      <c r="N61" s="275">
        <f t="shared" si="21"/>
        <v>59203</v>
      </c>
      <c r="O61" s="275">
        <f t="shared" si="21"/>
        <v>59308</v>
      </c>
      <c r="P61" s="275">
        <f t="shared" si="21"/>
        <v>63183</v>
      </c>
      <c r="Q61" s="275" t="str">
        <f t="shared" si="21"/>
        <v/>
      </c>
    </row>
    <row r="62" spans="1:17" ht="15.75" customHeight="1">
      <c r="A62" s="10"/>
      <c r="E62" s="242"/>
    </row>
    <row r="63" spans="1:17" ht="15.75" customHeight="1">
      <c r="A63" s="10"/>
      <c r="B63" s="93" t="s">
        <v>140</v>
      </c>
      <c r="E63" s="242"/>
      <c r="G63" s="94" t="s">
        <v>188</v>
      </c>
    </row>
    <row r="64" spans="1:17" ht="15.75" customHeight="1">
      <c r="A64" s="10"/>
      <c r="B64" s="38" t="s">
        <v>138</v>
      </c>
      <c r="C64" s="159">
        <f>G64</f>
        <v>0</v>
      </c>
      <c r="E64" s="242"/>
      <c r="G64" s="22">
        <f>IFERROR(G56/BS!$C$67,0)</f>
        <v>0</v>
      </c>
      <c r="H64" s="158"/>
      <c r="I64" s="158"/>
      <c r="J64" s="158"/>
      <c r="K64" s="158"/>
      <c r="L64" s="158"/>
      <c r="M64" s="158"/>
      <c r="N64" s="158"/>
      <c r="O64" s="158"/>
      <c r="P64" s="158"/>
      <c r="Q64" s="158"/>
    </row>
    <row r="65" spans="1:17" ht="15.75" customHeight="1">
      <c r="A65" s="10"/>
      <c r="B65" s="102" t="s">
        <v>132</v>
      </c>
      <c r="C65" s="159">
        <f>G65</f>
        <v>-4.289174356930435E-2</v>
      </c>
      <c r="E65" s="242"/>
      <c r="G65" s="22">
        <f>IFERROR(G57/BS!$C$68,0)</f>
        <v>-4.289174356930435E-2</v>
      </c>
      <c r="H65" s="158"/>
      <c r="I65" s="158"/>
      <c r="J65" s="158"/>
      <c r="K65" s="158"/>
      <c r="L65" s="158"/>
      <c r="M65" s="158"/>
      <c r="N65" s="158"/>
      <c r="O65" s="158"/>
      <c r="P65" s="158"/>
      <c r="Q65" s="158"/>
    </row>
    <row r="66" spans="1:17" ht="15.75" customHeight="1">
      <c r="A66" s="10"/>
      <c r="B66" s="102" t="s">
        <v>133</v>
      </c>
      <c r="C66" s="159">
        <f>G66</f>
        <v>0</v>
      </c>
      <c r="E66" s="242"/>
      <c r="G66" s="22">
        <f>IFERROR(G58/BS!$C$69,0)</f>
        <v>0</v>
      </c>
      <c r="H66" s="158"/>
      <c r="I66" s="158"/>
      <c r="J66" s="158"/>
      <c r="K66" s="158"/>
      <c r="L66" s="158"/>
      <c r="M66" s="158"/>
      <c r="N66" s="158"/>
      <c r="O66" s="158"/>
      <c r="P66" s="158"/>
      <c r="Q66" s="158"/>
    </row>
    <row r="67" spans="1:17" ht="15.75" customHeight="1">
      <c r="A67" s="10"/>
      <c r="B67" s="30" t="s">
        <v>163</v>
      </c>
      <c r="C67" s="68">
        <f>C59/BS!C70</f>
        <v>-1.2840328359962406E-3</v>
      </c>
      <c r="D67" s="9"/>
      <c r="E67" s="247"/>
      <c r="F67" s="9"/>
      <c r="G67" s="68">
        <f>G59/BS!C70</f>
        <v>-1.2840328359962406E-3</v>
      </c>
      <c r="H67" s="158"/>
      <c r="I67" s="158"/>
      <c r="J67" s="158"/>
      <c r="K67" s="158"/>
      <c r="L67" s="158"/>
      <c r="M67" s="158"/>
      <c r="N67" s="158"/>
      <c r="O67" s="158"/>
      <c r="P67" s="158"/>
      <c r="Q67" s="158"/>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9"/>
      <c r="F70" s="26"/>
      <c r="G70" s="94"/>
      <c r="H70" s="12"/>
      <c r="I70" s="12"/>
      <c r="J70" s="12"/>
      <c r="K70" s="12"/>
      <c r="L70" s="12"/>
      <c r="M70" s="12"/>
      <c r="N70" s="12"/>
      <c r="O70" s="12"/>
      <c r="P70" s="12"/>
      <c r="Q70" s="12"/>
    </row>
    <row r="71" spans="1:17" ht="15.75" customHeight="1">
      <c r="A71" s="10"/>
      <c r="B71" s="2" t="s">
        <v>43</v>
      </c>
      <c r="C71" s="74">
        <f t="shared" ref="C71:C76" si="22">ABS(C5/C$4)</f>
        <v>0.24487456943110034</v>
      </c>
      <c r="D71" s="26"/>
      <c r="E71" s="239"/>
      <c r="F71" s="26"/>
      <c r="G71" s="6">
        <f t="shared" ref="G71:Q71" si="23">IF(G$4="","",ABS(G5/G$4))</f>
        <v>0.24487456943110031</v>
      </c>
      <c r="H71" s="6">
        <f t="shared" si="23"/>
        <v>0.1565325192378014</v>
      </c>
      <c r="I71" s="6">
        <f t="shared" si="23"/>
        <v>0.24075093961851626</v>
      </c>
      <c r="J71" s="6">
        <f t="shared" si="23"/>
        <v>0.24482511324901712</v>
      </c>
      <c r="K71" s="6">
        <f t="shared" si="23"/>
        <v>0.23535761784313861</v>
      </c>
      <c r="L71" s="6">
        <f t="shared" si="23"/>
        <v>0.2302361321406223</v>
      </c>
      <c r="M71" s="6">
        <f t="shared" si="23"/>
        <v>0.22298808392665412</v>
      </c>
      <c r="N71" s="6">
        <f t="shared" si="23"/>
        <v>0.3676841717618643</v>
      </c>
      <c r="O71" s="6">
        <f t="shared" si="23"/>
        <v>0.38087650030962683</v>
      </c>
      <c r="P71" s="6">
        <f t="shared" si="23"/>
        <v>0.40940376908913678</v>
      </c>
      <c r="Q71" s="6" t="str">
        <f t="shared" si="23"/>
        <v/>
      </c>
    </row>
    <row r="72" spans="1:17" ht="15.75" customHeight="1">
      <c r="A72" s="10"/>
      <c r="B72" s="30" t="s">
        <v>45</v>
      </c>
      <c r="C72" s="75">
        <f t="shared" si="22"/>
        <v>0.75512543056889958</v>
      </c>
      <c r="D72" s="26"/>
      <c r="E72" s="239"/>
      <c r="F72" s="26"/>
      <c r="G72" s="62">
        <f t="shared" ref="G72:Q72" si="24">IF(G$4="","",ABS(G6/G$4))</f>
        <v>0.75512543056889969</v>
      </c>
      <c r="H72" s="62">
        <f t="shared" si="24"/>
        <v>0.84346748076219857</v>
      </c>
      <c r="I72" s="62">
        <f t="shared" si="24"/>
        <v>0.75924906038148376</v>
      </c>
      <c r="J72" s="62">
        <f t="shared" si="24"/>
        <v>0.75517488675098288</v>
      </c>
      <c r="K72" s="62">
        <f t="shared" si="24"/>
        <v>0.76464238215686142</v>
      </c>
      <c r="L72" s="62">
        <f t="shared" si="24"/>
        <v>0.76976386785937767</v>
      </c>
      <c r="M72" s="62">
        <f t="shared" si="24"/>
        <v>0.77701191607334585</v>
      </c>
      <c r="N72" s="62">
        <f t="shared" si="24"/>
        <v>0.6323158282381357</v>
      </c>
      <c r="O72" s="62">
        <f t="shared" si="24"/>
        <v>0.61912349969037317</v>
      </c>
      <c r="P72" s="62">
        <f t="shared" si="24"/>
        <v>0.59059623091086322</v>
      </c>
      <c r="Q72" s="62" t="str">
        <f t="shared" si="24"/>
        <v/>
      </c>
    </row>
    <row r="73" spans="1:17" ht="15.75" customHeight="1">
      <c r="A73" s="10"/>
      <c r="B73" s="8" t="s">
        <v>42</v>
      </c>
      <c r="C73" s="74">
        <f t="shared" si="22"/>
        <v>0.33469056113755186</v>
      </c>
      <c r="D73" s="26"/>
      <c r="E73" s="239"/>
      <c r="F73" s="26"/>
      <c r="G73" s="6">
        <f t="shared" ref="G73:Q73" si="25">IF(G$4="","",ABS(G7/G$4))</f>
        <v>0.23428339279628627</v>
      </c>
      <c r="H73" s="6">
        <f t="shared" si="25"/>
        <v>0.19267671703774958</v>
      </c>
      <c r="I73" s="6">
        <f t="shared" si="25"/>
        <v>0.21349164174678328</v>
      </c>
      <c r="J73" s="6">
        <f t="shared" si="25"/>
        <v>0.20191173283894734</v>
      </c>
      <c r="K73" s="6">
        <f t="shared" si="25"/>
        <v>0.20385598802031346</v>
      </c>
      <c r="L73" s="6">
        <f t="shared" si="25"/>
        <v>0.22486266423282722</v>
      </c>
      <c r="M73" s="6">
        <f t="shared" si="25"/>
        <v>0.24295539451062467</v>
      </c>
      <c r="N73" s="6">
        <f t="shared" si="25"/>
        <v>0.1982767491104841</v>
      </c>
      <c r="O73" s="6">
        <f t="shared" si="25"/>
        <v>0.21999203253251082</v>
      </c>
      <c r="P73" s="6">
        <f t="shared" si="25"/>
        <v>0.22576176035235929</v>
      </c>
      <c r="Q73" s="6" t="str">
        <f t="shared" si="25"/>
        <v/>
      </c>
    </row>
    <row r="74" spans="1:17" ht="15.75" customHeight="1">
      <c r="A74" s="10"/>
      <c r="B74" s="28" t="s">
        <v>127</v>
      </c>
      <c r="C74" s="75">
        <f t="shared" si="22"/>
        <v>0.42043486943134772</v>
      </c>
      <c r="D74" s="26"/>
      <c r="E74" s="239"/>
      <c r="F74" s="26"/>
      <c r="G74" s="62">
        <f t="shared" ref="G74:Q74" si="26">IF(G$4="","",ABS(G8/G$4))</f>
        <v>0.5208420377726134</v>
      </c>
      <c r="H74" s="62">
        <f t="shared" si="26"/>
        <v>0.650790763724449</v>
      </c>
      <c r="I74" s="62">
        <f t="shared" si="26"/>
        <v>0.5457574186347004</v>
      </c>
      <c r="J74" s="62">
        <f t="shared" si="26"/>
        <v>0.55326315391203551</v>
      </c>
      <c r="K74" s="62">
        <f t="shared" si="26"/>
        <v>0.56078639413654796</v>
      </c>
      <c r="L74" s="62">
        <f t="shared" si="26"/>
        <v>0.54490120362655048</v>
      </c>
      <c r="M74" s="62">
        <f t="shared" si="26"/>
        <v>0.53405652156272121</v>
      </c>
      <c r="N74" s="62">
        <f t="shared" si="26"/>
        <v>0.43403907912765161</v>
      </c>
      <c r="O74" s="62">
        <f t="shared" si="26"/>
        <v>0.39913146715786235</v>
      </c>
      <c r="P74" s="62">
        <f t="shared" si="26"/>
        <v>0.36483447055850393</v>
      </c>
      <c r="Q74" s="62" t="str">
        <f t="shared" si="26"/>
        <v/>
      </c>
    </row>
    <row r="75" spans="1:17" ht="15.75" customHeight="1">
      <c r="A75" s="10"/>
      <c r="B75" s="26" t="s">
        <v>128</v>
      </c>
      <c r="C75" s="74">
        <f t="shared" si="22"/>
        <v>1.9240306337583624E-3</v>
      </c>
      <c r="D75" s="26"/>
      <c r="E75" s="239"/>
      <c r="F75" s="26"/>
      <c r="G75" s="6">
        <f t="shared" ref="G75:Q75" si="27">IF(G$4="","",G9/G$4)</f>
        <v>-1.3468214436308534E-3</v>
      </c>
      <c r="H75" s="6">
        <f t="shared" si="27"/>
        <v>-7.0151432879926364E-3</v>
      </c>
      <c r="I75" s="6">
        <f t="shared" si="27"/>
        <v>-3.4108083067710556E-3</v>
      </c>
      <c r="J75" s="6">
        <f t="shared" si="27"/>
        <v>-4.9775393748860627E-3</v>
      </c>
      <c r="K75" s="6">
        <f t="shared" si="27"/>
        <v>2.1135650188080867E-6</v>
      </c>
      <c r="L75" s="6">
        <f t="shared" si="27"/>
        <v>-9.5105626686638853E-5</v>
      </c>
      <c r="M75" s="6">
        <f t="shared" si="27"/>
        <v>0</v>
      </c>
      <c r="N75" s="6">
        <f t="shared" si="27"/>
        <v>2.6942718967132588E-4</v>
      </c>
      <c r="O75" s="6">
        <f t="shared" si="27"/>
        <v>3.825962111142227E-4</v>
      </c>
      <c r="P75" s="6">
        <f t="shared" si="27"/>
        <v>0</v>
      </c>
      <c r="Q75" s="6" t="str">
        <f t="shared" si="27"/>
        <v/>
      </c>
    </row>
    <row r="76" spans="1:17" ht="15.75" customHeight="1">
      <c r="A76" s="10"/>
      <c r="B76" s="2" t="s">
        <v>65</v>
      </c>
      <c r="C76" s="74">
        <f t="shared" si="22"/>
        <v>3.0612544030958326E-3</v>
      </c>
      <c r="D76" s="26"/>
      <c r="E76" s="239"/>
      <c r="F76" s="26"/>
      <c r="G76" s="6">
        <f t="shared" ref="G76:Q76" si="28">IF(G$4="","",ABS(G10/G$4))</f>
        <v>4.8945774527333471E-3</v>
      </c>
      <c r="H76" s="6">
        <f t="shared" si="28"/>
        <v>9.2085483598728182E-4</v>
      </c>
      <c r="I76" s="6">
        <f t="shared" si="28"/>
        <v>2.3061061158781483E-3</v>
      </c>
      <c r="J76" s="6">
        <f t="shared" si="28"/>
        <v>3.115422847924714E-3</v>
      </c>
      <c r="K76" s="6">
        <f t="shared" si="28"/>
        <v>5.0329267010367565E-3</v>
      </c>
      <c r="L76" s="6">
        <f t="shared" si="28"/>
        <v>6.0132693964143015E-3</v>
      </c>
      <c r="M76" s="6">
        <f t="shared" si="28"/>
        <v>5.022106838313352E-3</v>
      </c>
      <c r="N76" s="6">
        <f t="shared" si="28"/>
        <v>1.0550308419667373E-2</v>
      </c>
      <c r="O76" s="6">
        <f t="shared" si="28"/>
        <v>6.5128130287814903E-3</v>
      </c>
      <c r="P76" s="6">
        <f t="shared" si="28"/>
        <v>7.0390627820498932E-3</v>
      </c>
      <c r="Q76" s="6" t="str">
        <f t="shared" si="28"/>
        <v/>
      </c>
    </row>
    <row r="77" spans="1:17" ht="15.75" customHeight="1">
      <c r="A77" s="10"/>
      <c r="B77" s="67" t="s">
        <v>137</v>
      </c>
      <c r="C77" s="75">
        <f>C11/C4</f>
        <v>0.41544958439449353</v>
      </c>
      <c r="D77" s="26"/>
      <c r="E77" s="239"/>
      <c r="F77" s="26"/>
      <c r="G77" s="62">
        <f t="shared" ref="G77:Q77" si="29">IF(G$4="","",G11/G$4)</f>
        <v>0.51460063887624918</v>
      </c>
      <c r="H77" s="62">
        <f t="shared" si="29"/>
        <v>0.64285476560046906</v>
      </c>
      <c r="I77" s="62">
        <f t="shared" si="29"/>
        <v>0.5400405042120513</v>
      </c>
      <c r="J77" s="62">
        <f t="shared" si="29"/>
        <v>0.54517019168922476</v>
      </c>
      <c r="K77" s="62">
        <f t="shared" si="29"/>
        <v>0.55575558100053002</v>
      </c>
      <c r="L77" s="62">
        <f t="shared" si="29"/>
        <v>0.53879282860344957</v>
      </c>
      <c r="M77" s="62">
        <f t="shared" si="29"/>
        <v>0.52903441472440782</v>
      </c>
      <c r="N77" s="62">
        <f t="shared" si="29"/>
        <v>0.42375819789765556</v>
      </c>
      <c r="O77" s="62">
        <f t="shared" si="29"/>
        <v>0.39300125034019506</v>
      </c>
      <c r="P77" s="62">
        <f t="shared" si="29"/>
        <v>0.35779540777645402</v>
      </c>
      <c r="Q77" s="62" t="str">
        <f t="shared" si="29"/>
        <v/>
      </c>
    </row>
    <row r="78" spans="1:17" ht="15.75" customHeight="1">
      <c r="A78" s="10"/>
      <c r="B78" s="2" t="s">
        <v>60</v>
      </c>
      <c r="C78" s="74">
        <f>ABS(C12/C$4)</f>
        <v>0.10386239609862338</v>
      </c>
      <c r="D78" s="26"/>
      <c r="E78" s="239"/>
      <c r="F78" s="26"/>
      <c r="G78" s="6">
        <f t="shared" ref="G78:Q78" si="30">IF(G$4="","",ABS(G12/G$4))</f>
        <v>0.15075013814787502</v>
      </c>
      <c r="H78" s="6">
        <f t="shared" si="30"/>
        <v>0.17337632118975857</v>
      </c>
      <c r="I78" s="6">
        <f t="shared" si="30"/>
        <v>0.12961532050178071</v>
      </c>
      <c r="J78" s="6">
        <f t="shared" si="30"/>
        <v>0.12450985619008637</v>
      </c>
      <c r="K78" s="6">
        <f t="shared" si="30"/>
        <v>0.1177171172875352</v>
      </c>
      <c r="L78" s="6">
        <f t="shared" si="30"/>
        <v>0.11420780795580182</v>
      </c>
      <c r="M78" s="6">
        <f t="shared" si="30"/>
        <v>9.6372613318363304E-2</v>
      </c>
      <c r="N78" s="6">
        <f t="shared" si="30"/>
        <v>9.1125284997102637E-2</v>
      </c>
      <c r="O78" s="6">
        <f t="shared" si="30"/>
        <v>8.5597422011509439E-2</v>
      </c>
      <c r="P78" s="6">
        <f t="shared" si="30"/>
        <v>8.5235026535253985E-2</v>
      </c>
      <c r="Q78" s="6" t="str">
        <f t="shared" si="30"/>
        <v/>
      </c>
    </row>
    <row r="79" spans="1:17" ht="15.75" customHeight="1">
      <c r="A79" s="10"/>
      <c r="B79" s="38" t="str">
        <f>B13</f>
        <v>NCI’s Share of Profits</v>
      </c>
      <c r="C79" s="238">
        <f>MIN(BS!C62,MAX(G79:K79))</f>
        <v>7.2924369950228912E-2</v>
      </c>
      <c r="D79" s="26"/>
      <c r="E79" s="239"/>
      <c r="F79" s="26"/>
      <c r="G79" s="6">
        <f t="shared" ref="G79:Q79" si="31">IF(G$4="","",-G13/G$4)</f>
        <v>5.9780965822119447E-2</v>
      </c>
      <c r="H79" s="6">
        <f t="shared" si="31"/>
        <v>7.0271675084255164E-2</v>
      </c>
      <c r="I79" s="6">
        <f t="shared" si="31"/>
        <v>7.0054880536519634E-2</v>
      </c>
      <c r="J79" s="6">
        <f t="shared" si="31"/>
        <v>7.2924369950228912E-2</v>
      </c>
      <c r="K79" s="6">
        <f t="shared" si="31"/>
        <v>7.2516944186560156E-2</v>
      </c>
      <c r="L79" s="6">
        <f t="shared" si="31"/>
        <v>8.4698045038998707E-2</v>
      </c>
      <c r="M79" s="6">
        <f t="shared" si="31"/>
        <v>7.7072050549294821E-2</v>
      </c>
      <c r="N79" s="6">
        <f t="shared" si="31"/>
        <v>8.9914893501795282E-2</v>
      </c>
      <c r="O79" s="6">
        <f t="shared" si="31"/>
        <v>8.6404423916601913E-2</v>
      </c>
      <c r="P79" s="6">
        <f t="shared" si="31"/>
        <v>7.2859128488393085E-2</v>
      </c>
      <c r="Q79" s="6" t="str">
        <f t="shared" si="31"/>
        <v/>
      </c>
    </row>
    <row r="80" spans="1:17" ht="15.75" customHeight="1">
      <c r="A80" s="10"/>
      <c r="B80" s="39" t="s">
        <v>129</v>
      </c>
      <c r="C80" s="75">
        <f>ABS(C14/C$4)</f>
        <v>0.23866281834564124</v>
      </c>
      <c r="D80" s="26"/>
      <c r="E80" s="239"/>
      <c r="F80" s="26"/>
      <c r="G80" s="62">
        <f t="shared" ref="G80:Q80" si="32">IF(G$4="","",ABS(G14/G$4))</f>
        <v>0.30406953490625477</v>
      </c>
      <c r="H80" s="62">
        <f t="shared" si="32"/>
        <v>0.39920676932645532</v>
      </c>
      <c r="I80" s="62">
        <f t="shared" si="32"/>
        <v>0.34037030317375089</v>
      </c>
      <c r="J80" s="62">
        <f t="shared" si="32"/>
        <v>0.34773596554890945</v>
      </c>
      <c r="K80" s="62">
        <f t="shared" si="32"/>
        <v>0.36552151952643464</v>
      </c>
      <c r="L80" s="62">
        <f t="shared" si="32"/>
        <v>0.339886975608649</v>
      </c>
      <c r="M80" s="62">
        <f t="shared" si="32"/>
        <v>0.35558975085674976</v>
      </c>
      <c r="N80" s="62">
        <f t="shared" si="32"/>
        <v>0.24271801939875765</v>
      </c>
      <c r="O80" s="62">
        <f t="shared" si="32"/>
        <v>0.22099940441208374</v>
      </c>
      <c r="P80" s="62">
        <f t="shared" si="32"/>
        <v>0.19970125275280695</v>
      </c>
      <c r="Q80" s="62" t="str">
        <f t="shared" si="32"/>
        <v/>
      </c>
    </row>
    <row r="81" spans="1:17" ht="15.75" customHeight="1">
      <c r="A81" s="10"/>
      <c r="B81" s="2" t="s">
        <v>62</v>
      </c>
      <c r="C81" s="74">
        <f>ABS(C15/C$4)</f>
        <v>0.11908566873611129</v>
      </c>
      <c r="D81" s="26"/>
      <c r="E81" s="239"/>
      <c r="F81" s="26"/>
      <c r="G81" s="6">
        <f t="shared" ref="G81:Q81" si="33">IF(G$4="","",G15/G$4)</f>
        <v>8.3359968115277905E-2</v>
      </c>
      <c r="H81" s="6">
        <f t="shared" si="33"/>
        <v>6.3396941205747723E-2</v>
      </c>
      <c r="I81" s="6">
        <f t="shared" si="33"/>
        <v>0</v>
      </c>
      <c r="J81" s="6">
        <f t="shared" si="33"/>
        <v>0</v>
      </c>
      <c r="K81" s="6">
        <f t="shared" si="33"/>
        <v>0</v>
      </c>
      <c r="L81" s="6">
        <f t="shared" si="33"/>
        <v>0</v>
      </c>
      <c r="M81" s="6">
        <f t="shared" si="33"/>
        <v>0</v>
      </c>
      <c r="N81" s="6">
        <f t="shared" si="33"/>
        <v>0</v>
      </c>
      <c r="O81" s="6">
        <f t="shared" si="33"/>
        <v>0</v>
      </c>
      <c r="P81" s="6">
        <f t="shared" si="33"/>
        <v>0</v>
      </c>
      <c r="Q81" s="6" t="str">
        <f t="shared" si="33"/>
        <v/>
      </c>
    </row>
    <row r="82" spans="1:17" ht="15.75" customHeight="1">
      <c r="A82" s="10"/>
      <c r="B82" s="2" t="s">
        <v>77</v>
      </c>
      <c r="C82" s="85">
        <f>MAX(AVERAGE(G82:J82),C81)</f>
        <v>0.11908566873611129</v>
      </c>
      <c r="D82" s="26"/>
      <c r="E82" s="240" t="s">
        <v>554</v>
      </c>
      <c r="F82" s="26"/>
      <c r="G82" s="6">
        <f t="shared" ref="G82:Q82" si="34">IF(G$4="","",-G16/G$4)</f>
        <v>8.3359968115277905E-2</v>
      </c>
      <c r="H82" s="6">
        <f t="shared" si="34"/>
        <v>6.3396941205747723E-2</v>
      </c>
      <c r="I82" s="6">
        <f t="shared" si="34"/>
        <v>0</v>
      </c>
      <c r="J82" s="6">
        <f t="shared" si="34"/>
        <v>0</v>
      </c>
      <c r="K82" s="6">
        <f t="shared" si="34"/>
        <v>0</v>
      </c>
      <c r="L82" s="6">
        <f t="shared" si="34"/>
        <v>0</v>
      </c>
      <c r="M82" s="6">
        <f t="shared" si="34"/>
        <v>0</v>
      </c>
      <c r="N82" s="6">
        <f t="shared" si="34"/>
        <v>0</v>
      </c>
      <c r="O82" s="6">
        <f t="shared" si="34"/>
        <v>0</v>
      </c>
      <c r="P82" s="6">
        <f t="shared" si="34"/>
        <v>0</v>
      </c>
      <c r="Q82" s="6" t="str">
        <f t="shared" si="34"/>
        <v/>
      </c>
    </row>
    <row r="83" spans="1:17" ht="15.75" customHeight="1">
      <c r="A83" s="10"/>
      <c r="B83" s="26" t="s">
        <v>49</v>
      </c>
      <c r="C83" s="238">
        <v>0</v>
      </c>
      <c r="D83" s="26"/>
      <c r="E83" s="241" t="str">
        <f>E17</f>
        <v>WCInv is by default excluded</v>
      </c>
      <c r="F83" s="26"/>
      <c r="G83" s="206"/>
      <c r="H83" s="206"/>
      <c r="I83" s="206"/>
      <c r="J83" s="206"/>
      <c r="K83" s="206"/>
      <c r="L83" s="206"/>
      <c r="M83" s="206"/>
      <c r="N83" s="206"/>
      <c r="O83" s="206"/>
      <c r="P83" s="206"/>
      <c r="Q83" s="206"/>
    </row>
    <row r="84" spans="1:17" ht="15.75" customHeight="1">
      <c r="A84" s="10"/>
      <c r="B84" s="8" t="s">
        <v>94</v>
      </c>
      <c r="C84" s="74">
        <v>0</v>
      </c>
      <c r="E84" s="241" t="str">
        <f>E18</f>
        <v>Net borrowing is excluded</v>
      </c>
      <c r="G84" s="152"/>
      <c r="H84" s="152"/>
      <c r="I84" s="152"/>
      <c r="J84" s="152"/>
      <c r="K84" s="152"/>
      <c r="L84" s="152"/>
      <c r="M84" s="152"/>
      <c r="N84" s="152"/>
      <c r="O84" s="152"/>
      <c r="P84" s="152"/>
      <c r="Q84" s="152"/>
    </row>
    <row r="85" spans="1:17" ht="15.75" customHeight="1">
      <c r="A85" s="10"/>
      <c r="B85" s="30" t="s">
        <v>117</v>
      </c>
      <c r="C85" s="75">
        <f>ABS(C19/C$4)</f>
        <v>0.23866281834564124</v>
      </c>
      <c r="D85" s="72"/>
      <c r="E85" s="239"/>
      <c r="F85" s="72"/>
      <c r="G85" s="62">
        <f t="shared" ref="G85:Q85" si="35">IF(G$4="","",ABS(G19/G$4))</f>
        <v>0.30406953490625477</v>
      </c>
      <c r="H85" s="62">
        <f t="shared" si="35"/>
        <v>0.39920676932645532</v>
      </c>
      <c r="I85" s="62">
        <f t="shared" si="35"/>
        <v>0.34037030317375089</v>
      </c>
      <c r="J85" s="62">
        <f t="shared" si="35"/>
        <v>0.34773596554890945</v>
      </c>
      <c r="K85" s="62">
        <f t="shared" si="35"/>
        <v>0.36552151952643464</v>
      </c>
      <c r="L85" s="62">
        <f t="shared" si="35"/>
        <v>0.339886975608649</v>
      </c>
      <c r="M85" s="62">
        <f t="shared" si="35"/>
        <v>0.35558975085674976</v>
      </c>
      <c r="N85" s="62">
        <f t="shared" si="35"/>
        <v>0.24271801939875765</v>
      </c>
      <c r="O85" s="62">
        <f t="shared" si="35"/>
        <v>0.22099940441208374</v>
      </c>
      <c r="P85" s="62">
        <f t="shared" si="35"/>
        <v>0.19970125275280695</v>
      </c>
      <c r="Q85" s="62" t="str">
        <f t="shared" si="35"/>
        <v/>
      </c>
    </row>
    <row r="86" spans="1:17" ht="15.75" customHeight="1">
      <c r="A86" s="10"/>
      <c r="E86" s="242"/>
    </row>
    <row r="87" spans="1:17" ht="15.75" customHeight="1">
      <c r="A87" s="10"/>
      <c r="B87" s="61" t="s">
        <v>183</v>
      </c>
      <c r="E87" s="242"/>
    </row>
    <row r="88" spans="1:17" ht="15.75" customHeight="1">
      <c r="A88" s="10"/>
      <c r="B88" s="2" t="str">
        <f>"Dividend per share ("&amp;Market_currency&amp;")"</f>
        <v>Dividend per share (HKD)</v>
      </c>
      <c r="C88" s="110">
        <f>G88</f>
        <v>0.15920000000000001</v>
      </c>
      <c r="E88" s="242"/>
      <c r="G88" s="109">
        <f>Data!C65</f>
        <v>0.15920000000000001</v>
      </c>
      <c r="H88" s="109">
        <f>Data!D65</f>
        <v>0.15920000000000001</v>
      </c>
      <c r="I88" s="109">
        <f>Data!E65</f>
        <v>0</v>
      </c>
      <c r="J88" s="109">
        <f>Data!F65</f>
        <v>0</v>
      </c>
      <c r="K88" s="109">
        <f>Data!G65</f>
        <v>0</v>
      </c>
      <c r="L88" s="109">
        <f>Data!H65</f>
        <v>0</v>
      </c>
      <c r="M88" s="109">
        <f>Data!I65</f>
        <v>0</v>
      </c>
      <c r="N88" s="109">
        <f>Data!J65</f>
        <v>0</v>
      </c>
      <c r="O88" s="109">
        <f>Data!K65</f>
        <v>0</v>
      </c>
      <c r="P88" s="109">
        <f>Data!L65</f>
        <v>0</v>
      </c>
      <c r="Q88" s="109" t="str">
        <f>Data!M65</f>
        <v/>
      </c>
    </row>
    <row r="89" spans="1:17" ht="15.75" customHeight="1">
      <c r="A89" s="10"/>
      <c r="B89" s="2" t="str">
        <f>"Dividend ("&amp;Market_currency&amp;")"</f>
        <v>Dividend (HKD)</v>
      </c>
      <c r="C89" s="71">
        <f>C88*Common_Shares/scaling_factor</f>
        <v>369322.25678240001</v>
      </c>
      <c r="E89" s="242"/>
      <c r="G89" s="71">
        <f t="shared" ref="G89:Q89" si="36">IF(G$4="","",G88*Common_Shares/scaling_factor)</f>
        <v>369322.25678240001</v>
      </c>
      <c r="H89" s="71">
        <f t="shared" si="36"/>
        <v>369322.25678240001</v>
      </c>
      <c r="I89" s="71">
        <f t="shared" si="36"/>
        <v>0</v>
      </c>
      <c r="J89" s="71">
        <f t="shared" si="36"/>
        <v>0</v>
      </c>
      <c r="K89" s="71">
        <f t="shared" si="36"/>
        <v>0</v>
      </c>
      <c r="L89" s="71">
        <f t="shared" si="36"/>
        <v>0</v>
      </c>
      <c r="M89" s="71">
        <f t="shared" si="36"/>
        <v>0</v>
      </c>
      <c r="N89" s="71">
        <f t="shared" si="36"/>
        <v>0</v>
      </c>
      <c r="O89" s="71">
        <f t="shared" si="36"/>
        <v>0</v>
      </c>
      <c r="P89" s="71">
        <f t="shared" si="36"/>
        <v>0</v>
      </c>
      <c r="Q89" s="71" t="str">
        <f t="shared" si="36"/>
        <v/>
      </c>
    </row>
    <row r="90" spans="1:17" ht="15.75" customHeight="1">
      <c r="A90" s="10"/>
      <c r="B90" s="2" t="s">
        <v>182</v>
      </c>
      <c r="C90" s="22">
        <f>C88/(C19*scaling_factor/Common_Shares)</f>
        <v>1.0641062355754669</v>
      </c>
      <c r="E90" s="242"/>
      <c r="G90" s="153">
        <f t="shared" ref="G90:Q90" si="37">IF(G$4="","",G88/(G19*scaling_factor/Common_Shares))</f>
        <v>0.58464855841587759</v>
      </c>
      <c r="H90" s="153">
        <f t="shared" si="37"/>
        <v>0.35202818007217546</v>
      </c>
      <c r="I90" s="153">
        <f t="shared" si="37"/>
        <v>0</v>
      </c>
      <c r="J90" s="153">
        <f t="shared" si="37"/>
        <v>0</v>
      </c>
      <c r="K90" s="153">
        <f t="shared" si="37"/>
        <v>0</v>
      </c>
      <c r="L90" s="153">
        <f t="shared" si="37"/>
        <v>0</v>
      </c>
      <c r="M90" s="153">
        <f t="shared" si="37"/>
        <v>0</v>
      </c>
      <c r="N90" s="153">
        <f t="shared" si="37"/>
        <v>0</v>
      </c>
      <c r="O90" s="153">
        <f t="shared" si="37"/>
        <v>0</v>
      </c>
      <c r="P90" s="153">
        <f t="shared" si="37"/>
        <v>0</v>
      </c>
      <c r="Q90" s="153" t="str">
        <f t="shared" si="37"/>
        <v/>
      </c>
    </row>
    <row r="91" spans="1:17" ht="15.75" customHeight="1">
      <c r="A91" s="10"/>
      <c r="B91" s="2" t="s">
        <v>332</v>
      </c>
      <c r="C91" s="300">
        <v>0</v>
      </c>
      <c r="E91" s="242"/>
      <c r="G91" s="301"/>
      <c r="H91" s="301"/>
      <c r="I91" s="301"/>
      <c r="J91" s="301"/>
      <c r="K91" s="301"/>
      <c r="L91" s="301"/>
      <c r="M91" s="301"/>
      <c r="N91" s="301"/>
      <c r="O91" s="301"/>
      <c r="P91" s="301"/>
      <c r="Q91" s="301"/>
    </row>
    <row r="92" spans="1:17" ht="15.75" customHeight="1">
      <c r="A92" s="10"/>
      <c r="B92" s="2" t="s">
        <v>331</v>
      </c>
      <c r="C92" s="22">
        <f>(C88*(1-dividend_tax_rate))/Market_Price</f>
        <v>5.378378378378379E-2</v>
      </c>
      <c r="E92" s="242"/>
      <c r="G92" s="22">
        <f t="shared" ref="G92:Q92" si="38">IF(G$4="","",(G88*(1-dividend_tax_rate))/Market_Price)</f>
        <v>5.378378378378379E-2</v>
      </c>
      <c r="H92" s="22">
        <f t="shared" si="38"/>
        <v>5.378378378378379E-2</v>
      </c>
      <c r="I92" s="22">
        <f t="shared" si="38"/>
        <v>0</v>
      </c>
      <c r="J92" s="22">
        <f t="shared" si="38"/>
        <v>0</v>
      </c>
      <c r="K92" s="22">
        <f t="shared" si="38"/>
        <v>0</v>
      </c>
      <c r="L92" s="22">
        <f t="shared" si="38"/>
        <v>0</v>
      </c>
      <c r="M92" s="22">
        <f t="shared" si="38"/>
        <v>0</v>
      </c>
      <c r="N92" s="22">
        <f t="shared" si="38"/>
        <v>0</v>
      </c>
      <c r="O92" s="22">
        <f t="shared" si="38"/>
        <v>0</v>
      </c>
      <c r="P92" s="22">
        <f t="shared" si="38"/>
        <v>0</v>
      </c>
      <c r="Q92" s="22" t="str">
        <f t="shared" si="38"/>
        <v/>
      </c>
    </row>
    <row r="93" spans="1:17" ht="15.75" customHeight="1">
      <c r="A93" s="10"/>
      <c r="E93" s="242"/>
    </row>
    <row r="94" spans="1:17" ht="15.75" customHeight="1">
      <c r="A94" s="10"/>
      <c r="B94" s="144" t="s">
        <v>81</v>
      </c>
      <c r="C94" s="59"/>
      <c r="D94" s="26"/>
      <c r="E94" s="239"/>
      <c r="F94" s="26"/>
      <c r="G94" s="12"/>
      <c r="H94" s="12"/>
      <c r="I94" s="12"/>
      <c r="J94" s="12"/>
      <c r="K94" s="12"/>
      <c r="L94" s="12"/>
      <c r="M94" s="12"/>
      <c r="N94" s="12"/>
      <c r="O94" s="12"/>
      <c r="P94" s="12"/>
      <c r="Q94" s="12"/>
    </row>
    <row r="95" spans="1:17" ht="15.75" customHeight="1">
      <c r="A95" s="10"/>
      <c r="B95" s="26" t="s">
        <v>121</v>
      </c>
      <c r="C95" s="74">
        <f>C4/G4-1</f>
        <v>-0.30000000000000004</v>
      </c>
      <c r="D95" s="26"/>
      <c r="E95" s="239"/>
      <c r="F95" s="26"/>
      <c r="G95" s="6">
        <f t="shared" ref="G95:Q95" si="39">IF(H4="","",G4/H4-1)</f>
        <v>-0.20948969741201484</v>
      </c>
      <c r="H95" s="6">
        <f t="shared" si="39"/>
        <v>0.21016648354735112</v>
      </c>
      <c r="I95" s="6">
        <f t="shared" si="39"/>
        <v>-6.6307858467105296E-2</v>
      </c>
      <c r="J95" s="6">
        <f t="shared" si="39"/>
        <v>0.22895774296618776</v>
      </c>
      <c r="K95" s="6">
        <f t="shared" si="39"/>
        <v>2.2675667117337595E-2</v>
      </c>
      <c r="L95" s="6">
        <f t="shared" si="39"/>
        <v>0.12067772099419916</v>
      </c>
      <c r="M95" s="6">
        <f t="shared" si="39"/>
        <v>0.11785137908811749</v>
      </c>
      <c r="N95" s="6">
        <f t="shared" si="39"/>
        <v>0.16530759552086338</v>
      </c>
      <c r="O95" s="6">
        <f t="shared" si="39"/>
        <v>0.14413426477490154</v>
      </c>
      <c r="P95" s="6" t="str">
        <f t="shared" si="39"/>
        <v/>
      </c>
      <c r="Q95" s="6" t="str">
        <f t="shared" si="39"/>
        <v/>
      </c>
    </row>
    <row r="96" spans="1:17" ht="15.75" customHeight="1">
      <c r="A96" s="10"/>
      <c r="B96" s="67" t="s">
        <v>137</v>
      </c>
      <c r="C96" s="74">
        <f>C11/G11-1</f>
        <v>-0.43487301199002137</v>
      </c>
      <c r="D96" s="26"/>
      <c r="E96" s="239"/>
      <c r="F96" s="26"/>
      <c r="G96" s="6">
        <f t="shared" ref="G96:Q96" si="40">IF(H5="","",G11/H11-1)</f>
        <v>-0.36720216055323363</v>
      </c>
      <c r="H96" s="6">
        <f t="shared" si="40"/>
        <v>0.44056100431478673</v>
      </c>
      <c r="I96" s="6">
        <f t="shared" si="40"/>
        <v>-7.5093278064453539E-2</v>
      </c>
      <c r="J96" s="6">
        <f t="shared" si="40"/>
        <v>0.20554997775217054</v>
      </c>
      <c r="K96" s="6">
        <f t="shared" si="40"/>
        <v>5.4872447035130723E-2</v>
      </c>
      <c r="L96" s="6">
        <f t="shared" si="40"/>
        <v>0.14134941402985834</v>
      </c>
      <c r="M96" s="6">
        <f t="shared" si="40"/>
        <v>0.39556438794272641</v>
      </c>
      <c r="N96" s="6">
        <f t="shared" si="40"/>
        <v>0.25650655372448261</v>
      </c>
      <c r="O96" s="6">
        <f t="shared" si="40"/>
        <v>0.25671315741014022</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42"/>
      <c r="G99" s="94" t="s">
        <v>188</v>
      </c>
    </row>
    <row r="100" spans="1:17" ht="15.75" customHeight="1">
      <c r="A100" s="10"/>
      <c r="B100" s="25" t="s">
        <v>1</v>
      </c>
      <c r="C100" s="288">
        <f>BS!G32</f>
        <v>7238279</v>
      </c>
      <c r="D100" s="25"/>
      <c r="E100" s="243"/>
      <c r="F100" s="25"/>
      <c r="G100" s="278">
        <f t="shared" ref="G100:Q100" si="41">IF(G$4="","",G104+G103)</f>
        <v>7238279</v>
      </c>
      <c r="H100" s="278">
        <f t="shared" si="41"/>
        <v>8249751</v>
      </c>
      <c r="I100" s="278">
        <f t="shared" si="41"/>
        <v>8275751</v>
      </c>
      <c r="J100" s="278">
        <f t="shared" si="41"/>
        <v>7847134</v>
      </c>
      <c r="K100" s="278">
        <f t="shared" si="41"/>
        <v>7208409</v>
      </c>
      <c r="L100" s="278">
        <f t="shared" si="41"/>
        <v>6542493</v>
      </c>
      <c r="M100" s="278">
        <f t="shared" si="41"/>
        <v>5772034</v>
      </c>
      <c r="N100" s="278">
        <f t="shared" si="41"/>
        <v>5108414</v>
      </c>
      <c r="O100" s="278">
        <f t="shared" si="41"/>
        <v>4511682</v>
      </c>
      <c r="P100" s="278">
        <f t="shared" si="41"/>
        <v>3942836</v>
      </c>
      <c r="Q100" s="278" t="str">
        <f t="shared" si="41"/>
        <v/>
      </c>
    </row>
    <row r="101" spans="1:17" ht="15.75" customHeight="1">
      <c r="A101" s="10"/>
      <c r="B101" s="90" t="s">
        <v>179</v>
      </c>
      <c r="C101" s="289">
        <f>BS!C4</f>
        <v>144049</v>
      </c>
      <c r="D101" s="86"/>
      <c r="E101" s="244"/>
      <c r="F101" s="86"/>
      <c r="G101" s="290">
        <f>IF(G$4="","",Data!D77)</f>
        <v>139113</v>
      </c>
      <c r="H101" s="290">
        <f>IF(H$4="","",Data!E77)</f>
        <v>137875</v>
      </c>
      <c r="I101" s="290">
        <f>IF(I$4="","",Data!F77)</f>
        <v>108344</v>
      </c>
      <c r="J101" s="290">
        <f>IF(J$4="","",Data!G77)</f>
        <v>63265</v>
      </c>
      <c r="K101" s="290">
        <f>IF(K$4="","",Data!H77)</f>
        <v>56480</v>
      </c>
      <c r="L101" s="290">
        <f>IF(L$4="","",Data!I77)</f>
        <v>0</v>
      </c>
      <c r="M101" s="290">
        <f>IF(M$4="","",Data!J77)</f>
        <v>0</v>
      </c>
      <c r="N101" s="290">
        <f>IF(N$4="","",Data!K77)</f>
        <v>0</v>
      </c>
      <c r="O101" s="290">
        <f>IF(O$4="","",Data!L77)</f>
        <v>0</v>
      </c>
      <c r="P101" s="290">
        <f>IF(P$4="","",Data!M77)</f>
        <v>0</v>
      </c>
      <c r="Q101" s="290" t="str">
        <f>IF(Q$4="","",Data!N77)</f>
        <v/>
      </c>
    </row>
    <row r="102" spans="1:17" ht="15.75" customHeight="1">
      <c r="A102" s="10"/>
      <c r="B102" s="90" t="s">
        <v>180</v>
      </c>
      <c r="C102" s="289">
        <f>BS!C6+BS!C7</f>
        <v>558421</v>
      </c>
      <c r="D102" s="86"/>
      <c r="E102" s="244"/>
      <c r="F102" s="86"/>
      <c r="G102" s="290">
        <f>IF(G$4="","",Data!D78)</f>
        <v>557991</v>
      </c>
      <c r="H102" s="290">
        <f>IF(H$4="","",Data!E78)</f>
        <v>558958</v>
      </c>
      <c r="I102" s="290">
        <f>IF(I$4="","",Data!F78)</f>
        <v>544487</v>
      </c>
      <c r="J102" s="290">
        <f>IF(J$4="","",Data!G78)</f>
        <v>502263</v>
      </c>
      <c r="K102" s="290">
        <f>IF(K$4="","",Data!H78)</f>
        <v>481059</v>
      </c>
      <c r="L102" s="290">
        <f>IF(L$4="","",Data!I78)</f>
        <v>0</v>
      </c>
      <c r="M102" s="290">
        <f>IF(M$4="","",Data!J78)</f>
        <v>0</v>
      </c>
      <c r="N102" s="290">
        <f>IF(N$4="","",Data!K78)</f>
        <v>0</v>
      </c>
      <c r="O102" s="290">
        <f>IF(O$4="","",Data!L78)</f>
        <v>0</v>
      </c>
      <c r="P102" s="290">
        <f>IF(P$4="","",Data!M78)</f>
        <v>0</v>
      </c>
      <c r="Q102" s="290" t="str">
        <f>IF(Q$4="","",Data!N78)</f>
        <v/>
      </c>
    </row>
    <row r="103" spans="1:17" ht="15.75" customHeight="1">
      <c r="A103" s="10"/>
      <c r="B103" s="25" t="s">
        <v>38</v>
      </c>
      <c r="C103" s="288">
        <f>BS!G30</f>
        <v>2372648</v>
      </c>
      <c r="D103" s="25"/>
      <c r="E103" s="243"/>
      <c r="F103" s="25"/>
      <c r="G103" s="278">
        <f>Data!C79</f>
        <v>2372648</v>
      </c>
      <c r="H103" s="278">
        <f>Data!D79</f>
        <v>2093923</v>
      </c>
      <c r="I103" s="278">
        <f>Data!E79</f>
        <v>1701887</v>
      </c>
      <c r="J103" s="278">
        <f>Data!F79</f>
        <v>1733130</v>
      </c>
      <c r="K103" s="278">
        <f>Data!G79</f>
        <v>1536089</v>
      </c>
      <c r="L103" s="278">
        <f>Data!H79</f>
        <v>1400407</v>
      </c>
      <c r="M103" s="278">
        <f>Data!I79</f>
        <v>1186821</v>
      </c>
      <c r="N103" s="278">
        <f>Data!J79</f>
        <v>1057531</v>
      </c>
      <c r="O103" s="278">
        <f>Data!K79</f>
        <v>907178</v>
      </c>
      <c r="P103" s="278">
        <f>Data!L79</f>
        <v>913796</v>
      </c>
      <c r="Q103" s="278" t="str">
        <f>Data!M79</f>
        <v/>
      </c>
    </row>
    <row r="104" spans="1:17" ht="15.75" customHeight="1">
      <c r="A104" s="10"/>
      <c r="B104" s="25" t="s">
        <v>28</v>
      </c>
      <c r="C104" s="288">
        <f>BS!G27</f>
        <v>4865631</v>
      </c>
      <c r="D104" s="25"/>
      <c r="E104" s="243"/>
      <c r="F104" s="25"/>
      <c r="G104" s="278">
        <f>Data!C80</f>
        <v>4865631</v>
      </c>
      <c r="H104" s="278">
        <f>Data!D80</f>
        <v>6155828</v>
      </c>
      <c r="I104" s="278">
        <f>Data!E80</f>
        <v>6573864</v>
      </c>
      <c r="J104" s="278">
        <f>Data!F80</f>
        <v>6114004</v>
      </c>
      <c r="K104" s="278">
        <f>Data!G80</f>
        <v>5672320</v>
      </c>
      <c r="L104" s="278">
        <f>Data!H80</f>
        <v>5142086</v>
      </c>
      <c r="M104" s="278">
        <f>Data!I80</f>
        <v>4585213</v>
      </c>
      <c r="N104" s="278">
        <f>Data!J80</f>
        <v>4050883</v>
      </c>
      <c r="O104" s="278">
        <f>Data!K80</f>
        <v>3604504</v>
      </c>
      <c r="P104" s="278">
        <f>Data!L80</f>
        <v>3029040</v>
      </c>
      <c r="Q104" s="278" t="str">
        <f>Data!M80</f>
        <v/>
      </c>
    </row>
    <row r="105" spans="1:17" ht="15.75" customHeight="1">
      <c r="A105" s="10"/>
      <c r="E105" s="242"/>
    </row>
    <row r="106" spans="1:17" ht="15.75" customHeight="1">
      <c r="A106" s="10"/>
      <c r="B106" s="88" t="s">
        <v>189</v>
      </c>
      <c r="C106" s="25"/>
      <c r="D106" s="25"/>
      <c r="E106" s="243"/>
      <c r="F106" s="25"/>
      <c r="G106" s="94" t="s">
        <v>188</v>
      </c>
      <c r="H106" s="12"/>
      <c r="I106" s="12"/>
      <c r="J106" s="12"/>
      <c r="K106" s="12"/>
      <c r="L106" s="12"/>
      <c r="M106" s="12"/>
      <c r="N106" s="12"/>
      <c r="O106" s="12"/>
      <c r="P106" s="12"/>
      <c r="Q106" s="12"/>
    </row>
    <row r="107" spans="1:17" ht="15.75" customHeight="1">
      <c r="A107" s="10"/>
      <c r="B107" s="25" t="s">
        <v>186</v>
      </c>
      <c r="C107" s="91">
        <f>C101/C$4</f>
        <v>9.9054570679863591E-2</v>
      </c>
      <c r="D107" s="25"/>
      <c r="E107" s="243"/>
      <c r="F107" s="25"/>
      <c r="G107" s="91">
        <f t="shared" ref="G107:Q107" si="42">IF(G$4="","",G101/G$4)</f>
        <v>6.6962248566053942E-2</v>
      </c>
      <c r="H107" s="91">
        <f t="shared" si="42"/>
        <v>5.246327190453378E-2</v>
      </c>
      <c r="I107" s="91">
        <f t="shared" si="42"/>
        <v>4.989072704047566E-2</v>
      </c>
      <c r="J107" s="91">
        <f t="shared" si="42"/>
        <v>2.7200831696654295E-2</v>
      </c>
      <c r="K107" s="91">
        <f t="shared" si="42"/>
        <v>2.9843538065570184E-2</v>
      </c>
      <c r="L107" s="91">
        <f t="shared" si="42"/>
        <v>0</v>
      </c>
      <c r="M107" s="91">
        <f t="shared" si="42"/>
        <v>0</v>
      </c>
      <c r="N107" s="91">
        <f t="shared" si="42"/>
        <v>0</v>
      </c>
      <c r="O107" s="91">
        <f t="shared" si="42"/>
        <v>0</v>
      </c>
      <c r="P107" s="91">
        <f t="shared" si="42"/>
        <v>0</v>
      </c>
      <c r="Q107" s="91" t="str">
        <f t="shared" si="42"/>
        <v/>
      </c>
    </row>
    <row r="108" spans="1:17" ht="15.75" customHeight="1">
      <c r="A108" s="10"/>
      <c r="B108" s="25" t="s">
        <v>187</v>
      </c>
      <c r="C108" s="91">
        <f>C102/C$4</f>
        <v>0.38399539332879862</v>
      </c>
      <c r="D108" s="25"/>
      <c r="E108" s="243"/>
      <c r="F108" s="25"/>
      <c r="G108" s="91">
        <f t="shared" ref="G108:Q108" si="43">IF(G$4="","",G102/G$4)</f>
        <v>0.26858979419336082</v>
      </c>
      <c r="H108" s="91">
        <f t="shared" si="43"/>
        <v>0.21269095584561662</v>
      </c>
      <c r="I108" s="91">
        <f t="shared" si="43"/>
        <v>0.25072779567015685</v>
      </c>
      <c r="J108" s="91">
        <f t="shared" si="43"/>
        <v>0.21594833368302657</v>
      </c>
      <c r="K108" s="91">
        <f t="shared" si="43"/>
        <v>0.25418736859569985</v>
      </c>
      <c r="L108" s="91">
        <f t="shared" si="43"/>
        <v>0</v>
      </c>
      <c r="M108" s="91">
        <f t="shared" si="43"/>
        <v>0</v>
      </c>
      <c r="N108" s="91">
        <f t="shared" si="43"/>
        <v>0</v>
      </c>
      <c r="O108" s="91">
        <f t="shared" si="43"/>
        <v>0</v>
      </c>
      <c r="P108" s="91">
        <f t="shared" si="43"/>
        <v>0</v>
      </c>
      <c r="Q108" s="91" t="str">
        <f t="shared" si="43"/>
        <v/>
      </c>
    </row>
    <row r="109" spans="1:17" ht="15.75" customHeight="1">
      <c r="A109" s="10"/>
      <c r="B109" s="25" t="s">
        <v>66</v>
      </c>
      <c r="C109" s="91">
        <f>BS!$G$38/C$4</f>
        <v>1.3368230857270487</v>
      </c>
      <c r="D109" s="25"/>
      <c r="E109" s="243"/>
      <c r="F109" s="25"/>
      <c r="G109" s="91">
        <f>BS!$G$38/G$4</f>
        <v>0.93577616000893393</v>
      </c>
      <c r="H109" s="187"/>
      <c r="I109" s="187"/>
      <c r="J109" s="187"/>
      <c r="K109" s="187"/>
      <c r="L109" s="187"/>
      <c r="M109" s="187"/>
      <c r="N109" s="187"/>
      <c r="O109" s="187"/>
      <c r="P109" s="187"/>
      <c r="Q109" s="187"/>
    </row>
    <row r="110" spans="1:17" ht="15.75" customHeight="1">
      <c r="A110" s="10"/>
      <c r="E110" s="242"/>
    </row>
    <row r="111" spans="1:17" ht="15.75" customHeight="1">
      <c r="A111" s="10"/>
      <c r="B111" s="61" t="s">
        <v>48</v>
      </c>
      <c r="E111" s="242"/>
    </row>
    <row r="112" spans="1:17" ht="15.75" customHeight="1">
      <c r="A112" s="10"/>
      <c r="B112" s="2" t="s">
        <v>304</v>
      </c>
      <c r="C112" s="152"/>
      <c r="E112" s="242"/>
      <c r="G112" s="258">
        <f>IF(G$4="","",Data!C$22/Data!C15)</f>
        <v>1.4246774764340637</v>
      </c>
      <c r="H112" s="258">
        <f>IF(H$4="","",Data!D$22/Data!D15)</f>
        <v>1.1300952131126039</v>
      </c>
      <c r="I112" s="258">
        <f>IF(I$4="","",Data!E$22/Data!E15)</f>
        <v>1.0520568525364209</v>
      </c>
      <c r="J112" s="258">
        <f>IF(J$4="","",Data!F$22/Data!F15)</f>
        <v>1.1154675353287382</v>
      </c>
      <c r="K112" s="258">
        <f>IF(K$4="","",Data!G$22/Data!G15)</f>
        <v>1.0858887766487744</v>
      </c>
      <c r="L112" s="258">
        <f>IF(L$4="","",Data!H$22/Data!H15)</f>
        <v>0.96160169939849238</v>
      </c>
      <c r="M112" s="258">
        <f>IF(M$4="","",Data!I$22/Data!I15)</f>
        <v>1.0891602626889723</v>
      </c>
      <c r="N112" s="258">
        <f>IF(N$4="","",Data!J$22/Data!J15)</f>
        <v>1.1781239719142889</v>
      </c>
      <c r="O112" s="258">
        <f>IF(O$4="","",Data!K$22/Data!K15)</f>
        <v>1.0154245772064971</v>
      </c>
      <c r="P112" s="258">
        <f>IF(P$4="","",Data!L$22/Data!L15)</f>
        <v>1.003858487440062</v>
      </c>
      <c r="Q112" s="258" t="str">
        <f>IF(Q$4="","",Data!M$22/Data!M15)</f>
        <v/>
      </c>
    </row>
    <row r="113" spans="1:17" ht="15.75" customHeight="1">
      <c r="A113" s="10"/>
      <c r="B113" s="2" t="s">
        <v>305</v>
      </c>
      <c r="C113" s="152"/>
      <c r="E113" s="242"/>
      <c r="G113" s="258">
        <f>IF(G$4="","",Data!C$22/G19)</f>
        <v>1.1216280762509929</v>
      </c>
      <c r="H113" s="258">
        <f>IF(H$4="","",Data!D$22/H19)</f>
        <v>1.0512340592849492</v>
      </c>
      <c r="I113" s="258">
        <f>IF(I$4="","",Data!E$22/I19)</f>
        <v>1.1539267029873221</v>
      </c>
      <c r="J113" s="258">
        <f>IF(J$4="","",Data!F$22/J19)</f>
        <v>1.2269934630017272</v>
      </c>
      <c r="K113" s="258">
        <f>IF(K$4="","",Data!G$22/K19)</f>
        <v>1.188772744422584</v>
      </c>
      <c r="L113" s="258">
        <f>IF(L$4="","",Data!H$22/L19)</f>
        <v>1.1241649257694131</v>
      </c>
      <c r="M113" s="258">
        <f>IF(M$4="","",Data!I$22/M19)</f>
        <v>1.1419280124662585</v>
      </c>
      <c r="N113" s="258">
        <f>IF(N$4="","",Data!J$22/N19)</f>
        <v>1.8077842390773822</v>
      </c>
      <c r="O113" s="258">
        <f>IF(O$4="","",Data!K$22/O19)</f>
        <v>1.6256340330750203</v>
      </c>
      <c r="P113" s="258">
        <f>IF(P$4="","",Data!L$22/P19)</f>
        <v>1.6567673471601412</v>
      </c>
      <c r="Q113" s="258" t="str">
        <f>IF(Q$4="","",Data!M$22/Q19)</f>
        <v/>
      </c>
    </row>
    <row r="114" spans="1:17" ht="15.75" customHeight="1">
      <c r="A114" s="10"/>
      <c r="E114" s="242"/>
    </row>
    <row r="115" spans="1:17" ht="15.75" customHeight="1">
      <c r="A115" s="10"/>
      <c r="B115" s="88" t="s">
        <v>36</v>
      </c>
      <c r="C115" s="52"/>
      <c r="D115" s="52"/>
      <c r="E115" s="245"/>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0.41544958439449353</v>
      </c>
      <c r="E116" s="242"/>
      <c r="G116" s="22">
        <f t="shared" ref="G116:Q116" si="44">IF(G4="","",G77)</f>
        <v>0.51460063887624918</v>
      </c>
      <c r="H116" s="22">
        <f t="shared" si="44"/>
        <v>0.64285476560046906</v>
      </c>
      <c r="I116" s="22">
        <f t="shared" si="44"/>
        <v>0.5400405042120513</v>
      </c>
      <c r="J116" s="22">
        <f t="shared" si="44"/>
        <v>0.54517019168922476</v>
      </c>
      <c r="K116" s="22">
        <f t="shared" si="44"/>
        <v>0.55575558100053002</v>
      </c>
      <c r="L116" s="22">
        <f t="shared" si="44"/>
        <v>0.53879282860344957</v>
      </c>
      <c r="M116" s="22">
        <f t="shared" si="44"/>
        <v>0.52903441472440782</v>
      </c>
      <c r="N116" s="22">
        <f t="shared" si="44"/>
        <v>0.42375819789765556</v>
      </c>
      <c r="O116" s="22">
        <f t="shared" si="44"/>
        <v>0.39300125034019506</v>
      </c>
      <c r="P116" s="22">
        <f t="shared" si="44"/>
        <v>0.35779540777645402</v>
      </c>
      <c r="Q116" s="22" t="str">
        <f t="shared" si="44"/>
        <v/>
      </c>
    </row>
    <row r="117" spans="1:17" ht="15.75" customHeight="1">
      <c r="B117" s="7" t="s">
        <v>80</v>
      </c>
      <c r="C117" s="40">
        <f>C4/C100</f>
        <v>0.20090947033127624</v>
      </c>
      <c r="E117" s="242"/>
      <c r="G117" s="40">
        <f t="shared" ref="G117:Q117" si="45">IF(G4="","",G4/G100)</f>
        <v>0.28701352904468036</v>
      </c>
      <c r="H117" s="40">
        <f t="shared" si="45"/>
        <v>0.31855858437424356</v>
      </c>
      <c r="I117" s="40">
        <f t="shared" si="45"/>
        <v>0.26240833007179648</v>
      </c>
      <c r="J117" s="40">
        <f t="shared" si="45"/>
        <v>0.29639458176705025</v>
      </c>
      <c r="K117" s="40">
        <f t="shared" si="45"/>
        <v>0.26254572957777506</v>
      </c>
      <c r="L117" s="40">
        <f t="shared" si="45"/>
        <v>0.28285456323759156</v>
      </c>
      <c r="M117" s="40">
        <f t="shared" si="45"/>
        <v>0.2860861526456705</v>
      </c>
      <c r="N117" s="40">
        <f t="shared" si="45"/>
        <v>0.28917155109198278</v>
      </c>
      <c r="O117" s="40">
        <f t="shared" si="45"/>
        <v>0.28097170855570053</v>
      </c>
      <c r="P117" s="40">
        <f t="shared" si="45"/>
        <v>0.28100585466907574</v>
      </c>
      <c r="Q117" s="40" t="str">
        <f t="shared" si="45"/>
        <v/>
      </c>
    </row>
    <row r="118" spans="1:17" ht="15.75" customHeight="1">
      <c r="B118" s="7" t="s">
        <v>88</v>
      </c>
      <c r="C118" s="15">
        <f>C100/C104</f>
        <v>1.4876341835211095</v>
      </c>
      <c r="D118" s="11"/>
      <c r="E118" s="246"/>
      <c r="F118" s="11"/>
      <c r="G118" s="15">
        <f t="shared" ref="G118:Q118" si="46">IF(G$4="","",G100/G104)</f>
        <v>1.4876341835211095</v>
      </c>
      <c r="H118" s="15">
        <f t="shared" si="46"/>
        <v>1.340152941245272</v>
      </c>
      <c r="I118" s="15">
        <f t="shared" si="46"/>
        <v>1.2588868586268289</v>
      </c>
      <c r="J118" s="15">
        <f t="shared" si="46"/>
        <v>1.2834689018849186</v>
      </c>
      <c r="K118" s="15">
        <f t="shared" si="46"/>
        <v>1.270804362236263</v>
      </c>
      <c r="L118" s="15">
        <f t="shared" si="46"/>
        <v>1.2723421973105857</v>
      </c>
      <c r="M118" s="15">
        <f t="shared" si="46"/>
        <v>1.258836612388563</v>
      </c>
      <c r="N118" s="15">
        <f t="shared" si="46"/>
        <v>1.2610618475033715</v>
      </c>
      <c r="O118" s="15">
        <f t="shared" si="46"/>
        <v>1.2516790104824409</v>
      </c>
      <c r="P118" s="15">
        <f t="shared" si="46"/>
        <v>1.3016784195652749</v>
      </c>
      <c r="Q118" s="15" t="str">
        <f t="shared" si="46"/>
        <v/>
      </c>
    </row>
    <row r="119" spans="1:17" ht="15.75" customHeight="1">
      <c r="A119" s="10"/>
      <c r="B119" s="67" t="s">
        <v>191</v>
      </c>
      <c r="C119" s="99">
        <f>C11/C104</f>
        <v>0.12416948697308672</v>
      </c>
      <c r="D119" s="100"/>
      <c r="E119" s="245"/>
      <c r="F119" s="100"/>
      <c r="G119" s="99">
        <f t="shared" ref="G119:Q119" si="47">IF(G$4="","",G11/G104)</f>
        <v>0.21971961985098865</v>
      </c>
      <c r="H119" s="99">
        <f t="shared" si="47"/>
        <v>0.27444577184194152</v>
      </c>
      <c r="I119" s="99">
        <f t="shared" si="47"/>
        <v>0.17839827535221295</v>
      </c>
      <c r="J119" s="99">
        <f t="shared" si="47"/>
        <v>0.20738995263987398</v>
      </c>
      <c r="K119" s="99">
        <f t="shared" si="47"/>
        <v>0.18542465869344466</v>
      </c>
      <c r="L119" s="99">
        <f t="shared" si="47"/>
        <v>0.19390496386097003</v>
      </c>
      <c r="M119" s="99">
        <f t="shared" si="47"/>
        <v>0.19052419156972641</v>
      </c>
      <c r="N119" s="99">
        <f t="shared" si="47"/>
        <v>0.15452902490642165</v>
      </c>
      <c r="O119" s="99">
        <f t="shared" si="47"/>
        <v>0.13821319105208374</v>
      </c>
      <c r="P119" s="99">
        <f t="shared" si="47"/>
        <v>0.13087413834086048</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1" t="s">
        <v>141</v>
      </c>
      <c r="C122" s="162"/>
      <c r="D122" s="26"/>
      <c r="E122" s="239"/>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60">
        <f>C14*$C$3/Common_Shares*Exchange_Rate</f>
        <v>0.1635845817460721</v>
      </c>
      <c r="D123" s="26"/>
      <c r="E123" s="239"/>
      <c r="F123" s="26"/>
      <c r="G123" s="160">
        <f t="shared" ref="G123:Q123" si="48">IF(G$4="","",G14*$C$3/Common_Shares*Exchange_Rate)</f>
        <v>0.29773677019173966</v>
      </c>
      <c r="H123" s="160">
        <f t="shared" si="48"/>
        <v>0.49448136068058701</v>
      </c>
      <c r="I123" s="160">
        <f t="shared" si="48"/>
        <v>0.34838429540726218</v>
      </c>
      <c r="J123" s="160">
        <f t="shared" si="48"/>
        <v>0.38119993292870247</v>
      </c>
      <c r="K123" s="160">
        <f t="shared" si="48"/>
        <v>0.32604624639124558</v>
      </c>
      <c r="L123" s="160">
        <f t="shared" si="48"/>
        <v>0.29645778154171876</v>
      </c>
      <c r="M123" s="160">
        <f t="shared" si="48"/>
        <v>0.2767558617434635</v>
      </c>
      <c r="N123" s="160">
        <f t="shared" si="48"/>
        <v>0.16899176656217396</v>
      </c>
      <c r="O123" s="160">
        <f t="shared" si="48"/>
        <v>0.13204259547381667</v>
      </c>
      <c r="P123" s="160">
        <f t="shared" si="48"/>
        <v>0.10428617680155398</v>
      </c>
      <c r="Q123" s="160" t="str">
        <f t="shared" si="48"/>
        <v/>
      </c>
    </row>
    <row r="124" spans="1:17" ht="15.75" customHeight="1">
      <c r="A124" s="10"/>
      <c r="B124" s="26" t="s">
        <v>226</v>
      </c>
      <c r="C124" s="74">
        <f>C19*Exchange_Rate*$C$3/(Market_Price*Common_Shares)</f>
        <v>5.526506140070004E-2</v>
      </c>
      <c r="D124" s="26"/>
      <c r="E124" s="239"/>
      <c r="F124" s="26"/>
      <c r="G124" s="74">
        <f t="shared" ref="G124" si="49">IF(G$4="","",G123/Market_Price)</f>
        <v>0.10058674668639854</v>
      </c>
      <c r="H124" s="74">
        <f t="shared" ref="H124" si="50">IF(H$4="","",H123/Market_Price)</f>
        <v>0.16705451374344157</v>
      </c>
      <c r="I124" s="74">
        <f t="shared" ref="I124" si="51">IF(I$4="","",I123/Market_Price)</f>
        <v>0.11769739709704803</v>
      </c>
      <c r="J124" s="74">
        <f t="shared" ref="J124" si="52">IF(J$4="","",J123/Market_Price)</f>
        <v>0.12878376112456164</v>
      </c>
      <c r="K124" s="74">
        <f t="shared" ref="K124" si="53">IF(K$4="","",K123/Market_Price)</f>
        <v>0.11015075891596135</v>
      </c>
      <c r="L124" s="74">
        <f t="shared" ref="L124" si="54">IF(L$4="","",L123/Market_Price)</f>
        <v>0.10015465592625634</v>
      </c>
      <c r="M124" s="74">
        <f t="shared" ref="M124" si="55">IF(M$4="","",M123/Market_Price)</f>
        <v>9.3498601940359291E-2</v>
      </c>
      <c r="N124" s="74">
        <f t="shared" ref="N124" si="56">IF(N$4="","",N123/Market_Price)</f>
        <v>5.7091813027761472E-2</v>
      </c>
      <c r="O124" s="74">
        <f t="shared" ref="O124" si="57">IF(O$4="","",O123/Market_Price)</f>
        <v>4.4608984957370493E-2</v>
      </c>
      <c r="P124" s="74">
        <f t="shared" ref="P124" si="58">IF(P$4="","",P123/Market_Price)</f>
        <v>3.5231816487011479E-2</v>
      </c>
      <c r="Q124" s="74" t="str">
        <f t="shared" ref="Q124" si="59">IF(Q$4="","",Q123/Market_Price)</f>
        <v/>
      </c>
    </row>
    <row r="125" spans="1:17" ht="15.75" customHeight="1">
      <c r="B125" s="2" t="s">
        <v>307</v>
      </c>
      <c r="C125" s="152"/>
      <c r="G125" s="22">
        <f>IF(G$4="","",(Data!C47*$C$3)/(Market_Price*Common_Shares))</f>
        <v>7.2425046501817816E-2</v>
      </c>
      <c r="H125" s="22">
        <f>IF(H$4="","",(Data!D47*$C$3)/(Market_Price*Common_Shares))</f>
        <v>0.14212101808437899</v>
      </c>
      <c r="I125" s="22">
        <f>IF(I$4="","",(Data!E47*$C$3)/(Market_Price*Common_Shares))</f>
        <v>0.11806511100394963</v>
      </c>
      <c r="J125" s="22">
        <f>IF(J$4="","",(Data!F47*$C$3)/(Market_Price*Common_Shares))</f>
        <v>0.12955737072930382</v>
      </c>
      <c r="K125" s="22">
        <f>IF(K$4="","",(Data!G47*$C$3)/(Market_Price*Common_Shares))</f>
        <v>0.11028506305910615</v>
      </c>
      <c r="L125" s="22">
        <f>IF(L$4="","",(Data!H47*$C$3)/(Market_Price*Common_Shares))</f>
        <v>0.10708327857806152</v>
      </c>
      <c r="M125" s="22">
        <f>IF(M$4="","",(Data!I47*$C$3)/(Market_Price*Common_Shares))</f>
        <v>8.9653606177519884E-2</v>
      </c>
      <c r="N125" s="22">
        <f>IF(N$4="","",(Data!J47*$C$3)/(Market_Price*Common_Shares))</f>
        <v>8.0120775643126099E-2</v>
      </c>
      <c r="O125" s="22">
        <f>IF(O$4="","",(Data!K47*$C$3)/(Market_Price*Common_Shares))</f>
        <v>6.5315034507001019E-2</v>
      </c>
      <c r="P125" s="22">
        <f>IF(P$4="","",(Data!L47*$C$3)/(Market_Price*Common_Shares))</f>
        <v>5.3178951931164765E-2</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02"/>
  <sheetViews>
    <sheetView showGridLines="0" tabSelected="1" topLeftCell="A23" zoomScale="85" zoomScaleNormal="85" workbookViewId="0">
      <selection activeCell="I9" sqref="I9"/>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v>
      </c>
      <c r="E3" s="106" t="s">
        <v>430</v>
      </c>
      <c r="H3" s="106" t="s">
        <v>419</v>
      </c>
    </row>
    <row r="4" spans="2:15">
      <c r="B4" s="97" t="s">
        <v>395</v>
      </c>
      <c r="C4" s="283">
        <f>Normalized_FCF!C19</f>
        <v>347072.73055558326</v>
      </c>
      <c r="D4" t="str">
        <f>Reporting_currency</f>
        <v>CNY</v>
      </c>
      <c r="E4" s="136" t="s">
        <v>437</v>
      </c>
      <c r="F4" s="283">
        <f>-BS!G31</f>
        <v>-134804</v>
      </c>
      <c r="G4" t="str">
        <f>Reporting_currency</f>
        <v>CNY</v>
      </c>
      <c r="H4" s="316" t="s">
        <v>396</v>
      </c>
      <c r="I4" s="313">
        <f>Normalized_FCF!C4</f>
        <v>1454238.7999999998</v>
      </c>
      <c r="J4" s="313"/>
    </row>
    <row r="5" spans="2:15">
      <c r="B5" s="188" t="s">
        <v>105</v>
      </c>
      <c r="C5" s="189">
        <f>Equity_Cost</f>
        <v>7.2499999999999995E-2</v>
      </c>
      <c r="E5" s="136" t="s">
        <v>438</v>
      </c>
      <c r="F5" s="283">
        <f>BS!D66</f>
        <v>1507763.8216088</v>
      </c>
      <c r="G5" t="str">
        <f>Reporting_currency</f>
        <v>CNY</v>
      </c>
      <c r="H5" s="316" t="s">
        <v>398</v>
      </c>
      <c r="I5" s="313">
        <f>Normalized_FCF!C7</f>
        <v>-486720</v>
      </c>
      <c r="J5" s="313"/>
    </row>
    <row r="6" spans="2:15" ht="13.25" customHeight="1">
      <c r="B6" s="137" t="s">
        <v>194</v>
      </c>
      <c r="C6" s="291">
        <f>(C4*(1+Terminal_Growth))/(Equity_Cost-Terminal_Growth)</f>
        <v>4787210.0766287353</v>
      </c>
      <c r="D6" t="str">
        <f>Reporting_currency</f>
        <v>CNY</v>
      </c>
      <c r="E6" s="188" t="s">
        <v>439</v>
      </c>
      <c r="F6" s="292">
        <f>BS!H42</f>
        <v>187786.09999999998</v>
      </c>
      <c r="G6" t="str">
        <f>Reporting_currency</f>
        <v>CNY</v>
      </c>
      <c r="H6" s="316" t="s">
        <v>421</v>
      </c>
      <c r="I6" s="313">
        <f>I7+I8</f>
        <v>-7249.7949296527995</v>
      </c>
      <c r="J6" s="313"/>
      <c r="N6" s="136"/>
    </row>
    <row r="7" spans="2:15" ht="12.75" customHeight="1">
      <c r="B7" s="326" t="s">
        <v>436</v>
      </c>
      <c r="C7" s="283">
        <f>F7</f>
        <v>1560745.9216088001</v>
      </c>
      <c r="E7" s="141" t="s">
        <v>430</v>
      </c>
      <c r="F7" s="291">
        <f>SUM(F4:F6)</f>
        <v>1560745.9216088001</v>
      </c>
      <c r="G7" t="str">
        <f>Reporting_currency</f>
        <v>CNY</v>
      </c>
      <c r="H7" s="320" t="s">
        <v>422</v>
      </c>
      <c r="I7" s="321">
        <f>Normalized_FCF!C9</f>
        <v>-2798</v>
      </c>
      <c r="J7" s="321"/>
      <c r="N7" s="312"/>
      <c r="O7" s="312"/>
    </row>
    <row r="8" spans="2:15" ht="13.15">
      <c r="B8" s="137" t="s">
        <v>432</v>
      </c>
      <c r="C8" s="291">
        <f>C6+C7</f>
        <v>6347955.9982375354</v>
      </c>
      <c r="D8" t="str">
        <f>Reporting_currency</f>
        <v>CNY</v>
      </c>
      <c r="E8" s="141" t="s">
        <v>470</v>
      </c>
      <c r="F8" s="108">
        <f>FV_adjustments*scaling_factor/Common_Shares*Exchange_Rate</f>
        <v>0.7356209414365823</v>
      </c>
      <c r="G8" s="302" t="str">
        <f>Market_currency</f>
        <v>HKD</v>
      </c>
      <c r="H8" s="322" t="str">
        <f>Normalized_FCF!B10</f>
        <v>Net Interest Income</v>
      </c>
      <c r="I8" s="321">
        <f>Normalized_FCF!C10</f>
        <v>-4451.7949296527995</v>
      </c>
      <c r="J8" s="321"/>
      <c r="N8" s="312"/>
      <c r="O8" s="312"/>
    </row>
    <row r="9" spans="2:15" ht="13.15" thickBot="1">
      <c r="B9" s="190" t="str">
        <f>"*"&amp;Thesis!E15</f>
        <v>*CNY/HKD</v>
      </c>
      <c r="C9" s="191">
        <f>Exchange_Rate</f>
        <v>1.0934131500000002</v>
      </c>
      <c r="D9" t="str">
        <f>Thesis!E15</f>
        <v>CNY/HKD</v>
      </c>
      <c r="F9" s="331"/>
      <c r="H9" s="316" t="str">
        <f>Normalized_FCF!B79</f>
        <v>NCI’s Share of Profits</v>
      </c>
      <c r="I9" s="145">
        <f>Normalized_FCF!C79</f>
        <v>7.2924369950228912E-2</v>
      </c>
      <c r="J9" s="314"/>
      <c r="N9" s="312"/>
      <c r="O9" s="312"/>
    </row>
    <row r="10" spans="2:15" ht="13.5" thickTop="1">
      <c r="B10" s="107" t="s">
        <v>433</v>
      </c>
      <c r="C10" s="291">
        <f>C8*Exchange_Rate</f>
        <v>6940938.5640942995</v>
      </c>
      <c r="D10" t="str">
        <f>Market_currency</f>
        <v>HKD</v>
      </c>
      <c r="H10" s="316" t="s">
        <v>400</v>
      </c>
      <c r="I10" s="314">
        <f>Normalized_FCF!C41</f>
        <v>0.25</v>
      </c>
      <c r="N10" s="312"/>
      <c r="O10" s="312"/>
    </row>
    <row r="11" spans="2:15" ht="13.15">
      <c r="B11" s="137" t="s">
        <v>431</v>
      </c>
      <c r="C11" s="108">
        <f>(C10*scaling_factor)/Common_Shares</f>
        <v>2.9919600000030946</v>
      </c>
      <c r="D11" t="str">
        <f>Market_currency</f>
        <v>HKD</v>
      </c>
      <c r="E11" s="315"/>
      <c r="I11" s="315"/>
      <c r="J11" s="315"/>
    </row>
    <row r="13" spans="2:15" ht="13.9">
      <c r="B13" s="34" t="s">
        <v>434</v>
      </c>
      <c r="C13" s="35"/>
      <c r="D13" s="35"/>
      <c r="E13" s="35"/>
      <c r="F13" s="35"/>
      <c r="G13" s="35"/>
      <c r="H13" s="35"/>
      <c r="I13" s="35"/>
      <c r="J13" s="35"/>
      <c r="K13" s="35"/>
      <c r="L13" s="35"/>
    </row>
    <row r="14" spans="2:15" ht="13.15">
      <c r="B14" s="106" t="s">
        <v>402</v>
      </c>
      <c r="C14" s="317" t="s">
        <v>410</v>
      </c>
      <c r="E14" s="106" t="s">
        <v>402</v>
      </c>
      <c r="F14" s="317" t="str">
        <f>IF(F17=C17,"I","II")</f>
        <v>I</v>
      </c>
      <c r="H14" s="106" t="s">
        <v>418</v>
      </c>
    </row>
    <row r="15" spans="2:15">
      <c r="B15" s="140" t="s">
        <v>427</v>
      </c>
      <c r="C15" s="149">
        <f>Scenarios!C45</f>
        <v>5</v>
      </c>
      <c r="E15" s="316" t="str">
        <f>IF(F14="II","Change year","Terminal Year")</f>
        <v>Terminal Year</v>
      </c>
      <c r="F15" s="318">
        <f>IF(F14="II",_xlfn.CEILING.MATH(C15/2),C15+1)</f>
        <v>6</v>
      </c>
      <c r="H15" s="97" t="s">
        <v>435</v>
      </c>
      <c r="I15" s="127">
        <f>Terminal_Growth</f>
        <v>0</v>
      </c>
      <c r="J15" s="127"/>
    </row>
    <row r="16" spans="2:15" ht="13.25" customHeight="1">
      <c r="B16" s="114" t="s">
        <v>428</v>
      </c>
      <c r="C16" s="148">
        <f>Scenarios!C46</f>
        <v>1.8613012126595999E-2</v>
      </c>
      <c r="E16" s="316" t="s">
        <v>403</v>
      </c>
      <c r="F16" s="319">
        <f>Scenarios!C41</f>
        <v>1.8613012126595999E-2</v>
      </c>
    </row>
    <row r="17" spans="1:21" ht="13.25" customHeight="1">
      <c r="B17" s="316" t="s">
        <v>397</v>
      </c>
      <c r="C17" s="314">
        <f>Normalized_FCF!C32</f>
        <v>0.24487456943110034</v>
      </c>
      <c r="E17" s="316" t="s">
        <v>404</v>
      </c>
      <c r="F17" s="319">
        <f>Scenarios!C40</f>
        <v>0.24487456943110034</v>
      </c>
      <c r="H17" s="106" t="s">
        <v>417</v>
      </c>
    </row>
    <row r="18" spans="1:21" ht="13.25" customHeight="1">
      <c r="B18" s="316" t="s">
        <v>429</v>
      </c>
      <c r="C18" s="314">
        <f>Normalized_FCF!C81-Normalized_FCF!C82</f>
        <v>0</v>
      </c>
      <c r="E18" s="316" t="s">
        <v>429</v>
      </c>
      <c r="F18" s="145">
        <f>IF(F14="II",C18/2,C18)</f>
        <v>0</v>
      </c>
      <c r="H18" s="141" t="s">
        <v>97</v>
      </c>
      <c r="I18" s="130">
        <f>(L52+FV_adjustments)*Exchange_Rate/Common_Shares*scaling_factor</f>
        <v>3.1848542843959486</v>
      </c>
      <c r="J18" t="str">
        <f>Market_currency</f>
        <v>HKD</v>
      </c>
    </row>
    <row r="19" spans="1:21">
      <c r="L19" s="283"/>
    </row>
    <row r="20" spans="1:21" ht="13.15">
      <c r="A20" s="122" t="s">
        <v>402</v>
      </c>
      <c r="B20" s="122" t="s">
        <v>98</v>
      </c>
      <c r="C20" s="122" t="s">
        <v>396</v>
      </c>
      <c r="D20" s="122" t="s">
        <v>102</v>
      </c>
      <c r="E20" s="122" t="s">
        <v>397</v>
      </c>
      <c r="F20" s="122" t="s">
        <v>398</v>
      </c>
      <c r="G20" s="122" t="s">
        <v>551</v>
      </c>
      <c r="H20" s="122" t="str">
        <f>B18</f>
        <v>D&amp;A - maint. Capx</v>
      </c>
      <c r="I20" s="122" t="s">
        <v>424</v>
      </c>
      <c r="J20" s="122" t="s">
        <v>535</v>
      </c>
      <c r="K20" s="122" t="s">
        <v>536</v>
      </c>
      <c r="L20" s="123" t="s">
        <v>425</v>
      </c>
    </row>
    <row r="21" spans="1:21">
      <c r="A21" s="310" t="str">
        <f t="shared" ref="A21:A50" si="0">IF($C$15&lt;B21,"",IF(B21&gt;=$F$15,"II","I"))</f>
        <v>I</v>
      </c>
      <c r="B21" s="118">
        <v>1</v>
      </c>
      <c r="C21" s="285">
        <f>I4*(1+D21)</f>
        <v>1481306.5644193662</v>
      </c>
      <c r="D21" s="307">
        <f t="shared" ref="D21:D50" si="1">IF(A21="",0,IF(A21="I",$C$16,$F$16))</f>
        <v>1.8613012126595999E-2</v>
      </c>
      <c r="E21" s="307">
        <f>$C$17</f>
        <v>0.24487456943110034</v>
      </c>
      <c r="F21" s="285">
        <f>I5*(1+D21)</f>
        <v>-495779.32526225678</v>
      </c>
      <c r="G21" s="285">
        <f>C21*(1-E21)+F21+$I$6</f>
        <v>615543.1370698018</v>
      </c>
      <c r="H21" s="307">
        <f t="shared" ref="H21:H50" si="2">IF(A21="",0%,IF(A21="I",$C$18,$F$18))</f>
        <v>0</v>
      </c>
      <c r="I21" s="285">
        <f>(G21*(1-$I$10)+C21*(H21-$I$9))</f>
        <v>353634.00488893088</v>
      </c>
      <c r="J21" s="307">
        <f>I21/C4-1</f>
        <v>1.8904609194863919E-2</v>
      </c>
      <c r="K21" s="120">
        <f t="shared" ref="K21:K50" si="3">IF($C$15&lt;B21,0,1/(1+Equity_Cost)^B21)</f>
        <v>0.93240093240093236</v>
      </c>
      <c r="L21" s="285">
        <f t="shared" ref="L21:L50" si="4">I21*K21</f>
        <v>329728.67588711501</v>
      </c>
    </row>
    <row r="22" spans="1:21">
      <c r="A22" s="310" t="str">
        <f t="shared" si="0"/>
        <v>I</v>
      </c>
      <c r="B22" s="118">
        <v>2</v>
      </c>
      <c r="C22" s="285">
        <f t="shared" ref="C22:C50" si="5">IF(A22="",0,C21*(1+D22))</f>
        <v>1508878.14146611</v>
      </c>
      <c r="D22" s="307">
        <f t="shared" si="1"/>
        <v>1.8613012126595999E-2</v>
      </c>
      <c r="E22" s="307">
        <f t="shared" ref="E22:E50" si="6">IF($C$15&lt;B22,0,IF(B22&gt;=$F$15,$F$17,$C$17))</f>
        <v>0.24487456943110034</v>
      </c>
      <c r="F22" s="285">
        <f t="shared" ref="F22:F50" si="7">IF(A22="",0,F21*(1+D22))</f>
        <v>-505007.2718554787</v>
      </c>
      <c r="G22" s="285">
        <f t="shared" ref="G22:G50" si="8">IF(A22="", 0,C22*(1-E22)+F22+$I$6)</f>
        <v>627135.18946546607</v>
      </c>
      <c r="H22" s="307">
        <f t="shared" si="2"/>
        <v>0</v>
      </c>
      <c r="I22" s="285">
        <f>IF(A22="", 0,G22*(1-$I$10)+C22*(H22-$I$9))</f>
        <v>360317.40430101112</v>
      </c>
      <c r="J22" s="307">
        <f>IF(A22="", 0,I22/I21-1)</f>
        <v>1.8899198944907436E-2</v>
      </c>
      <c r="K22" s="120">
        <f t="shared" si="3"/>
        <v>0.86937149874212816</v>
      </c>
      <c r="L22" s="285">
        <f t="shared" si="4"/>
        <v>313249.68180004339</v>
      </c>
    </row>
    <row r="23" spans="1:21">
      <c r="A23" s="310" t="str">
        <f t="shared" si="0"/>
        <v>I</v>
      </c>
      <c r="B23" s="118">
        <v>3</v>
      </c>
      <c r="C23" s="285">
        <f t="shared" si="5"/>
        <v>1536962.9086107742</v>
      </c>
      <c r="D23" s="307">
        <f t="shared" si="1"/>
        <v>1.8613012126595999E-2</v>
      </c>
      <c r="E23" s="307">
        <f t="shared" si="6"/>
        <v>0.24487456943110034</v>
      </c>
      <c r="F23" s="285">
        <f t="shared" si="7"/>
        <v>-514406.97833054385</v>
      </c>
      <c r="G23" s="285">
        <f t="shared" si="8"/>
        <v>638943.00487294258</v>
      </c>
      <c r="H23" s="307">
        <f t="shared" si="2"/>
        <v>0</v>
      </c>
      <c r="I23" s="285">
        <f t="shared" ref="I23:I50" si="9">IF(A23="", 0,G23*(1-$I$10)+C23*(H23-$I$9))</f>
        <v>367125.20190739498</v>
      </c>
      <c r="J23" s="307">
        <f t="shared" ref="J23:J50" si="10">IF(A23="", 0,I23/I22-1)</f>
        <v>1.8893890567374783E-2</v>
      </c>
      <c r="K23" s="120">
        <f t="shared" si="3"/>
        <v>0.81060279602995633</v>
      </c>
      <c r="L23" s="285">
        <f t="shared" si="4"/>
        <v>297592.71515919664</v>
      </c>
      <c r="N23" s="283"/>
      <c r="O23" s="283"/>
      <c r="P23" s="283"/>
      <c r="Q23" s="283"/>
      <c r="R23" s="283"/>
      <c r="S23" s="283"/>
      <c r="T23" s="283"/>
      <c r="U23" s="283"/>
    </row>
    <row r="24" spans="1:21">
      <c r="A24" s="310" t="str">
        <f t="shared" si="0"/>
        <v>I</v>
      </c>
      <c r="B24" s="118">
        <v>4</v>
      </c>
      <c r="C24" s="285">
        <f t="shared" si="5"/>
        <v>1565570.4178668747</v>
      </c>
      <c r="D24" s="307">
        <f t="shared" si="1"/>
        <v>1.8613012126595999E-2</v>
      </c>
      <c r="E24" s="307">
        <f t="shared" si="6"/>
        <v>0.24487456943110034</v>
      </c>
      <c r="F24" s="285">
        <f t="shared" si="7"/>
        <v>-523981.64165621583</v>
      </c>
      <c r="G24" s="285">
        <f t="shared" si="8"/>
        <v>650970.59929178737</v>
      </c>
      <c r="H24" s="307">
        <f t="shared" si="2"/>
        <v>0</v>
      </c>
      <c r="I24" s="285">
        <f t="shared" si="9"/>
        <v>374059.71313318203</v>
      </c>
      <c r="J24" s="307">
        <f t="shared" si="10"/>
        <v>1.888868208926775E-2</v>
      </c>
      <c r="K24" s="120">
        <f t="shared" si="3"/>
        <v>0.75580680282513402</v>
      </c>
      <c r="L24" s="285">
        <f t="shared" si="4"/>
        <v>282716.87584887713</v>
      </c>
      <c r="N24" s="283"/>
      <c r="O24" s="283"/>
      <c r="P24" s="283"/>
      <c r="Q24" s="283"/>
      <c r="R24" s="283"/>
      <c r="S24" s="283"/>
      <c r="T24" s="283"/>
      <c r="U24" s="283"/>
    </row>
    <row r="25" spans="1:21">
      <c r="A25" s="310" t="str">
        <f t="shared" si="0"/>
        <v>I</v>
      </c>
      <c r="B25" s="118">
        <v>5</v>
      </c>
      <c r="C25" s="285">
        <f t="shared" si="5"/>
        <v>1594710.3990396708</v>
      </c>
      <c r="D25" s="307">
        <f t="shared" si="1"/>
        <v>1.8613012126595999E-2</v>
      </c>
      <c r="E25" s="307">
        <f t="shared" si="6"/>
        <v>0.24487456943110034</v>
      </c>
      <c r="F25" s="285">
        <f t="shared" si="7"/>
        <v>-533734.51830647665</v>
      </c>
      <c r="G25" s="285">
        <f t="shared" si="8"/>
        <v>663222.0634714039</v>
      </c>
      <c r="H25" s="307">
        <f t="shared" si="2"/>
        <v>0</v>
      </c>
      <c r="I25" s="285">
        <f t="shared" si="9"/>
        <v>381123.29650050681</v>
      </c>
      <c r="J25" s="307">
        <f t="shared" si="10"/>
        <v>1.8883571577807956E-2</v>
      </c>
      <c r="K25" s="120">
        <f t="shared" si="3"/>
        <v>0.70471496766912267</v>
      </c>
      <c r="L25" s="285">
        <f t="shared" si="4"/>
        <v>268583.29157130409</v>
      </c>
      <c r="N25" s="283"/>
      <c r="O25" s="283"/>
      <c r="P25" s="283"/>
      <c r="Q25" s="283"/>
      <c r="R25" s="283"/>
      <c r="S25" s="283"/>
      <c r="T25" s="283"/>
      <c r="U25" s="283"/>
    </row>
    <row r="26" spans="1:21">
      <c r="A26" s="310" t="str">
        <f t="shared" si="0"/>
        <v/>
      </c>
      <c r="B26" s="118">
        <v>6</v>
      </c>
      <c r="C26" s="285">
        <f t="shared" si="5"/>
        <v>0</v>
      </c>
      <c r="D26" s="307">
        <f t="shared" si="1"/>
        <v>0</v>
      </c>
      <c r="E26" s="307">
        <f t="shared" si="6"/>
        <v>0</v>
      </c>
      <c r="F26" s="285">
        <f t="shared" si="7"/>
        <v>0</v>
      </c>
      <c r="G26" s="285">
        <f t="shared" si="8"/>
        <v>0</v>
      </c>
      <c r="H26" s="307">
        <f t="shared" si="2"/>
        <v>0</v>
      </c>
      <c r="I26" s="285">
        <f t="shared" si="9"/>
        <v>0</v>
      </c>
      <c r="J26" s="307">
        <f t="shared" si="10"/>
        <v>0</v>
      </c>
      <c r="K26" s="120">
        <f t="shared" si="3"/>
        <v>0</v>
      </c>
      <c r="L26" s="285">
        <f t="shared" si="4"/>
        <v>0</v>
      </c>
    </row>
    <row r="27" spans="1:21">
      <c r="A27" s="310" t="str">
        <f t="shared" si="0"/>
        <v/>
      </c>
      <c r="B27" s="118">
        <v>7</v>
      </c>
      <c r="C27" s="285">
        <f t="shared" si="5"/>
        <v>0</v>
      </c>
      <c r="D27" s="307">
        <f t="shared" si="1"/>
        <v>0</v>
      </c>
      <c r="E27" s="307">
        <f t="shared" si="6"/>
        <v>0</v>
      </c>
      <c r="F27" s="285">
        <f t="shared" si="7"/>
        <v>0</v>
      </c>
      <c r="G27" s="285">
        <f t="shared" si="8"/>
        <v>0</v>
      </c>
      <c r="H27" s="307">
        <f t="shared" si="2"/>
        <v>0</v>
      </c>
      <c r="I27" s="285">
        <f t="shared" si="9"/>
        <v>0</v>
      </c>
      <c r="J27" s="307">
        <f t="shared" si="10"/>
        <v>0</v>
      </c>
      <c r="K27" s="120">
        <f t="shared" si="3"/>
        <v>0</v>
      </c>
      <c r="L27" s="285">
        <f t="shared" si="4"/>
        <v>0</v>
      </c>
    </row>
    <row r="28" spans="1:21">
      <c r="A28" s="310" t="str">
        <f t="shared" si="0"/>
        <v/>
      </c>
      <c r="B28" s="118">
        <v>8</v>
      </c>
      <c r="C28" s="285">
        <f t="shared" si="5"/>
        <v>0</v>
      </c>
      <c r="D28" s="307">
        <f t="shared" si="1"/>
        <v>0</v>
      </c>
      <c r="E28" s="307">
        <f t="shared" si="6"/>
        <v>0</v>
      </c>
      <c r="F28" s="285">
        <f t="shared" si="7"/>
        <v>0</v>
      </c>
      <c r="G28" s="285">
        <f t="shared" si="8"/>
        <v>0</v>
      </c>
      <c r="H28" s="307">
        <f t="shared" si="2"/>
        <v>0</v>
      </c>
      <c r="I28" s="285">
        <f t="shared" si="9"/>
        <v>0</v>
      </c>
      <c r="J28" s="307">
        <f t="shared" si="10"/>
        <v>0</v>
      </c>
      <c r="K28" s="120">
        <f t="shared" si="3"/>
        <v>0</v>
      </c>
      <c r="L28" s="285">
        <f t="shared" si="4"/>
        <v>0</v>
      </c>
    </row>
    <row r="29" spans="1:21">
      <c r="A29" s="310" t="str">
        <f t="shared" si="0"/>
        <v/>
      </c>
      <c r="B29" s="118">
        <v>9</v>
      </c>
      <c r="C29" s="285">
        <f t="shared" si="5"/>
        <v>0</v>
      </c>
      <c r="D29" s="307">
        <f t="shared" si="1"/>
        <v>0</v>
      </c>
      <c r="E29" s="307">
        <f t="shared" si="6"/>
        <v>0</v>
      </c>
      <c r="F29" s="285">
        <f t="shared" si="7"/>
        <v>0</v>
      </c>
      <c r="G29" s="285">
        <f t="shared" si="8"/>
        <v>0</v>
      </c>
      <c r="H29" s="307">
        <f t="shared" si="2"/>
        <v>0</v>
      </c>
      <c r="I29" s="285">
        <f t="shared" si="9"/>
        <v>0</v>
      </c>
      <c r="J29" s="307">
        <f t="shared" si="10"/>
        <v>0</v>
      </c>
      <c r="K29" s="120">
        <f t="shared" si="3"/>
        <v>0</v>
      </c>
      <c r="L29" s="285">
        <f t="shared" si="4"/>
        <v>0</v>
      </c>
    </row>
    <row r="30" spans="1:21">
      <c r="A30" s="310" t="str">
        <f t="shared" si="0"/>
        <v/>
      </c>
      <c r="B30" s="118">
        <v>10</v>
      </c>
      <c r="C30" s="285">
        <f t="shared" si="5"/>
        <v>0</v>
      </c>
      <c r="D30" s="307">
        <f t="shared" si="1"/>
        <v>0</v>
      </c>
      <c r="E30" s="307">
        <f t="shared" si="6"/>
        <v>0</v>
      </c>
      <c r="F30" s="285">
        <f t="shared" si="7"/>
        <v>0</v>
      </c>
      <c r="G30" s="285">
        <f t="shared" si="8"/>
        <v>0</v>
      </c>
      <c r="H30" s="307">
        <f t="shared" si="2"/>
        <v>0</v>
      </c>
      <c r="I30" s="285">
        <f t="shared" si="9"/>
        <v>0</v>
      </c>
      <c r="J30" s="307">
        <f t="shared" si="10"/>
        <v>0</v>
      </c>
      <c r="K30" s="120">
        <f t="shared" si="3"/>
        <v>0</v>
      </c>
      <c r="L30" s="285">
        <f t="shared" si="4"/>
        <v>0</v>
      </c>
    </row>
    <row r="31" spans="1:21">
      <c r="A31" s="310" t="str">
        <f t="shared" si="0"/>
        <v/>
      </c>
      <c r="B31" s="118">
        <v>11</v>
      </c>
      <c r="C31" s="285">
        <f t="shared" si="5"/>
        <v>0</v>
      </c>
      <c r="D31" s="307">
        <f t="shared" si="1"/>
        <v>0</v>
      </c>
      <c r="E31" s="307">
        <f t="shared" si="6"/>
        <v>0</v>
      </c>
      <c r="F31" s="285">
        <f t="shared" si="7"/>
        <v>0</v>
      </c>
      <c r="G31" s="285">
        <f t="shared" si="8"/>
        <v>0</v>
      </c>
      <c r="H31" s="307">
        <f t="shared" si="2"/>
        <v>0</v>
      </c>
      <c r="I31" s="285">
        <f t="shared" si="9"/>
        <v>0</v>
      </c>
      <c r="J31" s="307">
        <f t="shared" si="10"/>
        <v>0</v>
      </c>
      <c r="K31" s="120">
        <f t="shared" si="3"/>
        <v>0</v>
      </c>
      <c r="L31" s="285">
        <f t="shared" si="4"/>
        <v>0</v>
      </c>
    </row>
    <row r="32" spans="1:21">
      <c r="A32" s="310" t="str">
        <f t="shared" si="0"/>
        <v/>
      </c>
      <c r="B32" s="118">
        <v>12</v>
      </c>
      <c r="C32" s="285">
        <f t="shared" si="5"/>
        <v>0</v>
      </c>
      <c r="D32" s="307">
        <f t="shared" si="1"/>
        <v>0</v>
      </c>
      <c r="E32" s="307">
        <f t="shared" si="6"/>
        <v>0</v>
      </c>
      <c r="F32" s="285">
        <f t="shared" si="7"/>
        <v>0</v>
      </c>
      <c r="G32" s="285">
        <f t="shared" si="8"/>
        <v>0</v>
      </c>
      <c r="H32" s="307">
        <f t="shared" si="2"/>
        <v>0</v>
      </c>
      <c r="I32" s="285">
        <f t="shared" si="9"/>
        <v>0</v>
      </c>
      <c r="J32" s="307">
        <f t="shared" si="10"/>
        <v>0</v>
      </c>
      <c r="K32" s="120">
        <f t="shared" si="3"/>
        <v>0</v>
      </c>
      <c r="L32" s="285">
        <f t="shared" si="4"/>
        <v>0</v>
      </c>
    </row>
    <row r="33" spans="1:21">
      <c r="A33" s="310" t="str">
        <f t="shared" si="0"/>
        <v/>
      </c>
      <c r="B33" s="118">
        <v>13</v>
      </c>
      <c r="C33" s="285">
        <f t="shared" si="5"/>
        <v>0</v>
      </c>
      <c r="D33" s="307">
        <f t="shared" si="1"/>
        <v>0</v>
      </c>
      <c r="E33" s="307">
        <f t="shared" si="6"/>
        <v>0</v>
      </c>
      <c r="F33" s="285">
        <f t="shared" si="7"/>
        <v>0</v>
      </c>
      <c r="G33" s="285">
        <f t="shared" si="8"/>
        <v>0</v>
      </c>
      <c r="H33" s="307">
        <f t="shared" si="2"/>
        <v>0</v>
      </c>
      <c r="I33" s="285">
        <f t="shared" si="9"/>
        <v>0</v>
      </c>
      <c r="J33" s="307">
        <f t="shared" si="10"/>
        <v>0</v>
      </c>
      <c r="K33" s="120">
        <f t="shared" si="3"/>
        <v>0</v>
      </c>
      <c r="L33" s="285">
        <f t="shared" si="4"/>
        <v>0</v>
      </c>
      <c r="N33" s="283"/>
      <c r="O33" s="283"/>
      <c r="P33" s="283"/>
      <c r="Q33" s="283"/>
      <c r="R33" s="283"/>
      <c r="S33" s="283"/>
      <c r="T33" s="283"/>
      <c r="U33" s="283"/>
    </row>
    <row r="34" spans="1:21">
      <c r="A34" s="310" t="str">
        <f t="shared" si="0"/>
        <v/>
      </c>
      <c r="B34" s="118">
        <v>14</v>
      </c>
      <c r="C34" s="285">
        <f t="shared" si="5"/>
        <v>0</v>
      </c>
      <c r="D34" s="307">
        <f t="shared" si="1"/>
        <v>0</v>
      </c>
      <c r="E34" s="307">
        <f t="shared" si="6"/>
        <v>0</v>
      </c>
      <c r="F34" s="285">
        <f t="shared" si="7"/>
        <v>0</v>
      </c>
      <c r="G34" s="285">
        <f t="shared" si="8"/>
        <v>0</v>
      </c>
      <c r="H34" s="307">
        <f t="shared" si="2"/>
        <v>0</v>
      </c>
      <c r="I34" s="285">
        <f t="shared" si="9"/>
        <v>0</v>
      </c>
      <c r="J34" s="307">
        <f t="shared" si="10"/>
        <v>0</v>
      </c>
      <c r="K34" s="120">
        <f t="shared" si="3"/>
        <v>0</v>
      </c>
      <c r="L34" s="285">
        <f t="shared" si="4"/>
        <v>0</v>
      </c>
      <c r="N34" s="283"/>
      <c r="O34" s="283"/>
      <c r="P34" s="283"/>
      <c r="Q34" s="283"/>
      <c r="R34" s="283"/>
      <c r="S34" s="283"/>
      <c r="T34" s="283"/>
      <c r="U34" s="283"/>
    </row>
    <row r="35" spans="1:21">
      <c r="A35" s="310" t="str">
        <f t="shared" si="0"/>
        <v/>
      </c>
      <c r="B35" s="118">
        <v>15</v>
      </c>
      <c r="C35" s="285">
        <f t="shared" si="5"/>
        <v>0</v>
      </c>
      <c r="D35" s="307">
        <f t="shared" si="1"/>
        <v>0</v>
      </c>
      <c r="E35" s="307">
        <f t="shared" si="6"/>
        <v>0</v>
      </c>
      <c r="F35" s="285">
        <f t="shared" si="7"/>
        <v>0</v>
      </c>
      <c r="G35" s="285">
        <f t="shared" si="8"/>
        <v>0</v>
      </c>
      <c r="H35" s="307">
        <f t="shared" si="2"/>
        <v>0</v>
      </c>
      <c r="I35" s="285">
        <f t="shared" si="9"/>
        <v>0</v>
      </c>
      <c r="J35" s="307">
        <f t="shared" si="10"/>
        <v>0</v>
      </c>
      <c r="K35" s="120">
        <f t="shared" si="3"/>
        <v>0</v>
      </c>
      <c r="L35" s="285">
        <f t="shared" si="4"/>
        <v>0</v>
      </c>
      <c r="N35" s="283"/>
      <c r="O35" s="283"/>
      <c r="P35" s="283"/>
      <c r="Q35" s="283"/>
      <c r="R35" s="283"/>
      <c r="S35" s="283"/>
      <c r="T35" s="283"/>
      <c r="U35" s="283"/>
    </row>
    <row r="36" spans="1:21">
      <c r="A36" s="310" t="str">
        <f t="shared" si="0"/>
        <v/>
      </c>
      <c r="B36" s="118">
        <v>16</v>
      </c>
      <c r="C36" s="285">
        <f t="shared" si="5"/>
        <v>0</v>
      </c>
      <c r="D36" s="307">
        <f t="shared" si="1"/>
        <v>0</v>
      </c>
      <c r="E36" s="307">
        <f t="shared" si="6"/>
        <v>0</v>
      </c>
      <c r="F36" s="285">
        <f t="shared" si="7"/>
        <v>0</v>
      </c>
      <c r="G36" s="285">
        <f t="shared" si="8"/>
        <v>0</v>
      </c>
      <c r="H36" s="307">
        <f t="shared" si="2"/>
        <v>0</v>
      </c>
      <c r="I36" s="285">
        <f t="shared" si="9"/>
        <v>0</v>
      </c>
      <c r="J36" s="307">
        <f t="shared" si="10"/>
        <v>0</v>
      </c>
      <c r="K36" s="120">
        <f t="shared" si="3"/>
        <v>0</v>
      </c>
      <c r="L36" s="285">
        <f t="shared" si="4"/>
        <v>0</v>
      </c>
    </row>
    <row r="37" spans="1:21">
      <c r="A37" s="310" t="str">
        <f t="shared" si="0"/>
        <v/>
      </c>
      <c r="B37" s="118">
        <v>17</v>
      </c>
      <c r="C37" s="285">
        <f t="shared" si="5"/>
        <v>0</v>
      </c>
      <c r="D37" s="307">
        <f t="shared" si="1"/>
        <v>0</v>
      </c>
      <c r="E37" s="307">
        <f t="shared" si="6"/>
        <v>0</v>
      </c>
      <c r="F37" s="285">
        <f t="shared" si="7"/>
        <v>0</v>
      </c>
      <c r="G37" s="285">
        <f t="shared" si="8"/>
        <v>0</v>
      </c>
      <c r="H37" s="307">
        <f t="shared" si="2"/>
        <v>0</v>
      </c>
      <c r="I37" s="285">
        <f t="shared" si="9"/>
        <v>0</v>
      </c>
      <c r="J37" s="307">
        <f t="shared" si="10"/>
        <v>0</v>
      </c>
      <c r="K37" s="120">
        <f t="shared" si="3"/>
        <v>0</v>
      </c>
      <c r="L37" s="285">
        <f t="shared" si="4"/>
        <v>0</v>
      </c>
    </row>
    <row r="38" spans="1:21">
      <c r="A38" s="310" t="str">
        <f t="shared" si="0"/>
        <v/>
      </c>
      <c r="B38" s="118">
        <v>18</v>
      </c>
      <c r="C38" s="285">
        <f t="shared" si="5"/>
        <v>0</v>
      </c>
      <c r="D38" s="307">
        <f t="shared" si="1"/>
        <v>0</v>
      </c>
      <c r="E38" s="307">
        <f t="shared" si="6"/>
        <v>0</v>
      </c>
      <c r="F38" s="285">
        <f t="shared" si="7"/>
        <v>0</v>
      </c>
      <c r="G38" s="285">
        <f t="shared" si="8"/>
        <v>0</v>
      </c>
      <c r="H38" s="307">
        <f t="shared" si="2"/>
        <v>0</v>
      </c>
      <c r="I38" s="285">
        <f t="shared" si="9"/>
        <v>0</v>
      </c>
      <c r="J38" s="307">
        <f t="shared" si="10"/>
        <v>0</v>
      </c>
      <c r="K38" s="120">
        <f t="shared" si="3"/>
        <v>0</v>
      </c>
      <c r="L38" s="285">
        <f t="shared" si="4"/>
        <v>0</v>
      </c>
    </row>
    <row r="39" spans="1:21">
      <c r="A39" s="310" t="str">
        <f t="shared" si="0"/>
        <v/>
      </c>
      <c r="B39" s="118">
        <v>19</v>
      </c>
      <c r="C39" s="285">
        <f t="shared" si="5"/>
        <v>0</v>
      </c>
      <c r="D39" s="307">
        <f t="shared" si="1"/>
        <v>0</v>
      </c>
      <c r="E39" s="307">
        <f t="shared" si="6"/>
        <v>0</v>
      </c>
      <c r="F39" s="285">
        <f t="shared" si="7"/>
        <v>0</v>
      </c>
      <c r="G39" s="285">
        <f t="shared" si="8"/>
        <v>0</v>
      </c>
      <c r="H39" s="307">
        <f t="shared" si="2"/>
        <v>0</v>
      </c>
      <c r="I39" s="285">
        <f t="shared" si="9"/>
        <v>0</v>
      </c>
      <c r="J39" s="307">
        <f t="shared" si="10"/>
        <v>0</v>
      </c>
      <c r="K39" s="120">
        <f t="shared" si="3"/>
        <v>0</v>
      </c>
      <c r="L39" s="285">
        <f t="shared" si="4"/>
        <v>0</v>
      </c>
    </row>
    <row r="40" spans="1:21">
      <c r="A40" s="310" t="str">
        <f t="shared" si="0"/>
        <v/>
      </c>
      <c r="B40" s="118">
        <v>20</v>
      </c>
      <c r="C40" s="285">
        <f t="shared" si="5"/>
        <v>0</v>
      </c>
      <c r="D40" s="307">
        <f t="shared" si="1"/>
        <v>0</v>
      </c>
      <c r="E40" s="307">
        <f t="shared" si="6"/>
        <v>0</v>
      </c>
      <c r="F40" s="285">
        <f t="shared" si="7"/>
        <v>0</v>
      </c>
      <c r="G40" s="285">
        <f t="shared" si="8"/>
        <v>0</v>
      </c>
      <c r="H40" s="307">
        <f t="shared" si="2"/>
        <v>0</v>
      </c>
      <c r="I40" s="285">
        <f t="shared" si="9"/>
        <v>0</v>
      </c>
      <c r="J40" s="307">
        <f t="shared" si="10"/>
        <v>0</v>
      </c>
      <c r="K40" s="120">
        <f t="shared" si="3"/>
        <v>0</v>
      </c>
      <c r="L40" s="285">
        <f t="shared" si="4"/>
        <v>0</v>
      </c>
    </row>
    <row r="41" spans="1:21">
      <c r="A41" s="310" t="str">
        <f t="shared" si="0"/>
        <v/>
      </c>
      <c r="B41" s="118">
        <v>21</v>
      </c>
      <c r="C41" s="285">
        <f t="shared" si="5"/>
        <v>0</v>
      </c>
      <c r="D41" s="307">
        <f t="shared" si="1"/>
        <v>0</v>
      </c>
      <c r="E41" s="307">
        <f t="shared" si="6"/>
        <v>0</v>
      </c>
      <c r="F41" s="285">
        <f t="shared" si="7"/>
        <v>0</v>
      </c>
      <c r="G41" s="285">
        <f t="shared" si="8"/>
        <v>0</v>
      </c>
      <c r="H41" s="307">
        <f t="shared" si="2"/>
        <v>0</v>
      </c>
      <c r="I41" s="285">
        <f t="shared" si="9"/>
        <v>0</v>
      </c>
      <c r="J41" s="307">
        <f t="shared" si="10"/>
        <v>0</v>
      </c>
      <c r="K41" s="120">
        <f t="shared" si="3"/>
        <v>0</v>
      </c>
      <c r="L41" s="285">
        <f t="shared" si="4"/>
        <v>0</v>
      </c>
    </row>
    <row r="42" spans="1:21">
      <c r="A42" s="310" t="str">
        <f t="shared" si="0"/>
        <v/>
      </c>
      <c r="B42" s="118">
        <v>22</v>
      </c>
      <c r="C42" s="285">
        <f t="shared" si="5"/>
        <v>0</v>
      </c>
      <c r="D42" s="307">
        <f t="shared" si="1"/>
        <v>0</v>
      </c>
      <c r="E42" s="307">
        <f t="shared" si="6"/>
        <v>0</v>
      </c>
      <c r="F42" s="285">
        <f t="shared" si="7"/>
        <v>0</v>
      </c>
      <c r="G42" s="285">
        <f t="shared" si="8"/>
        <v>0</v>
      </c>
      <c r="H42" s="307">
        <f t="shared" si="2"/>
        <v>0</v>
      </c>
      <c r="I42" s="285">
        <f t="shared" si="9"/>
        <v>0</v>
      </c>
      <c r="J42" s="307">
        <f t="shared" si="10"/>
        <v>0</v>
      </c>
      <c r="K42" s="120">
        <f t="shared" si="3"/>
        <v>0</v>
      </c>
      <c r="L42" s="285">
        <f t="shared" si="4"/>
        <v>0</v>
      </c>
    </row>
    <row r="43" spans="1:21">
      <c r="A43" s="310" t="str">
        <f t="shared" si="0"/>
        <v/>
      </c>
      <c r="B43" s="118">
        <v>23</v>
      </c>
      <c r="C43" s="285">
        <f t="shared" si="5"/>
        <v>0</v>
      </c>
      <c r="D43" s="307">
        <f t="shared" si="1"/>
        <v>0</v>
      </c>
      <c r="E43" s="307">
        <f t="shared" si="6"/>
        <v>0</v>
      </c>
      <c r="F43" s="285">
        <f t="shared" si="7"/>
        <v>0</v>
      </c>
      <c r="G43" s="285">
        <f t="shared" si="8"/>
        <v>0</v>
      </c>
      <c r="H43" s="307">
        <f t="shared" si="2"/>
        <v>0</v>
      </c>
      <c r="I43" s="285">
        <f t="shared" si="9"/>
        <v>0</v>
      </c>
      <c r="J43" s="307">
        <f t="shared" si="10"/>
        <v>0</v>
      </c>
      <c r="K43" s="120">
        <f t="shared" si="3"/>
        <v>0</v>
      </c>
      <c r="L43" s="285">
        <f t="shared" si="4"/>
        <v>0</v>
      </c>
    </row>
    <row r="44" spans="1:21">
      <c r="A44" s="310" t="str">
        <f t="shared" si="0"/>
        <v/>
      </c>
      <c r="B44" s="118">
        <v>24</v>
      </c>
      <c r="C44" s="285">
        <f t="shared" si="5"/>
        <v>0</v>
      </c>
      <c r="D44" s="307">
        <f t="shared" si="1"/>
        <v>0</v>
      </c>
      <c r="E44" s="307">
        <f t="shared" si="6"/>
        <v>0</v>
      </c>
      <c r="F44" s="285">
        <f t="shared" si="7"/>
        <v>0</v>
      </c>
      <c r="G44" s="285">
        <f t="shared" si="8"/>
        <v>0</v>
      </c>
      <c r="H44" s="307">
        <f t="shared" si="2"/>
        <v>0</v>
      </c>
      <c r="I44" s="285">
        <f t="shared" si="9"/>
        <v>0</v>
      </c>
      <c r="J44" s="307">
        <f t="shared" si="10"/>
        <v>0</v>
      </c>
      <c r="K44" s="120">
        <f t="shared" si="3"/>
        <v>0</v>
      </c>
      <c r="L44" s="285">
        <f t="shared" si="4"/>
        <v>0</v>
      </c>
    </row>
    <row r="45" spans="1:21">
      <c r="A45" s="310" t="str">
        <f t="shared" si="0"/>
        <v/>
      </c>
      <c r="B45" s="118">
        <v>25</v>
      </c>
      <c r="C45" s="285">
        <f t="shared" si="5"/>
        <v>0</v>
      </c>
      <c r="D45" s="307">
        <f t="shared" si="1"/>
        <v>0</v>
      </c>
      <c r="E45" s="307">
        <f t="shared" si="6"/>
        <v>0</v>
      </c>
      <c r="F45" s="285">
        <f t="shared" si="7"/>
        <v>0</v>
      </c>
      <c r="G45" s="285">
        <f t="shared" si="8"/>
        <v>0</v>
      </c>
      <c r="H45" s="307">
        <f t="shared" si="2"/>
        <v>0</v>
      </c>
      <c r="I45" s="285">
        <f t="shared" si="9"/>
        <v>0</v>
      </c>
      <c r="J45" s="307">
        <f t="shared" si="10"/>
        <v>0</v>
      </c>
      <c r="K45" s="120">
        <f t="shared" si="3"/>
        <v>0</v>
      </c>
      <c r="L45" s="285">
        <f t="shared" si="4"/>
        <v>0</v>
      </c>
    </row>
    <row r="46" spans="1:21">
      <c r="A46" s="310" t="str">
        <f t="shared" si="0"/>
        <v/>
      </c>
      <c r="B46" s="118">
        <v>26</v>
      </c>
      <c r="C46" s="285">
        <f t="shared" si="5"/>
        <v>0</v>
      </c>
      <c r="D46" s="307">
        <f t="shared" si="1"/>
        <v>0</v>
      </c>
      <c r="E46" s="307">
        <f t="shared" si="6"/>
        <v>0</v>
      </c>
      <c r="F46" s="285">
        <f t="shared" si="7"/>
        <v>0</v>
      </c>
      <c r="G46" s="285">
        <f t="shared" si="8"/>
        <v>0</v>
      </c>
      <c r="H46" s="307">
        <f t="shared" si="2"/>
        <v>0</v>
      </c>
      <c r="I46" s="285">
        <f t="shared" si="9"/>
        <v>0</v>
      </c>
      <c r="J46" s="307">
        <f t="shared" si="10"/>
        <v>0</v>
      </c>
      <c r="K46" s="120">
        <f t="shared" si="3"/>
        <v>0</v>
      </c>
      <c r="L46" s="285">
        <f t="shared" si="4"/>
        <v>0</v>
      </c>
    </row>
    <row r="47" spans="1:21">
      <c r="A47" s="310" t="str">
        <f t="shared" si="0"/>
        <v/>
      </c>
      <c r="B47" s="118">
        <v>27</v>
      </c>
      <c r="C47" s="285">
        <f t="shared" si="5"/>
        <v>0</v>
      </c>
      <c r="D47" s="307">
        <f t="shared" si="1"/>
        <v>0</v>
      </c>
      <c r="E47" s="307">
        <f t="shared" si="6"/>
        <v>0</v>
      </c>
      <c r="F47" s="285">
        <f t="shared" si="7"/>
        <v>0</v>
      </c>
      <c r="G47" s="285">
        <f t="shared" si="8"/>
        <v>0</v>
      </c>
      <c r="H47" s="307">
        <f t="shared" si="2"/>
        <v>0</v>
      </c>
      <c r="I47" s="285">
        <f t="shared" si="9"/>
        <v>0</v>
      </c>
      <c r="J47" s="307">
        <f t="shared" si="10"/>
        <v>0</v>
      </c>
      <c r="K47" s="120">
        <f t="shared" si="3"/>
        <v>0</v>
      </c>
      <c r="L47" s="285">
        <f t="shared" si="4"/>
        <v>0</v>
      </c>
      <c r="N47" s="283"/>
      <c r="O47" s="283"/>
      <c r="P47" s="283"/>
      <c r="Q47" s="283"/>
      <c r="R47" s="283"/>
      <c r="S47" s="283"/>
      <c r="T47" s="283"/>
      <c r="U47" s="283"/>
    </row>
    <row r="48" spans="1:21">
      <c r="A48" s="310" t="str">
        <f t="shared" si="0"/>
        <v/>
      </c>
      <c r="B48" s="118">
        <v>28</v>
      </c>
      <c r="C48" s="285">
        <f t="shared" si="5"/>
        <v>0</v>
      </c>
      <c r="D48" s="307">
        <f t="shared" si="1"/>
        <v>0</v>
      </c>
      <c r="E48" s="307">
        <f t="shared" si="6"/>
        <v>0</v>
      </c>
      <c r="F48" s="285">
        <f t="shared" si="7"/>
        <v>0</v>
      </c>
      <c r="G48" s="285">
        <f t="shared" si="8"/>
        <v>0</v>
      </c>
      <c r="H48" s="307">
        <f t="shared" si="2"/>
        <v>0</v>
      </c>
      <c r="I48" s="285">
        <f t="shared" si="9"/>
        <v>0</v>
      </c>
      <c r="J48" s="307">
        <f t="shared" si="10"/>
        <v>0</v>
      </c>
      <c r="K48" s="120">
        <f t="shared" si="3"/>
        <v>0</v>
      </c>
      <c r="L48" s="285">
        <f t="shared" si="4"/>
        <v>0</v>
      </c>
      <c r="N48" s="283"/>
      <c r="O48" s="283"/>
      <c r="P48" s="283"/>
      <c r="Q48" s="283"/>
      <c r="R48" s="283"/>
      <c r="S48" s="283"/>
      <c r="T48" s="283"/>
      <c r="U48" s="283"/>
    </row>
    <row r="49" spans="1:21">
      <c r="A49" s="310" t="str">
        <f t="shared" si="0"/>
        <v/>
      </c>
      <c r="B49" s="118">
        <v>29</v>
      </c>
      <c r="C49" s="285">
        <f t="shared" si="5"/>
        <v>0</v>
      </c>
      <c r="D49" s="307">
        <f t="shared" si="1"/>
        <v>0</v>
      </c>
      <c r="E49" s="307">
        <f t="shared" si="6"/>
        <v>0</v>
      </c>
      <c r="F49" s="285">
        <f t="shared" si="7"/>
        <v>0</v>
      </c>
      <c r="G49" s="285">
        <f t="shared" si="8"/>
        <v>0</v>
      </c>
      <c r="H49" s="307">
        <f t="shared" si="2"/>
        <v>0</v>
      </c>
      <c r="I49" s="285">
        <f t="shared" si="9"/>
        <v>0</v>
      </c>
      <c r="J49" s="307">
        <f t="shared" si="10"/>
        <v>0</v>
      </c>
      <c r="K49" s="120">
        <f t="shared" si="3"/>
        <v>0</v>
      </c>
      <c r="L49" s="285">
        <f t="shared" si="4"/>
        <v>0</v>
      </c>
      <c r="N49" s="283"/>
      <c r="O49" s="283"/>
      <c r="P49" s="283"/>
      <c r="Q49" s="283"/>
      <c r="R49" s="283"/>
      <c r="S49" s="283"/>
      <c r="T49" s="283"/>
      <c r="U49" s="283"/>
    </row>
    <row r="50" spans="1:21">
      <c r="A50" s="310" t="str">
        <f t="shared" si="0"/>
        <v/>
      </c>
      <c r="B50" s="118">
        <v>30</v>
      </c>
      <c r="C50" s="285">
        <f t="shared" si="5"/>
        <v>0</v>
      </c>
      <c r="D50" s="307">
        <f t="shared" si="1"/>
        <v>0</v>
      </c>
      <c r="E50" s="307">
        <f t="shared" si="6"/>
        <v>0</v>
      </c>
      <c r="F50" s="285">
        <f t="shared" si="7"/>
        <v>0</v>
      </c>
      <c r="G50" s="285">
        <f t="shared" si="8"/>
        <v>0</v>
      </c>
      <c r="H50" s="307">
        <f t="shared" si="2"/>
        <v>0</v>
      </c>
      <c r="I50" s="285">
        <f t="shared" si="9"/>
        <v>0</v>
      </c>
      <c r="J50" s="307">
        <f t="shared" si="10"/>
        <v>0</v>
      </c>
      <c r="K50" s="120">
        <f t="shared" si="3"/>
        <v>0</v>
      </c>
      <c r="L50" s="285">
        <f t="shared" si="4"/>
        <v>0</v>
      </c>
      <c r="N50" s="283"/>
      <c r="O50" s="283"/>
      <c r="P50" s="283"/>
      <c r="Q50" s="283"/>
      <c r="R50" s="283"/>
      <c r="S50" s="283"/>
      <c r="T50" s="283"/>
      <c r="U50" s="283"/>
    </row>
    <row r="51" spans="1:21">
      <c r="A51" s="323" t="s">
        <v>423</v>
      </c>
      <c r="B51" s="324">
        <f>C15+1</f>
        <v>6</v>
      </c>
      <c r="C51" s="285">
        <f>VLOOKUP(C15,B21:C50,2,FALSE)*(1+Terminal_Growth)</f>
        <v>1594710.3990396708</v>
      </c>
      <c r="D51" s="309">
        <f>Terminal_Growth</f>
        <v>0</v>
      </c>
      <c r="E51" s="309">
        <f>F17</f>
        <v>0.24487456943110034</v>
      </c>
      <c r="F51" s="285">
        <f>VLOOKUP(C15,B21:F50,5,FALSE)*(1+Terminal_Growth)</f>
        <v>-533734.51830647665</v>
      </c>
      <c r="G51" s="285">
        <f>C51*(1-E51)+F51+$I$6</f>
        <v>663222.0634714039</v>
      </c>
      <c r="H51" s="307">
        <f>F18</f>
        <v>0</v>
      </c>
      <c r="I51" s="285">
        <f>(G51*(1-$I$10)+C51*(H51-$I$9))/Equity_Cost</f>
        <v>5256873.055179405</v>
      </c>
      <c r="J51" s="424">
        <f>(G51*(1-$I$10)+C51*(H51-$I$9))/VLOOKUP(C15,B21:I50,8,FALSE)-1</f>
        <v>0</v>
      </c>
      <c r="K51" s="120">
        <f>1/(1+Equity_Cost)^C15</f>
        <v>0.70471496766912267</v>
      </c>
      <c r="L51" s="285">
        <f>I51*K51</f>
        <v>3704597.1251214365</v>
      </c>
    </row>
    <row r="52" spans="1:21" ht="13.15">
      <c r="G52" s="111"/>
      <c r="H52" s="111"/>
      <c r="I52" s="111"/>
      <c r="J52" s="466" t="s">
        <v>426</v>
      </c>
      <c r="K52" s="466"/>
      <c r="L52" s="325">
        <f>SUM(L21:L51)</f>
        <v>5196468.3653879724</v>
      </c>
    </row>
    <row r="53" spans="1:21">
      <c r="C53" s="111"/>
    </row>
    <row r="54" spans="1:21" ht="13.15">
      <c r="B54" s="115" t="s">
        <v>108</v>
      </c>
      <c r="C54" s="129"/>
      <c r="D54" s="129"/>
      <c r="E54" s="113"/>
      <c r="F54" s="113"/>
      <c r="G54" s="113"/>
      <c r="H54" s="113"/>
      <c r="I54" s="113"/>
      <c r="J54" s="113"/>
      <c r="K54" s="113"/>
      <c r="L54" s="113"/>
    </row>
    <row r="55" spans="1:21" ht="13.15">
      <c r="A55" s="126">
        <f>L52</f>
        <v>5196468.3653879724</v>
      </c>
      <c r="B55" s="124">
        <f>C78</f>
        <v>-0.1</v>
      </c>
      <c r="C55" s="124">
        <f>C77</f>
        <v>0.01</v>
      </c>
      <c r="D55" s="124">
        <f>C76</f>
        <v>0.02</v>
      </c>
      <c r="E55" s="124">
        <f>C75</f>
        <v>0.03</v>
      </c>
      <c r="F55" s="124">
        <f>C74</f>
        <v>0.08</v>
      </c>
      <c r="G55" s="124"/>
      <c r="H55" s="124"/>
      <c r="I55" s="124"/>
      <c r="J55" s="124"/>
      <c r="K55" s="124"/>
      <c r="L55" s="124"/>
    </row>
    <row r="56" spans="1:21" ht="13.15">
      <c r="A56" s="132">
        <v>5</v>
      </c>
      <c r="B56" s="119">
        <f t="dataTable" ref="B56:F61" dt2D="1" dtr="1" r1="C16" r2="C15"/>
        <v>3022147.8593235333</v>
      </c>
      <c r="C56" s="119">
        <v>5003589.5754031707</v>
      </c>
      <c r="D56" s="119">
        <v>5228102.5320490673</v>
      </c>
      <c r="E56" s="119">
        <v>5460984.3145793369</v>
      </c>
      <c r="F56" s="119">
        <v>6759485.3060527015</v>
      </c>
      <c r="G56" s="303"/>
      <c r="H56" s="303"/>
      <c r="I56" s="303"/>
      <c r="J56" s="303"/>
      <c r="K56" s="303"/>
      <c r="L56" s="303"/>
    </row>
    <row r="57" spans="1:21" ht="13.15">
      <c r="A57" s="132">
        <v>10</v>
      </c>
      <c r="B57" s="119">
        <v>2287657.5646921531</v>
      </c>
      <c r="C57" s="119">
        <v>5163853.7588301506</v>
      </c>
      <c r="D57" s="119">
        <v>5571144.3156508002</v>
      </c>
      <c r="E57" s="119">
        <v>6011429.4281804338</v>
      </c>
      <c r="F57" s="119">
        <v>8801692.4610277433</v>
      </c>
      <c r="G57" s="303"/>
      <c r="H57" s="303"/>
      <c r="I57" s="303"/>
      <c r="J57" s="303"/>
      <c r="K57" s="303"/>
      <c r="L57" s="303"/>
    </row>
    <row r="58" spans="1:21" ht="13.15">
      <c r="A58" s="132">
        <v>15</v>
      </c>
      <c r="B58" s="119">
        <v>1982016.2181047595</v>
      </c>
      <c r="C58" s="285">
        <v>5282555.4317473797</v>
      </c>
      <c r="D58" s="119">
        <v>5838052.1836579088</v>
      </c>
      <c r="E58" s="119">
        <v>6461119.852689568</v>
      </c>
      <c r="F58" s="119">
        <v>10916311.151974525</v>
      </c>
      <c r="G58" s="303"/>
      <c r="H58" s="303"/>
      <c r="I58" s="303"/>
      <c r="J58" s="303"/>
      <c r="K58" s="303"/>
      <c r="L58" s="303"/>
      <c r="M58" s="283"/>
      <c r="N58" s="283"/>
      <c r="O58" s="283"/>
      <c r="P58" s="283"/>
      <c r="Q58" s="283"/>
      <c r="R58" s="283"/>
      <c r="S58" s="283"/>
      <c r="T58" s="283"/>
      <c r="U58" s="283"/>
    </row>
    <row r="59" spans="1:21" ht="13.15">
      <c r="A59" s="133">
        <v>20</v>
      </c>
      <c r="B59" s="119">
        <v>1854830.5582988143</v>
      </c>
      <c r="C59" s="285">
        <v>5370473.3111640792</v>
      </c>
      <c r="D59" s="119">
        <v>6045723.1246614326</v>
      </c>
      <c r="E59" s="119">
        <v>6828497.9488856494</v>
      </c>
      <c r="F59" s="119">
        <v>13105908.910070773</v>
      </c>
      <c r="G59" s="303"/>
      <c r="H59" s="303"/>
      <c r="I59" s="303"/>
      <c r="J59" s="303"/>
      <c r="K59" s="303"/>
      <c r="L59" s="303"/>
      <c r="M59" s="283"/>
      <c r="N59" s="283"/>
      <c r="O59" s="283"/>
      <c r="P59" s="283"/>
      <c r="Q59" s="283"/>
      <c r="R59" s="283"/>
      <c r="S59" s="283"/>
      <c r="T59" s="283"/>
      <c r="U59" s="283"/>
    </row>
    <row r="60" spans="1:21" ht="13.15">
      <c r="A60" s="133">
        <v>25</v>
      </c>
      <c r="B60" s="119">
        <v>1801905.1532746346</v>
      </c>
      <c r="C60" s="285">
        <v>5435590.7887123432</v>
      </c>
      <c r="D60" s="119">
        <v>6207304.0479189698</v>
      </c>
      <c r="E60" s="119">
        <v>7128630.3471060041</v>
      </c>
      <c r="F60" s="119">
        <v>15373144.304700494</v>
      </c>
      <c r="G60" s="303"/>
      <c r="H60" s="303"/>
      <c r="I60" s="303"/>
      <c r="J60" s="303"/>
      <c r="K60" s="303"/>
      <c r="L60" s="303"/>
      <c r="M60" s="283"/>
      <c r="N60" s="283"/>
      <c r="O60" s="283"/>
      <c r="P60" s="283"/>
      <c r="Q60" s="283"/>
      <c r="R60" s="283"/>
      <c r="S60" s="283"/>
      <c r="T60" s="283"/>
      <c r="U60" s="283"/>
    </row>
    <row r="61" spans="1:21" ht="13.15">
      <c r="A61" s="133">
        <v>30</v>
      </c>
      <c r="B61" s="119">
        <v>1779881.4557819511</v>
      </c>
      <c r="C61" s="285">
        <v>5483820.8633044679</v>
      </c>
      <c r="D61" s="119">
        <v>6333024.0674585113</v>
      </c>
      <c r="E61" s="119">
        <v>7373825.8484007353</v>
      </c>
      <c r="F61" s="119">
        <v>17720770.171440102</v>
      </c>
      <c r="G61" s="303"/>
      <c r="H61" s="303"/>
      <c r="I61" s="303"/>
      <c r="J61" s="303"/>
      <c r="K61" s="303"/>
      <c r="L61" s="303"/>
      <c r="M61" s="283"/>
      <c r="N61" s="283"/>
      <c r="O61" s="283"/>
      <c r="P61" s="283"/>
      <c r="Q61" s="283"/>
      <c r="R61" s="283"/>
      <c r="S61" s="283"/>
      <c r="T61" s="283"/>
      <c r="U61" s="283"/>
    </row>
    <row r="62" spans="1:21">
      <c r="C62" s="283"/>
      <c r="D62" s="111"/>
      <c r="E62" s="111"/>
      <c r="F62" s="111"/>
      <c r="G62" s="111"/>
      <c r="H62" s="111"/>
      <c r="I62" s="111"/>
      <c r="J62" s="111"/>
      <c r="K62" s="111"/>
      <c r="L62" s="111"/>
      <c r="M62" s="283"/>
      <c r="N62" s="283"/>
      <c r="O62" s="283"/>
      <c r="P62" s="283"/>
      <c r="Q62" s="283"/>
      <c r="R62" s="283"/>
      <c r="S62" s="283"/>
      <c r="T62" s="283"/>
      <c r="U62" s="283"/>
    </row>
    <row r="63" spans="1:21" ht="13.15">
      <c r="B63" s="115" t="s">
        <v>109</v>
      </c>
      <c r="C63" s="283"/>
      <c r="D63" s="111"/>
      <c r="E63" s="111"/>
      <c r="F63" s="111"/>
      <c r="G63" s="111"/>
      <c r="H63" s="111"/>
      <c r="I63" s="111"/>
      <c r="J63" s="111"/>
      <c r="K63" s="111"/>
      <c r="L63" s="111"/>
      <c r="M63" s="283"/>
      <c r="N63" s="283"/>
      <c r="O63" s="283"/>
      <c r="P63" s="283"/>
      <c r="Q63" s="283"/>
      <c r="R63" s="283"/>
      <c r="S63" s="283"/>
      <c r="T63" s="283"/>
      <c r="U63" s="283"/>
    </row>
    <row r="64" spans="1:21" ht="13.15">
      <c r="B64" s="125">
        <f>B55</f>
        <v>-0.1</v>
      </c>
      <c r="C64" s="125">
        <f>C55</f>
        <v>0.01</v>
      </c>
      <c r="D64" s="125">
        <f>D55</f>
        <v>0.02</v>
      </c>
      <c r="E64" s="125">
        <f>E55</f>
        <v>0.03</v>
      </c>
      <c r="F64" s="125">
        <f>F55</f>
        <v>0.08</v>
      </c>
      <c r="G64" s="125"/>
      <c r="H64" s="125"/>
      <c r="I64" s="125"/>
      <c r="J64" s="125"/>
      <c r="K64" s="125"/>
      <c r="L64" s="125"/>
    </row>
    <row r="65" spans="1:12" ht="13.15">
      <c r="A65" s="132">
        <v>0</v>
      </c>
      <c r="B65" s="120">
        <f>C11</f>
        <v>2.9919600000030946</v>
      </c>
      <c r="C65" s="120">
        <f>C11</f>
        <v>2.9919600000030946</v>
      </c>
      <c r="D65" s="120">
        <f>C11</f>
        <v>2.9919600000030946</v>
      </c>
      <c r="E65" s="120">
        <f>C11</f>
        <v>2.9919600000030946</v>
      </c>
      <c r="F65" s="120">
        <f>C11</f>
        <v>2.9919600000030946</v>
      </c>
      <c r="G65" s="304"/>
      <c r="H65" s="304"/>
      <c r="I65" s="304"/>
      <c r="J65" s="304"/>
      <c r="K65" s="304"/>
      <c r="L65" s="304"/>
    </row>
    <row r="66" spans="1:12" ht="13.15">
      <c r="A66" s="132">
        <f t="shared" ref="A66:A71" si="11">A56</f>
        <v>5</v>
      </c>
      <c r="B66" s="120">
        <f t="shared" ref="B66:F71" si="12">(B56+FV_adjustments)/Common_Shares*scaling_factor*Exchange_Rate</f>
        <v>2.1600393702507517</v>
      </c>
      <c r="C66" s="120">
        <f t="shared" si="12"/>
        <v>3.0939453958271321</v>
      </c>
      <c r="D66" s="120">
        <f t="shared" si="12"/>
        <v>3.1997643060327876</v>
      </c>
      <c r="E66" s="120">
        <f t="shared" si="12"/>
        <v>3.309527665806145</v>
      </c>
      <c r="F66" s="120">
        <f t="shared" si="12"/>
        <v>3.9215456173375238</v>
      </c>
      <c r="G66" s="304"/>
      <c r="H66" s="304"/>
      <c r="I66" s="304"/>
      <c r="J66" s="304"/>
      <c r="K66" s="304"/>
      <c r="L66" s="304"/>
    </row>
    <row r="67" spans="1:12" ht="13.15">
      <c r="A67" s="132">
        <f t="shared" si="11"/>
        <v>10</v>
      </c>
      <c r="B67" s="120">
        <f t="shared" si="12"/>
        <v>1.8138546168375715</v>
      </c>
      <c r="C67" s="120">
        <f t="shared" si="12"/>
        <v>3.1694821554360231</v>
      </c>
      <c r="D67" s="120">
        <f t="shared" si="12"/>
        <v>3.3614489955849942</v>
      </c>
      <c r="E67" s="120">
        <f t="shared" si="12"/>
        <v>3.5689670448045021</v>
      </c>
      <c r="F67" s="120">
        <f t="shared" si="12"/>
        <v>4.8840920056713273</v>
      </c>
      <c r="G67" s="304"/>
      <c r="H67" s="304"/>
      <c r="I67" s="304"/>
      <c r="J67" s="304"/>
      <c r="K67" s="304"/>
      <c r="L67" s="304"/>
    </row>
    <row r="68" spans="1:12" ht="13.15">
      <c r="A68" s="132">
        <f t="shared" si="11"/>
        <v>15</v>
      </c>
      <c r="B68" s="120">
        <f t="shared" si="12"/>
        <v>1.6697977450523134</v>
      </c>
      <c r="C68" s="120">
        <f t="shared" si="12"/>
        <v>3.2254294016677871</v>
      </c>
      <c r="D68" s="120">
        <f t="shared" si="12"/>
        <v>3.487249751763061</v>
      </c>
      <c r="E68" s="120">
        <f t="shared" si="12"/>
        <v>3.7809180669743618</v>
      </c>
      <c r="F68" s="120">
        <f t="shared" si="12"/>
        <v>5.8807678711512219</v>
      </c>
      <c r="G68" s="304"/>
      <c r="H68" s="304"/>
      <c r="I68" s="304"/>
      <c r="J68" s="304"/>
      <c r="K68" s="304"/>
      <c r="L68" s="304"/>
    </row>
    <row r="69" spans="1:12" ht="13.15">
      <c r="A69" s="133">
        <f t="shared" si="11"/>
        <v>20</v>
      </c>
      <c r="B69" s="120">
        <f t="shared" si="12"/>
        <v>1.6098517708176083</v>
      </c>
      <c r="C69" s="120">
        <f t="shared" si="12"/>
        <v>3.2668674296838747</v>
      </c>
      <c r="D69" s="120">
        <f t="shared" si="12"/>
        <v>3.5851305733721039</v>
      </c>
      <c r="E69" s="120">
        <f t="shared" si="12"/>
        <v>3.9540731060138805</v>
      </c>
      <c r="F69" s="120">
        <f t="shared" si="12"/>
        <v>6.9127833593082464</v>
      </c>
      <c r="G69" s="304"/>
      <c r="H69" s="304"/>
      <c r="I69" s="304"/>
      <c r="J69" s="304"/>
      <c r="K69" s="304"/>
      <c r="L69" s="304"/>
    </row>
    <row r="70" spans="1:12" ht="13.15">
      <c r="A70" s="133">
        <f t="shared" si="11"/>
        <v>25</v>
      </c>
      <c r="B70" s="120">
        <f t="shared" si="12"/>
        <v>1.584906623929339</v>
      </c>
      <c r="C70" s="120">
        <f t="shared" si="12"/>
        <v>3.2975590236677652</v>
      </c>
      <c r="D70" s="120">
        <f t="shared" si="12"/>
        <v>3.661287947381052</v>
      </c>
      <c r="E70" s="120">
        <f t="shared" si="12"/>
        <v>4.0955334643449115</v>
      </c>
      <c r="F70" s="120">
        <f t="shared" si="12"/>
        <v>7.9813915243942573</v>
      </c>
      <c r="G70" s="304"/>
      <c r="H70" s="304"/>
      <c r="I70" s="304"/>
      <c r="J70" s="304"/>
      <c r="K70" s="304"/>
      <c r="L70" s="304"/>
    </row>
    <row r="71" spans="1:12" ht="13.15">
      <c r="A71" s="133">
        <f t="shared" si="11"/>
        <v>30</v>
      </c>
      <c r="B71" s="120">
        <f t="shared" si="12"/>
        <v>1.5745262712664387</v>
      </c>
      <c r="C71" s="120">
        <f t="shared" si="12"/>
        <v>3.3202911368104626</v>
      </c>
      <c r="D71" s="120">
        <f t="shared" si="12"/>
        <v>3.7205431264916746</v>
      </c>
      <c r="E71" s="120">
        <f t="shared" si="12"/>
        <v>4.2111006063128507</v>
      </c>
      <c r="F71" s="120">
        <f t="shared" si="12"/>
        <v>9.0878898508173886</v>
      </c>
      <c r="G71" s="304"/>
      <c r="H71" s="304"/>
      <c r="I71" s="304"/>
      <c r="J71" s="304"/>
      <c r="K71" s="304"/>
      <c r="L71" s="304"/>
    </row>
    <row r="73" spans="1:12" ht="13.15">
      <c r="B73" s="154" t="s">
        <v>101</v>
      </c>
      <c r="C73" s="154" t="s">
        <v>110</v>
      </c>
      <c r="D73" s="154" t="s">
        <v>99</v>
      </c>
      <c r="E73" s="155" t="s">
        <v>100</v>
      </c>
      <c r="F73" s="155" t="s">
        <v>463</v>
      </c>
      <c r="G73" s="332"/>
      <c r="H73" s="332"/>
      <c r="I73" s="332"/>
      <c r="J73" s="332"/>
      <c r="K73" s="332"/>
      <c r="L73" s="332"/>
    </row>
    <row r="74" spans="1:12">
      <c r="B74" s="121" t="str">
        <f>Scenarios!B29</f>
        <v>Snowball Scenario</v>
      </c>
      <c r="C74" s="131">
        <f>Scenarios!C29</f>
        <v>0.08</v>
      </c>
      <c r="D74" s="134">
        <f>Scenarios!D29</f>
        <v>5</v>
      </c>
      <c r="E74" s="128">
        <f>INDEX(B$65:F$71, MATCH(D74, A$65:A$71, 0), MATCH(C74, B$64:F$64, 0))</f>
        <v>3.9215456173375238</v>
      </c>
      <c r="F74" s="131">
        <f>Scenarios!F29</f>
        <v>0.05</v>
      </c>
      <c r="G74" s="305"/>
      <c r="H74" s="305"/>
      <c r="I74" s="305"/>
      <c r="J74" s="305"/>
      <c r="K74" s="305"/>
      <c r="L74" s="305"/>
    </row>
    <row r="75" spans="1:12">
      <c r="B75" s="121" t="str">
        <f>Scenarios!B22</f>
        <v>Optimistic</v>
      </c>
      <c r="C75" s="131">
        <f>Scenarios!C22</f>
        <v>0.03</v>
      </c>
      <c r="D75" s="134">
        <f>Scenarios!D22</f>
        <v>5</v>
      </c>
      <c r="E75" s="128">
        <f>INDEX(B$65:F$71, MATCH(D75, A$65:A$71, 0), MATCH(C75, B$64:F$64, 0))</f>
        <v>3.309527665806145</v>
      </c>
      <c r="F75" s="131">
        <f>Scenarios!F22*(1-F$74-F$78)</f>
        <v>0.18</v>
      </c>
      <c r="G75" s="305"/>
      <c r="H75" s="305"/>
      <c r="I75" s="305"/>
      <c r="J75" s="305"/>
      <c r="K75" s="305"/>
      <c r="L75" s="305"/>
    </row>
    <row r="76" spans="1:12">
      <c r="B76" s="121" t="str">
        <f>Scenarios!B23</f>
        <v>Base</v>
      </c>
      <c r="C76" s="131">
        <f>Scenarios!C23</f>
        <v>0.02</v>
      </c>
      <c r="D76" s="134">
        <f>Scenarios!D23</f>
        <v>5</v>
      </c>
      <c r="E76" s="128">
        <f>INDEX(B$65:F$71, MATCH(D76, A$65:A$71, 0), MATCH(C76, B$64:F$64, 0))</f>
        <v>3.1997643060327876</v>
      </c>
      <c r="F76" s="131">
        <f>Scenarios!F23*(1-F$74-F$78)</f>
        <v>0.53999999999999992</v>
      </c>
      <c r="G76" s="305"/>
      <c r="H76" s="305"/>
      <c r="I76" s="305"/>
      <c r="J76" s="305"/>
      <c r="K76" s="305"/>
      <c r="L76" s="305"/>
    </row>
    <row r="77" spans="1:12">
      <c r="B77" s="121" t="str">
        <f>Scenarios!B24</f>
        <v>Pessimistic</v>
      </c>
      <c r="C77" s="131">
        <f>Scenarios!C24</f>
        <v>0.01</v>
      </c>
      <c r="D77" s="134">
        <f>Scenarios!D24</f>
        <v>5</v>
      </c>
      <c r="E77" s="128">
        <f>INDEX(B$65:F$71, MATCH(D77, A$65:A$71, 0), MATCH(C77, B$64:F$64, 0))</f>
        <v>3.0939453958271321</v>
      </c>
      <c r="F77" s="131">
        <f>Scenarios!F24*(1-F$74-F$78)</f>
        <v>0.18</v>
      </c>
      <c r="G77" s="305"/>
      <c r="H77" s="305"/>
      <c r="I77" s="305"/>
      <c r="J77" s="305"/>
      <c r="K77" s="305"/>
      <c r="L77" s="305"/>
    </row>
    <row r="78" spans="1:12">
      <c r="B78" s="121" t="str">
        <f>Scenarios!B30</f>
        <v>Devil's advocate</v>
      </c>
      <c r="C78" s="131">
        <f>Scenarios!C30</f>
        <v>-0.1</v>
      </c>
      <c r="D78" s="134">
        <f>Scenarios!D30</f>
        <v>5</v>
      </c>
      <c r="E78" s="128">
        <f>INDEX(B$65:F$71, MATCH(D78, A$65:A$71, 0), MATCH(C78, B$64:F$64, 0))</f>
        <v>2.1600393702507517</v>
      </c>
      <c r="F78" s="131">
        <f>Scenarios!F30</f>
        <v>0.05</v>
      </c>
      <c r="G78" s="305"/>
      <c r="H78" s="305"/>
      <c r="I78" s="305"/>
      <c r="J78" s="305"/>
      <c r="K78" s="305"/>
      <c r="L78" s="305"/>
    </row>
    <row r="79" spans="1:12">
      <c r="B79" s="142"/>
      <c r="C79" s="142"/>
      <c r="D79" s="142"/>
      <c r="E79" s="142"/>
      <c r="F79" s="143"/>
      <c r="G79" s="143"/>
      <c r="H79" s="143"/>
      <c r="I79" s="143"/>
      <c r="J79" s="143"/>
      <c r="K79" s="143"/>
      <c r="L79" s="143"/>
    </row>
    <row r="89" spans="3:3">
      <c r="C89" s="112"/>
    </row>
    <row r="90" spans="3:3">
      <c r="C90" s="112"/>
    </row>
    <row r="91" spans="3:3">
      <c r="C91" s="112"/>
    </row>
    <row r="98" spans="3:21">
      <c r="C98" s="283"/>
      <c r="M98" s="283"/>
      <c r="N98" s="283"/>
      <c r="O98" s="283"/>
      <c r="P98" s="283"/>
      <c r="Q98" s="283"/>
      <c r="R98" s="283"/>
      <c r="S98" s="283"/>
      <c r="T98" s="283"/>
      <c r="U98" s="283"/>
    </row>
    <row r="99" spans="3:21">
      <c r="C99" s="283"/>
      <c r="M99" s="283"/>
      <c r="N99" s="283"/>
      <c r="O99" s="283"/>
      <c r="P99" s="283"/>
      <c r="Q99" s="283"/>
      <c r="R99" s="283"/>
      <c r="S99" s="283"/>
      <c r="T99" s="283"/>
      <c r="U99" s="283"/>
    </row>
    <row r="100" spans="3:21">
      <c r="C100" s="283"/>
      <c r="M100" s="283"/>
      <c r="N100" s="283"/>
      <c r="O100" s="283"/>
      <c r="P100" s="283"/>
      <c r="Q100" s="283"/>
      <c r="R100" s="283"/>
      <c r="S100" s="283"/>
      <c r="T100" s="283"/>
      <c r="U100" s="283"/>
    </row>
    <row r="101" spans="3:21">
      <c r="C101" s="283"/>
      <c r="M101" s="283"/>
      <c r="N101" s="283"/>
      <c r="O101" s="283"/>
      <c r="P101" s="283"/>
      <c r="Q101" s="283"/>
      <c r="R101" s="283"/>
      <c r="S101" s="283"/>
      <c r="T101" s="283"/>
      <c r="U101" s="283"/>
    </row>
    <row r="102" spans="3:21">
      <c r="C102" s="283"/>
      <c r="M102" s="283"/>
      <c r="N102" s="283"/>
      <c r="O102" s="283"/>
      <c r="P102" s="283"/>
      <c r="Q102" s="283"/>
      <c r="R102" s="283"/>
      <c r="S102" s="283"/>
      <c r="T102" s="283"/>
      <c r="U102" s="283"/>
    </row>
  </sheetData>
  <mergeCells count="1">
    <mergeCell ref="J52:K52"/>
  </mergeCells>
  <phoneticPr fontId="2" type="noConversion"/>
  <conditionalFormatting sqref="C21:L50">
    <cfRule type="cellIs" dxfId="1" priority="2" operator="equal">
      <formula>0</formula>
    </cfRule>
  </conditionalFormatting>
  <conditionalFormatting sqref="C66:L71">
    <cfRule type="expression" dxfId="0" priority="19">
      <formula>ISNUMBER(MATCH(C66, $E$74:$E$78, 0))</formula>
    </cfRule>
  </conditionalFormatting>
  <dataValidations disablePrompts="1" count="1">
    <dataValidation type="list" allowBlank="1" showInputMessage="1" showErrorMessage="1" sqref="C15"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topLeftCell="A38" zoomScaleNormal="100" workbookViewId="0">
      <selection activeCell="F33" sqref="F33"/>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6" t="s">
        <v>125</v>
      </c>
      <c r="E3" s="97" t="s">
        <v>234</v>
      </c>
    </row>
    <row r="4" spans="2:7" ht="12.75" customHeight="1">
      <c r="B4" s="140" t="s">
        <v>123</v>
      </c>
      <c r="C4" s="116">
        <v>2</v>
      </c>
      <c r="D4" s="116"/>
      <c r="E4" s="467" t="str">
        <f>"Please develop three logical "&amp;C18&amp;"-year scenarios (Base Case, Pessimistic Case, Optimistic Case) and two extreme "&amp;C18&amp;"-year scenarios (Success Scenario, Devil’s Advocate Scenario) for "&amp;Thesis!C4&amp;"("&amp;Thesis!C5&amp;"). Each scenario should include the Compound Growth Rate, the Probability Assessment, and the Business Narrative."</f>
        <v>Please develop three logical 5-year scenarios (Base Case, Pessimistic Case, Optimistic Case) and two extreme 5-year scenarios (Success Scenario, Devil’s Advocate Scenario) for 福寿园(1448.HK). Each scenario should include the Compound Growth Rate, the Probability Assessment, and the Business Narrative.</v>
      </c>
      <c r="F4" s="467"/>
      <c r="G4" s="467"/>
    </row>
    <row r="5" spans="2:7">
      <c r="E5" s="467"/>
      <c r="F5" s="467"/>
      <c r="G5" s="467"/>
    </row>
    <row r="6" spans="2:7" ht="13.15">
      <c r="B6" s="146" t="s">
        <v>91</v>
      </c>
      <c r="C6" s="104">
        <f>DCF!C3</f>
        <v>1000</v>
      </c>
      <c r="E6" s="467"/>
      <c r="F6" s="467"/>
      <c r="G6" s="467"/>
    </row>
    <row r="7" spans="2:7" ht="12.75" customHeight="1">
      <c r="B7" s="97" t="s">
        <v>232</v>
      </c>
      <c r="C7" s="283">
        <f>Normalized_FCF!G8</f>
        <v>1082041</v>
      </c>
      <c r="D7" t="str">
        <f>Reporting_currency</f>
        <v>CNY</v>
      </c>
      <c r="E7" s="467"/>
      <c r="F7" s="467"/>
      <c r="G7" s="467"/>
    </row>
    <row r="8" spans="2:7">
      <c r="B8" s="97" t="s">
        <v>63</v>
      </c>
      <c r="C8" s="283">
        <f>Normalized_FCF!G19</f>
        <v>631699.59365518577</v>
      </c>
      <c r="D8" t="str">
        <f>Reporting_currency</f>
        <v>CNY</v>
      </c>
      <c r="E8" s="467"/>
      <c r="F8" s="467"/>
      <c r="G8" s="467"/>
    </row>
    <row r="9" spans="2:7">
      <c r="B9" s="97" t="s">
        <v>54</v>
      </c>
      <c r="C9" s="283">
        <f>Normalized_FCF!C19</f>
        <v>347072.73055558326</v>
      </c>
      <c r="D9" t="str">
        <f>Reporting_currency</f>
        <v>CNY</v>
      </c>
      <c r="E9" s="467"/>
      <c r="F9" s="467"/>
      <c r="G9" s="467"/>
    </row>
    <row r="10" spans="2:7">
      <c r="E10" s="467"/>
      <c r="F10" s="467"/>
      <c r="G10" s="467"/>
    </row>
    <row r="11" spans="2:7" ht="13.15">
      <c r="B11" s="146" t="s">
        <v>322</v>
      </c>
      <c r="E11" s="467"/>
      <c r="F11" s="467"/>
      <c r="G11" s="467"/>
    </row>
    <row r="12" spans="2:7">
      <c r="B12" s="114" t="s">
        <v>121</v>
      </c>
      <c r="C12" s="145">
        <f ca="1">(Normalized_FCF!G4/OFFSET(Normalized_FCF!G4, 0, $C$4))^(1/$C$4) - 1</f>
        <v>-2.1915610445164879E-2</v>
      </c>
      <c r="D12" s="145"/>
      <c r="E12" s="467"/>
      <c r="F12" s="467"/>
      <c r="G12" s="467"/>
    </row>
    <row r="13" spans="2:7">
      <c r="B13" s="136" t="s">
        <v>127</v>
      </c>
      <c r="C13" s="145">
        <f ca="1">(Normalized_FCF!G8/OFFSET(Normalized_FCF!G8, 0, $C$4))^(1/$C$4) - 1</f>
        <v>-4.450258101128779E-2</v>
      </c>
      <c r="E13" s="467"/>
      <c r="F13" s="467"/>
      <c r="G13" s="467"/>
    </row>
    <row r="14" spans="2:7">
      <c r="B14" s="97" t="s">
        <v>63</v>
      </c>
      <c r="C14" s="145">
        <f ca="1">(Normalized_FCF!G19/OFFSET(Normalized_FCF!G19, 0, $C$4))^(1/$C$4) - 1</f>
        <v>-7.5542496754235966E-2</v>
      </c>
      <c r="E14" s="467"/>
      <c r="F14" s="467"/>
      <c r="G14" s="467"/>
    </row>
    <row r="16" spans="2:7" ht="13.9">
      <c r="B16" s="34" t="s">
        <v>459</v>
      </c>
      <c r="C16" s="35"/>
      <c r="D16" s="35"/>
      <c r="E16" s="35"/>
      <c r="F16" s="35"/>
      <c r="G16" s="35"/>
    </row>
    <row r="17" spans="2:7" ht="13.15">
      <c r="B17" s="106" t="s">
        <v>126</v>
      </c>
      <c r="E17" s="146"/>
    </row>
    <row r="18" spans="2:7" ht="12.75" customHeight="1">
      <c r="B18" s="140" t="s">
        <v>111</v>
      </c>
      <c r="C18" s="138">
        <v>5</v>
      </c>
      <c r="E18" s="327"/>
      <c r="F18" s="328"/>
    </row>
    <row r="19" spans="2:7">
      <c r="E19" s="328"/>
      <c r="F19" s="328"/>
    </row>
    <row r="20" spans="2:7" ht="13.15">
      <c r="B20" s="106" t="s">
        <v>456</v>
      </c>
      <c r="E20" s="328"/>
      <c r="F20" s="328"/>
    </row>
    <row r="21" spans="2:7" ht="13.15">
      <c r="B21" s="154" t="s">
        <v>442</v>
      </c>
      <c r="C21" s="154" t="s">
        <v>381</v>
      </c>
      <c r="D21" s="154" t="s">
        <v>454</v>
      </c>
      <c r="E21" s="155" t="str">
        <f>"Value per share ("&amp;Market_currency&amp;")"</f>
        <v>Value per share (HKD)</v>
      </c>
      <c r="F21" s="155" t="s">
        <v>455</v>
      </c>
      <c r="G21" s="155" t="s">
        <v>463</v>
      </c>
    </row>
    <row r="22" spans="2:7">
      <c r="B22" s="310" t="s">
        <v>451</v>
      </c>
      <c r="C22" s="333">
        <v>0.03</v>
      </c>
      <c r="D22" s="334">
        <f>C18</f>
        <v>5</v>
      </c>
      <c r="E22" s="335">
        <f>DCF!E75</f>
        <v>3.309527665806145</v>
      </c>
      <c r="F22" s="337">
        <f>1-F23-F24</f>
        <v>0.2</v>
      </c>
      <c r="G22" s="337">
        <f>F22*(1-F$29-F$30)</f>
        <v>0.18</v>
      </c>
    </row>
    <row r="23" spans="2:7">
      <c r="B23" s="310" t="s">
        <v>443</v>
      </c>
      <c r="C23" s="333">
        <v>0.02</v>
      </c>
      <c r="D23" s="334">
        <f>C18</f>
        <v>5</v>
      </c>
      <c r="E23" s="335">
        <f>DCF!E76</f>
        <v>3.1997643060327876</v>
      </c>
      <c r="F23" s="336">
        <v>0.6</v>
      </c>
      <c r="G23" s="337">
        <f t="shared" ref="G23:G24" si="0">F23*(1-F$29-F$30)</f>
        <v>0.53999999999999992</v>
      </c>
    </row>
    <row r="24" spans="2:7">
      <c r="B24" s="310" t="s">
        <v>452</v>
      </c>
      <c r="C24" s="333">
        <v>0.01</v>
      </c>
      <c r="D24" s="334">
        <f>C18</f>
        <v>5</v>
      </c>
      <c r="E24" s="335">
        <f>DCF!E77</f>
        <v>3.0939453958271321</v>
      </c>
      <c r="F24" s="336">
        <v>0.2</v>
      </c>
      <c r="G24" s="337">
        <f t="shared" si="0"/>
        <v>0.18</v>
      </c>
    </row>
    <row r="25" spans="2:7">
      <c r="B25" s="142" t="s">
        <v>457</v>
      </c>
      <c r="C25" s="451">
        <f>E23*F23+E24*F24+E22*F22</f>
        <v>3.2005531959463278</v>
      </c>
      <c r="D25" s="142" t="str">
        <f>Market_currency</f>
        <v>HKD</v>
      </c>
      <c r="G25" s="150"/>
    </row>
    <row r="27" spans="2:7" ht="13.15">
      <c r="B27" s="106" t="s">
        <v>458</v>
      </c>
    </row>
    <row r="28" spans="2:7" ht="13.15">
      <c r="B28" s="154" t="s">
        <v>442</v>
      </c>
      <c r="C28" s="154" t="s">
        <v>381</v>
      </c>
      <c r="D28" s="154" t="s">
        <v>454</v>
      </c>
      <c r="E28" s="155" t="str">
        <f>"Value per share ("&amp;Market_currency&amp;")"</f>
        <v>Value per share (HKD)</v>
      </c>
      <c r="F28" s="155" t="s">
        <v>455</v>
      </c>
      <c r="G28" s="155" t="s">
        <v>463</v>
      </c>
    </row>
    <row r="29" spans="2:7">
      <c r="B29" s="310" t="s">
        <v>450</v>
      </c>
      <c r="C29" s="333">
        <v>0.08</v>
      </c>
      <c r="D29" s="334">
        <f>C18</f>
        <v>5</v>
      </c>
      <c r="E29" s="335">
        <f>DCF!E74</f>
        <v>3.9215456173375238</v>
      </c>
      <c r="F29" s="336">
        <v>0.05</v>
      </c>
      <c r="G29" s="337">
        <f>F29</f>
        <v>0.05</v>
      </c>
    </row>
    <row r="30" spans="2:7">
      <c r="B30" s="323" t="s">
        <v>453</v>
      </c>
      <c r="C30" s="333">
        <v>-0.1</v>
      </c>
      <c r="D30" s="334">
        <f>C18</f>
        <v>5</v>
      </c>
      <c r="E30" s="335">
        <f>DCF!E78</f>
        <v>2.1600393702507517</v>
      </c>
      <c r="F30" s="336">
        <v>0.05</v>
      </c>
      <c r="G30" s="337">
        <f>F30</f>
        <v>0.05</v>
      </c>
    </row>
    <row r="31" spans="2:7">
      <c r="E31" s="338"/>
      <c r="F31" s="338"/>
    </row>
    <row r="32" spans="2:7" ht="13.15">
      <c r="B32" s="146" t="s">
        <v>462</v>
      </c>
    </row>
    <row r="33" spans="2:7">
      <c r="B33" s="97" t="s">
        <v>464</v>
      </c>
      <c r="C33" s="156">
        <f>Normalized_FCF!C88*(1-dividend_tax_rate)</f>
        <v>0.15920000000000001</v>
      </c>
      <c r="D33" t="str">
        <f>Market_currency</f>
        <v>HKD</v>
      </c>
      <c r="E33" s="97" t="s">
        <v>461</v>
      </c>
      <c r="F33" s="223">
        <f>Holding_Period</f>
        <v>2</v>
      </c>
    </row>
    <row r="34" spans="2:7">
      <c r="B34" s="97" t="s">
        <v>233</v>
      </c>
      <c r="C34" s="147">
        <f>Market_Price</f>
        <v>2.96</v>
      </c>
      <c r="D34" t="str">
        <f>Market_currency</f>
        <v>HKD</v>
      </c>
      <c r="E34" s="97" t="s">
        <v>460</v>
      </c>
      <c r="F34" s="339">
        <f>RATE(Holding_Period,$C$33,-C34,$C$36)</f>
        <v>9.0084070295280566E-2</v>
      </c>
    </row>
    <row r="35" spans="2:7">
      <c r="B35" s="97" t="s">
        <v>440</v>
      </c>
      <c r="C35" s="329">
        <f>DCF!C11</f>
        <v>2.9919600000030946</v>
      </c>
      <c r="D35" s="97" t="str">
        <f>Market_currency</f>
        <v>HKD</v>
      </c>
      <c r="E35" s="97" t="s">
        <v>460</v>
      </c>
      <c r="F35" s="339">
        <f>RATE(Holding_Period,$C$33,-C35,$C$36)</f>
        <v>8.4099464143756297E-2</v>
      </c>
    </row>
    <row r="36" spans="2:7">
      <c r="B36" s="97" t="s">
        <v>441</v>
      </c>
      <c r="C36" s="330">
        <f>E22*G22+E23*G23+E24*G24+E30*G30+E29*G29</f>
        <v>3.1845771257311086</v>
      </c>
      <c r="D36" t="str">
        <f>Market_currency</f>
        <v>HKD</v>
      </c>
      <c r="E36" s="97" t="s">
        <v>466</v>
      </c>
      <c r="F36" s="340" t="s">
        <v>465</v>
      </c>
    </row>
    <row r="38" spans="2:7" ht="13.9">
      <c r="B38" s="34" t="s">
        <v>416</v>
      </c>
      <c r="C38" s="35"/>
      <c r="D38" s="35"/>
      <c r="E38" s="35"/>
      <c r="F38" s="35"/>
      <c r="G38" s="35"/>
    </row>
    <row r="39" spans="2:7" ht="13.15">
      <c r="B39" s="423" t="str">
        <f>IF(DCF!F14="II","2","1")&amp;"-stage DCF"</f>
        <v>1-stage DCF</v>
      </c>
      <c r="E39" s="226" t="s">
        <v>252</v>
      </c>
    </row>
    <row r="40" spans="2:7">
      <c r="B40" t="s">
        <v>404</v>
      </c>
      <c r="C40" s="139">
        <f>DCF!C17</f>
        <v>0.24487456943110034</v>
      </c>
      <c r="E40" s="97" t="s">
        <v>405</v>
      </c>
    </row>
    <row r="41" spans="2:7">
      <c r="B41" s="97" t="s">
        <v>403</v>
      </c>
      <c r="C41" s="139">
        <f>DCF!C16</f>
        <v>1.8613012126595999E-2</v>
      </c>
      <c r="E41" s="97"/>
    </row>
    <row r="43" spans="2:7" ht="13.9">
      <c r="B43" s="34" t="s">
        <v>277</v>
      </c>
      <c r="C43" s="35"/>
      <c r="D43" s="35"/>
      <c r="E43" s="35"/>
      <c r="F43" s="35"/>
      <c r="G43" s="35"/>
    </row>
    <row r="44" spans="2:7" ht="13.15">
      <c r="B44" s="106" t="s">
        <v>250</v>
      </c>
      <c r="E44" s="226" t="s">
        <v>252</v>
      </c>
    </row>
    <row r="45" spans="2:7">
      <c r="B45" s="140" t="s">
        <v>111</v>
      </c>
      <c r="C45" s="151">
        <f>C18</f>
        <v>5</v>
      </c>
      <c r="D45" s="138"/>
      <c r="E45" s="225" t="s">
        <v>308</v>
      </c>
    </row>
    <row r="46" spans="2:7">
      <c r="B46" s="114" t="s">
        <v>112</v>
      </c>
      <c r="C46" s="139">
        <v>1.8613012126595999E-2</v>
      </c>
      <c r="D46" s="139"/>
      <c r="E46" s="225" t="s">
        <v>253</v>
      </c>
    </row>
    <row r="47" spans="2:7">
      <c r="B47" s="97" t="s">
        <v>96</v>
      </c>
      <c r="C47" s="147">
        <f>DCF!I18</f>
        <v>3.1848542843959486</v>
      </c>
      <c r="D47" s="147" t="str">
        <f>Market_currency</f>
        <v>HKD</v>
      </c>
      <c r="E47" s="225" t="s">
        <v>254</v>
      </c>
    </row>
    <row r="49" spans="2:7" ht="13.15">
      <c r="B49" s="106" t="s">
        <v>278</v>
      </c>
      <c r="E49" s="226" t="s">
        <v>255</v>
      </c>
    </row>
    <row r="50" spans="2:7">
      <c r="B50" s="97" t="s">
        <v>251</v>
      </c>
      <c r="C50" s="222" t="str">
        <f>IF(C36&lt;C35,"Y","N")</f>
        <v>N</v>
      </c>
      <c r="E50" s="127"/>
    </row>
    <row r="51" spans="2:7">
      <c r="B51" s="97" t="s">
        <v>247</v>
      </c>
      <c r="C51" s="222" t="str">
        <f>IF(C50="Y","N",IF(C46&gt;8%,"N","Y"))</f>
        <v>Y</v>
      </c>
      <c r="E51" s="225" t="s">
        <v>248</v>
      </c>
    </row>
    <row r="52" spans="2:7">
      <c r="B52" s="97" t="s">
        <v>246</v>
      </c>
      <c r="C52" s="222" t="str">
        <f>IF(C46&gt;8%,"Y","N")</f>
        <v>N</v>
      </c>
      <c r="E52" s="225"/>
    </row>
    <row r="53" spans="2:7">
      <c r="B53" s="97" t="s">
        <v>238</v>
      </c>
      <c r="C53" s="221" t="str">
        <f>IF(F53&gt;50%,"Y","N")</f>
        <v>N</v>
      </c>
      <c r="E53" s="127" t="s">
        <v>274</v>
      </c>
      <c r="F53" s="256">
        <f>BS!D89/C36</f>
        <v>0.27089761289050018</v>
      </c>
    </row>
    <row r="55" spans="2:7" ht="13.9">
      <c r="B55" s="34" t="s">
        <v>107</v>
      </c>
      <c r="C55" s="35"/>
      <c r="D55" s="35"/>
      <c r="E55" s="35"/>
      <c r="F55" s="35"/>
      <c r="G55" s="35"/>
    </row>
    <row r="56" spans="2:7" ht="13.15">
      <c r="B56" s="106" t="s">
        <v>106</v>
      </c>
    </row>
    <row r="57" spans="2:7">
      <c r="B57" s="224" t="s">
        <v>249</v>
      </c>
      <c r="C57" s="223">
        <f>Holding_Period</f>
        <v>2</v>
      </c>
      <c r="D57" s="127"/>
    </row>
    <row r="58" spans="2:7">
      <c r="B58" s="97" t="s">
        <v>334</v>
      </c>
      <c r="C58" s="156">
        <f>C33</f>
        <v>0.15920000000000001</v>
      </c>
      <c r="D58" t="str">
        <f>Market_currency</f>
        <v>HKD</v>
      </c>
    </row>
    <row r="60" spans="2:7" ht="13.15">
      <c r="B60" s="106" t="s">
        <v>479</v>
      </c>
      <c r="E60" s="422"/>
    </row>
    <row r="61" spans="2:7" ht="13.15">
      <c r="B61" s="154" t="s">
        <v>468</v>
      </c>
      <c r="C61" s="154" t="s">
        <v>103</v>
      </c>
      <c r="D61" s="154" t="s">
        <v>104</v>
      </c>
      <c r="E61" s="155" t="str">
        <f>"Buy below ("&amp;Market_currency&amp;")"</f>
        <v>Buy below (HKD)</v>
      </c>
      <c r="F61" s="155" t="s">
        <v>460</v>
      </c>
      <c r="G61" s="155" t="s">
        <v>467</v>
      </c>
    </row>
    <row r="62" spans="2:7" ht="13.15">
      <c r="B62" s="310" t="s">
        <v>313</v>
      </c>
      <c r="C62" s="120">
        <f>PV(F62, Holding_Period, -C58, 0)</f>
        <v>0.20527846364883409</v>
      </c>
      <c r="D62" s="120">
        <f>C36/(1+F62)^Holding_Period</f>
        <v>1.7473674215259853</v>
      </c>
      <c r="E62" s="341">
        <f>C62+D62</f>
        <v>1.9526458851748194</v>
      </c>
      <c r="F62" s="309">
        <f>Thesis!E22</f>
        <v>0.35</v>
      </c>
      <c r="G62" s="450">
        <f>(1-E62/C36)</f>
        <v>0.38684295965150006</v>
      </c>
    </row>
    <row r="63" spans="2:7" ht="13.15">
      <c r="B63" s="310" t="s">
        <v>314</v>
      </c>
      <c r="C63" s="120">
        <f>PV(F63, Holding_Period, -C58, 0)</f>
        <v>0.22924800000000001</v>
      </c>
      <c r="D63" s="120">
        <f>C36/(1+F63)^Holding_Period</f>
        <v>2.0381293604679094</v>
      </c>
      <c r="E63" s="341">
        <f>C63+D63</f>
        <v>2.2673773604679095</v>
      </c>
      <c r="F63" s="309">
        <f>Thesis!E23</f>
        <v>0.25</v>
      </c>
      <c r="G63" s="450">
        <f>(1-E63/C36)</f>
        <v>0.28801304821676454</v>
      </c>
    </row>
    <row r="65" spans="2:7" ht="13.15">
      <c r="B65" s="154" t="s">
        <v>469</v>
      </c>
      <c r="C65" s="154" t="s">
        <v>103</v>
      </c>
      <c r="D65" s="154" t="s">
        <v>104</v>
      </c>
      <c r="E65" s="155" t="str">
        <f>"Sell above ("&amp;Market_currency&amp;")"</f>
        <v>Sell above (HKD)</v>
      </c>
      <c r="F65" s="155" t="s">
        <v>460</v>
      </c>
      <c r="G65" s="155" t="s">
        <v>467</v>
      </c>
    </row>
    <row r="66" spans="2:7" ht="13.15">
      <c r="B66" s="310" t="s">
        <v>316</v>
      </c>
      <c r="C66" s="120">
        <f>PV(F66, Holding_Period, -C58, 0)</f>
        <v>0.26997816308147637</v>
      </c>
      <c r="D66" s="120">
        <f>C36/(1+F66)^Holding_Period</f>
        <v>2.5505534977361926</v>
      </c>
      <c r="E66" s="341">
        <f>C66+D66</f>
        <v>2.8205316608176689</v>
      </c>
      <c r="F66" s="309">
        <f>Thesis!E24</f>
        <v>0.1174</v>
      </c>
      <c r="G66" s="450">
        <f>(1-E66/C47)</f>
        <v>0.1143922424844559</v>
      </c>
    </row>
    <row r="67" spans="2:7" ht="13.15">
      <c r="B67" s="310" t="s">
        <v>315</v>
      </c>
      <c r="C67" s="120">
        <f>PV(F67, Holding_Period, -C58, 0)</f>
        <v>0.28684217103797521</v>
      </c>
      <c r="D67" s="120">
        <f>C36/(1+F67)^Holding_Period</f>
        <v>2.7685805886567527</v>
      </c>
      <c r="E67" s="341">
        <f>C67+D67</f>
        <v>3.0554227596947281</v>
      </c>
      <c r="F67" s="309">
        <f>Thesis!E25</f>
        <v>7.2499999999999995E-2</v>
      </c>
      <c r="G67" s="450">
        <f>(1-E67/C36)</f>
        <v>4.0556206032136721E-2</v>
      </c>
    </row>
  </sheetData>
  <mergeCells count="1">
    <mergeCell ref="E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zoomScale="85" zoomScaleNormal="100" workbookViewId="0">
      <selection activeCell="B22" sqref="B22"/>
    </sheetView>
  </sheetViews>
  <sheetFormatPr defaultColWidth="9" defaultRowHeight="12.4"/>
  <cols>
    <col min="1" max="1" width="2.6640625" style="352" customWidth="1"/>
    <col min="2" max="2" width="32.6640625" style="352" customWidth="1"/>
    <col min="3" max="4" width="25.6640625" style="352" customWidth="1"/>
    <col min="5" max="6" width="15.6640625" style="352" customWidth="1"/>
    <col min="7" max="16384" width="9" style="352"/>
  </cols>
  <sheetData>
    <row r="2" spans="1:10" ht="13.9">
      <c r="A2" s="354" t="s">
        <v>336</v>
      </c>
      <c r="B2" s="354"/>
      <c r="C2" s="354"/>
      <c r="D2" s="354"/>
      <c r="E2" s="354"/>
      <c r="F2" s="354"/>
      <c r="G2" s="355"/>
      <c r="H2" s="355"/>
      <c r="I2" s="355"/>
      <c r="J2" s="355"/>
    </row>
    <row r="3" spans="1:10">
      <c r="E3" s="445" t="s">
        <v>547</v>
      </c>
      <c r="F3" s="446">
        <f>Thesis!F3</f>
        <v>45930</v>
      </c>
    </row>
    <row r="4" spans="1:10">
      <c r="B4" s="432" t="s">
        <v>539</v>
      </c>
      <c r="C4" s="433" t="str">
        <f>Thesis!C4</f>
        <v>福寿园</v>
      </c>
      <c r="D4" s="358"/>
      <c r="E4" s="444" t="s">
        <v>545</v>
      </c>
      <c r="F4" s="447" t="str">
        <f>Thesis!F4</f>
        <v>INT</v>
      </c>
    </row>
    <row r="5" spans="1:10">
      <c r="B5" s="352" t="s">
        <v>366</v>
      </c>
      <c r="C5" s="364" t="str">
        <f>Thesis!C5</f>
        <v>1448.HK</v>
      </c>
      <c r="E5" s="448" t="s">
        <v>546</v>
      </c>
      <c r="F5" s="449" t="str">
        <f>Thesis!F5</f>
        <v>N</v>
      </c>
    </row>
    <row r="6" spans="1:10">
      <c r="B6" s="359" t="s">
        <v>338</v>
      </c>
      <c r="C6" s="361" t="str">
        <f>Thesis!C6</f>
        <v>CNS_01</v>
      </c>
      <c r="E6" s="363"/>
    </row>
    <row r="7" spans="1:10">
      <c r="B7" s="352" t="s">
        <v>368</v>
      </c>
      <c r="C7" s="361" t="str">
        <f>Market_currency</f>
        <v>HKD</v>
      </c>
      <c r="D7" s="363"/>
      <c r="E7" s="363"/>
    </row>
    <row r="8" spans="1:10">
      <c r="B8" s="360" t="s">
        <v>367</v>
      </c>
      <c r="C8" s="365">
        <f>Market_Price</f>
        <v>2.96</v>
      </c>
      <c r="D8" s="352" t="s">
        <v>534</v>
      </c>
      <c r="E8" s="369">
        <f>Scenarios!F34</f>
        <v>9.0084070295280566E-2</v>
      </c>
    </row>
    <row r="9" spans="1:10">
      <c r="B9" s="360" t="s">
        <v>363</v>
      </c>
      <c r="C9" s="362">
        <f>Common_Shares</f>
        <v>2319863422</v>
      </c>
    </row>
    <row r="10" spans="1:10">
      <c r="B10" s="360" t="s">
        <v>369</v>
      </c>
      <c r="C10" s="366">
        <f>投资主题!C8*Common_Shares/1000000</f>
        <v>6866.79572912</v>
      </c>
      <c r="E10" s="362"/>
    </row>
    <row r="11" spans="1:10">
      <c r="D11" s="358"/>
      <c r="E11" s="358"/>
    </row>
    <row r="12" spans="1:10" ht="24.5" customHeight="1">
      <c r="B12" s="469" t="s">
        <v>503</v>
      </c>
      <c r="C12" s="469"/>
      <c r="D12" s="469"/>
      <c r="E12" s="469"/>
      <c r="F12" s="469"/>
    </row>
    <row r="14" spans="1:10">
      <c r="B14" s="356" t="s">
        <v>372</v>
      </c>
      <c r="C14" s="357"/>
      <c r="D14" s="358"/>
    </row>
    <row r="15" spans="1:10">
      <c r="B15" s="352" t="s">
        <v>339</v>
      </c>
      <c r="C15" s="367" t="str">
        <f>Thesis!C15</f>
        <v>N</v>
      </c>
      <c r="D15" s="360" t="s">
        <v>370</v>
      </c>
      <c r="E15" s="353" t="str">
        <f>IF(E17=C7,C7,E17&amp;"/"&amp;C7)</f>
        <v>CNY/HKD</v>
      </c>
    </row>
    <row r="16" spans="1:10">
      <c r="B16" s="352" t="s">
        <v>340</v>
      </c>
      <c r="C16" s="367" t="str">
        <f>Thesis!C16</f>
        <v>N</v>
      </c>
      <c r="D16" s="360" t="s">
        <v>371</v>
      </c>
      <c r="E16" s="435">
        <f>Exchange_Rate</f>
        <v>1.0934131500000002</v>
      </c>
    </row>
    <row r="17" spans="1:6">
      <c r="B17" s="352" t="s">
        <v>540</v>
      </c>
      <c r="C17" s="434">
        <f>Terminal_Growth</f>
        <v>0</v>
      </c>
      <c r="D17" s="360" t="s">
        <v>341</v>
      </c>
      <c r="E17" s="353" t="str">
        <f>Reporting_currency</f>
        <v>CNY</v>
      </c>
    </row>
    <row r="18" spans="1:6">
      <c r="B18" s="352" t="str">
        <f>"预期股权价值 ("&amp;C7&amp;") :"</f>
        <v>预期股权价值 (HKD) :</v>
      </c>
      <c r="C18" s="368">
        <f>C125</f>
        <v>3.1845771257311086</v>
      </c>
      <c r="D18" s="359" t="s">
        <v>364</v>
      </c>
      <c r="E18" s="436">
        <f>Thesis!E18</f>
        <v>6</v>
      </c>
    </row>
    <row r="19" spans="1:6">
      <c r="B19" s="359" t="s">
        <v>337</v>
      </c>
      <c r="C19" s="361" t="str">
        <f>IF(Scenarios!C50="Y",Scenarios!B50,"")&amp;IF(Scenarios!C51="Y",Scenarios!B51,"")&amp;IF(Scenarios!C52="Y",Scenarios!B52,"")&amp;" "&amp;IF(Scenarios!C53="Y",Scenarios!B53,"")</f>
        <v xml:space="preserve">Low Growth </v>
      </c>
      <c r="D19" s="352" t="s">
        <v>365</v>
      </c>
      <c r="E19" s="437">
        <f>EOMONTH(EDATE(BS!C1,E18+2),0)</f>
        <v>46081</v>
      </c>
    </row>
    <row r="20" spans="1:6">
      <c r="D20" s="358"/>
      <c r="E20" s="358"/>
    </row>
    <row r="21" spans="1:6">
      <c r="B21" s="356" t="s">
        <v>499</v>
      </c>
      <c r="C21" s="370" t="str">
        <f>C138&amp;" ("&amp;Market_currency&amp;")"</f>
        <v xml:space="preserve"> (HKD)</v>
      </c>
      <c r="D21" s="371" t="s">
        <v>346</v>
      </c>
      <c r="E21" s="372">
        <f>Holding_Period</f>
        <v>2</v>
      </c>
    </row>
    <row r="22" spans="1:6">
      <c r="B22" s="352" t="s">
        <v>342</v>
      </c>
      <c r="C22" s="373">
        <f>E140</f>
        <v>1.9526458851748194</v>
      </c>
      <c r="D22" s="374" t="s">
        <v>446</v>
      </c>
      <c r="E22" s="375">
        <f>Thesis!E22</f>
        <v>0.35</v>
      </c>
    </row>
    <row r="23" spans="1:6">
      <c r="B23" s="352" t="s">
        <v>343</v>
      </c>
      <c r="C23" s="376">
        <f>E141</f>
        <v>2.2673773604679095</v>
      </c>
      <c r="D23" s="374" t="s">
        <v>447</v>
      </c>
      <c r="E23" s="377">
        <f>Thesis!E23</f>
        <v>0.25</v>
      </c>
    </row>
    <row r="24" spans="1:6">
      <c r="B24" s="352" t="s">
        <v>345</v>
      </c>
      <c r="C24" s="376">
        <f>E144</f>
        <v>2.8205316608176689</v>
      </c>
      <c r="D24" s="374" t="s">
        <v>449</v>
      </c>
      <c r="E24" s="377">
        <f>Thesis!E24</f>
        <v>0.1174</v>
      </c>
    </row>
    <row r="25" spans="1:6">
      <c r="B25" s="352" t="s">
        <v>344</v>
      </c>
      <c r="C25" s="376">
        <f>E145</f>
        <v>3.0554227596947281</v>
      </c>
      <c r="D25" s="374" t="s">
        <v>448</v>
      </c>
      <c r="E25" s="377">
        <f>Thesis!E25</f>
        <v>7.2499999999999995E-2</v>
      </c>
    </row>
    <row r="27" spans="1:6" ht="13.9">
      <c r="A27" s="354" t="s">
        <v>347</v>
      </c>
      <c r="B27" s="354"/>
      <c r="C27" s="354"/>
      <c r="D27" s="354"/>
      <c r="E27" s="354"/>
      <c r="F27" s="354"/>
    </row>
    <row r="29" spans="1:6">
      <c r="B29" s="469" t="s">
        <v>504</v>
      </c>
      <c r="C29" s="469"/>
      <c r="D29" s="469"/>
      <c r="E29" s="469"/>
      <c r="F29" s="469"/>
    </row>
    <row r="30" spans="1:6" ht="24.5" customHeight="1">
      <c r="B30" s="470" t="s">
        <v>505</v>
      </c>
      <c r="C30" s="470"/>
      <c r="D30" s="470"/>
      <c r="E30" s="470"/>
      <c r="F30" s="470"/>
    </row>
    <row r="32" spans="1:6">
      <c r="B32" s="378" t="s">
        <v>373</v>
      </c>
      <c r="C32" s="379">
        <f>scaling_factor</f>
        <v>1000</v>
      </c>
    </row>
    <row r="33" spans="2:6">
      <c r="B33" s="468" t="s">
        <v>506</v>
      </c>
      <c r="C33" s="468"/>
      <c r="D33" s="468"/>
      <c r="E33" s="468"/>
      <c r="F33" s="468"/>
    </row>
    <row r="34" spans="2:6">
      <c r="B34" s="381" t="s">
        <v>197</v>
      </c>
      <c r="C34" s="382">
        <f>Normalized_FCF!C8</f>
        <v>611412.69999999972</v>
      </c>
      <c r="D34" s="352" t="str">
        <f>Reporting_currency</f>
        <v>CNY</v>
      </c>
    </row>
    <row r="35" spans="2:6">
      <c r="B35" s="381"/>
      <c r="C35" s="383"/>
    </row>
    <row r="36" spans="2:6" ht="24.5" customHeight="1">
      <c r="B36" s="468" t="s">
        <v>507</v>
      </c>
      <c r="C36" s="468"/>
      <c r="D36" s="468"/>
      <c r="E36" s="468"/>
      <c r="F36" s="468"/>
    </row>
    <row r="37" spans="2:6">
      <c r="B37" s="381" t="s">
        <v>199</v>
      </c>
      <c r="C37" s="382">
        <f>Normalized_FCF!C15</f>
        <v>173178.99999999997</v>
      </c>
      <c r="D37" s="352" t="str">
        <f>Reporting_currency</f>
        <v>CNY</v>
      </c>
    </row>
    <row r="38" spans="2:6">
      <c r="B38" s="384" t="s">
        <v>200</v>
      </c>
      <c r="C38" s="382">
        <f>Normalized_FCF!C16</f>
        <v>-173178.99999999997</v>
      </c>
      <c r="D38" s="352" t="str">
        <f>Reporting_currency</f>
        <v>CNY</v>
      </c>
    </row>
    <row r="40" spans="2:6">
      <c r="B40" s="468" t="s">
        <v>508</v>
      </c>
      <c r="C40" s="468"/>
      <c r="D40" s="468"/>
      <c r="E40" s="468"/>
      <c r="F40" s="468"/>
    </row>
    <row r="41" spans="2:6">
      <c r="B41" s="381" t="s">
        <v>202</v>
      </c>
      <c r="C41" s="382">
        <f>Normalized_FCF!C9</f>
        <v>-2798</v>
      </c>
      <c r="D41" s="352" t="str">
        <f>Reporting_currency</f>
        <v>CNY</v>
      </c>
    </row>
    <row r="43" spans="2:6">
      <c r="B43" s="468" t="s">
        <v>509</v>
      </c>
      <c r="C43" s="468"/>
      <c r="D43" s="468"/>
      <c r="E43" s="468"/>
      <c r="F43" s="468"/>
    </row>
    <row r="44" spans="2:6">
      <c r="B44" s="381" t="s">
        <v>268</v>
      </c>
      <c r="C44" s="385">
        <f>Normalized_FCF!C46</f>
        <v>3636.4450703472003</v>
      </c>
      <c r="D44" s="352" t="str">
        <f>Reporting_currency</f>
        <v>CNY</v>
      </c>
      <c r="E44" s="380"/>
      <c r="F44" s="380"/>
    </row>
    <row r="45" spans="2:6">
      <c r="B45" s="381" t="s">
        <v>269</v>
      </c>
      <c r="C45" s="385">
        <f>Normalized_FCF!C45</f>
        <v>-8088.24</v>
      </c>
      <c r="D45" s="352" t="str">
        <f>Reporting_currency</f>
        <v>CNY</v>
      </c>
      <c r="E45" s="380"/>
      <c r="F45" s="380"/>
    </row>
    <row r="46" spans="2:6">
      <c r="B46" s="381" t="s">
        <v>203</v>
      </c>
      <c r="C46" s="382">
        <f>Normalized_FCF!C10</f>
        <v>-4451.7949296527995</v>
      </c>
      <c r="D46" s="352" t="str">
        <f>Reporting_currency</f>
        <v>CNY</v>
      </c>
    </row>
    <row r="48" spans="2:6">
      <c r="B48" s="352" t="s">
        <v>510</v>
      </c>
    </row>
    <row r="49" spans="2:6">
      <c r="B49" s="381" t="s">
        <v>223</v>
      </c>
      <c r="C49" s="382">
        <f>Normalized_FCF!C13</f>
        <v>-106049.44824717694</v>
      </c>
      <c r="D49" s="352" t="str">
        <f>Reporting_currency</f>
        <v>CNY</v>
      </c>
    </row>
    <row r="51" spans="2:6">
      <c r="B51" s="468" t="s">
        <v>511</v>
      </c>
      <c r="C51" s="468"/>
      <c r="D51" s="468"/>
      <c r="E51" s="468"/>
      <c r="F51" s="468"/>
    </row>
    <row r="52" spans="2:6">
      <c r="B52" s="381" t="s">
        <v>502</v>
      </c>
      <c r="C52" s="382">
        <f>Normalized_FCF!C12</f>
        <v>-151040.72626758672</v>
      </c>
      <c r="D52" s="352" t="str">
        <f>Reporting_currency</f>
        <v>CNY</v>
      </c>
    </row>
    <row r="54" spans="2:6">
      <c r="B54" s="468" t="s">
        <v>512</v>
      </c>
      <c r="C54" s="471"/>
      <c r="D54" s="471"/>
      <c r="E54" s="471"/>
      <c r="F54" s="471"/>
    </row>
    <row r="55" spans="2:6">
      <c r="B55" s="381" t="s">
        <v>207</v>
      </c>
      <c r="C55" s="382">
        <f>Normalized_FCF!C17</f>
        <v>0</v>
      </c>
      <c r="D55" s="352" t="str">
        <f>Reporting_currency</f>
        <v>CNY</v>
      </c>
    </row>
    <row r="57" spans="2:6">
      <c r="B57" s="469" t="s">
        <v>513</v>
      </c>
      <c r="C57" s="469"/>
      <c r="D57" s="469"/>
      <c r="E57" s="469"/>
      <c r="F57" s="469"/>
    </row>
    <row r="58" spans="2:6">
      <c r="B58" s="469" t="s">
        <v>514</v>
      </c>
      <c r="C58" s="469"/>
      <c r="D58" s="469"/>
      <c r="E58" s="469"/>
      <c r="F58" s="469"/>
    </row>
    <row r="60" spans="2:6">
      <c r="B60" s="381" t="s">
        <v>374</v>
      </c>
      <c r="C60" s="382">
        <f>Normalized_FCF!G19</f>
        <v>631699.59365518577</v>
      </c>
      <c r="D60" s="352" t="str">
        <f>Reporting_currency</f>
        <v>CNY</v>
      </c>
    </row>
    <row r="61" spans="2:6">
      <c r="B61" s="381" t="s">
        <v>213</v>
      </c>
      <c r="C61" s="382">
        <f>Normalized_FCF!C19</f>
        <v>347072.73055558326</v>
      </c>
      <c r="D61" s="352" t="str">
        <f>Reporting_currency</f>
        <v>CNY</v>
      </c>
    </row>
    <row r="62" spans="2:6">
      <c r="B62" s="386" t="s">
        <v>303</v>
      </c>
      <c r="C62" s="387">
        <f>Normalized_FCF!C124</f>
        <v>5.526506140070004E-2</v>
      </c>
      <c r="F62" s="388"/>
    </row>
    <row r="63" spans="2:6">
      <c r="B63" s="386" t="s">
        <v>333</v>
      </c>
      <c r="C63" s="387">
        <f>Normalized_FCF!C92</f>
        <v>5.378378378378379E-2</v>
      </c>
      <c r="E63" s="381" t="s">
        <v>375</v>
      </c>
      <c r="F63" s="389">
        <f>Normalized_FCF!C90</f>
        <v>1.0641062355754669</v>
      </c>
    </row>
    <row r="65" spans="1:6">
      <c r="B65" s="378" t="s">
        <v>378</v>
      </c>
      <c r="C65" s="390" t="s">
        <v>328</v>
      </c>
      <c r="D65" s="390" t="s">
        <v>376</v>
      </c>
    </row>
    <row r="66" spans="1:6">
      <c r="B66" s="381" t="s">
        <v>327</v>
      </c>
      <c r="C66" s="387">
        <f>Normalized_FCF!C119</f>
        <v>0.12416948697308672</v>
      </c>
      <c r="D66" s="387">
        <f>Normalized_FCF!G119</f>
        <v>0.21971961985098865</v>
      </c>
    </row>
    <row r="67" spans="1:6">
      <c r="B67" s="391" t="str">
        <f>Normalized_FCF!B116</f>
        <v>Pre-tax Profit/Sales</v>
      </c>
      <c r="C67" s="392">
        <f>Normalized_FCF!C116</f>
        <v>0.41544958439449353</v>
      </c>
      <c r="D67" s="392">
        <f>Normalized_FCF!G116</f>
        <v>0.51460063887624918</v>
      </c>
    </row>
    <row r="68" spans="1:6">
      <c r="B68" s="391" t="str">
        <f>Normalized_FCF!B117</f>
        <v>Sales/Total Assets</v>
      </c>
      <c r="C68" s="393">
        <f>Normalized_FCF!C117</f>
        <v>0.20090947033127624</v>
      </c>
      <c r="D68" s="393">
        <f>Normalized_FCF!G117</f>
        <v>0.28701352904468036</v>
      </c>
    </row>
    <row r="69" spans="1:6">
      <c r="B69" s="391" t="str">
        <f>Normalized_FCF!B118</f>
        <v>Total Assets/Equity</v>
      </c>
      <c r="C69" s="393">
        <f>Normalized_FCF!C118</f>
        <v>1.4876341835211095</v>
      </c>
      <c r="D69" s="393">
        <f>Normalized_FCF!G118</f>
        <v>1.4876341835211095</v>
      </c>
    </row>
    <row r="71" spans="1:6" ht="13.9">
      <c r="A71" s="354" t="s">
        <v>482</v>
      </c>
      <c r="B71" s="354"/>
      <c r="C71" s="354"/>
      <c r="D71" s="354"/>
      <c r="E71" s="354"/>
      <c r="F71" s="354"/>
    </row>
    <row r="72" spans="1:6">
      <c r="A72" s="394"/>
    </row>
    <row r="73" spans="1:6">
      <c r="A73" s="395"/>
      <c r="B73" s="469" t="s">
        <v>515</v>
      </c>
      <c r="C73" s="469"/>
      <c r="D73" s="469"/>
      <c r="E73" s="469"/>
      <c r="F73" s="469"/>
    </row>
    <row r="74" spans="1:6">
      <c r="B74" s="470" t="s">
        <v>485</v>
      </c>
      <c r="C74" s="470"/>
      <c r="D74" s="470"/>
      <c r="E74" s="470"/>
      <c r="F74" s="470"/>
    </row>
    <row r="76" spans="1:6">
      <c r="B76" s="378" t="s">
        <v>373</v>
      </c>
    </row>
    <row r="77" spans="1:6">
      <c r="B77" s="469" t="s">
        <v>516</v>
      </c>
      <c r="C77" s="469"/>
      <c r="D77" s="469"/>
      <c r="E77" s="469"/>
      <c r="F77" s="469"/>
    </row>
    <row r="78" spans="1:6">
      <c r="B78" s="352" t="s">
        <v>215</v>
      </c>
      <c r="C78" s="382">
        <f>DCF!F4</f>
        <v>-134804</v>
      </c>
      <c r="D78" s="352" t="str">
        <f>Reporting_currency</f>
        <v>CNY</v>
      </c>
    </row>
    <row r="79" spans="1:6">
      <c r="B79" s="381" t="s">
        <v>235</v>
      </c>
      <c r="C79" s="396">
        <f>C78*scaling_factor*Exchange_Rate/Common_Shares</f>
        <v>-6.3536699994832718E-2</v>
      </c>
      <c r="D79" s="352" t="str">
        <f>Market_currency</f>
        <v>HKD</v>
      </c>
    </row>
    <row r="80" spans="1:6">
      <c r="B80" s="391" t="s">
        <v>310</v>
      </c>
      <c r="C80" s="397">
        <f>IF(BS!G31/BS!G27&gt;300%,"nm",BS!G31/BS!G27)</f>
        <v>2.7705347980559972E-2</v>
      </c>
    </row>
    <row r="81" spans="1:6">
      <c r="B81" s="391" t="s">
        <v>312</v>
      </c>
      <c r="C81" s="398">
        <f>IF(BS!C50&gt;30,"nm",BS!C50)</f>
        <v>0.22047955497162566</v>
      </c>
    </row>
    <row r="83" spans="1:6">
      <c r="B83" s="352" t="s">
        <v>517</v>
      </c>
    </row>
    <row r="84" spans="1:6">
      <c r="B84" s="352" t="s">
        <v>224</v>
      </c>
      <c r="C84" s="382">
        <f>DCF!F5</f>
        <v>1507763.8216088</v>
      </c>
      <c r="D84" s="352" t="str">
        <f>Reporting_currency</f>
        <v>CNY</v>
      </c>
    </row>
    <row r="85" spans="1:6">
      <c r="B85" s="391" t="s">
        <v>487</v>
      </c>
      <c r="C85" s="399">
        <f>BS!C66</f>
        <v>2113838</v>
      </c>
      <c r="D85" s="400" t="str">
        <f>Reporting_currency</f>
        <v>CNY</v>
      </c>
    </row>
    <row r="86" spans="1:6">
      <c r="B86" s="381" t="s">
        <v>236</v>
      </c>
      <c r="C86" s="396">
        <f>C84*scaling_factor*Exchange_Rate/Common_Shares</f>
        <v>0.71064907270274469</v>
      </c>
      <c r="D86" s="352" t="str">
        <f>Market_currency</f>
        <v>HKD</v>
      </c>
    </row>
    <row r="88" spans="1:6">
      <c r="B88" s="352" t="s">
        <v>518</v>
      </c>
    </row>
    <row r="89" spans="1:6">
      <c r="B89" s="352" t="s">
        <v>217</v>
      </c>
      <c r="C89" s="382">
        <f>DCF!F6</f>
        <v>187786.09999999998</v>
      </c>
      <c r="D89" s="352" t="str">
        <f>Reporting_currency</f>
        <v>CNY</v>
      </c>
    </row>
    <row r="90" spans="1:6">
      <c r="B90" s="381" t="s">
        <v>237</v>
      </c>
      <c r="C90" s="396">
        <f>C89*scaling_factor*Exchange_Rate/Common_Shares</f>
        <v>8.8508568728670176E-2</v>
      </c>
      <c r="D90" s="352" t="str">
        <f>Market_currency</f>
        <v>HKD</v>
      </c>
    </row>
    <row r="92" spans="1:6">
      <c r="B92" s="381" t="s">
        <v>486</v>
      </c>
      <c r="C92" s="396">
        <f>DCF!F8</f>
        <v>0.7356209414365823</v>
      </c>
      <c r="D92" s="352" t="str">
        <f>Market_currency</f>
        <v>HKD</v>
      </c>
    </row>
    <row r="94" spans="1:6" ht="13.9">
      <c r="A94" s="354" t="s">
        <v>488</v>
      </c>
      <c r="B94" s="354"/>
      <c r="C94" s="354"/>
      <c r="D94" s="354"/>
      <c r="E94" s="354"/>
      <c r="F94" s="354"/>
    </row>
    <row r="95" spans="1:6">
      <c r="A95" s="394"/>
    </row>
    <row r="96" spans="1:6">
      <c r="A96" s="394"/>
      <c r="B96" s="469" t="s">
        <v>519</v>
      </c>
      <c r="C96" s="469"/>
      <c r="D96" s="469"/>
      <c r="E96" s="469"/>
      <c r="F96" s="469"/>
    </row>
    <row r="97" spans="1:6">
      <c r="A97" s="394"/>
      <c r="B97" s="470" t="s">
        <v>520</v>
      </c>
      <c r="C97" s="470"/>
      <c r="D97" s="470"/>
      <c r="E97" s="470"/>
      <c r="F97" s="470"/>
    </row>
    <row r="98" spans="1:6">
      <c r="A98" s="394"/>
      <c r="B98" s="470" t="s">
        <v>521</v>
      </c>
      <c r="C98" s="470"/>
      <c r="D98" s="470"/>
      <c r="E98" s="470"/>
      <c r="F98" s="470"/>
    </row>
    <row r="99" spans="1:6">
      <c r="A99" s="394"/>
    </row>
    <row r="100" spans="1:6">
      <c r="A100" s="394"/>
      <c r="B100" s="378" t="s">
        <v>373</v>
      </c>
    </row>
    <row r="101" spans="1:6">
      <c r="A101" s="394"/>
      <c r="B101" s="381" t="s">
        <v>212</v>
      </c>
      <c r="C101" s="377">
        <f>E25+C103</f>
        <v>7.2499999999999995E-2</v>
      </c>
    </row>
    <row r="102" spans="1:6">
      <c r="A102" s="394"/>
      <c r="B102" s="391" t="s">
        <v>319</v>
      </c>
      <c r="C102" s="392">
        <f>E25</f>
        <v>7.2499999999999995E-2</v>
      </c>
    </row>
    <row r="103" spans="1:6">
      <c r="A103" s="394"/>
      <c r="B103" s="391" t="s">
        <v>318</v>
      </c>
      <c r="C103" s="392">
        <f>IF(C15="Y",1%,0)+IF(C16="Y",1%,0)</f>
        <v>0</v>
      </c>
    </row>
    <row r="104" spans="1:6">
      <c r="A104" s="394"/>
      <c r="B104" s="381" t="s">
        <v>540</v>
      </c>
      <c r="C104" s="377">
        <v>0</v>
      </c>
    </row>
    <row r="105" spans="1:6">
      <c r="A105" s="394"/>
      <c r="C105" s="401"/>
    </row>
    <row r="106" spans="1:6">
      <c r="A106" s="394"/>
      <c r="B106" s="402" t="s">
        <v>377</v>
      </c>
      <c r="C106" s="401"/>
    </row>
    <row r="107" spans="1:6">
      <c r="A107" s="394"/>
      <c r="B107" s="469" t="s">
        <v>522</v>
      </c>
      <c r="C107" s="469"/>
      <c r="D107" s="469"/>
      <c r="E107" s="469"/>
      <c r="F107" s="469"/>
    </row>
    <row r="108" spans="1:6">
      <c r="A108" s="394"/>
      <c r="B108" s="469" t="s">
        <v>541</v>
      </c>
      <c r="C108" s="469"/>
      <c r="D108" s="469"/>
      <c r="E108" s="469"/>
      <c r="F108" s="469"/>
    </row>
    <row r="109" spans="1:6">
      <c r="A109" s="394"/>
    </row>
    <row r="110" spans="1:6">
      <c r="A110" s="394"/>
      <c r="B110" s="378" t="s">
        <v>495</v>
      </c>
    </row>
    <row r="111" spans="1:6">
      <c r="A111" s="394"/>
      <c r="B111" s="384" t="s">
        <v>492</v>
      </c>
      <c r="C111" s="403">
        <f>BS!D47</f>
        <v>0.40766152338944456</v>
      </c>
      <c r="D111" s="352" t="str">
        <f>Market_currency</f>
        <v>HKD</v>
      </c>
    </row>
    <row r="112" spans="1:6">
      <c r="A112" s="394"/>
      <c r="B112" s="381" t="s">
        <v>379</v>
      </c>
      <c r="C112" s="403">
        <f>DCF!C11</f>
        <v>2.9919600000030946</v>
      </c>
      <c r="D112" s="352" t="str">
        <f>Market_currency</f>
        <v>HKD</v>
      </c>
    </row>
    <row r="113" spans="1:6">
      <c r="A113" s="394"/>
    </row>
    <row r="114" spans="1:6">
      <c r="A114" s="394"/>
      <c r="B114" s="469" t="s">
        <v>523</v>
      </c>
      <c r="C114" s="469"/>
      <c r="D114" s="469"/>
      <c r="E114" s="469"/>
      <c r="F114" s="469"/>
    </row>
    <row r="115" spans="1:6">
      <c r="A115" s="394"/>
    </row>
    <row r="116" spans="1:6">
      <c r="A116" s="394"/>
      <c r="B116" s="378" t="s">
        <v>496</v>
      </c>
    </row>
    <row r="117" spans="1:6">
      <c r="A117" s="394"/>
      <c r="B117" s="351" t="s">
        <v>380</v>
      </c>
      <c r="C117" s="351" t="s">
        <v>381</v>
      </c>
      <c r="D117" s="351" t="s">
        <v>99</v>
      </c>
      <c r="E117" s="351" t="s">
        <v>382</v>
      </c>
      <c r="F117" s="351" t="s">
        <v>383</v>
      </c>
    </row>
    <row r="118" spans="1:6">
      <c r="A118" s="394"/>
      <c r="B118" s="404" t="str">
        <f>DCF!B74</f>
        <v>Snowball Scenario</v>
      </c>
      <c r="C118" s="405">
        <f>DCF!C74</f>
        <v>0.08</v>
      </c>
      <c r="D118" s="406">
        <f>DCF!D74</f>
        <v>5</v>
      </c>
      <c r="E118" s="407" t="str">
        <f>ROUND(DCF!E74,2)&amp;" "&amp;Market_currency</f>
        <v>3.92 HKD</v>
      </c>
      <c r="F118" s="408">
        <f>DCF!F74</f>
        <v>0.05</v>
      </c>
    </row>
    <row r="119" spans="1:6">
      <c r="A119" s="394"/>
      <c r="B119" s="409" t="str">
        <f>DCF!B75</f>
        <v>Optimistic</v>
      </c>
      <c r="C119" s="410">
        <f>DCF!C75</f>
        <v>0.03</v>
      </c>
      <c r="D119" s="411">
        <f>DCF!D75</f>
        <v>5</v>
      </c>
      <c r="E119" s="407" t="str">
        <f>ROUND(DCF!E75,2)&amp;" "&amp;Market_currency</f>
        <v>3.31 HKD</v>
      </c>
      <c r="F119" s="412">
        <f>DCF!F75</f>
        <v>0.18</v>
      </c>
    </row>
    <row r="120" spans="1:6">
      <c r="B120" s="409" t="str">
        <f>DCF!B76</f>
        <v>Base</v>
      </c>
      <c r="C120" s="410">
        <f>DCF!C76</f>
        <v>0.02</v>
      </c>
      <c r="D120" s="411">
        <f>DCF!D76</f>
        <v>5</v>
      </c>
      <c r="E120" s="407" t="str">
        <f>ROUND(DCF!E76,2)&amp;" "&amp;Market_currency</f>
        <v>3.2 HKD</v>
      </c>
      <c r="F120" s="412">
        <f>DCF!F76</f>
        <v>0.53999999999999992</v>
      </c>
    </row>
    <row r="121" spans="1:6">
      <c r="B121" s="409" t="str">
        <f>DCF!B77</f>
        <v>Pessimistic</v>
      </c>
      <c r="C121" s="410">
        <f>DCF!C77</f>
        <v>0.01</v>
      </c>
      <c r="D121" s="411">
        <f>DCF!D77</f>
        <v>5</v>
      </c>
      <c r="E121" s="407" t="str">
        <f>ROUND(DCF!E77,2)&amp;" "&amp;Market_currency</f>
        <v>3.09 HKD</v>
      </c>
      <c r="F121" s="412">
        <f>DCF!F77</f>
        <v>0.18</v>
      </c>
    </row>
    <row r="122" spans="1:6">
      <c r="B122" s="409" t="str">
        <f>DCF!B78</f>
        <v>Devil's advocate</v>
      </c>
      <c r="C122" s="410">
        <f>DCF!C78</f>
        <v>-0.1</v>
      </c>
      <c r="D122" s="411">
        <f>DCF!D78</f>
        <v>5</v>
      </c>
      <c r="E122" s="407" t="str">
        <f>ROUND(DCF!E78,2)&amp;" "&amp;Market_currency</f>
        <v>2.16 HKD</v>
      </c>
      <c r="F122" s="412">
        <f>DCF!F78</f>
        <v>0.05</v>
      </c>
    </row>
    <row r="124" spans="1:6">
      <c r="B124" s="468" t="s">
        <v>524</v>
      </c>
      <c r="C124" s="468"/>
      <c r="D124" s="468"/>
      <c r="E124" s="468"/>
      <c r="F124" s="468"/>
    </row>
    <row r="125" spans="1:6">
      <c r="B125" s="381" t="s">
        <v>218</v>
      </c>
      <c r="C125" s="413">
        <f>Scenarios!C36</f>
        <v>3.1845771257311086</v>
      </c>
      <c r="D125" s="352" t="str">
        <f>Market_currency</f>
        <v>HKD</v>
      </c>
    </row>
    <row r="127" spans="1:6">
      <c r="B127" s="473" t="s">
        <v>525</v>
      </c>
      <c r="C127" s="473"/>
      <c r="D127" s="473"/>
      <c r="E127" s="473"/>
      <c r="F127" s="473"/>
    </row>
    <row r="129" spans="1:6" ht="13.9">
      <c r="A129" s="354" t="s">
        <v>498</v>
      </c>
      <c r="B129" s="354"/>
      <c r="C129" s="354"/>
      <c r="D129" s="354"/>
      <c r="E129" s="354"/>
      <c r="F129" s="354"/>
    </row>
    <row r="131" spans="1:6">
      <c r="B131" s="474" t="s">
        <v>526</v>
      </c>
      <c r="C131" s="474"/>
      <c r="D131" s="474"/>
      <c r="E131" s="474"/>
      <c r="F131" s="474"/>
    </row>
    <row r="132" spans="1:6" ht="24.5" customHeight="1">
      <c r="B132" s="469" t="s">
        <v>527</v>
      </c>
      <c r="C132" s="469"/>
      <c r="D132" s="469"/>
      <c r="E132" s="469"/>
      <c r="F132" s="469"/>
    </row>
    <row r="134" spans="1:6">
      <c r="B134" s="378" t="s">
        <v>373</v>
      </c>
    </row>
    <row r="135" spans="1:6">
      <c r="B135" s="352" t="s">
        <v>384</v>
      </c>
      <c r="C135" s="414">
        <f>E21</f>
        <v>2</v>
      </c>
    </row>
    <row r="136" spans="1:6">
      <c r="B136" s="352" t="s">
        <v>385</v>
      </c>
      <c r="C136" s="415">
        <f>Scenarios!C58</f>
        <v>0.15920000000000001</v>
      </c>
      <c r="D136" s="352" t="str">
        <f>Market_currency</f>
        <v>HKD</v>
      </c>
    </row>
    <row r="138" spans="1:6">
      <c r="B138" s="378" t="s">
        <v>499</v>
      </c>
      <c r="C138" s="416"/>
      <c r="D138" s="416"/>
    </row>
    <row r="139" spans="1:6">
      <c r="B139" s="349" t="s">
        <v>468</v>
      </c>
      <c r="C139" s="349" t="str">
        <f>"PV("&amp;Holding_Period&amp;" yrs of Dividends)"</f>
        <v>PV(2 yrs of Dividends)</v>
      </c>
      <c r="D139" s="349" t="s">
        <v>477</v>
      </c>
      <c r="E139" s="350" t="str">
        <f>"Buy below ("&amp;Market_currency&amp;")"</f>
        <v>Buy below (HKD)</v>
      </c>
      <c r="F139" s="350" t="s">
        <v>501</v>
      </c>
    </row>
    <row r="140" spans="1:6">
      <c r="B140" s="417" t="s">
        <v>313</v>
      </c>
      <c r="C140" s="418">
        <f>Scenarios!C62</f>
        <v>0.20527846364883409</v>
      </c>
      <c r="D140" s="418">
        <f>Scenarios!D62</f>
        <v>1.7473674215259853</v>
      </c>
      <c r="E140" s="419">
        <f>Scenarios!E62</f>
        <v>1.9526458851748194</v>
      </c>
      <c r="F140" s="420">
        <f>E22</f>
        <v>0.35</v>
      </c>
    </row>
    <row r="141" spans="1:6">
      <c r="B141" s="417" t="s">
        <v>314</v>
      </c>
      <c r="C141" s="418">
        <f>Scenarios!C63</f>
        <v>0.22924800000000001</v>
      </c>
      <c r="D141" s="418">
        <f>Scenarios!D63</f>
        <v>2.0381293604679094</v>
      </c>
      <c r="E141" s="419">
        <f>Scenarios!E63</f>
        <v>2.2673773604679095</v>
      </c>
      <c r="F141" s="420">
        <f>Scenarios!F63</f>
        <v>0.25</v>
      </c>
    </row>
    <row r="143" spans="1:6">
      <c r="B143" s="349" t="s">
        <v>469</v>
      </c>
      <c r="C143" s="349" t="str">
        <f>"PV("&amp;Holding_Period&amp;" yrs of Dividends)"</f>
        <v>PV(2 yrs of Dividends)</v>
      </c>
      <c r="D143" s="349" t="s">
        <v>477</v>
      </c>
      <c r="E143" s="350" t="str">
        <f>"Sell above ("&amp;Market_currency&amp;")"</f>
        <v>Sell above (HKD)</v>
      </c>
      <c r="F143" s="350" t="s">
        <v>501</v>
      </c>
    </row>
    <row r="144" spans="1:6">
      <c r="B144" s="417" t="s">
        <v>316</v>
      </c>
      <c r="C144" s="418">
        <f>Scenarios!C66</f>
        <v>0.26997816308147637</v>
      </c>
      <c r="D144" s="418">
        <f>Scenarios!D66</f>
        <v>2.5505534977361926</v>
      </c>
      <c r="E144" s="419">
        <f>Scenarios!E66</f>
        <v>2.8205316608176689</v>
      </c>
      <c r="F144" s="420">
        <f>E24</f>
        <v>0.1174</v>
      </c>
    </row>
    <row r="145" spans="1:6">
      <c r="B145" s="417" t="s">
        <v>315</v>
      </c>
      <c r="C145" s="418">
        <f>Scenarios!C67</f>
        <v>0.28684217103797521</v>
      </c>
      <c r="D145" s="418">
        <f>Scenarios!D67</f>
        <v>2.7685805886567527</v>
      </c>
      <c r="E145" s="419">
        <f>Scenarios!E67</f>
        <v>3.0554227596947281</v>
      </c>
      <c r="F145" s="420">
        <f>Scenarios!F67</f>
        <v>7.2499999999999995E-2</v>
      </c>
    </row>
    <row r="147" spans="1:6" ht="13.9">
      <c r="A147" s="354" t="s">
        <v>481</v>
      </c>
      <c r="B147" s="354"/>
      <c r="C147" s="354"/>
      <c r="D147" s="354"/>
      <c r="E147" s="354"/>
      <c r="F147" s="354"/>
    </row>
    <row r="149" spans="1:6">
      <c r="B149" s="475" t="s">
        <v>528</v>
      </c>
      <c r="C149" s="469"/>
      <c r="D149" s="469"/>
      <c r="E149" s="469"/>
      <c r="F149" s="469"/>
    </row>
    <row r="151" spans="1:6">
      <c r="B151" s="378" t="s">
        <v>386</v>
      </c>
    </row>
    <row r="152" spans="1:6">
      <c r="B152" s="471" t="s">
        <v>529</v>
      </c>
      <c r="C152" s="471"/>
      <c r="D152" s="471"/>
      <c r="E152" s="471"/>
      <c r="F152" s="471"/>
    </row>
    <row r="153" spans="1:6">
      <c r="B153" s="421" t="s">
        <v>387</v>
      </c>
    </row>
    <row r="154" spans="1:6">
      <c r="B154" s="421" t="s">
        <v>388</v>
      </c>
    </row>
    <row r="155" spans="1:6">
      <c r="B155" s="421" t="s">
        <v>389</v>
      </c>
    </row>
    <row r="157" spans="1:6">
      <c r="B157" s="352" t="s">
        <v>530</v>
      </c>
    </row>
    <row r="158" spans="1:6" ht="24.5" customHeight="1">
      <c r="B158" s="468" t="s">
        <v>445</v>
      </c>
      <c r="C158" s="468"/>
      <c r="D158" s="468"/>
      <c r="E158" s="468"/>
      <c r="F158" s="468"/>
    </row>
    <row r="160" spans="1:6">
      <c r="B160" s="352" t="s">
        <v>531</v>
      </c>
    </row>
    <row r="161" spans="2:6">
      <c r="B161" s="472" t="s">
        <v>390</v>
      </c>
      <c r="C161" s="472"/>
      <c r="D161" s="472"/>
      <c r="E161" s="472"/>
      <c r="F161" s="472"/>
    </row>
    <row r="162" spans="2:6">
      <c r="B162" s="472" t="s">
        <v>391</v>
      </c>
      <c r="C162" s="472"/>
      <c r="D162" s="472"/>
      <c r="E162" s="472"/>
      <c r="F162" s="472"/>
    </row>
    <row r="164" spans="2:6">
      <c r="B164" s="352" t="s">
        <v>532</v>
      </c>
    </row>
    <row r="165" spans="2:6">
      <c r="B165" s="421" t="s">
        <v>392</v>
      </c>
    </row>
    <row r="166" spans="2:6">
      <c r="B166" s="421" t="s">
        <v>393</v>
      </c>
    </row>
    <row r="167" spans="2:6">
      <c r="B167" s="421" t="s">
        <v>394</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14C6F-A00B-4AA1-99CB-6E416F4B862E}">
  <dimension ref="B2:E2"/>
  <sheetViews>
    <sheetView showGridLines="0" workbookViewId="0">
      <selection activeCell="D49" sqref="D49"/>
    </sheetView>
  </sheetViews>
  <sheetFormatPr defaultColWidth="8.796875" defaultRowHeight="12.75"/>
  <cols>
    <col min="1" max="1" width="2.6640625" style="457" customWidth="1"/>
    <col min="2" max="2" width="22.6640625" style="457" customWidth="1"/>
    <col min="3" max="5" width="20.6640625" style="457" customWidth="1"/>
    <col min="6" max="16384" width="8.796875" style="457"/>
  </cols>
  <sheetData>
    <row r="2" spans="2:5" ht="13.9">
      <c r="B2" s="455" t="s">
        <v>335</v>
      </c>
      <c r="C2" s="456"/>
      <c r="D2" s="456"/>
      <c r="E2" s="45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11</vt:i4>
      </vt:variant>
    </vt:vector>
  </HeadingPairs>
  <TitlesOfParts>
    <vt:vector size="19" baseType="lpstr">
      <vt:lpstr>Thesis</vt:lpstr>
      <vt:lpstr>Data</vt:lpstr>
      <vt:lpstr>BS</vt:lpstr>
      <vt:lpstr>Normalized_FCF</vt:lpstr>
      <vt:lpstr>DCF</vt:lpstr>
      <vt:lpstr>Scenarios</vt:lpstr>
      <vt:lpstr>投资主题</vt:lpstr>
      <vt:lpstr>Breakdown</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2025-10-03T01:32:50Z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