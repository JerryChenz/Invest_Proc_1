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4978B2-9208-4A33-857E-F26A7B6B5025}"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<sst xmlns="http://schemas.openxmlformats.org/spreadsheetml/2006/main" count="765" uniqueCount="556">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</sst>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887CAECA-5945-42F9-B8D2-0BD44543E946}"/>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2.86</v>
          </cell>
        </row>
        <row r="9">
          <cell r="C9">
            <v>2319863422</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549</v>
      </c>
      <c r="E5" s="443" t="s">
        <v>545</v>
      </c>
      <c r="F5" s="442" t="s">
        <v>503</v>
      </c>
    </row>
    <row r="6" spans="1:9">
      <c r="B6" s="2" t="s">
        <v>53</v>
      </c>
      <c r="C6" s="45" t="s">
        <v>406</v>
      </c>
      <c r="D6" s="45"/>
      <c r="E6" s="45"/>
    </row>
    <row r="7" spans="1:9">
      <c r="B7" s="1" t="s">
        <v>353</v>
      </c>
      <c r="C7" s="45" t="s">
        <v>309</v>
      </c>
      <c r="D7" s="45"/>
      <c r="E7" s="45"/>
    </row>
    <row r="8" spans="1:9">
      <c r="B8" s="4" t="s">
        <v>352</v>
      </c>
      <c r="C8" s="47">
        <v>2.88</v>
      </c>
      <c r="E8" s="32"/>
    </row>
    <row r="9" spans="1:9">
      <c r="B9" s="4" t="s">
        <v>348</v>
      </c>
      <c r="C9" s="48">
        <v>2319863422</v>
      </c>
    </row>
    <row r="10" spans="1:9">
      <c r="B10" s="4" t="s">
        <v>354</v>
      </c>
      <c r="C10" s="33">
        <f>Thesis!C8*Common_Shares/1000000</f>
        <v>6681.2066553599998</v>
      </c>
      <c r="D10" s="1" t="s">
        <v>534</v>
      </c>
      <c r="E10" s="311">
        <f>Scenarios!F34</f>
        <v>0.10536763573195662</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1.0931181000000001</v>
      </c>
    </row>
    <row r="17" spans="1:6">
      <c r="B17" s="1" t="s">
        <v>538</v>
      </c>
      <c r="C17" s="425">
        <v>0</v>
      </c>
      <c r="D17" s="4" t="s">
        <v>275</v>
      </c>
      <c r="E17" s="228" t="s">
        <v>551</v>
      </c>
    </row>
    <row r="18" spans="1:6">
      <c r="B18" s="1" t="str">
        <f>"Expected Equity Value ("&amp;C7&amp;") :"</f>
        <v>Expected Equity Value (HKD) :</v>
      </c>
      <c r="C18" s="259">
        <f>C125</f>
        <v>3.1837177895497697</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1.9521743701233303</v>
      </c>
      <c r="D22" s="38" t="s">
        <v>411</v>
      </c>
      <c r="E22" s="79">
        <v>0.35</v>
      </c>
    </row>
    <row r="23" spans="1:6">
      <c r="B23" s="1" t="s">
        <v>314</v>
      </c>
      <c r="C23" s="263">
        <f>E141</f>
        <v>2.2668273853118528</v>
      </c>
      <c r="D23" s="38" t="s">
        <v>412</v>
      </c>
      <c r="E23" s="453">
        <v>0.25</v>
      </c>
    </row>
    <row r="24" spans="1:6">
      <c r="B24" s="1" t="s">
        <v>316</v>
      </c>
      <c r="C24" s="263">
        <f>E144</f>
        <v>2.8198434115410738</v>
      </c>
      <c r="D24" s="38" t="s">
        <v>413</v>
      </c>
      <c r="E24" s="453">
        <v>0.1174</v>
      </c>
    </row>
    <row r="25" spans="1:6">
      <c r="B25" s="1" t="s">
        <v>315</v>
      </c>
      <c r="C25" s="263">
        <f>E145</f>
        <v>3.0546756773108341</v>
      </c>
      <c r="D25" s="38" t="s">
        <v>414</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611412.69999999972</v>
      </c>
      <c r="D34" s="1" t="str">
        <f>Reporting_currency</f>
        <v>CNY</v>
      </c>
    </row>
    <row r="35" spans="2:6">
      <c r="B35" s="44"/>
      <c r="C35" s="73"/>
    </row>
    <row r="36" spans="2:6" ht="24.5" customHeight="1">
      <c r="B36" s="459" t="s">
        <v>198</v>
      </c>
      <c r="C36" s="459"/>
      <c r="D36" s="459"/>
      <c r="E36" s="459"/>
      <c r="F36" s="459"/>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59" t="s">
        <v>201</v>
      </c>
      <c r="C40" s="459"/>
      <c r="D40" s="459"/>
      <c r="E40" s="459"/>
      <c r="F40" s="459"/>
    </row>
    <row r="41" spans="2:6">
      <c r="B41" s="44" t="s">
        <v>202</v>
      </c>
      <c r="C41" s="293">
        <f>Normalized_FCF!C9</f>
        <v>-2798</v>
      </c>
      <c r="D41" s="1" t="str">
        <f>Reporting_currency</f>
        <v>CNY</v>
      </c>
    </row>
    <row r="43" spans="2:6">
      <c r="B43" s="459" t="s">
        <v>205</v>
      </c>
      <c r="C43" s="459"/>
      <c r="D43" s="459"/>
      <c r="E43" s="459"/>
      <c r="F43" s="459"/>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59" t="s">
        <v>206</v>
      </c>
      <c r="C51" s="459"/>
      <c r="D51" s="459"/>
      <c r="E51" s="459"/>
      <c r="F51" s="459"/>
    </row>
    <row r="52" spans="2:6">
      <c r="B52" s="44" t="s">
        <v>204</v>
      </c>
      <c r="C52" s="293">
        <f>Normalized_FCF!C12</f>
        <v>-151040.72626758672</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5.6784874852264029E-2</v>
      </c>
      <c r="F62" s="264"/>
    </row>
    <row r="63" spans="2:6">
      <c r="B63" s="207" t="s">
        <v>333</v>
      </c>
      <c r="C63" s="89">
        <f>Normalized_FCF!C92</f>
        <v>5.527777777777778E-2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483</v>
      </c>
      <c r="B71" s="34"/>
      <c r="C71" s="34"/>
      <c r="D71" s="34"/>
      <c r="E71" s="34"/>
      <c r="F71" s="34"/>
    </row>
    <row r="72" spans="1:6">
      <c r="A72" s="192"/>
    </row>
    <row r="73" spans="1:6">
      <c r="A73" s="192"/>
      <c r="B73" s="458" t="s">
        <v>484</v>
      </c>
      <c r="C73" s="458"/>
      <c r="D73" s="458"/>
      <c r="E73" s="458"/>
      <c r="F73" s="458"/>
    </row>
    <row r="74" spans="1:6">
      <c r="A74" s="192"/>
      <c r="B74" s="1" t="s">
        <v>471</v>
      </c>
    </row>
    <row r="75" spans="1:6">
      <c r="A75" s="192"/>
    </row>
    <row r="76" spans="1:6">
      <c r="A76" s="192"/>
      <c r="B76" s="193" t="s">
        <v>195</v>
      </c>
    </row>
    <row r="77" spans="1:6">
      <c r="A77" s="192"/>
      <c r="B77" s="458" t="s">
        <v>272</v>
      </c>
      <c r="C77" s="458"/>
      <c r="D77" s="458"/>
      <c r="E77" s="458"/>
      <c r="F77" s="458"/>
    </row>
    <row r="78" spans="1:6">
      <c r="A78" s="192"/>
      <c r="B78" s="1" t="s">
        <v>215</v>
      </c>
      <c r="C78" s="293">
        <f>DCF!F4</f>
        <v>-134804</v>
      </c>
      <c r="D78" s="1" t="str">
        <f>Reporting_currency</f>
        <v>CNY</v>
      </c>
    </row>
    <row r="79" spans="1:6">
      <c r="A79" s="192"/>
      <c r="B79" s="44" t="s">
        <v>235</v>
      </c>
      <c r="C79" s="204">
        <f>C78*scaling_factor*Exchange_Rate/Common_Shares</f>
        <v>-6.3519555054392343E-2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472</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0.71045730895003978</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8.8484685301620306E-2</v>
      </c>
      <c r="D90" s="1" t="str">
        <f>Market_currency</f>
        <v>HKD</v>
      </c>
    </row>
    <row r="91" spans="1:6">
      <c r="A91" s="192"/>
    </row>
    <row r="92" spans="1:6">
      <c r="A92" s="192"/>
      <c r="B92" s="44" t="s">
        <v>475</v>
      </c>
      <c r="C92" s="220">
        <f>DCF!F8</f>
        <v>0.7354224391972678</v>
      </c>
      <c r="D92" s="44" t="str">
        <f>Market_currency</f>
        <v>HKD</v>
      </c>
    </row>
    <row r="94" spans="1:6" ht="13.9">
      <c r="A94" s="203" t="s">
        <v>476</v>
      </c>
      <c r="B94" s="34"/>
      <c r="C94" s="34"/>
      <c r="D94" s="34"/>
      <c r="E94" s="34"/>
      <c r="F94" s="34"/>
    </row>
    <row r="95" spans="1:6">
      <c r="A95" s="192"/>
    </row>
    <row r="96" spans="1:6" ht="11.75" customHeight="1">
      <c r="B96" s="458" t="s">
        <v>491</v>
      </c>
      <c r="C96" s="458"/>
      <c r="D96" s="458"/>
      <c r="E96" s="458"/>
      <c r="F96" s="458"/>
    </row>
    <row r="97" spans="2:6">
      <c r="B97" s="460" t="s">
        <v>490</v>
      </c>
      <c r="C97" s="460"/>
      <c r="D97" s="460"/>
      <c r="E97" s="460"/>
      <c r="F97" s="460"/>
    </row>
    <row r="98" spans="2:6">
      <c r="B98" s="460" t="s">
        <v>489</v>
      </c>
      <c r="C98" s="460"/>
      <c r="D98" s="460"/>
      <c r="E98" s="460"/>
      <c r="F98" s="460"/>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493</v>
      </c>
    </row>
    <row r="111" spans="2:6">
      <c r="B111" s="49" t="s">
        <v>474</v>
      </c>
      <c r="C111" s="220">
        <f>BS!D47</f>
        <v>0.40755151873797674</v>
      </c>
      <c r="D111" s="1" t="str">
        <f>Market_currency</f>
        <v>HKD</v>
      </c>
    </row>
    <row r="112" spans="2:6">
      <c r="B112" s="44" t="s">
        <v>324</v>
      </c>
      <c r="C112" s="220">
        <f>DCF!C11</f>
        <v>2.9911526402251361</v>
      </c>
      <c r="D112" s="1" t="str">
        <f>Market_currency</f>
        <v>HKD</v>
      </c>
    </row>
    <row r="114" spans="2:6" ht="24.5" customHeight="1">
      <c r="B114" s="458" t="s">
        <v>497</v>
      </c>
      <c r="C114" s="458"/>
      <c r="D114" s="458"/>
      <c r="E114" s="458"/>
      <c r="F114" s="458"/>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3.92 HKD</v>
      </c>
      <c r="F118" s="212">
        <f>DCF!F74</f>
        <v>0.05</v>
      </c>
    </row>
    <row r="119" spans="2:6">
      <c r="B119" s="199" t="str">
        <f>DCF!B75</f>
        <v>Optimistic</v>
      </c>
      <c r="C119" s="200">
        <f>DCF!C75</f>
        <v>0.03</v>
      </c>
      <c r="D119" s="201">
        <f>DCF!D75</f>
        <v>5</v>
      </c>
      <c r="E119" s="211" t="str">
        <f>ROUND(DCF!E75,2)&amp;" "&amp;Market_currency</f>
        <v>3.31 HKD</v>
      </c>
      <c r="F119" s="202">
        <f>DCF!F75</f>
        <v>0.18</v>
      </c>
    </row>
    <row r="120" spans="2:6">
      <c r="B120" s="199" t="str">
        <f>DCF!B76</f>
        <v>Base</v>
      </c>
      <c r="C120" s="200">
        <f>DCF!C76</f>
        <v>0.02</v>
      </c>
      <c r="D120" s="201">
        <f>DCF!D76</f>
        <v>5</v>
      </c>
      <c r="E120" s="211" t="str">
        <f>ROUND(DCF!E76,2)&amp;" "&amp;Market_currency</f>
        <v>3.2 HKD</v>
      </c>
      <c r="F120" s="202">
        <f>DCF!F76</f>
        <v>0.53999999999999992</v>
      </c>
    </row>
    <row r="121" spans="2:6">
      <c r="B121" s="199" t="str">
        <f>DCF!B77</f>
        <v>Pessimistic</v>
      </c>
      <c r="C121" s="200">
        <f>DCF!C77</f>
        <v>0.01</v>
      </c>
      <c r="D121" s="201">
        <f>DCF!D77</f>
        <v>5</v>
      </c>
      <c r="E121" s="211" t="str">
        <f>ROUND(DCF!E77,2)&amp;" "&amp;Market_currency</f>
        <v>3.09 HKD</v>
      </c>
      <c r="F121" s="202">
        <f>DCF!F77</f>
        <v>0.18</v>
      </c>
    </row>
    <row r="122" spans="2:6">
      <c r="B122" s="199" t="str">
        <f>DCF!B78</f>
        <v>Devil's advocate</v>
      </c>
      <c r="C122" s="200">
        <f>DCF!C78</f>
        <v>-0.1</v>
      </c>
      <c r="D122" s="201">
        <f>DCF!D78</f>
        <v>5</v>
      </c>
      <c r="E122" s="211" t="str">
        <f>ROUND(DCF!E78,2)&amp;" "&amp;Market_currency</f>
        <v>2.16 HKD</v>
      </c>
      <c r="F122" s="202">
        <f>DCF!F78</f>
        <v>0.05</v>
      </c>
    </row>
    <row r="124" spans="2:6">
      <c r="B124" s="459" t="s">
        <v>359</v>
      </c>
      <c r="C124" s="459"/>
      <c r="D124" s="459"/>
      <c r="E124" s="459"/>
      <c r="F124" s="459"/>
    </row>
    <row r="125" spans="2:6">
      <c r="B125" s="194" t="s">
        <v>218</v>
      </c>
      <c r="C125" s="198">
        <f>Scenarios!C36</f>
        <v>3.1837177895497697</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0.20527846364883409</v>
      </c>
      <c r="D140" s="342">
        <f>Scenarios!D62</f>
        <v>1.7468959064744962</v>
      </c>
      <c r="E140" s="343">
        <f>Scenarios!E62</f>
        <v>1.9521743701233303</v>
      </c>
      <c r="F140" s="344">
        <f>E22</f>
        <v>0.35</v>
      </c>
    </row>
    <row r="141" spans="1:6">
      <c r="B141" s="345" t="s">
        <v>314</v>
      </c>
      <c r="C141" s="342">
        <f>Scenarios!C63</f>
        <v>0.22924800000000001</v>
      </c>
      <c r="D141" s="342">
        <f>Scenarios!D63</f>
        <v>2.0375793853118527</v>
      </c>
      <c r="E141" s="343">
        <f>Scenarios!E63</f>
        <v>2.2668273853118528</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0.26997816308147637</v>
      </c>
      <c r="D144" s="342">
        <f>Scenarios!D66</f>
        <v>2.5498652484595974</v>
      </c>
      <c r="E144" s="343">
        <f>Scenarios!E66</f>
        <v>2.8198434115410738</v>
      </c>
      <c r="F144" s="344">
        <f>E24</f>
        <v>0.1174</v>
      </c>
    </row>
    <row r="145" spans="1:6">
      <c r="B145" s="345" t="s">
        <v>315</v>
      </c>
      <c r="C145" s="342">
        <f>Scenarios!C67</f>
        <v>0.28684217103797521</v>
      </c>
      <c r="D145" s="342">
        <f>Scenarios!D67</f>
        <v>2.7678335062728587</v>
      </c>
      <c r="E145" s="343">
        <f>Scenarios!E67</f>
        <v>3.0546756773108341</v>
      </c>
      <c r="F145" s="344">
        <f>Scenarios!F67</f>
        <v>7.2499999999999995E-2</v>
      </c>
    </row>
    <row r="147" spans="1:6" ht="13.9">
      <c r="A147" s="203" t="s">
        <v>481</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444</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554</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407</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2.0220270751152438</v>
      </c>
      <c r="D47" s="135">
        <f>D46*H1/Common_Shares*Exchange_Rate</f>
        <v>0.40755151873797674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147356.69235240002</v>
      </c>
      <c r="D86" s="204">
        <f>C86*scaling_factor/Common_Shares</f>
        <v>6.3519555054392343E-2</v>
      </c>
      <c r="E86" s="218" t="str">
        <f>Market_currency</f>
        <v>HKD</v>
      </c>
    </row>
    <row r="87" spans="2:8" ht="15" customHeight="1">
      <c r="B87" s="216" t="s">
        <v>241</v>
      </c>
      <c r="C87" s="73">
        <f>DCF!F5*Exchange_Rate</f>
        <v>1648163.9239257504</v>
      </c>
      <c r="D87" s="204">
        <f>C87*scaling_factor/Common_Shares</f>
        <v>0.71045730895003978</v>
      </c>
      <c r="E87" s="218" t="str">
        <f>Market_currency</f>
        <v>HKD</v>
      </c>
    </row>
    <row r="88" spans="2:8" ht="15" customHeight="1">
      <c r="B88" s="217" t="s">
        <v>159</v>
      </c>
      <c r="C88" s="73">
        <f>DCF!F6*Exchange_Rate</f>
        <v>205272.38483840998</v>
      </c>
      <c r="D88" s="204">
        <f>C88*scaling_factor/Common_Shares</f>
        <v>8.8484685301620306E-2</v>
      </c>
      <c r="E88" s="218" t="str">
        <f>Market_currency</f>
        <v>HKD</v>
      </c>
    </row>
    <row r="89" spans="2:8" ht="15" customHeight="1">
      <c r="B89" s="77" t="s">
        <v>245</v>
      </c>
      <c r="C89" s="163">
        <f>SUM(C86:C88)</f>
        <v>2000793.0011165603</v>
      </c>
      <c r="D89" s="220">
        <f>SUM(D86:D88)</f>
        <v>0.86246154930605246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420</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555</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5.527777777777778E-2</v>
      </c>
      <c r="E92" s="242"/>
      <c r="G92" s="22">
        <f t="shared" ref="G92:Q92" si="38">IF(G$4="","",(G88*(1-dividend_tax_rate))/Market_Price)</f>
        <v>5.527777777777778E-2</v>
      </c>
      <c r="H92" s="22">
        <f t="shared" si="38"/>
        <v>5.527777777777778E-2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0.16354043957452041</v>
      </c>
      <c r="D123" s="26"/>
      <c r="E123" s="239"/>
      <c r="F123" s="26"/>
      <c r="G123" s="160">
        <f t="shared" ref="G123:Q123" si="48">IF(G$4="","",G14*$C$3/Common_Shares*Exchange_Rate)</f>
        <v>0.297656427977047</v>
      </c>
      <c r="H123" s="160">
        <f t="shared" si="48"/>
        <v>0.49434792829460483</v>
      </c>
      <c r="I123" s="160">
        <f t="shared" si="48"/>
        <v>0.34829028630707898</v>
      </c>
      <c r="J123" s="160">
        <f t="shared" si="48"/>
        <v>0.38109706875498128</v>
      </c>
      <c r="K123" s="160">
        <f t="shared" si="48"/>
        <v>0.32595826505957992</v>
      </c>
      <c r="L123" s="160">
        <f t="shared" si="48"/>
        <v>0.29637778445329532</v>
      </c>
      <c r="M123" s="160">
        <f t="shared" si="48"/>
        <v>0.27668118108226292</v>
      </c>
      <c r="N123" s="160">
        <f t="shared" si="48"/>
        <v>0.16894616529907941</v>
      </c>
      <c r="O123" s="160">
        <f t="shared" si="48"/>
        <v>0.13200696468979459</v>
      </c>
      <c r="P123" s="160">
        <f t="shared" si="48"/>
        <v>0.10425803589574423</v>
      </c>
      <c r="Q123" s="160" t="str">
        <f t="shared" si="48"/>
        <v/>
      </c>
    </row>
    <row r="124" spans="1:17" ht="15.75" customHeight="1">
      <c r="A124" s="10"/>
      <c r="B124" s="26" t="s">
        <v>226</v>
      </c>
      <c r="C124" s="74">
        <f>C19*Exchange_Rate*$C$3/(Market_Price*Common_Shares)</f>
        <v>5.6784874852264029E-2</v>
      </c>
      <c r="D124" s="26"/>
      <c r="E124" s="239"/>
      <c r="F124" s="26"/>
      <c r="G124" s="74">
        <f t="shared" ref="G124" si="49">IF(G$4="","",G123/Market_Price)</f>
        <v>0.1033529263809191</v>
      </c>
      <c r="H124" s="74">
        <f t="shared" ref="H124" si="50">IF(H$4="","",H123/Market_Price)</f>
        <v>0.17164858621340445</v>
      </c>
      <c r="I124" s="74">
        <f t="shared" ref="I124" si="51">IF(I$4="","",I123/Market_Price)</f>
        <v>0.12093412718995798</v>
      </c>
      <c r="J124" s="74">
        <f t="shared" ref="J124" si="52">IF(J$4="","",J123/Market_Price)</f>
        <v>0.13232537109547962</v>
      </c>
      <c r="K124" s="74">
        <f t="shared" ref="K124" si="53">IF(K$4="","",K123/Market_Price)</f>
        <v>0.11317995314568748</v>
      </c>
      <c r="L124" s="74">
        <f t="shared" ref="L124" si="54">IF(L$4="","",L123/Market_Price)</f>
        <v>0.10290895293517199</v>
      </c>
      <c r="M124" s="74">
        <f t="shared" ref="M124" si="55">IF(M$4="","",M123/Market_Price)</f>
        <v>9.6069854542452399E-2</v>
      </c>
      <c r="N124" s="74">
        <f t="shared" ref="N124" si="56">IF(N$4="","",N123/Market_Price)</f>
        <v>5.8661862951069239E-2</v>
      </c>
      <c r="O124" s="74">
        <f t="shared" ref="O124" si="57">IF(O$4="","",O123/Market_Price)</f>
        <v>4.5835751628400902E-2</v>
      </c>
      <c r="P124" s="74">
        <f t="shared" ref="P124" si="58">IF(P$4="","",P123/Market_Price)</f>
        <v>3.6200706908244527E-2</v>
      </c>
      <c r="Q124" s="74" t="str">
        <f t="shared" ref="Q124" si="59">IF(Q$4="","",Q123/Market_Price)</f>
        <v/>
      </c>
    </row>
    <row r="125" spans="1:17" ht="15.75" customHeight="1">
      <c r="B125" s="2" t="s">
        <v>307</v>
      </c>
      <c r="C125" s="152"/>
      <c r="G125" s="22">
        <f>IF(G$4="","",(Data!C47*$C$3)/(Market_Price*Common_Shares))</f>
        <v>7.4436853349090545E-2</v>
      </c>
      <c r="H125" s="22">
        <f>IF(H$4="","",(Data!D47*$C$3)/(Market_Price*Common_Shares))</f>
        <v>0.14606882414227843</v>
      </c>
      <c r="I125" s="22">
        <f>IF(I$4="","",(Data!E47*$C$3)/(Market_Price*Common_Shares))</f>
        <v>0.12134469742072601</v>
      </c>
      <c r="J125" s="22">
        <f>IF(J$4="","",(Data!F47*$C$3)/(Market_Price*Common_Shares))</f>
        <v>0.1331561865828956</v>
      </c>
      <c r="K125" s="22">
        <f>IF(K$4="","",(Data!G47*$C$3)/(Market_Price*Common_Shares))</f>
        <v>0.11334853703297022</v>
      </c>
      <c r="L125" s="22">
        <f>IF(L$4="","",(Data!H47*$C$3)/(Market_Price*Common_Shares))</f>
        <v>0.11005781409411879</v>
      </c>
      <c r="M125" s="22">
        <f>IF(M$4="","",(Data!I47*$C$3)/(Market_Price*Common_Shares))</f>
        <v>9.2143984126895437E-2</v>
      </c>
      <c r="N125" s="22">
        <f>IF(N$4="","",(Data!J47*$C$3)/(Market_Price*Common_Shares))</f>
        <v>8.2346352744324045E-2</v>
      </c>
      <c r="O125" s="22">
        <f>IF(O$4="","",(Data!K47*$C$3)/(Market_Price*Common_Shares))</f>
        <v>6.7129341021084379E-2</v>
      </c>
      <c r="P125" s="22">
        <f>IF(P$4="","",(Data!L47*$C$3)/(Market_Price*Common_Shares))</f>
        <v>5.4656145040363792E-2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347072.73055558326</v>
      </c>
      <c r="D4" t="str">
        <f>Reporting_currency</f>
        <v>CNY</v>
      </c>
      <c r="E4" s="136" t="s">
        <v>437</v>
      </c>
      <c r="F4" s="283">
        <f>-BS!G31</f>
        <v>-134804</v>
      </c>
      <c r="G4" t="str">
        <f>Reporting_currency</f>
        <v>CNY</v>
      </c>
      <c r="H4" s="316" t="s">
        <v>396</v>
      </c>
      <c r="I4" s="313">
        <f>Normalized_FCF!C4</f>
        <v>1454238.7999999998</v>
      </c>
      <c r="J4" s="313"/>
    </row>
    <row r="5" spans="2:15">
      <c r="B5" s="188" t="s">
        <v>105</v>
      </c>
      <c r="C5" s="189">
        <f>Equity_Cost</f>
        <v>7.2499999999999995E-2</v>
      </c>
      <c r="E5" s="136" t="s">
        <v>438</v>
      </c>
      <c r="F5" s="283">
        <f>BS!D66</f>
        <v>1507763.8216088</v>
      </c>
      <c r="G5" t="str">
        <f>Reporting_currency</f>
        <v>CNY</v>
      </c>
      <c r="H5" s="316" t="s">
        <v>398</v>
      </c>
      <c r="I5" s="313">
        <f>Normalized_FCF!C7</f>
        <v>-486720</v>
      </c>
      <c r="J5" s="313"/>
    </row>
    <row r="6" spans="2:15" ht="13.25" customHeight="1">
      <c r="B6" s="137" t="s">
        <v>194</v>
      </c>
      <c r="C6" s="291">
        <f>(C4*(1+Terminal_Growth))/(Equity_Cost-Terminal_Growth)</f>
        <v>4787210.0766287353</v>
      </c>
      <c r="D6" t="str">
        <f>Reporting_currency</f>
        <v>CNY</v>
      </c>
      <c r="E6" s="188" t="s">
        <v>439</v>
      </c>
      <c r="F6" s="292">
        <f>BS!H42</f>
        <v>187786.09999999998</v>
      </c>
      <c r="G6" t="str">
        <f>Reporting_currency</f>
        <v>CNY</v>
      </c>
      <c r="H6" s="316" t="s">
        <v>421</v>
      </c>
      <c r="I6" s="313">
        <f>I7+I8</f>
        <v>-7249.7949296527995</v>
      </c>
      <c r="J6" s="313"/>
      <c r="N6" s="136"/>
    </row>
    <row r="7" spans="2:15" ht="12.75" customHeight="1">
      <c r="B7" s="326" t="s">
        <v>436</v>
      </c>
      <c r="C7" s="283">
        <f>F7</f>
        <v>1560745.9216088001</v>
      </c>
      <c r="E7" s="141" t="s">
        <v>430</v>
      </c>
      <c r="F7" s="291">
        <f>SUM(F4:F6)</f>
        <v>1560745.9216088001</v>
      </c>
      <c r="G7" t="str">
        <f>Reporting_currency</f>
        <v>CNY</v>
      </c>
      <c r="H7" s="320" t="s">
        <v>422</v>
      </c>
      <c r="I7" s="321">
        <f>Normalized_FCF!C9</f>
        <v>-2798</v>
      </c>
      <c r="J7" s="321"/>
      <c r="N7" s="312"/>
      <c r="O7" s="312"/>
    </row>
    <row r="8" spans="2:15" ht="13.15">
      <c r="B8" s="137" t="s">
        <v>432</v>
      </c>
      <c r="C8" s="291">
        <f>C6+C7</f>
        <v>6347955.9982375354</v>
      </c>
      <c r="D8" t="str">
        <f>Reporting_currency</f>
        <v>CNY</v>
      </c>
      <c r="E8" s="141" t="s">
        <v>470</v>
      </c>
      <c r="F8" s="108">
        <f>FV_adjustments*scaling_factor/Common_Shares*Exchange_Rate</f>
        <v>0.7354224391972678</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7.2924369950228912E-2</v>
      </c>
      <c r="J9" s="314"/>
      <c r="N9" s="312"/>
      <c r="O9" s="312"/>
    </row>
    <row r="10" spans="2:15" ht="13.5" thickTop="1">
      <c r="B10" s="107" t="s">
        <v>433</v>
      </c>
      <c r="C10" s="291">
        <f>C8*Exchange_Rate</f>
        <v>6939065.5996770188</v>
      </c>
      <c r="D10" t="str">
        <f>Market_currency</f>
        <v>HKD</v>
      </c>
      <c r="H10" s="316" t="s">
        <v>400</v>
      </c>
      <c r="I10" s="314">
        <f>Normalized_FCF!C41</f>
        <v>0.25</v>
      </c>
      <c r="N10" s="312"/>
      <c r="O10" s="312"/>
    </row>
    <row r="11" spans="2:15" ht="13.15">
      <c r="B11" s="137" t="s">
        <v>431</v>
      </c>
      <c r="C11" s="108">
        <f>(C10*scaling_factor)/Common_Shares</f>
        <v>2.9911526402251361</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0.24487456943110034</v>
      </c>
      <c r="E17" s="316" t="s">
        <v>404</v>
      </c>
      <c r="F17" s="319">
        <f>Scenarios!C40</f>
        <v>0.24487456943110034</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3.1839948734252541</v>
      </c>
      <c r="J18" t="str">
        <f>Market_currency</f>
        <v>HKD</v>
      </c>
    </row>
    <row r="19" spans="1:21">
      <c r="L19" s="283"/>
    </row>
    <row r="20" spans="1:21" ht="13.15">
      <c r="A20" s="122" t="s">
        <v>402</v>
      </c>
      <c r="B20" s="122" t="s">
        <v>98</v>
      </c>
      <c r="C20" s="122" t="s">
        <v>396</v>
      </c>
      <c r="D20" s="122" t="s">
        <v>102</v>
      </c>
      <c r="E20" s="122" t="s">
        <v>397</v>
      </c>
      <c r="F20" s="122" t="s">
        <v>398</v>
      </c>
      <c r="G20" s="122" t="s">
        <v>552</v>
      </c>
      <c r="H20" s="122" t="str">
        <f>B18</f>
        <v>D&amp;A - maint. Capx</v>
      </c>
      <c r="I20" s="122" t="s">
        <v>424</v>
      </c>
      <c r="J20" s="122" t="s">
        <v>536</v>
      </c>
      <c r="K20" s="122" t="s">
        <v>537</v>
      </c>
      <c r="L20" s="123" t="s">
        <v>425</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(G51*(1-$I$10)+C51*(H51-$I$9))/Equity_Cost</f>
        <v>5256873.055179405</v>
      </c>
      <c r="J51" s="424">
        <f>(G51*(1-$I$10)+C51*(H51-$I$9))/VLOOKUP(C15,B21:I50,8,FALSE)-1</f>
        <v>0</v>
      </c>
      <c r="K51" s="120">
        <f>1/(1+Equity_Cost)^C15</f>
        <v>0.70471496766912267</v>
      </c>
      <c r="L51" s="285">
        <f>I51*K51</f>
        <v>3704597.1251214365</v>
      </c>
    </row>
    <row r="52" spans="1:21" ht="13.15">
      <c r="G52" s="111"/>
      <c r="H52" s="111"/>
      <c r="I52" s="111"/>
      <c r="J52" s="466" t="s">
        <v>426</v>
      </c>
      <c r="K52" s="466"/>
      <c r="L52" s="325">
        <f>SUM(L21:L51)</f>
        <v>5196468.3653879724</v>
      </c>
    </row>
    <row r="53" spans="1:21">
      <c r="C53" s="111"/>
    </row>
    <row r="54" spans="1:21" ht="13.15">
      <c r="B54" s="115" t="s">
        <v>108</v>
      </c>
      <c r="C54" s="129"/>
      <c r="D54" s="129"/>
      <c r="E54" s="113"/>
      <c r="F54" s="113"/>
      <c r="G54" s="113"/>
      <c r="H54" s="113"/>
      <c r="I54" s="113"/>
      <c r="J54" s="113"/>
      <c r="K54" s="113"/>
      <c r="L54" s="113"/>
    </row>
    <row r="55" spans="1:21" ht="13.15">
      <c r="A55" s="126">
        <f>L52</f>
        <v>5196468.3653879724</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3022147.8593235333</v>
      </c>
      <c r="C56" s="119">
        <v>5003589.5754031707</v>
      </c>
      <c r="D56" s="119">
        <v>5228102.5320490673</v>
      </c>
      <c r="E56" s="119">
        <v>5460984.3145793369</v>
      </c>
      <c r="F56" s="119">
        <v>6759485.3060527015</v>
      </c>
      <c r="G56" s="303"/>
      <c r="H56" s="303"/>
      <c r="I56" s="303"/>
      <c r="J56" s="303"/>
      <c r="K56" s="303"/>
      <c r="L56" s="303"/>
    </row>
    <row r="57" spans="1:21" ht="13.15">
      <c r="A57" s="132">
        <v>10</v>
      </c>
      <c r="B57" s="119">
        <v>2287657.5646921531</v>
      </c>
      <c r="C57" s="119">
        <v>5163853.7588301506</v>
      </c>
      <c r="D57" s="119">
        <v>5571144.3156508002</v>
      </c>
      <c r="E57" s="119">
        <v>6011429.4281804338</v>
      </c>
      <c r="F57" s="119">
        <v>8801692.4610277433</v>
      </c>
      <c r="G57" s="303"/>
      <c r="H57" s="303"/>
      <c r="I57" s="303"/>
      <c r="J57" s="303"/>
      <c r="K57" s="303"/>
      <c r="L57" s="303"/>
    </row>
    <row r="58" spans="1:21" ht="13.15">
      <c r="A58" s="132">
        <v>15</v>
      </c>
      <c r="B58" s="119">
        <v>1982016.2181047595</v>
      </c>
      <c r="C58" s="285">
        <v>5282555.4317473797</v>
      </c>
      <c r="D58" s="119">
        <v>5838052.1836579088</v>
      </c>
      <c r="E58" s="119">
        <v>6461119.852689568</v>
      </c>
      <c r="F58" s="119">
        <v>10916311.151974525</v>
      </c>
      <c r="G58" s="303"/>
      <c r="H58" s="303"/>
      <c r="I58" s="303"/>
      <c r="J58" s="303"/>
      <c r="K58" s="303"/>
      <c r="L58" s="303"/>
      <c r="M58" s="283"/>
      <c r="N58" s="283"/>
      <c r="O58" s="283"/>
      <c r="P58" s="283"/>
      <c r="Q58" s="283"/>
      <c r="R58" s="283"/>
      <c r="S58" s="283"/>
      <c r="T58" s="283"/>
      <c r="U58" s="283"/>
    </row>
    <row r="59" spans="1:21" ht="13.15">
      <c r="A59" s="133">
        <v>20</v>
      </c>
      <c r="B59" s="119">
        <v>1854830.5582988143</v>
      </c>
      <c r="C59" s="285">
        <v>5370473.3111640792</v>
      </c>
      <c r="D59" s="119">
        <v>6045723.1246614326</v>
      </c>
      <c r="E59" s="119">
        <v>6828497.9488856494</v>
      </c>
      <c r="F59" s="119">
        <v>13105908.910070773</v>
      </c>
      <c r="G59" s="303"/>
      <c r="H59" s="303"/>
      <c r="I59" s="303"/>
      <c r="J59" s="303"/>
      <c r="K59" s="303"/>
      <c r="L59" s="303"/>
      <c r="M59" s="283"/>
      <c r="N59" s="283"/>
      <c r="O59" s="283"/>
      <c r="P59" s="283"/>
      <c r="Q59" s="283"/>
      <c r="R59" s="283"/>
      <c r="S59" s="283"/>
      <c r="T59" s="283"/>
      <c r="U59" s="283"/>
    </row>
    <row r="60" spans="1:21" ht="13.15">
      <c r="A60" s="133">
        <v>25</v>
      </c>
      <c r="B60" s="119">
        <v>1801905.1532746346</v>
      </c>
      <c r="C60" s="285">
        <v>5435590.7887123432</v>
      </c>
      <c r="D60" s="119">
        <v>6207304.0479189698</v>
      </c>
      <c r="E60" s="119">
        <v>7128630.3471060041</v>
      </c>
      <c r="F60" s="119">
        <v>15373144.304700494</v>
      </c>
      <c r="G60" s="303"/>
      <c r="H60" s="303"/>
      <c r="I60" s="303"/>
      <c r="J60" s="303"/>
      <c r="K60" s="303"/>
      <c r="L60" s="303"/>
      <c r="M60" s="283"/>
      <c r="N60" s="283"/>
      <c r="O60" s="283"/>
      <c r="P60" s="283"/>
      <c r="Q60" s="283"/>
      <c r="R60" s="283"/>
      <c r="S60" s="283"/>
      <c r="T60" s="283"/>
      <c r="U60" s="283"/>
    </row>
    <row r="61" spans="1:21" ht="13.15">
      <c r="A61" s="133">
        <v>30</v>
      </c>
      <c r="B61" s="119">
        <v>1779881.4557819511</v>
      </c>
      <c r="C61" s="285">
        <v>5483820.8633044679</v>
      </c>
      <c r="D61" s="119">
        <v>6333024.0674585113</v>
      </c>
      <c r="E61" s="119">
        <v>7373825.8484007353</v>
      </c>
      <c r="F61" s="119">
        <v>17720770.171440102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2.9911526402251361</v>
      </c>
      <c r="C65" s="120">
        <f>C11</f>
        <v>2.9911526402251361</v>
      </c>
      <c r="D65" s="120">
        <f>C11</f>
        <v>2.9911526402251361</v>
      </c>
      <c r="E65" s="120">
        <f>C11</f>
        <v>2.9911526402251361</v>
      </c>
      <c r="F65" s="120">
        <f>C11</f>
        <v>2.9911526402251361</v>
      </c>
      <c r="G65" s="304"/>
      <c r="H65" s="304"/>
      <c r="I65" s="304"/>
      <c r="J65" s="304"/>
      <c r="K65" s="304"/>
      <c r="L65" s="304"/>
    </row>
    <row r="66" spans="1:12" ht="13.15">
      <c r="A66" s="132">
        <f t="shared" ref="A66:A71" si="11">A56</f>
        <v>5</v>
      </c>
      <c r="B66" s="120">
        <f t="shared" ref="B66:F71" si="12">(B56+FV_adjustments)/Common_Shares*scaling_factor*Exchange_Rate</f>
        <v>2.1594564985190621</v>
      </c>
      <c r="C66" s="120">
        <f t="shared" si="12"/>
        <v>3.0931105159932479</v>
      </c>
      <c r="D66" s="120">
        <f t="shared" si="12"/>
        <v>3.1989008716955518</v>
      </c>
      <c r="E66" s="120">
        <f t="shared" si="12"/>
        <v>3.3086346125830368</v>
      </c>
      <c r="F66" s="120">
        <f t="shared" si="12"/>
        <v>3.9204874152897475</v>
      </c>
      <c r="G66" s="304"/>
      <c r="H66" s="304"/>
      <c r="I66" s="304"/>
      <c r="J66" s="304"/>
      <c r="K66" s="304"/>
      <c r="L66" s="304"/>
    </row>
    <row r="67" spans="1:12" ht="13.15">
      <c r="A67" s="132">
        <f t="shared" si="11"/>
        <v>10</v>
      </c>
      <c r="B67" s="120">
        <f t="shared" si="12"/>
        <v>1.8133651606748227</v>
      </c>
      <c r="C67" s="120">
        <f t="shared" si="12"/>
        <v>3.1686268925283456</v>
      </c>
      <c r="D67" s="120">
        <f t="shared" si="12"/>
        <v>3.3605419317490162</v>
      </c>
      <c r="E67" s="120">
        <f t="shared" si="12"/>
        <v>3.5680039836536737</v>
      </c>
      <c r="F67" s="120">
        <f t="shared" si="12"/>
        <v>4.8827740671169266</v>
      </c>
      <c r="G67" s="304"/>
      <c r="H67" s="304"/>
      <c r="I67" s="304"/>
      <c r="J67" s="304"/>
      <c r="K67" s="304"/>
      <c r="L67" s="304"/>
    </row>
    <row r="68" spans="1:12" ht="13.15">
      <c r="A68" s="132">
        <f t="shared" si="11"/>
        <v>15</v>
      </c>
      <c r="B68" s="120">
        <f t="shared" si="12"/>
        <v>1.6693471616432172</v>
      </c>
      <c r="C68" s="120">
        <f t="shared" si="12"/>
        <v>3.2245590417814416</v>
      </c>
      <c r="D68" s="120">
        <f t="shared" si="12"/>
        <v>3.4863087414603608</v>
      </c>
      <c r="E68" s="120">
        <f t="shared" si="12"/>
        <v>3.7798978123014955</v>
      </c>
      <c r="F68" s="120">
        <f t="shared" si="12"/>
        <v>5.8791809864860944</v>
      </c>
      <c r="G68" s="304"/>
      <c r="H68" s="304"/>
      <c r="I68" s="304"/>
      <c r="J68" s="304"/>
      <c r="K68" s="304"/>
      <c r="L68" s="304"/>
    </row>
    <row r="69" spans="1:12" ht="13.15">
      <c r="A69" s="133">
        <f t="shared" si="11"/>
        <v>20</v>
      </c>
      <c r="B69" s="120">
        <f t="shared" si="12"/>
        <v>1.6094173634163622</v>
      </c>
      <c r="C69" s="120">
        <f t="shared" si="12"/>
        <v>3.2659858880313637</v>
      </c>
      <c r="D69" s="120">
        <f t="shared" si="12"/>
        <v>3.5841631506045313</v>
      </c>
      <c r="E69" s="120">
        <f t="shared" si="12"/>
        <v>3.9530061266475451</v>
      </c>
      <c r="F69" s="120">
        <f t="shared" si="12"/>
        <v>6.9109179923788613</v>
      </c>
      <c r="G69" s="304"/>
      <c r="H69" s="304"/>
      <c r="I69" s="304"/>
      <c r="J69" s="304"/>
      <c r="K69" s="304"/>
      <c r="L69" s="304"/>
    </row>
    <row r="70" spans="1:12" ht="13.15">
      <c r="A70" s="133">
        <f t="shared" si="11"/>
        <v>25</v>
      </c>
      <c r="B70" s="120">
        <f t="shared" si="12"/>
        <v>1.5844789478039965</v>
      </c>
      <c r="C70" s="120">
        <f t="shared" si="12"/>
        <v>3.2966692001002205</v>
      </c>
      <c r="D70" s="120">
        <f t="shared" si="12"/>
        <v>3.6602999740711688</v>
      </c>
      <c r="E70" s="120">
        <f t="shared" si="12"/>
        <v>4.094428312876178</v>
      </c>
      <c r="F70" s="120">
        <f t="shared" si="12"/>
        <v>7.9792378009190337</v>
      </c>
      <c r="G70" s="304"/>
      <c r="H70" s="304"/>
      <c r="I70" s="304"/>
      <c r="J70" s="304"/>
      <c r="K70" s="304"/>
      <c r="L70" s="304"/>
    </row>
    <row r="71" spans="1:12" ht="13.15">
      <c r="A71" s="133">
        <f t="shared" si="11"/>
        <v>30</v>
      </c>
      <c r="B71" s="120">
        <f t="shared" si="12"/>
        <v>1.5741013962076951</v>
      </c>
      <c r="C71" s="120">
        <f t="shared" si="12"/>
        <v>3.3193951791389127</v>
      </c>
      <c r="D71" s="120">
        <f t="shared" si="12"/>
        <v>3.7195391635802428</v>
      </c>
      <c r="E71" s="120">
        <f t="shared" si="12"/>
        <v>4.2099642698476334</v>
      </c>
      <c r="F71" s="120">
        <f t="shared" si="12"/>
        <v>9.0854375463975217</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3.9204874152897475</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3.3086346125830368</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3.1989008716955518</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3.0931105159932479</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2.1594564985190621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3.3086346125830368</v>
      </c>
      <c r="F22" s="337">
        <f>1-F23-F24</f>
        <v>0.2</v>
      </c>
      <c r="G22" s="337">
        <f>F22*(1-F$29-F$30)</f>
        <v>0.18</v>
      </c>
    </row>
    <row r="23" spans="2:7">
      <c r="B23" s="310" t="s">
        <v>443</v>
      </c>
      <c r="C23" s="333">
        <v>0.02</v>
      </c>
      <c r="D23" s="334">
        <f>C18</f>
        <v>5</v>
      </c>
      <c r="E23" s="335">
        <f>DCF!E76</f>
        <v>3.1989008716955518</v>
      </c>
      <c r="F23" s="336">
        <v>0.6</v>
      </c>
      <c r="G23" s="337">
        <f t="shared" ref="G23:G24" si="0">F23*(1-F$29-F$30)</f>
        <v>0.53999999999999992</v>
      </c>
    </row>
    <row r="24" spans="2:7">
      <c r="B24" s="310" t="s">
        <v>452</v>
      </c>
      <c r="C24" s="333">
        <v>0.01</v>
      </c>
      <c r="D24" s="334">
        <f>C18</f>
        <v>5</v>
      </c>
      <c r="E24" s="335">
        <f>DCF!E77</f>
        <v>3.0931105159932479</v>
      </c>
      <c r="F24" s="336">
        <v>0.2</v>
      </c>
      <c r="G24" s="337">
        <f t="shared" si="0"/>
        <v>0.18</v>
      </c>
    </row>
    <row r="25" spans="2:7">
      <c r="B25" s="142" t="s">
        <v>457</v>
      </c>
      <c r="C25" s="451">
        <f>E23*F23+E24*F24+E22*F22</f>
        <v>3.199689548732588</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3.9204874152897475</v>
      </c>
      <c r="F29" s="336">
        <v>0.05</v>
      </c>
      <c r="G29" s="337">
        <f>F29</f>
        <v>0.05</v>
      </c>
    </row>
    <row r="30" spans="2:7">
      <c r="B30" s="323" t="s">
        <v>453</v>
      </c>
      <c r="C30" s="333">
        <v>-0.1</v>
      </c>
      <c r="D30" s="334">
        <f>C18</f>
        <v>5</v>
      </c>
      <c r="E30" s="335">
        <f>DCF!E78</f>
        <v>2.1594564985190621</v>
      </c>
      <c r="F30" s="336">
        <v>0.05</v>
      </c>
      <c r="G30" s="337">
        <f>F30</f>
        <v>0.05</v>
      </c>
    </row>
    <row r="31" spans="2:7">
      <c r="E31" s="338"/>
      <c r="F31" s="338"/>
    </row>
    <row r="32" spans="2:7" ht="13.15">
      <c r="B32" s="146" t="s">
        <v>462</v>
      </c>
    </row>
    <row r="33" spans="2:7">
      <c r="B33" s="97" t="s">
        <v>464</v>
      </c>
      <c r="C33" s="156">
        <f>Normalized_FCF!C88*(1-dividend_tax_rate)</f>
        <v>0.15920000000000001</v>
      </c>
      <c r="D33" t="str">
        <f>Market_currency</f>
        <v>HKD</v>
      </c>
      <c r="E33" s="97" t="s">
        <v>461</v>
      </c>
      <c r="F33" s="223">
        <f>Holding_Period</f>
        <v>2</v>
      </c>
    </row>
    <row r="34" spans="2:7">
      <c r="B34" s="97" t="s">
        <v>233</v>
      </c>
      <c r="C34" s="147">
        <f>Market_Price</f>
        <v>2.88</v>
      </c>
      <c r="D34" t="str">
        <f>Market_currency</f>
        <v>HKD</v>
      </c>
      <c r="E34" s="97" t="s">
        <v>460</v>
      </c>
      <c r="F34" s="339">
        <f>RATE(Holding_Period,$C$33,-C34,$C$36)</f>
        <v>0.10536763573195662</v>
      </c>
    </row>
    <row r="35" spans="2:7">
      <c r="B35" s="97" t="s">
        <v>440</v>
      </c>
      <c r="C35" s="329">
        <f>DCF!C11</f>
        <v>2.9911526402251361</v>
      </c>
      <c r="D35" s="97" t="str">
        <f>Market_currency</f>
        <v>HKD</v>
      </c>
      <c r="E35" s="97" t="s">
        <v>460</v>
      </c>
      <c r="F35" s="339">
        <f>RATE(Holding_Period,$C$33,-C35,$C$36)</f>
        <v>8.4113616411952266E-2</v>
      </c>
    </row>
    <row r="36" spans="2:7">
      <c r="B36" s="97" t="s">
        <v>441</v>
      </c>
      <c r="C36" s="330">
        <f>E22*G22+E23*G23+E24*G24+E30*G30+E29*G29</f>
        <v>3.1837177895497697</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0.24487456943110034</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3.1839948734252541</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0.27089761289050018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0.20527846364883409</v>
      </c>
      <c r="D62" s="120">
        <f>C36/(1+F62)^Holding_Period</f>
        <v>1.7468959064744962</v>
      </c>
      <c r="E62" s="341">
        <f>C62+D62</f>
        <v>1.9521743701233303</v>
      </c>
      <c r="F62" s="309">
        <f>Thesis!E22</f>
        <v>0.35</v>
      </c>
      <c r="G62" s="450">
        <f>(1-E62/C36)</f>
        <v>0.38682556081724817</v>
      </c>
    </row>
    <row r="63" spans="2:7" ht="13.15">
      <c r="B63" s="310" t="s">
        <v>314</v>
      </c>
      <c r="C63" s="120">
        <f>PV(F63, Holding_Period, -C58, 0)</f>
        <v>0.22924800000000001</v>
      </c>
      <c r="D63" s="120">
        <f>C36/(1+F63)^Holding_Period</f>
        <v>2.0375793853118527</v>
      </c>
      <c r="E63" s="341">
        <f>C63+D63</f>
        <v>2.2668273853118528</v>
      </c>
      <c r="F63" s="309">
        <f>Thesis!E23</f>
        <v>0.25</v>
      </c>
      <c r="G63" s="450">
        <f>(1-E63/C36)</f>
        <v>0.28799361779097277</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0.26997816308147637</v>
      </c>
      <c r="D66" s="120">
        <f>C36/(1+F66)^Holding_Period</f>
        <v>2.5498652484595974</v>
      </c>
      <c r="E66" s="341">
        <f>C66+D66</f>
        <v>2.8198434115410738</v>
      </c>
      <c r="F66" s="309">
        <f>Thesis!E24</f>
        <v>0.1174</v>
      </c>
      <c r="G66" s="450">
        <f>(1-E66/C47)</f>
        <v>0.11436936187414026</v>
      </c>
    </row>
    <row r="67" spans="2:7" ht="13.15">
      <c r="B67" s="310" t="s">
        <v>315</v>
      </c>
      <c r="C67" s="120">
        <f>PV(F67, Holding_Period, -C58, 0)</f>
        <v>0.28684217103797521</v>
      </c>
      <c r="D67" s="120">
        <f>C36/(1+F67)^Holding_Period</f>
        <v>2.7678335062728587</v>
      </c>
      <c r="E67" s="341">
        <f>C67+D67</f>
        <v>3.0546756773108341</v>
      </c>
      <c r="F67" s="309">
        <f>Thesis!E25</f>
        <v>7.2499999999999995E-2</v>
      </c>
      <c r="G67" s="450">
        <f>(1-E67/C36)</f>
        <v>4.0531894083861042E-2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福寿园</v>
      </c>
      <c r="D4" s="358"/>
      <c r="E4" s="444" t="s">
        <v>546</v>
      </c>
      <c r="F4" s="447" t="str">
        <f>Thesis!F4</f>
        <v>INT</v>
      </c>
    </row>
    <row r="5" spans="1:10">
      <c r="B5" s="352" t="s">
        <v>366</v>
      </c>
      <c r="C5" s="364" t="str">
        <f>Thesis!C5</f>
        <v>1448.HK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2.88</v>
      </c>
      <c r="D8" s="352" t="s">
        <v>535</v>
      </c>
      <c r="E8" s="369">
        <f>Scenarios!F34</f>
        <v>0.10536763573195662</v>
      </c>
    </row>
    <row r="9" spans="1:10">
      <c r="B9" s="360" t="s">
        <v>363</v>
      </c>
      <c r="C9" s="362">
        <f>Common_Shares</f>
        <v>2319863422</v>
      </c>
    </row>
    <row r="10" spans="1:10">
      <c r="B10" s="360" t="s">
        <v>369</v>
      </c>
      <c r="C10" s="366">
        <f>投资主题!C8*Common_Shares/1000000</f>
        <v>6681.2066553599998</v>
      </c>
      <c r="E10" s="362"/>
    </row>
    <row r="11" spans="1:10">
      <c r="D11" s="358"/>
      <c r="E11" s="358"/>
    </row>
    <row r="12" spans="1:10" ht="24.5" customHeight="1">
      <c r="B12" s="469" t="s">
        <v>504</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541</v>
      </c>
      <c r="C17" s="434">
        <f>Terminal_Growth</f>
        <v>0</v>
      </c>
      <c r="D17" s="360" t="s">
        <v>341</v>
      </c>
      <c r="E17" s="353" t="str">
        <f>Reporting_currency</f>
        <v>CNY</v>
      </c>
    </row>
    <row r="18" spans="1:6">
      <c r="B18" s="352" t="str">
        <f>"预期股权价值 ("&amp;C7&amp;") :"</f>
        <v>预期股权价值 (HKD) :</v>
      </c>
      <c r="C18" s="368">
        <f>C125</f>
        <v>3.1837177895497697</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1.9521743701233303</v>
      </c>
      <c r="D22" s="374" t="s">
        <v>446</v>
      </c>
      <c r="E22" s="375">
        <f>Thesis!E22</f>
        <v>0.35</v>
      </c>
    </row>
    <row r="23" spans="1:6">
      <c r="B23" s="352" t="s">
        <v>343</v>
      </c>
      <c r="C23" s="376">
        <f>E141</f>
        <v>2.2668273853118528</v>
      </c>
      <c r="D23" s="374" t="s">
        <v>447</v>
      </c>
      <c r="E23" s="377">
        <f>Thesis!E23</f>
        <v>0.25</v>
      </c>
    </row>
    <row r="24" spans="1:6">
      <c r="B24" s="352" t="s">
        <v>345</v>
      </c>
      <c r="C24" s="376">
        <f>E144</f>
        <v>2.8198434115410738</v>
      </c>
      <c r="D24" s="374" t="s">
        <v>449</v>
      </c>
      <c r="E24" s="377">
        <f>Thesis!E24</f>
        <v>0.1174</v>
      </c>
    </row>
    <row r="25" spans="1:6">
      <c r="B25" s="352" t="s">
        <v>344</v>
      </c>
      <c r="C25" s="376">
        <f>E145</f>
        <v>3.0546756773108341</v>
      </c>
      <c r="D25" s="374" t="s">
        <v>448</v>
      </c>
      <c r="E25" s="377">
        <f>Thesis!E25</f>
        <v>7.2499999999999995E-2</v>
      </c>
    </row>
    <row r="27" spans="1:6" ht="13.9">
      <c r="A27" s="354" t="s">
        <v>347</v>
      </c>
      <c r="B27" s="354"/>
      <c r="C27" s="354"/>
      <c r="D27" s="354"/>
      <c r="E27" s="354"/>
      <c r="F27" s="354"/>
    </row>
    <row r="29" spans="1:6">
      <c r="B29" s="469" t="s">
        <v>505</v>
      </c>
      <c r="C29" s="469"/>
      <c r="D29" s="469"/>
      <c r="E29" s="469"/>
      <c r="F29" s="469"/>
    </row>
    <row r="30" spans="1:6" ht="24.5" customHeight="1">
      <c r="B30" s="470" t="s">
        <v>506</v>
      </c>
      <c r="C30" s="470"/>
      <c r="D30" s="470"/>
      <c r="E30" s="470"/>
      <c r="F30" s="470"/>
    </row>
    <row r="32" spans="1:6">
      <c r="B32" s="378" t="s">
        <v>373</v>
      </c>
      <c r="C32" s="379">
        <f>scaling_factor</f>
        <v>1000</v>
      </c>
    </row>
    <row r="33" spans="2:6">
      <c r="B33" s="468" t="s">
        <v>507</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508</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509</v>
      </c>
      <c r="C40" s="468"/>
      <c r="D40" s="468"/>
      <c r="E40" s="468"/>
      <c r="F40" s="468"/>
    </row>
    <row r="41" spans="2:6">
      <c r="B41" s="381" t="s">
        <v>202</v>
      </c>
      <c r="C41" s="382">
        <f>Normalized_FCF!C9</f>
        <v>-2798</v>
      </c>
      <c r="D41" s="352" t="str">
        <f>Reporting_currency</f>
        <v>CNY</v>
      </c>
    </row>
    <row r="43" spans="2:6">
      <c r="B43" s="468" t="s">
        <v>510</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511</v>
      </c>
    </row>
    <row r="49" spans="2:6">
      <c r="B49" s="381" t="s">
        <v>223</v>
      </c>
      <c r="C49" s="382">
        <f>Normalized_FCF!C13</f>
        <v>-106049.44824717694</v>
      </c>
      <c r="D49" s="352" t="str">
        <f>Reporting_currency</f>
        <v>CNY</v>
      </c>
    </row>
    <row r="51" spans="2:6">
      <c r="B51" s="468" t="s">
        <v>512</v>
      </c>
      <c r="C51" s="468"/>
      <c r="D51" s="468"/>
      <c r="E51" s="468"/>
      <c r="F51" s="468"/>
    </row>
    <row r="52" spans="2:6">
      <c r="B52" s="381" t="s">
        <v>502</v>
      </c>
      <c r="C52" s="382">
        <f>Normalized_FCF!C12</f>
        <v>-151040.72626758672</v>
      </c>
      <c r="D52" s="352" t="str">
        <f>Reporting_currency</f>
        <v>CNY</v>
      </c>
    </row>
    <row r="54" spans="2:6">
      <c r="B54" s="468" t="s">
        <v>513</v>
      </c>
      <c r="C54" s="471"/>
      <c r="D54" s="471"/>
      <c r="E54" s="471"/>
      <c r="F54" s="471"/>
    </row>
    <row r="55" spans="2:6">
      <c r="B55" s="381" t="s">
        <v>207</v>
      </c>
      <c r="C55" s="382">
        <f>Normalized_FCF!C17</f>
        <v>0</v>
      </c>
      <c r="D55" s="352" t="str">
        <f>Reporting_currency</f>
        <v>CNY</v>
      </c>
    </row>
    <row r="57" spans="2:6">
      <c r="B57" s="469" t="s">
        <v>514</v>
      </c>
      <c r="C57" s="469"/>
      <c r="D57" s="469"/>
      <c r="E57" s="469"/>
      <c r="F57" s="469"/>
    </row>
    <row r="58" spans="2:6">
      <c r="B58" s="469" t="s">
        <v>515</v>
      </c>
      <c r="C58" s="469"/>
      <c r="D58" s="469"/>
      <c r="E58" s="469"/>
      <c r="F58" s="469"/>
    </row>
    <row r="60" spans="2:6">
      <c r="B60" s="381" t="s">
        <v>374</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5.6784874852264029E-2</v>
      </c>
      <c r="F62" s="388"/>
    </row>
    <row r="63" spans="2:6">
      <c r="B63" s="386" t="s">
        <v>333</v>
      </c>
      <c r="C63" s="387">
        <f>Normalized_FCF!C92</f>
        <v>5.527777777777778E-2</v>
      </c>
      <c r="E63" s="381" t="s">
        <v>375</v>
      </c>
      <c r="F63" s="389">
        <f>Normalized_FCF!C90</f>
        <v>1.0641062355754669</v>
      </c>
    </row>
    <row r="65" spans="1:6">
      <c r="B65" s="378" t="s">
        <v>378</v>
      </c>
      <c r="C65" s="390" t="s">
        <v>328</v>
      </c>
      <c r="D65" s="390" t="s">
        <v>376</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482</v>
      </c>
      <c r="B71" s="354"/>
      <c r="C71" s="354"/>
      <c r="D71" s="354"/>
      <c r="E71" s="354"/>
      <c r="F71" s="354"/>
    </row>
    <row r="72" spans="1:6">
      <c r="A72" s="394"/>
    </row>
    <row r="73" spans="1:6">
      <c r="A73" s="395"/>
      <c r="B73" s="469" t="s">
        <v>516</v>
      </c>
      <c r="C73" s="469"/>
      <c r="D73" s="469"/>
      <c r="E73" s="469"/>
      <c r="F73" s="469"/>
    </row>
    <row r="74" spans="1:6">
      <c r="B74" s="470" t="s">
        <v>485</v>
      </c>
      <c r="C74" s="470"/>
      <c r="D74" s="470"/>
      <c r="E74" s="470"/>
      <c r="F74" s="470"/>
    </row>
    <row r="76" spans="1:6">
      <c r="B76" s="378" t="s">
        <v>373</v>
      </c>
    </row>
    <row r="77" spans="1:6">
      <c r="B77" s="469" t="s">
        <v>517</v>
      </c>
      <c r="C77" s="469"/>
      <c r="D77" s="469"/>
      <c r="E77" s="469"/>
      <c r="F77" s="469"/>
    </row>
    <row r="78" spans="1:6">
      <c r="B78" s="352" t="s">
        <v>215</v>
      </c>
      <c r="C78" s="382">
        <f>DCF!F4</f>
        <v>-134804</v>
      </c>
      <c r="D78" s="352" t="str">
        <f>Reporting_currency</f>
        <v>CNY</v>
      </c>
    </row>
    <row r="79" spans="1:6">
      <c r="B79" s="381" t="s">
        <v>235</v>
      </c>
      <c r="C79" s="396">
        <f>C78*scaling_factor*Exchange_Rate/Common_Shares</f>
        <v>-6.3519555054392343E-2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518</v>
      </c>
    </row>
    <row r="84" spans="1:6">
      <c r="B84" s="352" t="s">
        <v>224</v>
      </c>
      <c r="C84" s="382">
        <f>DCF!F5</f>
        <v>1507763.8216088</v>
      </c>
      <c r="D84" s="352" t="str">
        <f>Reporting_currency</f>
        <v>CNY</v>
      </c>
    </row>
    <row r="85" spans="1:6">
      <c r="B85" s="391" t="s">
        <v>487</v>
      </c>
      <c r="C85" s="399">
        <f>BS!C66</f>
        <v>2113838</v>
      </c>
      <c r="D85" s="400" t="str">
        <f>Reporting_currency</f>
        <v>CNY</v>
      </c>
    </row>
    <row r="86" spans="1:6">
      <c r="B86" s="381" t="s">
        <v>236</v>
      </c>
      <c r="C86" s="396">
        <f>C84*scaling_factor*Exchange_Rate/Common_Shares</f>
        <v>0.71045730895003978</v>
      </c>
      <c r="D86" s="352" t="str">
        <f>Market_currency</f>
        <v>HKD</v>
      </c>
    </row>
    <row r="88" spans="1:6">
      <c r="B88" s="352" t="s">
        <v>519</v>
      </c>
    </row>
    <row r="89" spans="1:6">
      <c r="B89" s="352" t="s">
        <v>217</v>
      </c>
      <c r="C89" s="382">
        <f>DCF!F6</f>
        <v>187786.09999999998</v>
      </c>
      <c r="D89" s="352" t="str">
        <f>Reporting_currency</f>
        <v>CNY</v>
      </c>
    </row>
    <row r="90" spans="1:6">
      <c r="B90" s="381" t="s">
        <v>237</v>
      </c>
      <c r="C90" s="396">
        <f>C89*scaling_factor*Exchange_Rate/Common_Shares</f>
        <v>8.8484685301620306E-2</v>
      </c>
      <c r="D90" s="352" t="str">
        <f>Market_currency</f>
        <v>HKD</v>
      </c>
    </row>
    <row r="92" spans="1:6">
      <c r="B92" s="381" t="s">
        <v>486</v>
      </c>
      <c r="C92" s="396">
        <f>DCF!F8</f>
        <v>0.7354224391972678</v>
      </c>
      <c r="D92" s="352" t="str">
        <f>Market_currency</f>
        <v>HKD</v>
      </c>
    </row>
    <row r="94" spans="1:6" ht="13.9">
      <c r="A94" s="354" t="s">
        <v>488</v>
      </c>
      <c r="B94" s="354"/>
      <c r="C94" s="354"/>
      <c r="D94" s="354"/>
      <c r="E94" s="354"/>
      <c r="F94" s="354"/>
    </row>
    <row r="95" spans="1:6">
      <c r="A95" s="394"/>
    </row>
    <row r="96" spans="1:6">
      <c r="A96" s="394"/>
      <c r="B96" s="469" t="s">
        <v>520</v>
      </c>
      <c r="C96" s="469"/>
      <c r="D96" s="469"/>
      <c r="E96" s="469"/>
      <c r="F96" s="469"/>
    </row>
    <row r="97" spans="1:6">
      <c r="A97" s="394"/>
      <c r="B97" s="470" t="s">
        <v>521</v>
      </c>
      <c r="C97" s="470"/>
      <c r="D97" s="470"/>
      <c r="E97" s="470"/>
      <c r="F97" s="470"/>
    </row>
    <row r="98" spans="1:6">
      <c r="A98" s="394"/>
      <c r="B98" s="470" t="s">
        <v>522</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69" t="s">
        <v>523</v>
      </c>
      <c r="C107" s="469"/>
      <c r="D107" s="469"/>
      <c r="E107" s="469"/>
      <c r="F107" s="469"/>
    </row>
    <row r="108" spans="1:6">
      <c r="A108" s="394"/>
      <c r="B108" s="469" t="s">
        <v>542</v>
      </c>
      <c r="C108" s="469"/>
      <c r="D108" s="469"/>
      <c r="E108" s="469"/>
      <c r="F108" s="469"/>
    </row>
    <row r="109" spans="1:6">
      <c r="A109" s="394"/>
    </row>
    <row r="110" spans="1:6">
      <c r="A110" s="394"/>
      <c r="B110" s="378" t="s">
        <v>495</v>
      </c>
    </row>
    <row r="111" spans="1:6">
      <c r="A111" s="394"/>
      <c r="B111" s="384" t="s">
        <v>492</v>
      </c>
      <c r="C111" s="403">
        <f>BS!D47</f>
        <v>0.40755151873797674</v>
      </c>
      <c r="D111" s="352" t="str">
        <f>Market_currency</f>
        <v>HKD</v>
      </c>
    </row>
    <row r="112" spans="1:6">
      <c r="A112" s="394"/>
      <c r="B112" s="381" t="s">
        <v>379</v>
      </c>
      <c r="C112" s="403">
        <f>DCF!C11</f>
        <v>2.9911526402251361</v>
      </c>
      <c r="D112" s="352" t="str">
        <f>Market_currency</f>
        <v>HKD</v>
      </c>
    </row>
    <row r="113" spans="1:6">
      <c r="A113" s="394"/>
    </row>
    <row r="114" spans="1:6">
      <c r="A114" s="394"/>
      <c r="B114" s="469" t="s">
        <v>524</v>
      </c>
      <c r="C114" s="469"/>
      <c r="D114" s="469"/>
      <c r="E114" s="469"/>
      <c r="F114" s="469"/>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3.92 HKD</v>
      </c>
      <c r="F118" s="408">
        <f>DCF!F74</f>
        <v>0.05</v>
      </c>
    </row>
    <row r="119" spans="1:6">
      <c r="A119" s="394"/>
      <c r="B119" s="409" t="str">
        <f>DCF!B75</f>
        <v>Optimistic</v>
      </c>
      <c r="C119" s="410">
        <f>DCF!C75</f>
        <v>0.03</v>
      </c>
      <c r="D119" s="411">
        <f>DCF!D75</f>
        <v>5</v>
      </c>
      <c r="E119" s="407" t="str">
        <f>ROUND(DCF!E75,2)&amp;" "&amp;Market_currency</f>
        <v>3.31 HKD</v>
      </c>
      <c r="F119" s="412">
        <f>DCF!F75</f>
        <v>0.18</v>
      </c>
    </row>
    <row r="120" spans="1:6">
      <c r="B120" s="409" t="str">
        <f>DCF!B76</f>
        <v>Base</v>
      </c>
      <c r="C120" s="410">
        <f>DCF!C76</f>
        <v>0.02</v>
      </c>
      <c r="D120" s="411">
        <f>DCF!D76</f>
        <v>5</v>
      </c>
      <c r="E120" s="407" t="str">
        <f>ROUND(DCF!E76,2)&amp;" "&amp;Market_currency</f>
        <v>3.2 HKD</v>
      </c>
      <c r="F120" s="412">
        <f>DCF!F76</f>
        <v>0.53999999999999992</v>
      </c>
    </row>
    <row r="121" spans="1:6">
      <c r="B121" s="409" t="str">
        <f>DCF!B77</f>
        <v>Pessimistic</v>
      </c>
      <c r="C121" s="410">
        <f>DCF!C77</f>
        <v>0.01</v>
      </c>
      <c r="D121" s="411">
        <f>DCF!D77</f>
        <v>5</v>
      </c>
      <c r="E121" s="407" t="str">
        <f>ROUND(DCF!E77,2)&amp;" "&amp;Market_currency</f>
        <v>3.09 HKD</v>
      </c>
      <c r="F121" s="412">
        <f>DCF!F77</f>
        <v>0.18</v>
      </c>
    </row>
    <row r="122" spans="1:6">
      <c r="B122" s="409" t="str">
        <f>DCF!B78</f>
        <v>Devil's advocate</v>
      </c>
      <c r="C122" s="410">
        <f>DCF!C78</f>
        <v>-0.1</v>
      </c>
      <c r="D122" s="411">
        <f>DCF!D78</f>
        <v>5</v>
      </c>
      <c r="E122" s="407" t="str">
        <f>ROUND(DCF!E78,2)&amp;" "&amp;Market_currency</f>
        <v>2.16 HKD</v>
      </c>
      <c r="F122" s="412">
        <f>DCF!F78</f>
        <v>0.05</v>
      </c>
    </row>
    <row r="124" spans="1:6">
      <c r="B124" s="468" t="s">
        <v>525</v>
      </c>
      <c r="C124" s="468"/>
      <c r="D124" s="468"/>
      <c r="E124" s="468"/>
      <c r="F124" s="468"/>
    </row>
    <row r="125" spans="1:6">
      <c r="B125" s="381" t="s">
        <v>218</v>
      </c>
      <c r="C125" s="413">
        <f>Scenarios!C36</f>
        <v>3.1837177895497697</v>
      </c>
      <c r="D125" s="352" t="str">
        <f>Market_currency</f>
        <v>HKD</v>
      </c>
    </row>
    <row r="127" spans="1:6">
      <c r="B127" s="473" t="s">
        <v>526</v>
      </c>
      <c r="C127" s="473"/>
      <c r="D127" s="473"/>
      <c r="E127" s="473"/>
      <c r="F127" s="473"/>
    </row>
    <row r="129" spans="1:6" ht="13.9">
      <c r="A129" s="354" t="s">
        <v>498</v>
      </c>
      <c r="B129" s="354"/>
      <c r="C129" s="354"/>
      <c r="D129" s="354"/>
      <c r="E129" s="354"/>
      <c r="F129" s="354"/>
    </row>
    <row r="131" spans="1:6">
      <c r="B131" s="474" t="s">
        <v>527</v>
      </c>
      <c r="C131" s="474"/>
      <c r="D131" s="474"/>
      <c r="E131" s="474"/>
      <c r="F131" s="474"/>
    </row>
    <row r="132" spans="1:6" ht="24.5" customHeight="1">
      <c r="B132" s="469" t="s">
        <v>528</v>
      </c>
      <c r="C132" s="469"/>
      <c r="D132" s="469"/>
      <c r="E132" s="469"/>
      <c r="F132" s="469"/>
    </row>
    <row r="134" spans="1:6">
      <c r="B134" s="378" t="s">
        <v>373</v>
      </c>
    </row>
    <row r="135" spans="1:6">
      <c r="B135" s="352" t="s">
        <v>384</v>
      </c>
      <c r="C135" s="414">
        <f>E21</f>
        <v>2</v>
      </c>
    </row>
    <row r="136" spans="1:6">
      <c r="B136" s="352" t="s">
        <v>385</v>
      </c>
      <c r="C136" s="415">
        <f>Scenarios!C58</f>
        <v>0.15920000000000001</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0.20527846364883409</v>
      </c>
      <c r="D140" s="418">
        <f>Scenarios!D62</f>
        <v>1.7468959064744962</v>
      </c>
      <c r="E140" s="419">
        <f>Scenarios!E62</f>
        <v>1.9521743701233303</v>
      </c>
      <c r="F140" s="420">
        <f>E22</f>
        <v>0.35</v>
      </c>
    </row>
    <row r="141" spans="1:6">
      <c r="B141" s="417" t="s">
        <v>314</v>
      </c>
      <c r="C141" s="418">
        <f>Scenarios!C63</f>
        <v>0.22924800000000001</v>
      </c>
      <c r="D141" s="418">
        <f>Scenarios!D63</f>
        <v>2.0375793853118527</v>
      </c>
      <c r="E141" s="419">
        <f>Scenarios!E63</f>
        <v>2.2668273853118528</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0.26997816308147637</v>
      </c>
      <c r="D144" s="418">
        <f>Scenarios!D66</f>
        <v>2.5498652484595974</v>
      </c>
      <c r="E144" s="419">
        <f>Scenarios!E66</f>
        <v>2.8198434115410738</v>
      </c>
      <c r="F144" s="420">
        <f>E24</f>
        <v>0.1174</v>
      </c>
    </row>
    <row r="145" spans="1:6">
      <c r="B145" s="417" t="s">
        <v>315</v>
      </c>
      <c r="C145" s="418">
        <f>Scenarios!C67</f>
        <v>0.28684217103797521</v>
      </c>
      <c r="D145" s="418">
        <f>Scenarios!D67</f>
        <v>2.7678335062728587</v>
      </c>
      <c r="E145" s="419">
        <f>Scenarios!E67</f>
        <v>3.0546756773108341</v>
      </c>
      <c r="F145" s="420">
        <f>Scenarios!F67</f>
        <v>7.2499999999999995E-2</v>
      </c>
    </row>
    <row r="147" spans="1:6" ht="13.9">
      <c r="A147" s="354" t="s">
        <v>481</v>
      </c>
      <c r="B147" s="354"/>
      <c r="C147" s="354"/>
      <c r="D147" s="354"/>
      <c r="E147" s="354"/>
      <c r="F147" s="354"/>
    </row>
    <row r="149" spans="1:6">
      <c r="B149" s="475" t="s">
        <v>529</v>
      </c>
      <c r="C149" s="469"/>
      <c r="D149" s="469"/>
      <c r="E149" s="469"/>
      <c r="F149" s="469"/>
    </row>
    <row r="151" spans="1:6">
      <c r="B151" s="378" t="s">
        <v>386</v>
      </c>
    </row>
    <row r="152" spans="1:6">
      <c r="B152" s="471" t="s">
        <v>530</v>
      </c>
      <c r="C152" s="471"/>
      <c r="D152" s="471"/>
      <c r="E152" s="471"/>
      <c r="F152" s="471"/>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72" t="s">
        <v>390</v>
      </c>
      <c r="C161" s="472"/>
      <c r="D161" s="472"/>
      <c r="E161" s="472"/>
      <c r="F161" s="472"/>
    </row>
    <row r="162" spans="2:6">
      <c r="B162" s="472" t="s">
        <v>391</v>
      </c>
      <c r="C162" s="472"/>
      <c r="D162" s="472"/>
      <c r="E162" s="472"/>
      <c r="F162" s="472"/>
    </row>
    <row r="164" spans="2:6">
      <c r="B164" s="352" t="s">
        <v>533</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14C6F-A00B-4AA1-99CB-6E416F4B862E}">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2025-10-02T06:40:21Z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