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3213AE-84E2-4C66-A74A-64B020FB4FF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5" i="3"/>
  <c r="G18" i="3"/>
  <c r="C17" i="3"/>
  <c r="C19" i="3"/>
  <c r="C23" i="3"/>
  <c r="G4" i="3"/>
  <c r="C4" i="3"/>
  <c r="C25" i="4"/>
  <c r="D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<sst xmlns="http://schemas.openxmlformats.org/spreadsheetml/2006/main" count="765" uniqueCount="557">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</sst>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07C6F35C-38E6-4C10-90D6-CF6B1E223929}"/>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2.85</v>
          </cell>
        </row>
        <row r="9">
          <cell r="C9">
            <v>2319863422</v>
          </cell>
        </row>
        <row r="16">
          <cell r="E16">
            <v>1.0900000000000001</v>
          </cell>
        </row>
        <row r="17">
          <cell r="C17">
            <v>0</v>
          </cell>
          <cell r="E17" t="str">
            <v>CNY</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545</v>
      </c>
      <c r="F3" s="439">
        <v>45930</v>
      </c>
    </row>
    <row r="4" spans="1:9" ht="12.4">
      <c r="B4" s="431" t="s">
        <v>540</v>
      </c>
      <c r="C4" s="430" t="s">
        <v>551</v>
      </c>
      <c r="E4" s="440" t="s">
        <v>544</v>
      </c>
      <c r="F4" s="441" t="s">
        <v>325</v>
      </c>
    </row>
    <row r="5" spans="1:9">
      <c r="B5" s="1" t="s">
        <v>352</v>
      </c>
      <c r="C5" s="46" t="s">
        <v>550</v>
      </c>
      <c r="E5" s="443" t="s">
        <v>546</v>
      </c>
      <c r="F5" s="442" t="s">
        <v>504</v>
      </c>
    </row>
    <row r="6" spans="1:9">
      <c r="B6" s="2" t="s">
        <v>53</v>
      </c>
      <c r="C6" s="45" t="s">
        <v>407</v>
      </c>
      <c r="D6" s="45"/>
      <c r="E6" s="45"/>
    </row>
    <row r="7" spans="1:9">
      <c r="B7" s="1" t="s">
        <v>354</v>
      </c>
      <c r="C7" s="45" t="s">
        <v>309</v>
      </c>
      <c r="D7" s="45"/>
      <c r="E7" s="45"/>
    </row>
    <row r="8" spans="1:9">
      <c r="B8" s="4" t="s">
        <v>353</v>
      </c>
      <c r="C8" s="47">
        <v>2.86</v>
      </c>
      <c r="E8" s="32"/>
    </row>
    <row r="9" spans="1:9">
      <c r="B9" s="4" t="s">
        <v>349</v>
      </c>
      <c r="C9" s="48">
        <v>2319863422</v>
      </c>
      <c r="D9" s="1" t="s">
        <v>535</v>
      </c>
      <c r="E9" s="311">
        <f>Scenarios!F34</f>
        <v>0.19236735001465252</v>
      </c>
    </row>
    <row r="10" spans="1:9">
      <c r="B10" s="4" t="s">
        <v>355</v>
      </c>
      <c r="C10" s="33">
        <f>Thesis!C8*Common_Shares/1000000</f>
        <v>6634.8093869200002</v>
      </c>
    </row>
    <row r="11" spans="1:9">
      <c r="D11" s="5"/>
      <c r="E11" s="5"/>
    </row>
    <row r="12" spans="1:9" ht="24.5" customHeight="1">
      <c r="B12" s="460" t="s">
        <v>358</v>
      </c>
      <c r="C12" s="460"/>
      <c r="D12" s="460"/>
      <c r="E12" s="460"/>
      <c r="F12" s="460"/>
    </row>
    <row r="14" spans="1:9">
      <c r="B14" s="42" t="str">
        <f>Scenarios!B39&amp;" Valuation Conclusion"</f>
        <v>1-stage DCF Valuation Conclusion</v>
      </c>
      <c r="C14" s="43"/>
    </row>
    <row r="15" spans="1:9">
      <c r="B15" s="1" t="s">
        <v>320</v>
      </c>
      <c r="C15" s="427" t="s">
        <v>554</v>
      </c>
      <c r="D15" s="4" t="s">
        <v>356</v>
      </c>
      <c r="E15" s="260" t="str">
        <f>IF(E17=C7,C7,E17&amp;"/"&amp;C7)</f>
        <v>CNY/HKD</v>
      </c>
    </row>
    <row r="16" spans="1:9">
      <c r="B16" s="1" t="s">
        <v>321</v>
      </c>
      <c r="C16" s="427" t="s">
        <v>554</v>
      </c>
      <c r="D16" s="4" t="s">
        <v>357</v>
      </c>
      <c r="E16" s="426">
        <v>1.0932867000000002</v>
      </c>
    </row>
    <row r="17" spans="1:6">
      <c r="B17" s="1" t="s">
        <v>539</v>
      </c>
      <c r="C17" s="425">
        <v>0</v>
      </c>
      <c r="D17" s="4" t="s">
        <v>275</v>
      </c>
      <c r="E17" s="228" t="s">
        <v>552</v>
      </c>
    </row>
    <row r="18" spans="1:6">
      <c r="B18" s="1" t="str">
        <f>"Expected Equity Value ("&amp;C7&amp;") :"</f>
        <v>Expected Equity Value (HKD) :</v>
      </c>
      <c r="C18" s="259">
        <f>C125</f>
        <v>3.7171512243872273</v>
      </c>
      <c r="D18" s="2" t="s">
        <v>350</v>
      </c>
      <c r="E18" s="428">
        <v>6</v>
      </c>
    </row>
    <row r="19" spans="1:6">
      <c r="B19" s="2" t="s">
        <v>276</v>
      </c>
      <c r="C19" s="31" t="str">
        <f>IF(Scenarios!C50="Y",Scenarios!B50,"")&amp;IF(Scenarios!C51="Y",Scenarios!B51,"")&amp;IF(Scenarios!C52="Y",Scenarios!B52,"")&amp;" "&amp;IF(Scenarios!C53="Y",Scenarios!B53,"")</f>
        <v xml:space="preserve">Low Growth </v>
      </c>
      <c r="D19" s="1" t="s">
        <v>351</v>
      </c>
      <c r="E19" s="429">
        <f>EOMONTH(EDATE(BS!C1,E18+2),0)</f>
        <v>46081</v>
      </c>
    </row>
    <row r="20" spans="1:6">
      <c r="D20" s="5"/>
      <c r="E20" s="5"/>
    </row>
    <row r="21" spans="1:6">
      <c r="B21" s="42" t="s">
        <v>410</v>
      </c>
      <c r="C21" s="261" t="str">
        <f>C138&amp;" ("&amp;Market_currency&amp;")"</f>
        <v xml:space="preserve"> (HKD)</v>
      </c>
      <c r="D21" s="31" t="s">
        <v>317</v>
      </c>
      <c r="E21" s="452">
        <v>2</v>
      </c>
    </row>
    <row r="22" spans="1:6">
      <c r="B22" s="1" t="s">
        <v>313</v>
      </c>
      <c r="C22" s="262">
        <f>E140</f>
        <v>2.2448676128324978</v>
      </c>
      <c r="D22" s="38" t="s">
        <v>412</v>
      </c>
      <c r="E22" s="79">
        <v>0.35</v>
      </c>
    </row>
    <row r="23" spans="1:6">
      <c r="B23" s="1" t="s">
        <v>314</v>
      </c>
      <c r="C23" s="263">
        <f>E141</f>
        <v>2.6082247836078256</v>
      </c>
      <c r="D23" s="38" t="s">
        <v>413</v>
      </c>
      <c r="E23" s="453">
        <v>0.25</v>
      </c>
    </row>
    <row r="24" spans="1:6">
      <c r="B24" s="1" t="s">
        <v>316</v>
      </c>
      <c r="C24" s="263">
        <f>E144</f>
        <v>3.2470745506587226</v>
      </c>
      <c r="D24" s="38" t="s">
        <v>414</v>
      </c>
      <c r="E24" s="453">
        <v>0.1174</v>
      </c>
    </row>
    <row r="25" spans="1:6">
      <c r="B25" s="1" t="s">
        <v>315</v>
      </c>
      <c r="C25" s="263">
        <f>E145</f>
        <v>3.5184275020346356</v>
      </c>
      <c r="D25" s="38" t="s">
        <v>415</v>
      </c>
      <c r="E25" s="454">
        <v>7.2499999999999995E-2</v>
      </c>
    </row>
    <row r="26" spans="1:6">
      <c r="D26" s="5"/>
      <c r="E26" s="5"/>
    </row>
    <row r="27" spans="1:6" ht="13.9">
      <c r="A27" s="203" t="s">
        <v>281</v>
      </c>
      <c r="B27" s="34"/>
      <c r="C27" s="34"/>
      <c r="D27" s="34"/>
      <c r="E27" s="34"/>
      <c r="F27" s="34"/>
    </row>
    <row r="29" spans="1:6">
      <c r="B29" s="460" t="s">
        <v>359</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611412.69999999972</v>
      </c>
      <c r="D34" s="1" t="str">
        <f>Reporting_currency</f>
        <v>CNY</v>
      </c>
    </row>
    <row r="35" spans="2:6">
      <c r="B35" s="44"/>
      <c r="C35" s="73"/>
    </row>
    <row r="36" spans="2:6" ht="24.5" customHeight="1">
      <c r="B36" s="461" t="s">
        <v>198</v>
      </c>
      <c r="C36" s="461"/>
      <c r="D36" s="461"/>
      <c r="E36" s="461"/>
      <c r="F36" s="461"/>
    </row>
    <row r="37" spans="2:6">
      <c r="B37" s="44" t="s">
        <v>199</v>
      </c>
      <c r="C37" s="293">
        <f>Normalized_FCF!C15</f>
        <v>173178.99999999997</v>
      </c>
      <c r="D37" s="1" t="str">
        <f>Reporting_currency</f>
        <v>CNY</v>
      </c>
    </row>
    <row r="38" spans="2:6">
      <c r="B38" s="49" t="s">
        <v>200</v>
      </c>
      <c r="C38" s="293">
        <f>Normalized_FCF!C16</f>
        <v>-173178.99999999997</v>
      </c>
      <c r="D38" s="1" t="str">
        <f>Reporting_currency</f>
        <v>CNY</v>
      </c>
    </row>
    <row r="40" spans="2:6">
      <c r="B40" s="461" t="s">
        <v>201</v>
      </c>
      <c r="C40" s="461"/>
      <c r="D40" s="461"/>
      <c r="E40" s="461"/>
      <c r="F40" s="461"/>
    </row>
    <row r="41" spans="2:6">
      <c r="B41" s="44" t="s">
        <v>202</v>
      </c>
      <c r="C41" s="293">
        <f>Normalized_FCF!C9</f>
        <v>-2798</v>
      </c>
      <c r="D41" s="1" t="str">
        <f>Reporting_currency</f>
        <v>CNY</v>
      </c>
    </row>
    <row r="43" spans="2:6">
      <c r="B43" s="461" t="s">
        <v>205</v>
      </c>
      <c r="C43" s="461"/>
      <c r="D43" s="461"/>
      <c r="E43" s="461"/>
      <c r="F43" s="461"/>
    </row>
    <row r="44" spans="2:6">
      <c r="B44" s="44" t="s">
        <v>268</v>
      </c>
      <c r="C44" s="294">
        <f>Normalized_FCF!C46</f>
        <v>3636.4450703472003</v>
      </c>
      <c r="D44" s="1" t="str">
        <f>Reporting_currency</f>
        <v>CNY</v>
      </c>
      <c r="E44" s="251"/>
      <c r="F44" s="251"/>
    </row>
    <row r="45" spans="2:6">
      <c r="B45" s="44" t="s">
        <v>269</v>
      </c>
      <c r="C45" s="294">
        <f>Normalized_FCF!C45</f>
        <v>-8088.24</v>
      </c>
      <c r="D45" s="1" t="str">
        <f>Reporting_currency</f>
        <v>CNY</v>
      </c>
      <c r="E45" s="251"/>
      <c r="F45" s="251"/>
    </row>
    <row r="46" spans="2:6">
      <c r="B46" s="44" t="s">
        <v>203</v>
      </c>
      <c r="C46" s="293">
        <f>Normalized_FCF!C10</f>
        <v>-4451.7949296527995</v>
      </c>
      <c r="D46" s="1" t="str">
        <f>Reporting_currency</f>
        <v>CNY</v>
      </c>
    </row>
    <row r="48" spans="2:6">
      <c r="B48" s="1" t="s">
        <v>211</v>
      </c>
    </row>
    <row r="49" spans="2:6">
      <c r="B49" s="44" t="s">
        <v>223</v>
      </c>
      <c r="C49" s="293">
        <f>Normalized_FCF!C13</f>
        <v>-106049.44824717694</v>
      </c>
      <c r="D49" s="1" t="str">
        <f>Reporting_currency</f>
        <v>CNY</v>
      </c>
    </row>
    <row r="51" spans="2:6">
      <c r="B51" s="461" t="s">
        <v>206</v>
      </c>
      <c r="C51" s="461"/>
      <c r="D51" s="461"/>
      <c r="E51" s="461"/>
      <c r="F51" s="461"/>
    </row>
    <row r="52" spans="2:6">
      <c r="B52" s="44" t="s">
        <v>204</v>
      </c>
      <c r="C52" s="293">
        <f>Normalized_FCF!C12</f>
        <v>-151040.72626758672</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631699.59365518577</v>
      </c>
      <c r="D60" s="1" t="str">
        <f>Reporting_currency</f>
        <v>CNY</v>
      </c>
    </row>
    <row r="61" spans="2:6">
      <c r="B61" s="44" t="s">
        <v>213</v>
      </c>
      <c r="C61" s="293">
        <f>Normalized_FCF!C19</f>
        <v>347072.73055558326</v>
      </c>
      <c r="D61" s="1" t="str">
        <f>Reporting_currency</f>
        <v>CNY</v>
      </c>
    </row>
    <row r="62" spans="2:6">
      <c r="B62" s="207" t="s">
        <v>303</v>
      </c>
      <c r="C62" s="89">
        <f>Normalized_FCF!C124</f>
        <v>5.7190791493898586E-2</v>
      </c>
      <c r="F62" s="264"/>
    </row>
    <row r="63" spans="2:6">
      <c r="B63" s="207" t="s">
        <v>333</v>
      </c>
      <c r="C63" s="89">
        <f>Normalized_FCF!C92</f>
        <v>5.5664335664335672E-2</v>
      </c>
      <c r="E63" s="44" t="s">
        <v>323</v>
      </c>
      <c r="F63" s="265">
        <f>Normalized_FCF!C90</f>
        <v>1.0641062355754669</v>
      </c>
    </row>
    <row r="65" spans="1:6">
      <c r="B65" s="193" t="s">
        <v>326</v>
      </c>
      <c r="C65" s="271" t="s">
        <v>328</v>
      </c>
      <c r="D65" s="271" t="s">
        <v>329</v>
      </c>
    </row>
    <row r="66" spans="1:6">
      <c r="B66" s="44" t="s">
        <v>327</v>
      </c>
      <c r="C66" s="89">
        <f>Normalized_FCF!C119</f>
        <v>0.12416948697308672</v>
      </c>
      <c r="D66" s="89">
        <f>Normalized_FCF!G119</f>
        <v>0.21971961985098865</v>
      </c>
    </row>
    <row r="67" spans="1:6">
      <c r="B67" s="233" t="str">
        <f>Normalized_FCF!B116</f>
        <v>Pre-tax Profit/Sales</v>
      </c>
      <c r="C67" s="270">
        <f>Normalized_FCF!C116</f>
        <v>0.41544958439449353</v>
      </c>
      <c r="D67" s="270">
        <f>Normalized_FCF!G116</f>
        <v>0.51460063887624918</v>
      </c>
    </row>
    <row r="68" spans="1:6">
      <c r="B68" s="233" t="str">
        <f>Normalized_FCF!B117</f>
        <v>Sales/Total Assets</v>
      </c>
      <c r="C68" s="272">
        <f>Normalized_FCF!C117</f>
        <v>0.20090947033127624</v>
      </c>
      <c r="D68" s="272">
        <f>Normalized_FCF!G117</f>
        <v>0.28701352904468036</v>
      </c>
    </row>
    <row r="69" spans="1:6">
      <c r="B69" s="233" t="str">
        <f>Normalized_FCF!B118</f>
        <v>Total Assets/Equity</v>
      </c>
      <c r="C69" s="272">
        <f>Normalized_FCF!C118</f>
        <v>1.4876341835211095</v>
      </c>
      <c r="D69" s="272">
        <f>Normalized_FCF!G118</f>
        <v>1.4876341835211095</v>
      </c>
    </row>
    <row r="71" spans="1:6" ht="13.9">
      <c r="A71" s="203" t="s">
        <v>484</v>
      </c>
      <c r="B71" s="34"/>
      <c r="C71" s="34"/>
      <c r="D71" s="34"/>
      <c r="E71" s="34"/>
      <c r="F71" s="34"/>
    </row>
    <row r="72" spans="1:6">
      <c r="A72" s="192"/>
    </row>
    <row r="73" spans="1:6">
      <c r="A73" s="192"/>
      <c r="B73" s="460" t="s">
        <v>485</v>
      </c>
      <c r="C73" s="460"/>
      <c r="D73" s="460"/>
      <c r="E73" s="460"/>
      <c r="F73" s="460"/>
    </row>
    <row r="74" spans="1:6">
      <c r="A74" s="192"/>
      <c r="B74" s="1" t="s">
        <v>472</v>
      </c>
    </row>
    <row r="75" spans="1:6">
      <c r="A75" s="192"/>
    </row>
    <row r="76" spans="1:6">
      <c r="A76" s="192"/>
      <c r="B76" s="193" t="s">
        <v>195</v>
      </c>
    </row>
    <row r="77" spans="1:6">
      <c r="A77" s="192"/>
      <c r="B77" s="460" t="s">
        <v>272</v>
      </c>
      <c r="C77" s="460"/>
      <c r="D77" s="460"/>
      <c r="E77" s="460"/>
      <c r="F77" s="460"/>
    </row>
    <row r="78" spans="1:6">
      <c r="A78" s="192"/>
      <c r="B78" s="1" t="s">
        <v>215</v>
      </c>
      <c r="C78" s="293">
        <f>DCF!F4</f>
        <v>-134804</v>
      </c>
      <c r="D78" s="1" t="str">
        <f>Reporting_currency</f>
        <v>CNY</v>
      </c>
    </row>
    <row r="79" spans="1:6">
      <c r="A79" s="192"/>
      <c r="B79" s="44" t="s">
        <v>235</v>
      </c>
      <c r="C79" s="204">
        <f>C78*scaling_factor*Exchange_Rate/Common_Shares</f>
        <v>-6.3529352163215411E-2</v>
      </c>
      <c r="D79" s="1" t="str">
        <f>Market_currency</f>
        <v>HKD</v>
      </c>
    </row>
    <row r="80" spans="1:6">
      <c r="A80" s="192"/>
      <c r="B80" s="233" t="s">
        <v>310</v>
      </c>
      <c r="C80" s="346">
        <f>IF(BS!G31/BS!G27&gt;300%,"nm",BS!G31/BS!G27)</f>
        <v>2.7705347980559972E-2</v>
      </c>
    </row>
    <row r="81" spans="1:6">
      <c r="A81" s="192"/>
      <c r="B81" s="233" t="s">
        <v>312</v>
      </c>
      <c r="C81" s="347">
        <f>IF(BS!C50&gt;30,"nm",BS!C50)</f>
        <v>0.22047955497162566</v>
      </c>
    </row>
    <row r="82" spans="1:6">
      <c r="A82" s="192"/>
    </row>
    <row r="83" spans="1:6">
      <c r="A83" s="192"/>
      <c r="B83" s="1" t="s">
        <v>473</v>
      </c>
    </row>
    <row r="84" spans="1:6">
      <c r="A84" s="192"/>
      <c r="B84" s="1" t="s">
        <v>224</v>
      </c>
      <c r="C84" s="293">
        <f>DCF!F5</f>
        <v>1507763.8216088</v>
      </c>
      <c r="D84" s="1" t="str">
        <f>Reporting_currency</f>
        <v>CNY</v>
      </c>
    </row>
    <row r="85" spans="1:6">
      <c r="A85" s="192"/>
      <c r="B85" s="233" t="s">
        <v>222</v>
      </c>
      <c r="C85" s="299">
        <f>BS!C66</f>
        <v>2113838</v>
      </c>
      <c r="D85" s="348" t="str">
        <f>Reporting_currency</f>
        <v>CNY</v>
      </c>
    </row>
    <row r="86" spans="1:6">
      <c r="A86" s="192"/>
      <c r="B86" s="44" t="s">
        <v>236</v>
      </c>
      <c r="C86" s="204">
        <f>C84*scaling_factor*Exchange_Rate/Common_Shares</f>
        <v>0.71056688823729974</v>
      </c>
      <c r="D86" s="1" t="str">
        <f>Market_currency</f>
        <v>HKD</v>
      </c>
    </row>
    <row r="87" spans="1:6">
      <c r="A87" s="192"/>
    </row>
    <row r="88" spans="1:6">
      <c r="A88" s="192"/>
      <c r="B88" s="1" t="s">
        <v>216</v>
      </c>
    </row>
    <row r="89" spans="1:6">
      <c r="A89" s="192"/>
      <c r="B89" s="1" t="s">
        <v>217</v>
      </c>
      <c r="C89" s="293">
        <f>DCF!F6</f>
        <v>187786.09999999998</v>
      </c>
      <c r="D89" s="1" t="str">
        <f>Reporting_currency</f>
        <v>CNY</v>
      </c>
    </row>
    <row r="90" spans="1:6">
      <c r="A90" s="192"/>
      <c r="B90" s="44" t="s">
        <v>237</v>
      </c>
      <c r="C90" s="204">
        <f>C89*scaling_factor*Exchange_Rate/Common_Shares</f>
        <v>8.8498332974220231E-2</v>
      </c>
      <c r="D90" s="1" t="str">
        <f>Market_currency</f>
        <v>HKD</v>
      </c>
    </row>
    <row r="91" spans="1:6">
      <c r="A91" s="192"/>
    </row>
    <row r="92" spans="1:6">
      <c r="A92" s="192"/>
      <c r="B92" s="44" t="s">
        <v>476</v>
      </c>
      <c r="C92" s="220">
        <f>DCF!F8</f>
        <v>0.7355358690483047</v>
      </c>
      <c r="D92" s="44" t="str">
        <f>Market_currency</f>
        <v>HKD</v>
      </c>
    </row>
    <row r="94" spans="1:6" ht="13.9">
      <c r="A94" s="203" t="s">
        <v>477</v>
      </c>
      <c r="B94" s="34"/>
      <c r="C94" s="34"/>
      <c r="D94" s="34"/>
      <c r="E94" s="34"/>
      <c r="F94" s="34"/>
    </row>
    <row r="95" spans="1:6">
      <c r="A95" s="192"/>
    </row>
    <row r="96" spans="1:6" ht="11.75" customHeight="1">
      <c r="B96" s="460" t="s">
        <v>492</v>
      </c>
      <c r="C96" s="460"/>
      <c r="D96" s="460"/>
      <c r="E96" s="460"/>
      <c r="F96" s="460"/>
    </row>
    <row r="97" spans="2:6">
      <c r="B97" s="464" t="s">
        <v>491</v>
      </c>
      <c r="C97" s="464"/>
      <c r="D97" s="464"/>
      <c r="E97" s="464"/>
      <c r="F97" s="464"/>
    </row>
    <row r="98" spans="2:6">
      <c r="B98" s="464" t="s">
        <v>490</v>
      </c>
      <c r="C98" s="464"/>
      <c r="D98" s="464"/>
      <c r="E98" s="464"/>
      <c r="F98" s="464"/>
    </row>
    <row r="100" spans="2:6">
      <c r="B100" s="193" t="s">
        <v>195</v>
      </c>
    </row>
    <row r="101" spans="2:6">
      <c r="B101" s="49" t="s">
        <v>474</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494</v>
      </c>
    </row>
    <row r="111" spans="2:6">
      <c r="B111" s="49" t="s">
        <v>475</v>
      </c>
      <c r="C111" s="220">
        <f>BS!D47</f>
        <v>0.40761437853881549</v>
      </c>
      <c r="D111" s="1" t="str">
        <f>Market_currency</f>
        <v>HKD</v>
      </c>
    </row>
    <row r="112" spans="2:6">
      <c r="B112" s="44" t="s">
        <v>324</v>
      </c>
      <c r="C112" s="220">
        <f>DCF!C11</f>
        <v>2.991613988669684</v>
      </c>
      <c r="D112" s="1" t="str">
        <f>Market_currency</f>
        <v>HKD</v>
      </c>
    </row>
    <row r="114" spans="2:6" ht="24.5" customHeight="1">
      <c r="B114" s="460" t="s">
        <v>498</v>
      </c>
      <c r="C114" s="460"/>
      <c r="D114" s="460"/>
      <c r="E114" s="460"/>
      <c r="F114" s="460"/>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4.63 HKD</v>
      </c>
      <c r="F118" s="212">
        <f>DCF!F74</f>
        <v>0.05</v>
      </c>
    </row>
    <row r="119" spans="2:6">
      <c r="B119" s="199" t="str">
        <f>DCF!B75</f>
        <v>Optimistic</v>
      </c>
      <c r="C119" s="200">
        <f>DCF!C75</f>
        <v>0.03</v>
      </c>
      <c r="D119" s="201">
        <f>DCF!D75</f>
        <v>5</v>
      </c>
      <c r="E119" s="211" t="str">
        <f>ROUND(DCF!E75,2)&amp;" "&amp;Market_currency</f>
        <v>3.87 HKD</v>
      </c>
      <c r="F119" s="202">
        <f>DCF!F75</f>
        <v>0.18</v>
      </c>
    </row>
    <row r="120" spans="2:6">
      <c r="B120" s="199" t="str">
        <f>DCF!B76</f>
        <v>Base</v>
      </c>
      <c r="C120" s="200">
        <f>DCF!C76</f>
        <v>0.02</v>
      </c>
      <c r="D120" s="201">
        <f>DCF!D76</f>
        <v>5</v>
      </c>
      <c r="E120" s="211" t="str">
        <f>ROUND(DCF!E76,2)&amp;" "&amp;Market_currency</f>
        <v>3.74 HKD</v>
      </c>
      <c r="F120" s="202">
        <f>DCF!F76</f>
        <v>0.53999999999999992</v>
      </c>
    </row>
    <row r="121" spans="2:6">
      <c r="B121" s="199" t="str">
        <f>DCF!B77</f>
        <v>Pessimistic</v>
      </c>
      <c r="C121" s="200">
        <f>DCF!C77</f>
        <v>0.01</v>
      </c>
      <c r="D121" s="201">
        <f>DCF!D77</f>
        <v>5</v>
      </c>
      <c r="E121" s="211" t="str">
        <f>ROUND(DCF!E77,2)&amp;" "&amp;Market_currency</f>
        <v>3.6 HKD</v>
      </c>
      <c r="F121" s="202">
        <f>DCF!F77</f>
        <v>0.18</v>
      </c>
    </row>
    <row r="122" spans="2:6">
      <c r="B122" s="199" t="str">
        <f>DCF!B78</f>
        <v>Devil's advocate</v>
      </c>
      <c r="C122" s="200">
        <f>DCF!C78</f>
        <v>-0.1</v>
      </c>
      <c r="D122" s="201">
        <f>DCF!D78</f>
        <v>5</v>
      </c>
      <c r="E122" s="211" t="str">
        <f>ROUND(DCF!E78,2)&amp;" "&amp;Market_currency</f>
        <v>2.45 HKD</v>
      </c>
      <c r="F122" s="202">
        <f>DCF!F78</f>
        <v>0.05</v>
      </c>
    </row>
    <row r="124" spans="2:6">
      <c r="B124" s="461" t="s">
        <v>360</v>
      </c>
      <c r="C124" s="461"/>
      <c r="D124" s="461"/>
      <c r="E124" s="461"/>
      <c r="F124" s="461"/>
    </row>
    <row r="125" spans="2:6">
      <c r="B125" s="194" t="s">
        <v>218</v>
      </c>
      <c r="C125" s="198">
        <f>Scenarios!C36</f>
        <v>3.7171512243872273</v>
      </c>
      <c r="D125" s="195" t="str">
        <f>Market_currency</f>
        <v>HKD</v>
      </c>
    </row>
    <row r="127" spans="2:6" ht="24.5" customHeight="1">
      <c r="B127" s="463" t="s">
        <v>361</v>
      </c>
      <c r="C127" s="463"/>
      <c r="D127" s="463"/>
      <c r="E127" s="463"/>
      <c r="F127" s="463"/>
    </row>
    <row r="129" spans="1:6" ht="13.9">
      <c r="A129" s="203" t="s">
        <v>481</v>
      </c>
      <c r="B129" s="34"/>
      <c r="C129" s="34"/>
      <c r="D129" s="34"/>
      <c r="E129" s="34"/>
      <c r="F129" s="34"/>
    </row>
    <row r="131" spans="1:6">
      <c r="B131" s="465" t="s">
        <v>286</v>
      </c>
      <c r="C131" s="465"/>
      <c r="D131" s="465"/>
      <c r="E131" s="465"/>
      <c r="F131" s="465"/>
    </row>
    <row r="132" spans="1:6">
      <c r="B132" s="460" t="s">
        <v>362</v>
      </c>
      <c r="C132" s="460"/>
      <c r="D132" s="460"/>
      <c r="E132" s="460"/>
      <c r="F132" s="460"/>
    </row>
    <row r="134" spans="1:6">
      <c r="B134" s="193" t="s">
        <v>195</v>
      </c>
    </row>
    <row r="135" spans="1:6">
      <c r="B135" s="1" t="s">
        <v>221</v>
      </c>
      <c r="C135" s="205">
        <f>E21</f>
        <v>2</v>
      </c>
    </row>
    <row r="136" spans="1:6">
      <c r="B136" s="195" t="s">
        <v>220</v>
      </c>
      <c r="C136" s="196">
        <f>Scenarios!C58</f>
        <v>0.15920000000000001</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313</v>
      </c>
      <c r="C140" s="342">
        <f>Scenarios!C62</f>
        <v>0.20527846364883409</v>
      </c>
      <c r="D140" s="342">
        <f>Scenarios!D62</f>
        <v>2.0395891491836635</v>
      </c>
      <c r="E140" s="343">
        <f>Scenarios!E62</f>
        <v>2.2448676128324978</v>
      </c>
      <c r="F140" s="344">
        <f>E22</f>
        <v>0.35</v>
      </c>
    </row>
    <row r="141" spans="1:6">
      <c r="B141" s="345" t="s">
        <v>314</v>
      </c>
      <c r="C141" s="342">
        <f>Scenarios!C63</f>
        <v>0.22924800000000001</v>
      </c>
      <c r="D141" s="342">
        <f>Scenarios!D63</f>
        <v>2.3789767836078255</v>
      </c>
      <c r="E141" s="343">
        <f>Scenarios!E63</f>
        <v>2.6082247836078256</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316</v>
      </c>
      <c r="C144" s="342">
        <f>Scenarios!C66</f>
        <v>0.26997816308147637</v>
      </c>
      <c r="D144" s="342">
        <f>Scenarios!D66</f>
        <v>2.9770963875772463</v>
      </c>
      <c r="E144" s="343">
        <f>Scenarios!E66</f>
        <v>3.2470745506587226</v>
      </c>
      <c r="F144" s="344">
        <f>E24</f>
        <v>0.1174</v>
      </c>
    </row>
    <row r="145" spans="1:6">
      <c r="B145" s="345" t="s">
        <v>315</v>
      </c>
      <c r="C145" s="342">
        <f>Scenarios!C67</f>
        <v>0.28684217103797521</v>
      </c>
      <c r="D145" s="342">
        <f>Scenarios!D67</f>
        <v>3.2315853309966602</v>
      </c>
      <c r="E145" s="343">
        <f>Scenarios!E67</f>
        <v>3.5184275020346356</v>
      </c>
      <c r="F145" s="344">
        <f>Scenarios!F67</f>
        <v>7.2499999999999995E-2</v>
      </c>
    </row>
    <row r="147" spans="1:6" ht="13.9">
      <c r="A147" s="203" t="s">
        <v>482</v>
      </c>
      <c r="B147" s="34"/>
      <c r="C147" s="34"/>
      <c r="D147" s="34"/>
      <c r="E147" s="34"/>
      <c r="F147" s="34"/>
    </row>
    <row r="149" spans="1:6">
      <c r="B149" s="459" t="s">
        <v>363</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445</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3" activePane="bottomRight" state="frozen"/>
      <selection pane="topRight" activeCell="C1" sqref="C1"/>
      <selection pane="bottomLeft" activeCell="A2" sqref="A2"/>
      <selection pane="bottomRight" activeCell="D20" sqref="D2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c r="B5" s="38" t="s">
        <v>40</v>
      </c>
      <c r="C5" s="295">
        <v>467126</v>
      </c>
      <c r="D5" s="295">
        <v>362473</v>
      </c>
      <c r="E5" s="295">
        <v>479666</v>
      </c>
      <c r="F5" s="295">
        <v>516304</v>
      </c>
      <c r="G5" s="295">
        <v>409351</v>
      </c>
      <c r="H5" s="295">
        <v>387398</v>
      </c>
      <c r="I5" s="295">
        <v>324344</v>
      </c>
      <c r="J5" s="295">
        <v>292316</v>
      </c>
      <c r="K5" s="295">
        <v>265303</v>
      </c>
      <c r="L5" s="295">
        <v>248161</v>
      </c>
      <c r="M5" s="295"/>
    </row>
    <row r="6" spans="2:13">
      <c r="B6" s="38" t="s">
        <v>51</v>
      </c>
      <c r="C6" s="295">
        <v>528317</v>
      </c>
      <c r="D6" s="295">
        <v>555259</v>
      </c>
      <c r="E6" s="295">
        <v>506779</v>
      </c>
      <c r="F6" s="295">
        <v>522738</v>
      </c>
      <c r="G6" s="295">
        <v>421877</v>
      </c>
      <c r="H6" s="295">
        <v>454796</v>
      </c>
      <c r="I6" s="295">
        <v>445068</v>
      </c>
      <c r="J6" s="295">
        <v>543726</v>
      </c>
      <c r="K6" s="295">
        <v>496391</v>
      </c>
      <c r="L6" s="295">
        <v>455577</v>
      </c>
      <c r="M6" s="295"/>
    </row>
    <row r="7" spans="2:13">
      <c r="B7" s="66" t="s">
        <v>58</v>
      </c>
      <c r="C7" s="296">
        <v>41597</v>
      </c>
      <c r="D7" s="296">
        <v>48899</v>
      </c>
      <c r="E7" s="296">
        <v>43155</v>
      </c>
      <c r="F7" s="296">
        <v>53122</v>
      </c>
      <c r="G7" s="296">
        <v>36072</v>
      </c>
      <c r="H7" s="296">
        <v>38671</v>
      </c>
      <c r="I7" s="296">
        <v>43876</v>
      </c>
      <c r="J7" s="296">
        <v>250830</v>
      </c>
      <c r="K7" s="296">
        <v>217517</v>
      </c>
      <c r="L7" s="296">
        <v>205442</v>
      </c>
      <c r="M7" s="296"/>
    </row>
    <row r="8" spans="2:13">
      <c r="B8" s="38" t="s">
        <v>46</v>
      </c>
      <c r="C8" s="295"/>
      <c r="D8" s="295"/>
      <c r="E8" s="295"/>
      <c r="F8" s="295"/>
      <c r="G8" s="295"/>
      <c r="H8" s="295"/>
      <c r="I8" s="295"/>
      <c r="J8" s="295"/>
      <c r="K8" s="295"/>
      <c r="L8" s="295"/>
      <c r="M8" s="295"/>
    </row>
    <row r="9" spans="2:13">
      <c r="B9" s="38" t="s">
        <v>134</v>
      </c>
      <c r="C9" s="295">
        <v>-2798</v>
      </c>
      <c r="D9" s="295">
        <v>-18436</v>
      </c>
      <c r="E9" s="295">
        <v>-7407</v>
      </c>
      <c r="F9" s="295">
        <v>-11577</v>
      </c>
      <c r="G9" s="295">
        <v>4</v>
      </c>
      <c r="H9" s="295">
        <v>-176</v>
      </c>
      <c r="I9" s="295">
        <v>0</v>
      </c>
      <c r="J9" s="295">
        <v>398</v>
      </c>
      <c r="K9" s="295">
        <v>485</v>
      </c>
      <c r="L9" s="295">
        <v>0</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v>7392</v>
      </c>
      <c r="E12" s="295">
        <v>5008</v>
      </c>
      <c r="F12" s="295">
        <v>7246</v>
      </c>
      <c r="G12" s="295">
        <v>9525</v>
      </c>
      <c r="H12" s="295">
        <v>11128</v>
      </c>
      <c r="I12" s="295">
        <v>8293</v>
      </c>
      <c r="J12" s="295">
        <v>15585</v>
      </c>
      <c r="K12" s="295">
        <v>8256</v>
      </c>
      <c r="L12" s="295">
        <v>7799</v>
      </c>
      <c r="M12" s="295"/>
    </row>
    <row r="13" spans="2:13">
      <c r="B13" s="38" t="s">
        <v>64</v>
      </c>
      <c r="C13" s="295">
        <v>21811</v>
      </c>
      <c r="D13" s="295">
        <v>17341</v>
      </c>
      <c r="E13" s="295"/>
      <c r="F13" s="295"/>
      <c r="G13" s="295"/>
      <c r="H13" s="295"/>
      <c r="I13" s="295"/>
      <c r="J13" s="295"/>
      <c r="K13" s="295"/>
      <c r="L13" s="295"/>
      <c r="M13" s="295"/>
    </row>
    <row r="14" spans="2:13">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c r="B18" s="16" t="s">
        <v>48</v>
      </c>
      <c r="C18" s="9"/>
    </row>
    <row r="19" spans="2:13">
      <c r="B19" s="26" t="s">
        <v>44</v>
      </c>
      <c r="C19" s="295">
        <v>173179</v>
      </c>
      <c r="D19" s="295">
        <v>166609</v>
      </c>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708532</v>
      </c>
      <c r="D22" s="295">
        <v>1102878</v>
      </c>
      <c r="E22" s="295">
        <v>852933</v>
      </c>
      <c r="F22" s="295">
        <v>992369</v>
      </c>
      <c r="G22" s="295">
        <v>822349</v>
      </c>
      <c r="H22" s="295">
        <v>707084</v>
      </c>
      <c r="I22" s="295">
        <v>670523</v>
      </c>
      <c r="J22" s="295">
        <v>648172</v>
      </c>
      <c r="K22" s="295">
        <v>455423</v>
      </c>
      <c r="L22" s="295">
        <v>366578</v>
      </c>
      <c r="M22" s="295"/>
    </row>
    <row r="23" spans="2:13">
      <c r="B23" s="26" t="s">
        <v>289</v>
      </c>
      <c r="C23" s="295">
        <v>130841</v>
      </c>
      <c r="D23" s="295">
        <v>-362126</v>
      </c>
      <c r="E23" s="295">
        <v>413235</v>
      </c>
      <c r="F23" s="295">
        <v>-648300</v>
      </c>
      <c r="G23" s="295">
        <v>-1109086</v>
      </c>
      <c r="H23" s="295">
        <v>-12368</v>
      </c>
      <c r="I23" s="295">
        <v>-1021467</v>
      </c>
      <c r="J23" s="295">
        <v>134672</v>
      </c>
      <c r="K23" s="295">
        <v>-340500</v>
      </c>
      <c r="L23" s="295">
        <v>-381434</v>
      </c>
      <c r="M23" s="295"/>
    </row>
    <row r="24" spans="2:13">
      <c r="B24" s="26" t="s">
        <v>288</v>
      </c>
      <c r="C24" s="295">
        <v>-1078214</v>
      </c>
      <c r="D24" s="295">
        <v>-387518</v>
      </c>
      <c r="E24" s="295">
        <v>-399541</v>
      </c>
      <c r="F24" s="295">
        <v>-502485</v>
      </c>
      <c r="G24" s="295">
        <v>-486383</v>
      </c>
      <c r="H24" s="295">
        <v>-181225</v>
      </c>
      <c r="I24" s="295">
        <v>-92397</v>
      </c>
      <c r="J24" s="295">
        <v>-84758</v>
      </c>
      <c r="K24" s="295">
        <v>-152778</v>
      </c>
      <c r="L24" s="295">
        <v>-5140</v>
      </c>
      <c r="M24" s="295"/>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555</v>
      </c>
    </row>
    <row r="28" spans="2:13">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c r="B50" s="16" t="s">
        <v>65</v>
      </c>
    </row>
    <row r="51" spans="2:13">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c r="B52" s="38" t="s">
        <v>64</v>
      </c>
      <c r="C52" s="278">
        <f>IF(C$4="","",C13)</f>
        <v>21811</v>
      </c>
      <c r="D52" s="278">
        <f t="shared" ref="D52:M52" si="24">IF(D$4="","",D13)</f>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c r="B60" s="16" t="s">
        <v>48</v>
      </c>
      <c r="C60" s="9"/>
    </row>
    <row r="61" spans="2:13">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150" zoomScaleNormal="100" workbookViewId="0">
      <selection activeCell="D54" sqref="D5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144049</f>
        <v>144049</v>
      </c>
      <c r="D4" s="235">
        <v>0.6</v>
      </c>
      <c r="E4" s="24"/>
      <c r="F4" s="4" t="s">
        <v>74</v>
      </c>
      <c r="G4" s="18">
        <f>171238+1622742</f>
        <v>1793980</v>
      </c>
      <c r="H4" s="235">
        <v>0.9</v>
      </c>
    </row>
    <row r="5" spans="2:8" ht="15" customHeight="1">
      <c r="B5" s="1" t="s">
        <v>31</v>
      </c>
      <c r="C5" s="18">
        <v>0</v>
      </c>
      <c r="D5" s="235">
        <v>0.6</v>
      </c>
      <c r="E5" s="24"/>
      <c r="F5" s="1" t="s">
        <v>27</v>
      </c>
      <c r="G5" s="18">
        <v>0</v>
      </c>
      <c r="H5" s="235">
        <v>0.7</v>
      </c>
    </row>
    <row r="6" spans="2:8" ht="15" customHeight="1">
      <c r="B6" s="4" t="s">
        <v>8</v>
      </c>
      <c r="C6" s="18">
        <v>558421</v>
      </c>
      <c r="D6" s="235">
        <v>0.5</v>
      </c>
      <c r="E6" s="24"/>
      <c r="F6" s="4" t="s">
        <v>147</v>
      </c>
      <c r="G6" s="18">
        <v>0</v>
      </c>
      <c r="H6" s="235">
        <v>0.6</v>
      </c>
    </row>
    <row r="7" spans="2:8" ht="15" customHeight="1">
      <c r="B7" s="1" t="s">
        <v>66</v>
      </c>
      <c r="C7" s="18">
        <v>0</v>
      </c>
      <c r="D7" s="235">
        <v>0.6</v>
      </c>
      <c r="E7" s="24"/>
      <c r="F7" s="4" t="s">
        <v>148</v>
      </c>
      <c r="G7" s="18">
        <v>311892</v>
      </c>
      <c r="H7" s="235">
        <v>0.6</v>
      </c>
    </row>
    <row r="8" spans="2:8" ht="15" customHeight="1">
      <c r="B8" s="1" t="s">
        <v>144</v>
      </c>
      <c r="C8" s="18">
        <v>0</v>
      </c>
      <c r="D8" s="235">
        <v>0.6</v>
      </c>
      <c r="E8" s="24"/>
      <c r="F8" s="1" t="s">
        <v>149</v>
      </c>
      <c r="G8" s="18">
        <v>0</v>
      </c>
      <c r="H8" s="235">
        <v>0.6</v>
      </c>
    </row>
    <row r="9" spans="2:8" ht="15" customHeight="1">
      <c r="B9" s="4" t="s">
        <v>23</v>
      </c>
      <c r="C9" s="18">
        <v>12976</v>
      </c>
      <c r="D9" s="235">
        <v>0.1</v>
      </c>
      <c r="E9" s="24"/>
      <c r="F9" s="4" t="s">
        <v>150</v>
      </c>
      <c r="G9" s="18">
        <v>0</v>
      </c>
      <c r="H9" s="235">
        <v>0.6</v>
      </c>
    </row>
    <row r="10" spans="2:8" ht="15" customHeight="1">
      <c r="B10" s="4" t="s">
        <v>9</v>
      </c>
      <c r="C10" s="18">
        <v>0</v>
      </c>
      <c r="D10" s="235">
        <v>0.9</v>
      </c>
      <c r="F10" s="1" t="s">
        <v>408</v>
      </c>
      <c r="G10" s="18">
        <v>26801</v>
      </c>
      <c r="H10" s="235">
        <v>0.6</v>
      </c>
    </row>
    <row r="11" spans="2:8" ht="15" customHeight="1">
      <c r="B11" s="4" t="s">
        <v>10</v>
      </c>
      <c r="C11" s="18">
        <v>0</v>
      </c>
      <c r="D11" s="235">
        <v>0.05</v>
      </c>
      <c r="H11" s="236"/>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0</v>
      </c>
      <c r="D15" s="235">
        <v>0.4</v>
      </c>
      <c r="F15" s="4" t="s">
        <v>75</v>
      </c>
      <c r="G15" s="18">
        <f>210586+109272</f>
        <v>319858</v>
      </c>
      <c r="H15" s="235">
        <v>0.8</v>
      </c>
    </row>
    <row r="16" spans="2:8" ht="15" customHeight="1">
      <c r="B16" s="1" t="s">
        <v>32</v>
      </c>
      <c r="C16" s="18">
        <v>0</v>
      </c>
      <c r="D16" s="235">
        <v>0.5</v>
      </c>
      <c r="F16" s="4" t="s">
        <v>147</v>
      </c>
      <c r="G16" s="18">
        <v>0</v>
      </c>
      <c r="H16" s="235">
        <v>0.6</v>
      </c>
    </row>
    <row r="17" spans="2:8" ht="15" customHeight="1">
      <c r="B17" s="1" t="s">
        <v>66</v>
      </c>
      <c r="C17" s="18">
        <f>1922097+21963</f>
        <v>1944060</v>
      </c>
      <c r="D17" s="235">
        <v>0.6</v>
      </c>
      <c r="F17" s="4" t="s">
        <v>148</v>
      </c>
      <c r="G17" s="18">
        <v>0</v>
      </c>
      <c r="H17" s="235">
        <v>0.6</v>
      </c>
    </row>
    <row r="18" spans="2:8" ht="15" customHeight="1">
      <c r="B18" s="4" t="s">
        <v>144</v>
      </c>
      <c r="C18" s="18">
        <v>0</v>
      </c>
      <c r="D18" s="235">
        <v>0.6</v>
      </c>
      <c r="F18" s="4" t="s">
        <v>151</v>
      </c>
      <c r="G18" s="18">
        <f>13948+51286</f>
        <v>65234</v>
      </c>
      <c r="H18" s="235">
        <v>0.1</v>
      </c>
    </row>
    <row r="19" spans="2:8" ht="15" customHeight="1">
      <c r="B19" s="4" t="s">
        <v>24</v>
      </c>
      <c r="C19" s="18">
        <f>571235+160809</f>
        <v>732044</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255046</v>
      </c>
      <c r="D21" s="235">
        <v>0.05</v>
      </c>
      <c r="F21" s="1" t="s">
        <v>150</v>
      </c>
      <c r="G21" s="18">
        <v>6509</v>
      </c>
      <c r="H21" s="235">
        <v>0.1</v>
      </c>
    </row>
    <row r="22" spans="2:8" ht="15" customHeight="1">
      <c r="B22" s="4" t="s">
        <v>18</v>
      </c>
      <c r="C22" s="18">
        <v>124199</v>
      </c>
      <c r="D22" s="235">
        <v>0.9</v>
      </c>
      <c r="H22" s="236"/>
    </row>
    <row r="23" spans="2:8" ht="15" customHeight="1">
      <c r="B23" s="4" t="s">
        <v>19</v>
      </c>
      <c r="C23" s="18">
        <f>940923+2287</f>
        <v>943210</v>
      </c>
      <c r="D23" s="235">
        <v>0</v>
      </c>
      <c r="H23" s="236"/>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5" t="s">
        <v>113</v>
      </c>
      <c r="F26" s="167" t="s">
        <v>165</v>
      </c>
      <c r="G26" s="168" t="s">
        <v>113</v>
      </c>
      <c r="H26" s="169" t="s">
        <v>33</v>
      </c>
    </row>
    <row r="27" spans="2:8" ht="15" customHeight="1">
      <c r="B27" s="4" t="s">
        <v>3</v>
      </c>
      <c r="C27" s="18">
        <v>30472</v>
      </c>
      <c r="F27" s="170" t="s">
        <v>28</v>
      </c>
      <c r="G27" s="82">
        <f>G32-G30</f>
        <v>4865631</v>
      </c>
      <c r="H27" s="171">
        <f>H32-G30</f>
        <v>1439319.7999999998</v>
      </c>
    </row>
    <row r="28" spans="2:8" ht="15" customHeight="1">
      <c r="B28" s="4" t="s">
        <v>4</v>
      </c>
      <c r="C28" s="18">
        <v>13400</v>
      </c>
      <c r="F28" s="172" t="s">
        <v>209</v>
      </c>
      <c r="G28" s="295">
        <v>574396</v>
      </c>
      <c r="H28" s="171"/>
    </row>
    <row r="29" spans="2:8" ht="15" customHeight="1">
      <c r="B29" s="4" t="s">
        <v>5</v>
      </c>
      <c r="C29" s="18">
        <v>0</v>
      </c>
      <c r="F29" s="173" t="s">
        <v>72</v>
      </c>
      <c r="G29" s="14">
        <f>G27-G28</f>
        <v>4291235</v>
      </c>
      <c r="H29" s="171">
        <f>H27-G28</f>
        <v>864923.79999999981</v>
      </c>
    </row>
    <row r="30" spans="2:8" ht="15" customHeight="1">
      <c r="B30" s="2" t="s">
        <v>6</v>
      </c>
      <c r="C30" s="18">
        <v>0</v>
      </c>
      <c r="F30" s="170" t="s">
        <v>21</v>
      </c>
      <c r="G30" s="82">
        <f>C33+C42</f>
        <v>2372648</v>
      </c>
      <c r="H30" s="171"/>
    </row>
    <row r="31" spans="2:8" ht="15" customHeight="1">
      <c r="B31" s="77" t="s">
        <v>172</v>
      </c>
      <c r="C31" s="78">
        <f>SUM(C27:C30)</f>
        <v>43872</v>
      </c>
      <c r="F31" s="173" t="s">
        <v>73</v>
      </c>
      <c r="G31" s="174">
        <f>C31+C40</f>
        <v>134804</v>
      </c>
      <c r="H31" s="171"/>
    </row>
    <row r="32" spans="2:8" ht="15" customHeight="1">
      <c r="B32" s="4" t="s">
        <v>7</v>
      </c>
      <c r="C32" s="20">
        <f>C33-C31</f>
        <v>1513696</v>
      </c>
      <c r="F32" s="175" t="s">
        <v>71</v>
      </c>
      <c r="G32" s="176">
        <f>G35+G40</f>
        <v>7238279</v>
      </c>
      <c r="H32" s="171">
        <f>H35+H40</f>
        <v>3811967.8</v>
      </c>
    </row>
    <row r="33" spans="2:8" ht="15" customHeight="1">
      <c r="B33" s="80" t="s">
        <v>2</v>
      </c>
      <c r="C33" s="81">
        <v>1557568</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4714005</v>
      </c>
      <c r="H35" s="183">
        <f>D12+D24</f>
        <v>1731109.3</v>
      </c>
    </row>
    <row r="36" spans="2:8" ht="15" customHeight="1">
      <c r="B36" s="4" t="s">
        <v>11</v>
      </c>
      <c r="C36" s="18">
        <v>0</v>
      </c>
      <c r="F36" s="173" t="s">
        <v>166</v>
      </c>
      <c r="G36" s="174">
        <f>C4+C15</f>
        <v>144049</v>
      </c>
      <c r="H36" s="178"/>
    </row>
    <row r="37" spans="2:8" ht="15" customHeight="1">
      <c r="B37" s="4" t="s">
        <v>12</v>
      </c>
      <c r="C37" s="18">
        <v>90932</v>
      </c>
      <c r="F37" s="173" t="s">
        <v>167</v>
      </c>
      <c r="G37" s="174">
        <f>C6</f>
        <v>558421</v>
      </c>
      <c r="H37" s="178"/>
    </row>
    <row r="38" spans="2:8" ht="15" customHeight="1">
      <c r="B38" s="4" t="s">
        <v>13</v>
      </c>
      <c r="C38" s="18">
        <v>0</v>
      </c>
      <c r="F38" s="173" t="s">
        <v>168</v>
      </c>
      <c r="G38" s="174">
        <f>C7+C17</f>
        <v>1944060</v>
      </c>
      <c r="H38" s="178"/>
    </row>
    <row r="39" spans="2:8" ht="15" customHeight="1">
      <c r="B39" s="2" t="s">
        <v>14</v>
      </c>
      <c r="C39" s="18">
        <v>0</v>
      </c>
      <c r="F39" s="173" t="s">
        <v>76</v>
      </c>
      <c r="G39" s="174">
        <f>C7+C17+C19+C20</f>
        <v>2676104</v>
      </c>
      <c r="H39" s="171">
        <f>C7*D7+C17*D17+C19*D19+C20*D20</f>
        <v>1239640.3999999999</v>
      </c>
    </row>
    <row r="40" spans="2:8" ht="15" customHeight="1">
      <c r="B40" s="77" t="s">
        <v>173</v>
      </c>
      <c r="C40" s="78">
        <f>SUM(C36:C39)</f>
        <v>90932</v>
      </c>
      <c r="F40" s="182" t="s">
        <v>115</v>
      </c>
      <c r="G40" s="176">
        <f>G12+G24</f>
        <v>2524274</v>
      </c>
      <c r="H40" s="183">
        <f>H12+H24</f>
        <v>2080858.5</v>
      </c>
    </row>
    <row r="41" spans="2:8" ht="15" customHeight="1">
      <c r="B41" s="4" t="s">
        <v>15</v>
      </c>
      <c r="C41" s="20">
        <f>C42-C40</f>
        <v>724148</v>
      </c>
      <c r="F41" s="173" t="s">
        <v>160</v>
      </c>
      <c r="G41" s="174">
        <f>C70</f>
        <v>2179072</v>
      </c>
      <c r="H41" s="183">
        <f>H40-H42</f>
        <v>1893072.4</v>
      </c>
    </row>
    <row r="42" spans="2:8" ht="15" customHeight="1">
      <c r="B42" s="80" t="s">
        <v>20</v>
      </c>
      <c r="C42" s="81">
        <v>815080</v>
      </c>
      <c r="F42" s="184" t="s">
        <v>161</v>
      </c>
      <c r="G42" s="185">
        <f>C82</f>
        <v>318401</v>
      </c>
      <c r="H42" s="186">
        <f>D82</f>
        <v>187786.09999999998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4291235</v>
      </c>
      <c r="D46" s="73">
        <f>H29</f>
        <v>864923.79999999981</v>
      </c>
      <c r="F46" s="227"/>
    </row>
    <row r="47" spans="2:8" ht="15" customHeight="1">
      <c r="B47" s="1" t="str">
        <f>"Equity per share ("&amp;Market_currency&amp;")"</f>
        <v>Equity per share (HKD)</v>
      </c>
      <c r="C47" s="135">
        <f>C46*H1/Common_Shares*Exchange_Rate</f>
        <v>2.0223389478807432</v>
      </c>
      <c r="D47" s="135">
        <f>D46*H1/Common_Shares*Exchange_Rate</f>
        <v>0.40761437853881549</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0.22047955497162566</v>
      </c>
      <c r="D50" s="92">
        <f>G31/Normalized_FCF!G8</f>
        <v>0.12458307956907363</v>
      </c>
      <c r="F50" s="227"/>
    </row>
    <row r="51" spans="2:8" ht="15" customHeight="1">
      <c r="B51" s="1" t="s">
        <v>146</v>
      </c>
      <c r="C51" s="164"/>
      <c r="D51" s="89">
        <f>G29/G32</f>
        <v>0.59285294197695337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0.12970132615472399</v>
      </c>
      <c r="D54" s="89">
        <f>Normalized_FCF!G8/G35</f>
        <v>0.2295375164005978</v>
      </c>
      <c r="F54" s="227"/>
    </row>
    <row r="55" spans="2:8" ht="15" customHeight="1">
      <c r="B55" s="1" t="s">
        <v>118</v>
      </c>
      <c r="C55" s="89">
        <f>Normalized_FCF!C9/G40</f>
        <v>-1.1084375151033524E-3</v>
      </c>
      <c r="D55" s="89">
        <f>Normalized_FCF!G9/G40</f>
        <v>-1.1084375151033524E-3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6.4713105320271552E-2</v>
      </c>
      <c r="F58" s="5"/>
    </row>
    <row r="59" spans="2:8" ht="15" customHeight="1">
      <c r="B59" s="1" t="s">
        <v>89</v>
      </c>
      <c r="C59" s="95"/>
      <c r="D59" s="89">
        <f>G39/G32</f>
        <v>0.3697155083411402</v>
      </c>
      <c r="F59" s="227"/>
    </row>
    <row r="60" spans="2:8" ht="15" customHeight="1">
      <c r="F60" s="227"/>
    </row>
    <row r="61" spans="2:8" ht="15" customHeight="1">
      <c r="B61" s="144" t="s">
        <v>231</v>
      </c>
      <c r="C61" s="214" t="s">
        <v>114</v>
      </c>
      <c r="D61" s="180" t="s">
        <v>91</v>
      </c>
      <c r="F61" s="227"/>
    </row>
    <row r="62" spans="2:8" ht="15" customHeight="1">
      <c r="B62" s="1" t="s">
        <v>210</v>
      </c>
      <c r="C62" s="89">
        <f>IF(G28&lt;=0,0,G28/G29)</f>
        <v>0.1338533079637913</v>
      </c>
      <c r="D62" s="89">
        <f>G28/G29</f>
        <v>0.1338533079637913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2113838</v>
      </c>
      <c r="D66" s="73">
        <f>C66-D75</f>
        <v>1507763.8216088</v>
      </c>
      <c r="F66" s="5" t="s">
        <v>193</v>
      </c>
    </row>
    <row r="67" spans="2:6" ht="15" customHeight="1">
      <c r="B67" s="102" t="s">
        <v>147</v>
      </c>
      <c r="C67" s="19">
        <f>G6+G16</f>
        <v>0</v>
      </c>
      <c r="F67" s="227"/>
    </row>
    <row r="68" spans="2:6" ht="15" customHeight="1">
      <c r="B68" s="102" t="s">
        <v>151</v>
      </c>
      <c r="C68" s="19">
        <f>G18</f>
        <v>65234</v>
      </c>
      <c r="F68" s="227"/>
    </row>
    <row r="69" spans="2:6" ht="15" customHeight="1">
      <c r="B69" s="102" t="s">
        <v>149</v>
      </c>
      <c r="C69" s="19">
        <f>G8+G20</f>
        <v>0</v>
      </c>
      <c r="F69" s="227"/>
    </row>
    <row r="70" spans="2:6" ht="15" customHeight="1">
      <c r="B70" s="77" t="s">
        <v>158</v>
      </c>
      <c r="C70" s="78">
        <f>SUM(C66:C69)</f>
        <v>2179072</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-113730.4380652</v>
      </c>
      <c r="D73" s="293">
        <f>(Normalized_FCF!C26+Normalized_FCF!C35-Normalized_FCF!C89)/12</f>
        <v>-101012.3630652</v>
      </c>
      <c r="F73" s="1" t="s">
        <v>279</v>
      </c>
    </row>
    <row r="74" spans="2:6" ht="15" customHeight="1">
      <c r="B74" s="231" t="s">
        <v>260</v>
      </c>
      <c r="C74" s="232">
        <f>-$C$66/C73</f>
        <v>18.586387566608753</v>
      </c>
      <c r="D74" s="232">
        <f>-$C$66/D73</f>
        <v>20.926527564112032</v>
      </c>
      <c r="F74" s="227" t="s">
        <v>258</v>
      </c>
    </row>
    <row r="75" spans="2:6" ht="15" customHeight="1">
      <c r="B75" s="77" t="s">
        <v>259</v>
      </c>
      <c r="C75" s="268"/>
      <c r="D75" s="269">
        <f>MAX(-D73*D76,G5)</f>
        <v>606074.17839120002</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311892</v>
      </c>
      <c r="D79" s="73">
        <f>G7*H7+G17*H17</f>
        <v>187135.19999999998</v>
      </c>
      <c r="F79" s="227"/>
    </row>
    <row r="80" spans="2:6" ht="15" customHeight="1">
      <c r="B80" s="102" t="s">
        <v>152</v>
      </c>
      <c r="C80" s="19">
        <f>G19</f>
        <v>0</v>
      </c>
      <c r="D80" s="73">
        <f>G19*H19</f>
        <v>0</v>
      </c>
      <c r="F80" s="227"/>
    </row>
    <row r="81" spans="2:8" ht="15" customHeight="1">
      <c r="B81" s="102" t="s">
        <v>150</v>
      </c>
      <c r="C81" s="19">
        <f>G9+G21</f>
        <v>6509</v>
      </c>
      <c r="D81" s="73">
        <f>G9*H9+G21*H21</f>
        <v>650.90000000000009</v>
      </c>
      <c r="F81" s="227"/>
    </row>
    <row r="82" spans="2:8" ht="15" customHeight="1">
      <c r="B82" s="77" t="s">
        <v>159</v>
      </c>
      <c r="C82" s="78">
        <f>SUM(C79:C81)</f>
        <v>318401</v>
      </c>
      <c r="D82" s="78">
        <f>SUM(D79:D81)</f>
        <v>187786.09999999998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147379.42030680002</v>
      </c>
      <c r="D86" s="204">
        <f>C86*scaling_factor/Common_Shares</f>
        <v>6.3529352163215411E-2</v>
      </c>
      <c r="E86" s="218" t="str">
        <f>Market_currency</f>
        <v>HKD</v>
      </c>
    </row>
    <row r="87" spans="2:8" ht="15" customHeight="1">
      <c r="B87" s="216" t="s">
        <v>241</v>
      </c>
      <c r="C87" s="73">
        <f>DCF!F5*Exchange_Rate</f>
        <v>1648418.1329060739</v>
      </c>
      <c r="D87" s="204">
        <f>C87*scaling_factor/Common_Shares</f>
        <v>0.71056688823729985</v>
      </c>
      <c r="E87" s="218" t="str">
        <f>Market_currency</f>
        <v>HKD</v>
      </c>
    </row>
    <row r="88" spans="2:8" ht="15" customHeight="1">
      <c r="B88" s="217" t="s">
        <v>159</v>
      </c>
      <c r="C88" s="73">
        <f>DCF!F6*Exchange_Rate</f>
        <v>205304.04557487002</v>
      </c>
      <c r="D88" s="204">
        <f>C88*scaling_factor/Common_Shares</f>
        <v>8.8498332974220245E-2</v>
      </c>
      <c r="E88" s="218" t="str">
        <f>Market_currency</f>
        <v>HKD</v>
      </c>
    </row>
    <row r="89" spans="2:8" ht="15" customHeight="1">
      <c r="B89" s="77" t="s">
        <v>245</v>
      </c>
      <c r="C89" s="163">
        <f>SUM(C86:C88)</f>
        <v>2001101.5987877438</v>
      </c>
      <c r="D89" s="220">
        <f>SUM(D86:D88)</f>
        <v>0.86259457337473555</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2"/>
      <c r="F3" s="9"/>
      <c r="G3" s="16" t="s">
        <v>416</v>
      </c>
      <c r="H3" s="104">
        <f>scaling_factor</f>
        <v>1000</v>
      </c>
    </row>
    <row r="4" spans="1:17" ht="15.75" customHeight="1">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c r="A9" s="10"/>
      <c r="B9" s="26" t="s">
        <v>421</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c r="A10" s="10"/>
      <c r="B10" s="2" t="s">
        <v>65</v>
      </c>
      <c r="C10" s="274">
        <f>C48</f>
        <v>-4451.7949296527995</v>
      </c>
      <c r="E10" s="242"/>
      <c r="G10" s="274">
        <f>G48</f>
        <v>-10168.406344814284</v>
      </c>
      <c r="H10" s="274">
        <f t="shared" ref="H10:Q10" si="6">H48</f>
        <v>-2420.0332137648202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c r="A11" s="10"/>
      <c r="B11" s="67" t="s">
        <v>137</v>
      </c>
      <c r="C11" s="275">
        <f>SUM(C8:C10)</f>
        <v>604162.9050703469</v>
      </c>
      <c r="E11" s="242"/>
      <c r="G11" s="275">
        <f t="shared" ref="G11:Q11" si="7">IF(G$4="","",SUM(G8:G10))</f>
        <v>1069074.5936551858</v>
      </c>
      <c r="H11" s="275">
        <f t="shared" si="7"/>
        <v>1689440.9667862351</v>
      </c>
      <c r="I11" s="275">
        <f t="shared" si="7"/>
        <v>1172766</v>
      </c>
      <c r="J11" s="275">
        <f t="shared" si="7"/>
        <v>1267983</v>
      </c>
      <c r="K11" s="275">
        <f t="shared" si="7"/>
        <v>1051788</v>
      </c>
      <c r="L11" s="275">
        <f t="shared" si="7"/>
        <v>997076</v>
      </c>
      <c r="M11" s="275">
        <f t="shared" si="7"/>
        <v>873594</v>
      </c>
      <c r="N11" s="275">
        <f t="shared" si="7"/>
        <v>625979</v>
      </c>
      <c r="O11" s="275">
        <f t="shared" si="7"/>
        <v>498190</v>
      </c>
      <c r="P11" s="275">
        <f t="shared" si="7"/>
        <v>396423</v>
      </c>
      <c r="Q11" s="275" t="str">
        <f t="shared" si="7"/>
        <v/>
      </c>
    </row>
    <row r="12" spans="1:17" ht="15.75" customHeight="1">
      <c r="A12" s="10"/>
      <c r="B12" s="2" t="s">
        <v>60</v>
      </c>
      <c r="C12" s="274">
        <f>-C11*C41</f>
        <v>-151040.72626758672</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c r="A14" s="10"/>
      <c r="B14" s="39" t="s">
        <v>129</v>
      </c>
      <c r="C14" s="277">
        <f>SUM(C11:C13)</f>
        <v>347072.73055558326</v>
      </c>
      <c r="D14" s="58"/>
      <c r="E14" s="250"/>
      <c r="F14" s="58"/>
      <c r="G14" s="275">
        <f t="shared" ref="G14:Q14" si="8">IF(G$4="","",SUM(G11:G13))</f>
        <v>631699.59365518577</v>
      </c>
      <c r="H14" s="275">
        <f t="shared" si="8"/>
        <v>1049126.9667862351</v>
      </c>
      <c r="I14" s="275">
        <f t="shared" si="8"/>
        <v>739157</v>
      </c>
      <c r="J14" s="275">
        <f t="shared" si="8"/>
        <v>808781</v>
      </c>
      <c r="K14" s="275">
        <f t="shared" si="8"/>
        <v>691763</v>
      </c>
      <c r="L14" s="275">
        <f t="shared" si="8"/>
        <v>628986</v>
      </c>
      <c r="M14" s="275">
        <f t="shared" si="8"/>
        <v>587185</v>
      </c>
      <c r="N14" s="275">
        <f t="shared" si="8"/>
        <v>358545</v>
      </c>
      <c r="O14" s="275">
        <f t="shared" si="8"/>
        <v>280151</v>
      </c>
      <c r="P14" s="275">
        <f t="shared" si="8"/>
        <v>221261</v>
      </c>
      <c r="Q14" s="275" t="str">
        <f t="shared" si="8"/>
        <v/>
      </c>
    </row>
    <row r="15" spans="1:17" ht="15.75" customHeight="1">
      <c r="A15" s="10"/>
      <c r="B15" s="2" t="s">
        <v>62</v>
      </c>
      <c r="C15" s="274">
        <f>BS!$G$39*BS!D58</f>
        <v>173178.99999999997</v>
      </c>
      <c r="E15" s="242"/>
      <c r="G15" s="274">
        <f>IF(Data!C61="","",-Data!C61)</f>
        <v>173179</v>
      </c>
      <c r="H15" s="274">
        <f>IF(Data!D61="","",-Data!D61)</f>
        <v>166609</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402</v>
      </c>
      <c r="C16" s="274">
        <f>-C4*C82</f>
        <v>-173178.99999999997</v>
      </c>
      <c r="E16" s="242"/>
      <c r="G16" s="274">
        <f>Data!C62</f>
        <v>-173179</v>
      </c>
      <c r="H16" s="274">
        <f>Data!D62</f>
        <v>-166609</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347072.73055558326</v>
      </c>
      <c r="D19" s="26"/>
      <c r="E19" s="239"/>
      <c r="F19" s="26"/>
      <c r="G19" s="279">
        <f t="shared" ref="G19:Q19" si="9">IF(G$4="","",G14+G17)</f>
        <v>631699.59365518577</v>
      </c>
      <c r="H19" s="279">
        <f t="shared" si="9"/>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2"/>
    </row>
    <row r="34" spans="1:17" ht="15.75" customHeight="1">
      <c r="A34" s="10"/>
      <c r="B34" s="61" t="s">
        <v>42</v>
      </c>
      <c r="E34" s="242"/>
    </row>
    <row r="35" spans="1:17" ht="15.75" customHeight="1">
      <c r="A35" s="10"/>
      <c r="B35" s="306" t="s">
        <v>400</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c r="A36" s="10"/>
      <c r="E36" s="242"/>
    </row>
    <row r="37" spans="1:17" ht="15.75" customHeight="1">
      <c r="A37" s="10"/>
      <c r="B37" s="61" t="s">
        <v>176</v>
      </c>
      <c r="E37" s="242"/>
    </row>
    <row r="38" spans="1:17" ht="15.75" customHeight="1">
      <c r="A38" s="10"/>
      <c r="B38" s="306" t="s">
        <v>400</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c r="A46" s="10"/>
      <c r="B46" s="2" t="s">
        <v>273</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c r="A60" s="10"/>
      <c r="B60" s="38" t="s">
        <v>135</v>
      </c>
      <c r="C60" s="287">
        <v>0</v>
      </c>
      <c r="E60" s="240" t="s">
        <v>265</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c r="A72" s="10"/>
      <c r="B72" s="30" t="s">
        <v>45</v>
      </c>
      <c r="C72" s="75">
        <f t="shared" si="22"/>
        <v>0.75512543056889958</v>
      </c>
      <c r="D72" s="26"/>
      <c r="E72" s="239"/>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c r="A73" s="10"/>
      <c r="B73" s="8" t="s">
        <v>42</v>
      </c>
      <c r="C73" s="74">
        <f t="shared" si="22"/>
        <v>0.33469056113755186</v>
      </c>
      <c r="D73" s="26"/>
      <c r="E73" s="239"/>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c r="A74" s="10"/>
      <c r="B74" s="28" t="s">
        <v>127</v>
      </c>
      <c r="C74" s="75">
        <f t="shared" si="22"/>
        <v>0.42043486943134772</v>
      </c>
      <c r="D74" s="26"/>
      <c r="E74" s="239"/>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c r="A75" s="10"/>
      <c r="B75" s="26" t="s">
        <v>128</v>
      </c>
      <c r="C75" s="74">
        <f t="shared" si="22"/>
        <v>1.9240306337583624E-3</v>
      </c>
      <c r="D75" s="26"/>
      <c r="E75" s="239"/>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c r="A76" s="10"/>
      <c r="B76" s="2" t="s">
        <v>65</v>
      </c>
      <c r="C76" s="74">
        <f t="shared" si="22"/>
        <v>3.0612544030958326E-3</v>
      </c>
      <c r="D76" s="26"/>
      <c r="E76" s="239"/>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c r="A77" s="10"/>
      <c r="B77" s="67" t="s">
        <v>137</v>
      </c>
      <c r="C77" s="75">
        <f>C11/C4</f>
        <v>0.41544958439449353</v>
      </c>
      <c r="D77" s="26"/>
      <c r="E77" s="239"/>
      <c r="F77" s="26"/>
      <c r="G77" s="62">
        <f t="shared" ref="G77:Q77" si="29">IF(G$4="","",G11/G$4)</f>
        <v>0.51460063887624918</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c r="A78" s="10"/>
      <c r="B78" s="2" t="s">
        <v>60</v>
      </c>
      <c r="C78" s="74">
        <f>ABS(C12/C$4)</f>
        <v>0.10386239609862338</v>
      </c>
      <c r="D78" s="26"/>
      <c r="E78" s="239"/>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c r="A79" s="10"/>
      <c r="B79" s="38" t="str">
        <f>B13</f>
        <v>NCI’s Share of Profits</v>
      </c>
      <c r="C79" s="238">
        <f>MIN(BS!C62,MAX(G79:K79))</f>
        <v>7.2924369950228912E-2</v>
      </c>
      <c r="D79" s="26"/>
      <c r="E79" s="239"/>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c r="A80" s="10"/>
      <c r="B80" s="39" t="s">
        <v>129</v>
      </c>
      <c r="C80" s="75">
        <f>ABS(C14/C$4)</f>
        <v>0.23866281834564124</v>
      </c>
      <c r="D80" s="26"/>
      <c r="E80" s="239"/>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c r="A81" s="10"/>
      <c r="B81" s="2" t="s">
        <v>62</v>
      </c>
      <c r="C81" s="74">
        <f>ABS(C15/C$4)</f>
        <v>0.11908566873611129</v>
      </c>
      <c r="D81" s="26"/>
      <c r="E81" s="239"/>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0.11908566873611129</v>
      </c>
      <c r="D82" s="26"/>
      <c r="E82" s="240" t="s">
        <v>556</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0.23866281834564124</v>
      </c>
      <c r="D85" s="72"/>
      <c r="E85" s="239"/>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2"/>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1.0641062355754669</v>
      </c>
      <c r="E90" s="242"/>
      <c r="G90" s="153">
        <f t="shared" ref="G90:Q90" si="37">IF(G$4="","",G88/(G19*scaling_factor/Common_Shares))</f>
        <v>0.58464855841587759</v>
      </c>
      <c r="H90" s="153">
        <f t="shared" si="37"/>
        <v>0.35202818007217546</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5.5664335664335672E-2</v>
      </c>
      <c r="E92" s="242"/>
      <c r="G92" s="22">
        <f t="shared" ref="G92:Q92" si="38">IF(G$4="","",(G88*(1-dividend_tax_rate))/Market_Price)</f>
        <v>5.5664335664335672E-2</v>
      </c>
      <c r="H92" s="22">
        <f t="shared" si="38"/>
        <v>5.5664335664335672E-2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c r="A96" s="10"/>
      <c r="B96" s="67" t="s">
        <v>137</v>
      </c>
      <c r="C96" s="74">
        <f>C11/G11-1</f>
        <v>-0.43487301199002137</v>
      </c>
      <c r="D96" s="26"/>
      <c r="E96" s="239"/>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7238279</v>
      </c>
      <c r="D100" s="25"/>
      <c r="E100" s="243"/>
      <c r="F100" s="25"/>
      <c r="G100" s="278">
        <f t="shared" ref="G100:Q100" si="41">IF(G$4="","",G104+G103)</f>
        <v>7238279</v>
      </c>
      <c r="H100" s="278">
        <f t="shared" si="41"/>
        <v>8249751</v>
      </c>
      <c r="I100" s="278">
        <f t="shared" si="41"/>
        <v>8275751</v>
      </c>
      <c r="J100" s="278">
        <f t="shared" si="41"/>
        <v>7847134</v>
      </c>
      <c r="K100" s="278">
        <f t="shared" si="41"/>
        <v>7208409</v>
      </c>
      <c r="L100" s="278">
        <f t="shared" si="41"/>
        <v>6542493</v>
      </c>
      <c r="M100" s="278">
        <f t="shared" si="41"/>
        <v>5772034</v>
      </c>
      <c r="N100" s="278">
        <f t="shared" si="41"/>
        <v>5108414</v>
      </c>
      <c r="O100" s="278">
        <f t="shared" si="41"/>
        <v>4511682</v>
      </c>
      <c r="P100" s="278">
        <f t="shared" si="41"/>
        <v>3942836</v>
      </c>
      <c r="Q100" s="278" t="str">
        <f t="shared" si="41"/>
        <v/>
      </c>
    </row>
    <row r="101" spans="1:17" ht="15.75" customHeight="1">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3"/>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0.38399539332879862</v>
      </c>
      <c r="D108" s="25"/>
      <c r="E108" s="243"/>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c r="A113" s="10"/>
      <c r="B113" s="2" t="s">
        <v>305</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0.41544958439449353</v>
      </c>
      <c r="E116" s="242"/>
      <c r="G116" s="22">
        <f t="shared" ref="G116:Q116" si="44">IF(G4="","",G77)</f>
        <v>0.51460063887624918</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c r="B117" s="7" t="s">
        <v>80</v>
      </c>
      <c r="C117" s="40">
        <f>C4/C100</f>
        <v>0.20090947033127624</v>
      </c>
      <c r="E117" s="242"/>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c r="B118" s="7" t="s">
        <v>88</v>
      </c>
      <c r="C118" s="15">
        <f>C100/C104</f>
        <v>1.4876341835211095</v>
      </c>
      <c r="D118" s="11"/>
      <c r="E118" s="246"/>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c r="A119" s="10"/>
      <c r="B119" s="67" t="s">
        <v>191</v>
      </c>
      <c r="C119" s="99">
        <f>C11/C104</f>
        <v>0.12416948697308672</v>
      </c>
      <c r="D119" s="100"/>
      <c r="E119" s="245"/>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0.16356566367254996</v>
      </c>
      <c r="D123" s="26"/>
      <c r="E123" s="239"/>
      <c r="F123" s="26"/>
      <c r="G123" s="160">
        <f t="shared" ref="G123:Q123" si="48">IF(G$4="","",G14*$C$3/Common_Shares*Exchange_Rate)</f>
        <v>0.29770233781401423</v>
      </c>
      <c r="H123" s="160">
        <f t="shared" si="48"/>
        <v>0.49442417537230893</v>
      </c>
      <c r="I123" s="160">
        <f t="shared" si="48"/>
        <v>0.34834400579289798</v>
      </c>
      <c r="J123" s="160">
        <f t="shared" si="48"/>
        <v>0.38115584828282195</v>
      </c>
      <c r="K123" s="160">
        <f t="shared" si="48"/>
        <v>0.32600854010624603</v>
      </c>
      <c r="L123" s="160">
        <f t="shared" si="48"/>
        <v>0.29642349707525156</v>
      </c>
      <c r="M123" s="160">
        <f t="shared" si="48"/>
        <v>0.2767238557458061</v>
      </c>
      <c r="N123" s="160">
        <f t="shared" si="48"/>
        <v>0.16897222316370489</v>
      </c>
      <c r="O123" s="160">
        <f t="shared" si="48"/>
        <v>0.13202732513780721</v>
      </c>
      <c r="P123" s="160">
        <f t="shared" si="48"/>
        <v>0.10427411641334981</v>
      </c>
      <c r="Q123" s="160" t="str">
        <f t="shared" si="48"/>
        <v/>
      </c>
    </row>
    <row r="124" spans="1:17" ht="15.75" customHeight="1">
      <c r="A124" s="10"/>
      <c r="B124" s="26" t="s">
        <v>226</v>
      </c>
      <c r="C124" s="74">
        <f>C19*Exchange_Rate*$C$3/(Market_Price*Common_Shares)</f>
        <v>5.7190791493898586E-2</v>
      </c>
      <c r="D124" s="26"/>
      <c r="E124" s="239"/>
      <c r="F124" s="26"/>
      <c r="G124" s="74">
        <f t="shared" ref="G124" si="49">IF(G$4="","",G123/Market_Price)</f>
        <v>0.10409172650839658</v>
      </c>
      <c r="H124" s="74">
        <f t="shared" ref="H124" si="50">IF(H$4="","",H123/Market_Price)</f>
        <v>0.17287558579451362</v>
      </c>
      <c r="I124" s="74">
        <f t="shared" ref="I124" si="51">IF(I$4="","",I123/Market_Price)</f>
        <v>0.12179860342409021</v>
      </c>
      <c r="J124" s="74">
        <f t="shared" ref="J124" si="52">IF(J$4="","",J123/Market_Price)</f>
        <v>0.13327127562336433</v>
      </c>
      <c r="K124" s="74">
        <f t="shared" ref="K124" si="53">IF(K$4="","",K123/Market_Price)</f>
        <v>0.11398900003714897</v>
      </c>
      <c r="L124" s="74">
        <f t="shared" ref="L124" si="54">IF(L$4="","",L123/Market_Price)</f>
        <v>0.10364457939694111</v>
      </c>
      <c r="M124" s="74">
        <f t="shared" ref="M124" si="55">IF(M$4="","",M123/Market_Price)</f>
        <v>9.6756592918114032E-2</v>
      </c>
      <c r="N124" s="74">
        <f t="shared" ref="N124" si="56">IF(N$4="","",N123/Market_Price)</f>
        <v>5.9081196910386324E-2</v>
      </c>
      <c r="O124" s="74">
        <f t="shared" ref="O124" si="57">IF(O$4="","",O123/Market_Price)</f>
        <v>4.6163400397834689E-2</v>
      </c>
      <c r="P124" s="74">
        <f t="shared" ref="P124" si="58">IF(P$4="","",P123/Market_Price)</f>
        <v>3.6459481263409026E-2</v>
      </c>
      <c r="Q124" s="74" t="str">
        <f t="shared" ref="Q124" si="59">IF(Q$4="","",Q123/Market_Price)</f>
        <v/>
      </c>
    </row>
    <row r="125" spans="1:17" ht="15.75" customHeight="1">
      <c r="B125" s="2" t="s">
        <v>307</v>
      </c>
      <c r="C125" s="152"/>
      <c r="G125" s="22">
        <f>IF(G$4="","",(Data!C47*$C$3)/(Market_Price*Common_Shares))</f>
        <v>7.4957390785098166E-2</v>
      </c>
      <c r="H125" s="22">
        <f>IF(H$4="","",(Data!D47*$C$3)/(Market_Price*Common_Shares))</f>
        <v>0.14709028445096567</v>
      </c>
      <c r="I125" s="22">
        <f>IF(I$4="","",(Data!E47*$C$3)/(Market_Price*Common_Shares))</f>
        <v>0.12219326173835346</v>
      </c>
      <c r="J125" s="22">
        <f>IF(J$4="","",(Data!F47*$C$3)/(Market_Price*Common_Shares))</f>
        <v>0.13408734872683192</v>
      </c>
      <c r="K125" s="22">
        <f>IF(K$4="","",(Data!G47*$C$3)/(Market_Price*Common_Shares))</f>
        <v>0.11414118414508888</v>
      </c>
      <c r="L125" s="22">
        <f>IF(L$4="","",(Data!H47*$C$3)/(Market_Price*Common_Shares))</f>
        <v>0.11082744915771402</v>
      </c>
      <c r="M125" s="22">
        <f>IF(M$4="","",(Data!I47*$C$3)/(Market_Price*Common_Shares))</f>
        <v>9.2788347652258338E-2</v>
      </c>
      <c r="N125" s="22">
        <f>IF(N$4="","",(Data!J47*$C$3)/(Market_Price*Common_Shares))</f>
        <v>8.2922201364913725E-2</v>
      </c>
      <c r="O125" s="22">
        <f>IF(O$4="","",(Data!K47*$C$3)/(Market_Price*Common_Shares))</f>
        <v>6.7598776972280769E-2</v>
      </c>
      <c r="P125" s="22">
        <f>IF(P$4="","",(Data!L47*$C$3)/(Market_Price*Common_Shares))</f>
        <v>5.5038355844841853E-2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D22" sqref="D2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431</v>
      </c>
      <c r="H3" s="106" t="s">
        <v>420</v>
      </c>
    </row>
    <row r="4" spans="2:15">
      <c r="B4" s="97" t="s">
        <v>396</v>
      </c>
      <c r="C4" s="283">
        <f>Normalized_FCF!C19</f>
        <v>347072.73055558326</v>
      </c>
      <c r="D4" t="str">
        <f>Reporting_currency</f>
        <v>CNY</v>
      </c>
      <c r="E4" s="136" t="s">
        <v>438</v>
      </c>
      <c r="F4" s="283">
        <f>-BS!G31</f>
        <v>-134804</v>
      </c>
      <c r="G4" t="str">
        <f>Reporting_currency</f>
        <v>CNY</v>
      </c>
      <c r="H4" s="316" t="s">
        <v>397</v>
      </c>
      <c r="I4" s="313">
        <f>Normalized_FCF!C4</f>
        <v>1454238.7999999998</v>
      </c>
      <c r="J4" s="313"/>
    </row>
    <row r="5" spans="2:15">
      <c r="B5" s="188" t="s">
        <v>105</v>
      </c>
      <c r="C5" s="189">
        <f>Equity_Cost</f>
        <v>7.2499999999999995E-2</v>
      </c>
      <c r="E5" s="136" t="s">
        <v>439</v>
      </c>
      <c r="F5" s="283">
        <f>BS!D66</f>
        <v>1507763.8216088</v>
      </c>
      <c r="G5" t="str">
        <f>Reporting_currency</f>
        <v>CNY</v>
      </c>
      <c r="H5" s="316" t="s">
        <v>399</v>
      </c>
      <c r="I5" s="313">
        <f>Normalized_FCF!C7</f>
        <v>-486720</v>
      </c>
      <c r="J5" s="313"/>
    </row>
    <row r="6" spans="2:15" ht="13.25" customHeight="1">
      <c r="B6" s="137" t="s">
        <v>194</v>
      </c>
      <c r="C6" s="291">
        <f>(C4*(1+Terminal_Growth))/(Equity_Cost-Terminal_Growth)</f>
        <v>4787210.0766287353</v>
      </c>
      <c r="D6" t="str">
        <f>Reporting_currency</f>
        <v>CNY</v>
      </c>
      <c r="E6" s="188" t="s">
        <v>440</v>
      </c>
      <c r="F6" s="292">
        <f>BS!H42</f>
        <v>187786.09999999998</v>
      </c>
      <c r="G6" t="str">
        <f>Reporting_currency</f>
        <v>CNY</v>
      </c>
      <c r="H6" s="316" t="s">
        <v>422</v>
      </c>
      <c r="I6" s="313">
        <f>I7+I8</f>
        <v>-7249.7949296527995</v>
      </c>
      <c r="J6" s="313"/>
      <c r="N6" s="136"/>
    </row>
    <row r="7" spans="2:15" ht="12.75" customHeight="1">
      <c r="B7" s="326" t="s">
        <v>437</v>
      </c>
      <c r="C7" s="283">
        <f>F7</f>
        <v>1560745.9216088001</v>
      </c>
      <c r="E7" s="141" t="s">
        <v>431</v>
      </c>
      <c r="F7" s="291">
        <f>SUM(F4:F6)</f>
        <v>1560745.9216088001</v>
      </c>
      <c r="G7" t="str">
        <f>Reporting_currency</f>
        <v>CNY</v>
      </c>
      <c r="H7" s="320" t="s">
        <v>423</v>
      </c>
      <c r="I7" s="321">
        <f>Normalized_FCF!C9</f>
        <v>-2798</v>
      </c>
      <c r="J7" s="321"/>
      <c r="N7" s="312"/>
      <c r="O7" s="312"/>
    </row>
    <row r="8" spans="2:15" ht="13.15">
      <c r="B8" s="137" t="s">
        <v>433</v>
      </c>
      <c r="C8" s="291">
        <f>C6+C7</f>
        <v>6347955.9982375354</v>
      </c>
      <c r="D8" t="str">
        <f>Reporting_currency</f>
        <v>CNY</v>
      </c>
      <c r="E8" s="141" t="s">
        <v>471</v>
      </c>
      <c r="F8" s="108">
        <f>FV_adjustments*scaling_factor/Common_Shares*Exchange_Rate</f>
        <v>0.7355358690483047</v>
      </c>
      <c r="G8" s="302" t="str">
        <f>Market_currency</f>
        <v>HKD</v>
      </c>
      <c r="H8" s="322" t="str">
        <f>Normalized_FCF!B10</f>
        <v>Net Interest Income</v>
      </c>
      <c r="I8" s="321">
        <f>Normalized_FCF!C10</f>
        <v>-4451.7949296527995</v>
      </c>
      <c r="J8" s="321"/>
      <c r="N8" s="312"/>
      <c r="O8" s="312"/>
    </row>
    <row r="9" spans="2:15" ht="13.15" thickBot="1">
      <c r="B9" s="190" t="str">
        <f>"*"&amp;Thesis!E15</f>
        <v>*CNY/HKD</v>
      </c>
      <c r="C9" s="191">
        <f>Exchange_Rate</f>
        <v>1.0932867000000002</v>
      </c>
      <c r="D9" t="str">
        <f>Thesis!E15</f>
        <v>CNY/HKD</v>
      </c>
      <c r="F9" s="331"/>
      <c r="H9" s="316" t="str">
        <f>Normalized_FCF!B79</f>
        <v>NCI’s Share of Profits</v>
      </c>
      <c r="I9" s="145">
        <f>Normalized_FCF!C79</f>
        <v>7.2924369950228912E-2</v>
      </c>
      <c r="J9" s="314"/>
      <c r="N9" s="312"/>
      <c r="O9" s="312"/>
    </row>
    <row r="10" spans="2:15" ht="13.5" thickTop="1">
      <c r="B10" s="107" t="s">
        <v>434</v>
      </c>
      <c r="C10" s="291">
        <f>C8*Exchange_Rate</f>
        <v>6940135.8650583215</v>
      </c>
      <c r="D10" t="str">
        <f>Market_currency</f>
        <v>HKD</v>
      </c>
      <c r="H10" s="316" t="s">
        <v>401</v>
      </c>
      <c r="I10" s="314">
        <f>Normalized_FCF!C41</f>
        <v>0.25</v>
      </c>
      <c r="N10" s="312"/>
      <c r="O10" s="312"/>
    </row>
    <row r="11" spans="2:15" ht="13.15">
      <c r="B11" s="137" t="s">
        <v>432</v>
      </c>
      <c r="C11" s="108">
        <f>(C10*scaling_factor)/Common_Shares</f>
        <v>2.991613988669684</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403</v>
      </c>
      <c r="C14" s="317" t="s">
        <v>411</v>
      </c>
      <c r="E14" s="106" t="s">
        <v>403</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1.8613012126595999E-2</v>
      </c>
      <c r="E16" s="316" t="s">
        <v>404</v>
      </c>
      <c r="F16" s="319">
        <f>Scenarios!C41</f>
        <v>1.8613012126595999E-2</v>
      </c>
    </row>
    <row r="17" spans="1:21" ht="13.25" customHeight="1">
      <c r="B17" s="316" t="s">
        <v>398</v>
      </c>
      <c r="C17" s="314">
        <f>Normalized_FCF!C32</f>
        <v>0.24487456943110034</v>
      </c>
      <c r="E17" s="316" t="s">
        <v>405</v>
      </c>
      <c r="F17" s="319">
        <f>Scenarios!C40</f>
        <v>0.24487456943110034</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3.7172092119488189</v>
      </c>
      <c r="J18" t="str">
        <f>Market_currency</f>
        <v>HKD</v>
      </c>
    </row>
    <row r="19" spans="1:21">
      <c r="L19" s="283"/>
    </row>
    <row r="20" spans="1:21" ht="13.15">
      <c r="A20" s="122" t="s">
        <v>403</v>
      </c>
      <c r="B20" s="122" t="s">
        <v>98</v>
      </c>
      <c r="C20" s="122" t="s">
        <v>397</v>
      </c>
      <c r="D20" s="122" t="s">
        <v>102</v>
      </c>
      <c r="E20" s="122" t="s">
        <v>398</v>
      </c>
      <c r="F20" s="122" t="s">
        <v>399</v>
      </c>
      <c r="G20" s="122" t="s">
        <v>553</v>
      </c>
      <c r="H20" s="122" t="str">
        <f>B18</f>
        <v>D&amp;A - maint. Capx</v>
      </c>
      <c r="I20" s="122" t="s">
        <v>425</v>
      </c>
      <c r="J20" s="122" t="s">
        <v>537</v>
      </c>
      <c r="K20" s="122" t="s">
        <v>538</v>
      </c>
      <c r="L20" s="123" t="s">
        <v>426</v>
      </c>
    </row>
    <row r="21" spans="1:21">
      <c r="A21" s="310" t="str">
        <f t="shared" ref="A21:A50" si="0">IF($C$15&lt;B21,"",IF(B21&gt;=$F$15,"II","I"))</f>
        <v>I</v>
      </c>
      <c r="B21" s="118">
        <v>1</v>
      </c>
      <c r="C21" s="285">
        <f>I4*(1+D21)</f>
        <v>1481306.5644193662</v>
      </c>
      <c r="D21" s="307">
        <f t="shared" ref="D21:D50" si="1">IF(A21="",0,IF(A21="I",$C$16,$F$16))</f>
        <v>1.8613012126595999E-2</v>
      </c>
      <c r="E21" s="307">
        <f>$C$17</f>
        <v>0.24487456943110034</v>
      </c>
      <c r="F21" s="285">
        <f>I5*(1+D21)</f>
        <v>-495779.32526225678</v>
      </c>
      <c r="G21" s="285">
        <f>C21*(1-E21)+F21+$I$6</f>
        <v>615543.1370698018</v>
      </c>
      <c r="H21" s="307">
        <f t="shared" ref="H21:H50" si="2">IF(A21="",0%,IF(A21="I",$C$18,$F$18))</f>
        <v>0</v>
      </c>
      <c r="I21" s="285">
        <f>(G21*(1-$I$10)+C21*(H21-$I$9))</f>
        <v>353634.00488893088</v>
      </c>
      <c r="J21" s="307">
        <f>I21/C4-1</f>
        <v>1.8904609194863919E-2</v>
      </c>
      <c r="K21" s="120">
        <f t="shared" ref="K21:K50" si="3">IF($C$15&lt;B21,0,1/(1+Equity_Cost)^B21)</f>
        <v>0.93240093240093236</v>
      </c>
      <c r="L21" s="285">
        <f t="shared" ref="L21:L50" si="4">I21*K21</f>
        <v>329728.67588711501</v>
      </c>
    </row>
    <row r="22" spans="1:21">
      <c r="A22" s="310" t="str">
        <f t="shared" si="0"/>
        <v>I</v>
      </c>
      <c r="B22" s="118">
        <v>2</v>
      </c>
      <c r="C22" s="285">
        <f t="shared" ref="C22:C50" si="5">IF(A22="",0,C21*(1+D22))</f>
        <v>1508878.14146611</v>
      </c>
      <c r="D22" s="307">
        <f t="shared" si="1"/>
        <v>1.8613012126595999E-2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IF(A22="", 0,G22*(1-$I$10)+C22*(H22-$I$9))</f>
        <v>360317.40430101112</v>
      </c>
      <c r="J22" s="307">
        <f>IF(A22="", 0,I22/I21-1)</f>
        <v>1.8899198944907436E-2</v>
      </c>
      <c r="K22" s="120">
        <f t="shared" si="3"/>
        <v>0.86937149874212816</v>
      </c>
      <c r="L22" s="285">
        <f t="shared" si="4"/>
        <v>313249.68180004339</v>
      </c>
    </row>
    <row r="23" spans="1:21">
      <c r="A23" s="310" t="str">
        <f t="shared" si="0"/>
        <v>I</v>
      </c>
      <c r="B23" s="118">
        <v>3</v>
      </c>
      <c r="C23" s="285">
        <f t="shared" si="5"/>
        <v>1536962.9086107742</v>
      </c>
      <c r="D23" s="307">
        <f t="shared" si="1"/>
        <v>1.8613012126595999E-2</v>
      </c>
      <c r="E23" s="307">
        <f t="shared" si="6"/>
        <v>0.24487456943110034</v>
      </c>
      <c r="F23" s="285">
        <f t="shared" si="7"/>
        <v>-514406.97833054385</v>
      </c>
      <c r="G23" s="285">
        <f t="shared" si="8"/>
        <v>638943.00487294258</v>
      </c>
      <c r="H23" s="307">
        <f t="shared" si="2"/>
        <v>0</v>
      </c>
      <c r="I23" s="285">
        <f t="shared" ref="I23:I50" si="9">IF(A23="", 0,G23*(1-$I$10)+C23*(H23-$I$9))</f>
        <v>367125.20190739498</v>
      </c>
      <c r="J23" s="307">
        <f t="shared" ref="J23:J50" si="10">IF(A23="", 0,I23/I22-1)</f>
        <v>1.8893890567374783E-2</v>
      </c>
      <c r="K23" s="120">
        <f t="shared" si="3"/>
        <v>0.81060279602995633</v>
      </c>
      <c r="L23" s="285">
        <f t="shared" si="4"/>
        <v>297592.71515919664</v>
      </c>
      <c r="N23" s="283"/>
      <c r="O23" s="283"/>
      <c r="P23" s="283"/>
      <c r="Q23" s="283"/>
      <c r="R23" s="283"/>
      <c r="S23" s="283"/>
      <c r="T23" s="283"/>
      <c r="U23" s="283"/>
    </row>
    <row r="24" spans="1:21">
      <c r="A24" s="310" t="str">
        <f t="shared" si="0"/>
        <v>I</v>
      </c>
      <c r="B24" s="118">
        <v>4</v>
      </c>
      <c r="C24" s="285">
        <f t="shared" si="5"/>
        <v>1565570.4178668747</v>
      </c>
      <c r="D24" s="307">
        <f t="shared" si="1"/>
        <v>1.8613012126595999E-2</v>
      </c>
      <c r="E24" s="307">
        <f t="shared" si="6"/>
        <v>0.24487456943110034</v>
      </c>
      <c r="F24" s="285">
        <f t="shared" si="7"/>
        <v>-523981.64165621583</v>
      </c>
      <c r="G24" s="285">
        <f t="shared" si="8"/>
        <v>650970.59929178737</v>
      </c>
      <c r="H24" s="307">
        <f t="shared" si="2"/>
        <v>0</v>
      </c>
      <c r="I24" s="285">
        <f t="shared" si="9"/>
        <v>374059.71313318203</v>
      </c>
      <c r="J24" s="307">
        <f t="shared" si="10"/>
        <v>1.888868208926775E-2</v>
      </c>
      <c r="K24" s="120">
        <f t="shared" si="3"/>
        <v>0.75580680282513402</v>
      </c>
      <c r="L24" s="285">
        <f t="shared" si="4"/>
        <v>282716.87584887713</v>
      </c>
      <c r="N24" s="283"/>
      <c r="O24" s="283"/>
      <c r="P24" s="283"/>
      <c r="Q24" s="283"/>
      <c r="R24" s="283"/>
      <c r="S24" s="283"/>
      <c r="T24" s="283"/>
      <c r="U24" s="283"/>
    </row>
    <row r="25" spans="1:21">
      <c r="A25" s="310" t="str">
        <f t="shared" si="0"/>
        <v>I</v>
      </c>
      <c r="B25" s="118">
        <v>5</v>
      </c>
      <c r="C25" s="285">
        <f t="shared" si="5"/>
        <v>1594710.3990396708</v>
      </c>
      <c r="D25" s="307">
        <f t="shared" si="1"/>
        <v>1.8613012126595999E-2</v>
      </c>
      <c r="E25" s="307">
        <f t="shared" si="6"/>
        <v>0.24487456943110034</v>
      </c>
      <c r="F25" s="285">
        <f t="shared" si="7"/>
        <v>-533734.51830647665</v>
      </c>
      <c r="G25" s="285">
        <f t="shared" si="8"/>
        <v>663222.0634714039</v>
      </c>
      <c r="H25" s="307">
        <f t="shared" si="2"/>
        <v>0</v>
      </c>
      <c r="I25" s="285">
        <f t="shared" si="9"/>
        <v>381123.29650050681</v>
      </c>
      <c r="J25" s="307">
        <f t="shared" si="10"/>
        <v>1.8883571577807956E-2</v>
      </c>
      <c r="K25" s="120">
        <f t="shared" si="3"/>
        <v>0.70471496766912267</v>
      </c>
      <c r="L25" s="285">
        <f t="shared" si="4"/>
        <v>268583.29157130409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(G51+C51*H51)*(1-$I$10)/Equity_Cost</f>
        <v>6860917.8979800409</v>
      </c>
      <c r="J51" s="424">
        <f>(G51+C51*H51)*(1-$I$10)/VLOOKUP(C15,B21:I50,8,FALSE)-1</f>
        <v>0.3051328852653632</v>
      </c>
      <c r="K51" s="120">
        <f>1/(1+Equity_Cost)^C15</f>
        <v>0.70471496766912267</v>
      </c>
      <c r="L51" s="285">
        <f>I51*K51</f>
        <v>4834991.5346555095</v>
      </c>
    </row>
    <row r="52" spans="1:21" ht="13.15">
      <c r="G52" s="111"/>
      <c r="H52" s="111"/>
      <c r="I52" s="111"/>
      <c r="J52" s="466" t="s">
        <v>427</v>
      </c>
      <c r="K52" s="466"/>
      <c r="L52" s="325">
        <f>SUM(L21:L51)</f>
        <v>6326862.7749220459</v>
      </c>
    </row>
    <row r="53" spans="1:21">
      <c r="C53" s="111"/>
    </row>
    <row r="54" spans="1:21" ht="13.15">
      <c r="B54" s="115" t="s">
        <v>108</v>
      </c>
      <c r="C54" s="129"/>
      <c r="D54" s="129"/>
      <c r="E54" s="113"/>
      <c r="F54" s="113"/>
      <c r="G54" s="113"/>
      <c r="H54" s="113"/>
      <c r="I54" s="113"/>
      <c r="J54" s="113"/>
      <c r="K54" s="113"/>
      <c r="L54" s="113"/>
    </row>
    <row r="55" spans="1:21" ht="13.15">
      <c r="A55" s="126">
        <f>L52</f>
        <v>6326862.7749220459</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3630838.2556157489</v>
      </c>
      <c r="C56" s="119">
        <v>6086994.4152860995</v>
      </c>
      <c r="D56" s="119">
        <v>6366213.8999612015</v>
      </c>
      <c r="E56" s="119">
        <v>6655990.1498973938</v>
      </c>
      <c r="F56" s="119">
        <v>8274101.7929545501</v>
      </c>
      <c r="G56" s="303"/>
      <c r="H56" s="303"/>
      <c r="I56" s="303"/>
      <c r="J56" s="303"/>
      <c r="K56" s="303"/>
      <c r="L56" s="303"/>
    </row>
    <row r="57" spans="1:21" ht="13.15">
      <c r="A57" s="132">
        <v>10</v>
      </c>
      <c r="B57" s="119">
        <v>2540950.1592130046</v>
      </c>
      <c r="C57" s="119">
        <v>5966291.1106500607</v>
      </c>
      <c r="D57" s="119">
        <v>6456665.8272715379</v>
      </c>
      <c r="E57" s="119">
        <v>6987698.7565780096</v>
      </c>
      <c r="F57" s="119">
        <v>10370013.444046695</v>
      </c>
      <c r="G57" s="303"/>
      <c r="H57" s="303"/>
      <c r="I57" s="303"/>
      <c r="J57" s="303"/>
      <c r="K57" s="303"/>
      <c r="L57" s="303"/>
    </row>
    <row r="58" spans="1:21" ht="13.15">
      <c r="A58" s="132">
        <v>15</v>
      </c>
      <c r="B58" s="119">
        <v>2087418.1413647812</v>
      </c>
      <c r="C58" s="285">
        <v>5876890.6976534557</v>
      </c>
      <c r="D58" s="119">
        <v>6527043.0589371845</v>
      </c>
      <c r="E58" s="119">
        <v>7258690.687409536</v>
      </c>
      <c r="F58" s="119">
        <v>12540240.857644578</v>
      </c>
      <c r="G58" s="303"/>
      <c r="H58" s="303"/>
      <c r="I58" s="303"/>
      <c r="J58" s="303"/>
      <c r="K58" s="303"/>
      <c r="L58" s="303"/>
      <c r="M58" s="283"/>
      <c r="N58" s="283"/>
      <c r="O58" s="283"/>
      <c r="P58" s="283"/>
      <c r="Q58" s="283"/>
      <c r="R58" s="283"/>
      <c r="S58" s="283"/>
      <c r="T58" s="283"/>
      <c r="U58" s="283"/>
    </row>
    <row r="59" spans="1:21" ht="13.15">
      <c r="A59" s="133">
        <v>20</v>
      </c>
      <c r="B59" s="119">
        <v>1898691.1593082014</v>
      </c>
      <c r="C59" s="285">
        <v>5810675.1630575862</v>
      </c>
      <c r="D59" s="119">
        <v>6581800.927389523</v>
      </c>
      <c r="E59" s="119">
        <v>7480079.6568145631</v>
      </c>
      <c r="F59" s="119">
        <v>14787419.084015667</v>
      </c>
      <c r="G59" s="303"/>
      <c r="H59" s="303"/>
      <c r="I59" s="303"/>
      <c r="J59" s="303"/>
      <c r="K59" s="303"/>
      <c r="L59" s="303"/>
      <c r="M59" s="283"/>
      <c r="N59" s="283"/>
      <c r="O59" s="283"/>
      <c r="P59" s="283"/>
      <c r="Q59" s="283"/>
      <c r="R59" s="283"/>
      <c r="S59" s="283"/>
      <c r="T59" s="283"/>
      <c r="U59" s="283"/>
    </row>
    <row r="60" spans="1:21" ht="13.15">
      <c r="A60" s="133">
        <v>25</v>
      </c>
      <c r="B60" s="119">
        <v>1820156.7397865697</v>
      </c>
      <c r="C60" s="285">
        <v>5761631.7987726415</v>
      </c>
      <c r="D60" s="119">
        <v>6624405.9586827243</v>
      </c>
      <c r="E60" s="119">
        <v>7660945.1003863513</v>
      </c>
      <c r="F60" s="119">
        <v>17114276.605691038</v>
      </c>
      <c r="G60" s="303"/>
      <c r="H60" s="303"/>
      <c r="I60" s="303"/>
      <c r="J60" s="303"/>
      <c r="K60" s="303"/>
      <c r="L60" s="303"/>
      <c r="M60" s="283"/>
      <c r="N60" s="283"/>
      <c r="O60" s="283"/>
      <c r="P60" s="283"/>
      <c r="Q60" s="283"/>
      <c r="R60" s="283"/>
      <c r="S60" s="283"/>
      <c r="T60" s="283"/>
      <c r="U60" s="283"/>
    </row>
    <row r="61" spans="1:21" ht="13.15">
      <c r="A61" s="133">
        <v>30</v>
      </c>
      <c r="B61" s="119">
        <v>1787476.436300603</v>
      </c>
      <c r="C61" s="285">
        <v>5725307.2173120286</v>
      </c>
      <c r="D61" s="119">
        <v>6657555.3259389494</v>
      </c>
      <c r="E61" s="119">
        <v>7808704.533777874</v>
      </c>
      <c r="F61" s="119">
        <v>19523638.650338739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2.991613988669684</v>
      </c>
      <c r="C65" s="120">
        <f>C11</f>
        <v>2.991613988669684</v>
      </c>
      <c r="D65" s="120">
        <f>C11</f>
        <v>2.991613988669684</v>
      </c>
      <c r="E65" s="120">
        <f>C11</f>
        <v>2.991613988669684</v>
      </c>
      <c r="F65" s="120">
        <f>C11</f>
        <v>2.991613988669684</v>
      </c>
      <c r="G65" s="304"/>
      <c r="H65" s="304"/>
      <c r="I65" s="304"/>
      <c r="J65" s="304"/>
      <c r="K65" s="304"/>
      <c r="L65" s="304"/>
    </row>
    <row r="66" spans="1:12" ht="13.15">
      <c r="A66" s="132">
        <f t="shared" ref="A66:A71" si="11">A56</f>
        <v>5</v>
      </c>
      <c r="B66" s="120">
        <f t="shared" ref="B66:F71" si="12">(B56+FV_adjustments)/Common_Shares*scaling_factor*Exchange_Rate</f>
        <v>2.4466483151826011</v>
      </c>
      <c r="C66" s="120">
        <f t="shared" si="12"/>
        <v>3.6041659677414901</v>
      </c>
      <c r="D66" s="120">
        <f t="shared" si="12"/>
        <v>3.7357542957789076</v>
      </c>
      <c r="E66" s="120">
        <f t="shared" si="12"/>
        <v>3.8723177318099768</v>
      </c>
      <c r="F66" s="120">
        <f t="shared" si="12"/>
        <v>4.6348884597644684</v>
      </c>
      <c r="G66" s="304"/>
      <c r="H66" s="304"/>
      <c r="I66" s="304"/>
      <c r="J66" s="304"/>
      <c r="K66" s="304"/>
      <c r="L66" s="304"/>
    </row>
    <row r="67" spans="1:12" ht="13.15">
      <c r="A67" s="132">
        <f t="shared" si="11"/>
        <v>10</v>
      </c>
      <c r="B67" s="120">
        <f t="shared" si="12"/>
        <v>1.9330145602875946</v>
      </c>
      <c r="C67" s="120">
        <f t="shared" si="12"/>
        <v>3.5472818786381484</v>
      </c>
      <c r="D67" s="120">
        <f t="shared" si="12"/>
        <v>3.7783817574561569</v>
      </c>
      <c r="E67" s="120">
        <f t="shared" si="12"/>
        <v>4.0286427139275878</v>
      </c>
      <c r="F67" s="120">
        <f t="shared" si="12"/>
        <v>5.6226329583343846</v>
      </c>
      <c r="G67" s="304"/>
      <c r="H67" s="304"/>
      <c r="I67" s="304"/>
      <c r="J67" s="304"/>
      <c r="K67" s="304"/>
      <c r="L67" s="304"/>
    </row>
    <row r="68" spans="1:12" ht="13.15">
      <c r="A68" s="132">
        <f t="shared" si="11"/>
        <v>15</v>
      </c>
      <c r="B68" s="120">
        <f t="shared" si="12"/>
        <v>1.71927761420904</v>
      </c>
      <c r="C68" s="120">
        <f t="shared" si="12"/>
        <v>3.5051499662260679</v>
      </c>
      <c r="D68" s="120">
        <f t="shared" si="12"/>
        <v>3.8115485769478568</v>
      </c>
      <c r="E68" s="120">
        <f t="shared" si="12"/>
        <v>4.1563536261199987</v>
      </c>
      <c r="F68" s="120">
        <f t="shared" si="12"/>
        <v>6.6454003957451757</v>
      </c>
      <c r="G68" s="304"/>
      <c r="H68" s="304"/>
      <c r="I68" s="304"/>
      <c r="J68" s="304"/>
      <c r="K68" s="304"/>
      <c r="L68" s="304"/>
    </row>
    <row r="69" spans="1:12" ht="13.15">
      <c r="A69" s="133">
        <f t="shared" si="11"/>
        <v>20</v>
      </c>
      <c r="B69" s="120">
        <f t="shared" si="12"/>
        <v>1.6303358698559551</v>
      </c>
      <c r="C69" s="120">
        <f t="shared" si="12"/>
        <v>3.4739444380813791</v>
      </c>
      <c r="D69" s="120">
        <f t="shared" si="12"/>
        <v>3.8373544277283647</v>
      </c>
      <c r="E69" s="120">
        <f t="shared" si="12"/>
        <v>4.2606880509321945</v>
      </c>
      <c r="F69" s="120">
        <f t="shared" si="12"/>
        <v>7.7044325974353232</v>
      </c>
      <c r="G69" s="304"/>
      <c r="H69" s="304"/>
      <c r="I69" s="304"/>
      <c r="J69" s="304"/>
      <c r="K69" s="304"/>
      <c r="L69" s="304"/>
    </row>
    <row r="70" spans="1:12" ht="13.15">
      <c r="A70" s="133">
        <f t="shared" si="11"/>
        <v>25</v>
      </c>
      <c r="B70" s="120">
        <f t="shared" si="12"/>
        <v>1.5933247960397221</v>
      </c>
      <c r="C70" s="120">
        <f t="shared" si="12"/>
        <v>3.4508316731713835</v>
      </c>
      <c r="D70" s="120">
        <f t="shared" si="12"/>
        <v>3.8574329865022188</v>
      </c>
      <c r="E70" s="120">
        <f t="shared" si="12"/>
        <v>4.3459248722344439</v>
      </c>
      <c r="F70" s="120">
        <f t="shared" si="12"/>
        <v>8.801015420854073</v>
      </c>
      <c r="G70" s="304"/>
      <c r="H70" s="304"/>
      <c r="I70" s="304"/>
      <c r="J70" s="304"/>
      <c r="K70" s="304"/>
      <c r="L70" s="304"/>
    </row>
    <row r="71" spans="1:12" ht="13.15">
      <c r="A71" s="133">
        <f t="shared" si="11"/>
        <v>30</v>
      </c>
      <c r="B71" s="120">
        <f t="shared" si="12"/>
        <v>1.5779234836976495</v>
      </c>
      <c r="C71" s="120">
        <f t="shared" si="12"/>
        <v>3.4337129146197625</v>
      </c>
      <c r="D71" s="120">
        <f t="shared" si="12"/>
        <v>3.8730553554705618</v>
      </c>
      <c r="E71" s="120">
        <f t="shared" si="12"/>
        <v>4.4155597575447247</v>
      </c>
      <c r="F71" s="120">
        <f t="shared" si="12"/>
        <v>9.9364803167259215</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4.6348884597644684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3.8723177318099768</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3.7357542957789076</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3.6041659677414901</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2.4466483151826011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1082041</v>
      </c>
      <c r="D7" t="str">
        <f>Reporting_currency</f>
        <v>CNY</v>
      </c>
      <c r="E7" s="467"/>
      <c r="F7" s="467"/>
      <c r="G7" s="467"/>
    </row>
    <row r="8" spans="2:7">
      <c r="B8" s="97" t="s">
        <v>63</v>
      </c>
      <c r="C8" s="283">
        <f>Normalized_FCF!G19</f>
        <v>631699.59365518577</v>
      </c>
      <c r="D8" t="str">
        <f>Reporting_currency</f>
        <v>CNY</v>
      </c>
      <c r="E8" s="467"/>
      <c r="F8" s="467"/>
      <c r="G8" s="467"/>
    </row>
    <row r="9" spans="2:7">
      <c r="B9" s="97" t="s">
        <v>54</v>
      </c>
      <c r="C9" s="283">
        <f>Normalized_FCF!C19</f>
        <v>347072.73055558326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-2.1915610445164879E-2</v>
      </c>
      <c r="D12" s="145"/>
      <c r="E12" s="467"/>
      <c r="F12" s="467"/>
      <c r="G12" s="467"/>
    </row>
    <row r="13" spans="2:7">
      <c r="B13" s="136" t="s">
        <v>127</v>
      </c>
      <c r="C13" s="145">
        <f ca="1">(Normalized_FCF!G8/OFFSET(Normalized_FCF!G8, 0, $C$4))^(1/$C$4) - 1</f>
        <v>-4.450258101128779E-2</v>
      </c>
      <c r="E13" s="467"/>
      <c r="F13" s="467"/>
      <c r="G13" s="467"/>
    </row>
    <row r="14" spans="2:7">
      <c r="B14" s="97" t="s">
        <v>63</v>
      </c>
      <c r="C14" s="145">
        <f ca="1">(Normalized_FCF!G19/OFFSET(Normalized_FCF!G19, 0, $C$4))^(1/$C$4) - 1</f>
        <v>-7.5542496754235966E-2</v>
      </c>
      <c r="E14" s="467"/>
      <c r="F14" s="467"/>
      <c r="G14" s="467"/>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382</v>
      </c>
      <c r="D21" s="154" t="s">
        <v>455</v>
      </c>
      <c r="E21" s="155" t="str">
        <f>"Value per share ("&amp;Market_currency&amp;")"</f>
        <v>Value per share (HKD)</v>
      </c>
      <c r="F21" s="155" t="s">
        <v>456</v>
      </c>
      <c r="G21" s="155" t="s">
        <v>464</v>
      </c>
    </row>
    <row r="22" spans="2:7">
      <c r="B22" s="310" t="s">
        <v>452</v>
      </c>
      <c r="C22" s="333">
        <v>0.03</v>
      </c>
      <c r="D22" s="334">
        <f>C18</f>
        <v>5</v>
      </c>
      <c r="E22" s="335">
        <f>DCF!E75</f>
        <v>3.8723177318099768</v>
      </c>
      <c r="F22" s="337">
        <f>1-F23-F24</f>
        <v>0.2</v>
      </c>
      <c r="G22" s="337">
        <f>F22*(1-F$29-F$30)</f>
        <v>0.18</v>
      </c>
    </row>
    <row r="23" spans="2:7">
      <c r="B23" s="310" t="s">
        <v>444</v>
      </c>
      <c r="C23" s="333">
        <v>0.02</v>
      </c>
      <c r="D23" s="334">
        <f>C18</f>
        <v>5</v>
      </c>
      <c r="E23" s="335">
        <f>DCF!E76</f>
        <v>3.7357542957789076</v>
      </c>
      <c r="F23" s="336">
        <v>0.6</v>
      </c>
      <c r="G23" s="337">
        <f t="shared" ref="G23:G24" si="0">F23*(1-F$29-F$30)</f>
        <v>0.53999999999999992</v>
      </c>
    </row>
    <row r="24" spans="2:7">
      <c r="B24" s="310" t="s">
        <v>453</v>
      </c>
      <c r="C24" s="333">
        <v>0.01</v>
      </c>
      <c r="D24" s="334">
        <f>C18</f>
        <v>5</v>
      </c>
      <c r="E24" s="335">
        <f>DCF!E77</f>
        <v>3.6041659677414901</v>
      </c>
      <c r="F24" s="336">
        <v>0.2</v>
      </c>
      <c r="G24" s="337">
        <f t="shared" si="0"/>
        <v>0.18</v>
      </c>
    </row>
    <row r="25" spans="2:7">
      <c r="B25" s="142" t="s">
        <v>458</v>
      </c>
      <c r="C25" s="451">
        <f>E23*F23+E24*F24+E22*F22</f>
        <v>3.736749317377638</v>
      </c>
      <c r="D25" s="142" t="str">
        <f>Market_currency</f>
        <v>HKD</v>
      </c>
      <c r="G25" s="150"/>
    </row>
    <row r="27" spans="2:7" ht="13.15">
      <c r="B27" s="106" t="s">
        <v>459</v>
      </c>
    </row>
    <row r="28" spans="2:7" ht="13.15">
      <c r="B28" s="154" t="s">
        <v>443</v>
      </c>
      <c r="C28" s="154" t="s">
        <v>382</v>
      </c>
      <c r="D28" s="154" t="s">
        <v>455</v>
      </c>
      <c r="E28" s="155" t="str">
        <f>"Value per share ("&amp;Market_currency&amp;")"</f>
        <v>Value per share (HKD)</v>
      </c>
      <c r="F28" s="155" t="s">
        <v>456</v>
      </c>
      <c r="G28" s="155" t="s">
        <v>464</v>
      </c>
    </row>
    <row r="29" spans="2:7">
      <c r="B29" s="310" t="s">
        <v>451</v>
      </c>
      <c r="C29" s="333">
        <v>0.08</v>
      </c>
      <c r="D29" s="334">
        <f>C18</f>
        <v>5</v>
      </c>
      <c r="E29" s="335">
        <f>DCF!E74</f>
        <v>4.6348884597644684</v>
      </c>
      <c r="F29" s="336">
        <v>0.05</v>
      </c>
      <c r="G29" s="337">
        <f>F29</f>
        <v>0.05</v>
      </c>
    </row>
    <row r="30" spans="2:7">
      <c r="B30" s="323" t="s">
        <v>454</v>
      </c>
      <c r="C30" s="333">
        <v>-0.1</v>
      </c>
      <c r="D30" s="334">
        <f>C18</f>
        <v>5</v>
      </c>
      <c r="E30" s="335">
        <f>DCF!E78</f>
        <v>2.4466483151826011</v>
      </c>
      <c r="F30" s="336">
        <v>0.05</v>
      </c>
      <c r="G30" s="337">
        <f>F30</f>
        <v>0.05</v>
      </c>
    </row>
    <row r="31" spans="2:7">
      <c r="E31" s="338"/>
      <c r="F31" s="338"/>
    </row>
    <row r="32" spans="2:7" ht="13.15">
      <c r="B32" s="146" t="s">
        <v>463</v>
      </c>
    </row>
    <row r="33" spans="2:7">
      <c r="B33" s="97" t="s">
        <v>465</v>
      </c>
      <c r="C33" s="156">
        <f>Normalized_FCF!C88*(1-dividend_tax_rate)</f>
        <v>0.15920000000000001</v>
      </c>
      <c r="D33" t="str">
        <f>Market_currency</f>
        <v>HKD</v>
      </c>
      <c r="E33" s="97" t="s">
        <v>462</v>
      </c>
      <c r="F33" s="223">
        <f>Holding_Period</f>
        <v>2</v>
      </c>
    </row>
    <row r="34" spans="2:7">
      <c r="B34" s="97" t="s">
        <v>233</v>
      </c>
      <c r="C34" s="147">
        <f>Market_Price</f>
        <v>2.86</v>
      </c>
      <c r="D34" t="str">
        <f>Market_currency</f>
        <v>HKD</v>
      </c>
      <c r="E34" s="97" t="s">
        <v>461</v>
      </c>
      <c r="F34" s="339">
        <f>RATE(Holding_Period,$C$33,-C34,$C$36)</f>
        <v>0.19236735001465252</v>
      </c>
    </row>
    <row r="35" spans="2:7">
      <c r="B35" s="97" t="s">
        <v>441</v>
      </c>
      <c r="C35" s="329">
        <f>DCF!C11</f>
        <v>2.991613988669684</v>
      </c>
      <c r="D35" s="97" t="str">
        <f>Market_currency</f>
        <v>HKD</v>
      </c>
      <c r="E35" s="97" t="s">
        <v>461</v>
      </c>
      <c r="F35" s="339">
        <f>RATE(Holding_Period,$C$33,-C35,$C$36)</f>
        <v>0.1652240082412598</v>
      </c>
    </row>
    <row r="36" spans="2:7">
      <c r="B36" s="97" t="s">
        <v>442</v>
      </c>
      <c r="C36" s="330">
        <f>E22*G22+E23*G23+E24*G24+E30*G30+E29*G29</f>
        <v>3.7171512243872273</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405</v>
      </c>
      <c r="C40" s="139">
        <f>DCF!C17</f>
        <v>0.24487456943110034</v>
      </c>
      <c r="E40" s="97" t="s">
        <v>406</v>
      </c>
    </row>
    <row r="41" spans="2:7">
      <c r="B41" s="97" t="s">
        <v>404</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3.7172092119488189</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0.23205797163039402</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0.15920000000000001</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313</v>
      </c>
      <c r="C62" s="120">
        <f>PV(F62, Holding_Period, -C58, 0)</f>
        <v>0.20527846364883409</v>
      </c>
      <c r="D62" s="120">
        <f>C36/(1+F62)^Holding_Period</f>
        <v>2.0395891491836635</v>
      </c>
      <c r="E62" s="341">
        <f>C62+D62</f>
        <v>2.2448676128324978</v>
      </c>
      <c r="F62" s="309">
        <f>Thesis!E22</f>
        <v>0.35</v>
      </c>
      <c r="G62" s="450">
        <f>(1-E62/C36)</f>
        <v>0.39607848125614953</v>
      </c>
    </row>
    <row r="63" spans="2:7" ht="13.15">
      <c r="B63" s="310" t="s">
        <v>314</v>
      </c>
      <c r="C63" s="120">
        <f>PV(F63, Holding_Period, -C58, 0)</f>
        <v>0.22924800000000001</v>
      </c>
      <c r="D63" s="120">
        <f>C36/(1+F63)^Holding_Period</f>
        <v>2.3789767836078255</v>
      </c>
      <c r="E63" s="341">
        <f>C63+D63</f>
        <v>2.6082247836078256</v>
      </c>
      <c r="F63" s="309">
        <f>Thesis!E23</f>
        <v>0.25</v>
      </c>
      <c r="G63" s="450">
        <f>(1-E63/C36)</f>
        <v>0.29832696434410155</v>
      </c>
    </row>
    <row r="65" spans="2:7" ht="13.15">
      <c r="B65" s="154" t="s">
        <v>470</v>
      </c>
      <c r="C65" s="154" t="s">
        <v>103</v>
      </c>
      <c r="D65" s="154" t="s">
        <v>104</v>
      </c>
      <c r="E65" s="155" t="str">
        <f>"Sell above ("&amp;Market_currency&amp;")"</f>
        <v>Sell above (HKD)</v>
      </c>
      <c r="F65" s="155" t="s">
        <v>461</v>
      </c>
      <c r="G65" s="155" t="s">
        <v>468</v>
      </c>
    </row>
    <row r="66" spans="2:7" ht="13.15">
      <c r="B66" s="310" t="s">
        <v>316</v>
      </c>
      <c r="C66" s="120">
        <f>PV(F66, Holding_Period, -C58, 0)</f>
        <v>0.26997816308147637</v>
      </c>
      <c r="D66" s="120">
        <f>C36/(1+F66)^Holding_Period</f>
        <v>2.9770963875772463</v>
      </c>
      <c r="E66" s="341">
        <f>C66+D66</f>
        <v>3.2470745506587226</v>
      </c>
      <c r="F66" s="309">
        <f>Thesis!E24</f>
        <v>0.1174</v>
      </c>
      <c r="G66" s="450">
        <f>(1-E66/C47)</f>
        <v>0.12647516846209983</v>
      </c>
    </row>
    <row r="67" spans="2:7" ht="13.15">
      <c r="B67" s="310" t="s">
        <v>315</v>
      </c>
      <c r="C67" s="120">
        <f>PV(F67, Holding_Period, -C58, 0)</f>
        <v>0.28684217103797521</v>
      </c>
      <c r="D67" s="120">
        <f>C36/(1+F67)^Holding_Period</f>
        <v>3.2315853309966602</v>
      </c>
      <c r="E67" s="341">
        <f>C67+D67</f>
        <v>3.5184275020346356</v>
      </c>
      <c r="F67" s="309">
        <f>Thesis!E25</f>
        <v>7.2499999999999995E-2</v>
      </c>
      <c r="G67" s="450">
        <f>(1-E67/C36)</f>
        <v>5.346129612613526E-2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549</v>
      </c>
      <c r="F3" s="446">
        <f>Thesis!F3</f>
        <v>45930</v>
      </c>
    </row>
    <row r="4" spans="1:10">
      <c r="B4" s="432" t="s">
        <v>541</v>
      </c>
      <c r="C4" s="433" t="str">
        <f>Thesis!C4</f>
        <v>福寿园</v>
      </c>
      <c r="D4" s="358"/>
      <c r="E4" s="444" t="s">
        <v>547</v>
      </c>
      <c r="F4" s="447" t="str">
        <f>Thesis!F4</f>
        <v>INT</v>
      </c>
    </row>
    <row r="5" spans="1:10">
      <c r="B5" s="352" t="s">
        <v>367</v>
      </c>
      <c r="C5" s="364" t="str">
        <f>Thesis!C5</f>
        <v>1448.HK</v>
      </c>
      <c r="E5" s="448" t="s">
        <v>548</v>
      </c>
      <c r="F5" s="449" t="str">
        <f>Thesis!F5</f>
        <v>Y</v>
      </c>
    </row>
    <row r="6" spans="1:10">
      <c r="B6" s="359" t="s">
        <v>338</v>
      </c>
      <c r="C6" s="361" t="str">
        <f>Thesis!C6</f>
        <v>CNS_01</v>
      </c>
      <c r="E6" s="363"/>
    </row>
    <row r="7" spans="1:10">
      <c r="B7" s="352" t="s">
        <v>369</v>
      </c>
      <c r="C7" s="361" t="str">
        <f>Market_currency</f>
        <v>HKD</v>
      </c>
      <c r="D7" s="363"/>
      <c r="E7" s="363"/>
    </row>
    <row r="8" spans="1:10">
      <c r="B8" s="360" t="s">
        <v>368</v>
      </c>
      <c r="C8" s="365">
        <f>Market_Price</f>
        <v>2.86</v>
      </c>
      <c r="D8" s="352" t="s">
        <v>536</v>
      </c>
      <c r="E8" s="369">
        <f>Scenarios!F34</f>
        <v>0.19236735001465252</v>
      </c>
    </row>
    <row r="9" spans="1:10">
      <c r="B9" s="360" t="s">
        <v>364</v>
      </c>
      <c r="C9" s="362">
        <f>Common_Shares</f>
        <v>2319863422</v>
      </c>
    </row>
    <row r="10" spans="1:10">
      <c r="B10" s="360" t="s">
        <v>370</v>
      </c>
      <c r="C10" s="366">
        <f>投资主题!C8*Common_Shares/1000000</f>
        <v>6634.8093869200002</v>
      </c>
      <c r="E10" s="362"/>
    </row>
    <row r="11" spans="1:10">
      <c r="D11" s="358"/>
      <c r="E11" s="358"/>
    </row>
    <row r="12" spans="1:10" ht="24.5" customHeight="1">
      <c r="B12" s="472" t="s">
        <v>505</v>
      </c>
      <c r="C12" s="472"/>
      <c r="D12" s="472"/>
      <c r="E12" s="472"/>
      <c r="F12" s="472"/>
    </row>
    <row r="14" spans="1:10">
      <c r="B14" s="356" t="s">
        <v>373</v>
      </c>
      <c r="C14" s="357"/>
      <c r="D14" s="358"/>
    </row>
    <row r="15" spans="1:10">
      <c r="B15" s="352" t="s">
        <v>339</v>
      </c>
      <c r="C15" s="367" t="str">
        <f>Thesis!C15</f>
        <v>N</v>
      </c>
      <c r="D15" s="360" t="s">
        <v>371</v>
      </c>
      <c r="E15" s="353" t="str">
        <f>IF(E17=C7,C7,E17&amp;"/"&amp;C7)</f>
        <v>CNY/HKD</v>
      </c>
    </row>
    <row r="16" spans="1:10">
      <c r="B16" s="352" t="s">
        <v>340</v>
      </c>
      <c r="C16" s="367" t="str">
        <f>Thesis!C16</f>
        <v>N</v>
      </c>
      <c r="D16" s="360" t="s">
        <v>372</v>
      </c>
      <c r="E16" s="435">
        <f>Exchange_Rate</f>
        <v>1.0932867000000002</v>
      </c>
    </row>
    <row r="17" spans="1:6">
      <c r="B17" s="352" t="s">
        <v>542</v>
      </c>
      <c r="C17" s="434">
        <f>Terminal_Growth</f>
        <v>0</v>
      </c>
      <c r="D17" s="360" t="s">
        <v>341</v>
      </c>
      <c r="E17" s="353" t="str">
        <f>Reporting_currency</f>
        <v>CNY</v>
      </c>
    </row>
    <row r="18" spans="1:6">
      <c r="B18" s="352" t="str">
        <f>"预期股权价值 ("&amp;C7&amp;") :"</f>
        <v>预期股权价值 (HKD) :</v>
      </c>
      <c r="C18" s="368">
        <f>C125</f>
        <v>3.7171512243872273</v>
      </c>
      <c r="D18" s="359" t="s">
        <v>365</v>
      </c>
      <c r="E18" s="436">
        <f>Thesis!E18</f>
        <v>6</v>
      </c>
    </row>
    <row r="19" spans="1:6">
      <c r="B19" s="359" t="s">
        <v>337</v>
      </c>
      <c r="C19" s="361" t="str">
        <f>IF(Scenarios!C50="Y",Scenarios!B50,"")&amp;IF(Scenarios!C51="Y",Scenarios!B51,"")&amp;IF(Scenarios!C52="Y",Scenarios!B52,"")&amp;" "&amp;IF(Scenarios!C53="Y",Scenarios!B53,"")</f>
        <v xml:space="preserve">Low Growth </v>
      </c>
      <c r="D19" s="352" t="s">
        <v>366</v>
      </c>
      <c r="E19" s="437">
        <f>EOMONTH(EDATE(BS!C1,E18+2),0)</f>
        <v>46081</v>
      </c>
    </row>
    <row r="20" spans="1:6">
      <c r="D20" s="358"/>
      <c r="E20" s="358"/>
    </row>
    <row r="21" spans="1:6">
      <c r="B21" s="356" t="s">
        <v>342</v>
      </c>
      <c r="C21" s="370" t="str">
        <f>C138&amp;" ("&amp;Market_currency&amp;")"</f>
        <v xml:space="preserve"> (HKD)</v>
      </c>
      <c r="D21" s="371" t="s">
        <v>347</v>
      </c>
      <c r="E21" s="372">
        <f>Holding_Period</f>
        <v>2</v>
      </c>
    </row>
    <row r="22" spans="1:6">
      <c r="B22" s="352" t="s">
        <v>343</v>
      </c>
      <c r="C22" s="373">
        <f>E140</f>
        <v>2.2448676128324978</v>
      </c>
      <c r="D22" s="374" t="s">
        <v>447</v>
      </c>
      <c r="E22" s="375">
        <f>Thesis!E22</f>
        <v>0.35</v>
      </c>
    </row>
    <row r="23" spans="1:6">
      <c r="B23" s="352" t="s">
        <v>344</v>
      </c>
      <c r="C23" s="376">
        <f>E141</f>
        <v>2.6082247836078256</v>
      </c>
      <c r="D23" s="374" t="s">
        <v>448</v>
      </c>
      <c r="E23" s="377">
        <f>Thesis!E23</f>
        <v>0.25</v>
      </c>
    </row>
    <row r="24" spans="1:6">
      <c r="B24" s="352" t="s">
        <v>346</v>
      </c>
      <c r="C24" s="376">
        <f>E144</f>
        <v>3.2470745506587226</v>
      </c>
      <c r="D24" s="374" t="s">
        <v>450</v>
      </c>
      <c r="E24" s="377">
        <f>Thesis!E24</f>
        <v>0.1174</v>
      </c>
    </row>
    <row r="25" spans="1:6">
      <c r="B25" s="352" t="s">
        <v>345</v>
      </c>
      <c r="C25" s="376">
        <f>E145</f>
        <v>3.5184275020346356</v>
      </c>
      <c r="D25" s="374" t="s">
        <v>449</v>
      </c>
      <c r="E25" s="377">
        <f>Thesis!E25</f>
        <v>7.2499999999999995E-2</v>
      </c>
    </row>
    <row r="27" spans="1:6" ht="13.9">
      <c r="A27" s="354" t="s">
        <v>348</v>
      </c>
      <c r="B27" s="354"/>
      <c r="C27" s="354"/>
      <c r="D27" s="354"/>
      <c r="E27" s="354"/>
      <c r="F27" s="354"/>
    </row>
    <row r="29" spans="1:6">
      <c r="B29" s="472" t="s">
        <v>506</v>
      </c>
      <c r="C29" s="472"/>
      <c r="D29" s="472"/>
      <c r="E29" s="472"/>
      <c r="F29" s="472"/>
    </row>
    <row r="30" spans="1:6" ht="24.5" customHeight="1">
      <c r="B30" s="475" t="s">
        <v>507</v>
      </c>
      <c r="C30" s="475"/>
      <c r="D30" s="475"/>
      <c r="E30" s="475"/>
      <c r="F30" s="475"/>
    </row>
    <row r="32" spans="1:6">
      <c r="B32" s="378" t="s">
        <v>374</v>
      </c>
      <c r="C32" s="379">
        <f>scaling_factor</f>
        <v>1000</v>
      </c>
    </row>
    <row r="33" spans="2:6">
      <c r="B33" s="468" t="s">
        <v>508</v>
      </c>
      <c r="C33" s="468"/>
      <c r="D33" s="468"/>
      <c r="E33" s="468"/>
      <c r="F33" s="468"/>
    </row>
    <row r="34" spans="2:6">
      <c r="B34" s="381" t="s">
        <v>197</v>
      </c>
      <c r="C34" s="382">
        <f>Normalized_FCF!C8</f>
        <v>611412.69999999972</v>
      </c>
      <c r="D34" s="352" t="str">
        <f>Reporting_currency</f>
        <v>CNY</v>
      </c>
    </row>
    <row r="35" spans="2:6">
      <c r="B35" s="381"/>
      <c r="C35" s="383"/>
    </row>
    <row r="36" spans="2:6" ht="24.5" customHeight="1">
      <c r="B36" s="468" t="s">
        <v>509</v>
      </c>
      <c r="C36" s="468"/>
      <c r="D36" s="468"/>
      <c r="E36" s="468"/>
      <c r="F36" s="468"/>
    </row>
    <row r="37" spans="2:6">
      <c r="B37" s="381" t="s">
        <v>199</v>
      </c>
      <c r="C37" s="382">
        <f>Normalized_FCF!C15</f>
        <v>173178.99999999997</v>
      </c>
      <c r="D37" s="352" t="str">
        <f>Reporting_currency</f>
        <v>CNY</v>
      </c>
    </row>
    <row r="38" spans="2:6">
      <c r="B38" s="384" t="s">
        <v>200</v>
      </c>
      <c r="C38" s="382">
        <f>Normalized_FCF!C16</f>
        <v>-173178.99999999997</v>
      </c>
      <c r="D38" s="352" t="str">
        <f>Reporting_currency</f>
        <v>CNY</v>
      </c>
    </row>
    <row r="40" spans="2:6">
      <c r="B40" s="468" t="s">
        <v>510</v>
      </c>
      <c r="C40" s="468"/>
      <c r="D40" s="468"/>
      <c r="E40" s="468"/>
      <c r="F40" s="468"/>
    </row>
    <row r="41" spans="2:6">
      <c r="B41" s="381" t="s">
        <v>202</v>
      </c>
      <c r="C41" s="382">
        <f>Normalized_FCF!C9</f>
        <v>-2798</v>
      </c>
      <c r="D41" s="352" t="str">
        <f>Reporting_currency</f>
        <v>CNY</v>
      </c>
    </row>
    <row r="43" spans="2:6">
      <c r="B43" s="468" t="s">
        <v>511</v>
      </c>
      <c r="C43" s="468"/>
      <c r="D43" s="468"/>
      <c r="E43" s="468"/>
      <c r="F43" s="468"/>
    </row>
    <row r="44" spans="2:6">
      <c r="B44" s="381" t="s">
        <v>268</v>
      </c>
      <c r="C44" s="385">
        <f>Normalized_FCF!C46</f>
        <v>3636.4450703472003</v>
      </c>
      <c r="D44" s="352" t="str">
        <f>Reporting_currency</f>
        <v>CNY</v>
      </c>
      <c r="E44" s="380"/>
      <c r="F44" s="380"/>
    </row>
    <row r="45" spans="2:6">
      <c r="B45" s="381" t="s">
        <v>269</v>
      </c>
      <c r="C45" s="385">
        <f>Normalized_FCF!C45</f>
        <v>-8088.24</v>
      </c>
      <c r="D45" s="352" t="str">
        <f>Reporting_currency</f>
        <v>CNY</v>
      </c>
      <c r="E45" s="380"/>
      <c r="F45" s="380"/>
    </row>
    <row r="46" spans="2:6">
      <c r="B46" s="381" t="s">
        <v>203</v>
      </c>
      <c r="C46" s="382">
        <f>Normalized_FCF!C10</f>
        <v>-4451.7949296527995</v>
      </c>
      <c r="D46" s="352" t="str">
        <f>Reporting_currency</f>
        <v>CNY</v>
      </c>
    </row>
    <row r="48" spans="2:6">
      <c r="B48" s="352" t="s">
        <v>512</v>
      </c>
    </row>
    <row r="49" spans="2:6">
      <c r="B49" s="381" t="s">
        <v>223</v>
      </c>
      <c r="C49" s="382">
        <f>Normalized_FCF!C13</f>
        <v>-106049.44824717694</v>
      </c>
      <c r="D49" s="352" t="str">
        <f>Reporting_currency</f>
        <v>CNY</v>
      </c>
    </row>
    <row r="51" spans="2:6">
      <c r="B51" s="468" t="s">
        <v>513</v>
      </c>
      <c r="C51" s="468"/>
      <c r="D51" s="468"/>
      <c r="E51" s="468"/>
      <c r="F51" s="468"/>
    </row>
    <row r="52" spans="2:6">
      <c r="B52" s="381" t="s">
        <v>503</v>
      </c>
      <c r="C52" s="382">
        <f>Normalized_FCF!C12</f>
        <v>-151040.72626758672</v>
      </c>
      <c r="D52" s="352" t="str">
        <f>Reporting_currency</f>
        <v>CNY</v>
      </c>
    </row>
    <row r="54" spans="2:6">
      <c r="B54" s="468" t="s">
        <v>514</v>
      </c>
      <c r="C54" s="474"/>
      <c r="D54" s="474"/>
      <c r="E54" s="474"/>
      <c r="F54" s="474"/>
    </row>
    <row r="55" spans="2:6">
      <c r="B55" s="381" t="s">
        <v>207</v>
      </c>
      <c r="C55" s="382">
        <f>Normalized_FCF!C17</f>
        <v>0</v>
      </c>
      <c r="D55" s="352" t="str">
        <f>Reporting_currency</f>
        <v>CNY</v>
      </c>
    </row>
    <row r="57" spans="2:6">
      <c r="B57" s="472" t="s">
        <v>515</v>
      </c>
      <c r="C57" s="472"/>
      <c r="D57" s="472"/>
      <c r="E57" s="472"/>
      <c r="F57" s="472"/>
    </row>
    <row r="58" spans="2:6">
      <c r="B58" s="472" t="s">
        <v>516</v>
      </c>
      <c r="C58" s="472"/>
      <c r="D58" s="472"/>
      <c r="E58" s="472"/>
      <c r="F58" s="472"/>
    </row>
    <row r="60" spans="2:6">
      <c r="B60" s="381" t="s">
        <v>375</v>
      </c>
      <c r="C60" s="382">
        <f>Normalized_FCF!G19</f>
        <v>631699.59365518577</v>
      </c>
      <c r="D60" s="352" t="str">
        <f>Reporting_currency</f>
        <v>CNY</v>
      </c>
    </row>
    <row r="61" spans="2:6">
      <c r="B61" s="381" t="s">
        <v>213</v>
      </c>
      <c r="C61" s="382">
        <f>Normalized_FCF!C19</f>
        <v>347072.73055558326</v>
      </c>
      <c r="D61" s="352" t="str">
        <f>Reporting_currency</f>
        <v>CNY</v>
      </c>
    </row>
    <row r="62" spans="2:6">
      <c r="B62" s="386" t="s">
        <v>303</v>
      </c>
      <c r="C62" s="387">
        <f>Normalized_FCF!C124</f>
        <v>5.7190791493898586E-2</v>
      </c>
      <c r="F62" s="388"/>
    </row>
    <row r="63" spans="2:6">
      <c r="B63" s="386" t="s">
        <v>333</v>
      </c>
      <c r="C63" s="387">
        <f>Normalized_FCF!C92</f>
        <v>5.5664335664335672E-2</v>
      </c>
      <c r="E63" s="381" t="s">
        <v>376</v>
      </c>
      <c r="F63" s="389">
        <f>Normalized_FCF!C90</f>
        <v>1.0641062355754669</v>
      </c>
    </row>
    <row r="65" spans="1:6">
      <c r="B65" s="378" t="s">
        <v>379</v>
      </c>
      <c r="C65" s="390" t="s">
        <v>328</v>
      </c>
      <c r="D65" s="390" t="s">
        <v>377</v>
      </c>
    </row>
    <row r="66" spans="1:6">
      <c r="B66" s="381" t="s">
        <v>327</v>
      </c>
      <c r="C66" s="387">
        <f>Normalized_FCF!C119</f>
        <v>0.12416948697308672</v>
      </c>
      <c r="D66" s="387">
        <f>Normalized_FCF!G119</f>
        <v>0.21971961985098865</v>
      </c>
    </row>
    <row r="67" spans="1:6">
      <c r="B67" s="391" t="str">
        <f>Normalized_FCF!B116</f>
        <v>Pre-tax Profit/Sales</v>
      </c>
      <c r="C67" s="392">
        <f>Normalized_FCF!C116</f>
        <v>0.41544958439449353</v>
      </c>
      <c r="D67" s="392">
        <f>Normalized_FCF!G116</f>
        <v>0.51460063887624918</v>
      </c>
    </row>
    <row r="68" spans="1:6">
      <c r="B68" s="391" t="str">
        <f>Normalized_FCF!B117</f>
        <v>Sales/Total Assets</v>
      </c>
      <c r="C68" s="393">
        <f>Normalized_FCF!C117</f>
        <v>0.20090947033127624</v>
      </c>
      <c r="D68" s="393">
        <f>Normalized_FCF!G117</f>
        <v>0.28701352904468036</v>
      </c>
    </row>
    <row r="69" spans="1:6">
      <c r="B69" s="391" t="str">
        <f>Normalized_FCF!B118</f>
        <v>Total Assets/Equity</v>
      </c>
      <c r="C69" s="393">
        <f>Normalized_FCF!C118</f>
        <v>1.4876341835211095</v>
      </c>
      <c r="D69" s="393">
        <f>Normalized_FCF!G118</f>
        <v>1.4876341835211095</v>
      </c>
    </row>
    <row r="71" spans="1:6" ht="13.9">
      <c r="A71" s="354" t="s">
        <v>483</v>
      </c>
      <c r="B71" s="354"/>
      <c r="C71" s="354"/>
      <c r="D71" s="354"/>
      <c r="E71" s="354"/>
      <c r="F71" s="354"/>
    </row>
    <row r="72" spans="1:6">
      <c r="A72" s="394"/>
    </row>
    <row r="73" spans="1:6">
      <c r="A73" s="395"/>
      <c r="B73" s="472" t="s">
        <v>517</v>
      </c>
      <c r="C73" s="472"/>
      <c r="D73" s="472"/>
      <c r="E73" s="472"/>
      <c r="F73" s="472"/>
    </row>
    <row r="74" spans="1:6">
      <c r="B74" s="475" t="s">
        <v>486</v>
      </c>
      <c r="C74" s="475"/>
      <c r="D74" s="475"/>
      <c r="E74" s="475"/>
      <c r="F74" s="475"/>
    </row>
    <row r="76" spans="1:6">
      <c r="B76" s="378" t="s">
        <v>374</v>
      </c>
    </row>
    <row r="77" spans="1:6">
      <c r="B77" s="472" t="s">
        <v>518</v>
      </c>
      <c r="C77" s="472"/>
      <c r="D77" s="472"/>
      <c r="E77" s="472"/>
      <c r="F77" s="472"/>
    </row>
    <row r="78" spans="1:6">
      <c r="B78" s="352" t="s">
        <v>215</v>
      </c>
      <c r="C78" s="382">
        <f>DCF!F4</f>
        <v>-134804</v>
      </c>
      <c r="D78" s="352" t="str">
        <f>Reporting_currency</f>
        <v>CNY</v>
      </c>
    </row>
    <row r="79" spans="1:6">
      <c r="B79" s="381" t="s">
        <v>235</v>
      </c>
      <c r="C79" s="396">
        <f>C78*scaling_factor*Exchange_Rate/Common_Shares</f>
        <v>-6.3529352163215411E-2</v>
      </c>
      <c r="D79" s="352" t="str">
        <f>Market_currency</f>
        <v>HKD</v>
      </c>
    </row>
    <row r="80" spans="1:6">
      <c r="B80" s="391" t="s">
        <v>310</v>
      </c>
      <c r="C80" s="397">
        <f>IF(BS!G31/BS!G27&gt;300%,"nm",BS!G31/BS!G27)</f>
        <v>2.7705347980559972E-2</v>
      </c>
    </row>
    <row r="81" spans="1:6">
      <c r="B81" s="391" t="s">
        <v>312</v>
      </c>
      <c r="C81" s="398">
        <f>IF(BS!C50&gt;30,"nm",BS!C50)</f>
        <v>0.22047955497162566</v>
      </c>
    </row>
    <row r="83" spans="1:6">
      <c r="B83" s="352" t="s">
        <v>519</v>
      </c>
    </row>
    <row r="84" spans="1:6">
      <c r="B84" s="352" t="s">
        <v>224</v>
      </c>
      <c r="C84" s="382">
        <f>DCF!F5</f>
        <v>1507763.8216088</v>
      </c>
      <c r="D84" s="352" t="str">
        <f>Reporting_currency</f>
        <v>CNY</v>
      </c>
    </row>
    <row r="85" spans="1:6">
      <c r="B85" s="391" t="s">
        <v>488</v>
      </c>
      <c r="C85" s="399">
        <f>BS!C66</f>
        <v>2113838</v>
      </c>
      <c r="D85" s="400" t="str">
        <f>Reporting_currency</f>
        <v>CNY</v>
      </c>
    </row>
    <row r="86" spans="1:6">
      <c r="B86" s="381" t="s">
        <v>236</v>
      </c>
      <c r="C86" s="396">
        <f>C84*scaling_factor*Exchange_Rate/Common_Shares</f>
        <v>0.71056688823729974</v>
      </c>
      <c r="D86" s="352" t="str">
        <f>Market_currency</f>
        <v>HKD</v>
      </c>
    </row>
    <row r="88" spans="1:6">
      <c r="B88" s="352" t="s">
        <v>520</v>
      </c>
    </row>
    <row r="89" spans="1:6">
      <c r="B89" s="352" t="s">
        <v>217</v>
      </c>
      <c r="C89" s="382">
        <f>DCF!F6</f>
        <v>187786.09999999998</v>
      </c>
      <c r="D89" s="352" t="str">
        <f>Reporting_currency</f>
        <v>CNY</v>
      </c>
    </row>
    <row r="90" spans="1:6">
      <c r="B90" s="381" t="s">
        <v>237</v>
      </c>
      <c r="C90" s="396">
        <f>C89*scaling_factor*Exchange_Rate/Common_Shares</f>
        <v>8.8498332974220231E-2</v>
      </c>
      <c r="D90" s="352" t="str">
        <f>Market_currency</f>
        <v>HKD</v>
      </c>
    </row>
    <row r="92" spans="1:6">
      <c r="B92" s="381" t="s">
        <v>487</v>
      </c>
      <c r="C92" s="396">
        <f>DCF!F8</f>
        <v>0.7355358690483047</v>
      </c>
      <c r="D92" s="352" t="str">
        <f>Market_currency</f>
        <v>HKD</v>
      </c>
    </row>
    <row r="94" spans="1:6" ht="13.9">
      <c r="A94" s="354" t="s">
        <v>489</v>
      </c>
      <c r="B94" s="354"/>
      <c r="C94" s="354"/>
      <c r="D94" s="354"/>
      <c r="E94" s="354"/>
      <c r="F94" s="354"/>
    </row>
    <row r="95" spans="1:6">
      <c r="A95" s="394"/>
    </row>
    <row r="96" spans="1:6">
      <c r="A96" s="394"/>
      <c r="B96" s="472" t="s">
        <v>521</v>
      </c>
      <c r="C96" s="472"/>
      <c r="D96" s="472"/>
      <c r="E96" s="472"/>
      <c r="F96" s="472"/>
    </row>
    <row r="97" spans="1:6">
      <c r="A97" s="394"/>
      <c r="B97" s="475" t="s">
        <v>522</v>
      </c>
      <c r="C97" s="475"/>
      <c r="D97" s="475"/>
      <c r="E97" s="475"/>
      <c r="F97" s="475"/>
    </row>
    <row r="98" spans="1:6">
      <c r="A98" s="394"/>
      <c r="B98" s="475" t="s">
        <v>523</v>
      </c>
      <c r="C98" s="475"/>
      <c r="D98" s="475"/>
      <c r="E98" s="475"/>
      <c r="F98" s="475"/>
    </row>
    <row r="99" spans="1:6">
      <c r="A99" s="394"/>
    </row>
    <row r="100" spans="1:6">
      <c r="A100" s="394"/>
      <c r="B100" s="378" t="s">
        <v>374</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542</v>
      </c>
      <c r="C104" s="377">
        <v>0</v>
      </c>
    </row>
    <row r="105" spans="1:6">
      <c r="A105" s="394"/>
      <c r="C105" s="401"/>
    </row>
    <row r="106" spans="1:6">
      <c r="A106" s="394"/>
      <c r="B106" s="402" t="s">
        <v>378</v>
      </c>
      <c r="C106" s="401"/>
    </row>
    <row r="107" spans="1:6">
      <c r="A107" s="394"/>
      <c r="B107" s="472" t="s">
        <v>524</v>
      </c>
      <c r="C107" s="472"/>
      <c r="D107" s="472"/>
      <c r="E107" s="472"/>
      <c r="F107" s="472"/>
    </row>
    <row r="108" spans="1:6">
      <c r="A108" s="394"/>
      <c r="B108" s="472" t="s">
        <v>543</v>
      </c>
      <c r="C108" s="472"/>
      <c r="D108" s="472"/>
      <c r="E108" s="472"/>
      <c r="F108" s="472"/>
    </row>
    <row r="109" spans="1:6">
      <c r="A109" s="394"/>
    </row>
    <row r="110" spans="1:6">
      <c r="A110" s="394"/>
      <c r="B110" s="378" t="s">
        <v>496</v>
      </c>
    </row>
    <row r="111" spans="1:6">
      <c r="A111" s="394"/>
      <c r="B111" s="384" t="s">
        <v>493</v>
      </c>
      <c r="C111" s="403">
        <f>BS!D47</f>
        <v>0.40761437853881549</v>
      </c>
      <c r="D111" s="352" t="str">
        <f>Market_currency</f>
        <v>HKD</v>
      </c>
    </row>
    <row r="112" spans="1:6">
      <c r="A112" s="394"/>
      <c r="B112" s="381" t="s">
        <v>380</v>
      </c>
      <c r="C112" s="403">
        <f>DCF!C11</f>
        <v>2.991613988669684</v>
      </c>
      <c r="D112" s="352" t="str">
        <f>Market_currency</f>
        <v>HKD</v>
      </c>
    </row>
    <row r="113" spans="1:6">
      <c r="A113" s="394"/>
    </row>
    <row r="114" spans="1:6">
      <c r="A114" s="394"/>
      <c r="B114" s="472" t="s">
        <v>525</v>
      </c>
      <c r="C114" s="472"/>
      <c r="D114" s="472"/>
      <c r="E114" s="472"/>
      <c r="F114" s="472"/>
    </row>
    <row r="115" spans="1:6">
      <c r="A115" s="394"/>
    </row>
    <row r="116" spans="1:6">
      <c r="A116" s="394"/>
      <c r="B116" s="378" t="s">
        <v>497</v>
      </c>
    </row>
    <row r="117" spans="1:6">
      <c r="A117" s="394"/>
      <c r="B117" s="351" t="s">
        <v>381</v>
      </c>
      <c r="C117" s="351" t="s">
        <v>382</v>
      </c>
      <c r="D117" s="351" t="s">
        <v>99</v>
      </c>
      <c r="E117" s="351" t="s">
        <v>383</v>
      </c>
      <c r="F117" s="351" t="s">
        <v>384</v>
      </c>
    </row>
    <row r="118" spans="1:6">
      <c r="A118" s="394"/>
      <c r="B118" s="404" t="str">
        <f>DCF!B74</f>
        <v>Snowball Scenario</v>
      </c>
      <c r="C118" s="405">
        <f>DCF!C74</f>
        <v>0.08</v>
      </c>
      <c r="D118" s="406">
        <f>DCF!D74</f>
        <v>5</v>
      </c>
      <c r="E118" s="407" t="str">
        <f>ROUND(DCF!E74,2)&amp;" "&amp;Market_currency</f>
        <v>4.63 HKD</v>
      </c>
      <c r="F118" s="408">
        <f>DCF!F74</f>
        <v>0.05</v>
      </c>
    </row>
    <row r="119" spans="1:6">
      <c r="A119" s="394"/>
      <c r="B119" s="409" t="str">
        <f>DCF!B75</f>
        <v>Optimistic</v>
      </c>
      <c r="C119" s="410">
        <f>DCF!C75</f>
        <v>0.03</v>
      </c>
      <c r="D119" s="411">
        <f>DCF!D75</f>
        <v>5</v>
      </c>
      <c r="E119" s="407" t="str">
        <f>ROUND(DCF!E75,2)&amp;" "&amp;Market_currency</f>
        <v>3.87 HKD</v>
      </c>
      <c r="F119" s="412">
        <f>DCF!F75</f>
        <v>0.18</v>
      </c>
    </row>
    <row r="120" spans="1:6">
      <c r="B120" s="409" t="str">
        <f>DCF!B76</f>
        <v>Base</v>
      </c>
      <c r="C120" s="410">
        <f>DCF!C76</f>
        <v>0.02</v>
      </c>
      <c r="D120" s="411">
        <f>DCF!D76</f>
        <v>5</v>
      </c>
      <c r="E120" s="407" t="str">
        <f>ROUND(DCF!E76,2)&amp;" "&amp;Market_currency</f>
        <v>3.74 HKD</v>
      </c>
      <c r="F120" s="412">
        <f>DCF!F76</f>
        <v>0.53999999999999992</v>
      </c>
    </row>
    <row r="121" spans="1:6">
      <c r="B121" s="409" t="str">
        <f>DCF!B77</f>
        <v>Pessimistic</v>
      </c>
      <c r="C121" s="410">
        <f>DCF!C77</f>
        <v>0.01</v>
      </c>
      <c r="D121" s="411">
        <f>DCF!D77</f>
        <v>5</v>
      </c>
      <c r="E121" s="407" t="str">
        <f>ROUND(DCF!E77,2)&amp;" "&amp;Market_currency</f>
        <v>3.6 HKD</v>
      </c>
      <c r="F121" s="412">
        <f>DCF!F77</f>
        <v>0.18</v>
      </c>
    </row>
    <row r="122" spans="1:6">
      <c r="B122" s="409" t="str">
        <f>DCF!B78</f>
        <v>Devil's advocate</v>
      </c>
      <c r="C122" s="410">
        <f>DCF!C78</f>
        <v>-0.1</v>
      </c>
      <c r="D122" s="411">
        <f>DCF!D78</f>
        <v>5</v>
      </c>
      <c r="E122" s="407" t="str">
        <f>ROUND(DCF!E78,2)&amp;" "&amp;Market_currency</f>
        <v>2.45 HKD</v>
      </c>
      <c r="F122" s="412">
        <f>DCF!F78</f>
        <v>0.05</v>
      </c>
    </row>
    <row r="124" spans="1:6">
      <c r="B124" s="468" t="s">
        <v>526</v>
      </c>
      <c r="C124" s="468"/>
      <c r="D124" s="468"/>
      <c r="E124" s="468"/>
      <c r="F124" s="468"/>
    </row>
    <row r="125" spans="1:6">
      <c r="B125" s="381" t="s">
        <v>218</v>
      </c>
      <c r="C125" s="413">
        <f>Scenarios!C36</f>
        <v>3.7171512243872273</v>
      </c>
      <c r="D125" s="352" t="str">
        <f>Market_currency</f>
        <v>HKD</v>
      </c>
    </row>
    <row r="127" spans="1:6">
      <c r="B127" s="470" t="s">
        <v>527</v>
      </c>
      <c r="C127" s="470"/>
      <c r="D127" s="470"/>
      <c r="E127" s="470"/>
      <c r="F127" s="470"/>
    </row>
    <row r="129" spans="1:6" ht="13.9">
      <c r="A129" s="354" t="s">
        <v>499</v>
      </c>
      <c r="B129" s="354"/>
      <c r="C129" s="354"/>
      <c r="D129" s="354"/>
      <c r="E129" s="354"/>
      <c r="F129" s="354"/>
    </row>
    <row r="131" spans="1:6">
      <c r="B131" s="471" t="s">
        <v>528</v>
      </c>
      <c r="C131" s="471"/>
      <c r="D131" s="471"/>
      <c r="E131" s="471"/>
      <c r="F131" s="471"/>
    </row>
    <row r="132" spans="1:6" ht="24.5" customHeight="1">
      <c r="B132" s="472" t="s">
        <v>529</v>
      </c>
      <c r="C132" s="472"/>
      <c r="D132" s="472"/>
      <c r="E132" s="472"/>
      <c r="F132" s="472"/>
    </row>
    <row r="134" spans="1:6">
      <c r="B134" s="378" t="s">
        <v>374</v>
      </c>
    </row>
    <row r="135" spans="1:6">
      <c r="B135" s="352" t="s">
        <v>385</v>
      </c>
      <c r="C135" s="414">
        <f>E21</f>
        <v>2</v>
      </c>
    </row>
    <row r="136" spans="1:6">
      <c r="B136" s="352" t="s">
        <v>386</v>
      </c>
      <c r="C136" s="415">
        <f>Scenarios!C58</f>
        <v>0.15920000000000001</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313</v>
      </c>
      <c r="C140" s="418">
        <f>Scenarios!C62</f>
        <v>0.20527846364883409</v>
      </c>
      <c r="D140" s="418">
        <f>Scenarios!D62</f>
        <v>2.0395891491836635</v>
      </c>
      <c r="E140" s="419">
        <f>Scenarios!E62</f>
        <v>2.2448676128324978</v>
      </c>
      <c r="F140" s="420">
        <f>E22</f>
        <v>0.35</v>
      </c>
    </row>
    <row r="141" spans="1:6">
      <c r="B141" s="417" t="s">
        <v>314</v>
      </c>
      <c r="C141" s="418">
        <f>Scenarios!C63</f>
        <v>0.22924800000000001</v>
      </c>
      <c r="D141" s="418">
        <f>Scenarios!D63</f>
        <v>2.3789767836078255</v>
      </c>
      <c r="E141" s="419">
        <f>Scenarios!E63</f>
        <v>2.6082247836078256</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316</v>
      </c>
      <c r="C144" s="418">
        <f>Scenarios!C66</f>
        <v>0.26997816308147637</v>
      </c>
      <c r="D144" s="418">
        <f>Scenarios!D66</f>
        <v>2.9770963875772463</v>
      </c>
      <c r="E144" s="419">
        <f>Scenarios!E66</f>
        <v>3.2470745506587226</v>
      </c>
      <c r="F144" s="420">
        <f>E24</f>
        <v>0.1174</v>
      </c>
    </row>
    <row r="145" spans="1:6">
      <c r="B145" s="417" t="s">
        <v>315</v>
      </c>
      <c r="C145" s="418">
        <f>Scenarios!C67</f>
        <v>0.28684217103797521</v>
      </c>
      <c r="D145" s="418">
        <f>Scenarios!D67</f>
        <v>3.2315853309966602</v>
      </c>
      <c r="E145" s="419">
        <f>Scenarios!E67</f>
        <v>3.5184275020346356</v>
      </c>
      <c r="F145" s="420">
        <f>Scenarios!F67</f>
        <v>7.2499999999999995E-2</v>
      </c>
    </row>
    <row r="147" spans="1:6" ht="13.9">
      <c r="A147" s="354" t="s">
        <v>482</v>
      </c>
      <c r="B147" s="354"/>
      <c r="C147" s="354"/>
      <c r="D147" s="354"/>
      <c r="E147" s="354"/>
      <c r="F147" s="354"/>
    </row>
    <row r="149" spans="1:6">
      <c r="B149" s="473" t="s">
        <v>530</v>
      </c>
      <c r="C149" s="472"/>
      <c r="D149" s="472"/>
      <c r="E149" s="472"/>
      <c r="F149" s="472"/>
    </row>
    <row r="151" spans="1:6">
      <c r="B151" s="378" t="s">
        <v>387</v>
      </c>
    </row>
    <row r="152" spans="1:6">
      <c r="B152" s="474" t="s">
        <v>531</v>
      </c>
      <c r="C152" s="474"/>
      <c r="D152" s="474"/>
      <c r="E152" s="474"/>
      <c r="F152" s="474"/>
    </row>
    <row r="153" spans="1:6">
      <c r="B153" s="421" t="s">
        <v>388</v>
      </c>
    </row>
    <row r="154" spans="1:6">
      <c r="B154" s="421" t="s">
        <v>389</v>
      </c>
    </row>
    <row r="155" spans="1:6">
      <c r="B155" s="421" t="s">
        <v>390</v>
      </c>
    </row>
    <row r="157" spans="1:6">
      <c r="B157" s="352" t="s">
        <v>532</v>
      </c>
    </row>
    <row r="158" spans="1:6" ht="24.5" customHeight="1">
      <c r="B158" s="468" t="s">
        <v>446</v>
      </c>
      <c r="C158" s="468"/>
      <c r="D158" s="468"/>
      <c r="E158" s="468"/>
      <c r="F158" s="468"/>
    </row>
    <row r="160" spans="1:6">
      <c r="B160" s="352" t="s">
        <v>533</v>
      </c>
    </row>
    <row r="161" spans="2:6">
      <c r="B161" s="469" t="s">
        <v>391</v>
      </c>
      <c r="C161" s="469"/>
      <c r="D161" s="469"/>
      <c r="E161" s="469"/>
      <c r="F161" s="469"/>
    </row>
    <row r="162" spans="2:6">
      <c r="B162" s="469" t="s">
        <v>392</v>
      </c>
      <c r="C162" s="469"/>
      <c r="D162" s="469"/>
      <c r="E162" s="469"/>
      <c r="F162" s="469"/>
    </row>
    <row r="164" spans="2:6">
      <c r="B164" s="352" t="s">
        <v>534</v>
      </c>
    </row>
    <row r="165" spans="2:6">
      <c r="B165" s="421" t="s">
        <v>393</v>
      </c>
    </row>
    <row r="166" spans="2:6">
      <c r="B166" s="421" t="s">
        <v>394</v>
      </c>
    </row>
    <row r="167" spans="2:6">
      <c r="B167" s="421" t="s">
        <v>395</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BD1D6-843C-45EB-98C9-9C3413DFFADA}">
  <dimension ref="B2:E2"/>
  <sheetViews>
    <sheetView showGridLines="0" tabSelected="1"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2025-10-02T02:05:32Z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