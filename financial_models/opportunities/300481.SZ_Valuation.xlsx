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6B3BE1F-E88B-4421-AABC-22C70C5A66D7}" xr6:coauthVersionLast="47" xr6:coauthVersionMax="47" xr10:uidLastSave="{00000000-0000-0000-0000-000000000000}"/>
  <bookViews>
    <workbookView xWindow="368" yWindow="368" windowWidth="12689"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F25" i="4"/>
  <c r="G25" i="4"/>
  <c r="H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J94" i="2"/>
  <c r="K94" i="2"/>
  <c r="N94" i="2"/>
  <c r="Q92" i="2"/>
  <c r="Q94" i="2"/>
  <c r="L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<sst xmlns="http://schemas.openxmlformats.org/spreadsheetml/2006/main" count="836" uniqueCount="560">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</sst>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BF6ECF6-FF31-4076-9FF8-802DCDCD13A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291855438</v>
          </cell>
        </row>
        <row r="12">
          <cell r="C12">
            <v>15.19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14.61</v>
      </c>
      <c r="D12" s="50"/>
      <c r="E12" s="48"/>
    </row>
    <row r="13" spans="1:10">
      <c r="B13" s="1" t="s">
        <v>464</v>
      </c>
      <c r="C13" s="48" t="s">
        <v>394</v>
      </c>
      <c r="D13" s="48"/>
      <c r="E13" s="5"/>
    </row>
    <row r="14" spans="1:10">
      <c r="B14" s="4" t="s">
        <v>465</v>
      </c>
      <c r="C14" s="35">
        <f>Thesis!C12*Common_Shares/1000000</f>
        <v>4264.0079491799997</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-0.12924792193563561</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174475161</v>
      </c>
      <c r="D41" s="1" t="str">
        <f>Reporting_currency</f>
        <v>CNY</v>
      </c>
    </row>
    <row r="42" spans="1:6">
      <c r="B42" s="47"/>
      <c r="C42" s="76"/>
    </row>
    <row r="43" spans="1:6" ht="24.6" customHeight="1">
      <c r="B43" s="373" t="s">
        <v>229</v>
      </c>
      <c r="C43" s="373"/>
      <c r="D43" s="373"/>
      <c r="E43" s="373"/>
      <c r="F43" s="373"/>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-43159598.703249998</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3.0365514711258861E-2</v>
      </c>
      <c r="F69" s="314"/>
    </row>
    <row r="70" spans="1:6">
      <c r="B70" s="227" t="s">
        <v>434</v>
      </c>
      <c r="C70" s="92">
        <f>Normalized_FCF!C94</f>
        <v>2.4640657084188916E-2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2" t="s">
        <v>352</v>
      </c>
      <c r="C116" s="372"/>
      <c r="D116" s="372"/>
      <c r="E116" s="372"/>
      <c r="F116" s="372"/>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2.4640657084188916E-2</v>
      </c>
      <c r="E94" s="268"/>
      <c r="G94" s="23">
        <f t="shared" ref="G94:Q94" si="39">IF(G$4="","",(G90*(1-dividend_tax_rate))/Market_Price)</f>
        <v>2.4640657084188916E-2</v>
      </c>
      <c r="H94" s="23">
        <f t="shared" si="39"/>
        <v>2.4640657084188916E-2</v>
      </c>
      <c r="I94" s="23">
        <f t="shared" si="39"/>
        <v>2.4640657084188916E-2</v>
      </c>
      <c r="J94" s="23">
        <f t="shared" si="39"/>
        <v>2.4640657084188916E-2</v>
      </c>
      <c r="K94" s="23">
        <f t="shared" si="39"/>
        <v>1.2320328542094458E-2</v>
      </c>
      <c r="L94" s="23">
        <f t="shared" si="39"/>
        <v>1.2320328542094458E-2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3.0365514711258861E-2</v>
      </c>
      <c r="D126" s="27"/>
      <c r="E126" s="265"/>
      <c r="F126" s="27"/>
      <c r="G126" s="77">
        <f t="shared" ref="G126" si="50">IF(G$4="","",G125/Market_Price)</f>
        <v>3.4601378473574668E-2</v>
      </c>
      <c r="H126" s="77">
        <f t="shared" ref="H126" si="51">IF(H$4="","",H125/Market_Price)</f>
        <v>4.5501571967725439E-2</v>
      </c>
      <c r="I126" s="77">
        <f t="shared" ref="I126" si="52">IF(I$4="","",I125/Market_Price)</f>
        <v>8.9495220741803716E-2</v>
      </c>
      <c r="J126" s="77">
        <f t="shared" ref="J126" si="53">IF(J$4="","",J125/Market_Price)</f>
        <v>5.7954066175014321E-2</v>
      </c>
      <c r="K126" s="77">
        <f t="shared" ref="K126" si="54">IF(K$4="","",K125/Market_Price)</f>
        <v>4.3337895502342037E-2</v>
      </c>
      <c r="L126" s="77">
        <f t="shared" ref="L126" si="55">IF(L$4="","",L125/Market_Price)</f>
        <v>3.6004117779025326E-2</v>
      </c>
      <c r="M126" s="77">
        <f t="shared" ref="M126" si="56">IF(M$4="","",M125/Market_Price)</f>
        <v>2.538874001406926E-2</v>
      </c>
      <c r="N126" s="77">
        <f t="shared" ref="N126" si="57">IF(N$4="","",N125/Market_Price)</f>
        <v>2.3079747545715859E-2</v>
      </c>
      <c r="O126" s="77">
        <f t="shared" ref="O126" si="58">IF(O$4="","",O125/Market_Price)</f>
        <v>1.5269818625108627E-2</v>
      </c>
      <c r="P126" s="77">
        <f t="shared" ref="P126" si="59">IF(P$4="","",P125/Market_Price)</f>
        <v>1.4930575589626439E-2</v>
      </c>
      <c r="Q126" s="77" t="str">
        <f t="shared" ref="Q126" si="60">IF(Q$4="","",Q125/Market_Price)</f>
        <v/>
      </c>
    </row>
    <row r="127" spans="1:17" ht="15.75" customHeight="1">
      <c r="B127" s="2" t="s">
        <v>375</v>
      </c>
      <c r="C127" s="169"/>
      <c r="G127" s="23">
        <f>IF(G$4="","",(Data!C47*$C$3)/(Market_Price*Common_Shares))</f>
        <v>4.4917876862033683E-2</v>
      </c>
      <c r="H127" s="23">
        <f>IF(H$4="","",(Data!D47*$C$3)/(Market_Price*Common_Shares))</f>
        <v>5.5131015655167211E-2</v>
      </c>
      <c r="I127" s="23">
        <f>IF(I$4="","",(Data!E47*$C$3)/(Market_Price*Common_Shares))</f>
        <v>9.9015256310953301E-2</v>
      </c>
      <c r="J127" s="23">
        <f>IF(J$4="","",(Data!F47*$C$3)/(Market_Price*Common_Shares))</f>
        <v>5.9190690544687279E-2</v>
      </c>
      <c r="K127" s="23">
        <f>IF(K$4="","",(Data!G47*$C$3)/(Market_Price*Common_Shares))</f>
        <v>4.189749717383992E-2</v>
      </c>
      <c r="L127" s="23">
        <f>IF(L$4="","",(Data!H47*$C$3)/(Market_Price*Common_Shares))</f>
        <v>3.3940010366967262E-2</v>
      </c>
      <c r="M127" s="23">
        <f>IF(M$4="","",(Data!I47*$C$3)/(Market_Price*Common_Shares))</f>
        <v>2.4799752078402151E-2</v>
      </c>
      <c r="N127" s="23">
        <f>IF(N$4="","",(Data!J47*$C$3)/(Market_Price*Common_Shares))</f>
        <v>1.7262192021512295E-2</v>
      </c>
      <c r="O127" s="23">
        <f>IF(O$4="","",(Data!K47*$C$3)/(Market_Price*Common_Shares))</f>
        <v>1.5146805486706558E-2</v>
      </c>
      <c r="P127" s="23">
        <f>IF(P$4="","",(Data!L47*$C$3)/(Market_Price*Common_Shares))</f>
        <v>1.3482527397974405E-2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-14.61</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14.61</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14.61</v>
      </c>
      <c r="D86" t="str">
        <f>Market_currency</f>
        <v>CNY</v>
      </c>
    </row>
    <row r="87" spans="2:8" ht="13.15">
      <c r="B87" s="100" t="s">
        <v>293</v>
      </c>
      <c r="C87" s="237">
        <f ca="1">IRR(OFFSET($I$3, 0, 0, $C$76 + 1, 1))</f>
        <v>-0.12924792193563561</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14.61</v>
      </c>
      <c r="D12" s="50"/>
      <c r="E12" s="48"/>
    </row>
    <row r="13" spans="1:10">
      <c r="B13" s="1" t="s">
        <v>485</v>
      </c>
      <c r="C13" s="32" t="str">
        <f>Market_currency</f>
        <v>CNY</v>
      </c>
      <c r="D13" s="48"/>
      <c r="E13" s="5"/>
    </row>
    <row r="14" spans="1:10">
      <c r="B14" s="4" t="s">
        <v>486</v>
      </c>
      <c r="C14" s="35">
        <f>投资主题!C12*Common_Shares/1000000</f>
        <v>4264.0079491799997</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-0.12924792193563561</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174475161</v>
      </c>
      <c r="D41" s="1" t="str">
        <f>Reporting_currency</f>
        <v>CNY</v>
      </c>
    </row>
    <row r="42" spans="1:6">
      <c r="B42" s="47"/>
      <c r="C42" s="76"/>
    </row>
    <row r="43" spans="1:6" ht="24.6" customHeight="1">
      <c r="B43" s="373" t="s">
        <v>495</v>
      </c>
      <c r="C43" s="373"/>
      <c r="D43" s="373"/>
      <c r="E43" s="373"/>
      <c r="F43" s="373"/>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-43159598.703249998</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3.0365514711258861E-2</v>
      </c>
      <c r="F69" s="314"/>
    </row>
    <row r="70" spans="1:6">
      <c r="B70" s="227" t="s">
        <v>434</v>
      </c>
      <c r="C70" s="92">
        <f>Normalized_FCF!C94</f>
        <v>2.4640657084188916E-2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2" t="s">
        <v>516</v>
      </c>
      <c r="C116" s="372"/>
      <c r="D116" s="372"/>
      <c r="E116" s="372"/>
      <c r="F116" s="372"/>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2061B-6478-44F3-88C7-9D45EC21E5A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