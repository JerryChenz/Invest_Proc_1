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4B4D18-03D5-483E-8ED4-A589CE6E193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<sst xmlns="http://schemas.openxmlformats.org/spreadsheetml/2006/main" count="686" uniqueCount="465">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</sst>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14.28</v>
      </c>
      <c r="D12" s="50"/>
      <c r="E12" s="48"/>
    </row>
    <row r="13" spans="1:10">
      <c r="B13" s="1" t="s">
        <v>413</v>
      </c>
      <c r="C13" s="48" t="s">
        <v>411</v>
      </c>
      <c r="D13" s="48"/>
      <c r="E13" s="5"/>
    </row>
    <row r="14" spans="1:10">
      <c r="B14" s="4" t="s">
        <v>417</v>
      </c>
      <c r="C14" s="35">
        <f>Thesis!C12*Common_Shares/1000000</f>
        <v>4167.6956546399997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-7.6391321062616813E-2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3.1067238790720722E-2</v>
      </c>
      <c r="F69" s="314"/>
    </row>
    <row r="70" spans="1:6">
      <c r="B70" s="227" t="s">
        <v>454</v>
      </c>
      <c r="C70" s="92">
        <f>Normalized_FCF!C94</f>
        <v>2.5210084033613449E-2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2.5210084033613449E-2</v>
      </c>
      <c r="E94" s="268"/>
      <c r="G94" s="23">
        <f t="shared" ref="G94:Q94" si="39">IF(G$4="","",(G90*(1-dividend_tax_rate))/Market_Price)</f>
        <v>2.5210084033613449E-2</v>
      </c>
      <c r="H94" s="23">
        <f t="shared" si="39"/>
        <v>2.5210084033613449E-2</v>
      </c>
      <c r="I94" s="23">
        <f t="shared" si="39"/>
        <v>2.5210084033613449E-2</v>
      </c>
      <c r="J94" s="23">
        <f t="shared" si="39"/>
        <v>2.5210084033613449E-2</v>
      </c>
      <c r="K94" s="23">
        <f t="shared" si="39"/>
        <v>1.2605042016806725E-2</v>
      </c>
      <c r="L94" s="23">
        <f t="shared" si="39"/>
        <v>1.2605042016806725E-2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3.1067238790720722E-2</v>
      </c>
      <c r="D126" s="27"/>
      <c r="E126" s="265"/>
      <c r="F126" s="27"/>
      <c r="G126" s="77">
        <f t="shared" ref="G126" si="50">IF(G$4="","",G125/Market_Price)</f>
        <v>3.5400990160989208E-2</v>
      </c>
      <c r="H126" s="77">
        <f t="shared" ref="H126" si="51">IF(H$4="","",H125/Market_Price)</f>
        <v>4.6553078882945985E-2</v>
      </c>
      <c r="I126" s="77">
        <f t="shared" ref="I126" si="52">IF(I$4="","",I125/Market_Price)</f>
        <v>9.1563387607685745E-2</v>
      </c>
      <c r="J126" s="77">
        <f t="shared" ref="J126" si="53">IF(J$4="","",J125/Market_Price)</f>
        <v>5.9293340813512549E-2</v>
      </c>
      <c r="K126" s="77">
        <f t="shared" ref="K126" si="54">IF(K$4="","",K125/Market_Price)</f>
        <v>4.4339401490841542E-2</v>
      </c>
      <c r="L126" s="77">
        <f t="shared" ref="L126" si="55">IF(L$4="","",L125/Market_Price)</f>
        <v>3.683614571089356E-2</v>
      </c>
      <c r="M126" s="77">
        <f t="shared" ref="M126" si="56">IF(M$4="","",M125/Market_Price)</f>
        <v>2.5975454594226323E-2</v>
      </c>
      <c r="N126" s="77">
        <f t="shared" ref="N126" si="57">IF(N$4="","",N125/Market_Price)</f>
        <v>2.3613103056226097E-2</v>
      </c>
      <c r="O126" s="77">
        <f t="shared" ref="O126" si="58">IF(O$4="","",O125/Market_Price)</f>
        <v>1.5622692584932566E-2</v>
      </c>
      <c r="P126" s="77">
        <f t="shared" ref="P126" si="59">IF(P$4="","",P125/Market_Price)</f>
        <v>1.5275609899470747E-2</v>
      </c>
      <c r="Q126" s="77" t="str">
        <f t="shared" ref="Q126" si="60">IF(Q$4="","",Q125/Market_Price)</f>
        <v/>
      </c>
    </row>
    <row r="127" spans="1:17" ht="15.75" customHeight="1">
      <c r="B127" s="2" t="s">
        <v>391</v>
      </c>
      <c r="C127" s="169"/>
      <c r="G127" s="23">
        <f>IF(G$4="","",(Data!C47*$C$3)/(Market_Price*Common_Shares))</f>
        <v>4.5955895024811767E-2</v>
      </c>
      <c r="H127" s="23">
        <f>IF(H$4="","",(Data!D47*$C$3)/(Market_Price*Common_Shares))</f>
        <v>5.6405051731231996E-2</v>
      </c>
      <c r="I127" s="23">
        <f>IF(I$4="","",(Data!E47*$C$3)/(Market_Price*Common_Shares))</f>
        <v>0.10130342399881145</v>
      </c>
      <c r="J127" s="23">
        <f>IF(J$4="","",(Data!F47*$C$3)/(Market_Price*Common_Shares))</f>
        <v>6.055854263710652E-2</v>
      </c>
      <c r="K127" s="23">
        <f>IF(K$4="","",(Data!G47*$C$3)/(Market_Price*Common_Shares))</f>
        <v>4.2865716646344622E-2</v>
      </c>
      <c r="L127" s="23">
        <f>IF(L$4="","",(Data!H47*$C$3)/(Market_Price*Common_Shares))</f>
        <v>3.4724338337632471E-2</v>
      </c>
      <c r="M127" s="23">
        <f>IF(M$4="","",(Data!I47*$C$3)/(Market_Price*Common_Shares))</f>
        <v>2.5372855592819009E-2</v>
      </c>
      <c r="N127" s="23">
        <f>IF(N$4="","",(Data!J47*$C$3)/(Market_Price*Common_Shares))</f>
        <v>1.7661108223690099E-2</v>
      </c>
      <c r="O127" s="23">
        <f>IF(O$4="","",(Data!K47*$C$3)/(Market_Price*Common_Shares))</f>
        <v>1.5496836705937172E-2</v>
      </c>
      <c r="P127" s="23">
        <f>IF(P$4="","",(Data!L47*$C$3)/(Market_Price*Common_Shares))</f>
        <v>1.3794098409272133E-2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-14.28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14.28</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14.28</v>
      </c>
      <c r="D86" t="str">
        <f>Market_currency</f>
        <v>CNY</v>
      </c>
    </row>
    <row r="87" spans="2:8" ht="13.15">
      <c r="B87" s="100" t="s">
        <v>297</v>
      </c>
      <c r="C87" s="237">
        <f ca="1">IRR(OFFSET($I$3, 0, 0, $C$76 + 1, 1))</f>
        <v>-7.6391321062616813E-2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