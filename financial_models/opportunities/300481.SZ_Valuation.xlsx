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67ABB71-F6D1-46FF-99D2-26B25B4A8751}"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5" i="4"/>
  <c r="D25" i="4"/>
  <c r="E25" i="4"/>
  <c r="F25" i="4"/>
  <c r="G25" i="4"/>
  <c r="H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31" i="4" l="1"/>
  <c r="Q120" i="2"/>
  <c r="Q117" i="2"/>
  <c r="Q118" i="2"/>
  <c r="I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<sst xmlns="http://schemas.openxmlformats.org/spreadsheetml/2006/main" count="685" uniqueCount="465">
  <si>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</si>
  <si>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</si>
  <si>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</si>
  <si>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</si>
  <si>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</si>
  <si>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</si>
  <si>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</si>
  <si>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</si>
  <si>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</si>
  <si>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</si>
  <si>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</si>
  <si>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</si>
  <si>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</si>
  <si>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</si>
  <si>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</si>
  <si>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</si>
  <si>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</si>
  <si>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</si>
  <si>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</si>
  <si>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</si>
  <si>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</si>
  <si>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</si>
  <si>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</si>
  <si>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</si>
  <si>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</si>
  <si>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</si>
  <si>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</si>
  <si>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</si>
  <si>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</si>
  <si>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</si>
  <si>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</si>
  <si>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</si>
  <si>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</si>
  <si>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</si>
  <si>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</si>
  <si>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</si>
  <si>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</si>
  <si>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</si>
  <si>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</si>
  <si>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</si>
  <si>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</si>
  <si>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</si>
  <si>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</si>
  <si>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</si>
  <si>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</si>
  <si>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</si>
  <si>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</si>
  <si>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</si>
  <si>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</si>
  <si>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</si>
  <si>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</si>
  <si>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</si>
  <si>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</si>
  <si>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</si>
  <si>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</si>
  <si>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</si>
  <si>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</si>
  <si>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</si>
  <si>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</si>
  <si>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</si>
  <si>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</si>
  <si>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</si>
  <si>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</si>
  <si>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</si>
  <si>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</si>
  <si>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</si>
  <si>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</si>
  <si>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</si>
  <si>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</si>
  <si>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</si>
  <si>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</si>
  <si>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</si>
  <si>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</si>
  <si>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</si>
  <si>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</si>
  <si>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</si>
  <si>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</si>
  <si>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</si>
  <si>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</si>
  <si>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</si>
  <si>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</si>
  <si>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</si>
  <si>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</si>
  <si>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</si>
  <si>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</si>
  <si>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</si>
  <si>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</si>
  <si>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</si>
  <si>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</si>
  <si>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</si>
  <si>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</si>
  <si>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</si>
  <si>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</si>
  <si>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</si>
  <si>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</si>
  <si>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</si>
  <si>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</si>
  <si>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</si>
  <si>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</si>
  <si>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</si>
  <si>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</si>
  <si>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</si>
  <si>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</si>
  <si>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</si>
  <si>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</si>
  <si>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</si>
  <si>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</si>
  <si>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</si>
  <si>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</si>
  <si>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</si>
  <si>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</si>
  <si>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</si>
  <si>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</si>
  <si>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</si>
  <si>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</si>
  <si>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</si>
  <si>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</si>
  <si>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</si>
  <si>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</si>
  <si>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</si>
  <si>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</si>
  <si>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</si>
  <si>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</si>
  <si>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</si>
  <si>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</si>
  <si>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</si>
  <si>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</si>
  <si>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</si>
  <si>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</si>
  <si>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</si>
  <si>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</si>
  <si>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</si>
  <si>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</si>
  <si>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</si>
  <si>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</si>
  <si>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</si>
  <si>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</si>
  <si>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</si>
  <si>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</si>
  <si>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</si>
  <si>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</si>
  <si>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</si>
  <si>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</si>
  <si>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</si>
  <si>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</si>
  <si>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</si>
  <si>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</si>
  <si>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</si>
  <si>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</si>
  <si>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</si>
  <si>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</si>
  <si>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</si>
  <si>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</si>
  <si>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</si>
  <si>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</si>
  <si>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</si>
  <si>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</si>
  <si>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</si>
  <si>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</si>
  <si>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</si>
  <si>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</si>
  <si>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</si>
  <si>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</si>
  <si>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</si>
  <si>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</si>
  <si>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</si>
  <si>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</si>
  <si>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</si>
  <si>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</si>
  <si>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</si>
  <si>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</si>
  <si>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</si>
  <si>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</si>
  <si>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</si>
  <si>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</si>
  <si>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</si>
  <si>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</si>
  <si>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</si>
  <si>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</si>
  <si>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</si>
  <si>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</si>
  <si>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</si>
  <si>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</si>
  <si>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</si>
  <si>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</si>
  <si>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</si>
  <si>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</si>
  <si>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</si>
  <si>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</si>
  <si>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</si>
  <si>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</si>
  <si>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</si>
  <si>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</si>
  <si>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</si>
  <si>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</si>
  <si>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</si>
  <si>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</si>
  <si>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</si>
  <si>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</si>
  <si>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</si>
  <si>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</si>
  <si>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</si>
  <si>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</si>
  <si>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</si>
  <si>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</si>
  <si>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</si>
  <si>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</si>
  <si>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</si>
  <si>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</si>
  <si>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</si>
  <si>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</si>
  <si>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</si>
  <si>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</si>
  <si>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</si>
  <si>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</si>
  <si>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</si>
  <si>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</si>
  <si>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</si>
  <si>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</si>
  <si>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</si>
  <si>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</si>
  <si>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</si>
  <si>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</si>
  <si>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</si>
  <si>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</si>
  <si>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</si>
  <si>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</si>
  <si>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</si>
  <si>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</si>
  <si>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</si>
  <si>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</si>
  <si>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</si>
  <si>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</si>
  <si>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</si>
  <si>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</si>
  <si>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</si>
  <si>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</si>
  <si>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</si>
  <si>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</si>
  <si>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</si>
  <si>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</si>
  <si>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</si>
  <si>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</si>
  <si>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</si>
  <si>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</si>
  <si>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</si>
  <si>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</si>
  <si>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</si>
  <si>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</si>
  <si>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</si>
  <si>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</si>
  <si>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</si>
  <si>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</si>
  <si>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</si>
  <si>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</si>
  <si>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</si>
  <si>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</si>
  <si>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</si>
  <si>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</si>
  <si>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</si>
  <si>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</si>
  <si>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</si>
  <si>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</si>
  <si>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</si>
  <si>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</si>
  <si>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</si>
  <si>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</si>
  <si>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</si>
  <si>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</si>
  <si>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</si>
  <si>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</si>
  <si>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</si>
  <si>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</si>
  <si>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</si>
  <si>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</si>
  <si>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</si>
  <si>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</si>
  <si>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</si>
  <si>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</si>
  <si>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</si>
  <si>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</si>
  <si>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</si>
  <si>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</si>
  <si>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</si>
  <si>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</si>
  <si>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</si>
  <si>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</si>
  <si>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</si>
  <si>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</si>
  <si>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</si>
  <si>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</si>
  <si>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</si>
  <si>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</si>
  <si>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</si>
  <si>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</si>
  <si>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</si>
  <si>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</si>
  <si>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</si>
  <si>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</si>
  <si>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</si>
  <si>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</si>
  <si>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</si>
  <si>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</si>
  <si>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</si>
  <si>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</si>
  <si>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</si>
  <si>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</si>
  <si>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</si>
  <si>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</si>
  <si>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</si>
  <si>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</si>
  <si>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</si>
  <si>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</si>
  <si>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</si>
  <si>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</si>
  <si>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</si>
  <si>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</si>
  <si>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</si>
  <si>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</si>
  <si>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</si>
  <si>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</si>
  <si>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</si>
  <si>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</si>
  <si>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</si>
  <si>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</si>
  <si>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</si>
  <si>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</si>
  <si>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</si>
  <si>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</si>
  <si>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</si>
  <si>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</si>
  <si>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</si>
  <si>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</si>
  <si>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</si>
  <si>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</si>
  <si>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</si>
  <si>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</si>
  <si>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</si>
  <si>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</si>
  <si>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</si>
  <si>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</si>
  <si>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</si>
  <si>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</si>
  <si>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</si>
  <si>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</si>
  <si>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</si>
  <si>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</si>
  <si>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</si>
  <si>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</si>
  <si>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</si>
  <si>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</si>
  <si>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</si>
  <si>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</si>
  <si>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</si>
  <si>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</si>
  <si>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</si>
  <si>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</si>
  <si>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</si>
  <si>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</si>
  <si>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</si>
  <si>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</si>
  <si>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</si>
  <si>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</si>
  <si>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</si>
  <si>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</si>
  <si>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</si>
  <si>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</si>
  <si>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</si>
  <si>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</si>
  <si>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</si>
  <si>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</si>
  <si>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</si>
  <si>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</si>
  <si>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</si>
  <si>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</si>
  <si>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</si>
  <si>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</si>
  <si>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</si>
  <si>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</si>
  <si>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</si>
  <si>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</si>
  <si>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</si>
  <si>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</si>
  <si>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</si>
  <si>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</si>
  <si>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</si>
  <si>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</si>
  <si>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</si>
  <si>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</si>
  <si>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</si>
  <si>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</si>
  <si>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</si>
  <si>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</si>
  <si>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</si>
  <si>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</si>
  <si>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</si>
  <si>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</si>
  <si>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</si>
  <si>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</si>
  <si>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</si>
  <si>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</si>
  <si>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</si>
  <si>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</si>
  <si>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</si>
  <si>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</si>
  <si>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</si>
  <si>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</si>
  <si>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</si>
  <si>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</si>
  <si>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</si>
  <si>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</si>
  <si>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</si>
  <si>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</si>
  <si>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</si>
  <si>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</si>
  <si>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</si>
  <si>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</si>
  <si>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</si>
  <si>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</si>
  <si>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</si>
  <si>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</si>
  <si>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</si>
  <si>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</si>
  <si>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</si>
  <si>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</si>
  <si>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</si>
  <si>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</si>
  <si>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</si>
  <si>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</si>
  <si>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</si>
  <si>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</si>
  <si>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</si>
  <si>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</si>
  <si>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</si>
  <si>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</si>
  <si>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</si>
  <si>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</si>
  <si>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</si>
  <si>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</si>
  <si>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</si>
  <si>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</si>
  <si>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</si>
  <si>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</si>
  <si>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</si>
  <si>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</si>
  <si>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</si>
  <si>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</si>
  <si>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</si>
  <si>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</si>
  <si>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</si>
  <si>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</si>
  <si>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</si>
  <si>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</si>
  <si>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</si>
  <si>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</si>
  <si>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</si>
  <si>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N</t>
  </si>
  <si>
    <t>濮阳惠成</t>
  </si>
  <si>
    <t>300481.SZ</t>
  </si>
  <si>
    <t/>
  </si>
  <si>
    <t>IND_01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</si>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</sst>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291855438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13.56</v>
      </c>
      <c r="D12" s="50"/>
      <c r="E12" s="48"/>
    </row>
    <row r="13" spans="1:10">
      <c r="B13" s="1" t="s">
        <v>416</v>
      </c>
      <c r="C13" s="48" t="s">
        <v>414</v>
      </c>
      <c r="D13" s="48"/>
      <c r="E13" s="5"/>
    </row>
    <row r="14" spans="1:10">
      <c r="B14" s="4" t="s">
        <v>420</v>
      </c>
      <c r="C14" s="35">
        <f>Thesis!C12*Common_Shares/1000000</f>
        <v>3957.55973928</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461</v>
      </c>
    </row>
    <row r="22" spans="2:6">
      <c r="B22" s="2" t="s">
        <v>56</v>
      </c>
      <c r="C22" s="48" t="s">
        <v>460</v>
      </c>
      <c r="D22" s="1" t="str">
        <f>IF(valuation_method="DDM","DDM Terminal Value","")</f>
        <v/>
      </c>
      <c r="E22" s="313"/>
    </row>
    <row r="23" spans="2:6">
      <c r="B23" s="1" t="s">
        <v>434</v>
      </c>
      <c r="C23" s="262" t="s">
        <v>456</v>
      </c>
    </row>
    <row r="24" spans="2:6">
      <c r="B24" s="1" t="s">
        <v>435</v>
      </c>
      <c r="C24" s="262" t="s">
        <v>456</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10.251430255232371</v>
      </c>
      <c r="D26" s="1" t="s">
        <v>399</v>
      </c>
      <c r="E26" s="301">
        <f ca="1">Scenarios!C87</f>
        <v>-5.661661689545272E-2</v>
      </c>
    </row>
    <row r="27" spans="2:6">
      <c r="D27" s="5"/>
      <c r="E27" s="5"/>
    </row>
    <row r="28" spans="2:6">
      <c r="B28" s="45" t="s">
        <v>433</v>
      </c>
      <c r="C28" s="309" t="str">
        <f>C145&amp;" ("&amp;Market_currency&amp;")"</f>
        <v>300481.SZ (CNY)</v>
      </c>
      <c r="D28" s="309" t="str">
        <f>IF(D11="","",D145&amp;" ("&amp;D13&amp;")")</f>
        <v/>
      </c>
      <c r="E28" s="305" t="s">
        <v>429</v>
      </c>
      <c r="F28" s="303">
        <v>3</v>
      </c>
    </row>
    <row r="29" spans="2:6">
      <c r="B29" s="1" t="s">
        <v>425</v>
      </c>
      <c r="C29" s="310">
        <f>C149</f>
        <v>4.9796479824958464</v>
      </c>
      <c r="D29" s="310" t="str">
        <f>D149</f>
        <v/>
      </c>
      <c r="E29" s="306" t="s">
        <v>424</v>
      </c>
      <c r="F29" s="302">
        <v>0.33699999999999997</v>
      </c>
    </row>
    <row r="30" spans="2:6">
      <c r="B30" s="1" t="s">
        <v>426</v>
      </c>
      <c r="C30" s="311">
        <f>C157</f>
        <v>6.9896525426428742</v>
      </c>
      <c r="D30" s="311" t="str">
        <f>D157</f>
        <v/>
      </c>
      <c r="E30" s="307" t="s">
        <v>437</v>
      </c>
      <c r="F30" s="312">
        <v>0.187</v>
      </c>
    </row>
    <row r="31" spans="2:6">
      <c r="B31" s="1" t="s">
        <v>427</v>
      </c>
      <c r="C31" s="311">
        <f>C165</f>
        <v>9.6765033007385046</v>
      </c>
      <c r="D31" s="311" t="str">
        <f>D165</f>
        <v/>
      </c>
      <c r="E31" s="307" t="s">
        <v>436</v>
      </c>
      <c r="F31" s="312">
        <v>0.06</v>
      </c>
    </row>
    <row r="32" spans="2:6">
      <c r="B32" s="1" t="s">
        <v>428</v>
      </c>
      <c r="C32" s="311">
        <f>C173</f>
        <v>8.9996639027078977</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v>
      </c>
    </row>
    <row r="40" spans="1:6" ht="24.5" customHeight="1">
      <c r="B40" s="359" t="s">
        <v>231</v>
      </c>
      <c r="C40" s="359"/>
      <c r="D40" s="359"/>
      <c r="E40" s="359"/>
      <c r="F40" s="359"/>
    </row>
    <row r="41" spans="1:6">
      <c r="B41" s="47" t="s">
        <v>232</v>
      </c>
      <c r="C41" s="349">
        <f>Normalized_FCF!C8</f>
        <v>174475161</v>
      </c>
      <c r="D41" s="1" t="str">
        <f>Reporting_currency</f>
        <v>CNY</v>
      </c>
    </row>
    <row r="42" spans="1:6">
      <c r="B42" s="47"/>
      <c r="C42" s="76"/>
    </row>
    <row r="43" spans="1:6" ht="24.5" customHeight="1">
      <c r="B43" s="359" t="s">
        <v>233</v>
      </c>
      <c r="C43" s="359"/>
      <c r="D43" s="359"/>
      <c r="E43" s="359"/>
      <c r="F43" s="359"/>
    </row>
    <row r="44" spans="1:6">
      <c r="B44" s="47" t="s">
        <v>234</v>
      </c>
      <c r="C44" s="349">
        <f>Normalized_FCF!C9</f>
        <v>61093655</v>
      </c>
      <c r="D44" s="1" t="str">
        <f>Reporting_currency</f>
        <v>CNY</v>
      </c>
    </row>
    <row r="45" spans="1:6">
      <c r="B45" s="52" t="s">
        <v>235</v>
      </c>
      <c r="C45" s="349">
        <f>Normalized_FCF!C10</f>
        <v>-61093655</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3383184.8130000001</v>
      </c>
      <c r="D51" s="1" t="str">
        <f>Reporting_currency</f>
        <v>CNY</v>
      </c>
      <c r="E51" s="286"/>
      <c r="F51" s="286"/>
    </row>
    <row r="52" spans="2:6">
      <c r="B52" s="47" t="s">
        <v>341</v>
      </c>
      <c r="C52" s="350">
        <f>Normalized_FCF!C47</f>
        <v>-5219951</v>
      </c>
      <c r="D52" s="1" t="str">
        <f>Reporting_currency</f>
        <v>CNY</v>
      </c>
      <c r="E52" s="286"/>
      <c r="F52" s="286"/>
    </row>
    <row r="53" spans="2:6">
      <c r="B53" s="47" t="s">
        <v>238</v>
      </c>
      <c r="C53" s="349">
        <f>Normalized_FCF!C12</f>
        <v>-1836766.1869999999</v>
      </c>
      <c r="D53" s="1" t="str">
        <f>Reporting_currency</f>
        <v>CNY</v>
      </c>
    </row>
    <row r="55" spans="2:6">
      <c r="B55" s="1" t="s">
        <v>246</v>
      </c>
    </row>
    <row r="56" spans="2:6">
      <c r="B56" s="47" t="s">
        <v>265</v>
      </c>
      <c r="C56" s="349">
        <f>Normalized_FCF!C15</f>
        <v>0</v>
      </c>
      <c r="D56" s="1" t="str">
        <f>Reporting_currency</f>
        <v>CNY</v>
      </c>
    </row>
    <row r="58" spans="2:6">
      <c r="B58" s="359" t="s">
        <v>241</v>
      </c>
      <c r="C58" s="359"/>
      <c r="D58" s="359"/>
      <c r="E58" s="359"/>
      <c r="F58" s="359"/>
    </row>
    <row r="59" spans="2:6">
      <c r="B59" s="47" t="s">
        <v>239</v>
      </c>
      <c r="C59" s="349">
        <f>Normalized_FCF!C14</f>
        <v>-43159598.703249998</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147540552.86390811</v>
      </c>
      <c r="D67" s="1" t="str">
        <f>Reporting_currency</f>
        <v>CNY</v>
      </c>
    </row>
    <row r="68" spans="1:6">
      <c r="B68" s="47" t="s">
        <v>248</v>
      </c>
      <c r="C68" s="349">
        <f>Normalized_FCF!C19</f>
        <v>129478796.10975</v>
      </c>
      <c r="D68" s="1" t="str">
        <f>Reporting_currency</f>
        <v>CNY</v>
      </c>
    </row>
    <row r="69" spans="1:6">
      <c r="B69" s="227" t="s">
        <v>390</v>
      </c>
      <c r="C69" s="92">
        <f>Normalized_FCF!C125</f>
        <v>3.271682669111297E-2</v>
      </c>
      <c r="F69" s="314"/>
    </row>
    <row r="70" spans="1:6">
      <c r="B70" s="227" t="s">
        <v>308</v>
      </c>
      <c r="C70" s="92">
        <f>Normalized_FCF!C93</f>
        <v>2.9498525073746312E-2</v>
      </c>
      <c r="E70" s="47" t="s">
        <v>448</v>
      </c>
      <c r="F70" s="315">
        <f>Normalized_FCF!C92</f>
        <v>0.90163160847623214</v>
      </c>
    </row>
    <row r="72" spans="1:6">
      <c r="B72" s="210" t="s">
        <v>450</v>
      </c>
      <c r="C72" s="323" t="s">
        <v>452</v>
      </c>
      <c r="D72" s="323" t="s">
        <v>453</v>
      </c>
    </row>
    <row r="73" spans="1:6">
      <c r="B73" s="47" t="s">
        <v>451</v>
      </c>
      <c r="C73" s="92">
        <f>Normalized_FCF!C120</f>
        <v>7.1587241945726146E-2</v>
      </c>
      <c r="D73" s="92">
        <f>Normalized_FCF!G120</f>
        <v>7.2897649409175577E-2</v>
      </c>
    </row>
    <row r="74" spans="1:6">
      <c r="B74" s="259" t="str">
        <f>Normalized_FCF!B117</f>
        <v>Pre-tax Profit/Sales</v>
      </c>
      <c r="C74" s="322">
        <f>Normalized_FCF!C117</f>
        <v>0.12235120428336442</v>
      </c>
      <c r="D74" s="322">
        <f>Normalized_FCF!G117</f>
        <v>0.12459084820450472</v>
      </c>
    </row>
    <row r="75" spans="1:6">
      <c r="B75" s="259" t="str">
        <f>Normalized_FCF!B118</f>
        <v>Sales/Total Assets</v>
      </c>
      <c r="C75" s="324">
        <f>Normalized_FCF!C118</f>
        <v>0.50157874313934503</v>
      </c>
      <c r="D75" s="324">
        <f>Normalized_FCF!G118</f>
        <v>0.50157874313934503</v>
      </c>
    </row>
    <row r="76" spans="1:6">
      <c r="B76" s="259" t="str">
        <f>Normalized_FCF!B119</f>
        <v>Total Assets/Equity</v>
      </c>
      <c r="C76" s="324">
        <f>Normalized_FCF!C119</f>
        <v>1.1665094444773738</v>
      </c>
      <c r="D76" s="324">
        <f>Normalized_FCF!G119</f>
        <v>1.1665094444773738</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7.3940028321915312</v>
      </c>
      <c r="D93" s="1" t="str">
        <f>Market_currency</f>
        <v>CNY</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100067739.72</v>
      </c>
      <c r="D102" s="1" t="str">
        <f>Reporting_currency</f>
        <v>CNY</v>
      </c>
    </row>
    <row r="103" spans="2:6">
      <c r="B103" s="47" t="s">
        <v>281</v>
      </c>
      <c r="C103" s="223">
        <f>C102*scaling_factor*Exchange_Rate/Common_Shares</f>
        <v>0.34286748400418704</v>
      </c>
      <c r="D103" s="1" t="str">
        <f>Market_currency</f>
        <v>CNY</v>
      </c>
    </row>
    <row r="104" spans="2:6">
      <c r="B104" s="296" t="s">
        <v>404</v>
      </c>
      <c r="C104" s="325">
        <f>IF(BS!G31/BS!G27&gt;300%,"nm",BS!G31/BS!G27)</f>
        <v>4.1494671576720196E-2</v>
      </c>
    </row>
    <row r="105" spans="2:6">
      <c r="B105" s="296" t="s">
        <v>406</v>
      </c>
      <c r="C105" s="326">
        <f>IF(BS!C50&gt;30,"nm",BS!C50)</f>
        <v>0.57353573509526667</v>
      </c>
    </row>
    <row r="107" spans="2:6">
      <c r="B107" s="1" t="s">
        <v>254</v>
      </c>
    </row>
    <row r="108" spans="2:6">
      <c r="B108" s="47" t="s">
        <v>264</v>
      </c>
      <c r="C108" s="349">
        <f>BS!C66</f>
        <v>1012553160.92</v>
      </c>
      <c r="D108" s="1" t="str">
        <f>Reporting_currency</f>
        <v>CNY</v>
      </c>
    </row>
    <row r="109" spans="2:6">
      <c r="B109" s="47" t="s">
        <v>266</v>
      </c>
      <c r="C109" s="349">
        <f>DCF!C8</f>
        <v>787007506.71999991</v>
      </c>
      <c r="D109" s="1" t="str">
        <f>Reporting_currency</f>
        <v>CNY</v>
      </c>
    </row>
    <row r="110" spans="2:6">
      <c r="B110" s="47" t="s">
        <v>282</v>
      </c>
      <c r="C110" s="223">
        <f>C109*scaling_factor*Exchange_Rate/Common_Shares</f>
        <v>2.6965661908276655</v>
      </c>
      <c r="D110" s="1" t="str">
        <f>Market_currency</f>
        <v>CNY</v>
      </c>
    </row>
    <row r="112" spans="2:6">
      <c r="B112" s="1" t="s">
        <v>256</v>
      </c>
    </row>
    <row r="113" spans="1:6">
      <c r="B113" s="47" t="s">
        <v>257</v>
      </c>
      <c r="C113" s="349">
        <f>DCF!C9</f>
        <v>0</v>
      </c>
      <c r="D113" s="1" t="str">
        <f>Reporting_currency</f>
        <v>CNY</v>
      </c>
    </row>
    <row r="114" spans="1:6">
      <c r="B114" s="47" t="s">
        <v>283</v>
      </c>
      <c r="C114" s="223">
        <f>C113*scaling_factor*Exchange_Rate/Common_Shares</f>
        <v>0</v>
      </c>
      <c r="D114" s="1" t="str">
        <f>Market_currency</f>
        <v>CNY</v>
      </c>
    </row>
    <row r="116" spans="1:6" ht="24.5" customHeight="1">
      <c r="B116" s="358" t="s">
        <v>366</v>
      </c>
      <c r="C116" s="358"/>
      <c r="D116" s="358"/>
      <c r="E116" s="358"/>
      <c r="F116" s="358"/>
    </row>
    <row r="118" spans="1:6">
      <c r="B118" s="47" t="s">
        <v>449</v>
      </c>
      <c r="C118" s="223">
        <f>IF(valuation_method="DCF",DCF!C12,DDM!C7)</f>
        <v>9.7477015390150097</v>
      </c>
      <c r="D118" s="1" t="str">
        <f>Market_currency</f>
        <v>CNY</v>
      </c>
    </row>
    <row r="119" spans="1:6">
      <c r="B119" s="296" t="s">
        <v>405</v>
      </c>
      <c r="C119" s="223">
        <f>BS!D47</f>
        <v>3.275077370273292</v>
      </c>
      <c r="D119" s="1" t="str">
        <f>Market_currency</f>
        <v>CNY</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258</v>
      </c>
      <c r="C132" s="217">
        <f>Scenarios!C60</f>
        <v>10.251430255232371</v>
      </c>
      <c r="D132" s="212" t="str">
        <f>Market_currency</f>
        <v>CNY</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0.33699999999999997</v>
      </c>
    </row>
    <row r="143" spans="1:6">
      <c r="B143" s="212" t="s">
        <v>261</v>
      </c>
      <c r="C143" s="213">
        <f>Scenarios!C77</f>
        <v>0.4</v>
      </c>
      <c r="D143" s="212" t="str">
        <f>Market_currency</f>
        <v>CNY</v>
      </c>
    </row>
    <row r="145" spans="2:4">
      <c r="B145" s="210" t="s">
        <v>408</v>
      </c>
      <c r="C145" s="241" t="str">
        <f>C11</f>
        <v>300481.SZ</v>
      </c>
      <c r="D145" s="241" t="str">
        <f>IF(D11="","",D11)</f>
        <v/>
      </c>
    </row>
    <row r="146" spans="2:4">
      <c r="B146" s="1" t="s">
        <v>407</v>
      </c>
      <c r="C146" s="297">
        <f>F29</f>
        <v>0.33699999999999997</v>
      </c>
    </row>
    <row r="147" spans="2:4">
      <c r="B147" s="212" t="str">
        <f>"PV("&amp;C141&amp;" yrs of Dividends)"</f>
        <v>PV(3 yrs of Dividends)</v>
      </c>
      <c r="C147" s="216">
        <f>Scenarios!C81</f>
        <v>0.69031028314322296</v>
      </c>
    </row>
    <row r="148" spans="2:4">
      <c r="B148" s="212" t="str">
        <f>"+ PV(Equity Value realized at year "&amp;C141&amp;")"</f>
        <v>+ PV(Equity Value realized at year 3)</v>
      </c>
      <c r="C148" s="216">
        <f>Scenarios!C82</f>
        <v>4.2893376993526235</v>
      </c>
    </row>
    <row r="149" spans="2:4">
      <c r="B149" s="80" t="s">
        <v>260</v>
      </c>
      <c r="C149" s="215">
        <f>Scenarios!C83</f>
        <v>4.9796479824958464</v>
      </c>
      <c r="D149" s="300" t="str">
        <f>IF($D$11="","",C149*$E$25)</f>
        <v/>
      </c>
    </row>
    <row r="150" spans="2:4">
      <c r="B150" s="259" t="s">
        <v>416</v>
      </c>
      <c r="C150" s="298" t="str">
        <f>Market_currency</f>
        <v>CNY</v>
      </c>
      <c r="D150" s="298" t="str">
        <f>IF($D$11="","",D$13)</f>
        <v/>
      </c>
    </row>
    <row r="151" spans="2:4">
      <c r="B151" s="214" t="s">
        <v>262</v>
      </c>
      <c r="C151" s="92">
        <f>Scenarios!F83</f>
        <v>0.51424846499304677</v>
      </c>
    </row>
    <row r="153" spans="2:4">
      <c r="B153" s="210" t="s">
        <v>411</v>
      </c>
    </row>
    <row r="154" spans="2:4">
      <c r="B154" s="1" t="s">
        <v>410</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6.1296023972810385</v>
      </c>
    </row>
    <row r="157" spans="2:4">
      <c r="B157" s="80" t="s">
        <v>260</v>
      </c>
      <c r="C157" s="215">
        <f>Scenarios!C93</f>
        <v>6.9896525426428742</v>
      </c>
      <c r="D157" s="300" t="str">
        <f>IF($D$11="","",C157*$E$25)</f>
        <v/>
      </c>
    </row>
    <row r="158" spans="2:4">
      <c r="B158" s="259" t="s">
        <v>416</v>
      </c>
      <c r="C158" s="298" t="str">
        <f>Market_currency</f>
        <v>CNY</v>
      </c>
      <c r="D158" s="298" t="str">
        <f>IF($D$11="","",D$13)</f>
        <v/>
      </c>
    </row>
    <row r="159" spans="2:4">
      <c r="B159" s="214" t="s">
        <v>262</v>
      </c>
      <c r="C159" s="92">
        <f>Scenarios!F93</f>
        <v>0.31817781825366975</v>
      </c>
    </row>
    <row r="161" spans="2:4">
      <c r="B161" s="210" t="s">
        <v>400</v>
      </c>
    </row>
    <row r="162" spans="2:4">
      <c r="B162" s="1" t="s">
        <v>409</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8.6072985209538491</v>
      </c>
    </row>
    <row r="165" spans="2:4">
      <c r="B165" s="80" t="s">
        <v>401</v>
      </c>
      <c r="C165" s="215">
        <f>Scenarios!C99</f>
        <v>9.6765033007385046</v>
      </c>
      <c r="D165" s="300" t="str">
        <f>IF($D$11="","",C165*$E$25)</f>
        <v/>
      </c>
    </row>
    <row r="166" spans="2:4">
      <c r="B166" s="259" t="s">
        <v>416</v>
      </c>
      <c r="C166" s="298" t="str">
        <f>Market_currency</f>
        <v>CNY</v>
      </c>
      <c r="D166" s="298" t="str">
        <f>IF($D$11="","",D$13)</f>
        <v/>
      </c>
    </row>
    <row r="167" spans="2:4">
      <c r="B167" s="214" t="s">
        <v>262</v>
      </c>
      <c r="C167" s="92">
        <f>Scenarios!F99</f>
        <v>5.6082608980383197E-2</v>
      </c>
    </row>
    <row r="169" spans="2:4">
      <c r="B169" s="210" t="s">
        <v>432</v>
      </c>
    </row>
    <row r="170" spans="2:4">
      <c r="B170" s="1" t="s">
        <v>423</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7.981707879328158</v>
      </c>
    </row>
    <row r="173" spans="2:4">
      <c r="B173" s="80" t="s">
        <v>401</v>
      </c>
      <c r="C173" s="215">
        <f>Scenarios!C105</f>
        <v>8.9996639027078977</v>
      </c>
      <c r="D173" s="300" t="str">
        <f>IF($D$11="","",C173*$E$25)</f>
        <v/>
      </c>
    </row>
    <row r="174" spans="2:4">
      <c r="B174" s="259" t="s">
        <v>416</v>
      </c>
      <c r="C174" s="298" t="str">
        <f>Market_currency</f>
        <v>CNY</v>
      </c>
      <c r="D174" s="298" t="str">
        <f>IF($D$11="","",D$13)</f>
        <v/>
      </c>
    </row>
    <row r="175" spans="2:4">
      <c r="B175" s="214" t="s">
        <v>262</v>
      </c>
      <c r="C175" s="92">
        <f>Scenarios!F105</f>
        <v>0.11980238369313911</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373</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372</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462</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172</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152</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168</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168</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16483520.83</v>
      </c>
      <c r="D9" s="261">
        <v>0.1</v>
      </c>
      <c r="E9" s="25"/>
      <c r="F9" s="4" t="s">
        <v>180</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821663933.94+22285856.97+7210.09</f>
        <v>843957001.00000012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167917128.12</v>
      </c>
      <c r="D21" s="261">
        <v>0.05</v>
      </c>
      <c r="F21" s="1" t="s">
        <v>180</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244</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203</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1800578237.2900002</v>
      </c>
      <c r="H35" s="200">
        <f>D12+D24</f>
        <v>445730514.64700001</v>
      </c>
    </row>
    <row r="36" spans="2:8" ht="15" customHeight="1">
      <c r="B36" s="4" t="s">
        <v>13</v>
      </c>
      <c r="C36" s="19">
        <v>0</v>
      </c>
      <c r="F36" s="190" t="s">
        <v>197</v>
      </c>
      <c r="G36" s="191">
        <f>C4+C15</f>
        <v>435508276.29999995</v>
      </c>
      <c r="H36" s="195"/>
    </row>
    <row r="37" spans="2:8" ht="15" customHeight="1">
      <c r="B37" s="4" t="s">
        <v>14</v>
      </c>
      <c r="C37" s="19">
        <v>0</v>
      </c>
      <c r="F37" s="190" t="s">
        <v>198</v>
      </c>
      <c r="G37" s="191">
        <f>C6</f>
        <v>149619822.47999999</v>
      </c>
      <c r="H37" s="195"/>
    </row>
    <row r="38" spans="2:8" ht="15" customHeight="1">
      <c r="B38" s="4" t="s">
        <v>15</v>
      </c>
      <c r="C38" s="19">
        <v>0</v>
      </c>
      <c r="F38" s="190" t="s">
        <v>199</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204</v>
      </c>
      <c r="C40" s="81">
        <f>SUM(C36:C39)</f>
        <v>0</v>
      </c>
      <c r="F40" s="199" t="s">
        <v>138</v>
      </c>
      <c r="G40" s="193">
        <f>G12+G24</f>
        <v>1012553160.92</v>
      </c>
      <c r="H40" s="200">
        <f>H12+H24</f>
        <v>911297844.82799995</v>
      </c>
    </row>
    <row r="41" spans="2:8" ht="15" customHeight="1">
      <c r="B41" s="4" t="s">
        <v>17</v>
      </c>
      <c r="C41" s="21">
        <f>C42-C40</f>
        <v>20422655.370000001</v>
      </c>
      <c r="F41" s="190" t="s">
        <v>191</v>
      </c>
      <c r="G41" s="191">
        <f>C70</f>
        <v>1012553160.92</v>
      </c>
      <c r="H41" s="200">
        <f>H40-H42</f>
        <v>911297844.82799995</v>
      </c>
    </row>
    <row r="42" spans="2:8" ht="15" customHeight="1">
      <c r="B42" s="83" t="s">
        <v>22</v>
      </c>
      <c r="C42" s="84">
        <v>20422655.370000001</v>
      </c>
      <c r="F42" s="201" t="s">
        <v>192</v>
      </c>
      <c r="G42" s="202">
        <f>C82</f>
        <v>0</v>
      </c>
      <c r="H42" s="203">
        <f>D82</f>
        <v>0</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176</v>
      </c>
      <c r="C51" s="181"/>
      <c r="D51" s="92">
        <f>G29/G32</f>
        <v>0.85739051530075305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9.6899516714473721E-2</v>
      </c>
      <c r="D54" s="92">
        <f>Normalized_FCF!G8/G35</f>
        <v>9.6769971663240029E-2</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-1.5410995011336286E-4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1012553160.92</v>
      </c>
      <c r="D66" s="76">
        <f>C66-D75</f>
        <v>787007506.71999991</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1012553160.92</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-112792265.10000001</v>
      </c>
      <c r="D73" s="349">
        <f>(Normalized_FCF!C25+Normalized_FCF!C35-Normalized_FCF!C91)/12</f>
        <v>-112772827.10000001</v>
      </c>
      <c r="F73" s="1" t="s">
        <v>351</v>
      </c>
    </row>
    <row r="74" spans="2:6" ht="15" customHeight="1">
      <c r="B74" s="257" t="s">
        <v>321</v>
      </c>
      <c r="C74" s="258">
        <f>-$C$66/C73</f>
        <v>8.9771506939973662</v>
      </c>
      <c r="D74" s="258">
        <f>-$C$66/D73</f>
        <v>8.978698033544287</v>
      </c>
      <c r="F74" s="253" t="s">
        <v>319</v>
      </c>
    </row>
    <row r="75" spans="2:6" ht="15" customHeight="1">
      <c r="B75" s="80" t="s">
        <v>320</v>
      </c>
      <c r="C75" s="320"/>
      <c r="D75" s="321">
        <f>MAX(-D73*D76,G5)</f>
        <v>225545654.20000002</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0</v>
      </c>
      <c r="D79" s="76">
        <f>G7*H7+G17*H17</f>
        <v>0</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0</v>
      </c>
      <c r="D82" s="81">
        <f>SUM(D79:D81)</f>
        <v>0</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-100067739.72</v>
      </c>
      <c r="D86" s="223">
        <f>C86*scaling_factor/Common_Shares</f>
        <v>-0.34286748400418704</v>
      </c>
      <c r="E86" s="240" t="str">
        <f>Market_currency</f>
        <v>CNY</v>
      </c>
    </row>
    <row r="87" spans="2:8" ht="15" customHeight="1">
      <c r="B87" s="238" t="s">
        <v>287</v>
      </c>
      <c r="C87" s="76">
        <f>DCF!C8*Exchange_Rate</f>
        <v>787007506.71999991</v>
      </c>
      <c r="D87" s="223">
        <f>C87*scaling_factor/Common_Shares</f>
        <v>2.6965661908276655</v>
      </c>
      <c r="E87" s="240" t="str">
        <f>Market_currency</f>
        <v>CNY</v>
      </c>
    </row>
    <row r="88" spans="2:8" ht="15" customHeight="1">
      <c r="B88" s="239" t="s">
        <v>189</v>
      </c>
      <c r="C88" s="76">
        <f>DCF!C9*Exchange_Rate</f>
        <v>0</v>
      </c>
      <c r="D88" s="223">
        <f>C88*scaling_factor/Common_Shares</f>
        <v>0</v>
      </c>
      <c r="E88" s="240" t="str">
        <f>Market_currency</f>
        <v>CNY</v>
      </c>
    </row>
    <row r="89" spans="2:8" ht="15" customHeight="1">
      <c r="B89" s="80" t="s">
        <v>291</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152</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164</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154</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0.79023381835158146</v>
      </c>
      <c r="D28" s="26"/>
      <c r="E28" s="266" t="s">
        <v>333</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333</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-33090730</v>
      </c>
      <c r="E33" s="266" t="s">
        <v>333</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333</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345</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342</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336</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195</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152</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164</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154</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309</v>
      </c>
      <c r="C93" s="23">
        <f>C90/Market_Price</f>
        <v>2.9498525073746312E-2</v>
      </c>
      <c r="E93" s="268"/>
      <c r="G93" s="23">
        <f t="shared" ref="G93:Q93" si="39">IF(G$4="","",G90/Market_Price)</f>
        <v>2.9498525073746312E-2</v>
      </c>
      <c r="H93" s="23">
        <f t="shared" si="39"/>
        <v>2.9498525073746312E-2</v>
      </c>
      <c r="I93" s="23">
        <f t="shared" si="39"/>
        <v>2.9498525073746312E-2</v>
      </c>
      <c r="J93" s="23">
        <f t="shared" si="39"/>
        <v>2.9498525073746312E-2</v>
      </c>
      <c r="K93" s="23">
        <f t="shared" si="39"/>
        <v>1.4749262536873156E-2</v>
      </c>
      <c r="L93" s="23">
        <f t="shared" si="39"/>
        <v>1.4749262536873156E-2</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v>
      </c>
      <c r="D96" s="27"/>
      <c r="E96" s="265"/>
      <c r="F96" s="27"/>
      <c r="G96" s="6">
        <f t="shared" ref="G96:Q96" si="40">IF(H4="","",G4/H4-1)</f>
        <v>2.3060791713184869E-2</v>
      </c>
      <c r="H96" s="6">
        <f t="shared" si="40"/>
        <v>-0.13634029089949951</v>
      </c>
      <c r="I96" s="6">
        <f t="shared" si="40"/>
        <v>0.14618004432154508</v>
      </c>
      <c r="J96" s="6">
        <f t="shared" si="40"/>
        <v>0.52612145772523466</v>
      </c>
      <c r="K96" s="6">
        <f t="shared" si="40"/>
        <v>0.34206060652745496</v>
      </c>
      <c r="L96" s="6">
        <f t="shared" si="40"/>
        <v>6.9846360774512783E-2</v>
      </c>
      <c r="M96" s="6">
        <f t="shared" si="40"/>
        <v>0.17548458141395407</v>
      </c>
      <c r="N96" s="6">
        <f t="shared" si="40"/>
        <v>0.43939178022677039</v>
      </c>
      <c r="O96" s="6">
        <f t="shared" si="40"/>
        <v>7.3053667937974298E-2</v>
      </c>
      <c r="P96" s="6" t="str">
        <f t="shared" si="40"/>
        <v/>
      </c>
      <c r="Q96" s="6" t="str">
        <f t="shared" si="40"/>
        <v/>
      </c>
    </row>
    <row r="97" spans="1:17" ht="15.75" customHeight="1">
      <c r="A97" s="10"/>
      <c r="B97" s="70" t="s">
        <v>164</v>
      </c>
      <c r="C97" s="77">
        <f>C13/G13-1</f>
        <v>-1.7975990639891415E-2</v>
      </c>
      <c r="D97" s="27"/>
      <c r="E97" s="265"/>
      <c r="F97" s="27"/>
      <c r="G97" s="6">
        <f t="shared" ref="G97:Q97" si="41">IF(H5="","",G13/H13-1)</f>
        <v>-0.21425817196873598</v>
      </c>
      <c r="H97" s="6">
        <f t="shared" si="41"/>
        <v>-0.4944906669422392</v>
      </c>
      <c r="I97" s="6">
        <f t="shared" si="41"/>
        <v>0.553338123509169</v>
      </c>
      <c r="J97" s="6">
        <f t="shared" si="41"/>
        <v>0.32291847035802257</v>
      </c>
      <c r="K97" s="6">
        <f t="shared" si="41"/>
        <v>0.2271337884569633</v>
      </c>
      <c r="L97" s="6">
        <f t="shared" si="41"/>
        <v>0.4055870029137949</v>
      </c>
      <c r="M97" s="6">
        <f t="shared" si="41"/>
        <v>0.13445810561416982</v>
      </c>
      <c r="N97" s="6">
        <f t="shared" si="41"/>
        <v>0.4501144064579472</v>
      </c>
      <c r="O97" s="6">
        <f t="shared" si="41"/>
        <v>2.908837616815152E-2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2813131398.21</v>
      </c>
      <c r="D101" s="26"/>
      <c r="E101" s="269"/>
      <c r="F101" s="26"/>
      <c r="G101" s="333">
        <f t="shared" ref="G101:Q101" si="42">IF(G$4="","",G105+G104)</f>
        <v>2813131398.21</v>
      </c>
      <c r="H101" s="333">
        <f t="shared" si="42"/>
        <v>2821719171</v>
      </c>
      <c r="I101" s="333">
        <f t="shared" si="42"/>
        <v>2804541794</v>
      </c>
      <c r="J101" s="333">
        <f t="shared" si="42"/>
        <v>2115221333</v>
      </c>
      <c r="K101" s="333">
        <f t="shared" si="42"/>
        <v>1078793118</v>
      </c>
      <c r="L101" s="333">
        <f t="shared" si="42"/>
        <v>976418045</v>
      </c>
      <c r="M101" s="333">
        <f t="shared" si="42"/>
        <v>913519795</v>
      </c>
      <c r="N101" s="333">
        <f t="shared" si="42"/>
        <v>632755333</v>
      </c>
      <c r="O101" s="333">
        <f t="shared" si="42"/>
        <v>521915458</v>
      </c>
      <c r="P101" s="333">
        <f t="shared" si="42"/>
        <v>463292481</v>
      </c>
      <c r="Q101" s="333" t="str">
        <f t="shared" si="42"/>
        <v/>
      </c>
    </row>
    <row r="102" spans="1:17" ht="15.75" customHeight="1">
      <c r="A102" s="10"/>
      <c r="B102" s="93" t="s">
        <v>210</v>
      </c>
      <c r="C102" s="345">
        <f>BS!C4</f>
        <v>435508276.29999995</v>
      </c>
      <c r="D102" s="89"/>
      <c r="E102" s="270"/>
      <c r="F102" s="89"/>
      <c r="G102" s="346">
        <f>IF(G$4="","",Data!D77)</f>
        <v>286539091</v>
      </c>
      <c r="H102" s="346">
        <f>IF(H$4="","",Data!E77)</f>
        <v>273013471</v>
      </c>
      <c r="I102" s="346">
        <f>IF(I$4="","",Data!F77)</f>
        <v>232578044</v>
      </c>
      <c r="J102" s="346">
        <f>IF(J$4="","",Data!G77)</f>
        <v>139788443</v>
      </c>
      <c r="K102" s="346">
        <f>IF(K$4="","",Data!H77)</f>
        <v>109488661</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149619822.47999999</v>
      </c>
      <c r="D103" s="89"/>
      <c r="E103" s="270"/>
      <c r="F103" s="89"/>
      <c r="G103" s="346">
        <f>IF(G$4="","",Data!D78)</f>
        <v>175557090</v>
      </c>
      <c r="H103" s="346">
        <f>IF(H$4="","",Data!E78)</f>
        <v>221536955</v>
      </c>
      <c r="I103" s="346">
        <f>IF(I$4="","",Data!F78)</f>
        <v>134930930</v>
      </c>
      <c r="J103" s="346">
        <f>IF(J$4="","",Data!G78)</f>
        <v>102812384</v>
      </c>
      <c r="K103" s="346">
        <f>IF(K$4="","",Data!H78)</f>
        <v>54993674</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401550924.92000002</v>
      </c>
      <c r="D104" s="26"/>
      <c r="E104" s="269"/>
      <c r="F104" s="26"/>
      <c r="G104" s="333">
        <f>Data!C79</f>
        <v>401550924.92000002</v>
      </c>
      <c r="H104" s="333">
        <f>Data!D79</f>
        <v>375837168</v>
      </c>
      <c r="I104" s="333">
        <f>Data!E79</f>
        <v>484715813</v>
      </c>
      <c r="J104" s="333">
        <f>Data!F79</f>
        <v>120473425</v>
      </c>
      <c r="K104" s="333">
        <f>Data!G79</f>
        <v>77386991</v>
      </c>
      <c r="L104" s="333">
        <f>Data!H79</f>
        <v>107878390</v>
      </c>
      <c r="M104" s="333">
        <f>Data!I79</f>
        <v>144733614</v>
      </c>
      <c r="N104" s="333">
        <f>Data!J79</f>
        <v>117054123</v>
      </c>
      <c r="O104" s="333">
        <f>Data!K79</f>
        <v>64103116</v>
      </c>
      <c r="P104" s="333">
        <f>Data!L79</f>
        <v>30979762</v>
      </c>
      <c r="Q104" s="333" t="str">
        <f>Data!M79</f>
        <v/>
      </c>
    </row>
    <row r="105" spans="1:17" ht="15.75" customHeight="1">
      <c r="A105" s="10"/>
      <c r="B105" s="26" t="s">
        <v>30</v>
      </c>
      <c r="C105" s="344">
        <f>BS!G27</f>
        <v>2411580473.29</v>
      </c>
      <c r="D105" s="26"/>
      <c r="E105" s="269"/>
      <c r="F105" s="26"/>
      <c r="G105" s="333">
        <f>Data!C80</f>
        <v>2411580473.29</v>
      </c>
      <c r="H105" s="333">
        <f>Data!D80</f>
        <v>2445882003</v>
      </c>
      <c r="I105" s="333">
        <f>Data!E80</f>
        <v>2319825981</v>
      </c>
      <c r="J105" s="333">
        <f>Data!F80</f>
        <v>1994747908</v>
      </c>
      <c r="K105" s="333">
        <f>Data!G80</f>
        <v>1001406127</v>
      </c>
      <c r="L105" s="333">
        <f>Data!H80</f>
        <v>868539655</v>
      </c>
      <c r="M105" s="333">
        <f>Data!I80</f>
        <v>768786181</v>
      </c>
      <c r="N105" s="333">
        <f>Data!J80</f>
        <v>515701210</v>
      </c>
      <c r="O105" s="333">
        <f>Data!K80</f>
        <v>457812342</v>
      </c>
      <c r="P105" s="333">
        <f>Data!L80</f>
        <v>432312719</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0.30865070390856503</v>
      </c>
      <c r="D108" s="26"/>
      <c r="E108" s="269"/>
      <c r="F108" s="26"/>
      <c r="G108" s="94">
        <f t="shared" ref="G108:Q108" si="43">IF(G$4="","",G102/G$4)</f>
        <v>0.20307419387260534</v>
      </c>
      <c r="H108" s="94">
        <f t="shared" si="43"/>
        <v>0.19795039670760667</v>
      </c>
      <c r="I108" s="94">
        <f t="shared" si="43"/>
        <v>0.14564100708744146</v>
      </c>
      <c r="J108" s="94">
        <f t="shared" si="43"/>
        <v>0.100331907733994</v>
      </c>
      <c r="K108" s="94">
        <f t="shared" si="43"/>
        <v>0.11992950626314505</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0.10603762555206932</v>
      </c>
      <c r="D109" s="26"/>
      <c r="E109" s="269"/>
      <c r="F109" s="26"/>
      <c r="G109" s="94">
        <f t="shared" ref="G109:Q109" si="44">IF(G$4="","",G103/G$4)</f>
        <v>0.12441972369616551</v>
      </c>
      <c r="H109" s="94">
        <f t="shared" si="44"/>
        <v>0.16062697553720787</v>
      </c>
      <c r="I109" s="94">
        <f t="shared" si="44"/>
        <v>8.4494117305608893E-2</v>
      </c>
      <c r="J109" s="94">
        <f t="shared" si="44"/>
        <v>7.3792671296867951E-2</v>
      </c>
      <c r="K109" s="94">
        <f t="shared" si="44"/>
        <v>6.0237874042649554E-2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1.2880680206520347</v>
      </c>
      <c r="H113" s="295">
        <f>IF(H$4="","",Data!D$22/Data!D15)</f>
        <v>1.4762961966387407</v>
      </c>
      <c r="I113" s="295">
        <f>IF(I$4="","",Data!E$22/Data!E15)</f>
        <v>0.67983408599071948</v>
      </c>
      <c r="J113" s="295">
        <f>IF(J$4="","",Data!F$22/Data!F15)</f>
        <v>0.34179947012470702</v>
      </c>
      <c r="K113" s="295">
        <f>IF(K$4="","",Data!G$22/Data!G15)</f>
        <v>0.3261494079238545</v>
      </c>
      <c r="L113" s="295">
        <f>IF(L$4="","",Data!H$22/Data!H15)</f>
        <v>0.96883995833236425</v>
      </c>
      <c r="M113" s="295">
        <f>IF(M$4="","",Data!I$22/Data!I15)</f>
        <v>0.64186063555485706</v>
      </c>
      <c r="N113" s="295">
        <f>IF(N$4="","",Data!J$22/Data!J15)</f>
        <v>0.57060193795831449</v>
      </c>
      <c r="O113" s="295">
        <f>IF(O$4="","",Data!K$22/Data!K15)</f>
        <v>0.89694138362498099</v>
      </c>
      <c r="P113" s="295">
        <f>IF(P$4="","",Data!L$22/Data!L15)</f>
        <v>1.0465515121655735</v>
      </c>
      <c r="Q113" s="295" t="str">
        <f>IF(Q$4="","",Data!M$22/Data!M15)</f>
        <v/>
      </c>
    </row>
    <row r="114" spans="1:17" ht="15.75" customHeight="1">
      <c r="A114" s="10"/>
      <c r="B114" s="2" t="s">
        <v>392</v>
      </c>
      <c r="C114" s="169"/>
      <c r="E114" s="268"/>
      <c r="G114" s="295">
        <f>IF(G$4="","",Data!C$22/G19)</f>
        <v>1.6721091266857355</v>
      </c>
      <c r="H114" s="295">
        <f>IF(H$4="","",Data!D$22/H19)</f>
        <v>1.7887230090926192</v>
      </c>
      <c r="I114" s="295">
        <f>IF(I$4="","",Data!E$22/I19)</f>
        <v>0.75215129607307663</v>
      </c>
      <c r="J114" s="295">
        <f>IF(J$4="","",Data!F$22/J19)</f>
        <v>0.34909279020031797</v>
      </c>
      <c r="K114" s="295">
        <f>IF(K$4="","",Data!G$22/K19)</f>
        <v>0.3153093554346863</v>
      </c>
      <c r="L114" s="295">
        <f>IF(L$4="","",Data!H$22/L19)</f>
        <v>0.9132965965600931</v>
      </c>
      <c r="M114" s="295">
        <f>IF(M$4="","",Data!I$22/M19)</f>
        <v>0.62697024830003711</v>
      </c>
      <c r="N114" s="295">
        <f>IF(N$4="","",Data!J$22/N19)</f>
        <v>0.42677417512358501</v>
      </c>
      <c r="O114" s="295">
        <f>IF(O$4="","",Data!K$22/O19)</f>
        <v>0.88971565440898526</v>
      </c>
      <c r="P114" s="295">
        <f>IF(P$4="","",Data!L$22/P19)</f>
        <v>0.94505127089456842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0.12235120428336442</v>
      </c>
      <c r="E117" s="268"/>
      <c r="G117" s="23">
        <f t="shared" ref="G117:Q117" si="45">IF(G4="","",IF(valuation_method="DDM",G13/(G4+G12),G81))</f>
        <v>0.12459084820450472</v>
      </c>
      <c r="H117" s="23">
        <f t="shared" si="45"/>
        <v>0.16222123763436222</v>
      </c>
      <c r="I117" s="23">
        <f t="shared" si="45"/>
        <v>0.27715402613389095</v>
      </c>
      <c r="J117" s="23">
        <f t="shared" si="45"/>
        <v>0.20450693197459704</v>
      </c>
      <c r="K117" s="23">
        <f t="shared" si="45"/>
        <v>0.23591961570808129</v>
      </c>
      <c r="L117" s="23">
        <f t="shared" si="45"/>
        <v>0.25801459101459318</v>
      </c>
      <c r="M117" s="23">
        <f t="shared" si="45"/>
        <v>0.19638483469999488</v>
      </c>
      <c r="N117" s="23">
        <f t="shared" si="45"/>
        <v>0.20348688424099767</v>
      </c>
      <c r="O117" s="23">
        <f t="shared" si="45"/>
        <v>0.20198223481958236</v>
      </c>
      <c r="P117" s="23">
        <f t="shared" si="45"/>
        <v>0.21061143333334809</v>
      </c>
      <c r="Q117" s="23" t="str">
        <f t="shared" si="45"/>
        <v/>
      </c>
    </row>
    <row r="118" spans="1:17" ht="15.75" customHeight="1">
      <c r="B118" s="7" t="s">
        <v>83</v>
      </c>
      <c r="C118" s="42">
        <f>IF(valuation_method="DDM",(C4+C12)/C101,C4/C101)</f>
        <v>0.50157874313934503</v>
      </c>
      <c r="E118" s="268"/>
      <c r="G118" s="42">
        <f t="shared" ref="G118:Q118" si="46">IF(G4="","",IF(valuation_method="DDM",(G4+G12)/G101,G4/G101))</f>
        <v>0.50157874313934503</v>
      </c>
      <c r="H118" s="42">
        <f t="shared" si="46"/>
        <v>0.48878054491553796</v>
      </c>
      <c r="I118" s="42">
        <f t="shared" si="46"/>
        <v>0.5694074224233151</v>
      </c>
      <c r="J118" s="42">
        <f t="shared" si="46"/>
        <v>0.65868288592946034</v>
      </c>
      <c r="K118" s="42">
        <f t="shared" si="46"/>
        <v>0.84626217832435224</v>
      </c>
      <c r="L118" s="42">
        <f t="shared" si="46"/>
        <v>0.69668293563747075</v>
      </c>
      <c r="M118" s="42">
        <f t="shared" si="46"/>
        <v>0.69603582591223434</v>
      </c>
      <c r="N118" s="42">
        <f t="shared" si="46"/>
        <v>0.85486356066792724</v>
      </c>
      <c r="O118" s="42">
        <f t="shared" si="46"/>
        <v>0.72003472447447614</v>
      </c>
      <c r="P118" s="42">
        <f t="shared" si="46"/>
        <v>0.75592186224148972</v>
      </c>
      <c r="Q118" s="42" t="str">
        <f t="shared" si="46"/>
        <v/>
      </c>
    </row>
    <row r="119" spans="1:17" ht="15.75" customHeight="1">
      <c r="B119" s="7" t="s">
        <v>91</v>
      </c>
      <c r="C119" s="15">
        <f>C101/C105</f>
        <v>1.1665094444773738</v>
      </c>
      <c r="D119" s="11"/>
      <c r="E119" s="272"/>
      <c r="F119" s="11"/>
      <c r="G119" s="15">
        <f t="shared" ref="G119:Q119" si="47">IF(G$4="","",G101/G105)</f>
        <v>1.1665094444773738</v>
      </c>
      <c r="H119" s="15">
        <f t="shared" si="47"/>
        <v>1.15366120178284</v>
      </c>
      <c r="I119" s="15">
        <f t="shared" si="47"/>
        <v>1.2089449023202401</v>
      </c>
      <c r="J119" s="15">
        <f t="shared" si="47"/>
        <v>1.0603953133710968</v>
      </c>
      <c r="K119" s="15">
        <f t="shared" si="47"/>
        <v>1.0772783278566858</v>
      </c>
      <c r="L119" s="15">
        <f t="shared" si="47"/>
        <v>1.1242066374044832</v>
      </c>
      <c r="M119" s="15">
        <f t="shared" si="47"/>
        <v>1.1882625072835433</v>
      </c>
      <c r="N119" s="15">
        <f t="shared" si="47"/>
        <v>1.2269805087329542</v>
      </c>
      <c r="O119" s="15">
        <f t="shared" si="47"/>
        <v>1.1400205064807973</v>
      </c>
      <c r="P119" s="15">
        <f t="shared" si="47"/>
        <v>1.0716605379357345</v>
      </c>
      <c r="Q119" s="15" t="str">
        <f t="shared" si="47"/>
        <v/>
      </c>
    </row>
    <row r="120" spans="1:17" ht="15.75" customHeight="1">
      <c r="A120" s="10"/>
      <c r="B120" s="70" t="s">
        <v>222</v>
      </c>
      <c r="C120" s="102">
        <f>C13/C105</f>
        <v>7.1587241945726146E-2</v>
      </c>
      <c r="D120" s="103"/>
      <c r="E120" s="271"/>
      <c r="F120" s="103"/>
      <c r="G120" s="102">
        <f>IF(G$4="","",G13/G105)</f>
        <v>7.2897649409175577E-2</v>
      </c>
      <c r="H120" s="102">
        <f t="shared" ref="H120:Q120" si="48">IF(H$4="","",H13/H105)</f>
        <v>9.1474471497866097E-2</v>
      </c>
      <c r="I120" s="102">
        <f t="shared" si="48"/>
        <v>0.1907878984379173</v>
      </c>
      <c r="J120" s="102">
        <f t="shared" si="48"/>
        <v>0.1428407798874427</v>
      </c>
      <c r="K120" s="102">
        <f t="shared" si="48"/>
        <v>0.21507845430100769</v>
      </c>
      <c r="L120" s="102">
        <f t="shared" si="48"/>
        <v>0.20208104765576529</v>
      </c>
      <c r="M120" s="102">
        <f t="shared" si="48"/>
        <v>0.16242464852480962</v>
      </c>
      <c r="N120" s="102">
        <f t="shared" si="48"/>
        <v>0.21343758142432903</v>
      </c>
      <c r="O120" s="102">
        <f t="shared" si="48"/>
        <v>0.16579799633274195</v>
      </c>
      <c r="P120" s="102">
        <f t="shared" si="48"/>
        <v>0.17061455922604951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0.44364016993149191</v>
      </c>
      <c r="D124" s="27"/>
      <c r="E124" s="265"/>
      <c r="F124" s="27"/>
      <c r="G124" s="177">
        <f t="shared" ref="G124:Q124" si="49">IF(G$4="","",G16*$C$3/Common_Shares*Exchange_Rate)</f>
        <v>0.50552613949892589</v>
      </c>
      <c r="H124" s="177">
        <f t="shared" si="49"/>
        <v>0.66477796644846865</v>
      </c>
      <c r="I124" s="177">
        <f t="shared" si="49"/>
        <v>1.3075251750377523</v>
      </c>
      <c r="J124" s="177">
        <f t="shared" si="49"/>
        <v>0.84670890681695921</v>
      </c>
      <c r="K124" s="177">
        <f t="shared" si="49"/>
        <v>0.63316665328921717</v>
      </c>
      <c r="L124" s="177">
        <f t="shared" si="49"/>
        <v>0.52602016075156</v>
      </c>
      <c r="M124" s="177">
        <f t="shared" si="49"/>
        <v>0.37092949160555189</v>
      </c>
      <c r="N124" s="177">
        <f t="shared" si="49"/>
        <v>0.33719511164290866</v>
      </c>
      <c r="O124" s="177">
        <f t="shared" si="49"/>
        <v>0.22309205011283703</v>
      </c>
      <c r="P124" s="177">
        <f t="shared" si="49"/>
        <v>0.21813570936444227</v>
      </c>
      <c r="Q124" s="177" t="str">
        <f t="shared" si="49"/>
        <v/>
      </c>
    </row>
    <row r="125" spans="1:17" ht="15.75" customHeight="1">
      <c r="A125" s="10"/>
      <c r="B125" s="27" t="s">
        <v>269</v>
      </c>
      <c r="C125" s="77">
        <f>C19*Exchange_Rate*$C$3/(Market_Price*Common_Shares)</f>
        <v>3.271682669111297E-2</v>
      </c>
      <c r="D125" s="27"/>
      <c r="E125" s="265"/>
      <c r="F125" s="27"/>
      <c r="G125" s="77">
        <f t="shared" ref="G125" si="50">IF(G$4="","",G124/Market_Price)</f>
        <v>3.7280688753608099E-2</v>
      </c>
      <c r="H125" s="77">
        <f t="shared" ref="H125" si="51">IF(H$4="","",H124/Market_Price)</f>
        <v>4.9024923779385589E-2</v>
      </c>
      <c r="I125" s="77">
        <f t="shared" ref="I125" si="52">IF(I$4="","",I124/Market_Price)</f>
        <v>9.6425160401014176E-2</v>
      </c>
      <c r="J125" s="77">
        <f t="shared" ref="J125" si="53">IF(J$4="","",J124/Market_Price)</f>
        <v>6.2441659794761004E-2</v>
      </c>
      <c r="K125" s="77">
        <f t="shared" ref="K125" si="54">IF(K$4="","",K124/Market_Price)</f>
        <v>4.6693705994780024E-2</v>
      </c>
      <c r="L125" s="77">
        <f t="shared" ref="L125" si="55">IF(L$4="","",L124/Market_Price)</f>
        <v>3.8792047253064892E-2</v>
      </c>
      <c r="M125" s="77">
        <f t="shared" ref="M125" si="56">IF(M$4="","",M124/Market_Price)</f>
        <v>2.7354682271795862E-2</v>
      </c>
      <c r="N125" s="77">
        <f t="shared" ref="N125" si="57">IF(N$4="","",N124/Market_Price)</f>
        <v>2.4866896138857571E-2</v>
      </c>
      <c r="O125" s="77">
        <f t="shared" ref="O125" si="58">IF(O$4="","",O124/Market_Price)</f>
        <v>1.6452216085017481E-2</v>
      </c>
      <c r="P125" s="77">
        <f t="shared" ref="P125" si="59">IF(P$4="","",P124/Market_Price)</f>
        <v>1.6086704230416096E-2</v>
      </c>
      <c r="Q125" s="77" t="str">
        <f t="shared" ref="Q125" si="60">IF(Q$4="","",Q124/Market_Price)</f>
        <v/>
      </c>
    </row>
    <row r="126" spans="1:17" ht="15.75" customHeight="1">
      <c r="B126" s="2" t="s">
        <v>394</v>
      </c>
      <c r="C126" s="169"/>
      <c r="G126" s="23">
        <f>IF(G$4="","",(Data!C47*$C$3)/(Market_Price*Common_Shares))</f>
        <v>4.8396031043828322E-2</v>
      </c>
      <c r="H126" s="23">
        <f>IF(H$4="","",(Data!D47*$C$3)/(Market_Price*Common_Shares))</f>
        <v>5.9400010230235459E-2</v>
      </c>
      <c r="I126" s="23">
        <f>IF(I$4="","",(Data!E47*$C$3)/(Market_Price*Common_Shares))</f>
        <v>0.10668236686600498</v>
      </c>
      <c r="J126" s="23">
        <f>IF(J$4="","",(Data!F47*$C$3)/(Market_Price*Common_Shares))</f>
        <v>6.3774040476244909E-2</v>
      </c>
      <c r="K126" s="23">
        <f>IF(K$4="","",(Data!G47*$C$3)/(Market_Price*Common_Shares))</f>
        <v>4.5141772397477964E-2</v>
      </c>
      <c r="L126" s="23">
        <f>IF(L$4="","",(Data!H47*$C$3)/(Market_Price*Common_Shares))</f>
        <v>3.6568108514851892E-2</v>
      </c>
      <c r="M126" s="23">
        <f>IF(M$4="","",(Data!I47*$C$3)/(Market_Price*Common_Shares))</f>
        <v>2.6720086863234176E-2</v>
      </c>
      <c r="N126" s="23">
        <f>IF(N$4="","",(Data!J47*$C$3)/(Market_Price*Common_Shares))</f>
        <v>1.8598866182470104E-2</v>
      </c>
      <c r="O126" s="23">
        <f>IF(O$4="","",(Data!K47*$C$3)/(Market_Price*Common_Shares))</f>
        <v>1.6319677592978081E-2</v>
      </c>
      <c r="P126" s="23">
        <f>IF(P$4="","",(Data!L47*$C$3)/(Market_Price*Common_Shares))</f>
        <v>1.452652841330428E-2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129478796.10975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2157979935.1624999</v>
      </c>
      <c r="D6" t="str">
        <f>Reporting_currency</f>
        <v>CNY</v>
      </c>
      <c r="E6" s="364" t="s">
        <v>249</v>
      </c>
      <c r="F6" s="364"/>
      <c r="H6" s="120"/>
    </row>
    <row r="7" spans="2:8">
      <c r="B7" s="148" t="s">
        <v>224</v>
      </c>
      <c r="C7" s="338">
        <f>BS!G31</f>
        <v>100067739.72</v>
      </c>
      <c r="D7" t="str">
        <f>Reporting_currency</f>
        <v>CNY</v>
      </c>
      <c r="E7" s="364"/>
      <c r="F7" s="364"/>
      <c r="H7" s="120"/>
    </row>
    <row r="8" spans="2:8">
      <c r="B8" s="148" t="s">
        <v>225</v>
      </c>
      <c r="C8" s="338">
        <f>BS!D66</f>
        <v>787007506.71999991</v>
      </c>
      <c r="D8" t="str">
        <f>Reporting_currency</f>
        <v>CNY</v>
      </c>
      <c r="E8" s="364"/>
      <c r="F8" s="364"/>
      <c r="H8" s="120"/>
    </row>
    <row r="9" spans="2:8">
      <c r="B9" s="205" t="s">
        <v>190</v>
      </c>
      <c r="C9" s="348">
        <f>BS!H42</f>
        <v>0</v>
      </c>
      <c r="D9" t="str">
        <f>Reporting_currency</f>
        <v>CNY</v>
      </c>
      <c r="E9" s="364"/>
      <c r="F9" s="364"/>
      <c r="H9" s="120"/>
    </row>
    <row r="10" spans="2:8" ht="13.15">
      <c r="B10" s="149" t="s">
        <v>227</v>
      </c>
      <c r="C10" s="347">
        <f>C6-C7+C8+C9</f>
        <v>2844919702.1624999</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9.7477015390150097</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4.25103165866728E-2</v>
      </c>
      <c r="H16" s="120"/>
    </row>
    <row r="17" spans="2:17" ht="13.25" customHeight="1">
      <c r="B17" s="118" t="s">
        <v>134</v>
      </c>
      <c r="C17" s="162">
        <f>Scenarios!C64</f>
        <v>5</v>
      </c>
      <c r="H17" s="120"/>
    </row>
    <row r="18" spans="2:17" ht="13.25" customHeight="1">
      <c r="B18" s="153" t="s">
        <v>106</v>
      </c>
      <c r="C18" s="140">
        <f>(F52-C7+C8+C9)*Exchange_Rate/Common_Shares*scaling_factor</f>
        <v>10.224594722795034</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2249716345.3939452</v>
      </c>
      <c r="D51" s="139">
        <f>Terminal_Growth</f>
        <v>0</v>
      </c>
      <c r="E51" s="124">
        <f>1/(1+Equity_Cost)^C17</f>
        <v>0.74725817286605689</v>
      </c>
      <c r="F51" s="125">
        <f t="shared" si="1"/>
        <v>1681118925.7259824</v>
      </c>
      <c r="H51" s="120"/>
    </row>
    <row r="52" spans="1:17">
      <c r="C52" s="114"/>
      <c r="E52" s="127" t="s">
        <v>100</v>
      </c>
      <c r="F52" s="137">
        <f>SUM(F21:F51)</f>
        <v>2297163804.1938334</v>
      </c>
      <c r="H52" s="120"/>
    </row>
    <row r="53" spans="1:17">
      <c r="C53" s="114"/>
      <c r="H53" s="120"/>
    </row>
    <row r="54" spans="1:17" ht="13.15">
      <c r="B54" s="119" t="s">
        <v>129</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ht="13.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ht="13.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ht="13.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116742175.2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1945702920.0000002</v>
      </c>
      <c r="D6" t="str">
        <f>Reporting_currency</f>
        <v>CNY</v>
      </c>
      <c r="E6" s="364"/>
      <c r="F6" s="364"/>
      <c r="H6" s="120"/>
    </row>
    <row r="7" spans="2:8" ht="13.15">
      <c r="B7" s="149" t="s">
        <v>444</v>
      </c>
      <c r="C7" s="111">
        <f>(C6*scaling_factor)/Common_Shares*Exchange_Rate</f>
        <v>6.6666666666666679</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4.25103165866728E-2</v>
      </c>
      <c r="H11" s="120"/>
    </row>
    <row r="12" spans="2:8" ht="13.25" customHeight="1">
      <c r="B12" s="118" t="s">
        <v>134</v>
      </c>
      <c r="C12" s="162">
        <f>Scenarios!C64</f>
        <v>5</v>
      </c>
      <c r="H12" s="120"/>
    </row>
    <row r="13" spans="2:8" ht="13.25" customHeight="1">
      <c r="B13" s="153" t="s">
        <v>106</v>
      </c>
      <c r="C13" s="140">
        <f>F47/Common_Shares*scaling_factor</f>
        <v>7.0966486350296014</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121704922.02676882</v>
      </c>
      <c r="D16" s="138">
        <f>IF($C$12&lt;B16,0,DDM!$C$11)</f>
        <v>4.25103165866728E-2</v>
      </c>
      <c r="E16" s="124">
        <f t="shared" ref="E16:E45" si="0">IF($C$12&lt;B16,0,1/(1+Equity_Cost)^B16)</f>
        <v>0.94339622641509424</v>
      </c>
      <c r="F16" s="125">
        <f t="shared" ref="F16:F46" si="1">C16*E16</f>
        <v>114815964.17619699</v>
      </c>
      <c r="H16" s="120"/>
    </row>
    <row r="17" spans="2:8">
      <c r="B17" s="122">
        <v>2</v>
      </c>
      <c r="C17" s="123">
        <f t="shared" ref="C17:C45" si="2">IF(ROW()-ROW($C$16)&lt;$C$12, $C$16*(1+D17)^(ROW()-ROW($C$16)), 0)</f>
        <v>126878636.79228307</v>
      </c>
      <c r="D17" s="138">
        <f>IF($C$12&lt;B17,0,DDM!$C$11)</f>
        <v>4.25103165866728E-2</v>
      </c>
      <c r="E17" s="124">
        <f t="shared" si="0"/>
        <v>0.88999644001423983</v>
      </c>
      <c r="F17" s="125">
        <f t="shared" si="1"/>
        <v>112921535.05899169</v>
      </c>
      <c r="H17" s="120"/>
    </row>
    <row r="18" spans="2:8">
      <c r="B18" s="122">
        <v>3</v>
      </c>
      <c r="C18" s="123">
        <f t="shared" si="2"/>
        <v>132272287.81040849</v>
      </c>
      <c r="D18" s="138">
        <f>IF($C$12&lt;B18,0,DDM!$C$11)</f>
        <v>4.25103165866728E-2</v>
      </c>
      <c r="E18" s="124">
        <f t="shared" si="0"/>
        <v>0.8396192830323016</v>
      </c>
      <c r="F18" s="125">
        <f t="shared" si="1"/>
        <v>111058363.45641743</v>
      </c>
      <c r="H18" s="120"/>
    </row>
    <row r="19" spans="2:8">
      <c r="B19" s="122">
        <v>4</v>
      </c>
      <c r="C19" s="123">
        <f t="shared" si="2"/>
        <v>137895224.64087245</v>
      </c>
      <c r="D19" s="138">
        <f>IF($C$12&lt;B19,0,DDM!$C$11)</f>
        <v>4.25103165866728E-2</v>
      </c>
      <c r="E19" s="124">
        <f t="shared" si="0"/>
        <v>0.79209366323802044</v>
      </c>
      <c r="F19" s="125">
        <f t="shared" si="1"/>
        <v>109225933.62881839</v>
      </c>
      <c r="H19" s="120"/>
    </row>
    <row r="20" spans="2:8">
      <c r="B20" s="122">
        <v>5</v>
      </c>
      <c r="C20" s="123">
        <f t="shared" si="2"/>
        <v>143757194.29614627</v>
      </c>
      <c r="D20" s="138">
        <f>IF($C$12&lt;B20,0,DDM!$C$11)</f>
        <v>4.25103165866728E-2</v>
      </c>
      <c r="E20" s="124">
        <f t="shared" si="0"/>
        <v>0.74725817286605689</v>
      </c>
      <c r="F20" s="125">
        <f t="shared" si="1"/>
        <v>107423738.34608901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2028415367.1128137</v>
      </c>
      <c r="D46" s="139">
        <f>Terminal_Growth</f>
        <v>0</v>
      </c>
      <c r="E46" s="124">
        <f>1/(1+Equity_Cost)^C12</f>
        <v>0.74725817286605689</v>
      </c>
      <c r="F46" s="125">
        <f t="shared" si="1"/>
        <v>1515749961.0421531</v>
      </c>
      <c r="H46" s="120"/>
    </row>
    <row r="47" spans="2:8">
      <c r="C47" s="114"/>
      <c r="E47" s="127" t="s">
        <v>100</v>
      </c>
      <c r="F47" s="137">
        <f>SUM(F16:F46)</f>
        <v>2071195495.7086666</v>
      </c>
      <c r="H47" s="120"/>
    </row>
    <row r="48" spans="2:8">
      <c r="C48" s="114"/>
      <c r="H48" s="120"/>
    </row>
    <row r="49" spans="1:8" ht="13.15">
      <c r="B49" s="119" t="s">
        <v>129</v>
      </c>
      <c r="C49" s="136"/>
      <c r="D49" s="136"/>
      <c r="E49" s="117"/>
      <c r="F49" s="117"/>
      <c r="H49" s="120"/>
    </row>
    <row r="50" spans="1:8" ht="13.15">
      <c r="A50" s="133">
        <f>F47</f>
        <v>2071195495.7086666</v>
      </c>
      <c r="B50" s="131">
        <f>C73</f>
        <v>0</v>
      </c>
      <c r="C50" s="131">
        <f>C72</f>
        <v>0.02</v>
      </c>
      <c r="D50" s="131">
        <f>C71</f>
        <v>0.04</v>
      </c>
      <c r="E50" s="131">
        <f>C70</f>
        <v>0.06</v>
      </c>
      <c r="F50" s="131">
        <f>C69</f>
        <v>0.08</v>
      </c>
      <c r="H50" s="120"/>
    </row>
    <row r="51" spans="1:8" ht="13.15">
      <c r="A51" s="143">
        <v>5</v>
      </c>
      <c r="B51" s="123">
        <f t="dataTable" ref="B51:F56" dt2D="1" dtr="1" r1="C11" r2="C12"/>
        <v>1945702919.9999995</v>
      </c>
      <c r="C51" s="123">
        <v>2003883773.6356356</v>
      </c>
      <c r="D51" s="123">
        <v>2063590270.2103729</v>
      </c>
      <c r="E51" s="123">
        <v>2124889829.4757133</v>
      </c>
      <c r="F51" s="123">
        <v>2187851968.2101088</v>
      </c>
      <c r="H51" s="120"/>
    </row>
    <row r="52" spans="1:8" ht="13.15">
      <c r="A52" s="143">
        <v>10</v>
      </c>
      <c r="B52" s="123">
        <v>1945702919.9999993</v>
      </c>
      <c r="C52" s="123">
        <v>2058791246.2930689</v>
      </c>
      <c r="D52" s="123">
        <v>2182808719.5917172</v>
      </c>
      <c r="E52" s="123">
        <v>2319080320.8338833</v>
      </c>
      <c r="F52" s="123">
        <v>2469080412.3095703</v>
      </c>
      <c r="H52" s="120"/>
    </row>
    <row r="53" spans="1:8" ht="13.15">
      <c r="A53" s="143">
        <v>15</v>
      </c>
      <c r="B53" s="123">
        <v>1945702919.9999986</v>
      </c>
      <c r="C53" s="123">
        <v>2133243574.2016823</v>
      </c>
      <c r="D53" s="123">
        <v>2353068442.898922</v>
      </c>
      <c r="E53" s="123">
        <v>2611718905.9123459</v>
      </c>
      <c r="F53" s="123">
        <v>2917045995.2845707</v>
      </c>
      <c r="H53" s="120"/>
    </row>
    <row r="54" spans="1:8" ht="13.15">
      <c r="A54" s="144">
        <v>20</v>
      </c>
      <c r="B54" s="123">
        <v>1945702919.9999986</v>
      </c>
      <c r="C54" s="123">
        <v>2216453174.074132</v>
      </c>
      <c r="D54" s="123">
        <v>2554094940.2883377</v>
      </c>
      <c r="E54" s="123">
        <v>2977923633.6263809</v>
      </c>
      <c r="F54" s="123">
        <v>3512905420.8653216</v>
      </c>
      <c r="H54" s="120"/>
    </row>
    <row r="55" spans="1:8" ht="13.15">
      <c r="A55" s="144">
        <v>25</v>
      </c>
      <c r="B55" s="123">
        <v>1945702919.9999983</v>
      </c>
      <c r="C55" s="123">
        <v>2301382102.4465003</v>
      </c>
      <c r="D55" s="123">
        <v>2771407847.0964856</v>
      </c>
      <c r="E55" s="123">
        <v>3399101262.6710753</v>
      </c>
      <c r="F55" s="123">
        <v>4244860341.6974673</v>
      </c>
      <c r="H55" s="120"/>
    </row>
    <row r="56" spans="1:8" ht="13.15">
      <c r="A56" s="144">
        <v>30</v>
      </c>
      <c r="B56" s="123">
        <v>1945702919.9999981</v>
      </c>
      <c r="C56" s="123">
        <v>2383615344.930985</v>
      </c>
      <c r="D56" s="123">
        <v>2994795653.7633381</v>
      </c>
      <c r="E56" s="123">
        <v>3861357841.521266</v>
      </c>
      <c r="F56" s="123">
        <v>5106600412.7640495</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6.6666666666666679</v>
      </c>
      <c r="C60" s="124">
        <f>C7</f>
        <v>6.6666666666666679</v>
      </c>
      <c r="D60" s="124">
        <f>C7</f>
        <v>6.6666666666666679</v>
      </c>
      <c r="E60" s="141">
        <f>C7</f>
        <v>6.6666666666666679</v>
      </c>
      <c r="F60" s="124">
        <f>C7</f>
        <v>6.6666666666666679</v>
      </c>
      <c r="H60" s="120"/>
    </row>
    <row r="61" spans="1:8" ht="13.15">
      <c r="A61" s="143">
        <f t="shared" ref="A61:A66" si="3">A51</f>
        <v>5</v>
      </c>
      <c r="B61" s="124">
        <f t="shared" ref="B61:F66" si="4">B51/Common_Shares*$C$3*Exchange_Rate</f>
        <v>6.6666666666666652</v>
      </c>
      <c r="C61" s="124">
        <f t="shared" si="4"/>
        <v>6.8660148577928348</v>
      </c>
      <c r="D61" s="124">
        <f t="shared" si="4"/>
        <v>7.07059044145812</v>
      </c>
      <c r="E61" s="124">
        <f t="shared" si="4"/>
        <v>7.2806244215868041</v>
      </c>
      <c r="F61" s="124">
        <f t="shared" si="4"/>
        <v>7.4963549872595099</v>
      </c>
      <c r="H61" s="120"/>
    </row>
    <row r="62" spans="1:8" ht="13.15">
      <c r="A62" s="143">
        <f t="shared" si="3"/>
        <v>10</v>
      </c>
      <c r="B62" s="124">
        <f t="shared" si="4"/>
        <v>6.6666666666666643</v>
      </c>
      <c r="C62" s="124">
        <f t="shared" si="4"/>
        <v>7.0541472874425892</v>
      </c>
      <c r="D62" s="124">
        <f t="shared" si="4"/>
        <v>7.4790750330021849</v>
      </c>
      <c r="E62" s="124">
        <f t="shared" si="4"/>
        <v>7.9459897568668341</v>
      </c>
      <c r="F62" s="124">
        <f t="shared" si="4"/>
        <v>8.4599431459268217</v>
      </c>
      <c r="H62" s="120"/>
    </row>
    <row r="63" spans="1:8" ht="13.15">
      <c r="A63" s="143">
        <f t="shared" si="3"/>
        <v>15</v>
      </c>
      <c r="B63" s="124">
        <f t="shared" si="4"/>
        <v>6.6666666666666616</v>
      </c>
      <c r="C63" s="124">
        <f t="shared" si="4"/>
        <v>7.3092473068865083</v>
      </c>
      <c r="D63" s="124">
        <f t="shared" si="4"/>
        <v>8.0624450893353643</v>
      </c>
      <c r="E63" s="124">
        <f t="shared" si="4"/>
        <v>8.9486730958644873</v>
      </c>
      <c r="F63" s="124">
        <f t="shared" si="4"/>
        <v>9.9948317402417928</v>
      </c>
      <c r="H63" s="120"/>
    </row>
    <row r="64" spans="1:8" ht="13.15">
      <c r="A64" s="144">
        <f t="shared" si="3"/>
        <v>20</v>
      </c>
      <c r="B64" s="124">
        <f t="shared" si="4"/>
        <v>6.6666666666666616</v>
      </c>
      <c r="C64" s="124">
        <f t="shared" si="4"/>
        <v>7.5943528387301527</v>
      </c>
      <c r="D64" s="124">
        <f t="shared" si="4"/>
        <v>8.7512330001140413</v>
      </c>
      <c r="E64" s="124">
        <f t="shared" si="4"/>
        <v>10.203420069994998</v>
      </c>
      <c r="F64" s="124">
        <f t="shared" si="4"/>
        <v>12.036456969718419</v>
      </c>
      <c r="H64" s="120"/>
    </row>
    <row r="65" spans="1:8" ht="13.15">
      <c r="A65" s="144">
        <f t="shared" si="3"/>
        <v>25</v>
      </c>
      <c r="B65" s="124">
        <f t="shared" si="4"/>
        <v>6.6666666666666607</v>
      </c>
      <c r="C65" s="124">
        <f t="shared" si="4"/>
        <v>7.8853493983774952</v>
      </c>
      <c r="D65" s="124">
        <f t="shared" si="4"/>
        <v>9.4958239123044397</v>
      </c>
      <c r="E65" s="124">
        <f t="shared" si="4"/>
        <v>11.646523655560857</v>
      </c>
      <c r="F65" s="124">
        <f t="shared" si="4"/>
        <v>14.544393521622398</v>
      </c>
    </row>
    <row r="66" spans="1:8" ht="13.15">
      <c r="A66" s="144">
        <f t="shared" si="3"/>
        <v>30</v>
      </c>
      <c r="B66" s="124">
        <f t="shared" si="4"/>
        <v>6.6666666666666599</v>
      </c>
      <c r="C66" s="124">
        <f t="shared" si="4"/>
        <v>8.1671095843380694</v>
      </c>
      <c r="D66" s="124">
        <f t="shared" si="4"/>
        <v>10.261229580938418</v>
      </c>
      <c r="E66" s="124">
        <f t="shared" si="4"/>
        <v>13.230378258435143</v>
      </c>
      <c r="F66" s="124">
        <f t="shared" si="4"/>
        <v>17.497019921088636</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10</v>
      </c>
      <c r="E69" s="135">
        <f>INDEX(B$60:F$66, MATCH(D69, A$60:A$66, 0), MATCH(C69, B$59:F$59, 0))</f>
        <v>8.4599431459268217</v>
      </c>
      <c r="F69" s="142">
        <f>Scenarios!C58</f>
        <v>0.05</v>
      </c>
    </row>
    <row r="70" spans="1:8">
      <c r="B70" s="127" t="str">
        <f>Scenarios!B36</f>
        <v>Optimistic</v>
      </c>
      <c r="C70" s="142">
        <f>Scenarios!C38</f>
        <v>0.06</v>
      </c>
      <c r="D70" s="145">
        <f>Scenarios!C37</f>
        <v>5</v>
      </c>
      <c r="E70" s="135">
        <f>INDEX(B$60:F$66, MATCH(D70, A$60:A$66, 0), MATCH(C70, B$59:F$59, 0))</f>
        <v>7.2806244215868041</v>
      </c>
      <c r="F70" s="142">
        <f>Scenarios!C40*(1-F$69-F$73)</f>
        <v>0.18</v>
      </c>
      <c r="H70" s="120"/>
    </row>
    <row r="71" spans="1:8">
      <c r="B71" s="127" t="str">
        <f>Scenarios!B24</f>
        <v>Base</v>
      </c>
      <c r="C71" s="142">
        <f>Scenarios!C26</f>
        <v>0.04</v>
      </c>
      <c r="D71" s="145">
        <f>Scenarios!C25</f>
        <v>5</v>
      </c>
      <c r="E71" s="135">
        <f>INDEX(B$60:F$66, MATCH(D71, A$60:A$66, 0), MATCH(C71, B$59:F$59, 0))</f>
        <v>7.07059044145812</v>
      </c>
      <c r="F71" s="142">
        <f>Scenarios!C28*(1-F$69-F$73)</f>
        <v>0.53999999999999992</v>
      </c>
      <c r="H71" s="120"/>
    </row>
    <row r="72" spans="1:8">
      <c r="B72" s="127" t="str">
        <f>Scenarios!B30</f>
        <v>Pessimistic</v>
      </c>
      <c r="C72" s="142">
        <f>Scenarios!C32</f>
        <v>0.02</v>
      </c>
      <c r="D72" s="145">
        <f>Scenarios!C31</f>
        <v>5</v>
      </c>
      <c r="E72" s="135">
        <f>INDEX(B$60:F$66, MATCH(D72, A$60:A$66, 0), MATCH(C72, B$59:F$59, 0))</f>
        <v>6.8660148577928348</v>
      </c>
      <c r="F72" s="142">
        <f>Scenarios!C34*(1-F$69-F$73)</f>
        <v>0.18</v>
      </c>
      <c r="H72" s="120"/>
    </row>
    <row r="73" spans="1:8">
      <c r="B73" s="127" t="str">
        <f>Scenarios!B48</f>
        <v>Devil's advocate</v>
      </c>
      <c r="C73" s="142">
        <f>Scenarios!C50</f>
        <v>0</v>
      </c>
      <c r="D73" s="145">
        <f>Scenarios!C49</f>
        <v>10</v>
      </c>
      <c r="E73" s="135">
        <f>INDEX(B$60:F$66, MATCH(D73, A$60:A$66, 0), MATCH(C73, B$59:F$59, 0))</f>
        <v>6.6666666666666643</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-13.56</v>
      </c>
    </row>
    <row r="4" spans="2:9">
      <c r="B4" s="152" t="s">
        <v>146</v>
      </c>
      <c r="C4" s="120">
        <v>3</v>
      </c>
      <c r="D4" s="120"/>
      <c r="E4" s="155" t="s">
        <v>150</v>
      </c>
      <c r="F4" s="155"/>
      <c r="H4" s="247">
        <v>1</v>
      </c>
      <c r="I4" s="124">
        <f t="shared" ref="I4:I13" si="0">IF(ROW()-3 &lt; $C$76, $C$77, IF(ROW()-3 = $C$76, $C$77 + $C$60, ""))</f>
        <v>0.4</v>
      </c>
    </row>
    <row r="5" spans="2:9">
      <c r="H5" s="247">
        <v>2</v>
      </c>
      <c r="I5" s="124">
        <f t="shared" si="0"/>
        <v>0.4</v>
      </c>
    </row>
    <row r="6" spans="2:9" ht="13.15">
      <c r="B6" s="159" t="s">
        <v>95</v>
      </c>
      <c r="C6" s="107">
        <f>DCF!C3</f>
        <v>1</v>
      </c>
      <c r="E6" s="100" t="s">
        <v>279</v>
      </c>
      <c r="F6" s="100"/>
      <c r="H6" s="247">
        <v>3</v>
      </c>
      <c r="I6" s="124">
        <f t="shared" si="0"/>
        <v>10.651430255232372</v>
      </c>
    </row>
    <row r="7" spans="2:9" ht="12.75" customHeight="1">
      <c r="B7" s="100" t="s">
        <v>275</v>
      </c>
      <c r="C7" s="338">
        <f>Normalized_FCF!G8</f>
        <v>174241905</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6"/>
      <c r="H7" s="247">
        <v>4</v>
      </c>
      <c r="I7" s="124" t="str">
        <f t="shared" si="0"/>
        <v/>
      </c>
    </row>
    <row r="8" spans="2:9">
      <c r="B8" s="100" t="s">
        <v>66</v>
      </c>
      <c r="C8" s="338">
        <f>Normalized_FCF!G19</f>
        <v>147540552.86390811</v>
      </c>
      <c r="D8" t="str">
        <f>Reporting_currency</f>
        <v>CNY</v>
      </c>
      <c r="E8" s="366"/>
      <c r="F8" s="366"/>
      <c r="H8" s="247">
        <v>5</v>
      </c>
      <c r="I8" s="124" t="str">
        <f t="shared" si="0"/>
        <v/>
      </c>
    </row>
    <row r="9" spans="2:9">
      <c r="B9" s="100" t="s">
        <v>57</v>
      </c>
      <c r="C9" s="338">
        <f>Normalized_FCF!C19</f>
        <v>129478796.10975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4.2279727191083527E-3</v>
      </c>
      <c r="D12" s="158"/>
      <c r="E12" s="366"/>
      <c r="F12" s="366"/>
      <c r="H12" s="247">
        <v>9</v>
      </c>
      <c r="I12" s="124" t="str">
        <f t="shared" si="0"/>
        <v/>
      </c>
    </row>
    <row r="13" spans="2:9">
      <c r="B13" s="148" t="s">
        <v>152</v>
      </c>
      <c r="C13" s="158">
        <f ca="1">(Normalized_FCF!G8/OFFSET(Normalized_FCF!G8, 0, $C$4))^(1/$C$4) - 1</f>
        <v>-0.15075343519689044</v>
      </c>
      <c r="E13" s="366"/>
      <c r="F13" s="366"/>
      <c r="H13" s="247">
        <v>10</v>
      </c>
      <c r="I13" s="124" t="str">
        <f t="shared" si="0"/>
        <v/>
      </c>
    </row>
    <row r="14" spans="2:9">
      <c r="B14" s="100" t="s">
        <v>66</v>
      </c>
      <c r="C14" s="158">
        <f ca="1">(Normalized_FCF!G19/OFFSET(Normalized_FCF!G19, 0, $C$4))^(1/$C$4) - 1</f>
        <v>-0.15795268346639479</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13.56</v>
      </c>
      <c r="D21" t="str">
        <f>Market_currency</f>
        <v>CNY</v>
      </c>
      <c r="E21" s="367"/>
      <c r="F21" s="367"/>
    </row>
    <row r="22" spans="2:6">
      <c r="B22" s="100" t="s">
        <v>278</v>
      </c>
      <c r="C22" s="160">
        <f>IF(valuation_method="DCF",DCF!C12,DDM!C7)</f>
        <v>9.7477015390150097</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0.04</v>
      </c>
      <c r="D26" s="164"/>
      <c r="E26" s="365"/>
      <c r="F26" s="365"/>
    </row>
    <row r="27" spans="2:6">
      <c r="B27" s="100" t="s">
        <v>113</v>
      </c>
      <c r="C27" s="160">
        <f>IF(valuation_method="DCF",DCF!E76,DDM!E71)</f>
        <v>10.195693569234635</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9.968798702481882</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0.06</v>
      </c>
      <c r="D38" s="164"/>
      <c r="E38" s="365"/>
      <c r="F38" s="365"/>
    </row>
    <row r="39" spans="2:6">
      <c r="B39" s="100" t="s">
        <v>113</v>
      </c>
      <c r="C39" s="160">
        <f>IF(valuation_method="DCF",DCF!E75,DDM!E70)</f>
        <v>10.428642345823826</v>
      </c>
      <c r="D39" t="str">
        <f>Market_currency</f>
        <v>CNY</v>
      </c>
      <c r="E39" s="365"/>
      <c r="F39" s="365"/>
    </row>
    <row r="40" spans="2:6">
      <c r="B40" s="100" t="s">
        <v>147</v>
      </c>
      <c r="C40" s="167">
        <f>1-C28-C34</f>
        <v>0.2</v>
      </c>
      <c r="D40" s="165"/>
      <c r="E40" s="365"/>
      <c r="F40" s="365"/>
    </row>
    <row r="42" spans="2:6" ht="13.15">
      <c r="B42" s="100" t="s">
        <v>120</v>
      </c>
      <c r="C42" s="154">
        <f>C27*C28+C33*C34+C39*C40</f>
        <v>10.196904351201923</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9.7477015390150079</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0.08</v>
      </c>
      <c r="D56" s="164"/>
      <c r="E56" s="365"/>
      <c r="F56" s="365"/>
    </row>
    <row r="57" spans="2:6">
      <c r="B57" s="100" t="s">
        <v>113</v>
      </c>
      <c r="C57" s="160">
        <f>IF(valuation_method="DCF",DCF!E74,DDM!E69)</f>
        <v>11.736625243997818</v>
      </c>
      <c r="D57" t="str">
        <f>Market_currency</f>
        <v>CNY</v>
      </c>
      <c r="E57" s="365"/>
      <c r="F57" s="365"/>
    </row>
    <row r="58" spans="2:6">
      <c r="B58" s="100" t="s">
        <v>147</v>
      </c>
      <c r="C58" s="165">
        <v>0.05</v>
      </c>
      <c r="D58" s="165"/>
      <c r="E58" s="365"/>
      <c r="F58" s="365"/>
    </row>
    <row r="60" spans="2:6" ht="13.15">
      <c r="B60" s="100" t="s">
        <v>120</v>
      </c>
      <c r="C60" s="154">
        <f>C51*C52+C57*C58+C42*(1-C52-C58)</f>
        <v>10.251430255232371</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4.25103165866728E-2</v>
      </c>
      <c r="D65" s="151"/>
      <c r="E65" s="251" t="s">
        <v>312</v>
      </c>
    </row>
    <row r="66" spans="2:6">
      <c r="B66" s="100" t="s">
        <v>102</v>
      </c>
      <c r="C66" s="160">
        <f>IF(valuation_method="DCF",DCF!C18,DDM!C13)</f>
        <v>10.224594722795034</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0.22959710481590032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0.4</v>
      </c>
      <c r="D77" t="str">
        <f>Market_currency</f>
        <v>CNY</v>
      </c>
    </row>
    <row r="79" spans="2:6" ht="13.15">
      <c r="B79" s="109" t="s">
        <v>301</v>
      </c>
    </row>
    <row r="80" spans="2:6">
      <c r="B80" s="148" t="s">
        <v>299</v>
      </c>
      <c r="C80" s="167">
        <f>Thesis!F29</f>
        <v>0.33699999999999997</v>
      </c>
    </row>
    <row r="81" spans="2:8">
      <c r="B81" s="100" t="s">
        <v>121</v>
      </c>
      <c r="C81" s="116">
        <f>PV(C80, C76, -C77, 0)</f>
        <v>0.69031028314322296</v>
      </c>
      <c r="D81" s="116"/>
      <c r="E81" s="100"/>
      <c r="F81" s="100"/>
    </row>
    <row r="82" spans="2:8">
      <c r="B82" s="100" t="s">
        <v>122</v>
      </c>
      <c r="C82" s="116">
        <f>C60/(1+C80)^C76</f>
        <v>4.2893376993526235</v>
      </c>
      <c r="D82" s="116"/>
    </row>
    <row r="83" spans="2:8" ht="13.15">
      <c r="B83" s="110" t="s">
        <v>101</v>
      </c>
      <c r="C83" s="111">
        <f>C81+C82</f>
        <v>4.9796479824958464</v>
      </c>
      <c r="D83" t="str">
        <f>Market_currency</f>
        <v>CNY</v>
      </c>
      <c r="E83" s="146" t="s">
        <v>126</v>
      </c>
      <c r="F83" s="291">
        <f>(1-C83/C60)</f>
        <v>0.51424846499304677</v>
      </c>
    </row>
    <row r="84" spans="2:8">
      <c r="E84" s="120"/>
    </row>
    <row r="85" spans="2:8" ht="13.15">
      <c r="B85" s="109" t="s">
        <v>302</v>
      </c>
    </row>
    <row r="86" spans="2:8">
      <c r="B86" s="148" t="s">
        <v>300</v>
      </c>
      <c r="C86" s="116">
        <f>Market_Price</f>
        <v>13.56</v>
      </c>
      <c r="D86" t="str">
        <f>Market_currency</f>
        <v>CNY</v>
      </c>
    </row>
    <row r="87" spans="2:8" ht="13.15">
      <c r="B87" s="100" t="s">
        <v>298</v>
      </c>
      <c r="C87" s="237">
        <f ca="1">IRR(OFFSET($I$3, 0, 0, $C$76 + 1, 1))</f>
        <v>-5.661661689545272E-2</v>
      </c>
    </row>
    <row r="88" spans="2:8">
      <c r="B88" s="100"/>
    </row>
    <row r="89" spans="2:8" ht="13.15">
      <c r="B89" s="109" t="s">
        <v>412</v>
      </c>
    </row>
    <row r="90" spans="2:8">
      <c r="B90" s="148" t="s">
        <v>413</v>
      </c>
      <c r="C90" s="167">
        <f>Thesis!F30</f>
        <v>0.187</v>
      </c>
    </row>
    <row r="91" spans="2:8">
      <c r="B91" s="100" t="s">
        <v>121</v>
      </c>
      <c r="C91" s="116">
        <f>PV(C90, C76, -C77, 0)</f>
        <v>0.86005014536183588</v>
      </c>
      <c r="D91" s="116"/>
      <c r="E91" s="100"/>
      <c r="F91" s="100"/>
    </row>
    <row r="92" spans="2:8">
      <c r="B92" s="100" t="s">
        <v>122</v>
      </c>
      <c r="C92" s="116">
        <f>C60/(1+C90)^C76</f>
        <v>6.1296023972810385</v>
      </c>
      <c r="D92" s="116"/>
    </row>
    <row r="93" spans="2:8" ht="13.15">
      <c r="B93" s="110" t="s">
        <v>101</v>
      </c>
      <c r="C93" s="111">
        <f>C91+C92</f>
        <v>6.9896525426428742</v>
      </c>
      <c r="D93" t="str">
        <f>Market_currency</f>
        <v>CNY</v>
      </c>
      <c r="E93" s="146" t="s">
        <v>126</v>
      </c>
      <c r="F93" s="291">
        <f>(1-C93/C60)</f>
        <v>0.31817781825366975</v>
      </c>
    </row>
    <row r="95" spans="2:8" ht="13.15">
      <c r="B95" s="109" t="s">
        <v>397</v>
      </c>
      <c r="G95" s="2"/>
      <c r="H95" s="281"/>
    </row>
    <row r="96" spans="2:8">
      <c r="B96" s="148" t="s">
        <v>403</v>
      </c>
      <c r="C96" s="134">
        <f>Thesis!F31</f>
        <v>0.06</v>
      </c>
      <c r="G96" s="2"/>
      <c r="H96" s="281"/>
    </row>
    <row r="97" spans="2:8">
      <c r="B97" s="100" t="s">
        <v>121</v>
      </c>
      <c r="C97" s="116">
        <f>PV(C96, C76, -C77, 0)</f>
        <v>1.069204779784656</v>
      </c>
      <c r="D97" s="116"/>
      <c r="G97" s="2"/>
      <c r="H97" s="281"/>
    </row>
    <row r="98" spans="2:8">
      <c r="B98" s="100" t="s">
        <v>122</v>
      </c>
      <c r="C98" s="116">
        <f>C60/(1+C96)^C76</f>
        <v>8.6072985209538491</v>
      </c>
      <c r="D98" s="116"/>
      <c r="G98" s="2"/>
      <c r="H98" s="281"/>
    </row>
    <row r="99" spans="2:8" ht="13.15">
      <c r="B99" s="110" t="s">
        <v>398</v>
      </c>
      <c r="C99" s="111">
        <f>C97+C98</f>
        <v>9.6765033007385046</v>
      </c>
      <c r="D99" t="s">
        <v>396</v>
      </c>
      <c r="E99" s="146" t="s">
        <v>126</v>
      </c>
      <c r="F99" s="291">
        <f>(1-C99/C60)</f>
        <v>5.6082608980383197E-2</v>
      </c>
    </row>
    <row r="100" spans="2:8">
      <c r="B100" s="100"/>
    </row>
    <row r="101" spans="2:8" ht="13.15">
      <c r="B101" s="109" t="s">
        <v>422</v>
      </c>
    </row>
    <row r="102" spans="2:8">
      <c r="B102" s="148" t="s">
        <v>421</v>
      </c>
      <c r="C102" s="134">
        <f>Thesis!F32</f>
        <v>8.6999999999999994E-2</v>
      </c>
    </row>
    <row r="103" spans="2:8">
      <c r="B103" s="100" t="s">
        <v>121</v>
      </c>
      <c r="C103" s="116">
        <f>PV(C102, C76, -C77, 0)</f>
        <v>1.0179560233797402</v>
      </c>
      <c r="D103" s="116"/>
    </row>
    <row r="104" spans="2:8">
      <c r="B104" s="100" t="s">
        <v>122</v>
      </c>
      <c r="C104" s="116">
        <f>C60/(1+C102)^C76</f>
        <v>7.981707879328158</v>
      </c>
      <c r="D104" s="116"/>
    </row>
    <row r="105" spans="2:8" ht="13.15">
      <c r="B105" s="110" t="s">
        <v>398</v>
      </c>
      <c r="C105" s="111">
        <f>C103+C104</f>
        <v>8.9996639027078977</v>
      </c>
      <c r="D105" t="s">
        <v>396</v>
      </c>
      <c r="E105" s="146" t="s">
        <v>126</v>
      </c>
      <c r="F105" s="291">
        <f>(1-C105/C66)</f>
        <v>0.11980238369313911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2025-06-05T10:04:52Z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