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CDDC1FC-322D-4952-A63E-E6E8EF273182}" xr6:coauthVersionLast="47" xr6:coauthVersionMax="47" xr10:uidLastSave="{00000000-0000-0000-0000-000000000000}"/>
  <bookViews>
    <workbookView xWindow="-98" yWindow="-98" windowWidth="17115" windowHeight="10755" firstSheet="7" activeTab="7"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Breakdown" sheetId="12" r:id="rId8"/>
  </sheets>
  <externalReferences>
    <externalReference r:id="rId9"/>
  </externalReferences>
  <definedNames>
    <definedName name="_xlnm._FilterDatabase" localSheetId="4" hidden="1">DCF!$B$73:$H$73</definedName>
    <definedName name="_xlnm._FilterDatabase" localSheetId="5" hidden="1">DDM!$B$68:$H$68</definedName>
    <definedName name="Common_Shares" localSheetId="7">[1]Thesis!$C$6</definedName>
    <definedName name="Common_Shares">Thesis!$C$6</definedName>
    <definedName name="dividend_tax_rate" localSheetId="7">[1]Normalized_FCF!$C$93</definedName>
    <definedName name="dividend_tax_rate">Normalized_FCF!$C$93</definedName>
    <definedName name="Equity_Cost" localSheetId="7">[1]Thesis!$C$86</definedName>
    <definedName name="Equity_Cost">Thesis!$C$86</definedName>
    <definedName name="Exchange_Rate" localSheetId="7">[1]Thesis!$C$16</definedName>
    <definedName name="Exchange_Rate">Thesis!$C$16</definedName>
    <definedName name="Market_currency" localSheetId="7">[1]Thesis!$C$13</definedName>
    <definedName name="Market_currency">Thesis!$C$13</definedName>
    <definedName name="Market_Price" localSheetId="7">[1]Thesis!$C$12</definedName>
    <definedName name="Market_Price">Thesis!$C$12</definedName>
    <definedName name="Reporting_currency" localSheetId="7">[1]Thesis!$C$25</definedName>
    <definedName name="Reporting_currency">Thesis!$C$25</definedName>
    <definedName name="scaling_factor" localSheetId="7">[1]Data!$C$3</definedName>
    <definedName name="scaling_factor">Data!$C$3</definedName>
    <definedName name="Terminal_Growth" localSheetId="7">[1]Thesis!$C$92</definedName>
    <definedName name="Terminal_Growth">Thesis!$C$92</definedName>
    <definedName name="valuation_method" localSheetId="7">[1]Thesis!$E$21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O94" i="2"/>
  <c r="Q92" i="2"/>
  <c r="Q94" i="2"/>
  <c r="J94" i="2"/>
  <c r="P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<sst xmlns="http://schemas.openxmlformats.org/spreadsheetml/2006/main" count="687" uniqueCount="466">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</sst>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7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84E26CB8-48BA-41B7-A5C3-FFB4C4D2670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291855438</v>
          </cell>
        </row>
        <row r="12">
          <cell r="C12">
            <v>14.64</v>
          </cell>
        </row>
        <row r="13">
          <cell r="C13" t="str">
            <v>CNY</v>
          </cell>
        </row>
        <row r="16">
          <cell r="C16">
            <v>1</v>
          </cell>
        </row>
        <row r="21">
          <cell r="E21" t="str">
            <v>DCF</v>
          </cell>
        </row>
        <row r="25">
          <cell r="C25" t="str">
            <v>CNY</v>
          </cell>
        </row>
        <row r="86">
          <cell r="C86">
            <v>0.06</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58" zoomScale="85" zoomScaleNormal="100" workbookViewId="0">
      <selection activeCell="B184" sqref="B184"/>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457</v>
      </c>
      <c r="E1" s="292" t="s">
        <v>350</v>
      </c>
      <c r="F1" s="254" t="s">
        <v>458</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459</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460</v>
      </c>
      <c r="D11" s="49" t="s">
        <v>461</v>
      </c>
      <c r="E11" s="34"/>
    </row>
    <row r="12" spans="1:10">
      <c r="B12" s="4" t="s">
        <v>94</v>
      </c>
      <c r="C12" s="50">
        <v>14.64</v>
      </c>
      <c r="D12" s="50"/>
      <c r="E12" s="48"/>
    </row>
    <row r="13" spans="1:10">
      <c r="B13" s="1" t="s">
        <v>413</v>
      </c>
      <c r="C13" s="48" t="s">
        <v>411</v>
      </c>
      <c r="D13" s="48"/>
      <c r="E13" s="5"/>
    </row>
    <row r="14" spans="1:10">
      <c r="B14" s="4" t="s">
        <v>417</v>
      </c>
      <c r="C14" s="35">
        <f>Thesis!C12*Common_Shares/1000000</f>
        <v>4272.76361232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462</v>
      </c>
      <c r="D22" s="1" t="str">
        <f>IF(valuation_method="DDM","DDM Terminal Value","")</f>
        <v/>
      </c>
      <c r="E22" s="313"/>
    </row>
    <row r="23" spans="2:6">
      <c r="B23" s="1" t="s">
        <v>431</v>
      </c>
      <c r="C23" s="262" t="s">
        <v>458</v>
      </c>
    </row>
    <row r="24" spans="2:6">
      <c r="B24" s="1" t="s">
        <v>432</v>
      </c>
      <c r="C24" s="262" t="s">
        <v>458</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-8.4242640912131184E-2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4.777129606353653</v>
      </c>
      <c r="D29" s="310" t="str">
        <f>D149</f>
        <v/>
      </c>
      <c r="E29" s="306" t="s">
        <v>421</v>
      </c>
      <c r="F29" s="302">
        <v>0.35</v>
      </c>
    </row>
    <row r="30" spans="2:6">
      <c r="B30" s="1" t="s">
        <v>423</v>
      </c>
      <c r="C30" s="311">
        <f>C157</f>
        <v>5.951452290678974</v>
      </c>
      <c r="D30" s="311" t="str">
        <f>D157</f>
        <v/>
      </c>
      <c r="E30" s="307" t="s">
        <v>434</v>
      </c>
      <c r="F30" s="312">
        <v>0.25</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3.0303290295866932E-2</v>
      </c>
      <c r="F69" s="314"/>
    </row>
    <row r="70" spans="1:6">
      <c r="B70" s="227" t="s">
        <v>454</v>
      </c>
      <c r="C70" s="92">
        <f>Normalized_FCF!C94</f>
        <v>2.4590163934426233E-2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0.35</v>
      </c>
    </row>
    <row r="147" spans="2:4">
      <c r="B147" s="212" t="str">
        <f>"PV("&amp;C141&amp;" yrs of Dividends)"</f>
        <v>PV(3 yrs of Dividends)</v>
      </c>
      <c r="C147" s="216">
        <f>Scenarios!C81</f>
        <v>0.61051668952903537</v>
      </c>
    </row>
    <row r="148" spans="2:4">
      <c r="B148" s="212" t="str">
        <f>"+ PV(Equity Value realized at year "&amp;C141&amp;")"</f>
        <v>+ PV(Equity Value realized at year 3)</v>
      </c>
      <c r="C148" s="216">
        <f>Scenarios!C82</f>
        <v>4.1666129168246178</v>
      </c>
    </row>
    <row r="149" spans="2:4">
      <c r="B149" s="80" t="s">
        <v>259</v>
      </c>
      <c r="C149" s="215">
        <f>Scenarios!C83</f>
        <v>4.777129606353653</v>
      </c>
      <c r="D149" s="300" t="str">
        <f>IF($D$11="","",C149*$E$25)</f>
        <v/>
      </c>
    </row>
    <row r="150" spans="2:4">
      <c r="B150" s="259" t="s">
        <v>413</v>
      </c>
      <c r="C150" s="298" t="str">
        <f>Market_currency</f>
        <v>CNY</v>
      </c>
      <c r="D150" s="298" t="str">
        <f>IF($D$11="","",D$13)</f>
        <v/>
      </c>
    </row>
    <row r="151" spans="2:4">
      <c r="B151" s="214" t="s">
        <v>261</v>
      </c>
      <c r="C151" s="92">
        <f>Scenarios!F83</f>
        <v>0.53400359877438697</v>
      </c>
    </row>
    <row r="153" spans="2:4">
      <c r="B153" s="210" t="s">
        <v>408</v>
      </c>
    </row>
    <row r="154" spans="2:4">
      <c r="B154" s="1" t="s">
        <v>407</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5.2487322906789737</v>
      </c>
    </row>
    <row r="157" spans="2:4">
      <c r="B157" s="80" t="s">
        <v>259</v>
      </c>
      <c r="C157" s="215">
        <f>Scenarios!C93</f>
        <v>5.951452290678974</v>
      </c>
      <c r="D157" s="300" t="str">
        <f>IF($D$11="","",C157*$E$25)</f>
        <v/>
      </c>
    </row>
    <row r="158" spans="2:4">
      <c r="B158" s="259" t="s">
        <v>413</v>
      </c>
      <c r="C158" s="298" t="str">
        <f>Market_currency</f>
        <v>CNY</v>
      </c>
      <c r="D158" s="298" t="str">
        <f>IF($D$11="","",D$13)</f>
        <v/>
      </c>
    </row>
    <row r="159" spans="2:4">
      <c r="B159" s="214" t="s">
        <v>261</v>
      </c>
      <c r="C159" s="92">
        <f>Scenarios!F93</f>
        <v>0.41945151627585542</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464</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465</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2.4590163934426233E-2</v>
      </c>
      <c r="E94" s="268"/>
      <c r="G94" s="23">
        <f t="shared" ref="G94:Q94" si="39">IF(G$4="","",(G90*(1-dividend_tax_rate))/Market_Price)</f>
        <v>2.4590163934426233E-2</v>
      </c>
      <c r="H94" s="23">
        <f t="shared" si="39"/>
        <v>2.4590163934426233E-2</v>
      </c>
      <c r="I94" s="23">
        <f t="shared" si="39"/>
        <v>2.4590163934426233E-2</v>
      </c>
      <c r="J94" s="23">
        <f t="shared" si="39"/>
        <v>2.4590163934426233E-2</v>
      </c>
      <c r="K94" s="23">
        <f t="shared" si="39"/>
        <v>1.2295081967213116E-2</v>
      </c>
      <c r="L94" s="23">
        <f t="shared" si="39"/>
        <v>1.2295081967213116E-2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3.0303290295866932E-2</v>
      </c>
      <c r="D126" s="27"/>
      <c r="E126" s="265"/>
      <c r="F126" s="27"/>
      <c r="G126" s="77">
        <f t="shared" ref="G126" si="50">IF(G$4="","",G125/Market_Price)</f>
        <v>3.453047400948947E-2</v>
      </c>
      <c r="H126" s="77">
        <f t="shared" ref="H126" si="51">IF(H$4="","",H125/Market_Price)</f>
        <v>4.5408331041562063E-2</v>
      </c>
      <c r="I126" s="77">
        <f t="shared" ref="I126" si="52">IF(I$4="","",I125/Market_Price)</f>
        <v>8.9311828896021336E-2</v>
      </c>
      <c r="J126" s="77">
        <f t="shared" ref="J126" si="53">IF(J$4="","",J125/Market_Price)</f>
        <v>5.783530784268847E-2</v>
      </c>
      <c r="K126" s="77">
        <f t="shared" ref="K126" si="54">IF(K$4="","",K125/Market_Price)</f>
        <v>4.3249088339427401E-2</v>
      </c>
      <c r="L126" s="77">
        <f t="shared" ref="L126" si="55">IF(L$4="","",L125/Market_Price)</f>
        <v>3.593033884915027E-2</v>
      </c>
      <c r="M126" s="77">
        <f t="shared" ref="M126" si="56">IF(M$4="","",M125/Market_Price)</f>
        <v>2.5336713907483051E-2</v>
      </c>
      <c r="N126" s="77">
        <f t="shared" ref="N126" si="57">IF(N$4="","",N125/Market_Price)</f>
        <v>2.3032452981072996E-2</v>
      </c>
      <c r="O126" s="77">
        <f t="shared" ref="O126" si="58">IF(O$4="","",O125/Market_Price)</f>
        <v>1.5238528013171928E-2</v>
      </c>
      <c r="P126" s="77">
        <f t="shared" ref="P126" si="59">IF(P$4="","",P125/Market_Price)</f>
        <v>1.4899980147844416E-2</v>
      </c>
      <c r="Q126" s="77" t="str">
        <f t="shared" ref="Q126" si="60">IF(Q$4="","",Q125/Market_Price)</f>
        <v/>
      </c>
    </row>
    <row r="127" spans="1:17" ht="15.75" customHeight="1">
      <c r="B127" s="2" t="s">
        <v>391</v>
      </c>
      <c r="C127" s="169"/>
      <c r="G127" s="23">
        <f>IF(G$4="","",(Data!C47*$C$3)/(Market_Price*Common_Shares))</f>
        <v>4.4825832032398365E-2</v>
      </c>
      <c r="H127" s="23">
        <f>IF(H$4="","",(Data!D47*$C$3)/(Market_Price*Common_Shares))</f>
        <v>5.5018042262431205E-2</v>
      </c>
      <c r="I127" s="23">
        <f>IF(I$4="","",(Data!E47*$C$3)/(Market_Price*Common_Shares))</f>
        <v>9.8812356195561987E-2</v>
      </c>
      <c r="J127" s="23">
        <f>IF(J$4="","",(Data!F47*$C$3)/(Market_Price*Common_Shares))</f>
        <v>5.9069398146030128E-2</v>
      </c>
      <c r="K127" s="23">
        <f>IF(K$4="","",(Data!G47*$C$3)/(Market_Price*Common_Shares))</f>
        <v>4.1811641646844346E-2</v>
      </c>
      <c r="L127" s="23">
        <f>IF(L$4="","",(Data!H47*$C$3)/(Market_Price*Common_Shares))</f>
        <v>3.3870461165395604E-2</v>
      </c>
      <c r="M127" s="23">
        <f>IF(M$4="","",(Data!I47*$C$3)/(Market_Price*Common_Shares))</f>
        <v>2.4748932914307065E-2</v>
      </c>
      <c r="N127" s="23">
        <f>IF(N$4="","",(Data!J47*$C$3)/(Market_Price*Common_Shares))</f>
        <v>1.7226818677205918E-2</v>
      </c>
      <c r="O127" s="23">
        <f>IF(O$4="","",(Data!K47*$C$3)/(Market_Price*Common_Shares))</f>
        <v>1.5115766950873142E-2</v>
      </c>
      <c r="P127" s="23">
        <f>IF(P$4="","",(Data!L47*$C$3)/(Market_Price*Common_Shares))</f>
        <v>1.3454899268060521E-2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-14.64</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14.64</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0.35</v>
      </c>
    </row>
    <row r="81" spans="2:8">
      <c r="B81" s="100" t="s">
        <v>120</v>
      </c>
      <c r="C81" s="116">
        <f>PV(C80, C76, -C77, 0)</f>
        <v>0.61051668952903537</v>
      </c>
      <c r="D81" s="116"/>
      <c r="E81" s="100"/>
      <c r="F81" s="100"/>
    </row>
    <row r="82" spans="2:8">
      <c r="B82" s="100" t="s">
        <v>121</v>
      </c>
      <c r="C82" s="116">
        <f>C60/(1+C80)^C76</f>
        <v>4.1666129168246178</v>
      </c>
      <c r="D82" s="116"/>
    </row>
    <row r="83" spans="2:8" ht="13.15">
      <c r="B83" s="110" t="s">
        <v>101</v>
      </c>
      <c r="C83" s="111">
        <f>C81+C82</f>
        <v>4.777129606353653</v>
      </c>
      <c r="D83" t="str">
        <f>Market_currency</f>
        <v>CNY</v>
      </c>
      <c r="E83" s="146" t="s">
        <v>125</v>
      </c>
      <c r="F83" s="291">
        <f>(1-C83/C60)</f>
        <v>0.53400359877438697</v>
      </c>
    </row>
    <row r="84" spans="2:8">
      <c r="E84" s="120"/>
    </row>
    <row r="85" spans="2:8" ht="13.15">
      <c r="B85" s="109" t="s">
        <v>301</v>
      </c>
    </row>
    <row r="86" spans="2:8">
      <c r="B86" s="148" t="s">
        <v>299</v>
      </c>
      <c r="C86" s="116">
        <f>Market_Price</f>
        <v>14.64</v>
      </c>
      <c r="D86" t="str">
        <f>Market_currency</f>
        <v>CNY</v>
      </c>
    </row>
    <row r="87" spans="2:8" ht="13.15">
      <c r="B87" s="100" t="s">
        <v>297</v>
      </c>
      <c r="C87" s="237">
        <f ca="1">IRR(OFFSET($I$3, 0, 0, $C$76 + 1, 1))</f>
        <v>-8.4242640912131184E-2</v>
      </c>
    </row>
    <row r="88" spans="2:8">
      <c r="B88" s="100"/>
    </row>
    <row r="89" spans="2:8" ht="13.15">
      <c r="B89" s="109" t="s">
        <v>409</v>
      </c>
    </row>
    <row r="90" spans="2:8">
      <c r="B90" s="148" t="s">
        <v>410</v>
      </c>
      <c r="C90" s="167">
        <f>Thesis!F30</f>
        <v>0.25</v>
      </c>
    </row>
    <row r="91" spans="2:8">
      <c r="B91" s="100" t="s">
        <v>120</v>
      </c>
      <c r="C91" s="116">
        <f>PV(C90, C76, -C77, 0)</f>
        <v>0.70272000000000001</v>
      </c>
      <c r="D91" s="116"/>
      <c r="E91" s="100"/>
      <c r="F91" s="100"/>
    </row>
    <row r="92" spans="2:8">
      <c r="B92" s="100" t="s">
        <v>121</v>
      </c>
      <c r="C92" s="116">
        <f>C60/(1+C90)^C76</f>
        <v>5.2487322906789737</v>
      </c>
      <c r="D92" s="116"/>
    </row>
    <row r="93" spans="2:8" ht="13.15">
      <c r="B93" s="110" t="s">
        <v>101</v>
      </c>
      <c r="C93" s="111">
        <f>C91+C92</f>
        <v>5.951452290678974</v>
      </c>
      <c r="D93" t="str">
        <f>Market_currency</f>
        <v>CNY</v>
      </c>
      <c r="E93" s="146" t="s">
        <v>125</v>
      </c>
      <c r="F93" s="291">
        <f>(1-C93/C60)</f>
        <v>0.41945151627585542</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7C68D-4283-4D3F-A813-3C9F171BE969}">
  <dimension ref="B2:E2"/>
  <sheetViews>
    <sheetView showGridLines="0" tabSelected="1" workbookViewId="0">
      <selection activeCell="E38" sqref="E38"/>
    </sheetView>
  </sheetViews>
  <sheetFormatPr defaultRowHeight="12.75"/>
  <cols>
    <col min="1" max="1" width="2.59765625" style="372" customWidth="1"/>
    <col min="2" max="2" width="22.73046875" style="372" customWidth="1"/>
    <col min="3" max="5" width="20.73046875" style="372" customWidth="1"/>
    <col min="6" max="16384" width="9.06640625" style="372"/>
  </cols>
  <sheetData>
    <row r="2" spans="2:5" ht="13.9">
      <c r="B2" s="370" t="s">
        <v>456</v>
      </c>
      <c r="C2" s="371"/>
      <c r="D2" s="371"/>
      <c r="E2" s="37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10</vt:i4>
      </vt:variant>
    </vt:vector>
  </HeadingPairs>
  <TitlesOfParts>
    <vt:vector size="18" baseType="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2025-07-09T03:03:56Z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