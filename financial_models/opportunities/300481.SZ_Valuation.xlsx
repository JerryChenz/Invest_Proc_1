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DDD7C0B-3306-429C-9EEC-6EE8DA5FEF28}"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J94" i="2"/>
  <c r="N94" i="2"/>
  <c r="P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<sst xmlns="http://schemas.openxmlformats.org/spreadsheetml/2006/main" count="686" uniqueCount="465">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</sst>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13.82</v>
      </c>
      <c r="D12" s="50"/>
      <c r="E12" s="48"/>
    </row>
    <row r="13" spans="1:10">
      <c r="B13" s="1" t="s">
        <v>413</v>
      </c>
      <c r="C13" s="48" t="s">
        <v>411</v>
      </c>
      <c r="D13" s="48"/>
      <c r="E13" s="5"/>
    </row>
    <row r="14" spans="1:10">
      <c r="B14" s="4" t="s">
        <v>417</v>
      </c>
      <c r="C14" s="35">
        <f>Thesis!C12*Common_Shares/1000000</f>
        <v>4033.4421531599996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10.251430255232371</v>
      </c>
      <c r="D26" s="1" t="s">
        <v>396</v>
      </c>
      <c r="E26" s="301">
        <f ca="1">Scenarios!C87</f>
        <v>-6.5958680292173444E-2</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4.9106169541815241</v>
      </c>
      <c r="D29" s="310" t="str">
        <f>D149</f>
        <v/>
      </c>
      <c r="E29" s="306" t="s">
        <v>421</v>
      </c>
      <c r="F29" s="302">
        <v>0.33699999999999997</v>
      </c>
    </row>
    <row r="30" spans="2:6">
      <c r="B30" s="1" t="s">
        <v>423</v>
      </c>
      <c r="C30" s="311">
        <f>C157</f>
        <v>6.9036475281066911</v>
      </c>
      <c r="D30" s="311" t="str">
        <f>D157</f>
        <v/>
      </c>
      <c r="E30" s="307" t="s">
        <v>434</v>
      </c>
      <c r="F30" s="312">
        <v>0.187</v>
      </c>
    </row>
    <row r="31" spans="2:6">
      <c r="B31" s="1" t="s">
        <v>424</v>
      </c>
      <c r="C31" s="311">
        <f>C165</f>
        <v>9.5695828227600401</v>
      </c>
      <c r="D31" s="311" t="str">
        <f>D165</f>
        <v/>
      </c>
      <c r="E31" s="307" t="s">
        <v>433</v>
      </c>
      <c r="F31" s="312">
        <v>0.06</v>
      </c>
    </row>
    <row r="32" spans="2:6">
      <c r="B32" s="1" t="s">
        <v>425</v>
      </c>
      <c r="C32" s="311">
        <f>C173</f>
        <v>8.8978683003699235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174475161</v>
      </c>
      <c r="D41" s="1" t="str">
        <f>Reporting_currency</f>
        <v>CNY</v>
      </c>
    </row>
    <row r="42" spans="1:6">
      <c r="B42" s="47"/>
      <c r="C42" s="76"/>
    </row>
    <row r="43" spans="1:6" ht="24.6" customHeight="1">
      <c r="B43" s="361" t="s">
        <v>232</v>
      </c>
      <c r="C43" s="361"/>
      <c r="D43" s="361"/>
      <c r="E43" s="361"/>
      <c r="F43" s="361"/>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-43159598.703249998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3.2101314756258464E-2</v>
      </c>
      <c r="F69" s="314"/>
    </row>
    <row r="70" spans="1:6">
      <c r="B70" s="227" t="s">
        <v>454</v>
      </c>
      <c r="C70" s="92">
        <f>Normalized_FCF!C94</f>
        <v>2.6049204052098412E-2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7.3940028321915312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60" t="s">
        <v>363</v>
      </c>
      <c r="C116" s="360"/>
      <c r="D116" s="360"/>
      <c r="E116" s="360"/>
      <c r="F116" s="360"/>
    </row>
    <row r="118" spans="1:6">
      <c r="B118" s="47" t="s">
        <v>446</v>
      </c>
      <c r="C118" s="223">
        <f>IF(valuation_method="DCF",DCF!C12,DDM!C7)</f>
        <v>9.7477015390150097</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257</v>
      </c>
      <c r="C132" s="217">
        <f>Scenarios!C60</f>
        <v>10.251430255232371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4.2893376993526235</v>
      </c>
    </row>
    <row r="149" spans="2:4">
      <c r="B149" s="80" t="s">
        <v>259</v>
      </c>
      <c r="C149" s="215">
        <f>Scenarios!C83</f>
        <v>4.9106169541815241</v>
      </c>
      <c r="D149" s="300" t="str">
        <f>IF($D$11="","",C149*$E$25)</f>
        <v/>
      </c>
    </row>
    <row r="150" spans="2:4">
      <c r="B150" s="259" t="s">
        <v>413</v>
      </c>
      <c r="C150" s="298" t="str">
        <f>Market_currency</f>
        <v>CNY</v>
      </c>
      <c r="D150" s="298" t="str">
        <f>IF($D$11="","",D$13)</f>
        <v/>
      </c>
    </row>
    <row r="151" spans="2:4">
      <c r="B151" s="214" t="s">
        <v>261</v>
      </c>
      <c r="C151" s="92">
        <f>Scenarios!F83</f>
        <v>0.52098225984855873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6.1296023972810385</v>
      </c>
    </row>
    <row r="157" spans="2:4">
      <c r="B157" s="80" t="s">
        <v>259</v>
      </c>
      <c r="C157" s="215">
        <f>Scenarios!C93</f>
        <v>6.9036475281066911</v>
      </c>
      <c r="D157" s="300" t="str">
        <f>IF($D$11="","",C157*$E$25)</f>
        <v/>
      </c>
    </row>
    <row r="158" spans="2:4">
      <c r="B158" s="259" t="s">
        <v>413</v>
      </c>
      <c r="C158" s="298" t="str">
        <f>Market_currency</f>
        <v>CNY</v>
      </c>
      <c r="D158" s="298" t="str">
        <f>IF($D$11="","",D$13)</f>
        <v/>
      </c>
    </row>
    <row r="159" spans="2:4">
      <c r="B159" s="214" t="s">
        <v>261</v>
      </c>
      <c r="C159" s="92">
        <f>Scenarios!F93</f>
        <v>0.32656738072396863</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8.6072985209538491</v>
      </c>
    </row>
    <row r="165" spans="2:4">
      <c r="B165" s="80" t="s">
        <v>398</v>
      </c>
      <c r="C165" s="215">
        <f>Scenarios!C99</f>
        <v>9.5695828227600401</v>
      </c>
      <c r="D165" s="300" t="str">
        <f>IF($D$11="","",C165*$E$25)</f>
        <v/>
      </c>
    </row>
    <row r="166" spans="2:4">
      <c r="B166" s="259" t="s">
        <v>413</v>
      </c>
      <c r="C166" s="298" t="str">
        <f>Market_currency</f>
        <v>CNY</v>
      </c>
      <c r="D166" s="298" t="str">
        <f>IF($D$11="","",D$13)</f>
        <v/>
      </c>
    </row>
    <row r="167" spans="2:4">
      <c r="B167" s="214" t="s">
        <v>261</v>
      </c>
      <c r="C167" s="92">
        <f>Scenarios!F99</f>
        <v>6.6512419779114595E-2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7.981707879328158</v>
      </c>
    </row>
    <row r="173" spans="2:4">
      <c r="B173" s="80" t="s">
        <v>398</v>
      </c>
      <c r="C173" s="215">
        <f>Scenarios!C105</f>
        <v>8.8978683003699235</v>
      </c>
      <c r="D173" s="300" t="str">
        <f>IF($D$11="","",C173*$E$25)</f>
        <v/>
      </c>
    </row>
    <row r="174" spans="2:4">
      <c r="B174" s="259" t="s">
        <v>413</v>
      </c>
      <c r="C174" s="298" t="str">
        <f>Market_currency</f>
        <v>CNY</v>
      </c>
      <c r="D174" s="298" t="str">
        <f>IF($D$11="","",D$13)</f>
        <v/>
      </c>
    </row>
    <row r="175" spans="2:4">
      <c r="B175" s="214" t="s">
        <v>261</v>
      </c>
      <c r="C175" s="92">
        <f>Scenarios!F105</f>
        <v>0.12975833843734319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463</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2.6049204052098412E-2</v>
      </c>
      <c r="E94" s="268"/>
      <c r="G94" s="23">
        <f t="shared" ref="G94:Q94" si="39">IF(G$4="","",(G90*(1-dividend_tax_rate))/Market_Price)</f>
        <v>2.6049204052098412E-2</v>
      </c>
      <c r="H94" s="23">
        <f t="shared" si="39"/>
        <v>2.6049204052098412E-2</v>
      </c>
      <c r="I94" s="23">
        <f t="shared" si="39"/>
        <v>2.6049204052098412E-2</v>
      </c>
      <c r="J94" s="23">
        <f t="shared" si="39"/>
        <v>2.6049204052098412E-2</v>
      </c>
      <c r="K94" s="23">
        <f t="shared" si="39"/>
        <v>1.3024602026049206E-2</v>
      </c>
      <c r="L94" s="23">
        <f t="shared" si="39"/>
        <v>1.3024602026049206E-2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3.2101314756258464E-2</v>
      </c>
      <c r="D126" s="27"/>
      <c r="E126" s="265"/>
      <c r="F126" s="27"/>
      <c r="G126" s="77">
        <f t="shared" ref="G126" si="50">IF(G$4="","",G125/Market_Price)</f>
        <v>3.6579315448547457E-2</v>
      </c>
      <c r="H126" s="77">
        <f t="shared" ref="H126" si="51">IF(H$4="","",H125/Market_Price)</f>
        <v>4.8102602492653301E-2</v>
      </c>
      <c r="I126" s="77">
        <f t="shared" ref="I126" si="52">IF(I$4="","",I125/Market_Price)</f>
        <v>9.4611083577261376E-2</v>
      </c>
      <c r="J126" s="77">
        <f t="shared" ref="J126" si="53">IF(J$4="","",J125/Market_Price)</f>
        <v>6.1266925240011517E-2</v>
      </c>
      <c r="K126" s="77">
        <f t="shared" ref="K126" si="54">IF(K$4="","",K125/Market_Price)</f>
        <v>4.5815242640319623E-2</v>
      </c>
      <c r="L126" s="77">
        <f t="shared" ref="L126" si="55">IF(L$4="","",L125/Market_Price)</f>
        <v>3.8062240285930533E-2</v>
      </c>
      <c r="M126" s="77">
        <f t="shared" ref="M126" si="56">IF(M$4="","",M125/Market_Price)</f>
        <v>2.6840050043817069E-2</v>
      </c>
      <c r="N126" s="77">
        <f t="shared" ref="N126" si="57">IF(N$4="","",N125/Market_Price)</f>
        <v>2.4399067412656197E-2</v>
      </c>
      <c r="O126" s="77">
        <f t="shared" ref="O126" si="58">IF(O$4="","",O125/Market_Price)</f>
        <v>1.6142695377195156E-2</v>
      </c>
      <c r="P126" s="77">
        <f t="shared" ref="P126" si="59">IF(P$4="","",P125/Market_Price)</f>
        <v>1.5784060011898859E-2</v>
      </c>
      <c r="Q126" s="77" t="str">
        <f t="shared" ref="Q126" si="60">IF(Q$4="","",Q125/Market_Price)</f>
        <v/>
      </c>
    </row>
    <row r="127" spans="1:17" ht="15.75" customHeight="1">
      <c r="B127" s="2" t="s">
        <v>391</v>
      </c>
      <c r="C127" s="169"/>
      <c r="G127" s="23">
        <f>IF(G$4="","",(Data!C47*$C$3)/(Market_Price*Common_Shares))</f>
        <v>4.7485541313626055E-2</v>
      </c>
      <c r="H127" s="23">
        <f>IF(H$4="","",(Data!D47*$C$3)/(Market_Price*Common_Shares))</f>
        <v>5.8282499183935813E-2</v>
      </c>
      <c r="I127" s="23">
        <f>IF(I$4="","",(Data!E47*$C$3)/(Market_Price*Common_Shares))</f>
        <v>0.10467531799587754</v>
      </c>
      <c r="J127" s="23">
        <f>IF(J$4="","",(Data!F47*$C$3)/(Market_Price*Common_Shares))</f>
        <v>6.2574239425317008E-2</v>
      </c>
      <c r="K127" s="23">
        <f>IF(K$4="","",(Data!G47*$C$3)/(Market_Price*Common_Shares))</f>
        <v>4.4292506057149149E-2</v>
      </c>
      <c r="L127" s="23">
        <f>IF(L$4="","",(Data!H47*$C$3)/(Market_Price*Common_Shares))</f>
        <v>3.5880141205599979E-2</v>
      </c>
      <c r="M127" s="23">
        <f>IF(M$4="","",(Data!I47*$C$3)/(Market_Price*Common_Shares))</f>
        <v>2.621739347796349E-2</v>
      </c>
      <c r="N127" s="23">
        <f>IF(N$4="","",(Data!J47*$C$3)/(Market_Price*Common_Shares))</f>
        <v>1.8248959872235501E-2</v>
      </c>
      <c r="O127" s="23">
        <f>IF(O$4="","",(Data!K47*$C$3)/(Market_Price*Common_Shares))</f>
        <v>1.6012650373428569E-2</v>
      </c>
      <c r="P127" s="23">
        <f>IF(P$4="","",(Data!L47*$C$3)/(Market_Price*Common_Shares))</f>
        <v>1.4253236272388281E-2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2157979935.1624999</v>
      </c>
      <c r="D6" t="str">
        <f>Reporting_currency</f>
        <v>CNY</v>
      </c>
      <c r="E6" s="366" t="s">
        <v>248</v>
      </c>
      <c r="F6" s="366"/>
      <c r="H6" s="120"/>
    </row>
    <row r="7" spans="2:8">
      <c r="B7" s="148" t="s">
        <v>223</v>
      </c>
      <c r="C7" s="338">
        <f>BS!G31</f>
        <v>100067739.72</v>
      </c>
      <c r="D7" t="str">
        <f>Reporting_currency</f>
        <v>CNY</v>
      </c>
      <c r="E7" s="366"/>
      <c r="F7" s="366"/>
      <c r="H7" s="120"/>
    </row>
    <row r="8" spans="2:8">
      <c r="B8" s="148" t="s">
        <v>224</v>
      </c>
      <c r="C8" s="338">
        <f>BS!D66</f>
        <v>787007506.71999991</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2844919702.1624999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128</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1751132628.0000002</v>
      </c>
      <c r="D6" t="str">
        <f>Reporting_currency</f>
        <v>CNY</v>
      </c>
      <c r="E6" s="366"/>
      <c r="F6" s="366"/>
      <c r="H6" s="120"/>
    </row>
    <row r="7" spans="2:8" ht="13.15">
      <c r="B7" s="149" t="s">
        <v>441</v>
      </c>
      <c r="C7" s="111">
        <f>(C6*scaling_factor)/Common_Shares*Exchange_Rate</f>
        <v>6.0000000000000009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6.3869837715266424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0.94339622641509424</v>
      </c>
      <c r="F16" s="125">
        <f t="shared" ref="F16:F46" si="1">C16*E16</f>
        <v>103334367.75857729</v>
      </c>
      <c r="H16" s="120"/>
    </row>
    <row r="17" spans="2:8">
      <c r="B17" s="122">
        <v>2</v>
      </c>
      <c r="C17" s="123">
        <f t="shared" ref="C17:C45" si="2">IF(ROW()-ROW($C$16)&lt;$C$12, $C$16*(1+D17)^(ROW()-ROW($C$16)), 0)</f>
        <v>114190773.11305477</v>
      </c>
      <c r="D17" s="138">
        <f>IF($C$12&lt;B17,0,DDM!$C$11)</f>
        <v>4.25103165866728E-2</v>
      </c>
      <c r="E17" s="124">
        <f t="shared" si="0"/>
        <v>0.88999644001423983</v>
      </c>
      <c r="F17" s="125">
        <f t="shared" si="1"/>
        <v>101629381.55309252</v>
      </c>
      <c r="H17" s="120"/>
    </row>
    <row r="18" spans="2:8">
      <c r="B18" s="122">
        <v>3</v>
      </c>
      <c r="C18" s="123">
        <f t="shared" si="2"/>
        <v>119045059.02936764</v>
      </c>
      <c r="D18" s="138">
        <f>IF($C$12&lt;B18,0,DDM!$C$11)</f>
        <v>4.25103165866728E-2</v>
      </c>
      <c r="E18" s="124">
        <f t="shared" si="0"/>
        <v>0.8396192830323016</v>
      </c>
      <c r="F18" s="125">
        <f t="shared" si="1"/>
        <v>99952527.110775679</v>
      </c>
      <c r="H18" s="120"/>
    </row>
    <row r="19" spans="2:8">
      <c r="B19" s="122">
        <v>4</v>
      </c>
      <c r="C19" s="123">
        <f t="shared" si="2"/>
        <v>124105702.1767852</v>
      </c>
      <c r="D19" s="138">
        <f>IF($C$12&lt;B19,0,DDM!$C$11)</f>
        <v>4.25103165866728E-2</v>
      </c>
      <c r="E19" s="124">
        <f t="shared" si="0"/>
        <v>0.79209366323802044</v>
      </c>
      <c r="F19" s="125">
        <f t="shared" si="1"/>
        <v>98303340.265936553</v>
      </c>
      <c r="H19" s="120"/>
    </row>
    <row r="20" spans="2:8">
      <c r="B20" s="122">
        <v>5</v>
      </c>
      <c r="C20" s="123">
        <f t="shared" si="2"/>
        <v>129381474.86653166</v>
      </c>
      <c r="D20" s="138">
        <f>IF($C$12&lt;B20,0,DDM!$C$11)</f>
        <v>4.25103165866728E-2</v>
      </c>
      <c r="E20" s="124">
        <f t="shared" si="0"/>
        <v>0.74725817286605689</v>
      </c>
      <c r="F20" s="125">
        <f t="shared" si="1"/>
        <v>96681364.511480108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1825573830.4015324</v>
      </c>
      <c r="D46" s="139">
        <f>Terminal_Growth</f>
        <v>0</v>
      </c>
      <c r="E46" s="124">
        <f>1/(1+Equity_Cost)^C12</f>
        <v>0.74725817286605689</v>
      </c>
      <c r="F46" s="125">
        <f t="shared" si="1"/>
        <v>1364174964.937938</v>
      </c>
      <c r="H46" s="120"/>
    </row>
    <row r="47" spans="2:8">
      <c r="C47" s="114"/>
      <c r="E47" s="127" t="s">
        <v>100</v>
      </c>
      <c r="F47" s="137">
        <f>SUM(F16:F46)</f>
        <v>1864075946.1378002</v>
      </c>
      <c r="H47" s="120"/>
    </row>
    <row r="48" spans="2:8">
      <c r="C48" s="114"/>
      <c r="H48" s="120"/>
    </row>
    <row r="49" spans="1:8" ht="13.15">
      <c r="B49" s="119" t="s">
        <v>128</v>
      </c>
      <c r="C49" s="136"/>
      <c r="D49" s="136"/>
      <c r="E49" s="117"/>
      <c r="F49" s="117"/>
      <c r="H49" s="120"/>
    </row>
    <row r="50" spans="1:8" ht="13.15">
      <c r="A50" s="133">
        <f>F47</f>
        <v>1864075946.1378002</v>
      </c>
      <c r="B50" s="131">
        <f>C73</f>
        <v>0</v>
      </c>
      <c r="C50" s="131">
        <f>C72</f>
        <v>0.02</v>
      </c>
      <c r="D50" s="131">
        <f>C71</f>
        <v>0.04</v>
      </c>
      <c r="E50" s="131">
        <f>C70</f>
        <v>0.06</v>
      </c>
      <c r="F50" s="131">
        <f>C69</f>
        <v>0.08</v>
      </c>
      <c r="H50" s="120"/>
    </row>
    <row r="51" spans="1:8" ht="13.15">
      <c r="A51" s="143">
        <v>5</v>
      </c>
      <c r="B51" s="123">
        <f t="dataTable" ref="B51:F56" dt2D="1" dtr="1" r1="C11" r2="C12"/>
        <v>1751132627.9999995</v>
      </c>
      <c r="C51" s="123">
        <v>1803495396.2720721</v>
      </c>
      <c r="D51" s="123">
        <v>1857231243.1893353</v>
      </c>
      <c r="E51" s="123">
        <v>1912400846.5281417</v>
      </c>
      <c r="F51" s="123">
        <v>1969066771.3890979</v>
      </c>
      <c r="H51" s="120"/>
    </row>
    <row r="52" spans="1:8" ht="13.15">
      <c r="A52" s="143">
        <v>10</v>
      </c>
      <c r="B52" s="123">
        <v>1751132627.9999995</v>
      </c>
      <c r="C52" s="123">
        <v>1852912121.6637621</v>
      </c>
      <c r="D52" s="123">
        <v>1964527847.6325455</v>
      </c>
      <c r="E52" s="123">
        <v>2087172288.750495</v>
      </c>
      <c r="F52" s="123">
        <v>2222172371.0786138</v>
      </c>
      <c r="H52" s="120"/>
    </row>
    <row r="53" spans="1:8" ht="13.15">
      <c r="A53" s="143">
        <v>15</v>
      </c>
      <c r="B53" s="123">
        <v>1751132627.999999</v>
      </c>
      <c r="C53" s="123">
        <v>1919919216.7815142</v>
      </c>
      <c r="D53" s="123">
        <v>2117761598.6090295</v>
      </c>
      <c r="E53" s="123">
        <v>2350547015.3211112</v>
      </c>
      <c r="F53" s="123">
        <v>2625341395.756114</v>
      </c>
      <c r="H53" s="120"/>
    </row>
    <row r="54" spans="1:8" ht="13.15">
      <c r="A54" s="144">
        <v>20</v>
      </c>
      <c r="B54" s="123">
        <v>1751132627.999999</v>
      </c>
      <c r="C54" s="123">
        <v>1994807856.6667194</v>
      </c>
      <c r="D54" s="123">
        <v>2298685446.2595038</v>
      </c>
      <c r="E54" s="123">
        <v>2680131270.2637429</v>
      </c>
      <c r="F54" s="123">
        <v>3161614878.7787895</v>
      </c>
      <c r="H54" s="120"/>
    </row>
    <row r="55" spans="1:8" ht="13.15">
      <c r="A55" s="144">
        <v>25</v>
      </c>
      <c r="B55" s="123">
        <v>1751132627.999999</v>
      </c>
      <c r="C55" s="123">
        <v>2071243892.2018504</v>
      </c>
      <c r="D55" s="123">
        <v>2494267062.386837</v>
      </c>
      <c r="E55" s="123">
        <v>3059191136.4039683</v>
      </c>
      <c r="F55" s="123">
        <v>3820374307.5277209</v>
      </c>
      <c r="H55" s="120"/>
    </row>
    <row r="56" spans="1:8" ht="13.15">
      <c r="A56" s="144">
        <v>30</v>
      </c>
      <c r="B56" s="123">
        <v>1751132627.9999988</v>
      </c>
      <c r="C56" s="123">
        <v>2145253810.4378872</v>
      </c>
      <c r="D56" s="123">
        <v>2695316088.3870044</v>
      </c>
      <c r="E56" s="123">
        <v>3475222057.3691401</v>
      </c>
      <c r="F56" s="123">
        <v>4595940371.4876442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6.0000000000000009</v>
      </c>
      <c r="C60" s="124">
        <f>C7</f>
        <v>6.0000000000000009</v>
      </c>
      <c r="D60" s="124">
        <f>C7</f>
        <v>6.0000000000000009</v>
      </c>
      <c r="E60" s="141">
        <f>C7</f>
        <v>6.0000000000000009</v>
      </c>
      <c r="F60" s="124">
        <f>C7</f>
        <v>6.0000000000000009</v>
      </c>
      <c r="H60" s="120"/>
    </row>
    <row r="61" spans="1:8" ht="13.15">
      <c r="A61" s="143">
        <f t="shared" ref="A61:A66" si="3">A51</f>
        <v>5</v>
      </c>
      <c r="B61" s="124">
        <f t="shared" ref="B61:F66" si="4">B51/Common_Shares*$C$3*Exchange_Rate</f>
        <v>5.9999999999999982</v>
      </c>
      <c r="C61" s="124">
        <f t="shared" si="4"/>
        <v>6.1794133720135518</v>
      </c>
      <c r="D61" s="124">
        <f t="shared" si="4"/>
        <v>6.3635313973123067</v>
      </c>
      <c r="E61" s="124">
        <f t="shared" si="4"/>
        <v>6.5525619794281225</v>
      </c>
      <c r="F61" s="124">
        <f t="shared" si="4"/>
        <v>6.7467194885335591</v>
      </c>
      <c r="H61" s="120"/>
    </row>
    <row r="62" spans="1:8" ht="13.15">
      <c r="A62" s="143">
        <f t="shared" si="3"/>
        <v>10</v>
      </c>
      <c r="B62" s="124">
        <f t="shared" si="4"/>
        <v>5.9999999999999982</v>
      </c>
      <c r="C62" s="124">
        <f t="shared" si="4"/>
        <v>6.3487325586983312</v>
      </c>
      <c r="D62" s="124">
        <f t="shared" si="4"/>
        <v>6.7311675297019669</v>
      </c>
      <c r="E62" s="124">
        <f t="shared" si="4"/>
        <v>7.15139078118015</v>
      </c>
      <c r="F62" s="124">
        <f t="shared" si="4"/>
        <v>7.6139488313341408</v>
      </c>
      <c r="H62" s="120"/>
    </row>
    <row r="63" spans="1:8" ht="13.15">
      <c r="A63" s="143">
        <f t="shared" si="3"/>
        <v>15</v>
      </c>
      <c r="B63" s="124">
        <f t="shared" si="4"/>
        <v>5.9999999999999964</v>
      </c>
      <c r="C63" s="124">
        <f t="shared" si="4"/>
        <v>6.5783225761978574</v>
      </c>
      <c r="D63" s="124">
        <f t="shared" si="4"/>
        <v>7.2562005804018277</v>
      </c>
      <c r="E63" s="124">
        <f t="shared" si="4"/>
        <v>8.0538057862780388</v>
      </c>
      <c r="F63" s="124">
        <f t="shared" si="4"/>
        <v>8.9953485662176149</v>
      </c>
      <c r="H63" s="120"/>
    </row>
    <row r="64" spans="1:8" ht="13.15">
      <c r="A64" s="144">
        <f t="shared" si="3"/>
        <v>20</v>
      </c>
      <c r="B64" s="124">
        <f t="shared" si="4"/>
        <v>5.9999999999999964</v>
      </c>
      <c r="C64" s="124">
        <f t="shared" si="4"/>
        <v>6.8349175548571397</v>
      </c>
      <c r="D64" s="124">
        <f t="shared" si="4"/>
        <v>7.8761097001026377</v>
      </c>
      <c r="E64" s="124">
        <f t="shared" si="4"/>
        <v>9.1830780629954987</v>
      </c>
      <c r="F64" s="124">
        <f t="shared" si="4"/>
        <v>10.832811272746577</v>
      </c>
      <c r="H64" s="120"/>
    </row>
    <row r="65" spans="1:8" ht="13.15">
      <c r="A65" s="144">
        <f t="shared" si="3"/>
        <v>25</v>
      </c>
      <c r="B65" s="124">
        <f t="shared" si="4"/>
        <v>5.9999999999999964</v>
      </c>
      <c r="C65" s="124">
        <f t="shared" si="4"/>
        <v>7.0968144585397459</v>
      </c>
      <c r="D65" s="124">
        <f t="shared" si="4"/>
        <v>8.5462415210739948</v>
      </c>
      <c r="E65" s="124">
        <f t="shared" si="4"/>
        <v>10.481871290004774</v>
      </c>
      <c r="F65" s="124">
        <f t="shared" si="4"/>
        <v>13.089954169460158</v>
      </c>
    </row>
    <row r="66" spans="1:8" ht="13.15">
      <c r="A66" s="144">
        <f t="shared" si="3"/>
        <v>30</v>
      </c>
      <c r="B66" s="124">
        <f t="shared" si="4"/>
        <v>5.9999999999999956</v>
      </c>
      <c r="C66" s="124">
        <f t="shared" si="4"/>
        <v>7.3503986259042646</v>
      </c>
      <c r="D66" s="124">
        <f t="shared" si="4"/>
        <v>9.235106622844576</v>
      </c>
      <c r="E66" s="124">
        <f t="shared" si="4"/>
        <v>11.907340432591631</v>
      </c>
      <c r="F66" s="124">
        <f t="shared" si="4"/>
        <v>15.747317928979772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7.6139488313341408</v>
      </c>
      <c r="F69" s="142">
        <f>Scenarios!C58</f>
        <v>0.05</v>
      </c>
    </row>
    <row r="70" spans="1:8">
      <c r="B70" s="127" t="str">
        <f>Scenarios!B36</f>
        <v>Optimistic</v>
      </c>
      <c r="C70" s="142">
        <f>Scenarios!C38</f>
        <v>0.06</v>
      </c>
      <c r="D70" s="145">
        <f>Scenarios!C37</f>
        <v>5</v>
      </c>
      <c r="E70" s="135">
        <f>INDEX(B$60:F$66, MATCH(D70, A$60:A$66, 0), MATCH(C70, B$59:F$59, 0))</f>
        <v>6.5525619794281225</v>
      </c>
      <c r="F70" s="142">
        <f>Scenarios!C40*(1-F$69-F$73)</f>
        <v>0.18</v>
      </c>
      <c r="H70" s="120"/>
    </row>
    <row r="71" spans="1:8">
      <c r="B71" s="127" t="str">
        <f>Scenarios!B24</f>
        <v>Base</v>
      </c>
      <c r="C71" s="142">
        <f>Scenarios!C26</f>
        <v>0.04</v>
      </c>
      <c r="D71" s="145">
        <f>Scenarios!C25</f>
        <v>5</v>
      </c>
      <c r="E71" s="135">
        <f>INDEX(B$60:F$66, MATCH(D71, A$60:A$66, 0), MATCH(C71, B$59:F$59, 0))</f>
        <v>6.3635313973123067</v>
      </c>
      <c r="F71" s="142">
        <f>Scenarios!C28*(1-F$69-F$73)</f>
        <v>0.53999999999999992</v>
      </c>
      <c r="H71" s="120"/>
    </row>
    <row r="72" spans="1:8">
      <c r="B72" s="127" t="str">
        <f>Scenarios!B30</f>
        <v>Pessimistic</v>
      </c>
      <c r="C72" s="142">
        <f>Scenarios!C32</f>
        <v>0.02</v>
      </c>
      <c r="D72" s="145">
        <f>Scenarios!C31</f>
        <v>5</v>
      </c>
      <c r="E72" s="135">
        <f>INDEX(B$60:F$66, MATCH(D72, A$60:A$66, 0), MATCH(C72, B$59:F$59, 0))</f>
        <v>6.1794133720135518</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-13.82</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10.611430255232371</v>
      </c>
    </row>
    <row r="7" spans="2:9" ht="12.75" customHeight="1">
      <c r="B7" s="100" t="s">
        <v>274</v>
      </c>
      <c r="C7" s="338">
        <f>Normalized_FCF!G8</f>
        <v>174241905</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8"/>
      <c r="H7" s="247">
        <v>4</v>
      </c>
      <c r="I7" s="124" t="str">
        <f t="shared" si="0"/>
        <v/>
      </c>
    </row>
    <row r="8" spans="2:9">
      <c r="B8" s="100" t="s">
        <v>66</v>
      </c>
      <c r="C8" s="338">
        <f>Normalized_FCF!G19</f>
        <v>147540552.86390811</v>
      </c>
      <c r="D8" t="str">
        <f>Reporting_currency</f>
        <v>CNY</v>
      </c>
      <c r="E8" s="368"/>
      <c r="F8" s="368"/>
      <c r="H8" s="247">
        <v>5</v>
      </c>
      <c r="I8" s="124" t="str">
        <f t="shared" si="0"/>
        <v/>
      </c>
    </row>
    <row r="9" spans="2:9">
      <c r="B9" s="100" t="s">
        <v>57</v>
      </c>
      <c r="C9" s="338">
        <f>Normalized_FCF!C19</f>
        <v>129478796.10975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4.2279727191083527E-3</v>
      </c>
      <c r="D12" s="158"/>
      <c r="E12" s="368"/>
      <c r="F12" s="368"/>
      <c r="H12" s="247">
        <v>9</v>
      </c>
      <c r="I12" s="124" t="str">
        <f t="shared" si="0"/>
        <v/>
      </c>
    </row>
    <row r="13" spans="2:9">
      <c r="B13" s="148" t="s">
        <v>151</v>
      </c>
      <c r="C13" s="158">
        <f ca="1">(Normalized_FCF!G8/OFFSET(Normalized_FCF!G8, 0, $C$4))^(1/$C$4) - 1</f>
        <v>-0.15075343519689044</v>
      </c>
      <c r="E13" s="368"/>
      <c r="F13" s="368"/>
      <c r="H13" s="247">
        <v>10</v>
      </c>
      <c r="I13" s="124" t="str">
        <f t="shared" si="0"/>
        <v/>
      </c>
    </row>
    <row r="14" spans="2:9">
      <c r="B14" s="100" t="s">
        <v>66</v>
      </c>
      <c r="C14" s="158">
        <f ca="1">(Normalized_FCF!G19/OFFSET(Normalized_FCF!G19, 0, $C$4))^(1/$C$4) - 1</f>
        <v>-0.15795268346639479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13.82</v>
      </c>
      <c r="D21" t="str">
        <f>Market_currency</f>
        <v>CNY</v>
      </c>
      <c r="E21" s="369"/>
      <c r="F21" s="369"/>
    </row>
    <row r="22" spans="2:6">
      <c r="B22" s="100" t="s">
        <v>277</v>
      </c>
      <c r="C22" s="160">
        <f>IF(valuation_method="DCF",DCF!C12,DDM!C7)</f>
        <v>9.7477015390150097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10.195693569234635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9.968798702481882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10.428642345823826</v>
      </c>
      <c r="D39" t="str">
        <f>Market_currency</f>
        <v>CNY</v>
      </c>
      <c r="E39" s="367"/>
      <c r="F39" s="367"/>
    </row>
    <row r="40" spans="2:6">
      <c r="B40" s="100" t="s">
        <v>146</v>
      </c>
      <c r="C40" s="167">
        <f>1-C28-C34</f>
        <v>0.2</v>
      </c>
      <c r="D40" s="165"/>
      <c r="E40" s="367"/>
      <c r="F40" s="367"/>
    </row>
    <row r="42" spans="2:6" ht="13.15">
      <c r="B42" s="100" t="s">
        <v>119</v>
      </c>
      <c r="C42" s="154">
        <f>C27*C28+C33*C34+C39*C40</f>
        <v>10.196904351201923</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9.7477015390150079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11.736625243997818</v>
      </c>
      <c r="D57" t="str">
        <f>Market_currency</f>
        <v>CNY</v>
      </c>
      <c r="E57" s="367"/>
      <c r="F57" s="367"/>
    </row>
    <row r="58" spans="2:6">
      <c r="B58" s="100" t="s">
        <v>146</v>
      </c>
      <c r="C58" s="165">
        <v>0.05</v>
      </c>
      <c r="D58" s="165"/>
      <c r="E58" s="367"/>
      <c r="F58" s="367"/>
    </row>
    <row r="60" spans="2:6" ht="13.15">
      <c r="B60" s="100" t="s">
        <v>119</v>
      </c>
      <c r="C60" s="154">
        <f>C51*C52+C57*C58+C42*(1-C52-C58)</f>
        <v>10.251430255232371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10.224594722795034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0.22959710481590032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4.2893376993526235</v>
      </c>
      <c r="D82" s="116"/>
    </row>
    <row r="83" spans="2:8" ht="13.15">
      <c r="B83" s="110" t="s">
        <v>101</v>
      </c>
      <c r="C83" s="111">
        <f>C81+C82</f>
        <v>4.9106169541815241</v>
      </c>
      <c r="D83" t="str">
        <f>Market_currency</f>
        <v>CNY</v>
      </c>
      <c r="E83" s="146" t="s">
        <v>125</v>
      </c>
      <c r="F83" s="291">
        <f>(1-C83/C60)</f>
        <v>0.52098225984855873</v>
      </c>
    </row>
    <row r="84" spans="2:8">
      <c r="E84" s="120"/>
    </row>
    <row r="85" spans="2:8" ht="13.15">
      <c r="B85" s="109" t="s">
        <v>301</v>
      </c>
    </row>
    <row r="86" spans="2:8">
      <c r="B86" s="148" t="s">
        <v>299</v>
      </c>
      <c r="C86" s="116">
        <f>Market_Price</f>
        <v>13.82</v>
      </c>
      <c r="D86" t="str">
        <f>Market_currency</f>
        <v>CNY</v>
      </c>
    </row>
    <row r="87" spans="2:8" ht="13.15">
      <c r="B87" s="100" t="s">
        <v>297</v>
      </c>
      <c r="C87" s="237">
        <f ca="1">IRR(OFFSET($I$3, 0, 0, $C$76 + 1, 1))</f>
        <v>-6.5958680292173444E-2</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6.1296023972810385</v>
      </c>
      <c r="D92" s="116"/>
    </row>
    <row r="93" spans="2:8" ht="13.15">
      <c r="B93" s="110" t="s">
        <v>101</v>
      </c>
      <c r="C93" s="111">
        <f>C91+C92</f>
        <v>6.9036475281066911</v>
      </c>
      <c r="D93" t="str">
        <f>Market_currency</f>
        <v>CNY</v>
      </c>
      <c r="E93" s="146" t="s">
        <v>125</v>
      </c>
      <c r="F93" s="291">
        <f>(1-C93/C60)</f>
        <v>0.32656738072396863</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8.6072985209538491</v>
      </c>
      <c r="D98" s="116"/>
      <c r="G98" s="2"/>
      <c r="H98" s="281"/>
    </row>
    <row r="99" spans="2:8" ht="13.15">
      <c r="B99" s="110" t="s">
        <v>395</v>
      </c>
      <c r="C99" s="111">
        <f>C97+C98</f>
        <v>9.5695828227600401</v>
      </c>
      <c r="D99" t="s">
        <v>393</v>
      </c>
      <c r="E99" s="146" t="s">
        <v>125</v>
      </c>
      <c r="F99" s="291">
        <f>(1-C99/C60)</f>
        <v>6.6512419779114595E-2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7.981707879328158</v>
      </c>
      <c r="D104" s="116"/>
    </row>
    <row r="105" spans="2:8" ht="13.15">
      <c r="B105" s="110" t="s">
        <v>395</v>
      </c>
      <c r="C105" s="111">
        <f>C103+C104</f>
        <v>8.8978683003699235</v>
      </c>
      <c r="D105" t="s">
        <v>393</v>
      </c>
      <c r="E105" s="146" t="s">
        <v>125</v>
      </c>
      <c r="F105" s="291">
        <f>(1-C105/C66)</f>
        <v>0.12975833843734319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