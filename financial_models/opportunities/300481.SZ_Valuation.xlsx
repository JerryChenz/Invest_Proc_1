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685264-67C8-459A-B17B-157DDE0EE77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<sst xmlns="http://schemas.openxmlformats.org/spreadsheetml/2006/main" count="687" uniqueCount="466">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</sst>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4E26CB8-48BA-41B7-A5C3-FFB4C4D2670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14.64</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14.57</v>
      </c>
      <c r="D12" s="50"/>
      <c r="E12" s="48"/>
    </row>
    <row r="13" spans="1:10">
      <c r="B13" s="1" t="s">
        <v>413</v>
      </c>
      <c r="C13" s="48" t="s">
        <v>411</v>
      </c>
      <c r="D13" s="48"/>
      <c r="E13" s="5"/>
    </row>
    <row r="14" spans="1:10">
      <c r="B14" s="4" t="s">
        <v>417</v>
      </c>
      <c r="C14" s="35">
        <f>Thesis!C12*Common_Shares/1000000</f>
        <v>4252.33373166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8.6992744860027944</v>
      </c>
      <c r="D26" s="1" t="s">
        <v>396</v>
      </c>
      <c r="E26" s="301">
        <f ca="1">Scenarios!C87</f>
        <v>-0.1284274085979954</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3.3910941772119543</v>
      </c>
      <c r="D29" s="310" t="str">
        <f>D149</f>
        <v/>
      </c>
      <c r="E29" s="306" t="s">
        <v>421</v>
      </c>
      <c r="F29" s="302">
        <v>0.45</v>
      </c>
    </row>
    <row r="30" spans="2:6">
      <c r="B30" s="1" t="s">
        <v>423</v>
      </c>
      <c r="C30" s="311">
        <f>C157</f>
        <v>4.6134157878938522</v>
      </c>
      <c r="D30" s="311" t="str">
        <f>D157</f>
        <v/>
      </c>
      <c r="E30" s="307" t="s">
        <v>434</v>
      </c>
      <c r="F30" s="312">
        <v>0.3</v>
      </c>
    </row>
    <row r="31" spans="2:6">
      <c r="B31" s="1" t="s">
        <v>424</v>
      </c>
      <c r="C31" s="311">
        <f>C165</f>
        <v>7.9387622109270746</v>
      </c>
      <c r="D31" s="311" t="str">
        <f>D165</f>
        <v/>
      </c>
      <c r="E31" s="307" t="s">
        <v>433</v>
      </c>
      <c r="F31" s="312">
        <v>7.4999999999999997E-2</v>
      </c>
    </row>
    <row r="32" spans="2:6">
      <c r="B32" s="1" t="s">
        <v>425</v>
      </c>
      <c r="C32" s="311">
        <f>C173</f>
        <v>7.6893682545464594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174475161</v>
      </c>
      <c r="D41" s="1" t="str">
        <f>Reporting_currency</f>
        <v>CNY</v>
      </c>
    </row>
    <row r="42" spans="1:6">
      <c r="B42" s="47"/>
      <c r="C42" s="76"/>
    </row>
    <row r="43" spans="1:6" ht="24.6" customHeight="1">
      <c r="B43" s="362" t="s">
        <v>232</v>
      </c>
      <c r="C43" s="362"/>
      <c r="D43" s="362"/>
      <c r="E43" s="362"/>
      <c r="F43" s="362"/>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2" t="s">
        <v>240</v>
      </c>
      <c r="C58" s="362"/>
      <c r="D58" s="362"/>
      <c r="E58" s="362"/>
      <c r="F58" s="362"/>
    </row>
    <row r="59" spans="2:6">
      <c r="B59" s="47" t="s">
        <v>238</v>
      </c>
      <c r="C59" s="349">
        <f>Normalized_FCF!C14</f>
        <v>-43159598.703249998</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3.0448879199141517E-2</v>
      </c>
      <c r="F69" s="314"/>
    </row>
    <row r="70" spans="1:6">
      <c r="B70" s="227" t="s">
        <v>454</v>
      </c>
      <c r="C70" s="92">
        <f>Normalized_FCF!C94</f>
        <v>2.4708304735758409E-2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5.9152022657532255</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1" t="s">
        <v>363</v>
      </c>
      <c r="C116" s="361"/>
      <c r="D116" s="361"/>
      <c r="E116" s="361"/>
      <c r="F116" s="361"/>
    </row>
    <row r="118" spans="1:6">
      <c r="B118" s="47" t="s">
        <v>446</v>
      </c>
      <c r="C118" s="223">
        <f>IF(valuation_method="DCF",DCF!C12,DDM!C7)</f>
        <v>8.268900972576704</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257</v>
      </c>
      <c r="C132" s="217">
        <f>Scenarios!C60</f>
        <v>8.6992744860027944</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259</v>
      </c>
      <c r="C149" s="215">
        <f>Scenarios!C83</f>
        <v>3.3910941772119543</v>
      </c>
      <c r="D149" s="300" t="str">
        <f>IF($D$11="","",C149*$E$25)</f>
        <v/>
      </c>
    </row>
    <row r="150" spans="2:4">
      <c r="B150" s="259" t="s">
        <v>413</v>
      </c>
      <c r="C150" s="298" t="str">
        <f>Market_currency</f>
        <v>CNY</v>
      </c>
      <c r="D150" s="298" t="str">
        <f>IF($D$11="","",D$13)</f>
        <v/>
      </c>
    </row>
    <row r="151" spans="2:4">
      <c r="B151" s="214" t="s">
        <v>261</v>
      </c>
      <c r="C151" s="92">
        <f>Scenarios!F83</f>
        <v>0.61018655260639809</v>
      </c>
    </row>
    <row r="153" spans="2:4">
      <c r="B153" s="210" t="s">
        <v>408</v>
      </c>
    </row>
    <row r="154" spans="2:4">
      <c r="B154" s="1" t="s">
        <v>407</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259</v>
      </c>
      <c r="C157" s="215">
        <f>Scenarios!C93</f>
        <v>4.6134157878938522</v>
      </c>
      <c r="D157" s="300" t="str">
        <f>IF($D$11="","",C157*$E$25)</f>
        <v/>
      </c>
    </row>
    <row r="158" spans="2:4">
      <c r="B158" s="259" t="s">
        <v>413</v>
      </c>
      <c r="C158" s="298" t="str">
        <f>Market_currency</f>
        <v>CNY</v>
      </c>
      <c r="D158" s="298" t="str">
        <f>IF($D$11="","",D$13)</f>
        <v/>
      </c>
    </row>
    <row r="159" spans="2:4">
      <c r="B159" s="214" t="s">
        <v>261</v>
      </c>
      <c r="C159" s="92">
        <f>Scenarios!F93</f>
        <v>0.4696780984073009</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398</v>
      </c>
      <c r="C165" s="215">
        <f>Scenarios!C99</f>
        <v>7.9387622109270746</v>
      </c>
      <c r="D165" s="300" t="str">
        <f>IF($D$11="","",C165*$E$25)</f>
        <v/>
      </c>
    </row>
    <row r="166" spans="2:4">
      <c r="B166" s="259" t="s">
        <v>413</v>
      </c>
      <c r="C166" s="298" t="str">
        <f>Market_currency</f>
        <v>CNY</v>
      </c>
      <c r="D166" s="298" t="str">
        <f>IF($D$11="","",D$13)</f>
        <v/>
      </c>
    </row>
    <row r="167" spans="2:4">
      <c r="B167" s="214" t="s">
        <v>261</v>
      </c>
      <c r="C167" s="92">
        <f>Scenarios!F99</f>
        <v>8.7422494404492013E-2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398</v>
      </c>
      <c r="C173" s="215">
        <f>Scenarios!C105</f>
        <v>7.6893682545464594</v>
      </c>
      <c r="D173" s="300" t="str">
        <f>IF($D$11="","",C173*$E$25)</f>
        <v/>
      </c>
    </row>
    <row r="174" spans="2:4">
      <c r="B174" s="259" t="s">
        <v>413</v>
      </c>
      <c r="C174" s="298" t="str">
        <f>Market_currency</f>
        <v>CNY</v>
      </c>
      <c r="D174" s="298" t="str">
        <f>IF($D$11="","",D$13)</f>
        <v/>
      </c>
    </row>
    <row r="175" spans="2:4">
      <c r="B175" s="214" t="s">
        <v>261</v>
      </c>
      <c r="C175" s="92">
        <f>Scenarios!F105</f>
        <v>0.11352968837267541</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464</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465</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2.4708304735758409E-2</v>
      </c>
      <c r="E94" s="268"/>
      <c r="G94" s="23">
        <f t="shared" ref="G94:Q94" si="39">IF(G$4="","",(G90*(1-dividend_tax_rate))/Market_Price)</f>
        <v>2.4708304735758409E-2</v>
      </c>
      <c r="H94" s="23">
        <f t="shared" si="39"/>
        <v>2.4708304735758409E-2</v>
      </c>
      <c r="I94" s="23">
        <f t="shared" si="39"/>
        <v>2.4708304735758409E-2</v>
      </c>
      <c r="J94" s="23">
        <f t="shared" si="39"/>
        <v>2.4708304735758409E-2</v>
      </c>
      <c r="K94" s="23">
        <f t="shared" si="39"/>
        <v>1.2354152367879205E-2</v>
      </c>
      <c r="L94" s="23">
        <f t="shared" si="39"/>
        <v>1.2354152367879205E-2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3.0448879199141517E-2</v>
      </c>
      <c r="D126" s="27"/>
      <c r="E126" s="265"/>
      <c r="F126" s="27"/>
      <c r="G126" s="77">
        <f t="shared" ref="G126" si="50">IF(G$4="","",G125/Market_Price)</f>
        <v>3.469637196286382E-2</v>
      </c>
      <c r="H126" s="77">
        <f t="shared" ref="H126" si="51">IF(H$4="","",H125/Market_Price)</f>
        <v>4.5626490490629279E-2</v>
      </c>
      <c r="I126" s="77">
        <f t="shared" ref="I126" si="52">IF(I$4="","",I125/Market_Price)</f>
        <v>8.9740917984746219E-2</v>
      </c>
      <c r="J126" s="77">
        <f t="shared" ref="J126" si="53">IF(J$4="","",J125/Market_Price)</f>
        <v>5.8113171366984157E-2</v>
      </c>
      <c r="K126" s="77">
        <f t="shared" ref="K126" si="54">IF(K$4="","",K125/Market_Price)</f>
        <v>4.3456873938861849E-2</v>
      </c>
      <c r="L126" s="77">
        <f t="shared" ref="L126" si="55">IF(L$4="","",L125/Market_Price)</f>
        <v>3.61029623027838E-2</v>
      </c>
      <c r="M126" s="77">
        <f t="shared" ref="M126" si="56">IF(M$4="","",M125/Market_Price)</f>
        <v>2.545844142797199E-2</v>
      </c>
      <c r="N126" s="77">
        <f t="shared" ref="N126" si="57">IF(N$4="","",N125/Market_Price)</f>
        <v>2.3143109927447402E-2</v>
      </c>
      <c r="O126" s="77">
        <f t="shared" ref="O126" si="58">IF(O$4="","",O125/Market_Price)</f>
        <v>1.5311739884202953E-2</v>
      </c>
      <c r="P126" s="77">
        <f t="shared" ref="P126" si="59">IF(P$4="","",P125/Market_Price)</f>
        <v>1.4971565502020745E-2</v>
      </c>
      <c r="Q126" s="77" t="str">
        <f t="shared" ref="Q126" si="60">IF(Q$4="","",Q125/Market_Price)</f>
        <v/>
      </c>
    </row>
    <row r="127" spans="1:17" ht="15.75" customHeight="1">
      <c r="B127" s="2" t="s">
        <v>391</v>
      </c>
      <c r="C127" s="169"/>
      <c r="G127" s="23">
        <f>IF(G$4="","",(Data!C47*$C$3)/(Market_Price*Common_Shares))</f>
        <v>4.5041192927543723E-2</v>
      </c>
      <c r="H127" s="23">
        <f>IF(H$4="","",(Data!D47*$C$3)/(Market_Price*Common_Shares))</f>
        <v>5.5282370536856071E-2</v>
      </c>
      <c r="I127" s="23">
        <f>IF(I$4="","",(Data!E47*$C$3)/(Market_Price*Common_Shares))</f>
        <v>9.9287089547222207E-2</v>
      </c>
      <c r="J127" s="23">
        <f>IF(J$4="","",(Data!F47*$C$3)/(Market_Price*Common_Shares))</f>
        <v>5.9353190724631508E-2</v>
      </c>
      <c r="K127" s="23">
        <f>IF(K$4="","",(Data!G47*$C$3)/(Market_Price*Common_Shares))</f>
        <v>4.2012521188044008E-2</v>
      </c>
      <c r="L127" s="23">
        <f>IF(L$4="","",(Data!H47*$C$3)/(Market_Price*Common_Shares))</f>
        <v>3.4033188157954128E-2</v>
      </c>
      <c r="M127" s="23">
        <f>IF(M$4="","",(Data!I47*$C$3)/(Market_Price*Common_Shares))</f>
        <v>2.486783650414931E-2</v>
      </c>
      <c r="N127" s="23">
        <f>IF(N$4="","",(Data!J47*$C$3)/(Market_Price*Common_Shares))</f>
        <v>1.7309583077165042E-2</v>
      </c>
      <c r="O127" s="23">
        <f>IF(O$4="","",(Data!K47*$C$3)/(Market_Price*Common_Shares))</f>
        <v>1.5188389029566426E-2</v>
      </c>
      <c r="P127" s="23">
        <f>IF(P$4="","",(Data!L47*$C$3)/(Market_Price*Common_Shares))</f>
        <v>1.3519541886369666E-2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1726383948.1300001</v>
      </c>
      <c r="D6" t="str">
        <f>Reporting_currency</f>
        <v>CNY</v>
      </c>
      <c r="E6" s="369" t="s">
        <v>248</v>
      </c>
      <c r="F6" s="369"/>
      <c r="H6" s="120"/>
    </row>
    <row r="7" spans="2:8">
      <c r="B7" s="148" t="s">
        <v>223</v>
      </c>
      <c r="C7" s="338">
        <f>BS!G31</f>
        <v>100067739.72</v>
      </c>
      <c r="D7" t="str">
        <f>Reporting_currency</f>
        <v>CNY</v>
      </c>
      <c r="E7" s="369"/>
      <c r="F7" s="369"/>
      <c r="H7" s="120"/>
    </row>
    <row r="8" spans="2:8">
      <c r="B8" s="148" t="s">
        <v>224</v>
      </c>
      <c r="C8" s="338">
        <f>BS!D66</f>
        <v>787007506.71999991</v>
      </c>
      <c r="D8" t="str">
        <f>Reporting_currency</f>
        <v>CNY</v>
      </c>
      <c r="E8" s="369"/>
      <c r="F8" s="369"/>
      <c r="H8" s="120"/>
    </row>
    <row r="9" spans="2:8">
      <c r="B9" s="205" t="s">
        <v>189</v>
      </c>
      <c r="C9" s="348">
        <f>BS!H42</f>
        <v>0</v>
      </c>
      <c r="D9" t="str">
        <f>Reporting_currency</f>
        <v>CNY</v>
      </c>
      <c r="E9" s="369"/>
      <c r="F9" s="369"/>
      <c r="H9" s="120"/>
    </row>
    <row r="10" spans="2:8" ht="13.15">
      <c r="B10" s="149" t="s">
        <v>226</v>
      </c>
      <c r="C10" s="347">
        <f>C6-C7+C8+C9</f>
        <v>2413323715.1300001</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8.268900972576704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8.6741407508964592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1799773076.3151562</v>
      </c>
      <c r="D51" s="139">
        <f>Terminal_Growth</f>
        <v>0</v>
      </c>
      <c r="E51" s="124">
        <f>1/(1+Equity_Cost)^C17</f>
        <v>0.69655863235011617</v>
      </c>
      <c r="F51" s="125">
        <f t="shared" si="1"/>
        <v>1253647472.5786464</v>
      </c>
      <c r="H51" s="120"/>
    </row>
    <row r="52" spans="1:17">
      <c r="C52" s="114"/>
      <c r="E52" s="127" t="s">
        <v>100</v>
      </c>
      <c r="F52" s="137">
        <f>SUM(F21:F51)</f>
        <v>1844655381.1265349</v>
      </c>
      <c r="H52" s="120"/>
    </row>
    <row r="53" spans="1:17">
      <c r="C53" s="114"/>
      <c r="H53" s="120"/>
    </row>
    <row r="54" spans="1:17" ht="13.15">
      <c r="B54" s="119" t="s">
        <v>128</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1400906102.4000001</v>
      </c>
      <c r="D6" t="str">
        <f>Reporting_currency</f>
        <v>CNY</v>
      </c>
      <c r="E6" s="369"/>
      <c r="F6" s="369"/>
      <c r="H6" s="120"/>
    </row>
    <row r="7" spans="2:8" ht="13.15">
      <c r="B7" s="149" t="s">
        <v>441</v>
      </c>
      <c r="C7" s="111">
        <f>(C6*scaling_factor)/Common_Shares*Exchange_Rate</f>
        <v>4.8000000000000007</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5.1288392938304934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1460459064.3212259</v>
      </c>
      <c r="D46" s="139">
        <f>Terminal_Growth</f>
        <v>0</v>
      </c>
      <c r="E46" s="124">
        <f>1/(1+Equity_Cost)^C12</f>
        <v>0.69655863235011617</v>
      </c>
      <c r="F46" s="125">
        <f t="shared" si="1"/>
        <v>1017295368.4469235</v>
      </c>
      <c r="H46" s="120"/>
    </row>
    <row r="47" spans="2:8">
      <c r="C47" s="114"/>
      <c r="E47" s="127" t="s">
        <v>100</v>
      </c>
      <c r="F47" s="137">
        <f>SUM(F16:F46)</f>
        <v>1496879638.5325093</v>
      </c>
      <c r="H47" s="120"/>
    </row>
    <row r="48" spans="2:8">
      <c r="C48" s="114"/>
      <c r="H48" s="120"/>
    </row>
    <row r="49" spans="1:8" ht="13.15">
      <c r="B49" s="119" t="s">
        <v>128</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-14.57</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9.0592744860027938</v>
      </c>
    </row>
    <row r="7" spans="2:9" ht="12.75" customHeight="1">
      <c r="B7" s="100" t="s">
        <v>274</v>
      </c>
      <c r="C7" s="338">
        <f>Normalized_FCF!G8</f>
        <v>174241905</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71"/>
      <c r="H7" s="247">
        <v>4</v>
      </c>
      <c r="I7" s="124" t="str">
        <f t="shared" si="0"/>
        <v/>
      </c>
    </row>
    <row r="8" spans="2:9">
      <c r="B8" s="100" t="s">
        <v>66</v>
      </c>
      <c r="C8" s="338">
        <f>Normalized_FCF!G19</f>
        <v>147540552.86390811</v>
      </c>
      <c r="D8" t="str">
        <f>Reporting_currency</f>
        <v>CNY</v>
      </c>
      <c r="E8" s="371"/>
      <c r="F8" s="371"/>
      <c r="H8" s="247">
        <v>5</v>
      </c>
      <c r="I8" s="124" t="str">
        <f t="shared" si="0"/>
        <v/>
      </c>
    </row>
    <row r="9" spans="2:9">
      <c r="B9" s="100" t="s">
        <v>57</v>
      </c>
      <c r="C9" s="338">
        <f>Normalized_FCF!C19</f>
        <v>129478796.10975</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4.2279727191083527E-3</v>
      </c>
      <c r="D12" s="158"/>
      <c r="E12" s="371"/>
      <c r="F12" s="371"/>
      <c r="H12" s="247">
        <v>9</v>
      </c>
      <c r="I12" s="124" t="str">
        <f t="shared" si="0"/>
        <v/>
      </c>
    </row>
    <row r="13" spans="2:9">
      <c r="B13" s="148" t="s">
        <v>151</v>
      </c>
      <c r="C13" s="158">
        <f ca="1">(Normalized_FCF!G8/OFFSET(Normalized_FCF!G8, 0, $C$4))^(1/$C$4) - 1</f>
        <v>-0.15075343519689044</v>
      </c>
      <c r="E13" s="371"/>
      <c r="F13" s="371"/>
      <c r="H13" s="247">
        <v>10</v>
      </c>
      <c r="I13" s="124" t="str">
        <f t="shared" si="0"/>
        <v/>
      </c>
    </row>
    <row r="14" spans="2:9">
      <c r="B14" s="100" t="s">
        <v>66</v>
      </c>
      <c r="C14" s="158">
        <f ca="1">(Normalized_FCF!G19/OFFSET(Normalized_FCF!G19, 0, $C$4))^(1/$C$4) - 1</f>
        <v>-0.15795268346639479</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14.57</v>
      </c>
      <c r="D21" t="str">
        <f>Market_currency</f>
        <v>CNY</v>
      </c>
      <c r="E21" s="372"/>
      <c r="F21" s="372"/>
    </row>
    <row r="22" spans="2:6">
      <c r="B22" s="100" t="s">
        <v>277</v>
      </c>
      <c r="C22" s="160">
        <f>IF(valuation_method="DCF",DCF!C12,DDM!C7)</f>
        <v>8.268900972576704</v>
      </c>
      <c r="D22" t="str">
        <f>Market_currency</f>
        <v>CNY</v>
      </c>
      <c r="E22" s="372"/>
      <c r="F22" s="372"/>
    </row>
    <row r="24" spans="2:6" ht="13.15">
      <c r="B24" s="159" t="s">
        <v>114</v>
      </c>
      <c r="E24" s="159" t="s">
        <v>148</v>
      </c>
      <c r="F24" s="159"/>
    </row>
    <row r="25" spans="2:6">
      <c r="B25" s="152" t="s">
        <v>132</v>
      </c>
      <c r="C25" s="166">
        <f>C18</f>
        <v>5</v>
      </c>
      <c r="D25" s="163"/>
      <c r="E25" s="370"/>
      <c r="F25" s="370"/>
    </row>
    <row r="26" spans="2:6">
      <c r="B26" s="118" t="s">
        <v>133</v>
      </c>
      <c r="C26" s="164">
        <v>0.04</v>
      </c>
      <c r="D26" s="164"/>
      <c r="E26" s="370"/>
      <c r="F26" s="370"/>
    </row>
    <row r="27" spans="2:6">
      <c r="B27" s="100" t="s">
        <v>112</v>
      </c>
      <c r="C27" s="160">
        <f>IF(valuation_method="DCF",DCF!E76,DDM!E71)</f>
        <v>8.649513452586362</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0.02</v>
      </c>
      <c r="D32" s="164"/>
      <c r="E32" s="370"/>
      <c r="F32" s="370"/>
    </row>
    <row r="33" spans="2:6">
      <c r="B33" s="100" t="s">
        <v>112</v>
      </c>
      <c r="C33" s="160">
        <f>IF(valuation_method="DCF",DCF!E77,DDM!E72)</f>
        <v>8.4564750136358402</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0.06</v>
      </c>
      <c r="D38" s="164"/>
      <c r="E38" s="370"/>
      <c r="F38" s="370"/>
    </row>
    <row r="39" spans="2:6">
      <c r="B39" s="100" t="s">
        <v>112</v>
      </c>
      <c r="C39" s="160">
        <f>IF(valuation_method="DCF",DCF!E75,DDM!E70)</f>
        <v>8.8482565047336283</v>
      </c>
      <c r="D39" t="str">
        <f>Market_currency</f>
        <v>CNY</v>
      </c>
      <c r="E39" s="370"/>
      <c r="F39" s="370"/>
    </row>
    <row r="40" spans="2:6">
      <c r="B40" s="100" t="s">
        <v>146</v>
      </c>
      <c r="C40" s="167">
        <f>1-C28-C34</f>
        <v>0.2</v>
      </c>
      <c r="D40" s="165"/>
      <c r="E40" s="370"/>
      <c r="F40" s="370"/>
    </row>
    <row r="42" spans="2:6" ht="13.15">
      <c r="B42" s="100" t="s">
        <v>119</v>
      </c>
      <c r="C42" s="154">
        <f>C27*C28+C33*C34+C39*C40</f>
        <v>8.6506543752257112</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v>
      </c>
      <c r="D50" s="164"/>
      <c r="E50" s="370"/>
      <c r="F50" s="370"/>
    </row>
    <row r="51" spans="2:6">
      <c r="B51" s="100" t="s">
        <v>112</v>
      </c>
      <c r="C51" s="160">
        <f>IF(valuation_method="DCF",DCF!E78,DDM!E73)</f>
        <v>8.2689009725767058</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0.08</v>
      </c>
      <c r="D56" s="164"/>
      <c r="E56" s="370"/>
      <c r="F56" s="370"/>
    </row>
    <row r="57" spans="2:6">
      <c r="B57" s="100" t="s">
        <v>112</v>
      </c>
      <c r="C57" s="160">
        <f>IF(valuation_method="DCF",DCF!E74,DDM!E69)</f>
        <v>10.004809993416382</v>
      </c>
      <c r="D57" t="str">
        <f>Market_currency</f>
        <v>CNY</v>
      </c>
      <c r="E57" s="370"/>
      <c r="F57" s="370"/>
    </row>
    <row r="58" spans="2:6">
      <c r="B58" s="100" t="s">
        <v>146</v>
      </c>
      <c r="C58" s="165">
        <v>0.05</v>
      </c>
      <c r="D58" s="165"/>
      <c r="E58" s="370"/>
      <c r="F58" s="370"/>
    </row>
    <row r="60" spans="2:6" ht="13.15">
      <c r="B60" s="100" t="s">
        <v>119</v>
      </c>
      <c r="C60" s="154">
        <f>C51*C52+C57*C58+C42*(1-C52-C58)</f>
        <v>8.6992744860027944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8.6741407508964592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0.27056264411596614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0.45</v>
      </c>
    </row>
    <row r="81" spans="2:8">
      <c r="B81" s="100" t="s">
        <v>120</v>
      </c>
      <c r="C81" s="116">
        <f>PV(C80, C76, -C77, 0)</f>
        <v>0.53758661691746279</v>
      </c>
      <c r="D81" s="116"/>
      <c r="E81" s="100"/>
      <c r="F81" s="100"/>
    </row>
    <row r="82" spans="2:8">
      <c r="B82" s="100" t="s">
        <v>121</v>
      </c>
      <c r="C82" s="116">
        <f>C60/(1+C80)^C76</f>
        <v>2.8535075602944917</v>
      </c>
      <c r="D82" s="116"/>
    </row>
    <row r="83" spans="2:8" ht="13.15">
      <c r="B83" s="110" t="s">
        <v>101</v>
      </c>
      <c r="C83" s="111">
        <f>C81+C82</f>
        <v>3.3910941772119543</v>
      </c>
      <c r="D83" t="str">
        <f>Market_currency</f>
        <v>CNY</v>
      </c>
      <c r="E83" s="146" t="s">
        <v>125</v>
      </c>
      <c r="F83" s="291">
        <f>(1-C83/C60)</f>
        <v>0.61018655260639809</v>
      </c>
    </row>
    <row r="84" spans="2:8">
      <c r="E84" s="120"/>
    </row>
    <row r="85" spans="2:8" ht="13.15">
      <c r="B85" s="109" t="s">
        <v>301</v>
      </c>
    </row>
    <row r="86" spans="2:8">
      <c r="B86" s="148" t="s">
        <v>299</v>
      </c>
      <c r="C86" s="116">
        <f>Market_Price</f>
        <v>14.57</v>
      </c>
      <c r="D86" t="str">
        <f>Market_currency</f>
        <v>CNY</v>
      </c>
    </row>
    <row r="87" spans="2:8" ht="13.15">
      <c r="B87" s="100" t="s">
        <v>297</v>
      </c>
      <c r="C87" s="237">
        <f ca="1">IRR(OFFSET($I$3, 0, 0, $C$76 + 1, 1))</f>
        <v>-0.1284274085979954</v>
      </c>
    </row>
    <row r="88" spans="2:8">
      <c r="B88" s="100"/>
    </row>
    <row r="89" spans="2:8" ht="13.15">
      <c r="B89" s="109" t="s">
        <v>409</v>
      </c>
    </row>
    <row r="90" spans="2:8">
      <c r="B90" s="148" t="s">
        <v>410</v>
      </c>
      <c r="C90" s="167">
        <f>Thesis!F30</f>
        <v>0.3</v>
      </c>
    </row>
    <row r="91" spans="2:8">
      <c r="B91" s="100" t="s">
        <v>120</v>
      </c>
      <c r="C91" s="116">
        <f>PV(C90, C76, -C77, 0)</f>
        <v>0.65380063723259008</v>
      </c>
      <c r="D91" s="116"/>
      <c r="E91" s="100"/>
      <c r="F91" s="100"/>
    </row>
    <row r="92" spans="2:8">
      <c r="B92" s="100" t="s">
        <v>121</v>
      </c>
      <c r="C92" s="116">
        <f>C60/(1+C90)^C76</f>
        <v>3.959615150661262</v>
      </c>
      <c r="D92" s="116"/>
    </row>
    <row r="93" spans="2:8" ht="13.15">
      <c r="B93" s="110" t="s">
        <v>101</v>
      </c>
      <c r="C93" s="111">
        <f>C91+C92</f>
        <v>4.6134157878938522</v>
      </c>
      <c r="D93" t="str">
        <f>Market_currency</f>
        <v>CNY</v>
      </c>
      <c r="E93" s="146" t="s">
        <v>125</v>
      </c>
      <c r="F93" s="291">
        <f>(1-C93/C60)</f>
        <v>0.4696780984073009</v>
      </c>
    </row>
    <row r="95" spans="2:8" ht="13.15">
      <c r="B95" s="109" t="s">
        <v>394</v>
      </c>
      <c r="G95" s="2"/>
      <c r="H95" s="281"/>
    </row>
    <row r="96" spans="2:8">
      <c r="B96" s="148" t="s">
        <v>400</v>
      </c>
      <c r="C96" s="134">
        <f>Thesis!F31</f>
        <v>7.4999999999999997E-2</v>
      </c>
      <c r="G96" s="2"/>
      <c r="H96" s="281"/>
    </row>
    <row r="97" spans="2:8">
      <c r="B97" s="100" t="s">
        <v>120</v>
      </c>
      <c r="C97" s="116">
        <f>PV(C96, C76, -C77, 0)</f>
        <v>0.93618926635390565</v>
      </c>
      <c r="D97" s="116"/>
      <c r="G97" s="2"/>
      <c r="H97" s="281"/>
    </row>
    <row r="98" spans="2:8">
      <c r="B98" s="100" t="s">
        <v>121</v>
      </c>
      <c r="C98" s="116">
        <f>C60/(1+C96)^C76</f>
        <v>7.0025729445731688</v>
      </c>
      <c r="D98" s="116"/>
      <c r="G98" s="2"/>
      <c r="H98" s="281"/>
    </row>
    <row r="99" spans="2:8" ht="13.15">
      <c r="B99" s="110" t="s">
        <v>395</v>
      </c>
      <c r="C99" s="111">
        <f>C97+C98</f>
        <v>7.9387622109270746</v>
      </c>
      <c r="D99" t="s">
        <v>393</v>
      </c>
      <c r="E99" s="146" t="s">
        <v>125</v>
      </c>
      <c r="F99" s="291">
        <f>(1-C99/C60)</f>
        <v>8.7422494404492013E-2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6.773207833504693</v>
      </c>
      <c r="D104" s="116"/>
    </row>
    <row r="105" spans="2:8" ht="13.15">
      <c r="B105" s="110" t="s">
        <v>395</v>
      </c>
      <c r="C105" s="111">
        <f>C103+C104</f>
        <v>7.6893682545464594</v>
      </c>
      <c r="D105" t="s">
        <v>393</v>
      </c>
      <c r="E105" s="146" t="s">
        <v>125</v>
      </c>
      <c r="F105" s="291">
        <f>(1-C105/C66)</f>
        <v>0.11352968837267541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7C68D-4283-4D3F-A813-3C9F171BE969}">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