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B850F5C-82E3-4B82-BE8C-161C36A644E6}"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<sst xmlns="http://schemas.openxmlformats.org/spreadsheetml/2006/main" count="836" uniqueCount="561">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</sst>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15.78</v>
      </c>
      <c r="D12" s="50"/>
      <c r="E12" s="48"/>
    </row>
    <row r="13" spans="1:10">
      <c r="B13" s="1" t="s">
        <v>464</v>
      </c>
      <c r="C13" s="48" t="s">
        <v>394</v>
      </c>
      <c r="D13" s="48"/>
      <c r="E13" s="5"/>
    </row>
    <row r="14" spans="1:10">
      <c r="B14" s="4" t="s">
        <v>465</v>
      </c>
      <c r="C14" s="35">
        <f>Thesis!C12*Common_Shares/1000000</f>
        <v>9096.4914599999993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9.7166621706861633E-2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898092603.37923622</v>
      </c>
      <c r="D41" s="1" t="str">
        <f>Reporting_currency</f>
        <v>CNY</v>
      </c>
    </row>
    <row r="42" spans="1:6">
      <c r="B42" s="47"/>
      <c r="C42" s="76"/>
    </row>
    <row r="43" spans="1:6" ht="24.6" customHeight="1">
      <c r="B43" s="368" t="s">
        <v>229</v>
      </c>
      <c r="C43" s="368"/>
      <c r="D43" s="368"/>
      <c r="E43" s="368"/>
      <c r="F43" s="368"/>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-226167766.80719703</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67" t="s">
        <v>352</v>
      </c>
      <c r="C116" s="367"/>
      <c r="D116" s="367"/>
      <c r="E116" s="367"/>
      <c r="F116" s="367"/>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6.0456273764258564E-2</v>
      </c>
      <c r="E94" s="268"/>
      <c r="G94" s="23">
        <f t="shared" ref="G94:Q94" si="39">IF(G$4="","",(G90*(1-dividend_tax_rate))/Market_Price)</f>
        <v>6.0456273764258564E-2</v>
      </c>
      <c r="H94" s="23">
        <f t="shared" si="39"/>
        <v>6.0456273764258564E-2</v>
      </c>
      <c r="I94" s="23">
        <f t="shared" si="39"/>
        <v>5.7034220532319393E-2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7.45895605360785E-2</v>
      </c>
      <c r="D126" s="27"/>
      <c r="E126" s="265"/>
      <c r="F126" s="27"/>
      <c r="G126" s="77">
        <f t="shared" ref="G126" si="50">IF(G$4="","",G125/Market_Price)</f>
        <v>9.5104658794695651E-2</v>
      </c>
      <c r="H126" s="77">
        <f t="shared" ref="H126" si="51">IF(H$4="","",H125/Market_Price)</f>
        <v>0.10850901028756919</v>
      </c>
      <c r="I126" s="77">
        <f t="shared" ref="I126" si="52">IF(I$4="","",I125/Market_Price)</f>
        <v>9.2010147044537555E-2</v>
      </c>
      <c r="J126" s="77">
        <f t="shared" ref="J126" si="53">IF(J$4="","",J125/Market_Price)</f>
        <v>7.0423834974771948E-2</v>
      </c>
      <c r="K126" s="77">
        <f t="shared" ref="K126" si="54">IF(K$4="","",K125/Market_Price)</f>
        <v>5.7452811406153673E-2</v>
      </c>
      <c r="L126" s="77">
        <f t="shared" ref="L126" si="55">IF(L$4="","",L125/Market_Price)</f>
        <v>4.5434140113537649E-2</v>
      </c>
      <c r="M126" s="77">
        <f t="shared" ref="M126" si="56">IF(M$4="","",M125/Market_Price)</f>
        <v>2.7114384384856006E-2</v>
      </c>
      <c r="N126" s="77">
        <f t="shared" ref="N126" si="57">IF(N$4="","",N125/Market_Price)</f>
        <v>2.1207808950111411E-2</v>
      </c>
      <c r="O126" s="77">
        <f t="shared" ref="O126" si="58">IF(O$4="","",O125/Market_Price)</f>
        <v>2.1102036190995339E-2</v>
      </c>
      <c r="P126" s="77">
        <f t="shared" ref="P126" si="59">IF(P$4="","",P125/Market_Price)</f>
        <v>2.1728094273393627E-2</v>
      </c>
      <c r="Q126" s="77" t="str">
        <f t="shared" ref="Q126" si="60">IF(Q$4="","",Q125/Market_Price)</f>
        <v/>
      </c>
    </row>
    <row r="127" spans="1:17" ht="15.75" customHeight="1">
      <c r="B127" s="2" t="s">
        <v>375</v>
      </c>
      <c r="C127" s="169"/>
      <c r="G127" s="23">
        <f>IF(G$4="","",(Data!C47*$C$3)/(Market_Price*Common_Shares))</f>
        <v>9.3248170982177775E-2</v>
      </c>
      <c r="H127" s="23">
        <f>IF(H$4="","",(Data!D47*$C$3)/(Market_Price*Common_Shares))</f>
        <v>0.11082178919563346</v>
      </c>
      <c r="I127" s="23">
        <f>IF(I$4="","",(Data!E47*$C$3)/(Market_Price*Common_Shares))</f>
        <v>9.1674759841966588E-2</v>
      </c>
      <c r="J127" s="23">
        <f>IF(J$4="","",(Data!F47*$C$3)/(Market_Price*Common_Shares))</f>
        <v>7.1126993175894215E-2</v>
      </c>
      <c r="K127" s="23">
        <f>IF(K$4="","",(Data!G47*$C$3)/(Market_Price*Common_Shares))</f>
        <v>5.65803386133229E-2</v>
      </c>
      <c r="L127" s="23">
        <f>IF(L$4="","",(Data!H47*$C$3)/(Market_Price*Common_Shares))</f>
        <v>4.5410579652212416E-2</v>
      </c>
      <c r="M127" s="23">
        <f>IF(M$4="","",(Data!I47*$C$3)/(Market_Price*Common_Shares))</f>
        <v>2.6875827573194906E-2</v>
      </c>
      <c r="N127" s="23">
        <f>IF(N$4="","",(Data!J47*$C$3)/(Market_Price*Common_Shares))</f>
        <v>2.2641334178749396E-2</v>
      </c>
      <c r="O127" s="23">
        <f>IF(O$4="","",(Data!K47*$C$3)/(Market_Price*Common_Shares))</f>
        <v>1.756116198233643E-2</v>
      </c>
      <c r="P127" s="23">
        <f>IF(P$4="","",(Data!L47*$C$3)/(Market_Price*Common_Shares))</f>
        <v>1.5677657658131852E-2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5" t="s">
        <v>245</v>
      </c>
      <c r="F6" s="375"/>
      <c r="H6" s="120"/>
    </row>
    <row r="7" spans="2:8">
      <c r="B7" s="148" t="s">
        <v>220</v>
      </c>
      <c r="C7" s="338">
        <f>BS!G31</f>
        <v>270317959.52999997</v>
      </c>
      <c r="D7" t="str">
        <f>Reporting_currency</f>
        <v>CNY</v>
      </c>
      <c r="E7" s="375"/>
      <c r="F7" s="375"/>
      <c r="H7" s="120"/>
    </row>
    <row r="8" spans="2:8">
      <c r="B8" s="148" t="s">
        <v>221</v>
      </c>
      <c r="C8" s="338">
        <f>BS!D66</f>
        <v>867841842.9465394</v>
      </c>
      <c r="D8" t="str">
        <f>Reporting_currency</f>
        <v>CNY</v>
      </c>
      <c r="E8" s="375"/>
      <c r="F8" s="375"/>
      <c r="H8" s="120"/>
    </row>
    <row r="9" spans="2:8">
      <c r="B9" s="205" t="s">
        <v>186</v>
      </c>
      <c r="C9" s="348">
        <f>BS!H42</f>
        <v>30193430.795999996</v>
      </c>
      <c r="D9" t="str">
        <f>Reporting_currency</f>
        <v>CNY</v>
      </c>
      <c r="E9" s="375"/>
      <c r="F9" s="375"/>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5"/>
      <c r="F6" s="375"/>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-15.78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77"/>
      <c r="H7" s="247">
        <v>4</v>
      </c>
      <c r="I7" s="124" t="str">
        <f t="shared" si="0"/>
        <v/>
      </c>
    </row>
    <row r="8" spans="2:9">
      <c r="B8" s="100" t="s">
        <v>64</v>
      </c>
      <c r="C8" s="338">
        <f>Normalized_FCF!G19</f>
        <v>865118716.5321629</v>
      </c>
      <c r="D8" t="str">
        <f>Reporting_currency</f>
        <v>CNY</v>
      </c>
      <c r="E8" s="377"/>
      <c r="F8" s="377"/>
      <c r="H8" s="247">
        <v>5</v>
      </c>
      <c r="I8" s="124" t="str">
        <f t="shared" si="0"/>
        <v/>
      </c>
    </row>
    <row r="9" spans="2:9">
      <c r="B9" s="100" t="s">
        <v>55</v>
      </c>
      <c r="C9" s="338">
        <f>Normalized_FCF!C19</f>
        <v>678503300.42159104</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9.6365877843450409E-2</v>
      </c>
      <c r="D12" s="158"/>
      <c r="E12" s="377"/>
      <c r="F12" s="377"/>
      <c r="H12" s="247">
        <v>9</v>
      </c>
      <c r="I12" s="124" t="str">
        <f t="shared" si="0"/>
        <v/>
      </c>
    </row>
    <row r="13" spans="2:9">
      <c r="B13" s="148" t="s">
        <v>148</v>
      </c>
      <c r="C13" s="158">
        <f ca="1">(Normalized_FCF!G8/OFFSET(Normalized_FCF!G8, 0, $C$4))^(1/$C$4) - 1</f>
        <v>0.12333037284725878</v>
      </c>
      <c r="E13" s="377"/>
      <c r="F13" s="377"/>
      <c r="H13" s="247">
        <v>10</v>
      </c>
      <c r="I13" s="124" t="str">
        <f t="shared" si="0"/>
        <v/>
      </c>
    </row>
    <row r="14" spans="2:9">
      <c r="B14" s="100" t="s">
        <v>64</v>
      </c>
      <c r="C14" s="158">
        <f ca="1">(Normalized_FCF!G19/OFFSET(Normalized_FCF!G19, 0, $C$4))^(1/$C$4) - 1</f>
        <v>0.10533530085337128</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15.78</v>
      </c>
      <c r="D21" t="str">
        <f>Market_currency</f>
        <v>CNY</v>
      </c>
      <c r="E21" s="378"/>
      <c r="F21" s="378"/>
    </row>
    <row r="22" spans="2:6">
      <c r="B22" s="100" t="s">
        <v>273</v>
      </c>
      <c r="C22" s="160">
        <f>IF(valuation_method="DCF",DCF!C12,DDM!C7)</f>
        <v>16.782566586060053</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0.03</v>
      </c>
      <c r="D26" s="164"/>
      <c r="E26" s="376"/>
      <c r="F26" s="376"/>
    </row>
    <row r="27" spans="2:6">
      <c r="B27" s="100" t="s">
        <v>109</v>
      </c>
      <c r="C27" s="160">
        <f>IF(valuation_method="DCF",DCF!E76,DDM!E71)</f>
        <v>17.534443821077375</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17.029620121313162</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0.05</v>
      </c>
      <c r="D38" s="164"/>
      <c r="E38" s="376"/>
      <c r="F38" s="376"/>
    </row>
    <row r="39" spans="2:6">
      <c r="B39" s="100" t="s">
        <v>109</v>
      </c>
      <c r="C39" s="160">
        <f>IF(valuation_method="DCF",DCF!E75,DDM!E70)</f>
        <v>18.054081342006516</v>
      </c>
      <c r="D39" t="str">
        <f>Market_currency</f>
        <v>CNY</v>
      </c>
      <c r="E39" s="376"/>
      <c r="F39" s="376"/>
    </row>
    <row r="40" spans="2:6">
      <c r="B40" s="100" t="s">
        <v>143</v>
      </c>
      <c r="C40" s="167">
        <f>1-C28-C34</f>
        <v>0.2</v>
      </c>
      <c r="D40" s="165"/>
      <c r="E40" s="376"/>
      <c r="F40" s="376"/>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16.782566586060057</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0.08</v>
      </c>
      <c r="D56" s="164"/>
      <c r="E56" s="376"/>
      <c r="F56" s="376"/>
    </row>
    <row r="57" spans="2:6">
      <c r="B57" s="100" t="s">
        <v>109</v>
      </c>
      <c r="C57" s="160">
        <f>IF(valuation_method="DCF",DCF!E74,DDM!E69)</f>
        <v>21.388112797570475</v>
      </c>
      <c r="D57" t="str">
        <f>Market_currency</f>
        <v>CNY</v>
      </c>
      <c r="E57" s="376"/>
      <c r="F57" s="376"/>
    </row>
    <row r="58" spans="2:6">
      <c r="B58" s="100" t="s">
        <v>143</v>
      </c>
      <c r="C58" s="165">
        <v>0.05</v>
      </c>
      <c r="D58" s="165"/>
      <c r="E58" s="376"/>
      <c r="F58" s="376"/>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15.78</v>
      </c>
      <c r="D86" t="str">
        <f>Market_currency</f>
        <v>CNY</v>
      </c>
    </row>
    <row r="87" spans="2:8" ht="13.15">
      <c r="B87" s="100" t="s">
        <v>293</v>
      </c>
      <c r="C87" s="237">
        <f ca="1">IRR(OFFSET($I$3, 0, 0, $C$76 + 1, 1))</f>
        <v>9.7166621706861633E-2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15.78</v>
      </c>
      <c r="D12" s="50"/>
      <c r="E12" s="48"/>
    </row>
    <row r="13" spans="1:10">
      <c r="B13" s="1" t="s">
        <v>485</v>
      </c>
      <c r="C13" s="32" t="str">
        <f>Market_currency</f>
        <v>CNY</v>
      </c>
      <c r="D13" s="48"/>
      <c r="E13" s="5"/>
    </row>
    <row r="14" spans="1:10">
      <c r="B14" s="4" t="s">
        <v>486</v>
      </c>
      <c r="C14" s="35">
        <f>投资主题!C12*Common_Shares/1000000</f>
        <v>9096.4914599999993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9.7166621706861633E-2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898092603.37923622</v>
      </c>
      <c r="D41" s="1" t="str">
        <f>Reporting_currency</f>
        <v>CNY</v>
      </c>
    </row>
    <row r="42" spans="1:6">
      <c r="B42" s="47"/>
      <c r="C42" s="76"/>
    </row>
    <row r="43" spans="1:6" ht="24.6" customHeight="1">
      <c r="B43" s="368" t="s">
        <v>495</v>
      </c>
      <c r="C43" s="368"/>
      <c r="D43" s="368"/>
      <c r="E43" s="368"/>
      <c r="F43" s="368"/>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-226167766.80719703</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67" t="s">
        <v>516</v>
      </c>
      <c r="C116" s="367"/>
      <c r="D116" s="367"/>
      <c r="E116" s="367"/>
      <c r="F116" s="367"/>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