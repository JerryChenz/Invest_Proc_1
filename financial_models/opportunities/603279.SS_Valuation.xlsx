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DB2AE81-1F0A-4ED4-ABF1-4CBA7F4F88E6}"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G4" i="3"/>
  <c r="C4" i="3"/>
  <c r="C28" i="4" s="1"/>
  <c r="C9" i="3"/>
  <c r="C25" i="4"/>
  <c r="D25" i="4"/>
  <c r="E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<sst xmlns="http://schemas.openxmlformats.org/spreadsheetml/2006/main" count="768" uniqueCount="557">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</sst>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45938</v>
      </c>
    </row>
    <row r="4" spans="1:9" ht="12.4">
      <c r="B4" s="421" t="s">
        <v>530</v>
      </c>
      <c r="C4" s="420" t="s">
        <v>554</v>
      </c>
      <c r="E4" s="430" t="s">
        <v>534</v>
      </c>
      <c r="F4" s="431" t="s">
        <v>553</v>
      </c>
    </row>
    <row r="5" spans="1:9">
      <c r="B5" s="1" t="s">
        <v>347</v>
      </c>
      <c r="C5" s="46" t="s">
        <v>555</v>
      </c>
      <c r="E5" s="433" t="s">
        <v>536</v>
      </c>
      <c r="F5" s="432" t="s">
        <v>543</v>
      </c>
    </row>
    <row r="6" spans="1:9">
      <c r="B6" s="2" t="s">
        <v>53</v>
      </c>
      <c r="C6" s="45" t="s">
        <v>546</v>
      </c>
      <c r="D6" s="45"/>
      <c r="E6" s="45"/>
    </row>
    <row r="7" spans="1:9">
      <c r="B7" s="1" t="s">
        <v>349</v>
      </c>
      <c r="C7" s="45" t="s">
        <v>556</v>
      </c>
      <c r="D7" s="45"/>
      <c r="E7" s="45"/>
    </row>
    <row r="8" spans="1:9">
      <c r="B8" s="4" t="s">
        <v>348</v>
      </c>
      <c r="C8" s="47">
        <v>17.14</v>
      </c>
      <c r="E8" s="32"/>
    </row>
    <row r="9" spans="1:9">
      <c r="B9" s="4" t="s">
        <v>344</v>
      </c>
      <c r="C9" s="48">
        <v>576457000</v>
      </c>
    </row>
    <row r="10" spans="1:9">
      <c r="B10" s="4" t="s">
        <v>350</v>
      </c>
      <c r="C10" s="33">
        <f>Thesis!C8*Common_Shares/1000000</f>
        <v>9880.4729800000005</v>
      </c>
      <c r="D10" s="1" t="s">
        <v>525</v>
      </c>
      <c r="E10" s="303">
        <f>Scenarios!F34</f>
        <v>0.14644556715607968</v>
      </c>
    </row>
    <row r="11" spans="1:9">
      <c r="D11" s="5"/>
      <c r="E11" s="5"/>
    </row>
    <row r="12" spans="1:9" ht="24.5" customHeight="1">
      <c r="B12" s="460" t="s">
        <v>353</v>
      </c>
      <c r="C12" s="460"/>
      <c r="D12" s="460"/>
      <c r="E12" s="460"/>
      <c r="F12" s="460"/>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v>
      </c>
      <c r="D17" s="4" t="s">
        <v>274</v>
      </c>
      <c r="E17" s="224" t="s">
        <v>556</v>
      </c>
    </row>
    <row r="18" spans="1:6">
      <c r="B18" s="1" t="str">
        <f>"Expected Equity Value ("&amp;C7&amp;") :"</f>
        <v>Expected Equity Value (CNY) :</v>
      </c>
      <c r="C18" s="252">
        <f>C125</f>
        <v>22.158401911290397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11.277152172588272</v>
      </c>
      <c r="D22" s="38" t="s">
        <v>404</v>
      </c>
      <c r="E22" s="79">
        <v>0.32950289523458665</v>
      </c>
    </row>
    <row r="23" spans="1:6">
      <c r="B23" s="1" t="s">
        <v>312</v>
      </c>
      <c r="C23" s="256">
        <f>E141</f>
        <v>14.162449719634122</v>
      </c>
      <c r="D23" s="38" t="s">
        <v>405</v>
      </c>
      <c r="E23" s="443">
        <v>0.22621703288100403</v>
      </c>
    </row>
    <row r="24" spans="1:6">
      <c r="B24" s="1" t="s">
        <v>314</v>
      </c>
      <c r="C24" s="256">
        <f>E144</f>
        <v>19.949994757287094</v>
      </c>
      <c r="D24" s="38" t="s">
        <v>406</v>
      </c>
      <c r="E24" s="443">
        <v>8.6999999999999994E-2</v>
      </c>
    </row>
    <row r="25" spans="1:6">
      <c r="B25" s="1" t="s">
        <v>313</v>
      </c>
      <c r="C25" s="256">
        <f>E145</f>
        <v>20.730780285650923</v>
      </c>
      <c r="D25" s="38" t="s">
        <v>407</v>
      </c>
      <c r="E25" s="444">
        <v>7.2499999999999995E-2</v>
      </c>
    </row>
    <row r="26" spans="1:6">
      <c r="D26" s="5"/>
      <c r="E26" s="5"/>
    </row>
    <row r="27" spans="1:6" ht="13.9">
      <c r="A27" s="200" t="s">
        <v>280</v>
      </c>
      <c r="B27" s="34"/>
      <c r="C27" s="34"/>
      <c r="D27" s="34"/>
      <c r="E27" s="34"/>
      <c r="F27" s="34"/>
    </row>
    <row r="29" spans="1:6">
      <c r="B29" s="460" t="s">
        <v>354</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1079571875.5988722</v>
      </c>
      <c r="D34" s="1" t="str">
        <f>Reporting_currency</f>
        <v>CNY</v>
      </c>
    </row>
    <row r="35" spans="2:6">
      <c r="B35" s="44"/>
      <c r="C35" s="73"/>
    </row>
    <row r="36" spans="2:6" ht="24.5" customHeight="1">
      <c r="B36" s="461" t="s">
        <v>198</v>
      </c>
      <c r="C36" s="461"/>
      <c r="D36" s="461"/>
      <c r="E36" s="461"/>
      <c r="F36" s="461"/>
    </row>
    <row r="37" spans="2:6">
      <c r="B37" s="44" t="s">
        <v>199</v>
      </c>
      <c r="C37" s="285">
        <f>Normalized_FCF!C15</f>
        <v>213321214.99999997</v>
      </c>
      <c r="D37" s="1" t="str">
        <f>Reporting_currency</f>
        <v>CNY</v>
      </c>
    </row>
    <row r="38" spans="2:6">
      <c r="B38" s="49" t="s">
        <v>200</v>
      </c>
      <c r="C38" s="285">
        <f>Normalized_FCF!C16</f>
        <v>-213321214.99999994</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5660933.7634011274</v>
      </c>
      <c r="D44" s="1" t="str">
        <f>Reporting_currency</f>
        <v>CNY</v>
      </c>
      <c r="E44" s="244"/>
      <c r="F44" s="244"/>
    </row>
    <row r="45" spans="2:6">
      <c r="B45" s="44" t="s">
        <v>268</v>
      </c>
      <c r="C45" s="286">
        <f>Normalized_FCF!C45</f>
        <v>-12007999.9998</v>
      </c>
      <c r="D45" s="1" t="str">
        <f>Reporting_currency</f>
        <v>CNY</v>
      </c>
      <c r="E45" s="244"/>
      <c r="F45" s="244"/>
    </row>
    <row r="46" spans="2:6">
      <c r="B46" s="44" t="s">
        <v>203</v>
      </c>
      <c r="C46" s="285">
        <f>Normalized_FCF!C10</f>
        <v>-6347066.2363988729</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-268306202.34061834</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866291325.69594693</v>
      </c>
      <c r="D60" s="1" t="str">
        <f>Reporting_currency</f>
        <v>CNY</v>
      </c>
    </row>
    <row r="61" spans="2:6">
      <c r="B61" s="44" t="s">
        <v>213</v>
      </c>
      <c r="C61" s="285">
        <f>Normalized_FCF!C19</f>
        <v>804918607.021855</v>
      </c>
      <c r="D61" s="1" t="str">
        <f>Reporting_currency</f>
        <v>CNY</v>
      </c>
    </row>
    <row r="62" spans="2:6">
      <c r="B62" s="204" t="s">
        <v>302</v>
      </c>
      <c r="C62" s="89">
        <f>Normalized_FCF!C124</f>
        <v>8.1465594678631972E-2</v>
      </c>
      <c r="F62" s="257"/>
    </row>
    <row r="63" spans="2:6">
      <c r="B63" s="204" t="s">
        <v>330</v>
      </c>
      <c r="C63" s="89">
        <f>Normalized_FCF!C92</f>
        <v>6.1843640606767794E-2</v>
      </c>
      <c r="E63" s="44" t="s">
        <v>321</v>
      </c>
      <c r="F63" s="258">
        <f>Normalized_FCF!C90</f>
        <v>0.75913814722313788</v>
      </c>
    </row>
    <row r="65" spans="1:6">
      <c r="B65" s="192" t="s">
        <v>323</v>
      </c>
      <c r="C65" s="264" t="s">
        <v>325</v>
      </c>
      <c r="D65" s="264" t="s">
        <v>326</v>
      </c>
    </row>
    <row r="66" spans="1:6">
      <c r="B66" s="44" t="s">
        <v>324</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475</v>
      </c>
      <c r="B71" s="34"/>
      <c r="C71" s="34"/>
      <c r="D71" s="34"/>
      <c r="E71" s="34"/>
      <c r="F71" s="34"/>
    </row>
    <row r="72" spans="1:6">
      <c r="A72" s="191"/>
    </row>
    <row r="73" spans="1:6">
      <c r="A73" s="191"/>
      <c r="B73" s="460" t="s">
        <v>476</v>
      </c>
      <c r="C73" s="460"/>
      <c r="D73" s="460"/>
      <c r="E73" s="460"/>
      <c r="F73" s="460"/>
    </row>
    <row r="74" spans="1:6">
      <c r="A74" s="191"/>
      <c r="B74" s="1" t="s">
        <v>463</v>
      </c>
    </row>
    <row r="75" spans="1:6">
      <c r="A75" s="191"/>
    </row>
    <row r="76" spans="1:6">
      <c r="A76" s="191"/>
      <c r="B76" s="192" t="s">
        <v>195</v>
      </c>
    </row>
    <row r="77" spans="1:6">
      <c r="A77" s="191"/>
      <c r="B77" s="460" t="s">
        <v>271</v>
      </c>
      <c r="C77" s="460"/>
      <c r="D77" s="460"/>
      <c r="E77" s="460"/>
      <c r="F77" s="460"/>
    </row>
    <row r="78" spans="1:6">
      <c r="A78" s="191"/>
      <c r="B78" s="1" t="s">
        <v>215</v>
      </c>
      <c r="C78" s="285">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37">
        <f>IF(BS!G31/BS!G27&gt;300%,"nm",BS!G31/BS!G27)</f>
        <v>4.3380350010353987E-2</v>
      </c>
    </row>
    <row r="81" spans="1:6">
      <c r="A81" s="191"/>
      <c r="B81" s="229" t="s">
        <v>310</v>
      </c>
      <c r="C81" s="338">
        <f>IF(BS!C50&gt;30,"nm",BS!C50)</f>
        <v>0.18538212957704164</v>
      </c>
    </row>
    <row r="82" spans="1:6">
      <c r="A82" s="191"/>
    </row>
    <row r="83" spans="1:6">
      <c r="A83" s="191"/>
      <c r="B83" s="1" t="s">
        <v>464</v>
      </c>
    </row>
    <row r="84" spans="1:6">
      <c r="A84" s="191"/>
      <c r="B84" s="1" t="s">
        <v>224</v>
      </c>
      <c r="C84" s="285">
        <f>DCF!F5</f>
        <v>843588191.76314533</v>
      </c>
      <c r="D84" s="1" t="str">
        <f>Reporting_currency</f>
        <v>CNY</v>
      </c>
    </row>
    <row r="85" spans="1:6">
      <c r="A85" s="191"/>
      <c r="B85" s="229" t="s">
        <v>222</v>
      </c>
      <c r="C85" s="291">
        <f>BS!C66</f>
        <v>1787077152.3299999</v>
      </c>
      <c r="D85" s="339" t="str">
        <f>Reporting_currency</f>
        <v>CNY</v>
      </c>
    </row>
    <row r="86" spans="1:6">
      <c r="A86" s="191"/>
      <c r="B86" s="44" t="s">
        <v>235</v>
      </c>
      <c r="C86" s="201">
        <f>C84*scaling_factor*Exchange_Rate/Common_Shares</f>
        <v>1.4634017658960605</v>
      </c>
      <c r="D86" s="1" t="str">
        <f>Market_currency</f>
        <v>CNY</v>
      </c>
    </row>
    <row r="87" spans="1:6">
      <c r="A87" s="191"/>
    </row>
    <row r="88" spans="1:6">
      <c r="A88" s="191"/>
      <c r="B88" s="1" t="s">
        <v>216</v>
      </c>
    </row>
    <row r="89" spans="1:6">
      <c r="A89" s="191"/>
      <c r="B89" s="1" t="s">
        <v>217</v>
      </c>
      <c r="C89" s="285">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467</v>
      </c>
      <c r="C92" s="216">
        <f>DCF!F8</f>
        <v>1.2208630742677169</v>
      </c>
      <c r="D92" s="44" t="str">
        <f>Market_currency</f>
        <v>CNY</v>
      </c>
    </row>
    <row r="94" spans="1:6" ht="13.9">
      <c r="A94" s="200" t="s">
        <v>468</v>
      </c>
      <c r="B94" s="34"/>
      <c r="C94" s="34"/>
      <c r="D94" s="34"/>
      <c r="E94" s="34"/>
      <c r="F94" s="34"/>
    </row>
    <row r="95" spans="1:6">
      <c r="A95" s="191"/>
    </row>
    <row r="96" spans="1:6" ht="11.75" customHeight="1">
      <c r="B96" s="460" t="s">
        <v>483</v>
      </c>
      <c r="C96" s="460"/>
      <c r="D96" s="460"/>
      <c r="E96" s="460"/>
      <c r="F96" s="460"/>
    </row>
    <row r="97" spans="2:6">
      <c r="B97" s="462" t="s">
        <v>482</v>
      </c>
      <c r="C97" s="462"/>
      <c r="D97" s="462"/>
      <c r="E97" s="462"/>
      <c r="F97" s="462"/>
    </row>
    <row r="98" spans="2:6">
      <c r="B98" s="462" t="s">
        <v>481</v>
      </c>
      <c r="C98" s="462"/>
      <c r="D98" s="462"/>
      <c r="E98" s="462"/>
      <c r="F98" s="462"/>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485</v>
      </c>
    </row>
    <row r="111" spans="2:6">
      <c r="B111" s="49" t="s">
        <v>466</v>
      </c>
      <c r="C111" s="216">
        <f>BS!D47</f>
        <v>-0.45026820353990077</v>
      </c>
      <c r="D111" s="1" t="str">
        <f>Market_currency</f>
        <v>CNY</v>
      </c>
    </row>
    <row r="112" spans="2:6">
      <c r="B112" s="44" t="s">
        <v>322</v>
      </c>
      <c r="C112" s="216">
        <f>DCF!C11</f>
        <v>20.480453319671195</v>
      </c>
      <c r="D112" s="1" t="str">
        <f>Market_currency</f>
        <v>CNY</v>
      </c>
    </row>
    <row r="114" spans="2:6" ht="24.5" customHeight="1">
      <c r="B114" s="460" t="s">
        <v>489</v>
      </c>
      <c r="C114" s="460"/>
      <c r="D114" s="460"/>
      <c r="E114" s="460"/>
      <c r="F114" s="460"/>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1" t="s">
        <v>355</v>
      </c>
      <c r="C124" s="461"/>
      <c r="D124" s="461"/>
      <c r="E124" s="461"/>
      <c r="F124" s="461"/>
    </row>
    <row r="125" spans="2:6">
      <c r="B125" s="193" t="s">
        <v>218</v>
      </c>
      <c r="C125" s="197">
        <f>Scenarios!C36</f>
        <v>22.158401911290397</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3" t="s">
        <v>285</v>
      </c>
      <c r="C131" s="463"/>
      <c r="D131" s="463"/>
      <c r="E131" s="463"/>
      <c r="F131" s="463"/>
    </row>
    <row r="132" spans="1:6">
      <c r="B132" s="460" t="s">
        <v>357</v>
      </c>
      <c r="C132" s="460"/>
      <c r="D132" s="460"/>
      <c r="E132" s="460"/>
      <c r="F132" s="460"/>
    </row>
    <row r="134" spans="1:6">
      <c r="B134" s="192" t="s">
        <v>195</v>
      </c>
    </row>
    <row r="135" spans="1:6">
      <c r="B135" s="1" t="s">
        <v>221</v>
      </c>
      <c r="C135" s="202">
        <f>E21</f>
        <v>3</v>
      </c>
    </row>
    <row r="136" spans="1:6">
      <c r="B136" s="194" t="s">
        <v>220</v>
      </c>
      <c r="C136" s="195">
        <f>Scenarios!C58</f>
        <v>1.06</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1.8480449762944853</v>
      </c>
      <c r="D140" s="333">
        <f>Scenarios!D62</f>
        <v>9.4291071962937867</v>
      </c>
      <c r="E140" s="334">
        <f>Scenarios!E62</f>
        <v>11.277152172588272</v>
      </c>
      <c r="F140" s="335">
        <f>E22</f>
        <v>0.32950289523458665</v>
      </c>
    </row>
    <row r="141" spans="1:6">
      <c r="B141" s="336" t="s">
        <v>312</v>
      </c>
      <c r="C141" s="333">
        <f>Scenarios!C63</f>
        <v>2.1443334287647504</v>
      </c>
      <c r="D141" s="333">
        <f>Scenarios!D63</f>
        <v>12.018116290869372</v>
      </c>
      <c r="E141" s="334">
        <f>Scenarios!E63</f>
        <v>14.162449719634122</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2.6975834619563113</v>
      </c>
      <c r="D144" s="333">
        <f>Scenarios!D66</f>
        <v>17.252411295330781</v>
      </c>
      <c r="E144" s="334">
        <f>Scenarios!E66</f>
        <v>19.949994757287094</v>
      </c>
      <c r="F144" s="335">
        <f>E24</f>
        <v>8.6999999999999994E-2</v>
      </c>
    </row>
    <row r="145" spans="1:6">
      <c r="B145" s="336" t="s">
        <v>313</v>
      </c>
      <c r="C145" s="333">
        <f>Scenarios!C67</f>
        <v>2.7691177408033969</v>
      </c>
      <c r="D145" s="333">
        <f>Scenarios!D67</f>
        <v>17.961662544847524</v>
      </c>
      <c r="E145" s="334">
        <f>Scenarios!E67</f>
        <v>20.730780285650923</v>
      </c>
      <c r="F145" s="335">
        <f>Scenarios!F67</f>
        <v>7.2499999999999995E-2</v>
      </c>
    </row>
    <row r="147" spans="1:6" ht="13.9">
      <c r="A147" s="200" t="s">
        <v>473</v>
      </c>
      <c r="B147" s="34"/>
      <c r="C147" s="34"/>
      <c r="D147" s="34"/>
      <c r="E147" s="34"/>
      <c r="F147" s="34"/>
    </row>
    <row r="149" spans="1:6">
      <c r="B149" s="467" t="s">
        <v>358</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436</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40</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51</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58</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46</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6249607</v>
      </c>
      <c r="D12" s="287">
        <v>4610251</v>
      </c>
      <c r="E12" s="287">
        <v>1311423</v>
      </c>
      <c r="F12" s="287">
        <v>394228</v>
      </c>
      <c r="G12" s="287">
        <v>74051</v>
      </c>
      <c r="H12" s="287">
        <v>0</v>
      </c>
      <c r="I12" s="287">
        <v>0</v>
      </c>
      <c r="J12" s="287">
        <v>0</v>
      </c>
      <c r="K12" s="287">
        <v>0</v>
      </c>
      <c r="L12" s="287"/>
      <c r="M12" s="287"/>
    </row>
    <row r="13" spans="2:13">
      <c r="B13" s="38" t="s">
        <v>64</v>
      </c>
      <c r="C13" s="287">
        <v>37086796</v>
      </c>
      <c r="D13" s="287">
        <v>31023567</v>
      </c>
      <c r="E13" s="287">
        <v>31991799</v>
      </c>
      <c r="F13" s="287">
        <v>18258659</v>
      </c>
      <c r="G13" s="287">
        <v>12674421</v>
      </c>
      <c r="H13" s="287">
        <v>7073727</v>
      </c>
      <c r="I13" s="287">
        <v>0</v>
      </c>
      <c r="J13" s="287">
        <v>0</v>
      </c>
      <c r="K13" s="287">
        <v>0</v>
      </c>
      <c r="L13" s="287"/>
      <c r="M13" s="287"/>
    </row>
    <row r="14" spans="2:13">
      <c r="B14" s="38" t="s">
        <v>47</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39</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41</v>
      </c>
      <c r="C16" s="287">
        <v>0</v>
      </c>
      <c r="D16" s="287">
        <v>0</v>
      </c>
      <c r="E16" s="287">
        <v>0</v>
      </c>
      <c r="F16" s="287">
        <v>0</v>
      </c>
      <c r="G16" s="287">
        <v>0</v>
      </c>
      <c r="H16" s="287">
        <v>0</v>
      </c>
      <c r="I16" s="287">
        <v>0</v>
      </c>
      <c r="J16" s="287">
        <v>0</v>
      </c>
      <c r="K16" s="287">
        <v>0</v>
      </c>
      <c r="L16" s="287">
        <v>0</v>
      </c>
      <c r="M16" s="287"/>
    </row>
    <row r="18" spans="2:13">
      <c r="B18" s="16" t="s">
        <v>48</v>
      </c>
      <c r="C18" s="9"/>
    </row>
    <row r="19" spans="2:13">
      <c r="B19" s="26" t="s">
        <v>44</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288</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287</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544</v>
      </c>
    </row>
    <row r="28" spans="2:13">
      <c r="B28" s="25" t="s">
        <v>22</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30</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38</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28</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143</v>
      </c>
      <c r="C32" s="270">
        <f>BS!G28</f>
        <v>0</v>
      </c>
      <c r="D32" s="287">
        <v>0</v>
      </c>
      <c r="E32" s="287">
        <v>0</v>
      </c>
      <c r="F32" s="287">
        <v>0</v>
      </c>
      <c r="G32" s="287">
        <v>0</v>
      </c>
      <c r="H32" s="287">
        <v>0</v>
      </c>
      <c r="I32" s="287">
        <v>0</v>
      </c>
      <c r="J32" s="287">
        <v>0</v>
      </c>
      <c r="K32" s="287">
        <v>0</v>
      </c>
      <c r="L32" s="287">
        <v>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40</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55</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51</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58</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61</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46</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127</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139</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65</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47</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39</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41</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64</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48</v>
      </c>
      <c r="C60" s="9"/>
    </row>
    <row r="61" spans="2:13">
      <c r="B61" s="26" t="s">
        <v>44</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50</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82</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83</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38</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28</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87">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0.18538212957704164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0.15230636566292824</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843588191.76314533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-468902548.5</v>
      </c>
      <c r="D73" s="285">
        <f>(Normalized_FCF!C26+Normalized_FCF!C35-Normalized_FCF!C89)/12</f>
        <v>-471744480.2834273</v>
      </c>
      <c r="F73" s="1" t="s">
        <v>278</v>
      </c>
    </row>
    <row r="74" spans="2:6" ht="15" customHeight="1">
      <c r="B74" s="227" t="s">
        <v>259</v>
      </c>
      <c r="C74" s="228">
        <f>-$C$66/C73</f>
        <v>3.8111909565149227</v>
      </c>
      <c r="D74" s="228">
        <f>-$C$66/D73</f>
        <v>3.7882311866294902</v>
      </c>
      <c r="F74" s="223" t="s">
        <v>257</v>
      </c>
    </row>
    <row r="75" spans="2:6" ht="15" customHeight="1">
      <c r="B75" s="77" t="s">
        <v>258</v>
      </c>
      <c r="C75" s="261"/>
      <c r="D75" s="262">
        <f>MAX(-D73*D76,G5)</f>
        <v>943488960.5668546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843588191.76314533</v>
      </c>
      <c r="D87" s="201">
        <f>C87*scaling_factor/Common_Shares</f>
        <v>1.4634017658960605</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43</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45</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42</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127</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413</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137</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60</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208</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62</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396</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59</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46</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43</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272</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269</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65</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164</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137</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3.4802604564778135E-2</v>
      </c>
      <c r="D82" s="26"/>
      <c r="E82" s="235" t="s">
        <v>545</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2">
        <v>0</v>
      </c>
      <c r="E91" s="237"/>
      <c r="G91" s="293"/>
      <c r="H91" s="293"/>
      <c r="I91" s="293"/>
      <c r="J91" s="293"/>
      <c r="K91" s="293"/>
      <c r="L91" s="293"/>
      <c r="M91" s="293"/>
      <c r="N91" s="293"/>
      <c r="O91" s="293"/>
      <c r="P91" s="293"/>
      <c r="Q91" s="293"/>
    </row>
    <row r="92" spans="1:17" ht="15.75" customHeight="1">
      <c r="A92" s="10"/>
      <c r="B92" s="2" t="s">
        <v>328</v>
      </c>
      <c r="C92" s="22">
        <f>(C88*(1-dividend_tax_rate))/Market_Price</f>
        <v>6.1843640606767794E-2</v>
      </c>
      <c r="E92" s="237"/>
      <c r="G92" s="22">
        <f t="shared" ref="G92:Q92" si="38">IF(G$4="","",(G88*(1-dividend_tax_rate))/Market_Price)</f>
        <v>6.1843640606767794E-2</v>
      </c>
      <c r="H92" s="22">
        <f t="shared" si="38"/>
        <v>6.1843640606767794E-2</v>
      </c>
      <c r="I92" s="22">
        <f t="shared" si="38"/>
        <v>5.8343057176196034E-2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179</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28</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304</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8.1465594678631972E-2</v>
      </c>
      <c r="D124" s="26"/>
      <c r="E124" s="234"/>
      <c r="F124" s="26"/>
      <c r="G124" s="74">
        <f t="shared" ref="G124" si="49">IF(G$4="","",G123/Market_Price)</f>
        <v>8.767711094898889E-2</v>
      </c>
      <c r="H124" s="74">
        <f t="shared" ref="H124" si="50">IF(H$4="","",H123/Market_Price)</f>
        <v>9.9998470679644347E-2</v>
      </c>
      <c r="I124" s="74">
        <f t="shared" ref="I124" si="51">IF(I$4="","",I123/Market_Price)</f>
        <v>8.4811833828920602E-2</v>
      </c>
      <c r="J124" s="74">
        <f t="shared" ref="J124" si="52">IF(J$4="","",J123/Market_Price)</f>
        <v>6.489437463564604E-2</v>
      </c>
      <c r="K124" s="74">
        <f t="shared" ref="K124" si="53">IF(K$4="","",K123/Market_Price)</f>
        <v>5.2934687318835209E-2</v>
      </c>
      <c r="L124" s="74">
        <f t="shared" ref="L124" si="54">IF(L$4="","",L123/Market_Price)</f>
        <v>4.1851733743192836E-2</v>
      </c>
      <c r="M124" s="74">
        <f t="shared" ref="M124" si="55">IF(M$4="","",M123/Market_Price)</f>
        <v>2.4962951318146308E-2</v>
      </c>
      <c r="N124" s="74">
        <f t="shared" ref="N124" si="56">IF(N$4="","",N123/Market_Price)</f>
        <v>1.9525042312296268E-2</v>
      </c>
      <c r="O124" s="74">
        <f t="shared" ref="O124" si="57">IF(O$4="","",O123/Market_Price)</f>
        <v>1.9427662257520795E-2</v>
      </c>
      <c r="P124" s="74">
        <f t="shared" ref="P124" si="58">IF(P$4="","",P123/Market_Price)</f>
        <v>2.0004044786123186E-2</v>
      </c>
      <c r="Q124" s="74" t="str">
        <f t="shared" ref="Q124" si="59">IF(Q$4="","",Q123/Market_Price)</f>
        <v/>
      </c>
    </row>
    <row r="125" spans="1:17" ht="15.75" customHeight="1">
      <c r="B125" s="2" t="s">
        <v>306</v>
      </c>
      <c r="C125" s="151"/>
      <c r="G125" s="22">
        <f>IF(G$4="","",(Data!C47*$C$3)/(Market_Price*Common_Shares))</f>
        <v>8.5849249597360872E-2</v>
      </c>
      <c r="H125" s="22">
        <f>IF(H$4="","",(Data!D47*$C$3)/(Market_Price*Common_Shares))</f>
        <v>0.10202846169819696</v>
      </c>
      <c r="I125" s="22">
        <f>IF(I$4="","",(Data!E47*$C$3)/(Market_Price*Common_Shares))</f>
        <v>8.440068321506608E-2</v>
      </c>
      <c r="J125" s="22">
        <f>IF(J$4="","",(Data!F47*$C$3)/(Market_Price*Common_Shares))</f>
        <v>6.5483311103594552E-2</v>
      </c>
      <c r="K125" s="22">
        <f>IF(K$4="","",(Data!G47*$C$3)/(Market_Price*Common_Shares))</f>
        <v>5.2090883507481645E-2</v>
      </c>
      <c r="L125" s="22">
        <f>IF(L$4="","",(Data!H47*$C$3)/(Market_Price*Common_Shares))</f>
        <v>4.1807406470940014E-2</v>
      </c>
      <c r="M125" s="22">
        <f>IF(M$4="","",(Data!I47*$C$3)/(Market_Price*Common_Shares))</f>
        <v>2.4743323168320633E-2</v>
      </c>
      <c r="N125" s="22">
        <f>IF(N$4="","",(Data!J47*$C$3)/(Market_Price*Common_Shares))</f>
        <v>2.0844822248580249E-2</v>
      </c>
      <c r="O125" s="22">
        <f>IF(O$4="","",(Data!K47*$C$3)/(Market_Price*Common_Shares))</f>
        <v>1.6167744228778813E-2</v>
      </c>
      <c r="P125" s="22">
        <f>IF(P$4="","",(Data!L47*$C$3)/(Market_Price*Common_Shares))</f>
        <v>1.4433689489225241E-2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804918607.021855</v>
      </c>
      <c r="D4" t="str">
        <f>Reporting_currency</f>
        <v>CNY</v>
      </c>
      <c r="E4" s="135" t="s">
        <v>429</v>
      </c>
      <c r="F4" s="275">
        <f>-BS!G31</f>
        <v>-200133333.33000001</v>
      </c>
      <c r="G4" t="str">
        <f>Reporting_currency</f>
        <v>CNY</v>
      </c>
      <c r="H4" s="308" t="s">
        <v>392</v>
      </c>
      <c r="I4" s="305">
        <f>Normalized_FCF!C4</f>
        <v>6129461219</v>
      </c>
      <c r="J4" s="305"/>
    </row>
    <row r="5" spans="2:15">
      <c r="B5" s="187" t="s">
        <v>105</v>
      </c>
      <c r="C5" s="188">
        <f>Equity_Cost</f>
        <v>7.2499999999999995E-2</v>
      </c>
      <c r="E5" s="135" t="s">
        <v>430</v>
      </c>
      <c r="F5" s="275">
        <f>BS!D66</f>
        <v>843588191.76314533</v>
      </c>
      <c r="G5" t="str">
        <f>Reporting_currency</f>
        <v>CNY</v>
      </c>
      <c r="H5" s="308" t="s">
        <v>393</v>
      </c>
      <c r="I5" s="305">
        <f>Normalized_FCF!C7</f>
        <v>-151680194</v>
      </c>
      <c r="J5" s="305"/>
    </row>
    <row r="6" spans="2:15" ht="13.25" customHeight="1">
      <c r="B6" s="136" t="s">
        <v>194</v>
      </c>
      <c r="C6" s="283">
        <f>(C4*(1+Terminal_Growth))/(Equity_Cost-Terminal_Growth)</f>
        <v>11102325614.094553</v>
      </c>
      <c r="D6" t="str">
        <f>Reporting_currency</f>
        <v>CNY</v>
      </c>
      <c r="E6" s="187" t="s">
        <v>431</v>
      </c>
      <c r="F6" s="284">
        <f>BS!H42</f>
        <v>60320206.770000003</v>
      </c>
      <c r="G6" t="str">
        <f>Reporting_currency</f>
        <v>CNY</v>
      </c>
      <c r="H6" s="308" t="s">
        <v>414</v>
      </c>
      <c r="I6" s="305">
        <f>I7+I8</f>
        <v>-6347066.2363988729</v>
      </c>
      <c r="J6" s="305"/>
      <c r="N6" s="135"/>
    </row>
    <row r="7" spans="2:15" ht="12.75" customHeight="1">
      <c r="B7" s="318" t="s">
        <v>428</v>
      </c>
      <c r="C7" s="275">
        <f>F7</f>
        <v>703775065.20314527</v>
      </c>
      <c r="E7" s="140" t="s">
        <v>422</v>
      </c>
      <c r="F7" s="283">
        <f>SUM(F4:F6)</f>
        <v>703775065.20314527</v>
      </c>
      <c r="G7" t="str">
        <f>Reporting_currency</f>
        <v>CNY</v>
      </c>
      <c r="H7" s="312" t="s">
        <v>415</v>
      </c>
      <c r="I7" s="313">
        <f>Normalized_FCF!C9</f>
        <v>0</v>
      </c>
      <c r="J7" s="313"/>
      <c r="N7" s="304"/>
      <c r="O7" s="304"/>
    </row>
    <row r="8" spans="2:15" ht="13.15">
      <c r="B8" s="136" t="s">
        <v>424</v>
      </c>
      <c r="C8" s="283">
        <f>C6+C7</f>
        <v>11806100679.297699</v>
      </c>
      <c r="D8" t="str">
        <f>Reporting_currency</f>
        <v>CNY</v>
      </c>
      <c r="E8" s="140" t="s">
        <v>462</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425</v>
      </c>
      <c r="C10" s="283">
        <f>C8*Exchange_Rate</f>
        <v>11806100679.297699</v>
      </c>
      <c r="D10" t="str">
        <f>Market_currency</f>
        <v>CNY</v>
      </c>
      <c r="H10" s="308" t="s">
        <v>395</v>
      </c>
      <c r="I10" s="306">
        <f>Normalized_FCF!C41</f>
        <v>0.25</v>
      </c>
      <c r="N10" s="304"/>
      <c r="O10" s="304"/>
    </row>
    <row r="11" spans="2:15" ht="13.15">
      <c r="B11" s="136" t="s">
        <v>423</v>
      </c>
      <c r="C11" s="108">
        <f>(C10*scaling_factor)/Common_Shares</f>
        <v>20.480453319671195</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IF(ROUND(F17,2)=ROUND(C17,2),"I","II")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v>
      </c>
      <c r="J15" s="126"/>
    </row>
    <row r="16" spans="2:15" ht="13.25" customHeight="1">
      <c r="B16" s="114" t="s">
        <v>420</v>
      </c>
      <c r="C16" s="147">
        <f>Scenarios!C46</f>
        <v>1.8613012126595999E-2</v>
      </c>
      <c r="E16" s="308" t="s">
        <v>398</v>
      </c>
      <c r="F16" s="311">
        <f>Scenarios!C41</f>
        <v>1.8613012126595999E-2</v>
      </c>
    </row>
    <row r="17" spans="1:21" ht="13.25" customHeight="1">
      <c r="B17" s="308" t="s">
        <v>547</v>
      </c>
      <c r="C17" s="306">
        <f>Normalized_FCF!C77</f>
        <v>0.17509284601323674</v>
      </c>
      <c r="E17" s="308" t="s">
        <v>548</v>
      </c>
      <c r="F17" s="311">
        <f>Scenarios!C40</f>
        <v>0.17509284601323677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22.101557768235505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8" t="s">
        <v>418</v>
      </c>
      <c r="K52" s="468"/>
      <c r="L52" s="317">
        <f>SUM(L21:L51)</f>
        <v>12036822621.200588</v>
      </c>
    </row>
    <row r="53" spans="1:21">
      <c r="C53" s="111"/>
    </row>
    <row r="54" spans="1:21" ht="13.15">
      <c r="B54" s="115" t="s">
        <v>108</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1113675057</v>
      </c>
      <c r="D7" s="469"/>
      <c r="E7" s="469"/>
      <c r="F7" s="469"/>
      <c r="G7" s="469"/>
    </row>
    <row r="8" spans="2:7">
      <c r="B8" s="97" t="s">
        <v>63</v>
      </c>
      <c r="C8" s="447">
        <f>Normalized_FCF!G19</f>
        <v>866291325.69594693</v>
      </c>
      <c r="D8" s="469"/>
      <c r="E8" s="469"/>
      <c r="F8" s="469"/>
      <c r="G8" s="469"/>
    </row>
    <row r="9" spans="2:7">
      <c r="B9" s="97" t="s">
        <v>54</v>
      </c>
      <c r="C9" s="447">
        <f>Normalized_FCF!C19</f>
        <v>804918607.021855</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f ca="1">(Normalized_FCF!G4/OFFSET(Normalized_FCF!G4, 0, $C$4))^(1/$C$4) - 1</f>
        <v>3.8616291470131348E-2</v>
      </c>
      <c r="D12" s="469"/>
      <c r="E12" s="469"/>
      <c r="F12" s="469"/>
      <c r="G12" s="469"/>
    </row>
    <row r="13" spans="2:7">
      <c r="B13" s="135" t="s">
        <v>127</v>
      </c>
      <c r="C13" s="249">
        <f ca="1">(Normalized_FCF!G8/OFFSET(Normalized_FCF!G8, 0, $C$4))^(1/$C$4) - 1</f>
        <v>3.1638982981769814E-2</v>
      </c>
      <c r="D13" s="469"/>
      <c r="E13" s="469"/>
      <c r="F13" s="469"/>
      <c r="G13" s="469"/>
    </row>
    <row r="14" spans="2:7">
      <c r="B14" s="97" t="s">
        <v>63</v>
      </c>
      <c r="C14" s="249">
        <f ca="1">(Normalized_FCF!G19/OFFSET(Normalized_FCF!G19, 0, $C$4))^(1/$C$4) - 1</f>
        <v>1.6751656374703661E-2</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23.149326362612335</v>
      </c>
      <c r="F22" s="328">
        <f>1-F23-F24</f>
        <v>0.2</v>
      </c>
      <c r="G22" s="328">
        <f>F22*(1-F$29-F$30)</f>
        <v>0.18</v>
      </c>
    </row>
    <row r="23" spans="2:7">
      <c r="B23" s="302" t="s">
        <v>435</v>
      </c>
      <c r="C23" s="324">
        <v>0.02</v>
      </c>
      <c r="D23" s="325">
        <f>C18</f>
        <v>5</v>
      </c>
      <c r="E23" s="326">
        <f>DCF!E92</f>
        <v>22.226863204214329</v>
      </c>
      <c r="F23" s="327">
        <v>0.6</v>
      </c>
      <c r="G23" s="328">
        <f t="shared" ref="G23:G24" si="0">F23*(1-F$29-F$30)</f>
        <v>0.53999999999999992</v>
      </c>
    </row>
    <row r="24" spans="2:7">
      <c r="B24" s="302" t="s">
        <v>444</v>
      </c>
      <c r="C24" s="324">
        <v>0.01</v>
      </c>
      <c r="D24" s="325">
        <f>C18</f>
        <v>5</v>
      </c>
      <c r="E24" s="326">
        <f>DCF!E93</f>
        <v>21.337549627005146</v>
      </c>
      <c r="F24" s="327">
        <v>0.2</v>
      </c>
      <c r="G24" s="328">
        <f t="shared" si="0"/>
        <v>0.18</v>
      </c>
    </row>
    <row r="25" spans="2:7">
      <c r="B25" s="141" t="s">
        <v>449</v>
      </c>
      <c r="C25" s="441">
        <f>E23*F23+E24*F24+E22*F22</f>
        <v>22.233493120452096</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0.04</v>
      </c>
      <c r="D29" s="325">
        <f>C18</f>
        <v>5</v>
      </c>
      <c r="E29" s="326">
        <f>DCF!E90</f>
        <v>24.105889483988296</v>
      </c>
      <c r="F29" s="327">
        <v>0.05</v>
      </c>
      <c r="G29" s="328">
        <f>F29</f>
        <v>0.05</v>
      </c>
    </row>
    <row r="30" spans="2:7">
      <c r="B30" s="315" t="s">
        <v>445</v>
      </c>
      <c r="C30" s="324">
        <v>-0.02</v>
      </c>
      <c r="D30" s="325">
        <f>C18</f>
        <v>5</v>
      </c>
      <c r="E30" s="326">
        <f>DCF!E94</f>
        <v>18.85927257368202</v>
      </c>
      <c r="F30" s="327">
        <v>0.05</v>
      </c>
      <c r="G30" s="328">
        <f>F30</f>
        <v>0.05</v>
      </c>
    </row>
    <row r="31" spans="2:7">
      <c r="E31" s="329"/>
      <c r="F31" s="329"/>
    </row>
    <row r="32" spans="2:7" ht="13.15">
      <c r="B32" s="145" t="s">
        <v>454</v>
      </c>
    </row>
    <row r="33" spans="2:7">
      <c r="B33" s="97" t="s">
        <v>456</v>
      </c>
      <c r="C33" s="155">
        <f>Normalized_FCF!C88*(1-dividend_tax_rate)</f>
        <v>1.06</v>
      </c>
      <c r="D33" t="str">
        <f>Market_currency</f>
        <v>CNY</v>
      </c>
      <c r="E33" s="97" t="s">
        <v>453</v>
      </c>
      <c r="F33" s="219">
        <f>Holding_Period</f>
        <v>3</v>
      </c>
    </row>
    <row r="34" spans="2:7">
      <c r="B34" s="97" t="s">
        <v>233</v>
      </c>
      <c r="C34" s="146">
        <f>Market_Price</f>
        <v>17.14</v>
      </c>
      <c r="D34" t="str">
        <f>Market_currency</f>
        <v>CNY</v>
      </c>
      <c r="E34" s="97" t="s">
        <v>452</v>
      </c>
      <c r="F34" s="330">
        <f>RATE(Holding_Period,$C$33,-C34,$C$36)</f>
        <v>0.14644556715607968</v>
      </c>
    </row>
    <row r="35" spans="2:7">
      <c r="B35" s="97" t="s">
        <v>432</v>
      </c>
      <c r="C35" s="320">
        <f>DCF!C11</f>
        <v>20.480453319671195</v>
      </c>
      <c r="D35" s="97" t="str">
        <f>Market_currency</f>
        <v>CNY</v>
      </c>
      <c r="E35" s="97" t="s">
        <v>452</v>
      </c>
      <c r="F35" s="330">
        <f>RATE(Holding_Period,$C$33,-C35,$C$36)</f>
        <v>7.7065845382676482E-2</v>
      </c>
    </row>
    <row r="36" spans="2:7">
      <c r="B36" s="97" t="s">
        <v>433</v>
      </c>
      <c r="C36" s="321">
        <f>E22*G22+E23*G23+E24*G24+E30*G30+E29*G29</f>
        <v>22.158401911290397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0.17509284601323677</v>
      </c>
      <c r="E40" s="97" t="s">
        <v>399</v>
      </c>
    </row>
    <row r="41" spans="2:7">
      <c r="B41" s="97" t="s">
        <v>398</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22.101557768235505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5.5097072395173467E-2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1.8480449762944853</v>
      </c>
      <c r="D62" s="119">
        <f>C36/(1+F62)^Holding_Period</f>
        <v>9.4291071962937867</v>
      </c>
      <c r="E62" s="332">
        <f>C62+D62</f>
        <v>11.277152172588272</v>
      </c>
      <c r="F62" s="301">
        <f>Thesis!E22</f>
        <v>0.32950289523458665</v>
      </c>
      <c r="G62" s="440">
        <f>(1-E62/C36)</f>
        <v>0.49106653910622455</v>
      </c>
    </row>
    <row r="63" spans="2:7" ht="13.15">
      <c r="B63" s="302" t="s">
        <v>312</v>
      </c>
      <c r="C63" s="119">
        <f>PV(F63, Holding_Period, -C58, 0)</f>
        <v>2.1443334287647504</v>
      </c>
      <c r="D63" s="119">
        <f>C36/(1+F63)^Holding_Period</f>
        <v>12.018116290869372</v>
      </c>
      <c r="E63" s="332">
        <f>C63+D63</f>
        <v>14.162449719634122</v>
      </c>
      <c r="F63" s="301">
        <f>Thesis!E23</f>
        <v>0.22621703288100403</v>
      </c>
      <c r="G63" s="440">
        <f>(1-E63/C36)</f>
        <v>0.36085419082420778</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313</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45938</v>
      </c>
    </row>
    <row r="4" spans="1:10">
      <c r="B4" s="422" t="s">
        <v>531</v>
      </c>
      <c r="C4" s="423" t="str">
        <f>Thesis!C4</f>
        <v>景津装备</v>
      </c>
      <c r="D4" s="349"/>
      <c r="E4" s="434" t="s">
        <v>537</v>
      </c>
      <c r="F4" s="437" t="str">
        <f>Thesis!F4</f>
        <v>CN</v>
      </c>
    </row>
    <row r="5" spans="1:10">
      <c r="B5" s="343" t="s">
        <v>362</v>
      </c>
      <c r="C5" s="355" t="str">
        <f>Thesis!C5</f>
        <v>603279.SS</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17.14</v>
      </c>
    </row>
    <row r="9" spans="1:10">
      <c r="B9" s="351" t="s">
        <v>359</v>
      </c>
      <c r="C9" s="353">
        <f>Common_Shares</f>
        <v>576457000</v>
      </c>
    </row>
    <row r="10" spans="1:10">
      <c r="B10" s="351" t="s">
        <v>365</v>
      </c>
      <c r="C10" s="357">
        <f>投资主题!C8*Common_Shares/1000000</f>
        <v>9880.4729800000005</v>
      </c>
      <c r="D10" s="343" t="s">
        <v>526</v>
      </c>
      <c r="E10" s="360">
        <f>Scenarios!F34</f>
        <v>0.14644556715607968</v>
      </c>
    </row>
    <row r="11" spans="1:10">
      <c r="D11" s="349"/>
      <c r="E11" s="349"/>
    </row>
    <row r="12" spans="1:10" ht="24.5" customHeight="1">
      <c r="B12" s="471" t="s">
        <v>495</v>
      </c>
      <c r="C12" s="471"/>
      <c r="D12" s="471"/>
      <c r="E12" s="471"/>
      <c r="F12" s="471"/>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v>
      </c>
      <c r="D17" s="351" t="s">
        <v>337</v>
      </c>
      <c r="E17" s="344" t="str">
        <f>Reporting_currency</f>
        <v>CNY</v>
      </c>
    </row>
    <row r="18" spans="1:6">
      <c r="B18" s="343" t="str">
        <f>"预期股权价值 ("&amp;C7&amp;") :"</f>
        <v>预期股权价值 (CNY) :</v>
      </c>
      <c r="C18" s="359">
        <f>C125</f>
        <v>22.158401911290397</v>
      </c>
      <c r="D18" s="350" t="s">
        <v>360</v>
      </c>
      <c r="E18" s="426">
        <f>Thesis!E18</f>
        <v>6</v>
      </c>
    </row>
    <row r="19" spans="1:6">
      <c r="B19" s="350" t="s">
        <v>333</v>
      </c>
      <c r="C19" s="352" t="str">
        <f>IF(Scenarios!C50="Y",Scenarios!B50,"")&amp;IF(Scenarios!C51="Y",Scenarios!B51,"")&amp;IF(Scenarios!C52="Y",Scenarios!B52,"")&amp;" "&amp;IF(Scenarios!C53="Y",Scenarios!B53,"")</f>
        <v xml:space="preserve">Low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11.277152172588272</v>
      </c>
      <c r="D22" s="365" t="s">
        <v>438</v>
      </c>
      <c r="E22" s="366">
        <f>Thesis!E22</f>
        <v>0.32950289523458665</v>
      </c>
    </row>
    <row r="23" spans="1:6">
      <c r="B23" s="343" t="s">
        <v>339</v>
      </c>
      <c r="C23" s="367">
        <f>E141</f>
        <v>14.162449719634122</v>
      </c>
      <c r="D23" s="365" t="s">
        <v>439</v>
      </c>
      <c r="E23" s="368">
        <f>Thesis!E23</f>
        <v>0.22621703288100403</v>
      </c>
    </row>
    <row r="24" spans="1:6">
      <c r="B24" s="343" t="s">
        <v>341</v>
      </c>
      <c r="C24" s="367">
        <f>E144</f>
        <v>19.949994757287094</v>
      </c>
      <c r="D24" s="365" t="s">
        <v>441</v>
      </c>
      <c r="E24" s="368">
        <f>Thesis!E24</f>
        <v>8.6999999999999994E-2</v>
      </c>
    </row>
    <row r="25" spans="1:6">
      <c r="B25" s="343" t="s">
        <v>340</v>
      </c>
      <c r="C25" s="367">
        <f>E145</f>
        <v>20.730780285650923</v>
      </c>
      <c r="D25" s="365" t="s">
        <v>440</v>
      </c>
      <c r="E25" s="368">
        <f>Thesis!E25</f>
        <v>7.2499999999999995E-2</v>
      </c>
    </row>
    <row r="27" spans="1:6" ht="13.9">
      <c r="A27" s="345" t="s">
        <v>343</v>
      </c>
      <c r="B27" s="345"/>
      <c r="C27" s="345"/>
      <c r="D27" s="345"/>
      <c r="E27" s="345"/>
      <c r="F27" s="345"/>
    </row>
    <row r="29" spans="1:6">
      <c r="B29" s="471" t="s">
        <v>496</v>
      </c>
      <c r="C29" s="471"/>
      <c r="D29" s="471"/>
      <c r="E29" s="471"/>
      <c r="F29" s="471"/>
    </row>
    <row r="30" spans="1:6" ht="24.5" customHeight="1">
      <c r="B30" s="472" t="s">
        <v>497</v>
      </c>
      <c r="C30" s="472"/>
      <c r="D30" s="472"/>
      <c r="E30" s="472"/>
      <c r="F30" s="472"/>
    </row>
    <row r="32" spans="1:6">
      <c r="B32" s="369" t="s">
        <v>369</v>
      </c>
      <c r="C32" s="370">
        <f>scaling_factor</f>
        <v>1</v>
      </c>
    </row>
    <row r="33" spans="2:6">
      <c r="B33" s="470" t="s">
        <v>498</v>
      </c>
      <c r="C33" s="470"/>
      <c r="D33" s="470"/>
      <c r="E33" s="470"/>
      <c r="F33" s="470"/>
    </row>
    <row r="34" spans="2:6">
      <c r="B34" s="372" t="s">
        <v>197</v>
      </c>
      <c r="C34" s="373">
        <f>Normalized_FCF!C8</f>
        <v>1079571875.5988722</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213321214.99999997</v>
      </c>
      <c r="D37" s="343" t="str">
        <f>Reporting_currency</f>
        <v>CNY</v>
      </c>
    </row>
    <row r="38" spans="2:6">
      <c r="B38" s="375" t="s">
        <v>200</v>
      </c>
      <c r="C38" s="373">
        <f>Normalized_FCF!C16</f>
        <v>-213321214.99999994</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5660933.7634011274</v>
      </c>
      <c r="D44" s="343" t="str">
        <f>Reporting_currency</f>
        <v>CNY</v>
      </c>
      <c r="E44" s="371"/>
      <c r="F44" s="371"/>
    </row>
    <row r="45" spans="2:6">
      <c r="B45" s="372" t="s">
        <v>268</v>
      </c>
      <c r="C45" s="376">
        <f>Normalized_FCF!C45</f>
        <v>-12007999.9998</v>
      </c>
      <c r="D45" s="343" t="str">
        <f>Reporting_currency</f>
        <v>CNY</v>
      </c>
      <c r="E45" s="371"/>
      <c r="F45" s="371"/>
    </row>
    <row r="46" spans="2:6">
      <c r="B46" s="372" t="s">
        <v>203</v>
      </c>
      <c r="C46" s="373">
        <f>Normalized_FCF!C10</f>
        <v>-6347066.2363988729</v>
      </c>
      <c r="D46" s="343" t="str">
        <f>Reporting_currency</f>
        <v>CNY</v>
      </c>
    </row>
    <row r="48" spans="2:6">
      <c r="B48" s="343" t="s">
        <v>502</v>
      </c>
    </row>
    <row r="49" spans="2:6">
      <c r="B49" s="372" t="s">
        <v>223</v>
      </c>
      <c r="C49" s="373">
        <f>Normalized_FCF!C13</f>
        <v>0</v>
      </c>
      <c r="D49" s="343" t="str">
        <f>Reporting_currency</f>
        <v>CNY</v>
      </c>
    </row>
    <row r="51" spans="2:6">
      <c r="B51" s="470" t="s">
        <v>503</v>
      </c>
      <c r="C51" s="470"/>
      <c r="D51" s="470"/>
      <c r="E51" s="470"/>
      <c r="F51" s="470"/>
    </row>
    <row r="52" spans="2:6">
      <c r="B52" s="372" t="s">
        <v>494</v>
      </c>
      <c r="C52" s="373">
        <f>Normalized_FCF!C12</f>
        <v>-268306202.34061834</v>
      </c>
      <c r="D52" s="343" t="str">
        <f>Reporting_currency</f>
        <v>CNY</v>
      </c>
    </row>
    <row r="54" spans="2:6">
      <c r="B54" s="470" t="s">
        <v>504</v>
      </c>
      <c r="C54" s="473"/>
      <c r="D54" s="473"/>
      <c r="E54" s="473"/>
      <c r="F54" s="473"/>
    </row>
    <row r="55" spans="2:6">
      <c r="B55" s="372" t="s">
        <v>207</v>
      </c>
      <c r="C55" s="373">
        <f>Normalized_FCF!C17</f>
        <v>0</v>
      </c>
      <c r="D55" s="343" t="str">
        <f>Reporting_currency</f>
        <v>CNY</v>
      </c>
    </row>
    <row r="57" spans="2:6">
      <c r="B57" s="471" t="s">
        <v>505</v>
      </c>
      <c r="C57" s="471"/>
      <c r="D57" s="471"/>
      <c r="E57" s="471"/>
      <c r="F57" s="471"/>
    </row>
    <row r="58" spans="2:6">
      <c r="B58" s="471" t="s">
        <v>506</v>
      </c>
      <c r="C58" s="471"/>
      <c r="D58" s="471"/>
      <c r="E58" s="471"/>
      <c r="F58" s="471"/>
    </row>
    <row r="60" spans="2:6">
      <c r="B60" s="372" t="s">
        <v>370</v>
      </c>
      <c r="C60" s="373">
        <f>Normalized_FCF!G19</f>
        <v>866291325.69594693</v>
      </c>
      <c r="D60" s="343" t="str">
        <f>Reporting_currency</f>
        <v>CNY</v>
      </c>
    </row>
    <row r="61" spans="2:6">
      <c r="B61" s="372" t="s">
        <v>213</v>
      </c>
      <c r="C61" s="373">
        <f>Normalized_FCF!C19</f>
        <v>804918607.021855</v>
      </c>
      <c r="D61" s="343" t="str">
        <f>Reporting_currency</f>
        <v>CNY</v>
      </c>
    </row>
    <row r="62" spans="2:6">
      <c r="B62" s="377" t="s">
        <v>302</v>
      </c>
      <c r="C62" s="378">
        <f>Normalized_FCF!C124</f>
        <v>8.1465594678631972E-2</v>
      </c>
      <c r="F62" s="379"/>
    </row>
    <row r="63" spans="2:6">
      <c r="B63" s="377" t="s">
        <v>330</v>
      </c>
      <c r="C63" s="378">
        <f>Normalized_FCF!C92</f>
        <v>6.1843640606767794E-2</v>
      </c>
      <c r="E63" s="372" t="s">
        <v>371</v>
      </c>
      <c r="F63" s="380">
        <f>Normalized_FCF!C90</f>
        <v>0.75913814722313788</v>
      </c>
    </row>
    <row r="65" spans="1:6">
      <c r="B65" s="369" t="s">
        <v>374</v>
      </c>
      <c r="C65" s="381" t="s">
        <v>325</v>
      </c>
      <c r="D65" s="381" t="s">
        <v>372</v>
      </c>
    </row>
    <row r="66" spans="1:6">
      <c r="B66" s="372" t="s">
        <v>324</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474</v>
      </c>
      <c r="B71" s="345"/>
      <c r="C71" s="345"/>
      <c r="D71" s="345"/>
      <c r="E71" s="345"/>
      <c r="F71" s="345"/>
    </row>
    <row r="72" spans="1:6">
      <c r="A72" s="385"/>
    </row>
    <row r="73" spans="1:6">
      <c r="A73" s="386"/>
      <c r="B73" s="471" t="s">
        <v>507</v>
      </c>
      <c r="C73" s="471"/>
      <c r="D73" s="471"/>
      <c r="E73" s="471"/>
      <c r="F73" s="471"/>
    </row>
    <row r="74" spans="1:6">
      <c r="B74" s="472" t="s">
        <v>477</v>
      </c>
      <c r="C74" s="472"/>
      <c r="D74" s="472"/>
      <c r="E74" s="472"/>
      <c r="F74" s="472"/>
    </row>
    <row r="76" spans="1:6">
      <c r="B76" s="369" t="s">
        <v>369</v>
      </c>
    </row>
    <row r="77" spans="1:6">
      <c r="B77" s="471" t="s">
        <v>508</v>
      </c>
      <c r="C77" s="471"/>
      <c r="D77" s="471"/>
      <c r="E77" s="471"/>
      <c r="F77" s="471"/>
    </row>
    <row r="78" spans="1:6">
      <c r="B78" s="343" t="s">
        <v>215</v>
      </c>
      <c r="C78" s="373">
        <f>DCF!F4</f>
        <v>-200133333.33000001</v>
      </c>
      <c r="D78" s="343" t="str">
        <f>Reporting_currency</f>
        <v>CNY</v>
      </c>
    </row>
    <row r="79" spans="1:6">
      <c r="B79" s="372" t="s">
        <v>234</v>
      </c>
      <c r="C79" s="387">
        <f>C78*scaling_factor*Exchange_Rate/Common_Shares</f>
        <v>-0.34717825150878556</v>
      </c>
      <c r="D79" s="343" t="str">
        <f>Market_currency</f>
        <v>CNY</v>
      </c>
    </row>
    <row r="80" spans="1:6">
      <c r="B80" s="382" t="s">
        <v>308</v>
      </c>
      <c r="C80" s="388">
        <f>IF(BS!G31/BS!G27&gt;300%,"nm",BS!G31/BS!G27)</f>
        <v>4.3380350010353987E-2</v>
      </c>
    </row>
    <row r="81" spans="1:6">
      <c r="B81" s="382" t="s">
        <v>310</v>
      </c>
      <c r="C81" s="389">
        <f>IF(BS!C50&gt;30,"nm",BS!C50)</f>
        <v>0.18538212957704164</v>
      </c>
    </row>
    <row r="83" spans="1:6">
      <c r="B83" s="343" t="s">
        <v>509</v>
      </c>
    </row>
    <row r="84" spans="1:6">
      <c r="B84" s="343" t="s">
        <v>224</v>
      </c>
      <c r="C84" s="373">
        <f>DCF!F5</f>
        <v>843588191.76314533</v>
      </c>
      <c r="D84" s="343" t="str">
        <f>Reporting_currency</f>
        <v>CNY</v>
      </c>
    </row>
    <row r="85" spans="1:6">
      <c r="B85" s="382" t="s">
        <v>479</v>
      </c>
      <c r="C85" s="390">
        <f>BS!C66</f>
        <v>1787077152.3299999</v>
      </c>
      <c r="D85" s="391" t="str">
        <f>Reporting_currency</f>
        <v>CNY</v>
      </c>
    </row>
    <row r="86" spans="1:6">
      <c r="B86" s="372" t="s">
        <v>235</v>
      </c>
      <c r="C86" s="387">
        <f>C84*scaling_factor*Exchange_Rate/Common_Shares</f>
        <v>1.4634017658960605</v>
      </c>
      <c r="D86" s="343" t="str">
        <f>Market_currency</f>
        <v>CNY</v>
      </c>
    </row>
    <row r="88" spans="1:6">
      <c r="B88" s="343" t="s">
        <v>510</v>
      </c>
    </row>
    <row r="89" spans="1:6">
      <c r="B89" s="343" t="s">
        <v>217</v>
      </c>
      <c r="C89" s="373">
        <f>DCF!F6</f>
        <v>60320206.770000003</v>
      </c>
      <c r="D89" s="343" t="str">
        <f>Reporting_currency</f>
        <v>CNY</v>
      </c>
    </row>
    <row r="90" spans="1:6">
      <c r="B90" s="372" t="s">
        <v>236</v>
      </c>
      <c r="C90" s="387">
        <f>C89*scaling_factor*Exchange_Rate/Common_Shares</f>
        <v>0.10463955988044209</v>
      </c>
      <c r="D90" s="343" t="str">
        <f>Market_currency</f>
        <v>CNY</v>
      </c>
    </row>
    <row r="92" spans="1:6">
      <c r="B92" s="372" t="s">
        <v>478</v>
      </c>
      <c r="C92" s="387">
        <f>DCF!F8</f>
        <v>1.2208630742677169</v>
      </c>
      <c r="D92" s="343" t="str">
        <f>Market_currency</f>
        <v>CNY</v>
      </c>
    </row>
    <row r="94" spans="1:6" ht="13.9">
      <c r="A94" s="345" t="s">
        <v>480</v>
      </c>
      <c r="B94" s="345"/>
      <c r="C94" s="345"/>
      <c r="D94" s="345"/>
      <c r="E94" s="345"/>
      <c r="F94" s="345"/>
    </row>
    <row r="95" spans="1:6">
      <c r="A95" s="385"/>
    </row>
    <row r="96" spans="1:6">
      <c r="A96" s="385"/>
      <c r="B96" s="471" t="s">
        <v>511</v>
      </c>
      <c r="C96" s="471"/>
      <c r="D96" s="471"/>
      <c r="E96" s="471"/>
      <c r="F96" s="471"/>
    </row>
    <row r="97" spans="1:6">
      <c r="A97" s="385"/>
      <c r="B97" s="472" t="s">
        <v>512</v>
      </c>
      <c r="C97" s="472"/>
      <c r="D97" s="472"/>
      <c r="E97" s="472"/>
      <c r="F97" s="472"/>
    </row>
    <row r="98" spans="1:6">
      <c r="A98" s="385"/>
      <c r="B98" s="472" t="s">
        <v>513</v>
      </c>
      <c r="C98" s="472"/>
      <c r="D98" s="472"/>
      <c r="E98" s="472"/>
      <c r="F98" s="472"/>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1" t="s">
        <v>514</v>
      </c>
      <c r="C107" s="471"/>
      <c r="D107" s="471"/>
      <c r="E107" s="471"/>
      <c r="F107" s="471"/>
    </row>
    <row r="108" spans="1:6">
      <c r="A108" s="385"/>
      <c r="B108" s="471" t="s">
        <v>533</v>
      </c>
      <c r="C108" s="471"/>
      <c r="D108" s="471"/>
      <c r="E108" s="471"/>
      <c r="F108" s="471"/>
    </row>
    <row r="109" spans="1:6">
      <c r="A109" s="385"/>
    </row>
    <row r="110" spans="1:6">
      <c r="A110" s="385"/>
      <c r="B110" s="369" t="s">
        <v>487</v>
      </c>
    </row>
    <row r="111" spans="1:6">
      <c r="A111" s="385"/>
      <c r="B111" s="375" t="s">
        <v>484</v>
      </c>
      <c r="C111" s="394">
        <f>BS!D47</f>
        <v>-0.45026820353990077</v>
      </c>
      <c r="D111" s="343" t="str">
        <f>Market_currency</f>
        <v>CNY</v>
      </c>
    </row>
    <row r="112" spans="1:6">
      <c r="A112" s="385"/>
      <c r="B112" s="372" t="s">
        <v>375</v>
      </c>
      <c r="C112" s="394">
        <f>DCF!C11</f>
        <v>20.480453319671195</v>
      </c>
      <c r="D112" s="343" t="str">
        <f>Market_currency</f>
        <v>CNY</v>
      </c>
    </row>
    <row r="113" spans="1:6">
      <c r="A113" s="385"/>
    </row>
    <row r="114" spans="1:6">
      <c r="A114" s="385"/>
      <c r="B114" s="471" t="s">
        <v>515</v>
      </c>
      <c r="C114" s="471"/>
      <c r="D114" s="471"/>
      <c r="E114" s="471"/>
      <c r="F114" s="471"/>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516</v>
      </c>
      <c r="C124" s="470"/>
      <c r="D124" s="470"/>
      <c r="E124" s="470"/>
      <c r="F124" s="470"/>
    </row>
    <row r="125" spans="1:6">
      <c r="B125" s="372" t="s">
        <v>218</v>
      </c>
      <c r="C125" s="404">
        <f>Scenarios!C36</f>
        <v>22.158401911290397</v>
      </c>
      <c r="D125" s="343" t="str">
        <f>Market_currency</f>
        <v>CNY</v>
      </c>
    </row>
    <row r="127" spans="1:6">
      <c r="B127" s="475" t="s">
        <v>517</v>
      </c>
      <c r="C127" s="475"/>
      <c r="D127" s="475"/>
      <c r="E127" s="475"/>
      <c r="F127" s="475"/>
    </row>
    <row r="129" spans="1:6" ht="13.9">
      <c r="A129" s="345" t="s">
        <v>490</v>
      </c>
      <c r="B129" s="345"/>
      <c r="C129" s="345"/>
      <c r="D129" s="345"/>
      <c r="E129" s="345"/>
      <c r="F129" s="345"/>
    </row>
    <row r="131" spans="1:6">
      <c r="B131" s="476" t="s">
        <v>518</v>
      </c>
      <c r="C131" s="476"/>
      <c r="D131" s="476"/>
      <c r="E131" s="476"/>
      <c r="F131" s="476"/>
    </row>
    <row r="132" spans="1:6" ht="24.5" customHeight="1">
      <c r="B132" s="471" t="s">
        <v>519</v>
      </c>
      <c r="C132" s="471"/>
      <c r="D132" s="471"/>
      <c r="E132" s="471"/>
      <c r="F132" s="471"/>
    </row>
    <row r="134" spans="1:6">
      <c r="B134" s="369" t="s">
        <v>369</v>
      </c>
    </row>
    <row r="135" spans="1:6">
      <c r="B135" s="343" t="s">
        <v>380</v>
      </c>
      <c r="C135" s="405">
        <f>E21</f>
        <v>3</v>
      </c>
    </row>
    <row r="136" spans="1:6">
      <c r="B136" s="343" t="s">
        <v>381</v>
      </c>
      <c r="C136" s="406">
        <f>Scenarios!C58</f>
        <v>1.06</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1.8480449762944853</v>
      </c>
      <c r="D140" s="409">
        <f>Scenarios!D62</f>
        <v>9.4291071962937867</v>
      </c>
      <c r="E140" s="410">
        <f>Scenarios!E62</f>
        <v>11.277152172588272</v>
      </c>
      <c r="F140" s="411">
        <f>E22</f>
        <v>0.32950289523458665</v>
      </c>
    </row>
    <row r="141" spans="1:6">
      <c r="B141" s="408" t="s">
        <v>312</v>
      </c>
      <c r="C141" s="409">
        <f>Scenarios!C63</f>
        <v>2.1443334287647504</v>
      </c>
      <c r="D141" s="409">
        <f>Scenarios!D63</f>
        <v>12.018116290869372</v>
      </c>
      <c r="E141" s="410">
        <f>Scenarios!E63</f>
        <v>14.162449719634122</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2.6975834619563113</v>
      </c>
      <c r="D144" s="409">
        <f>Scenarios!D66</f>
        <v>17.252411295330781</v>
      </c>
      <c r="E144" s="410">
        <f>Scenarios!E66</f>
        <v>19.949994757287094</v>
      </c>
      <c r="F144" s="411">
        <f>E24</f>
        <v>8.6999999999999994E-2</v>
      </c>
    </row>
    <row r="145" spans="1:6">
      <c r="B145" s="408" t="s">
        <v>313</v>
      </c>
      <c r="C145" s="409">
        <f>Scenarios!C67</f>
        <v>2.7691177408033969</v>
      </c>
      <c r="D145" s="409">
        <f>Scenarios!D67</f>
        <v>17.961662544847524</v>
      </c>
      <c r="E145" s="410">
        <f>Scenarios!E67</f>
        <v>20.730780285650923</v>
      </c>
      <c r="F145" s="411">
        <f>Scenarios!F67</f>
        <v>7.2499999999999995E-2</v>
      </c>
    </row>
    <row r="147" spans="1:6" ht="13.9">
      <c r="A147" s="345" t="s">
        <v>473</v>
      </c>
      <c r="B147" s="345"/>
      <c r="C147" s="345"/>
      <c r="D147" s="345"/>
      <c r="E147" s="345"/>
      <c r="F147" s="345"/>
    </row>
    <row r="149" spans="1:6">
      <c r="B149" s="477" t="s">
        <v>520</v>
      </c>
      <c r="C149" s="471"/>
      <c r="D149" s="471"/>
      <c r="E149" s="471"/>
      <c r="F149" s="471"/>
    </row>
    <row r="151" spans="1:6">
      <c r="B151" s="369" t="s">
        <v>382</v>
      </c>
    </row>
    <row r="152" spans="1:6">
      <c r="B152" s="473" t="s">
        <v>521</v>
      </c>
      <c r="C152" s="473"/>
      <c r="D152" s="473"/>
      <c r="E152" s="473"/>
      <c r="F152" s="473"/>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4" t="s">
        <v>386</v>
      </c>
      <c r="C161" s="474"/>
      <c r="D161" s="474"/>
      <c r="E161" s="474"/>
      <c r="F161" s="474"/>
    </row>
    <row r="162" spans="2:6">
      <c r="B162" s="474" t="s">
        <v>387</v>
      </c>
      <c r="C162" s="474"/>
      <c r="D162" s="474"/>
      <c r="E162" s="474"/>
      <c r="F162" s="474"/>
    </row>
    <row r="164" spans="2:6">
      <c r="B164" s="343" t="s">
        <v>524</v>
      </c>
    </row>
    <row r="165" spans="2:6">
      <c r="B165" s="412" t="s">
        <v>388</v>
      </c>
    </row>
    <row r="166" spans="2:6">
      <c r="B166" s="412" t="s">
        <v>389</v>
      </c>
    </row>
    <row r="167" spans="2:6">
      <c r="B167" s="412"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2026-01-20T10:31:04Z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