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2EEF611-27A3-43B4-9C12-79D7F3DF8F0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<sst xmlns="http://schemas.openxmlformats.org/spreadsheetml/2006/main" count="766" uniqueCount="555">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</sst>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15.61</v>
      </c>
      <c r="E8" s="32"/>
    </row>
    <row r="9" spans="1:9">
      <c r="B9" s="4" t="s">
        <v>344</v>
      </c>
      <c r="C9" s="48">
        <v>576457000</v>
      </c>
    </row>
    <row r="10" spans="1:9">
      <c r="B10" s="4" t="s">
        <v>350</v>
      </c>
      <c r="C10" s="33">
        <f>Thesis!C8*Common_Shares/1000000</f>
        <v>8998.4937699999991</v>
      </c>
      <c r="D10" s="1" t="s">
        <v>528</v>
      </c>
      <c r="E10" s="307">
        <f>Scenarios!F34</f>
        <v>0.14094865217182453</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7.7496107857357832E-2</v>
      </c>
      <c r="F62" s="260"/>
    </row>
    <row r="63" spans="2:6">
      <c r="B63" s="204" t="s">
        <v>330</v>
      </c>
      <c r="C63" s="89">
        <f>Normalized_FCF!C92</f>
        <v>6.7905188981422171E-2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6.7905188981422171E-2</v>
      </c>
      <c r="E92" s="238"/>
      <c r="G92" s="22">
        <f t="shared" ref="G92:Q92" si="38">IF(G$4="","",(G88*(1-dividend_tax_rate))/Market_Price)</f>
        <v>6.7905188981422171E-2</v>
      </c>
      <c r="H92" s="22">
        <f t="shared" si="38"/>
        <v>6.7905188981422171E-2</v>
      </c>
      <c r="I92" s="22">
        <f t="shared" si="38"/>
        <v>6.4061499039077513E-2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7.7496107857357832E-2</v>
      </c>
      <c r="D124" s="26"/>
      <c r="E124" s="235"/>
      <c r="F124" s="26"/>
      <c r="G124" s="74">
        <f t="shared" ref="G124" si="49">IF(G$4="","",G123/Market_Price)</f>
        <v>9.6052253341424823E-2</v>
      </c>
      <c r="H124" s="74">
        <f t="shared" ref="H124" si="50">IF(H$4="","",H123/Market_Price)</f>
        <v>0.10961699385623194</v>
      </c>
      <c r="I124" s="74">
        <f t="shared" ref="I124" si="51">IF(I$4="","",I123/Market_Price)</f>
        <v>9.2936149441146407E-2</v>
      </c>
      <c r="J124" s="74">
        <f t="shared" ref="J124" si="52">IF(J$4="","",J123/Market_Price)</f>
        <v>7.1147390041758865E-2</v>
      </c>
      <c r="K124" s="74">
        <f t="shared" ref="K124" si="53">IF(K$4="","",K123/Market_Price)</f>
        <v>5.8048377320436453E-2</v>
      </c>
      <c r="L124" s="74">
        <f t="shared" ref="L124" si="54">IF(L$4="","",L123/Market_Price)</f>
        <v>4.5912127532993424E-2</v>
      </c>
      <c r="M124" s="74">
        <f t="shared" ref="M124" si="55">IF(M$4="","",M123/Market_Price)</f>
        <v>2.7409672363422663E-2</v>
      </c>
      <c r="N124" s="74">
        <f t="shared" ref="N124" si="56">IF(N$4="","",N123/Market_Price)</f>
        <v>2.1438771635666754E-2</v>
      </c>
      <c r="O124" s="74">
        <f t="shared" ref="O124" si="57">IF(O$4="","",O123/Market_Price)</f>
        <v>2.1331846963094581E-2</v>
      </c>
      <c r="P124" s="74">
        <f t="shared" ref="P124" si="58">IF(P$4="","",P123/Market_Price)</f>
        <v>2.1964723102764344E-2</v>
      </c>
      <c r="Q124" s="74" t="str">
        <f t="shared" ref="Q124" si="59">IF(Q$4="","",Q123/Market_Price)</f>
        <v/>
      </c>
    </row>
    <row r="125" spans="1:17" ht="15.75" customHeight="1">
      <c r="B125" s="2" t="s">
        <v>306</v>
      </c>
      <c r="C125" s="151"/>
      <c r="G125" s="22">
        <f>IF(G$4="","",(Data!C47*$C$3)/(Market_Price*Common_Shares))</f>
        <v>9.4263685976858774E-2</v>
      </c>
      <c r="H125" s="22">
        <f>IF(H$4="","",(Data!D47*$C$3)/(Market_Price*Common_Shares))</f>
        <v>0.11202868888578449</v>
      </c>
      <c r="I125" s="22">
        <f>IF(I$4="","",(Data!E47*$C$3)/(Market_Price*Common_Shares))</f>
        <v>9.2673139673685637E-2</v>
      </c>
      <c r="J125" s="22">
        <f>IF(J$4="","",(Data!F47*$C$3)/(Market_Price*Common_Shares))</f>
        <v>7.1901598482742524E-2</v>
      </c>
      <c r="K125" s="22">
        <f>IF(K$4="","",(Data!G47*$C$3)/(Market_Price*Common_Shares))</f>
        <v>5.7196524235633268E-2</v>
      </c>
      <c r="L125" s="22">
        <f>IF(L$4="","",(Data!H47*$C$3)/(Market_Price*Common_Shares))</f>
        <v>4.5905121519020618E-2</v>
      </c>
      <c r="M125" s="22">
        <f>IF(M$4="","",(Data!I47*$C$3)/(Market_Price*Common_Shares))</f>
        <v>2.7168517559578196E-2</v>
      </c>
      <c r="N125" s="22">
        <f>IF(N$4="","",(Data!J47*$C$3)/(Market_Price*Common_Shares))</f>
        <v>2.2887908606064412E-2</v>
      </c>
      <c r="O125" s="22">
        <f>IF(O$4="","",(Data!K47*$C$3)/(Market_Price*Common_Shares))</f>
        <v>1.775241102378404E-2</v>
      </c>
      <c r="P125" s="22">
        <f>IF(P$4="","",(Data!L47*$C$3)/(Market_Price*Common_Shares))</f>
        <v>1.5848394480802091E-2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15.61</v>
      </c>
      <c r="D34" t="str">
        <f>Market_currency</f>
        <v>CNY</v>
      </c>
      <c r="E34" s="97" t="s">
        <v>455</v>
      </c>
      <c r="F34" s="334">
        <f>RATE(Holding_Period,$C$33,-C34,$C$36)</f>
        <v>0.14094865217182453</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15.61</v>
      </c>
    </row>
    <row r="9" spans="1:10">
      <c r="B9" s="355" t="s">
        <v>359</v>
      </c>
      <c r="C9" s="357">
        <f>Common_Shares</f>
        <v>576457000</v>
      </c>
    </row>
    <row r="10" spans="1:10">
      <c r="B10" s="355" t="s">
        <v>365</v>
      </c>
      <c r="C10" s="361">
        <f>投资主题!C8*Common_Shares/1000000</f>
        <v>8998.4937699999991</v>
      </c>
      <c r="D10" s="347" t="s">
        <v>529</v>
      </c>
      <c r="E10" s="364">
        <f>Scenarios!F34</f>
        <v>0.14094865217182453</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7.7496107857357832E-2</v>
      </c>
      <c r="F62" s="383"/>
    </row>
    <row r="63" spans="2:6">
      <c r="B63" s="381" t="s">
        <v>330</v>
      </c>
      <c r="C63" s="382">
        <f>Normalized_FCF!C92</f>
        <v>6.7905188981422171E-2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