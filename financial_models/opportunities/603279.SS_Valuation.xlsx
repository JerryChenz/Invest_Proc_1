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47283AA-6D6F-4E38-82C3-487E6A64A5E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<sst xmlns="http://schemas.openxmlformats.org/spreadsheetml/2006/main" count="766" uniqueCount="555">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</sst>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6" sqref="C1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16.66</v>
      </c>
      <c r="E8" s="32"/>
    </row>
    <row r="9" spans="1:9">
      <c r="B9" s="4" t="s">
        <v>344</v>
      </c>
      <c r="C9" s="48">
        <v>576457000</v>
      </c>
    </row>
    <row r="10" spans="1:9">
      <c r="B10" s="4" t="s">
        <v>350</v>
      </c>
      <c r="C10" s="33">
        <f>Thesis!C8*Common_Shares/1000000</f>
        <v>9603.7736199999999</v>
      </c>
      <c r="D10" s="1" t="s">
        <v>528</v>
      </c>
      <c r="E10" s="307">
        <f>Scenarios!F34</f>
        <v>0.11501882216831363</v>
      </c>
    </row>
    <row r="11" spans="1:9">
      <c r="D11" s="5"/>
      <c r="E11" s="5"/>
    </row>
    <row r="12" spans="1:9" ht="24.5" customHeight="1">
      <c r="B12" s="456" t="s">
        <v>353</v>
      </c>
      <c r="C12" s="456"/>
      <c r="D12" s="456"/>
      <c r="E12" s="456"/>
      <c r="F12" s="456"/>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10.160985357159904</v>
      </c>
      <c r="D22" s="38" t="s">
        <v>406</v>
      </c>
      <c r="E22" s="79">
        <v>0.32950289523458665</v>
      </c>
    </row>
    <row r="23" spans="1:6">
      <c r="B23" s="1" t="s">
        <v>312</v>
      </c>
      <c r="C23" s="259">
        <f>E141</f>
        <v>12.739809982003386</v>
      </c>
      <c r="D23" s="38" t="s">
        <v>407</v>
      </c>
      <c r="E23" s="448">
        <v>0.22621703288100403</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6" t="s">
        <v>354</v>
      </c>
      <c r="C29" s="456"/>
      <c r="D29" s="456"/>
      <c r="E29" s="456"/>
      <c r="F29" s="456"/>
    </row>
    <row r="30" spans="1:6" ht="24.5" customHeight="1">
      <c r="B30" s="458" t="s">
        <v>266</v>
      </c>
      <c r="C30" s="458"/>
      <c r="D30" s="458"/>
      <c r="E30" s="458"/>
      <c r="F30" s="458"/>
    </row>
    <row r="32" spans="1:6">
      <c r="B32" s="192" t="s">
        <v>195</v>
      </c>
      <c r="C32" s="105">
        <f>scaling_factor</f>
        <v>1</v>
      </c>
    </row>
    <row r="33" spans="2:6" ht="24.5" customHeight="1">
      <c r="B33" s="457" t="s">
        <v>196</v>
      </c>
      <c r="C33" s="457"/>
      <c r="D33" s="457"/>
      <c r="E33" s="457"/>
      <c r="F33" s="457"/>
    </row>
    <row r="34" spans="2:6">
      <c r="B34" s="44" t="s">
        <v>197</v>
      </c>
      <c r="C34" s="289">
        <f>Normalized_FCF!C8</f>
        <v>936713050.44528866</v>
      </c>
      <c r="D34" s="1" t="str">
        <f>Reporting_currency</f>
        <v>CNY</v>
      </c>
    </row>
    <row r="35" spans="2:6">
      <c r="B35" s="44"/>
      <c r="C35" s="73"/>
    </row>
    <row r="36" spans="2:6" ht="24.5" customHeight="1">
      <c r="B36" s="457" t="s">
        <v>198</v>
      </c>
      <c r="C36" s="457"/>
      <c r="D36" s="457"/>
      <c r="E36" s="457"/>
      <c r="F36" s="457"/>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-232449414.58456084</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7.2611899378952932E-2</v>
      </c>
      <c r="F62" s="260"/>
    </row>
    <row r="63" spans="2:6">
      <c r="B63" s="204" t="s">
        <v>330</v>
      </c>
      <c r="C63" s="89">
        <f>Normalized_FCF!C92</f>
        <v>6.3625450180072027E-2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6" t="s">
        <v>479</v>
      </c>
      <c r="C73" s="456"/>
      <c r="D73" s="456"/>
      <c r="E73" s="456"/>
      <c r="F73" s="456"/>
    </row>
    <row r="74" spans="1:6">
      <c r="A74" s="191"/>
      <c r="B74" s="1" t="s">
        <v>466</v>
      </c>
    </row>
    <row r="75" spans="1:6">
      <c r="A75" s="191"/>
    </row>
    <row r="76" spans="1:6">
      <c r="A76" s="191"/>
      <c r="B76" s="192" t="s">
        <v>195</v>
      </c>
    </row>
    <row r="77" spans="1:6">
      <c r="A77" s="191"/>
      <c r="B77" s="456" t="s">
        <v>271</v>
      </c>
      <c r="C77" s="456"/>
      <c r="D77" s="456"/>
      <c r="E77" s="456"/>
      <c r="F77" s="456"/>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6" t="s">
        <v>486</v>
      </c>
      <c r="C96" s="456"/>
      <c r="D96" s="456"/>
      <c r="E96" s="456"/>
      <c r="F96" s="456"/>
    </row>
    <row r="97" spans="2:6">
      <c r="B97" s="458" t="s">
        <v>485</v>
      </c>
      <c r="C97" s="458"/>
      <c r="D97" s="458"/>
      <c r="E97" s="458"/>
      <c r="F97" s="458"/>
    </row>
    <row r="98" spans="2:6">
      <c r="B98" s="458" t="s">
        <v>484</v>
      </c>
      <c r="C98" s="458"/>
      <c r="D98" s="458"/>
      <c r="E98" s="458"/>
      <c r="F98" s="458"/>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6" t="s">
        <v>492</v>
      </c>
      <c r="C114" s="456"/>
      <c r="D114" s="456"/>
      <c r="E114" s="456"/>
      <c r="F114" s="456"/>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7" t="s">
        <v>355</v>
      </c>
      <c r="C124" s="457"/>
      <c r="D124" s="457"/>
      <c r="E124" s="457"/>
      <c r="F124" s="457"/>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59" t="s">
        <v>285</v>
      </c>
      <c r="C131" s="459"/>
      <c r="D131" s="459"/>
      <c r="E131" s="459"/>
      <c r="F131" s="459"/>
    </row>
    <row r="132" spans="1:6">
      <c r="B132" s="456" t="s">
        <v>357</v>
      </c>
      <c r="C132" s="456"/>
      <c r="D132" s="456"/>
      <c r="E132" s="456"/>
      <c r="F132" s="456"/>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8.3129403808654185</v>
      </c>
      <c r="E140" s="338">
        <f>Scenarios!E62</f>
        <v>10.160985357159904</v>
      </c>
      <c r="F140" s="339">
        <f>E22</f>
        <v>0.32950289523458665</v>
      </c>
    </row>
    <row r="141" spans="1:6">
      <c r="B141" s="340" t="s">
        <v>312</v>
      </c>
      <c r="C141" s="337">
        <f>Scenarios!C63</f>
        <v>2.1443334287647504</v>
      </c>
      <c r="D141" s="337">
        <f>Scenarios!D63</f>
        <v>10.595476553238637</v>
      </c>
      <c r="E141" s="338">
        <f>Scenarios!E63</f>
        <v>12.739809982003386</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63" t="s">
        <v>358</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439</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1198762710.3042147</v>
      </c>
      <c r="D89" s="216">
        <f>SUM(D86:D88)</f>
        <v>2.079535351820196</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6.3625450180072027E-2</v>
      </c>
      <c r="E92" s="238"/>
      <c r="G92" s="22">
        <f t="shared" ref="G92:Q92" si="38">IF(G$4="","",(G88*(1-dividend_tax_rate))/Market_Price)</f>
        <v>6.3625450180072027E-2</v>
      </c>
      <c r="H92" s="22">
        <f t="shared" si="38"/>
        <v>6.3625450180072027E-2</v>
      </c>
      <c r="I92" s="22">
        <f t="shared" si="38"/>
        <v>6.0024009603841535E-2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7.2611899378952932E-2</v>
      </c>
      <c r="D124" s="26"/>
      <c r="E124" s="235"/>
      <c r="F124" s="26"/>
      <c r="G124" s="74">
        <f t="shared" ref="G124" si="49">IF(G$4="","",G123/Market_Price)</f>
        <v>8.9998539895536703E-2</v>
      </c>
      <c r="H124" s="74">
        <f t="shared" ref="H124" si="50">IF(H$4="","",H123/Market_Price)</f>
        <v>0.1027083597896627</v>
      </c>
      <c r="I124" s="74">
        <f t="shared" ref="I124" si="51">IF(I$4="","",I123/Market_Price)</f>
        <v>8.7078829098217E-2</v>
      </c>
      <c r="J124" s="74">
        <f t="shared" ref="J124" si="52">IF(J$4="","",J123/Market_Price)</f>
        <v>6.6663310837446324E-2</v>
      </c>
      <c r="K124" s="74">
        <f t="shared" ref="K124" si="53">IF(K$4="","",K123/Market_Price)</f>
        <v>5.4389866144778691E-2</v>
      </c>
      <c r="L124" s="74">
        <f t="shared" ref="L124" si="54">IF(L$4="","",L123/Market_Price)</f>
        <v>4.3018506049821569E-2</v>
      </c>
      <c r="M124" s="74">
        <f t="shared" ref="M124" si="55">IF(M$4="","",M123/Market_Price)</f>
        <v>2.568217200438342E-2</v>
      </c>
      <c r="N124" s="74">
        <f t="shared" ref="N124" si="56">IF(N$4="","",N123/Market_Price)</f>
        <v>2.0087588549385235E-2</v>
      </c>
      <c r="O124" s="74">
        <f t="shared" ref="O124" si="57">IF(O$4="","",O123/Market_Price)</f>
        <v>1.9987402826765092E-2</v>
      </c>
      <c r="P124" s="74">
        <f t="shared" ref="P124" si="58">IF(P$4="","",P123/Market_Price)</f>
        <v>2.0580391814774994E-2</v>
      </c>
      <c r="Q124" s="74" t="str">
        <f t="shared" ref="Q124" si="59">IF(Q$4="","",Q123/Market_Price)</f>
        <v/>
      </c>
    </row>
    <row r="125" spans="1:17" ht="15.75" customHeight="1">
      <c r="B125" s="2" t="s">
        <v>306</v>
      </c>
      <c r="C125" s="151"/>
      <c r="G125" s="22">
        <f>IF(G$4="","",(Data!C47*$C$3)/(Market_Price*Common_Shares))</f>
        <v>8.8322697364871874E-2</v>
      </c>
      <c r="H125" s="22">
        <f>IF(H$4="","",(Data!D47*$C$3)/(Market_Price*Common_Shares))</f>
        <v>0.10496805723331909</v>
      </c>
      <c r="I125" s="22">
        <f>IF(I$4="","",(Data!E47*$C$3)/(Market_Price*Common_Shares))</f>
        <v>8.6832395576604604E-2</v>
      </c>
      <c r="J125" s="22">
        <f>IF(J$4="","",(Data!F47*$C$3)/(Market_Price*Common_Shares))</f>
        <v>6.7369985132989835E-2</v>
      </c>
      <c r="K125" s="22">
        <f>IF(K$4="","",(Data!G47*$C$3)/(Market_Price*Common_Shares))</f>
        <v>5.3591701279605962E-2</v>
      </c>
      <c r="L125" s="22">
        <f>IF(L$4="","",(Data!H47*$C$3)/(Market_Price*Common_Shares))</f>
        <v>4.3011941591351258E-2</v>
      </c>
      <c r="M125" s="22">
        <f>IF(M$4="","",(Data!I47*$C$3)/(Market_Price*Common_Shares))</f>
        <v>2.5456216032714023E-2</v>
      </c>
      <c r="N125" s="22">
        <f>IF(N$4="","",(Data!J47*$C$3)/(Market_Price*Common_Shares))</f>
        <v>2.1445393357783043E-2</v>
      </c>
      <c r="O125" s="22">
        <f>IF(O$4="","",(Data!K47*$C$3)/(Market_Price*Common_Shares))</f>
        <v>1.6633561589511937E-2</v>
      </c>
      <c r="P125" s="22">
        <f>IF(P$4="","",(Data!L47*$C$3)/(Market_Price*Common_Shares))</f>
        <v>1.48495460891549E-2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29" sqref="D2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16.66</v>
      </c>
      <c r="D34" t="str">
        <f>Market_currency</f>
        <v>CNY</v>
      </c>
      <c r="E34" s="97" t="s">
        <v>455</v>
      </c>
      <c r="F34" s="334">
        <f>RATE(Holding_Period,$C$33,-C34,$C$36)</f>
        <v>0.11501882216831363</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0.10644953768535223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8.3129403808654185</v>
      </c>
      <c r="E62" s="336">
        <f>C62+D62</f>
        <v>10.160985357159904</v>
      </c>
      <c r="F62" s="305">
        <f>Thesis!E22</f>
        <v>0.32950289523458665</v>
      </c>
      <c r="G62" s="445">
        <f>(1-E62/C36)</f>
        <v>0.47986833080256908</v>
      </c>
    </row>
    <row r="63" spans="2:7" ht="13.15">
      <c r="B63" s="306" t="s">
        <v>312</v>
      </c>
      <c r="C63" s="119">
        <f>PV(F63, Holding_Period, -C58, 0)</f>
        <v>2.1443334287647504</v>
      </c>
      <c r="D63" s="119">
        <f>C36/(1+F63)^Holding_Period</f>
        <v>10.595476553238637</v>
      </c>
      <c r="E63" s="336">
        <f>C63+D63</f>
        <v>12.739809982003386</v>
      </c>
      <c r="F63" s="305">
        <f>Thesis!E23</f>
        <v>0.22621703288100403</v>
      </c>
      <c r="G63" s="445">
        <f>(1-E63/C36)</f>
        <v>0.3478606258862228</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16.66</v>
      </c>
    </row>
    <row r="9" spans="1:10">
      <c r="B9" s="355" t="s">
        <v>359</v>
      </c>
      <c r="C9" s="357">
        <f>Common_Shares</f>
        <v>576457000</v>
      </c>
    </row>
    <row r="10" spans="1:10">
      <c r="B10" s="355" t="s">
        <v>365</v>
      </c>
      <c r="C10" s="361">
        <f>投资主题!C8*Common_Shares/1000000</f>
        <v>9603.7736199999999</v>
      </c>
      <c r="D10" s="347" t="s">
        <v>529</v>
      </c>
      <c r="E10" s="364">
        <f>Scenarios!F34</f>
        <v>0.11501882216831363</v>
      </c>
    </row>
    <row r="11" spans="1:10">
      <c r="D11" s="353"/>
      <c r="E11" s="353"/>
    </row>
    <row r="12" spans="1:10" ht="24.5" customHeight="1">
      <c r="B12" s="467" t="s">
        <v>498</v>
      </c>
      <c r="C12" s="467"/>
      <c r="D12" s="467"/>
      <c r="E12" s="467"/>
      <c r="F12" s="467"/>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10.160985357159904</v>
      </c>
      <c r="D22" s="369" t="s">
        <v>441</v>
      </c>
      <c r="E22" s="370">
        <f>Thesis!E22</f>
        <v>0.32950289523458665</v>
      </c>
    </row>
    <row r="23" spans="1:6">
      <c r="B23" s="347" t="s">
        <v>339</v>
      </c>
      <c r="C23" s="371">
        <f>E141</f>
        <v>12.739809982003386</v>
      </c>
      <c r="D23" s="369" t="s">
        <v>442</v>
      </c>
      <c r="E23" s="372">
        <f>Thesis!E23</f>
        <v>0.22621703288100403</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67" t="s">
        <v>499</v>
      </c>
      <c r="C29" s="467"/>
      <c r="D29" s="467"/>
      <c r="E29" s="467"/>
      <c r="F29" s="467"/>
    </row>
    <row r="30" spans="1:6" ht="24.5" customHeight="1">
      <c r="B30" s="468" t="s">
        <v>500</v>
      </c>
      <c r="C30" s="468"/>
      <c r="D30" s="468"/>
      <c r="E30" s="468"/>
      <c r="F30" s="468"/>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69"/>
      <c r="D54" s="469"/>
      <c r="E54" s="469"/>
      <c r="F54" s="469"/>
    </row>
    <row r="55" spans="2:6">
      <c r="B55" s="376" t="s">
        <v>207</v>
      </c>
      <c r="C55" s="377">
        <f>Normalized_FCF!C17</f>
        <v>0</v>
      </c>
      <c r="D55" s="347" t="str">
        <f>Reporting_currency</f>
        <v>CNY</v>
      </c>
    </row>
    <row r="57" spans="2:6">
      <c r="B57" s="467" t="s">
        <v>508</v>
      </c>
      <c r="C57" s="467"/>
      <c r="D57" s="467"/>
      <c r="E57" s="467"/>
      <c r="F57" s="467"/>
    </row>
    <row r="58" spans="2:6">
      <c r="B58" s="467" t="s">
        <v>509</v>
      </c>
      <c r="C58" s="467"/>
      <c r="D58" s="467"/>
      <c r="E58" s="467"/>
      <c r="F58" s="467"/>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7.2611899378952932E-2</v>
      </c>
      <c r="F62" s="383"/>
    </row>
    <row r="63" spans="2:6">
      <c r="B63" s="381" t="s">
        <v>330</v>
      </c>
      <c r="C63" s="382">
        <f>Normalized_FCF!C92</f>
        <v>6.3625450180072027E-2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67" t="s">
        <v>510</v>
      </c>
      <c r="C73" s="467"/>
      <c r="D73" s="467"/>
      <c r="E73" s="467"/>
      <c r="F73" s="467"/>
    </row>
    <row r="74" spans="1:6">
      <c r="B74" s="468" t="s">
        <v>480</v>
      </c>
      <c r="C74" s="468"/>
      <c r="D74" s="468"/>
      <c r="E74" s="468"/>
      <c r="F74" s="468"/>
    </row>
    <row r="76" spans="1:6">
      <c r="B76" s="373" t="s">
        <v>369</v>
      </c>
    </row>
    <row r="77" spans="1:6">
      <c r="B77" s="467" t="s">
        <v>511</v>
      </c>
      <c r="C77" s="467"/>
      <c r="D77" s="467"/>
      <c r="E77" s="467"/>
      <c r="F77" s="467"/>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67" t="s">
        <v>514</v>
      </c>
      <c r="C96" s="467"/>
      <c r="D96" s="467"/>
      <c r="E96" s="467"/>
      <c r="F96" s="467"/>
    </row>
    <row r="97" spans="1:6">
      <c r="A97" s="389"/>
      <c r="B97" s="468" t="s">
        <v>515</v>
      </c>
      <c r="C97" s="468"/>
      <c r="D97" s="468"/>
      <c r="E97" s="468"/>
      <c r="F97" s="468"/>
    </row>
    <row r="98" spans="1:6">
      <c r="A98" s="389"/>
      <c r="B98" s="468" t="s">
        <v>516</v>
      </c>
      <c r="C98" s="468"/>
      <c r="D98" s="468"/>
      <c r="E98" s="468"/>
      <c r="F98" s="468"/>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67" t="s">
        <v>517</v>
      </c>
      <c r="C107" s="467"/>
      <c r="D107" s="467"/>
      <c r="E107" s="467"/>
      <c r="F107" s="467"/>
    </row>
    <row r="108" spans="1:6">
      <c r="A108" s="389"/>
      <c r="B108" s="467" t="s">
        <v>536</v>
      </c>
      <c r="C108" s="467"/>
      <c r="D108" s="467"/>
      <c r="E108" s="467"/>
      <c r="F108" s="467"/>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67" t="s">
        <v>518</v>
      </c>
      <c r="C114" s="467"/>
      <c r="D114" s="467"/>
      <c r="E114" s="467"/>
      <c r="F114" s="467"/>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71" t="s">
        <v>520</v>
      </c>
      <c r="C127" s="471"/>
      <c r="D127" s="471"/>
      <c r="E127" s="471"/>
      <c r="F127" s="471"/>
    </row>
    <row r="129" spans="1:6" ht="13.9">
      <c r="A129" s="349" t="s">
        <v>493</v>
      </c>
      <c r="B129" s="349"/>
      <c r="C129" s="349"/>
      <c r="D129" s="349"/>
      <c r="E129" s="349"/>
      <c r="F129" s="349"/>
    </row>
    <row r="131" spans="1:6">
      <c r="B131" s="472" t="s">
        <v>521</v>
      </c>
      <c r="C131" s="472"/>
      <c r="D131" s="472"/>
      <c r="E131" s="472"/>
      <c r="F131" s="472"/>
    </row>
    <row r="132" spans="1:6" ht="24.5" customHeight="1">
      <c r="B132" s="467" t="s">
        <v>522</v>
      </c>
      <c r="C132" s="467"/>
      <c r="D132" s="467"/>
      <c r="E132" s="467"/>
      <c r="F132" s="467"/>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8.3129403808654185</v>
      </c>
      <c r="E140" s="414">
        <f>Scenarios!E62</f>
        <v>10.160985357159904</v>
      </c>
      <c r="F140" s="415">
        <f>E22</f>
        <v>0.32950289523458665</v>
      </c>
    </row>
    <row r="141" spans="1:6">
      <c r="B141" s="412" t="s">
        <v>312</v>
      </c>
      <c r="C141" s="413">
        <f>Scenarios!C63</f>
        <v>2.1443334287647504</v>
      </c>
      <c r="D141" s="413">
        <f>Scenarios!D63</f>
        <v>10.595476553238637</v>
      </c>
      <c r="E141" s="414">
        <f>Scenarios!E63</f>
        <v>12.739809982003386</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3" t="s">
        <v>523</v>
      </c>
      <c r="C149" s="467"/>
      <c r="D149" s="467"/>
      <c r="E149" s="467"/>
      <c r="F149" s="467"/>
    </row>
    <row r="151" spans="1:6">
      <c r="B151" s="373" t="s">
        <v>382</v>
      </c>
    </row>
    <row r="152" spans="1:6">
      <c r="B152" s="469" t="s">
        <v>524</v>
      </c>
      <c r="C152" s="469"/>
      <c r="D152" s="469"/>
      <c r="E152" s="469"/>
      <c r="F152" s="469"/>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70" t="s">
        <v>386</v>
      </c>
      <c r="C161" s="470"/>
      <c r="D161" s="470"/>
      <c r="E161" s="470"/>
      <c r="F161" s="470"/>
    </row>
    <row r="162" spans="2:6">
      <c r="B162" s="470" t="s">
        <v>387</v>
      </c>
      <c r="C162" s="470"/>
      <c r="D162" s="470"/>
      <c r="E162" s="470"/>
      <c r="F162" s="470"/>
    </row>
    <row r="164" spans="2:6">
      <c r="B164" s="347" t="s">
        <v>527</v>
      </c>
    </row>
    <row r="165" spans="2:6">
      <c r="B165" s="416" t="s">
        <v>388</v>
      </c>
    </row>
    <row r="166" spans="2:6">
      <c r="B166" s="416" t="s">
        <v>389</v>
      </c>
    </row>
    <row r="167" spans="2:6">
      <c r="B167" s="416"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2025-12-04T03:51:31Z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