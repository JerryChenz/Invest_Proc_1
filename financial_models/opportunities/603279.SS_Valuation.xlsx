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49AACB2-0E56-4A3C-8937-219C7A462C72}"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<sst xmlns="http://schemas.openxmlformats.org/spreadsheetml/2006/main" count="768" uniqueCount="557">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</sst>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19.36</v>
      </c>
      <c r="E8" s="32"/>
    </row>
    <row r="9" spans="1:9">
      <c r="B9" s="4" t="s">
        <v>344</v>
      </c>
      <c r="C9" s="48">
        <v>576457000</v>
      </c>
    </row>
    <row r="10" spans="1:9">
      <c r="B10" s="4" t="s">
        <v>350</v>
      </c>
      <c r="C10" s="33">
        <f>Thesis!C8*Common_Shares/1000000</f>
        <v>11160.20752</v>
      </c>
      <c r="D10" s="1" t="s">
        <v>525</v>
      </c>
      <c r="E10" s="303">
        <f>Scenarios!F34</f>
        <v>9.8485423515841677E-2</v>
      </c>
    </row>
    <row r="11" spans="1:9">
      <c r="D11" s="5"/>
      <c r="E11" s="5"/>
    </row>
    <row r="12" spans="1:9" ht="24.5" customHeight="1">
      <c r="B12" s="460" t="s">
        <v>353</v>
      </c>
      <c r="C12" s="460"/>
      <c r="D12" s="460"/>
      <c r="E12" s="460"/>
      <c r="F12" s="460"/>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1079571875.5988722</v>
      </c>
      <c r="D34" s="1" t="str">
        <f>Reporting_currency</f>
        <v>CNY</v>
      </c>
    </row>
    <row r="35" spans="2:6">
      <c r="B35" s="44"/>
      <c r="C35" s="73"/>
    </row>
    <row r="36" spans="2:6" ht="24.5" customHeight="1">
      <c r="B36" s="461" t="s">
        <v>198</v>
      </c>
      <c r="C36" s="461"/>
      <c r="D36" s="461"/>
      <c r="E36" s="461"/>
      <c r="F36" s="461"/>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-268306202.34061834</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7.2123982065689665E-2</v>
      </c>
      <c r="F62" s="257"/>
    </row>
    <row r="63" spans="2:6">
      <c r="B63" s="204" t="s">
        <v>330</v>
      </c>
      <c r="C63" s="89">
        <f>Normalized_FCF!C92</f>
        <v>5.4752066115702484E-2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1" t="s">
        <v>355</v>
      </c>
      <c r="C124" s="461"/>
      <c r="D124" s="461"/>
      <c r="E124" s="461"/>
      <c r="F124" s="461"/>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5.4752066115702484E-2</v>
      </c>
      <c r="E92" s="237"/>
      <c r="G92" s="22">
        <f t="shared" ref="G92:Q92" si="38">IF(G$4="","",(G88*(1-dividend_tax_rate))/Market_Price)</f>
        <v>5.4752066115702484E-2</v>
      </c>
      <c r="H92" s="22">
        <f t="shared" si="38"/>
        <v>5.4752066115702484E-2</v>
      </c>
      <c r="I92" s="22">
        <f t="shared" si="38"/>
        <v>5.1652892561983473E-2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7.2123982065689665E-2</v>
      </c>
      <c r="D124" s="26"/>
      <c r="E124" s="234"/>
      <c r="F124" s="26"/>
      <c r="G124" s="74">
        <f t="shared" ref="G124" si="49">IF(G$4="","",G123/Market_Price)</f>
        <v>7.7623227358763938E-2</v>
      </c>
      <c r="H124" s="74">
        <f t="shared" ref="H124" si="50">IF(H$4="","",H123/Market_Price)</f>
        <v>8.8531703897164471E-2</v>
      </c>
      <c r="I124" s="74">
        <f t="shared" ref="I124" si="51">IF(I$4="","",I123/Market_Price)</f>
        <v>7.5086509908455529E-2</v>
      </c>
      <c r="J124" s="74">
        <f t="shared" ref="J124" si="52">IF(J$4="","",J123/Market_Price)</f>
        <v>5.7452974238376711E-2</v>
      </c>
      <c r="K124" s="74">
        <f t="shared" ref="K124" si="53">IF(K$4="","",K123/Market_Price)</f>
        <v>4.6864697347357209E-2</v>
      </c>
      <c r="L124" s="74">
        <f t="shared" ref="L124" si="54">IF(L$4="","",L123/Market_Price)</f>
        <v>3.7052619646607707E-2</v>
      </c>
      <c r="M124" s="74">
        <f t="shared" ref="M124" si="55">IF(M$4="","",M123/Market_Price)</f>
        <v>2.2100464131871271E-2</v>
      </c>
      <c r="N124" s="74">
        <f t="shared" ref="N124" si="56">IF(N$4="","",N123/Market_Price)</f>
        <v>1.7286117005824279E-2</v>
      </c>
      <c r="O124" s="74">
        <f t="shared" ref="O124" si="57">IF(O$4="","",O123/Market_Price)</f>
        <v>1.719990346559434E-2</v>
      </c>
      <c r="P124" s="74">
        <f t="shared" ref="P124" si="58">IF(P$4="","",P123/Market_Price)</f>
        <v>1.7710192543086332E-2</v>
      </c>
      <c r="Q124" s="74" t="str">
        <f t="shared" ref="Q124" si="59">IF(Q$4="","",Q123/Market_Price)</f>
        <v/>
      </c>
    </row>
    <row r="125" spans="1:17" ht="15.75" customHeight="1">
      <c r="B125" s="2" t="s">
        <v>306</v>
      </c>
      <c r="C125" s="151"/>
      <c r="G125" s="22">
        <f>IF(G$4="","",(Data!C47*$C$3)/(Market_Price*Common_Shares))</f>
        <v>7.6004965810886643E-2</v>
      </c>
      <c r="H125" s="22">
        <f>IF(H$4="","",(Data!D47*$C$3)/(Market_Price*Common_Shares))</f>
        <v>9.0328917019994626E-2</v>
      </c>
      <c r="I125" s="22">
        <f>IF(I$4="","",(Data!E47*$C$3)/(Market_Price*Common_Shares))</f>
        <v>7.4722505697635985E-2</v>
      </c>
      <c r="J125" s="22">
        <f>IF(J$4="","",(Data!F47*$C$3)/(Market_Price*Common_Shares))</f>
        <v>5.7974377702252618E-2</v>
      </c>
      <c r="K125" s="22">
        <f>IF(K$4="","",(Data!G47*$C$3)/(Market_Price*Common_Shares))</f>
        <v>4.611765203090059E-2</v>
      </c>
      <c r="L125" s="22">
        <f>IF(L$4="","",(Data!H47*$C$3)/(Market_Price*Common_Shares))</f>
        <v>3.7013375357020241E-2</v>
      </c>
      <c r="M125" s="22">
        <f>IF(M$4="","",(Data!I47*$C$3)/(Market_Price*Common_Shares))</f>
        <v>2.1906020614928495E-2</v>
      </c>
      <c r="N125" s="22">
        <f>IF(N$4="","",(Data!J47*$C$3)/(Market_Price*Common_Shares))</f>
        <v>1.8454558540323629E-2</v>
      </c>
      <c r="O125" s="22">
        <f>IF(O$4="","",(Data!K47*$C$3)/(Market_Price*Common_Shares))</f>
        <v>1.431379835130521E-2</v>
      </c>
      <c r="P125" s="22">
        <f>IF(P$4="","",(Data!L47*$C$3)/(Market_Price*Common_Shares))</f>
        <v>1.2778586665564083E-2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19.36</v>
      </c>
      <c r="D34" t="str">
        <f>Market_currency</f>
        <v>CNY</v>
      </c>
      <c r="E34" s="97" t="s">
        <v>452</v>
      </c>
      <c r="F34" s="330">
        <f>RATE(Holding_Period,$C$33,-C34,$C$36)</f>
        <v>9.8485423515841677E-2</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19.36</v>
      </c>
    </row>
    <row r="9" spans="1:10">
      <c r="B9" s="351" t="s">
        <v>359</v>
      </c>
      <c r="C9" s="353">
        <f>Common_Shares</f>
        <v>576457000</v>
      </c>
    </row>
    <row r="10" spans="1:10">
      <c r="B10" s="351" t="s">
        <v>365</v>
      </c>
      <c r="C10" s="357">
        <f>投资主题!C8*Common_Shares/1000000</f>
        <v>11160.20752</v>
      </c>
      <c r="D10" s="343" t="s">
        <v>526</v>
      </c>
      <c r="E10" s="360">
        <f>Scenarios!F34</f>
        <v>9.8485423515841677E-2</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7.2123982065689665E-2</v>
      </c>
      <c r="F62" s="379"/>
    </row>
    <row r="63" spans="2:6">
      <c r="B63" s="377" t="s">
        <v>330</v>
      </c>
      <c r="C63" s="378">
        <f>Normalized_FCF!C92</f>
        <v>5.4752066115702484E-2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