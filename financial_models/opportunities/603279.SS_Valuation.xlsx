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785D2B1-4989-4146-A832-33AA09C82D3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9"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7" i="2"/>
  <c r="Q118"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<sst xmlns="http://schemas.openxmlformats.org/spreadsheetml/2006/main" count="685" uniqueCount="466">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</sst>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576457000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16.12</v>
      </c>
      <c r="D12" s="50"/>
      <c r="E12" s="48"/>
    </row>
    <row r="13" spans="1:10">
      <c r="B13" s="1" t="s">
        <v>416</v>
      </c>
      <c r="C13" s="48" t="s">
        <v>414</v>
      </c>
      <c r="D13" s="48"/>
      <c r="E13" s="5"/>
    </row>
    <row r="14" spans="1:10">
      <c r="B14" s="4" t="s">
        <v>420</v>
      </c>
      <c r="C14" s="35">
        <f>Thesis!C12*Common_Shares/1000000</f>
        <v>9292.4868399999996</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25.584938697660867</v>
      </c>
      <c r="D26" s="1" t="s">
        <v>399</v>
      </c>
      <c r="E26" s="301">
        <f ca="1">Scenarios!C87</f>
        <v>0.22356543697419196</v>
      </c>
    </row>
    <row r="27" spans="2:6">
      <c r="D27" s="5"/>
      <c r="E27" s="5"/>
    </row>
    <row r="28" spans="2:6">
      <c r="B28" s="45" t="s">
        <v>433</v>
      </c>
      <c r="C28" s="309" t="str">
        <f>C145&amp;" ("&amp;Market_currency&amp;")"</f>
        <v>603279.SS (CNY)</v>
      </c>
      <c r="D28" s="309" t="str">
        <f>IF(D11="","",D145&amp;" ("&amp;D13&amp;")")</f>
        <v/>
      </c>
      <c r="E28" s="305" t="s">
        <v>429</v>
      </c>
      <c r="F28" s="303">
        <v>3</v>
      </c>
    </row>
    <row r="29" spans="2:6">
      <c r="B29" s="1" t="s">
        <v>425</v>
      </c>
      <c r="C29" s="310">
        <f>C149</f>
        <v>12.534408209968158</v>
      </c>
      <c r="D29" s="310" t="str">
        <f>D149</f>
        <v/>
      </c>
      <c r="E29" s="306" t="s">
        <v>424</v>
      </c>
      <c r="F29" s="302">
        <v>0.33699999999999997</v>
      </c>
    </row>
    <row r="30" spans="2:6">
      <c r="B30" s="1" t="s">
        <v>426</v>
      </c>
      <c r="C30" s="311">
        <f>C157</f>
        <v>17.577047192866189</v>
      </c>
      <c r="D30" s="311" t="str">
        <f>D157</f>
        <v/>
      </c>
      <c r="E30" s="307" t="s">
        <v>437</v>
      </c>
      <c r="F30" s="312">
        <v>0.187</v>
      </c>
    </row>
    <row r="31" spans="2:6">
      <c r="B31" s="1" t="s">
        <v>427</v>
      </c>
      <c r="C31" s="311">
        <f>C165</f>
        <v>24.315000552184742</v>
      </c>
      <c r="D31" s="311" t="str">
        <f>D165</f>
        <v/>
      </c>
      <c r="E31" s="307" t="s">
        <v>436</v>
      </c>
      <c r="F31" s="312">
        <v>0.06</v>
      </c>
    </row>
    <row r="32" spans="2:6">
      <c r="B32" s="1" t="s">
        <v>428</v>
      </c>
      <c r="C32" s="311">
        <f>C173</f>
        <v>22.61787767563613</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1037280588.8935957</v>
      </c>
      <c r="D41" s="1" t="str">
        <f>Reporting_currency</f>
        <v>CNY</v>
      </c>
    </row>
    <row r="42" spans="1:6">
      <c r="B42" s="47"/>
      <c r="C42" s="76"/>
    </row>
    <row r="43" spans="1:6" ht="24.5" customHeight="1">
      <c r="B43" s="359" t="s">
        <v>233</v>
      </c>
      <c r="C43" s="359"/>
      <c r="D43" s="359"/>
      <c r="E43" s="359"/>
      <c r="F43" s="359"/>
    </row>
    <row r="44" spans="1:6">
      <c r="B44" s="47" t="s">
        <v>234</v>
      </c>
      <c r="C44" s="349">
        <f>Normalized_FCF!C9</f>
        <v>213321214.99999997</v>
      </c>
      <c r="D44" s="1" t="str">
        <f>Reporting_currency</f>
        <v>CNY</v>
      </c>
    </row>
    <row r="45" spans="1:6">
      <c r="B45" s="52" t="s">
        <v>235</v>
      </c>
      <c r="C45" s="349">
        <f>Normalized_FCF!C10</f>
        <v>-213321214.99999997</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13985177.697766012</v>
      </c>
      <c r="D51" s="1" t="str">
        <f>Reporting_currency</f>
        <v>CNY</v>
      </c>
      <c r="E51" s="286"/>
      <c r="F51" s="286"/>
    </row>
    <row r="52" spans="2:6">
      <c r="B52" s="47" t="s">
        <v>341</v>
      </c>
      <c r="C52" s="350">
        <f>Normalized_FCF!C47</f>
        <v>-6249607</v>
      </c>
      <c r="D52" s="1" t="str">
        <f>Reporting_currency</f>
        <v>CNY</v>
      </c>
      <c r="E52" s="286"/>
      <c r="F52" s="286"/>
    </row>
    <row r="53" spans="2:6">
      <c r="B53" s="47" t="s">
        <v>238</v>
      </c>
      <c r="C53" s="349">
        <f>Normalized_FCF!C12</f>
        <v>7735570.6977660116</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-261254039.89784044</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866779085.10917377</v>
      </c>
      <c r="D67" s="1" t="str">
        <f>Reporting_currency</f>
        <v>CNY</v>
      </c>
    </row>
    <row r="68" spans="1:6">
      <c r="B68" s="47" t="s">
        <v>248</v>
      </c>
      <c r="C68" s="349">
        <f>Normalized_FCF!C19</f>
        <v>783762119.69352126</v>
      </c>
      <c r="D68" s="1" t="str">
        <f>Reporting_currency</f>
        <v>CNY</v>
      </c>
    </row>
    <row r="69" spans="1:6">
      <c r="B69" s="227" t="s">
        <v>390</v>
      </c>
      <c r="C69" s="92">
        <f>Normalized_FCF!C125</f>
        <v>8.434363515262415E-2</v>
      </c>
      <c r="F69" s="314"/>
    </row>
    <row r="70" spans="1:6">
      <c r="B70" s="227" t="s">
        <v>308</v>
      </c>
      <c r="C70" s="92">
        <f>Normalized_FCF!C93</f>
        <v>6.5756823821339946E-2</v>
      </c>
      <c r="E70" s="47" t="s">
        <v>448</v>
      </c>
      <c r="F70" s="315">
        <f>Normalized_FCF!C92</f>
        <v>0.7796299472076299</v>
      </c>
    </row>
    <row r="72" spans="1:6">
      <c r="B72" s="210" t="s">
        <v>450</v>
      </c>
      <c r="C72" s="323" t="s">
        <v>452</v>
      </c>
      <c r="D72" s="323" t="s">
        <v>453</v>
      </c>
    </row>
    <row r="73" spans="1:6">
      <c r="B73" s="47" t="s">
        <v>451</v>
      </c>
      <c r="C73" s="92">
        <f>Normalized_FCF!C120</f>
        <v>0.23409392300550072</v>
      </c>
      <c r="D73" s="92">
        <f>Normalized_FCF!G120</f>
        <v>0.25256959684173202</v>
      </c>
    </row>
    <row r="74" spans="1:6">
      <c r="B74" s="259" t="str">
        <f>Normalized_FCF!B117</f>
        <v>Pre-tax Profit/Sales</v>
      </c>
      <c r="C74" s="322">
        <f>Normalized_FCF!C117</f>
        <v>0.173581864935303</v>
      </c>
      <c r="D74" s="322">
        <f>Normalized_FCF!G117</f>
        <v>0.18394654535282634</v>
      </c>
    </row>
    <row r="75" spans="1:6">
      <c r="B75" s="259" t="str">
        <f>Normalized_FCF!B118</f>
        <v>Sales/Total Assets</v>
      </c>
      <c r="C75" s="324">
        <f>Normalized_FCF!C118</f>
        <v>0.69418106703013427</v>
      </c>
      <c r="D75" s="324">
        <f>Normalized_FCF!G118</f>
        <v>0.70676723862204571</v>
      </c>
    </row>
    <row r="76" spans="1:6">
      <c r="B76" s="259" t="str">
        <f>Normalized_FCF!B119</f>
        <v>Total Assets/Equity</v>
      </c>
      <c r="C76" s="324">
        <f>Normalized_FCF!C119</f>
        <v>1.9427325871638936</v>
      </c>
      <c r="D76" s="324">
        <f>Normalized_FCF!G119</f>
        <v>1.9427325871638936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22.660323311005019</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270317959.52999997</v>
      </c>
      <c r="D102" s="1" t="str">
        <f>Reporting_currency</f>
        <v>CNY</v>
      </c>
    </row>
    <row r="103" spans="2:6">
      <c r="B103" s="47" t="s">
        <v>281</v>
      </c>
      <c r="C103" s="223">
        <f>C102*scaling_factor*Exchange_Rate/Common_Shares</f>
        <v>0.46892996273789717</v>
      </c>
      <c r="D103" s="1" t="str">
        <f>Market_currency</f>
        <v>CNY</v>
      </c>
    </row>
    <row r="104" spans="2:6">
      <c r="B104" s="296" t="s">
        <v>404</v>
      </c>
      <c r="C104" s="325">
        <f>IF(BS!G31/BS!G27&gt;300%,"nm",BS!G31/BS!G27)</f>
        <v>6.0553888114002474E-2</v>
      </c>
    </row>
    <row r="105" spans="2:6">
      <c r="B105" s="296" t="s">
        <v>406</v>
      </c>
      <c r="C105" s="326">
        <f>IF(BS!C50&gt;30,"nm",BS!C50)</f>
        <v>0.26060254325045429</v>
      </c>
    </row>
    <row r="107" spans="2:6">
      <c r="B107" s="1" t="s">
        <v>254</v>
      </c>
    </row>
    <row r="108" spans="2:6">
      <c r="B108" s="47" t="s">
        <v>264</v>
      </c>
      <c r="C108" s="349">
        <f>BS!C66</f>
        <v>1723046566.25</v>
      </c>
      <c r="D108" s="1" t="str">
        <f>Reporting_currency</f>
        <v>CNY</v>
      </c>
    </row>
    <row r="109" spans="2:6">
      <c r="B109" s="47" t="s">
        <v>266</v>
      </c>
      <c r="C109" s="349">
        <f>DCF!C8</f>
        <v>790701386.39893258</v>
      </c>
      <c r="D109" s="1" t="str">
        <f>Reporting_currency</f>
        <v>CNY</v>
      </c>
    </row>
    <row r="110" spans="2:6">
      <c r="B110" s="47" t="s">
        <v>282</v>
      </c>
      <c r="C110" s="223">
        <f>C109*scaling_factor*Exchange_Rate/Common_Shares</f>
        <v>1.3716571858767135</v>
      </c>
      <c r="D110" s="1" t="str">
        <f>Market_currency</f>
        <v>CNY</v>
      </c>
    </row>
    <row r="112" spans="2:6">
      <c r="B112" s="1" t="s">
        <v>256</v>
      </c>
    </row>
    <row r="113" spans="1:6">
      <c r="B113" s="47" t="s">
        <v>257</v>
      </c>
      <c r="C113" s="349">
        <f>DCF!C9</f>
        <v>30193430.795999996</v>
      </c>
      <c r="D113" s="1" t="str">
        <f>Reporting_currency</f>
        <v>CNY</v>
      </c>
    </row>
    <row r="114" spans="1:6">
      <c r="B114" s="47" t="s">
        <v>283</v>
      </c>
      <c r="C114" s="223">
        <f>C113*scaling_factor*Exchange_Rate/Common_Shares</f>
        <v>5.2377594158801083E-2</v>
      </c>
      <c r="D114" s="1" t="str">
        <f>Market_currency</f>
        <v>CNY</v>
      </c>
    </row>
    <row r="116" spans="1:6" ht="24.5" customHeight="1">
      <c r="B116" s="358" t="s">
        <v>366</v>
      </c>
      <c r="C116" s="358"/>
      <c r="D116" s="358"/>
      <c r="E116" s="358"/>
      <c r="F116" s="358"/>
    </row>
    <row r="118" spans="1:6">
      <c r="B118" s="47" t="s">
        <v>449</v>
      </c>
      <c r="C118" s="223">
        <f>IF(valuation_method="DCF",DCF!C12,DDM!C7)</f>
        <v>23.615428128302636</v>
      </c>
      <c r="D118" s="1" t="str">
        <f>Market_currency</f>
        <v>CNY</v>
      </c>
    </row>
    <row r="119" spans="1:6">
      <c r="B119" s="296" t="s">
        <v>405</v>
      </c>
      <c r="C119" s="223">
        <f>BS!D47</f>
        <v>-0.43338518935931036</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258</v>
      </c>
      <c r="C132" s="217">
        <f>Scenarios!C60</f>
        <v>25.584938697660867</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603279.SS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10.705085959638616</v>
      </c>
    </row>
    <row r="149" spans="2:4">
      <c r="B149" s="80" t="s">
        <v>260</v>
      </c>
      <c r="C149" s="215">
        <f>Scenarios!C83</f>
        <v>12.534408209968158</v>
      </c>
      <c r="D149" s="300" t="str">
        <f>IF($D$11="","",C149*$E$25)</f>
        <v/>
      </c>
    </row>
    <row r="150" spans="2:4">
      <c r="B150" s="259" t="s">
        <v>416</v>
      </c>
      <c r="C150" s="298" t="str">
        <f>Market_currency</f>
        <v>CNY</v>
      </c>
      <c r="D150" s="298" t="str">
        <f>IF($D$11="","",D$13)</f>
        <v/>
      </c>
    </row>
    <row r="151" spans="2:4">
      <c r="B151" s="214" t="s">
        <v>262</v>
      </c>
      <c r="C151" s="92">
        <f>Scenarios!F83</f>
        <v>0.51008644741782672</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15.297914307657322</v>
      </c>
    </row>
    <row r="157" spans="2:4">
      <c r="B157" s="80" t="s">
        <v>260</v>
      </c>
      <c r="C157" s="215">
        <f>Scenarios!C93</f>
        <v>17.577047192866189</v>
      </c>
      <c r="D157" s="300" t="str">
        <f>IF($D$11="","",C157*$E$25)</f>
        <v/>
      </c>
    </row>
    <row r="158" spans="2:4">
      <c r="B158" s="259" t="s">
        <v>416</v>
      </c>
      <c r="C158" s="298" t="str">
        <f>Market_currency</f>
        <v>CNY</v>
      </c>
      <c r="D158" s="298" t="str">
        <f>IF($D$11="","",D$13)</f>
        <v/>
      </c>
    </row>
    <row r="159" spans="2:4">
      <c r="B159" s="214" t="s">
        <v>262</v>
      </c>
      <c r="C159" s="92">
        <f>Scenarios!F93</f>
        <v>0.31299240539227124</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21.481607885755405</v>
      </c>
    </row>
    <row r="165" spans="2:4">
      <c r="B165" s="80" t="s">
        <v>401</v>
      </c>
      <c r="C165" s="215">
        <f>Scenarios!C99</f>
        <v>24.315000552184742</v>
      </c>
      <c r="D165" s="300" t="str">
        <f>IF($D$11="","",C165*$E$25)</f>
        <v/>
      </c>
    </row>
    <row r="166" spans="2:4">
      <c r="B166" s="259" t="s">
        <v>416</v>
      </c>
      <c r="C166" s="298" t="str">
        <f>Market_currency</f>
        <v>CNY</v>
      </c>
      <c r="D166" s="298" t="str">
        <f>IF($D$11="","",D$13)</f>
        <v/>
      </c>
    </row>
    <row r="167" spans="2:4">
      <c r="B167" s="214" t="s">
        <v>262</v>
      </c>
      <c r="C167" s="92">
        <f>Scenarios!F99</f>
        <v>4.9636161355830488E-2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19.920294213679817</v>
      </c>
    </row>
    <row r="173" spans="2:4">
      <c r="B173" s="80" t="s">
        <v>401</v>
      </c>
      <c r="C173" s="215">
        <f>Scenarios!C105</f>
        <v>22.61787767563613</v>
      </c>
      <c r="D173" s="300" t="str">
        <f>IF($D$11="","",C173*$E$25)</f>
        <v/>
      </c>
    </row>
    <row r="174" spans="2:4">
      <c r="B174" s="259" t="s">
        <v>416</v>
      </c>
      <c r="C174" s="298" t="str">
        <f>Market_currency</f>
        <v>CNY</v>
      </c>
      <c r="D174" s="298" t="str">
        <f>IF($D$11="","",D$13)</f>
        <v/>
      </c>
    </row>
    <row r="175" spans="2:4">
      <c r="B175" s="214" t="s">
        <v>262</v>
      </c>
      <c r="C175" s="92">
        <f>Scenarios!F105</f>
        <v>0.11580559118887601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373</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372</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463</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172</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152</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168</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168</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177</v>
      </c>
      <c r="G6" s="19">
        <v>0</v>
      </c>
      <c r="H6" s="261">
        <v>0.6</v>
      </c>
    </row>
    <row r="7" spans="2:8" ht="15" customHeight="1">
      <c r="B7" s="1" t="s">
        <v>69</v>
      </c>
      <c r="C7" s="19">
        <v>0</v>
      </c>
      <c r="D7" s="261">
        <v>0.6</v>
      </c>
      <c r="E7" s="25"/>
      <c r="F7" s="4" t="s">
        <v>178</v>
      </c>
      <c r="G7" s="19">
        <v>50322384.659999996</v>
      </c>
      <c r="H7" s="261">
        <v>0.6</v>
      </c>
    </row>
    <row r="8" spans="2:8" ht="15" customHeight="1">
      <c r="B8" s="1" t="s">
        <v>173</v>
      </c>
      <c r="C8" s="19">
        <v>0</v>
      </c>
      <c r="D8" s="261">
        <v>0.6</v>
      </c>
      <c r="E8" s="25"/>
      <c r="F8" s="1" t="s">
        <v>179</v>
      </c>
      <c r="G8" s="19">
        <v>0</v>
      </c>
      <c r="H8" s="261">
        <v>0.6</v>
      </c>
    </row>
    <row r="9" spans="2:8" ht="15" customHeight="1">
      <c r="B9" s="4" t="s">
        <v>25</v>
      </c>
      <c r="C9" s="19">
        <f>21769366.3+88430040.42</f>
        <v>110199406.72</v>
      </c>
      <c r="D9" s="261">
        <v>0.1</v>
      </c>
      <c r="E9" s="25"/>
      <c r="F9" s="4" t="s">
        <v>180</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2276113969.89+136330644.02+1116002.95</f>
        <v>2413560616.8599997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308495762.44999999</v>
      </c>
      <c r="D21" s="261">
        <v>0.05</v>
      </c>
      <c r="F21" s="1" t="s">
        <v>180</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244</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203</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6899162660.6999998</v>
      </c>
      <c r="H35" s="200">
        <f>D12+D24</f>
        <v>2377679118.9565001</v>
      </c>
    </row>
    <row r="36" spans="2:8" ht="15" customHeight="1">
      <c r="B36" s="4" t="s">
        <v>13</v>
      </c>
      <c r="C36" s="19">
        <v>70000000</v>
      </c>
      <c r="F36" s="190" t="s">
        <v>197</v>
      </c>
      <c r="G36" s="191">
        <f>C4+C15</f>
        <v>1180157900.1600001</v>
      </c>
      <c r="H36" s="195"/>
    </row>
    <row r="37" spans="2:8" ht="15" customHeight="1">
      <c r="B37" s="4" t="s">
        <v>14</v>
      </c>
      <c r="C37" s="19">
        <v>171292.86</v>
      </c>
      <c r="F37" s="190" t="s">
        <v>198</v>
      </c>
      <c r="G37" s="191">
        <f>C6</f>
        <v>2566018245.5700002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204</v>
      </c>
      <c r="C40" s="81">
        <f>SUM(C36:C39)</f>
        <v>70171292.859999999</v>
      </c>
      <c r="F40" s="199" t="s">
        <v>138</v>
      </c>
      <c r="G40" s="193">
        <f>G12+G24</f>
        <v>1773368950.9100001</v>
      </c>
      <c r="H40" s="200">
        <f>H12+H24</f>
        <v>1580935340.421</v>
      </c>
    </row>
    <row r="41" spans="2:8" ht="15" customHeight="1">
      <c r="B41" s="4" t="s">
        <v>17</v>
      </c>
      <c r="C41" s="21">
        <f>C42-C40</f>
        <v>136752472.12</v>
      </c>
      <c r="F41" s="190" t="s">
        <v>191</v>
      </c>
      <c r="G41" s="191">
        <f>C70</f>
        <v>1723046566.25</v>
      </c>
      <c r="H41" s="200">
        <f>H40-H42</f>
        <v>1550741909.625</v>
      </c>
    </row>
    <row r="42" spans="2:8" ht="15" customHeight="1">
      <c r="B42" s="83" t="s">
        <v>22</v>
      </c>
      <c r="C42" s="84">
        <v>206923764.97999999</v>
      </c>
      <c r="F42" s="201" t="s">
        <v>192</v>
      </c>
      <c r="G42" s="202">
        <f>C82</f>
        <v>50322384.659999996</v>
      </c>
      <c r="H42" s="203">
        <f>D82</f>
        <v>30193430.795999996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0.26060254325045429</v>
      </c>
      <c r="D50" s="95">
        <f>G31/Normalized_FCF!G8</f>
        <v>0.24272606073999553</v>
      </c>
      <c r="F50" s="253"/>
    </row>
    <row r="51" spans="2:8" ht="15" customHeight="1">
      <c r="B51" s="1" t="s">
        <v>176</v>
      </c>
      <c r="C51" s="181"/>
      <c r="D51" s="92">
        <f>G29/G32</f>
        <v>0.51473888203000406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0.15034876548168696</v>
      </c>
      <c r="D54" s="92">
        <f>Normalized_FCF!G8/G35</f>
        <v>0.16142177127434257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1723046566.25</v>
      </c>
      <c r="D66" s="76">
        <f>C66-D75</f>
        <v>790701386.39893258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1723046566.25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-468902548.5</v>
      </c>
      <c r="D73" s="349">
        <f>(Normalized_FCF!C25+Normalized_FCF!C35-Normalized_FCF!C91)/12</f>
        <v>-466172589.92553371</v>
      </c>
      <c r="F73" s="1" t="s">
        <v>351</v>
      </c>
    </row>
    <row r="74" spans="2:6" ht="15" customHeight="1">
      <c r="B74" s="257" t="s">
        <v>321</v>
      </c>
      <c r="C74" s="258">
        <f>-$C$66/C73</f>
        <v>3.674636812621205</v>
      </c>
      <c r="D74" s="258">
        <f>-$C$66/D73</f>
        <v>3.6961558948054818</v>
      </c>
      <c r="F74" s="253" t="s">
        <v>319</v>
      </c>
    </row>
    <row r="75" spans="2:6" ht="15" customHeight="1">
      <c r="B75" s="80" t="s">
        <v>320</v>
      </c>
      <c r="C75" s="320"/>
      <c r="D75" s="321">
        <f>MAX(-D73*D76,G5)</f>
        <v>932345179.85106742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50322384.659999996</v>
      </c>
      <c r="D79" s="76">
        <f>G7*H7+G17*H17</f>
        <v>30193430.795999996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50322384.659999996</v>
      </c>
      <c r="D82" s="81">
        <f>SUM(D79:D81)</f>
        <v>30193430.795999996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-270317959.52999997</v>
      </c>
      <c r="D86" s="223">
        <f>C86*scaling_factor/Common_Shares</f>
        <v>-0.46892996273789717</v>
      </c>
      <c r="E86" s="240" t="str">
        <f>Market_currency</f>
        <v>CNY</v>
      </c>
    </row>
    <row r="87" spans="2:8" ht="15" customHeight="1">
      <c r="B87" s="238" t="s">
        <v>287</v>
      </c>
      <c r="C87" s="76">
        <f>DCF!C8*Exchange_Rate</f>
        <v>790701386.39893258</v>
      </c>
      <c r="D87" s="223">
        <f>C87*scaling_factor/Common_Shares</f>
        <v>1.3716571858767135</v>
      </c>
      <c r="E87" s="240" t="str">
        <f>Market_currency</f>
        <v>CNY</v>
      </c>
    </row>
    <row r="88" spans="2:8" ht="15" customHeight="1">
      <c r="B88" s="239" t="s">
        <v>189</v>
      </c>
      <c r="C88" s="76">
        <f>DCF!C9*Exchange_Rate</f>
        <v>30193430.795999996</v>
      </c>
      <c r="D88" s="223">
        <f>C88*scaling_factor/Common_Shares</f>
        <v>5.2377594158801083E-2</v>
      </c>
      <c r="E88" s="240" t="str">
        <f>Market_currency</f>
        <v>CNY</v>
      </c>
    </row>
    <row r="89" spans="2:8" ht="15" customHeight="1">
      <c r="B89" s="80" t="s">
        <v>291</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6020307248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-4628427392.8564043</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1391879855.1435957</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152</v>
      </c>
      <c r="C8" s="330">
        <f>C6+C7</f>
        <v>1037280588.8935957</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-213321214.99999997</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7735570.6977660116</v>
      </c>
      <c r="E12" s="268"/>
      <c r="G12" s="328">
        <f>G50</f>
        <v>13818159.109173693</v>
      </c>
      <c r="H12" s="328">
        <f t="shared" ref="H12:Q12" si="6">H50</f>
        <v>12176685.418780401</v>
      </c>
      <c r="I12" s="328">
        <f t="shared" si="6"/>
        <v>15999426.385417301</v>
      </c>
      <c r="J12" s="328">
        <f t="shared" si="6"/>
        <v>9485582.0078302585</v>
      </c>
      <c r="K12" s="328">
        <f t="shared" si="6"/>
        <v>6784112.6493268209</v>
      </c>
      <c r="L12" s="328">
        <f t="shared" si="6"/>
        <v>3827612.9044996742</v>
      </c>
      <c r="M12" s="328">
        <f t="shared" si="6"/>
        <v>0</v>
      </c>
      <c r="N12" s="328">
        <f t="shared" si="6"/>
        <v>0</v>
      </c>
      <c r="O12" s="328">
        <f t="shared" si="6"/>
        <v>0</v>
      </c>
      <c r="P12" s="328">
        <f t="shared" si="6"/>
        <v>0</v>
      </c>
      <c r="Q12" s="328" t="str">
        <f t="shared" si="6"/>
        <v/>
      </c>
    </row>
    <row r="13" spans="1:17" ht="15.75" customHeight="1">
      <c r="A13" s="10"/>
      <c r="B13" s="70" t="s">
        <v>164</v>
      </c>
      <c r="C13" s="329">
        <f>SUM(C8:C12)</f>
        <v>1045016159.5913618</v>
      </c>
      <c r="E13" s="268"/>
      <c r="G13" s="329">
        <f>IF(G$4="","",SUM(G8:G12))</f>
        <v>1127493216.1091738</v>
      </c>
      <c r="H13" s="329">
        <f t="shared" ref="H13:Q13" si="7">IF(H$4="","",SUM(H8:H12))</f>
        <v>1277816614.4187803</v>
      </c>
      <c r="I13" s="329">
        <f t="shared" si="7"/>
        <v>1062412130.3854173</v>
      </c>
      <c r="J13" s="329">
        <f t="shared" si="7"/>
        <v>795148016.00783026</v>
      </c>
      <c r="K13" s="329">
        <f t="shared" si="7"/>
        <v>660934604.6493268</v>
      </c>
      <c r="L13" s="329">
        <f t="shared" si="7"/>
        <v>515153421.90449965</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-261254039.89784044</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783762119.69352126</v>
      </c>
      <c r="D16" s="61"/>
      <c r="E16" s="276"/>
      <c r="F16" s="61"/>
      <c r="G16" s="329">
        <f>IF(G$4="","",SUM(G13:G15))</f>
        <v>866779085.10917377</v>
      </c>
      <c r="H16" s="329">
        <f t="shared" ref="H16:Q16" si="8">IF(H$4="","",SUM(H13:H15))</f>
        <v>988440204.41878033</v>
      </c>
      <c r="I16" s="329">
        <f t="shared" si="8"/>
        <v>838401783.38541734</v>
      </c>
      <c r="J16" s="329">
        <f t="shared" si="8"/>
        <v>641427250.00783026</v>
      </c>
      <c r="K16" s="329">
        <f t="shared" si="8"/>
        <v>523186439.6493268</v>
      </c>
      <c r="L16" s="329">
        <f t="shared" si="8"/>
        <v>413607956.90449965</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783762119.69352126</v>
      </c>
      <c r="D19" s="27"/>
      <c r="E19" s="265"/>
      <c r="F19" s="27"/>
      <c r="G19" s="334">
        <f>IF(G$4="","",G16+G17)</f>
        <v>866779085.10917377</v>
      </c>
      <c r="H19" s="334">
        <f t="shared" ref="H19:Q19" si="9">IF(H$4="","",H16+H17)</f>
        <v>988440204.41878033</v>
      </c>
      <c r="I19" s="334">
        <f t="shared" si="9"/>
        <v>838401783.38541734</v>
      </c>
      <c r="J19" s="334">
        <f t="shared" si="9"/>
        <v>641427250.00783026</v>
      </c>
      <c r="K19" s="334">
        <f t="shared" si="9"/>
        <v>523186439.6493268</v>
      </c>
      <c r="L19" s="334">
        <f t="shared" si="9"/>
        <v>413607956.90449965</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-4328934333.5839558</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-299493059.2724486</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-4628427392.8564043</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0.71905538293283389</v>
      </c>
      <c r="D28" s="26"/>
      <c r="E28" s="266" t="s">
        <v>333</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333</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-182442565.75</v>
      </c>
      <c r="E33" s="266" t="s">
        <v>333</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333</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345</v>
      </c>
      <c r="C48" s="328">
        <f>BS!D75*C53</f>
        <v>13985177.697766012</v>
      </c>
      <c r="E48" s="268"/>
      <c r="G48" s="337">
        <f>IFERROR(IF(G$4="","",($C$48/$C$49)*G49),0)</f>
        <v>20067766.109173693</v>
      </c>
      <c r="H48" s="337">
        <f t="shared" ref="H48:Q48" si="19">IFERROR(IF(H$4="","",($C$48/$C$49)*H49),0)</f>
        <v>16786936.418780401</v>
      </c>
      <c r="I48" s="337">
        <f t="shared" si="19"/>
        <v>17310849.385417301</v>
      </c>
      <c r="J48" s="337">
        <f t="shared" si="19"/>
        <v>9879810.0078302585</v>
      </c>
      <c r="K48" s="337">
        <f t="shared" si="19"/>
        <v>6858163.6493268209</v>
      </c>
      <c r="L48" s="337">
        <f t="shared" si="19"/>
        <v>3827612.9044996742</v>
      </c>
      <c r="M48" s="337">
        <f t="shared" si="19"/>
        <v>0</v>
      </c>
      <c r="N48" s="337">
        <f t="shared" si="19"/>
        <v>0</v>
      </c>
      <c r="O48" s="337">
        <f t="shared" si="19"/>
        <v>0</v>
      </c>
      <c r="P48" s="337">
        <f t="shared" si="19"/>
        <v>0</v>
      </c>
      <c r="Q48" s="337" t="str">
        <f t="shared" si="19"/>
        <v/>
      </c>
    </row>
    <row r="49" spans="1:17" ht="15.75" customHeight="1">
      <c r="A49" s="10"/>
      <c r="B49" s="287" t="s">
        <v>342</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7735570.6977660116</v>
      </c>
      <c r="E50" s="268"/>
      <c r="G50" s="329">
        <f>IF(G$4="","",(G47+G48))</f>
        <v>13818159.109173693</v>
      </c>
      <c r="H50" s="329">
        <f t="shared" ref="H50:Q50" si="20">IF(H$4="","",(H47+H48))</f>
        <v>12176685.418780401</v>
      </c>
      <c r="I50" s="329">
        <f t="shared" si="20"/>
        <v>15999426.385417301</v>
      </c>
      <c r="J50" s="329">
        <f t="shared" si="20"/>
        <v>9485582.0078302585</v>
      </c>
      <c r="K50" s="329">
        <f t="shared" si="20"/>
        <v>6784112.6493268209</v>
      </c>
      <c r="L50" s="329">
        <f t="shared" si="20"/>
        <v>3827612.9044996742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336</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195</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152</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164</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6.5756823821339946E-2</v>
      </c>
      <c r="E93" s="268"/>
      <c r="G93" s="23">
        <f t="shared" ref="G93:Q93" si="39">IF(G$4="","",G90/Market_Price)</f>
        <v>6.5756823821339946E-2</v>
      </c>
      <c r="H93" s="23">
        <f t="shared" si="39"/>
        <v>6.5756823821339946E-2</v>
      </c>
      <c r="I93" s="23">
        <f t="shared" si="39"/>
        <v>6.2034739454094288E-2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164</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8672531611.6100006</v>
      </c>
      <c r="D101" s="26"/>
      <c r="E101" s="269"/>
      <c r="F101" s="26"/>
      <c r="G101" s="333">
        <f t="shared" ref="G101:Q101" si="42">IF(G$4="","",G105+G104)</f>
        <v>8672531611.6100006</v>
      </c>
      <c r="H101" s="333">
        <f t="shared" si="42"/>
        <v>8628787997</v>
      </c>
      <c r="I101" s="333">
        <f t="shared" si="42"/>
        <v>7976614494</v>
      </c>
      <c r="J101" s="333">
        <f t="shared" si="42"/>
        <v>5950736130</v>
      </c>
      <c r="K101" s="333">
        <f t="shared" si="42"/>
        <v>5246920436</v>
      </c>
      <c r="L101" s="333">
        <f t="shared" si="42"/>
        <v>4677192094</v>
      </c>
      <c r="M101" s="333">
        <f t="shared" si="42"/>
        <v>3570534120</v>
      </c>
      <c r="N101" s="333">
        <f t="shared" si="42"/>
        <v>2922308439</v>
      </c>
      <c r="O101" s="333">
        <f t="shared" si="42"/>
        <v>2546084184</v>
      </c>
      <c r="P101" s="333">
        <f t="shared" si="42"/>
        <v>2510420855</v>
      </c>
      <c r="Q101" s="333" t="str">
        <f t="shared" si="42"/>
        <v/>
      </c>
    </row>
    <row r="102" spans="1:17" ht="15.75" customHeight="1">
      <c r="A102" s="10"/>
      <c r="B102" s="93" t="s">
        <v>210</v>
      </c>
      <c r="C102" s="345">
        <f>BS!C4</f>
        <v>1180157900.1600001</v>
      </c>
      <c r="D102" s="89"/>
      <c r="E102" s="270"/>
      <c r="F102" s="89"/>
      <c r="G102" s="346">
        <f>IF(G$4="","",Data!D77)</f>
        <v>851687201</v>
      </c>
      <c r="H102" s="346">
        <f>IF(H$4="","",Data!E77)</f>
        <v>790890033</v>
      </c>
      <c r="I102" s="346">
        <f>IF(I$4="","",Data!F77)</f>
        <v>567013771</v>
      </c>
      <c r="J102" s="346">
        <f>IF(J$4="","",Data!G77)</f>
        <v>458930449</v>
      </c>
      <c r="K102" s="346">
        <f>IF(K$4="","",Data!H77)</f>
        <v>595526269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2566018245.5700002</v>
      </c>
      <c r="D103" s="89"/>
      <c r="E103" s="270"/>
      <c r="F103" s="89"/>
      <c r="G103" s="346">
        <f>IF(G$4="","",Data!D78)</f>
        <v>2819492731</v>
      </c>
      <c r="H103" s="346">
        <f>IF(H$4="","",Data!E78)</f>
        <v>2459595915</v>
      </c>
      <c r="I103" s="346">
        <f>IF(I$4="","",Data!F78)</f>
        <v>1867069694</v>
      </c>
      <c r="J103" s="346">
        <f>IF(J$4="","",Data!G78)</f>
        <v>1603890018</v>
      </c>
      <c r="K103" s="346">
        <f>IF(K$4="","",Data!H78)</f>
        <v>1464309401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4208442385.48</v>
      </c>
      <c r="D104" s="26"/>
      <c r="E104" s="269"/>
      <c r="F104" s="26"/>
      <c r="G104" s="333">
        <f>Data!C79</f>
        <v>4208442385.48</v>
      </c>
      <c r="H104" s="333">
        <f>Data!D79</f>
        <v>4086723205</v>
      </c>
      <c r="I104" s="333">
        <f>Data!E79</f>
        <v>3962039491</v>
      </c>
      <c r="J104" s="333">
        <f>Data!F79</f>
        <v>2581011486</v>
      </c>
      <c r="K104" s="333">
        <f>Data!G79</f>
        <v>2275269694</v>
      </c>
      <c r="L104" s="333">
        <f>Data!H79</f>
        <v>2004846282</v>
      </c>
      <c r="M104" s="333">
        <f>Data!I79</f>
        <v>1560581012</v>
      </c>
      <c r="N104" s="333">
        <f>Data!J79</f>
        <v>1160274283</v>
      </c>
      <c r="O104" s="333">
        <f>Data!K79</f>
        <v>894522509</v>
      </c>
      <c r="P104" s="333">
        <f>Data!L79</f>
        <v>1020621379</v>
      </c>
      <c r="Q104" s="333" t="str">
        <f>Data!M79</f>
        <v/>
      </c>
    </row>
    <row r="105" spans="1:17" ht="15.75" customHeight="1">
      <c r="A105" s="10"/>
      <c r="B105" s="26" t="s">
        <v>30</v>
      </c>
      <c r="C105" s="344">
        <f>BS!G27</f>
        <v>4464089226.1300011</v>
      </c>
      <c r="D105" s="26"/>
      <c r="E105" s="269"/>
      <c r="F105" s="26"/>
      <c r="G105" s="333">
        <f>Data!C80</f>
        <v>4464089226.1300011</v>
      </c>
      <c r="H105" s="333">
        <f>Data!D80</f>
        <v>4542064792</v>
      </c>
      <c r="I105" s="333">
        <f>Data!E80</f>
        <v>4014575003</v>
      </c>
      <c r="J105" s="333">
        <f>Data!F80</f>
        <v>3369724644</v>
      </c>
      <c r="K105" s="333">
        <f>Data!G80</f>
        <v>2971650742</v>
      </c>
      <c r="L105" s="333">
        <f>Data!H80</f>
        <v>2672345812</v>
      </c>
      <c r="M105" s="333">
        <f>Data!I80</f>
        <v>2009953108</v>
      </c>
      <c r="N105" s="333">
        <f>Data!J80</f>
        <v>1762034156</v>
      </c>
      <c r="O105" s="333">
        <f>Data!K80</f>
        <v>1651561675</v>
      </c>
      <c r="P105" s="333">
        <f>Data!L80</f>
        <v>1489799476</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392</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0.173581864935303</v>
      </c>
      <c r="E117" s="268"/>
      <c r="G117" s="23">
        <f t="shared" ref="G117:Q117" si="45">IF(G4="","",IF(valuation_method="DDM",G13/(G4+G12),G81))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83</v>
      </c>
      <c r="C118" s="42">
        <f>IF(valuation_method="DDM",(C4+C12)/C101,C4/C101)</f>
        <v>0.69418106703013427</v>
      </c>
      <c r="E118" s="268"/>
      <c r="G118" s="42">
        <f t="shared" ref="G118:Q118" si="46">IF(G4="","",IF(valuation_method="DDM",(G4+G12)/G101,G4/G101))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91</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222</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269</v>
      </c>
      <c r="C125" s="77">
        <f>C19*Exchange_Rate*$C$3/(Market_Price*Common_Shares)</f>
        <v>8.434363515262415E-2</v>
      </c>
      <c r="D125" s="27"/>
      <c r="E125" s="265"/>
      <c r="F125" s="27"/>
      <c r="G125" s="77">
        <f t="shared" ref="G125" si="50">IF(G$4="","",G124/Market_Price)</f>
        <v>9.3277407870848678E-2</v>
      </c>
      <c r="H125" s="77">
        <f t="shared" ref="H125" si="51">IF(H$4="","",H124/Market_Price)</f>
        <v>0.10636982558468495</v>
      </c>
      <c r="I125" s="77">
        <f t="shared" ref="I125" si="52">IF(I$4="","",I124/Market_Price)</f>
        <v>9.0223618049849963E-2</v>
      </c>
      <c r="J125" s="77">
        <f t="shared" ref="J125" si="53">IF(J$4="","",J124/Market_Price)</f>
        <v>6.9026436200778113E-2</v>
      </c>
      <c r="K125" s="77">
        <f t="shared" ref="K125" si="54">IF(K$4="","",K124/Market_Price)</f>
        <v>5.6302090996485803E-2</v>
      </c>
      <c r="L125" s="77">
        <f t="shared" ref="L125" si="55">IF(L$4="","",L124/Market_Price)</f>
        <v>4.4509931951057749E-2</v>
      </c>
      <c r="M125" s="77">
        <f t="shared" ref="M125" si="56">IF(M$4="","",M124/Market_Price)</f>
        <v>2.6542492902793285E-2</v>
      </c>
      <c r="N125" s="77">
        <f t="shared" ref="N125" si="57">IF(N$4="","",N124/Market_Price)</f>
        <v>2.0760497843223202E-2</v>
      </c>
      <c r="O125" s="77">
        <f t="shared" ref="O125" si="58">IF(O$4="","",O124/Market_Price)</f>
        <v>2.0656956023195186E-2</v>
      </c>
      <c r="P125" s="77">
        <f t="shared" ref="P125" si="59">IF(P$4="","",P124/Market_Price)</f>
        <v>2.1269809406585072E-2</v>
      </c>
      <c r="Q125" s="77" t="str">
        <f t="shared" ref="Q125" si="60">IF(Q$4="","",Q124/Market_Price)</f>
        <v/>
      </c>
    </row>
    <row r="126" spans="1:17" ht="15.75" customHeight="1">
      <c r="B126" s="2" t="s">
        <v>394</v>
      </c>
      <c r="C126" s="169"/>
      <c r="G126" s="23">
        <f>IF(G$4="","",(Data!C47*$C$3)/(Market_Price*Common_Shares))</f>
        <v>9.1281398145084708E-2</v>
      </c>
      <c r="H126" s="23">
        <f>IF(H$4="","",(Data!D47*$C$3)/(Market_Price*Common_Shares))</f>
        <v>0.10848435691731365</v>
      </c>
      <c r="I126" s="23">
        <f>IF(I$4="","",(Data!E47*$C$3)/(Market_Price*Common_Shares))</f>
        <v>8.974117309592014E-2</v>
      </c>
      <c r="J126" s="23">
        <f>IF(J$4="","",(Data!F47*$C$3)/(Market_Price*Common_Shares))</f>
        <v>6.9626796049355497E-2</v>
      </c>
      <c r="K126" s="23">
        <f>IF(K$4="","",(Data!G47*$C$3)/(Market_Price*Common_Shares))</f>
        <v>5.5386956781528246E-2</v>
      </c>
      <c r="L126" s="23">
        <f>IF(L$4="","",(Data!H47*$C$3)/(Market_Price*Common_Shares))</f>
        <v>4.445278826996972E-2</v>
      </c>
      <c r="M126" s="23">
        <f>IF(M$4="","",(Data!I47*$C$3)/(Market_Price*Common_Shares))</f>
        <v>2.6308967686415361E-2</v>
      </c>
      <c r="N126" s="23">
        <f>IF(N$4="","",(Data!J47*$C$3)/(Market_Price*Common_Shares))</f>
        <v>2.2163787428080985E-2</v>
      </c>
      <c r="O126" s="23">
        <f>IF(O$4="","",(Data!K47*$C$3)/(Market_Price*Common_Shares))</f>
        <v>1.71907652655874E-2</v>
      </c>
      <c r="P126" s="23">
        <f>IF(P$4="","",(Data!L47*$C$3)/(Market_Price*Common_Shares))</f>
        <v>1.5346987459387137E-2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783762119.69352126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13062701994.892021</v>
      </c>
      <c r="D6" t="str">
        <f>Reporting_currency</f>
        <v>CNY</v>
      </c>
      <c r="E6" s="364" t="s">
        <v>249</v>
      </c>
      <c r="F6" s="364"/>
      <c r="H6" s="120"/>
    </row>
    <row r="7" spans="2:8">
      <c r="B7" s="148" t="s">
        <v>224</v>
      </c>
      <c r="C7" s="338">
        <f>BS!G31</f>
        <v>270317959.52999997</v>
      </c>
      <c r="D7" t="str">
        <f>Reporting_currency</f>
        <v>CNY</v>
      </c>
      <c r="E7" s="364"/>
      <c r="F7" s="364"/>
      <c r="H7" s="120"/>
    </row>
    <row r="8" spans="2:8">
      <c r="B8" s="148" t="s">
        <v>225</v>
      </c>
      <c r="C8" s="338">
        <f>BS!D66</f>
        <v>790701386.39893258</v>
      </c>
      <c r="D8" t="str">
        <f>Reporting_currency</f>
        <v>CNY</v>
      </c>
      <c r="E8" s="364"/>
      <c r="F8" s="364"/>
      <c r="H8" s="120"/>
    </row>
    <row r="9" spans="2:8">
      <c r="B9" s="205" t="s">
        <v>190</v>
      </c>
      <c r="C9" s="348">
        <f>BS!H42</f>
        <v>30193430.795999996</v>
      </c>
      <c r="D9" t="str">
        <f>Reporting_currency</f>
        <v>CNY</v>
      </c>
      <c r="E9" s="364"/>
      <c r="F9" s="364"/>
      <c r="H9" s="120"/>
    </row>
    <row r="10" spans="2:8" ht="13.15">
      <c r="B10" s="149" t="s">
        <v>227</v>
      </c>
      <c r="C10" s="347">
        <f>C6-C7+C8+C9</f>
        <v>13613278852.556953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23.615428128302636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5.6617154223326201E-2</v>
      </c>
      <c r="H16" s="120"/>
    </row>
    <row r="17" spans="2:17" ht="13.25" customHeight="1">
      <c r="B17" s="118" t="s">
        <v>134</v>
      </c>
      <c r="C17" s="162">
        <f>Scenarios!C64</f>
        <v>5</v>
      </c>
      <c r="H17" s="120"/>
    </row>
    <row r="18" spans="2:17" ht="13.25" customHeight="1">
      <c r="B18" s="153" t="s">
        <v>106</v>
      </c>
      <c r="C18" s="140">
        <f>(F52-C7+C8+C9)*Exchange_Rate/Common_Shares*scaling_factor</f>
        <v>25.580208888730507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17">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17">
      <c r="B23" s="122">
        <v>3</v>
      </c>
      <c r="C23" s="123">
        <f t="shared" si="2"/>
        <v>924564557.76678765</v>
      </c>
      <c r="D23" s="138">
        <f>IF($C$17&lt;B23,0,DCF!$C$16)</f>
        <v>5.6617154223326201E-2</v>
      </c>
      <c r="E23" s="124">
        <f t="shared" si="0"/>
        <v>0.8396192830323016</v>
      </c>
      <c r="F23" s="125">
        <f t="shared" si="1"/>
        <v>776282231.1092273</v>
      </c>
      <c r="G23" s="338"/>
      <c r="H23" s="339"/>
      <c r="I23" s="338"/>
      <c r="J23" s="338"/>
      <c r="K23" s="338"/>
      <c r="L23" s="338"/>
      <c r="M23" s="338"/>
      <c r="N23" s="338"/>
      <c r="O23" s="338"/>
      <c r="P23" s="338"/>
      <c r="Q23" s="338"/>
    </row>
    <row r="24" spans="2:17">
      <c r="B24" s="122">
        <v>4</v>
      </c>
      <c r="C24" s="123">
        <f t="shared" si="2"/>
        <v>976910771.92329133</v>
      </c>
      <c r="D24" s="138">
        <f>IF($C$17&lt;B24,0,DCF!$C$16)</f>
        <v>5.6617154223326201E-2</v>
      </c>
      <c r="E24" s="124">
        <f t="shared" si="0"/>
        <v>0.79209366323802044</v>
      </c>
      <c r="F24" s="125">
        <f t="shared" si="1"/>
        <v>773804831.98940206</v>
      </c>
      <c r="G24" s="338"/>
      <c r="H24" s="339"/>
      <c r="I24" s="338"/>
      <c r="J24" s="338"/>
      <c r="K24" s="338"/>
      <c r="L24" s="338"/>
      <c r="M24" s="338"/>
      <c r="N24" s="338"/>
      <c r="O24" s="338"/>
      <c r="P24" s="338"/>
      <c r="Q24" s="338"/>
    </row>
    <row r="25" spans="2:17">
      <c r="B25" s="122">
        <v>5</v>
      </c>
      <c r="C25" s="123">
        <f t="shared" si="2"/>
        <v>1032220679.7597009</v>
      </c>
      <c r="D25" s="138">
        <f>IF($C$17&lt;B25,0,DCF!$C$16)</f>
        <v>5.6617154223326201E-2</v>
      </c>
      <c r="E25" s="124">
        <f t="shared" si="0"/>
        <v>0.74725817286605689</v>
      </c>
      <c r="F25" s="125">
        <f t="shared" si="1"/>
        <v>771335339.15179336</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13802275008.310175</v>
      </c>
      <c r="D51" s="139">
        <f>Terminal_Growth</f>
        <v>0</v>
      </c>
      <c r="E51" s="124">
        <f>1/(1+Equity_Cost)^C17</f>
        <v>0.74725817286605689</v>
      </c>
      <c r="F51" s="125">
        <f t="shared" si="1"/>
        <v>10313862804.104702</v>
      </c>
      <c r="H51" s="120"/>
    </row>
    <row r="52" spans="1:17">
      <c r="C52" s="114"/>
      <c r="E52" s="127" t="s">
        <v>100</v>
      </c>
      <c r="F52" s="137">
        <f>SUM(F21:F51)</f>
        <v>14195313617.70599</v>
      </c>
      <c r="H52" s="120"/>
    </row>
    <row r="53" spans="1:17">
      <c r="C53" s="114"/>
      <c r="H53" s="120"/>
    </row>
    <row r="54" spans="1:17" ht="13.15">
      <c r="B54" s="119" t="s">
        <v>129</v>
      </c>
      <c r="C54" s="136"/>
      <c r="D54" s="136"/>
      <c r="E54" s="117"/>
      <c r="F54" s="117"/>
      <c r="H54" s="120"/>
    </row>
    <row r="55" spans="1:17" ht="13.15">
      <c r="A55" s="133">
        <f>F52</f>
        <v>14195313617.70599</v>
      </c>
      <c r="B55" s="131">
        <f>C78</f>
        <v>0</v>
      </c>
      <c r="C55" s="131">
        <f>C77</f>
        <v>0.01</v>
      </c>
      <c r="D55" s="131">
        <f>C76</f>
        <v>0.05</v>
      </c>
      <c r="E55" s="131">
        <f>C75</f>
        <v>0.09</v>
      </c>
      <c r="F55" s="131">
        <f>C74</f>
        <v>0.1</v>
      </c>
      <c r="H55" s="120"/>
    </row>
    <row r="56" spans="1:17" ht="13.15">
      <c r="A56" s="143">
        <v>5</v>
      </c>
      <c r="B56" s="123">
        <f t="dataTable" ref="B56:F61" dt2D="1" dtr="1" r1="C16" r2="C17"/>
        <v>13062701994.892017</v>
      </c>
      <c r="C56" s="123">
        <v>13256751368.951902</v>
      </c>
      <c r="D56" s="123">
        <v>14058557488.471428</v>
      </c>
      <c r="E56" s="123">
        <v>14904084965.24864</v>
      </c>
      <c r="F56" s="123">
        <v>15122744232.940859</v>
      </c>
      <c r="H56" s="120"/>
    </row>
    <row r="57" spans="1:17" ht="13.15">
      <c r="A57" s="143">
        <v>10</v>
      </c>
      <c r="B57" s="123">
        <v>13062701994.892015</v>
      </c>
      <c r="C57" s="123">
        <v>13433665379.410797</v>
      </c>
      <c r="D57" s="123">
        <v>15101099148.808468</v>
      </c>
      <c r="E57" s="123">
        <v>17117933714.683388</v>
      </c>
      <c r="F57" s="123">
        <v>17686669309.945793</v>
      </c>
      <c r="H57" s="120"/>
    </row>
    <row r="58" spans="1:17" ht="13.15">
      <c r="A58" s="143">
        <v>15</v>
      </c>
      <c r="B58" s="123">
        <v>13062701994.892014</v>
      </c>
      <c r="C58" s="341">
        <v>13667588593.43734</v>
      </c>
      <c r="D58" s="123">
        <v>16630185052.083202</v>
      </c>
      <c r="E58" s="123">
        <v>20745644672.990433</v>
      </c>
      <c r="F58" s="123">
        <v>22010314408.807312</v>
      </c>
      <c r="G58" s="338"/>
      <c r="H58" s="339"/>
      <c r="I58" s="338"/>
      <c r="J58" s="338"/>
      <c r="K58" s="338"/>
      <c r="L58" s="338"/>
      <c r="M58" s="338"/>
      <c r="N58" s="338"/>
      <c r="O58" s="338"/>
      <c r="P58" s="338"/>
      <c r="Q58" s="338"/>
    </row>
    <row r="59" spans="1:17" ht="13.15">
      <c r="A59" s="144">
        <v>20</v>
      </c>
      <c r="B59" s="123">
        <v>13062701994.892012</v>
      </c>
      <c r="C59" s="341">
        <v>13922280236.862001</v>
      </c>
      <c r="D59" s="123">
        <v>18488127223.865643</v>
      </c>
      <c r="E59" s="123">
        <v>25725390200.092201</v>
      </c>
      <c r="F59" s="123">
        <v>28138817927.979591</v>
      </c>
      <c r="G59" s="338"/>
      <c r="H59" s="339"/>
      <c r="I59" s="338"/>
      <c r="J59" s="338"/>
      <c r="K59" s="338"/>
      <c r="L59" s="338"/>
      <c r="M59" s="338"/>
      <c r="N59" s="338"/>
      <c r="O59" s="338"/>
      <c r="P59" s="338"/>
      <c r="Q59" s="338"/>
    </row>
    <row r="60" spans="1:17" ht="13.15">
      <c r="A60" s="144">
        <v>25</v>
      </c>
      <c r="B60" s="123">
        <v>13062701994.892012</v>
      </c>
      <c r="C60" s="341">
        <v>14175344804.62105</v>
      </c>
      <c r="D60" s="123">
        <v>20558699064.309685</v>
      </c>
      <c r="E60" s="123">
        <v>32055222180.304966</v>
      </c>
      <c r="F60" s="123">
        <v>36205586897.343864</v>
      </c>
      <c r="G60" s="338"/>
      <c r="H60" s="339"/>
      <c r="I60" s="338"/>
      <c r="J60" s="338"/>
      <c r="K60" s="338"/>
      <c r="L60" s="338"/>
      <c r="M60" s="338"/>
      <c r="N60" s="338"/>
      <c r="O60" s="338"/>
      <c r="P60" s="338"/>
      <c r="Q60" s="338"/>
    </row>
    <row r="61" spans="1:17" ht="13.15">
      <c r="A61" s="144">
        <v>30</v>
      </c>
      <c r="B61" s="123">
        <v>13062701994.892008</v>
      </c>
      <c r="C61" s="341">
        <v>14413727115.698677</v>
      </c>
      <c r="D61" s="123">
        <v>22756581938.206429</v>
      </c>
      <c r="E61" s="123">
        <v>39784564832.854187</v>
      </c>
      <c r="F61" s="123">
        <v>46430268757.777794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611044420</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10184073666.666668</v>
      </c>
      <c r="D6" t="str">
        <f>Reporting_currency</f>
        <v>CNY</v>
      </c>
      <c r="E6" s="364"/>
      <c r="F6" s="364"/>
      <c r="H6" s="120"/>
    </row>
    <row r="7" spans="2:8" ht="13.15">
      <c r="B7" s="149" t="s">
        <v>444</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5.6617154223326201E-2</v>
      </c>
      <c r="H11" s="120"/>
    </row>
    <row r="12" spans="2:8" ht="13.25" customHeight="1">
      <c r="B12" s="118" t="s">
        <v>134</v>
      </c>
      <c r="C12" s="162">
        <f>Scenarios!C64</f>
        <v>5</v>
      </c>
      <c r="H12" s="120"/>
    </row>
    <row r="13" spans="2:8" ht="13.25" customHeight="1">
      <c r="B13" s="153" t="s">
        <v>106</v>
      </c>
      <c r="C13" s="140">
        <f>F47/Common_Shares*scaling_factor</f>
        <v>19.198468587193613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c r="B18" s="122">
        <v>3</v>
      </c>
      <c r="C18" s="123">
        <f t="shared" si="2"/>
        <v>720818217.3617661</v>
      </c>
      <c r="D18" s="138">
        <f>IF($C$12&lt;B18,0,DDM!$C$11)</f>
        <v>5.6617154223326201E-2</v>
      </c>
      <c r="E18" s="124">
        <f t="shared" si="0"/>
        <v>0.8396192830323016</v>
      </c>
      <c r="F18" s="125">
        <f t="shared" si="1"/>
        <v>605212874.85790777</v>
      </c>
      <c r="H18" s="120"/>
    </row>
    <row r="19" spans="2:8">
      <c r="B19" s="122">
        <v>4</v>
      </c>
      <c r="C19" s="123">
        <f t="shared" si="2"/>
        <v>761628893.54112041</v>
      </c>
      <c r="D19" s="138">
        <f>IF($C$12&lt;B19,0,DDM!$C$11)</f>
        <v>5.6617154223326201E-2</v>
      </c>
      <c r="E19" s="124">
        <f t="shared" si="0"/>
        <v>0.79209366323802044</v>
      </c>
      <c r="F19" s="125">
        <f t="shared" si="1"/>
        <v>603281420.31290638</v>
      </c>
      <c r="H19" s="120"/>
    </row>
    <row r="20" spans="2:8">
      <c r="B20" s="122">
        <v>5</v>
      </c>
      <c r="C20" s="123">
        <f t="shared" si="2"/>
        <v>804750154.06767929</v>
      </c>
      <c r="D20" s="138">
        <f>IF($C$12&lt;B20,0,DDM!$C$11)</f>
        <v>5.6617154223326201E-2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10760666936.074049</v>
      </c>
      <c r="D46" s="139">
        <f>Terminal_Growth</f>
        <v>0</v>
      </c>
      <c r="E46" s="124">
        <f>1/(1+Equity_Cost)^C12</f>
        <v>0.74725817286605689</v>
      </c>
      <c r="F46" s="125">
        <f t="shared" si="1"/>
        <v>8040996313.4708843</v>
      </c>
      <c r="H46" s="120"/>
    </row>
    <row r="47" spans="2:8">
      <c r="C47" s="114"/>
      <c r="E47" s="127" t="s">
        <v>100</v>
      </c>
      <c r="F47" s="137">
        <f>SUM(F16:F46)</f>
        <v>11067091606.367868</v>
      </c>
      <c r="H47" s="120"/>
    </row>
    <row r="48" spans="2:8">
      <c r="C48" s="114"/>
      <c r="H48" s="120"/>
    </row>
    <row r="49" spans="1:8" ht="13.15">
      <c r="B49" s="119" t="s">
        <v>129</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-16.12</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26.644938697660866</v>
      </c>
    </row>
    <row r="7" spans="2:9" ht="12.75" customHeight="1">
      <c r="B7" s="100" t="s">
        <v>275</v>
      </c>
      <c r="C7" s="338">
        <f>Normalized_FCF!G8</f>
        <v>1113675057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6"/>
      <c r="H7" s="247">
        <v>4</v>
      </c>
      <c r="I7" s="124" t="str">
        <f t="shared" si="0"/>
        <v/>
      </c>
    </row>
    <row r="8" spans="2:9">
      <c r="B8" s="100" t="s">
        <v>66</v>
      </c>
      <c r="C8" s="338">
        <f>Normalized_FCF!G19</f>
        <v>866779085.10917377</v>
      </c>
      <c r="D8" t="str">
        <f>Reporting_currency</f>
        <v>CNY</v>
      </c>
      <c r="E8" s="366"/>
      <c r="F8" s="366"/>
      <c r="H8" s="247">
        <v>5</v>
      </c>
      <c r="I8" s="124" t="str">
        <f t="shared" si="0"/>
        <v/>
      </c>
    </row>
    <row r="9" spans="2:9">
      <c r="B9" s="100" t="s">
        <v>57</v>
      </c>
      <c r="C9" s="338">
        <f>Normalized_FCF!C19</f>
        <v>783762119.69352126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9.6365877843450409E-2</v>
      </c>
      <c r="D12" s="158"/>
      <c r="E12" s="366"/>
      <c r="F12" s="366"/>
      <c r="H12" s="247">
        <v>9</v>
      </c>
      <c r="I12" s="124" t="str">
        <f t="shared" si="0"/>
        <v/>
      </c>
    </row>
    <row r="13" spans="2:9">
      <c r="B13" s="148" t="s">
        <v>152</v>
      </c>
      <c r="C13" s="158">
        <f ca="1">(Normalized_FCF!G8/OFFSET(Normalized_FCF!G8, 0, $C$4))^(1/$C$4) - 1</f>
        <v>0.12333037284725878</v>
      </c>
      <c r="E13" s="366"/>
      <c r="F13" s="366"/>
      <c r="H13" s="247">
        <v>10</v>
      </c>
      <c r="I13" s="124" t="str">
        <f t="shared" si="0"/>
        <v/>
      </c>
    </row>
    <row r="14" spans="2:9">
      <c r="B14" s="100" t="s">
        <v>66</v>
      </c>
      <c r="C14" s="158">
        <f ca="1">(Normalized_FCF!G19/OFFSET(Normalized_FCF!G19, 0, $C$4))^(1/$C$4) - 1</f>
        <v>0.10557193538775511</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16.12</v>
      </c>
      <c r="D21" t="str">
        <f>Market_currency</f>
        <v>CNY</v>
      </c>
      <c r="E21" s="367"/>
      <c r="F21" s="367"/>
    </row>
    <row r="22" spans="2:6">
      <c r="B22" s="100" t="s">
        <v>278</v>
      </c>
      <c r="C22" s="160">
        <f>IF(valuation_method="DCF",DCF!C12,DDM!C7)</f>
        <v>23.615428128302636</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0.05</v>
      </c>
      <c r="D26" s="164"/>
      <c r="E26" s="365"/>
      <c r="F26" s="365"/>
    </row>
    <row r="27" spans="2:6">
      <c r="B27" s="100" t="s">
        <v>113</v>
      </c>
      <c r="C27" s="160">
        <f>IF(valuation_method="DCF",DCF!E76,DDM!E71)</f>
        <v>25.342973276647452</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23.952052324140109</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0.09</v>
      </c>
      <c r="D38" s="164"/>
      <c r="E38" s="365"/>
      <c r="F38" s="365"/>
    </row>
    <row r="39" spans="2:6">
      <c r="B39" s="100" t="s">
        <v>113</v>
      </c>
      <c r="C39" s="160">
        <f>IF(valuation_method="DCF",DCF!E75,DDM!E70)</f>
        <v>26.809739187681949</v>
      </c>
      <c r="D39" t="str">
        <f>Market_currency</f>
        <v>CNY</v>
      </c>
      <c r="E39" s="365"/>
      <c r="F39" s="365"/>
    </row>
    <row r="40" spans="2:6">
      <c r="B40" s="100" t="s">
        <v>147</v>
      </c>
      <c r="C40" s="167">
        <f>1-C28-C34</f>
        <v>0.2</v>
      </c>
      <c r="D40" s="165"/>
      <c r="E40" s="365"/>
      <c r="F40" s="365"/>
    </row>
    <row r="42" spans="2:6" ht="13.15">
      <c r="B42" s="100" t="s">
        <v>120</v>
      </c>
      <c r="C42" s="154">
        <f>C27*C28+C33*C34+C39*C40</f>
        <v>25.358142268352882</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23.615428128302629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0.1</v>
      </c>
      <c r="D56" s="164"/>
      <c r="E56" s="365"/>
      <c r="F56" s="365"/>
    </row>
    <row r="57" spans="2:6">
      <c r="B57" s="100" t="s">
        <v>113</v>
      </c>
      <c r="C57" s="160">
        <f>IF(valuation_method="DCF",DCF!E74,DDM!E69)</f>
        <v>31.63678499456287</v>
      </c>
      <c r="D57" t="str">
        <f>Market_currency</f>
        <v>CNY</v>
      </c>
      <c r="E57" s="365"/>
      <c r="F57" s="365"/>
    </row>
    <row r="58" spans="2:6">
      <c r="B58" s="100" t="s">
        <v>147</v>
      </c>
      <c r="C58" s="165">
        <v>0.05</v>
      </c>
      <c r="D58" s="165"/>
      <c r="E58" s="365"/>
      <c r="F58" s="365"/>
    </row>
    <row r="60" spans="2:6" ht="13.15">
      <c r="B60" s="100" t="s">
        <v>120</v>
      </c>
      <c r="C60" s="154">
        <f>C51*C52+C57*C58+C42*(1-C52-C58)</f>
        <v>25.584938697660867</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5.6617154223326201E-2</v>
      </c>
      <c r="D65" s="151"/>
      <c r="E65" s="251" t="s">
        <v>312</v>
      </c>
    </row>
    <row r="66" spans="2:6">
      <c r="B66" s="100" t="s">
        <v>102</v>
      </c>
      <c r="C66" s="160">
        <f>IF(valuation_method="DCF",DCF!C18,DDM!C13)</f>
        <v>25.580208888730507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3.7330744802016626E-2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10.705085959638616</v>
      </c>
      <c r="D82" s="116"/>
    </row>
    <row r="83" spans="2:8" ht="13.15">
      <c r="B83" s="110" t="s">
        <v>101</v>
      </c>
      <c r="C83" s="111">
        <f>C81+C82</f>
        <v>12.534408209968158</v>
      </c>
      <c r="D83" t="str">
        <f>Market_currency</f>
        <v>CNY</v>
      </c>
      <c r="E83" s="146" t="s">
        <v>126</v>
      </c>
      <c r="F83" s="291">
        <f>(1-C83/C60)</f>
        <v>0.51008644741782672</v>
      </c>
    </row>
    <row r="84" spans="2:8">
      <c r="E84" s="120"/>
    </row>
    <row r="85" spans="2:8" ht="13.15">
      <c r="B85" s="109" t="s">
        <v>302</v>
      </c>
    </row>
    <row r="86" spans="2:8">
      <c r="B86" s="148" t="s">
        <v>300</v>
      </c>
      <c r="C86" s="116">
        <f>Market_Price</f>
        <v>16.12</v>
      </c>
      <c r="D86" t="str">
        <f>Market_currency</f>
        <v>CNY</v>
      </c>
    </row>
    <row r="87" spans="2:8" ht="13.15">
      <c r="B87" s="100" t="s">
        <v>298</v>
      </c>
      <c r="C87" s="237">
        <f ca="1">IRR(OFFSET($I$3, 0, 0, $C$76 + 1, 1))</f>
        <v>0.22356543697419196</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15.297914307657322</v>
      </c>
      <c r="D92" s="116"/>
    </row>
    <row r="93" spans="2:8" ht="13.15">
      <c r="B93" s="110" t="s">
        <v>101</v>
      </c>
      <c r="C93" s="111">
        <f>C91+C92</f>
        <v>17.577047192866189</v>
      </c>
      <c r="D93" t="str">
        <f>Market_currency</f>
        <v>CNY</v>
      </c>
      <c r="E93" s="146" t="s">
        <v>126</v>
      </c>
      <c r="F93" s="291">
        <f>(1-C93/C60)</f>
        <v>0.31299240539227124</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21.481607885755405</v>
      </c>
      <c r="D98" s="116"/>
      <c r="G98" s="2"/>
      <c r="H98" s="281"/>
    </row>
    <row r="99" spans="2:8" ht="13.15">
      <c r="B99" s="110" t="s">
        <v>398</v>
      </c>
      <c r="C99" s="111">
        <f>C97+C98</f>
        <v>24.315000552184742</v>
      </c>
      <c r="D99" t="s">
        <v>396</v>
      </c>
      <c r="E99" s="146" t="s">
        <v>126</v>
      </c>
      <c r="F99" s="291">
        <f>(1-C99/C60)</f>
        <v>4.9636161355830488E-2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19.920294213679817</v>
      </c>
      <c r="D104" s="116"/>
    </row>
    <row r="105" spans="2:8" ht="13.15">
      <c r="B105" s="110" t="s">
        <v>398</v>
      </c>
      <c r="C105" s="111">
        <f>C103+C104</f>
        <v>22.61787767563613</v>
      </c>
      <c r="D105" t="s">
        <v>396</v>
      </c>
      <c r="E105" s="146" t="s">
        <v>126</v>
      </c>
      <c r="F105" s="291">
        <f>(1-C105/C66)</f>
        <v>0.11580559118887601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