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7CB53DB-FB41-4A28-8212-5B816EBE2269}" xr6:coauthVersionLast="47" xr6:coauthVersionMax="47" xr10:uidLastSave="{00000000-0000-0000-0000-000000000000}"/>
  <bookViews>
    <workbookView xWindow="1837" yWindow="1837" windowWidth="12691"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<sst xmlns="http://schemas.openxmlformats.org/spreadsheetml/2006/main" count="768" uniqueCount="557">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</sst>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18.940000000000001</v>
      </c>
      <c r="E8" s="32"/>
    </row>
    <row r="9" spans="1:9">
      <c r="B9" s="4" t="s">
        <v>344</v>
      </c>
      <c r="C9" s="48">
        <v>576457000</v>
      </c>
    </row>
    <row r="10" spans="1:9">
      <c r="B10" s="4" t="s">
        <v>350</v>
      </c>
      <c r="C10" s="33">
        <f>Thesis!C8*Common_Shares/1000000</f>
        <v>10918.095579999999</v>
      </c>
      <c r="D10" s="1" t="s">
        <v>525</v>
      </c>
      <c r="E10" s="303">
        <f>Scenarios!F34</f>
        <v>0.10695957994652308</v>
      </c>
    </row>
    <row r="11" spans="1:9">
      <c r="D11" s="5"/>
      <c r="E11" s="5"/>
    </row>
    <row r="12" spans="1:9" ht="24.5" customHeight="1">
      <c r="B12" s="461" t="s">
        <v>353</v>
      </c>
      <c r="C12" s="461"/>
      <c r="D12" s="461"/>
      <c r="E12" s="461"/>
      <c r="F12" s="461"/>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1" t="s">
        <v>354</v>
      </c>
      <c r="C29" s="461"/>
      <c r="D29" s="461"/>
      <c r="E29" s="461"/>
      <c r="F29" s="461"/>
    </row>
    <row r="30" spans="1:6" ht="24.5" customHeight="1">
      <c r="B30" s="463" t="s">
        <v>266</v>
      </c>
      <c r="C30" s="463"/>
      <c r="D30" s="463"/>
      <c r="E30" s="463"/>
      <c r="F30" s="463"/>
    </row>
    <row r="32" spans="1:6">
      <c r="B32" s="192" t="s">
        <v>195</v>
      </c>
      <c r="C32" s="105">
        <f>scaling_factor</f>
        <v>1</v>
      </c>
    </row>
    <row r="33" spans="2:6" ht="24.5" customHeight="1">
      <c r="B33" s="462" t="s">
        <v>196</v>
      </c>
      <c r="C33" s="462"/>
      <c r="D33" s="462"/>
      <c r="E33" s="462"/>
      <c r="F33" s="462"/>
    </row>
    <row r="34" spans="2:6">
      <c r="B34" s="44" t="s">
        <v>197</v>
      </c>
      <c r="C34" s="285">
        <f>Normalized_FCF!C8</f>
        <v>1079571875.5988722</v>
      </c>
      <c r="D34" s="1" t="str">
        <f>Reporting_currency</f>
        <v>CNY</v>
      </c>
    </row>
    <row r="35" spans="2:6">
      <c r="B35" s="44"/>
      <c r="C35" s="73"/>
    </row>
    <row r="36" spans="2:6" ht="24.5" customHeight="1">
      <c r="B36" s="462" t="s">
        <v>198</v>
      </c>
      <c r="C36" s="462"/>
      <c r="D36" s="462"/>
      <c r="E36" s="462"/>
      <c r="F36" s="462"/>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-268306202.34061834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7.3723352312130522E-2</v>
      </c>
      <c r="F62" s="257"/>
    </row>
    <row r="63" spans="2:6">
      <c r="B63" s="204" t="s">
        <v>330</v>
      </c>
      <c r="C63" s="89">
        <f>Normalized_FCF!C92</f>
        <v>5.59662090813094E-2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1" t="s">
        <v>476</v>
      </c>
      <c r="C73" s="461"/>
      <c r="D73" s="461"/>
      <c r="E73" s="461"/>
      <c r="F73" s="461"/>
    </row>
    <row r="74" spans="1:6">
      <c r="A74" s="191"/>
      <c r="B74" s="1" t="s">
        <v>463</v>
      </c>
    </row>
    <row r="75" spans="1:6">
      <c r="A75" s="191"/>
    </row>
    <row r="76" spans="1:6">
      <c r="A76" s="191"/>
      <c r="B76" s="192" t="s">
        <v>195</v>
      </c>
    </row>
    <row r="77" spans="1:6">
      <c r="A77" s="191"/>
      <c r="B77" s="461" t="s">
        <v>271</v>
      </c>
      <c r="C77" s="461"/>
      <c r="D77" s="461"/>
      <c r="E77" s="461"/>
      <c r="F77" s="461"/>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1" t="s">
        <v>483</v>
      </c>
      <c r="C96" s="461"/>
      <c r="D96" s="461"/>
      <c r="E96" s="461"/>
      <c r="F96" s="461"/>
    </row>
    <row r="97" spans="2:6">
      <c r="B97" s="463" t="s">
        <v>482</v>
      </c>
      <c r="C97" s="463"/>
      <c r="D97" s="463"/>
      <c r="E97" s="463"/>
      <c r="F97" s="463"/>
    </row>
    <row r="98" spans="2:6">
      <c r="B98" s="463" t="s">
        <v>481</v>
      </c>
      <c r="C98" s="463"/>
      <c r="D98" s="463"/>
      <c r="E98" s="463"/>
      <c r="F98" s="463"/>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1" t="s">
        <v>489</v>
      </c>
      <c r="C114" s="461"/>
      <c r="D114" s="461"/>
      <c r="E114" s="461"/>
      <c r="F114" s="461"/>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2" t="s">
        <v>355</v>
      </c>
      <c r="C124" s="462"/>
      <c r="D124" s="462"/>
      <c r="E124" s="462"/>
      <c r="F124" s="462"/>
    </row>
    <row r="125" spans="2:6">
      <c r="B125" s="193" t="s">
        <v>218</v>
      </c>
      <c r="C125" s="197">
        <f>Scenarios!C36</f>
        <v>22.158401911290397</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4" t="s">
        <v>285</v>
      </c>
      <c r="C131" s="464"/>
      <c r="D131" s="464"/>
      <c r="E131" s="464"/>
      <c r="F131" s="464"/>
    </row>
    <row r="132" spans="1:6">
      <c r="B132" s="461" t="s">
        <v>357</v>
      </c>
      <c r="C132" s="461"/>
      <c r="D132" s="461"/>
      <c r="E132" s="461"/>
      <c r="F132" s="461"/>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8" t="s">
        <v>358</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436</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5.59662090813094E-2</v>
      </c>
      <c r="E92" s="237"/>
      <c r="G92" s="22">
        <f t="shared" ref="G92:Q92" si="38">IF(G$4="","",(G88*(1-dividend_tax_rate))/Market_Price)</f>
        <v>5.59662090813094E-2</v>
      </c>
      <c r="H92" s="22">
        <f t="shared" si="38"/>
        <v>5.59662090813094E-2</v>
      </c>
      <c r="I92" s="22">
        <f t="shared" si="38"/>
        <v>5.2798310454065467E-2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7.3723352312130522E-2</v>
      </c>
      <c r="D124" s="26"/>
      <c r="E124" s="234"/>
      <c r="F124" s="26"/>
      <c r="G124" s="74">
        <f t="shared" ref="G124" si="49">IF(G$4="","",G123/Market_Price)</f>
        <v>7.9344544966508432E-2</v>
      </c>
      <c r="H124" s="74">
        <f t="shared" ref="H124" si="50">IF(H$4="","",H123/Market_Price)</f>
        <v>9.0494920139868221E-2</v>
      </c>
      <c r="I124" s="74">
        <f t="shared" ref="I124" si="51">IF(I$4="","",I123/Market_Price)</f>
        <v>7.6751575070100261E-2</v>
      </c>
      <c r="J124" s="74">
        <f t="shared" ref="J124" si="52">IF(J$4="","",J123/Market_Price)</f>
        <v>5.8727010625922546E-2</v>
      </c>
      <c r="K124" s="74">
        <f t="shared" ref="K124" si="53">IF(K$4="","",K123/Market_Price)</f>
        <v>4.7903935620107474E-2</v>
      </c>
      <c r="L124" s="74">
        <f t="shared" ref="L124" si="54">IF(L$4="","",L123/Market_Price)</f>
        <v>3.7874272247007665E-2</v>
      </c>
      <c r="M124" s="74">
        <f t="shared" ref="M124" si="55">IF(M$4="","",M123/Market_Price)</f>
        <v>2.2590548341764927E-2</v>
      </c>
      <c r="N124" s="74">
        <f t="shared" ref="N124" si="56">IF(N$4="","",N123/Market_Price)</f>
        <v>1.7669441670156178E-2</v>
      </c>
      <c r="O124" s="74">
        <f t="shared" ref="O124" si="57">IF(O$4="","",O123/Market_Price)</f>
        <v>1.7581316319636029E-2</v>
      </c>
      <c r="P124" s="74">
        <f t="shared" ref="P124" si="58">IF(P$4="","",P123/Market_Price)</f>
        <v>1.8102921205604614E-2</v>
      </c>
      <c r="Q124" s="74" t="str">
        <f t="shared" ref="Q124" si="59">IF(Q$4="","",Q123/Market_Price)</f>
        <v/>
      </c>
    </row>
    <row r="125" spans="1:17" ht="15.75" customHeight="1">
      <c r="B125" s="2" t="s">
        <v>306</v>
      </c>
      <c r="C125" s="151"/>
      <c r="G125" s="22">
        <f>IF(G$4="","",(Data!C47*$C$3)/(Market_Price*Common_Shares))</f>
        <v>7.7690397998878849E-2</v>
      </c>
      <c r="H125" s="22">
        <f>IF(H$4="","",(Data!D47*$C$3)/(Market_Price*Common_Shares))</f>
        <v>9.2331986985591127E-2</v>
      </c>
      <c r="I125" s="22">
        <f>IF(I$4="","",(Data!E47*$C$3)/(Market_Price*Common_Shares))</f>
        <v>7.6379498960202366E-2</v>
      </c>
      <c r="J125" s="22">
        <f>IF(J$4="","",(Data!F47*$C$3)/(Market_Price*Common_Shares))</f>
        <v>5.9259976363020626E-2</v>
      </c>
      <c r="K125" s="22">
        <f>IF(K$4="","",(Data!G47*$C$3)/(Market_Price*Common_Shares))</f>
        <v>4.7140324356823408E-2</v>
      </c>
      <c r="L125" s="22">
        <f>IF(L$4="","",(Data!H47*$C$3)/(Market_Price*Common_Shares))</f>
        <v>3.7834157703902423E-2</v>
      </c>
      <c r="M125" s="22">
        <f>IF(M$4="","",(Data!I47*$C$3)/(Market_Price*Common_Shares))</f>
        <v>2.2391792983369359E-2</v>
      </c>
      <c r="N125" s="22">
        <f>IF(N$4="","",(Data!J47*$C$3)/(Market_Price*Common_Shares))</f>
        <v>1.8863793734987616E-2</v>
      </c>
      <c r="O125" s="22">
        <f>IF(O$4="","",(Data!K47*$C$3)/(Market_Price*Common_Shares))</f>
        <v>1.4631210986339432E-2</v>
      </c>
      <c r="P125" s="22">
        <f>IF(P$4="","",(Data!L47*$C$3)/(Market_Price*Common_Shares))</f>
        <v>1.3061955535655789E-2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0" t="s">
        <v>418</v>
      </c>
      <c r="K52" s="460"/>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18.940000000000001</v>
      </c>
      <c r="D34" t="str">
        <f>Market_currency</f>
        <v>CNY</v>
      </c>
      <c r="E34" s="97" t="s">
        <v>452</v>
      </c>
      <c r="F34" s="330">
        <f>RATE(Holding_Period,$C$33,-C34,$C$36)</f>
        <v>0.10695957994652308</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18.940000000000001</v>
      </c>
    </row>
    <row r="9" spans="1:10">
      <c r="B9" s="351" t="s">
        <v>359</v>
      </c>
      <c r="C9" s="353">
        <f>Common_Shares</f>
        <v>576457000</v>
      </c>
    </row>
    <row r="10" spans="1:10">
      <c r="B10" s="351" t="s">
        <v>365</v>
      </c>
      <c r="C10" s="357">
        <f>投资主题!C8*Common_Shares/1000000</f>
        <v>10918.095579999999</v>
      </c>
      <c r="D10" s="343" t="s">
        <v>526</v>
      </c>
      <c r="E10" s="360">
        <f>Scenarios!F34</f>
        <v>0.10695957994652308</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7.3723352312130522E-2</v>
      </c>
      <c r="F62" s="379"/>
    </row>
    <row r="63" spans="2:6">
      <c r="B63" s="377" t="s">
        <v>330</v>
      </c>
      <c r="C63" s="378">
        <f>Normalized_FCF!C92</f>
        <v>5.59662090813094E-2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