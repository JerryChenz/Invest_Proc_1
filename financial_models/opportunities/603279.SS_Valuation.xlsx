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10812AE8-6809-4ED0-92DE-2B33B5E75733}" xr6:coauthVersionLast="47" xr6:coauthVersionMax="47" xr10:uidLastSave="{00000000-0000-0000-0000-000000000000}"/>
  <bookViews>
    <workbookView xWindow="-98" yWindow="-98" windowWidth="17115" windowHeight="10755" activeTab="4"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83" i="2" l="1"/>
  <c r="E84" i="2"/>
  <c r="C19" i="3"/>
  <c r="G4" i="3"/>
  <c r="C4" i="3"/>
  <c r="C28" i="4" s="1"/>
  <c r="C9" i="3"/>
  <c r="C25" i="4"/>
  <c r="D25" i="4"/>
  <c r="E25"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C31" i="2" s="1"/>
  <c r="G78" i="2"/>
  <c r="K29" i="2"/>
  <c r="K30" i="2"/>
  <c r="K81" i="2"/>
  <c r="G30" i="2"/>
  <c r="C30" i="2" s="1"/>
  <c r="P31" i="2"/>
  <c r="P78" i="2"/>
  <c r="P30" i="2"/>
  <c r="G29" i="2"/>
  <c r="C29" i="2" s="1"/>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79" i="8"/>
  <c r="D77" i="8"/>
  <c r="E79" i="8"/>
  <c r="B74" i="8"/>
  <c r="C80" i="6"/>
  <c r="C80" i="12"/>
  <c r="D68" i="6"/>
  <c r="D68" i="12"/>
  <c r="O77" i="2"/>
  <c r="O116" i="2" s="1"/>
  <c r="O14" i="2"/>
  <c r="P77" i="2"/>
  <c r="P116" i="2" s="1"/>
  <c r="P14" i="2"/>
  <c r="O96" i="2"/>
  <c r="G52" i="2"/>
  <c r="F84" i="8" l="1"/>
  <c r="E86" i="8"/>
  <c r="F8" i="8"/>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92" i="6"/>
  <c r="C92" i="12"/>
  <c r="C7" i="8"/>
  <c r="D86" i="3"/>
  <c r="D89" i="3" s="1"/>
  <c r="C78" i="12"/>
  <c r="C79" i="12" s="1"/>
  <c r="C78" i="6"/>
  <c r="C79" i="6" s="1"/>
  <c r="O80" i="2"/>
  <c r="O19" i="2"/>
  <c r="O90" i="2" s="1"/>
  <c r="O123" i="2"/>
  <c r="O124" i="2" s="1"/>
  <c r="P80" i="2"/>
  <c r="P19" i="2"/>
  <c r="P90" i="2" s="1"/>
  <c r="P123" i="2"/>
  <c r="P124" i="2" s="1"/>
  <c r="C45" i="2"/>
  <c r="C45" i="12" s="1"/>
  <c r="C89" i="3" l="1"/>
  <c r="O113" i="2"/>
  <c r="O85" i="2"/>
  <c r="P113" i="2"/>
  <c r="P85" i="2"/>
  <c r="C53" i="2"/>
  <c r="C45" i="6"/>
  <c r="E94" i="8"/>
  <c r="C48" i="2"/>
  <c r="C10" i="2" s="1"/>
  <c r="I8" i="8" s="1"/>
  <c r="I6" i="8" s="1"/>
  <c r="I1" i="2"/>
  <c r="D122" i="6" l="1"/>
  <c r="E122" i="12"/>
  <c r="E30" i="9"/>
  <c r="C46" i="12"/>
  <c r="C11" i="2"/>
  <c r="E119" i="2" s="1"/>
  <c r="C46" i="6"/>
  <c r="C76" i="2"/>
  <c r="J1" i="2"/>
  <c r="K1" i="2" s="1"/>
  <c r="L1" i="2" s="1"/>
  <c r="M1" i="2" s="1"/>
  <c r="N1" i="2" s="1"/>
  <c r="O1" i="2" s="1"/>
  <c r="P1" i="2" s="1"/>
  <c r="Q1" i="2" s="1"/>
  <c r="C119" i="2" l="1"/>
  <c r="C12" i="2"/>
  <c r="C14" i="2" s="1"/>
  <c r="C19" i="2" s="1"/>
  <c r="E116" i="2"/>
  <c r="C40" i="9" s="1"/>
  <c r="F17" i="8" s="1"/>
  <c r="C52" i="6"/>
  <c r="C52" i="12"/>
  <c r="C68" i="6"/>
  <c r="C68" i="12"/>
  <c r="E51" i="8" l="1"/>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l="1"/>
  <c r="I18" i="8" s="1"/>
  <c r="C47" i="9" s="1"/>
  <c r="A55" i="8" l="1"/>
</calcChain>
</file>

<file path=xl/sharedStrings.xml><?xml version="1.0" encoding="utf-8"?>
<sst xmlns="http://schemas.openxmlformats.org/spreadsheetml/2006/main" count="768" uniqueCount="557">
  <si>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</si>
  <si>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</si>
  <si>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</si>
  <si>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</si>
  <si>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</si>
  <si>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</si>
  <si>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</si>
  <si>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</si>
  <si>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</si>
  <si>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</si>
  <si>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</si>
  <si>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</si>
  <si>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</si>
  <si>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</si>
  <si>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</si>
  <si>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</si>
  <si>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</si>
  <si>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</si>
  <si>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</si>
  <si>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</si>
  <si>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</si>
  <si>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</si>
  <si>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</si>
  <si>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</si>
  <si>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</si>
  <si>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</si>
  <si>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</si>
  <si>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</si>
  <si>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</si>
  <si>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</si>
  <si>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</si>
  <si>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</si>
  <si>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</si>
  <si>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</si>
  <si>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</si>
  <si>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</si>
  <si>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</si>
  <si>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</si>
  <si>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</si>
  <si>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</si>
  <si>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</si>
  <si>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</si>
  <si>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</si>
  <si>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</si>
  <si>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</si>
  <si>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</si>
  <si>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</si>
  <si>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</si>
  <si>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</si>
  <si>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</si>
  <si>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</si>
  <si>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</si>
  <si>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</si>
  <si>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</si>
  <si>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</si>
  <si>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</si>
  <si>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</si>
  <si>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</si>
  <si>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</si>
  <si>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</si>
  <si>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</si>
  <si>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</si>
  <si>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</si>
  <si>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</si>
  <si>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</si>
  <si>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</si>
  <si>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</si>
  <si>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</si>
  <si>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</si>
  <si>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</si>
  <si>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</si>
  <si>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</si>
  <si>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</si>
  <si>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</si>
  <si>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</si>
  <si>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</si>
  <si>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</si>
  <si>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</si>
  <si>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</si>
  <si>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</si>
  <si>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</si>
  <si>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</si>
  <si>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</si>
  <si>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</si>
  <si>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</si>
  <si>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</si>
  <si>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</si>
  <si>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</si>
  <si>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</si>
  <si>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</si>
  <si>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</si>
  <si>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</si>
  <si>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</si>
  <si>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</si>
  <si>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</si>
  <si>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</si>
  <si>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</si>
  <si>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</si>
  <si>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</si>
  <si>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</si>
  <si>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</si>
  <si>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</si>
  <si>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</si>
  <si>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</si>
  <si>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</si>
  <si>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</si>
  <si>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</si>
  <si>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</si>
  <si>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</si>
  <si>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</si>
  <si>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</si>
  <si>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</si>
  <si>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</si>
  <si>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</si>
  <si>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</si>
  <si>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</si>
  <si>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</si>
  <si>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</si>
  <si>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</si>
  <si>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</si>
  <si>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</si>
  <si>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</si>
  <si>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</si>
  <si>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</si>
  <si>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</si>
  <si>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</si>
  <si>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</si>
  <si>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</si>
  <si>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</si>
  <si>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</si>
  <si>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</si>
  <si>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</si>
  <si>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</si>
  <si>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</si>
  <si>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</si>
  <si>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</si>
  <si>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</si>
  <si>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</si>
  <si>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</si>
  <si>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</si>
  <si>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</si>
  <si>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</si>
  <si>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</si>
  <si>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</si>
  <si>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</si>
  <si>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</si>
  <si>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</si>
  <si>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</si>
  <si>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</si>
  <si>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</si>
  <si>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</si>
  <si>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</si>
  <si>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</si>
  <si>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</si>
  <si>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</si>
  <si>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</si>
  <si>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</si>
  <si>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</si>
  <si>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</si>
  <si>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</si>
  <si>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</si>
  <si>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</si>
  <si>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</si>
  <si>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</si>
  <si>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</si>
  <si>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</si>
  <si>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</si>
  <si>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</si>
  <si>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</si>
  <si>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</si>
  <si>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</si>
  <si>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</si>
  <si>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</si>
  <si>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</si>
  <si>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</si>
  <si>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</si>
  <si>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</si>
  <si>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</si>
  <si>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</si>
  <si>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</si>
  <si>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</si>
  <si>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</si>
  <si>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</si>
  <si>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</si>
  <si>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</si>
  <si>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</si>
  <si>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</si>
  <si>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</si>
  <si>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</si>
  <si>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</si>
  <si>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</si>
  <si>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</si>
  <si>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</si>
  <si>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</si>
  <si>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</si>
  <si>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</si>
  <si>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</si>
  <si>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</si>
  <si>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</si>
  <si>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</si>
  <si>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</si>
  <si>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</si>
  <si>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</si>
  <si>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</si>
  <si>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</si>
  <si>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</si>
  <si>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</si>
  <si>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</si>
  <si>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</si>
  <si>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</si>
  <si>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</si>
  <si>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</si>
  <si>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</si>
  <si>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</si>
  <si>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</si>
  <si>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</si>
  <si>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</si>
  <si>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</si>
  <si>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</si>
  <si>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</si>
  <si>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</si>
  <si>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</si>
  <si>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</si>
  <si>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</si>
  <si>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</si>
  <si>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</si>
  <si>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</si>
  <si>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</si>
  <si>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</si>
  <si>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</si>
  <si>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</si>
  <si>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</si>
  <si>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</si>
  <si>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</si>
  <si>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</si>
  <si>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</si>
  <si>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</si>
  <si>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</si>
  <si>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</si>
  <si>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</si>
  <si>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</si>
  <si>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</si>
  <si>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</si>
  <si>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</si>
  <si>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</si>
  <si>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</si>
  <si>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</si>
  <si>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</si>
  <si>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</si>
  <si>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</si>
  <si>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</si>
  <si>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</si>
  <si>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</si>
  <si>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</si>
  <si>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</si>
  <si>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</si>
  <si>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</si>
  <si>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</si>
  <si>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</si>
  <si>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</si>
  <si>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</si>
  <si>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</si>
  <si>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</si>
  <si>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</si>
  <si>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</si>
  <si>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</si>
  <si>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</si>
  <si>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</si>
  <si>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</si>
  <si>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</si>
  <si>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</si>
  <si>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</si>
  <si>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</si>
  <si>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</si>
  <si>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</si>
  <si>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</si>
  <si>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</si>
  <si>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</si>
  <si>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</si>
  <si>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</si>
  <si>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</si>
  <si>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</si>
  <si>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</si>
  <si>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</si>
  <si>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</si>
  <si>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</si>
  <si>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</si>
  <si>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</si>
  <si>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</si>
  <si>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</si>
  <si>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</si>
  <si>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</si>
  <si>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</si>
  <si>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</si>
  <si>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</si>
  <si>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</si>
  <si>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</si>
  <si>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</si>
  <si>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</si>
  <si>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</si>
  <si>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</si>
  <si>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</si>
  <si>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</si>
  <si>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</si>
  <si>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</si>
  <si>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</si>
  <si>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</si>
  <si>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</si>
  <si>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</si>
  <si>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</si>
  <si>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</si>
  <si>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</si>
  <si>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</si>
  <si>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</si>
  <si>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</si>
  <si>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</si>
  <si>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</si>
  <si>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</si>
  <si>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</si>
  <si>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</si>
  <si>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</si>
  <si>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</si>
  <si>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</si>
  <si>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</si>
  <si>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</si>
  <si>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</si>
  <si>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</si>
  <si>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</si>
  <si>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</si>
  <si>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</si>
  <si>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</si>
  <si>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</si>
  <si>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</si>
  <si>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</si>
  <si>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</si>
  <si>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</si>
  <si>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</si>
  <si>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</si>
  <si>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</si>
  <si>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</si>
  <si>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</si>
  <si>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</si>
  <si>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</si>
  <si>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</si>
  <si>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</si>
  <si>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</si>
  <si>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</si>
  <si>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</si>
  <si>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</si>
  <si>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</si>
  <si>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</si>
  <si>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</si>
  <si>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</si>
  <si>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</si>
  <si>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</si>
  <si>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</si>
  <si>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</si>
  <si>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</si>
  <si>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</si>
  <si>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</si>
  <si>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</si>
  <si>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</si>
  <si>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</si>
  <si>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</si>
  <si>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</si>
  <si>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</si>
  <si>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</si>
  <si>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</si>
  <si>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</si>
  <si>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</si>
  <si>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</si>
  <si>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</si>
  <si>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</si>
  <si>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</si>
  <si>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</si>
  <si>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</si>
  <si>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</si>
  <si>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</si>
  <si>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</si>
  <si>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</si>
  <si>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</si>
  <si>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</si>
  <si>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</si>
  <si>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</si>
  <si>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</si>
  <si>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</si>
  <si>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</si>
  <si>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</si>
  <si>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</si>
  <si>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</si>
  <si>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</si>
  <si>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</si>
  <si>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</si>
  <si>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</si>
  <si>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</si>
  <si>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</si>
  <si>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</si>
  <si>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</si>
  <si>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</si>
  <si>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</si>
  <si>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</si>
  <si>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</si>
  <si>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</si>
  <si>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</si>
  <si>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</si>
  <si>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</si>
  <si>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</si>
  <si>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</si>
  <si>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</si>
  <si>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</si>
  <si>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</si>
  <si>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</si>
  <si>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</si>
  <si>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</si>
  <si>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</si>
  <si>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</si>
  <si>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</si>
  <si>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</si>
  <si>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</si>
  <si>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</si>
  <si>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</si>
  <si>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</si>
  <si>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</si>
  <si>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</si>
  <si>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</si>
  <si>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</si>
  <si>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</si>
  <si>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</si>
  <si>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</si>
  <si>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</si>
  <si>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</si>
  <si>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</si>
  <si>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</si>
  <si>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</si>
  <si>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</si>
  <si>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</si>
  <si>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</si>
  <si>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</si>
  <si>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</si>
  <si>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</si>
  <si>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</si>
  <si>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</si>
  <si>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</si>
  <si>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</si>
  <si>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</si>
  <si>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</si>
  <si>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</si>
  <si>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</si>
  <si>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</si>
  <si>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</si>
  <si>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</si>
  <si>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</si>
  <si>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</si>
  <si>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</si>
  <si>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</si>
  <si>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</si>
  <si>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</si>
  <si>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</si>
  <si>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</si>
  <si>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</si>
  <si>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</si>
  <si>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</si>
  <si>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</si>
  <si>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</si>
  <si>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</si>
  <si>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</si>
  <si>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</si>
  <si>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</si>
  <si>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</si>
  <si>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</si>
  <si>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</si>
  <si>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</si>
  <si>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</si>
  <si>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</si>
  <si>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</si>
  <si>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</si>
  <si>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</si>
  <si>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</si>
  <si>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</si>
  <si>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</si>
  <si>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</si>
  <si>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</si>
  <si>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</si>
  <si>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</si>
  <si>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</si>
  <si>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</si>
  <si>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</si>
  <si>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</si>
  <si>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</si>
  <si>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</si>
  <si>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</si>
  <si>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</si>
  <si>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</si>
  <si>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</si>
  <si>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</si>
  <si>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</si>
  <si>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</si>
  <si>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</si>
  <si>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</si>
  <si>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</si>
  <si>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</si>
  <si>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</si>
  <si>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</si>
  <si>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</si>
  <si>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</si>
  <si>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</si>
  <si>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</si>
  <si>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</si>
  <si>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</si>
  <si>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</si>
  <si>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</si>
  <si>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</si>
  <si>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</si>
  <si>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</si>
  <si>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</si>
  <si>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</si>
  <si>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</si>
  <si>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</si>
  <si>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</si>
  <si>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</si>
  <si>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</si>
  <si>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</si>
  <si>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</si>
  <si>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</si>
  <si>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</si>
  <si>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</si>
  <si>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</si>
  <si>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</si>
  <si>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</si>
  <si>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</si>
  <si>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</si>
  <si>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</si>
  <si>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</si>
  <si>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</si>
  <si>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</si>
  <si>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</si>
  <si>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</si>
  <si>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</si>
  <si>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</si>
  <si>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</si>
  <si>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</si>
  <si>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</si>
  <si>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</si>
  <si>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</si>
  <si>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</si>
  <si>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</si>
  <si>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CNS_01</t>
  </si>
  <si>
    <t>Pre-tax Profit Margin</t>
  </si>
  <si>
    <t>Pre-tax Profit Margin_II</t>
  </si>
  <si>
    <t>Pre-tax Profit</t>
  </si>
  <si>
    <t>FCFE Margin</t>
  </si>
  <si>
    <t>FCFE and TV</t>
  </si>
  <si>
    <t>Sales/Total Assets g Projection</t>
  </si>
  <si>
    <t>CN</t>
  </si>
  <si>
    <t>景津装备</t>
  </si>
  <si>
    <t>603279.SS</t>
  </si>
  <si>
    <t>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</si>
</sst>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zoomScaleNormal="100" workbookViewId="0">
      <selection activeCell="B15" sqref="B15"/>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535</v>
      </c>
      <c r="F3" s="429">
        <v>45938</v>
      </c>
    </row>
    <row r="4" spans="1:9" ht="12.4">
      <c r="B4" s="421" t="s">
        <v>530</v>
      </c>
      <c r="C4" s="420" t="s">
        <v>554</v>
      </c>
      <c r="E4" s="430" t="s">
        <v>534</v>
      </c>
      <c r="F4" s="431" t="s">
        <v>553</v>
      </c>
    </row>
    <row r="5" spans="1:9">
      <c r="B5" s="1" t="s">
        <v>347</v>
      </c>
      <c r="C5" s="46" t="s">
        <v>555</v>
      </c>
      <c r="E5" s="433" t="s">
        <v>536</v>
      </c>
      <c r="F5" s="432" t="s">
        <v>543</v>
      </c>
    </row>
    <row r="6" spans="1:9">
      <c r="B6" s="2" t="s">
        <v>53</v>
      </c>
      <c r="C6" s="45" t="s">
        <v>546</v>
      </c>
      <c r="D6" s="45"/>
      <c r="E6" s="45"/>
    </row>
    <row r="7" spans="1:9">
      <c r="B7" s="1" t="s">
        <v>349</v>
      </c>
      <c r="C7" s="45" t="s">
        <v>556</v>
      </c>
      <c r="D7" s="45"/>
      <c r="E7" s="45"/>
    </row>
    <row r="8" spans="1:9">
      <c r="B8" s="4" t="s">
        <v>348</v>
      </c>
      <c r="C8" s="47">
        <v>18.73</v>
      </c>
      <c r="E8" s="32"/>
    </row>
    <row r="9" spans="1:9">
      <c r="B9" s="4" t="s">
        <v>344</v>
      </c>
      <c r="C9" s="48">
        <v>576457000</v>
      </c>
    </row>
    <row r="10" spans="1:9">
      <c r="B10" s="4" t="s">
        <v>350</v>
      </c>
      <c r="C10" s="33">
        <f>Thesis!C8*Common_Shares/1000000</f>
        <v>10797.03961</v>
      </c>
      <c r="D10" s="1" t="s">
        <v>525</v>
      </c>
      <c r="E10" s="303">
        <f>Scenarios!F34</f>
        <v>0.11129441592831543</v>
      </c>
    </row>
    <row r="11" spans="1:9">
      <c r="D11" s="5"/>
      <c r="E11" s="5"/>
    </row>
    <row r="12" spans="1:9" ht="24.5" customHeight="1">
      <c r="B12" s="462" t="s">
        <v>353</v>
      </c>
      <c r="C12" s="462"/>
      <c r="D12" s="462"/>
      <c r="E12" s="462"/>
      <c r="F12" s="462"/>
    </row>
    <row r="14" spans="1:9">
      <c r="B14" s="42" t="str">
        <f>Scenarios!B39&amp;" Valuation Conclusion"</f>
        <v>1-stage DCF Valuation Conclusion</v>
      </c>
      <c r="C14" s="43"/>
    </row>
    <row r="15" spans="1:9">
      <c r="B15" s="1" t="s">
        <v>318</v>
      </c>
      <c r="C15" s="417" t="s">
        <v>543</v>
      </c>
      <c r="D15" s="4" t="s">
        <v>351</v>
      </c>
      <c r="E15" s="253" t="str">
        <f>IF(E17=C7,C7,E17&amp;"/"&amp;C7)</f>
        <v>CNY</v>
      </c>
    </row>
    <row r="16" spans="1:9">
      <c r="B16" s="1" t="s">
        <v>319</v>
      </c>
      <c r="C16" s="417" t="s">
        <v>543</v>
      </c>
      <c r="D16" s="4" t="s">
        <v>352</v>
      </c>
      <c r="E16" s="416">
        <v>1</v>
      </c>
    </row>
    <row r="17" spans="1:6">
      <c r="B17" s="1" t="s">
        <v>529</v>
      </c>
      <c r="C17" s="456">
        <v>0</v>
      </c>
      <c r="D17" s="4" t="s">
        <v>274</v>
      </c>
      <c r="E17" s="224" t="s">
        <v>556</v>
      </c>
    </row>
    <row r="18" spans="1:6">
      <c r="B18" s="1" t="str">
        <f>"Expected Equity Value ("&amp;C7&amp;") :"</f>
        <v>Expected Equity Value (CNY) :</v>
      </c>
      <c r="C18" s="252">
        <f>C125</f>
        <v>22.158401911290397</v>
      </c>
      <c r="D18" s="2" t="s">
        <v>345</v>
      </c>
      <c r="E18" s="418">
        <v>6</v>
      </c>
    </row>
    <row r="19" spans="1:6">
      <c r="B19" s="2" t="s">
        <v>275</v>
      </c>
      <c r="C19" s="31" t="str">
        <f>IF(Terminal_Growth&lt;2%, "Lower than Inflation rate", IF(Terminal_Growth&lt;5%, "Low growth", IF(Terminal_Growth&lt;8%, "Medium growth", "High growth")))</f>
        <v>Lower than Inflation rate</v>
      </c>
      <c r="D19" s="1" t="s">
        <v>346</v>
      </c>
      <c r="E19" s="419">
        <f>EOMONTH(EDATE(BS!C1,E18+2),0)</f>
        <v>46081</v>
      </c>
    </row>
    <row r="20" spans="1:6">
      <c r="D20" s="5"/>
      <c r="E20" s="5"/>
    </row>
    <row r="21" spans="1:6">
      <c r="B21" s="42" t="s">
        <v>402</v>
      </c>
      <c r="C21" s="254" t="str">
        <f>C138&amp;" ("&amp;Market_currency&amp;")"</f>
        <v xml:space="preserve"> (CNY)</v>
      </c>
      <c r="D21" s="31" t="s">
        <v>315</v>
      </c>
      <c r="E21" s="442">
        <v>3</v>
      </c>
    </row>
    <row r="22" spans="1:6">
      <c r="B22" s="1" t="s">
        <v>311</v>
      </c>
      <c r="C22" s="255">
        <f>E140</f>
        <v>11.277152172588272</v>
      </c>
      <c r="D22" s="38" t="s">
        <v>404</v>
      </c>
      <c r="E22" s="79">
        <v>0.32950289523458665</v>
      </c>
    </row>
    <row r="23" spans="1:6">
      <c r="B23" s="1" t="s">
        <v>312</v>
      </c>
      <c r="C23" s="256">
        <f>E141</f>
        <v>14.162449719634122</v>
      </c>
      <c r="D23" s="38" t="s">
        <v>405</v>
      </c>
      <c r="E23" s="443">
        <v>0.22621703288100403</v>
      </c>
    </row>
    <row r="24" spans="1:6">
      <c r="B24" s="1" t="s">
        <v>314</v>
      </c>
      <c r="C24" s="256">
        <f>E144</f>
        <v>19.949994757287094</v>
      </c>
      <c r="D24" s="38" t="s">
        <v>406</v>
      </c>
      <c r="E24" s="443">
        <v>8.6999999999999994E-2</v>
      </c>
    </row>
    <row r="25" spans="1:6">
      <c r="B25" s="1" t="s">
        <v>313</v>
      </c>
      <c r="C25" s="256">
        <f>E145</f>
        <v>20.730780285650923</v>
      </c>
      <c r="D25" s="38" t="s">
        <v>407</v>
      </c>
      <c r="E25" s="444">
        <v>7.2499999999999995E-2</v>
      </c>
    </row>
    <row r="26" spans="1:6">
      <c r="D26" s="5"/>
      <c r="E26" s="5"/>
    </row>
    <row r="27" spans="1:6" ht="13.9">
      <c r="A27" s="200" t="s">
        <v>280</v>
      </c>
      <c r="B27" s="34"/>
      <c r="C27" s="34"/>
      <c r="D27" s="34"/>
      <c r="E27" s="34"/>
      <c r="F27" s="34"/>
    </row>
    <row r="29" spans="1:6">
      <c r="B29" s="462" t="s">
        <v>354</v>
      </c>
      <c r="C29" s="462"/>
      <c r="D29" s="462"/>
      <c r="E29" s="462"/>
      <c r="F29" s="462"/>
    </row>
    <row r="30" spans="1:6" ht="24.5" customHeight="1">
      <c r="B30" s="466" t="s">
        <v>266</v>
      </c>
      <c r="C30" s="466"/>
      <c r="D30" s="466"/>
      <c r="E30" s="466"/>
      <c r="F30" s="466"/>
    </row>
    <row r="32" spans="1:6">
      <c r="B32" s="192" t="s">
        <v>195</v>
      </c>
      <c r="C32" s="105">
        <f>scaling_factor</f>
        <v>1</v>
      </c>
    </row>
    <row r="33" spans="2:6" ht="24.5" customHeight="1">
      <c r="B33" s="463" t="s">
        <v>196</v>
      </c>
      <c r="C33" s="463"/>
      <c r="D33" s="463"/>
      <c r="E33" s="463"/>
      <c r="F33" s="463"/>
    </row>
    <row r="34" spans="2:6">
      <c r="B34" s="44" t="s">
        <v>197</v>
      </c>
      <c r="C34" s="285">
        <f>Normalized_FCF!C8</f>
        <v>1079571875.5988722</v>
      </c>
      <c r="D34" s="1" t="str">
        <f>Reporting_currency</f>
        <v>CNY</v>
      </c>
    </row>
    <row r="35" spans="2:6">
      <c r="B35" s="44"/>
      <c r="C35" s="73"/>
    </row>
    <row r="36" spans="2:6" ht="24.5" customHeight="1">
      <c r="B36" s="463" t="s">
        <v>198</v>
      </c>
      <c r="C36" s="463"/>
      <c r="D36" s="463"/>
      <c r="E36" s="463"/>
      <c r="F36" s="463"/>
    </row>
    <row r="37" spans="2:6">
      <c r="B37" s="44" t="s">
        <v>199</v>
      </c>
      <c r="C37" s="285">
        <f>Normalized_FCF!C15</f>
        <v>213321214.99999997</v>
      </c>
      <c r="D37" s="1" t="str">
        <f>Reporting_currency</f>
        <v>CNY</v>
      </c>
    </row>
    <row r="38" spans="2:6">
      <c r="B38" s="49" t="s">
        <v>200</v>
      </c>
      <c r="C38" s="285">
        <f>Normalized_FCF!C16</f>
        <v>-213321214.99999994</v>
      </c>
      <c r="D38" s="1" t="str">
        <f>Reporting_currency</f>
        <v>CNY</v>
      </c>
    </row>
    <row r="40" spans="2:6">
      <c r="B40" s="463" t="s">
        <v>201</v>
      </c>
      <c r="C40" s="463"/>
      <c r="D40" s="463"/>
      <c r="E40" s="463"/>
      <c r="F40" s="463"/>
    </row>
    <row r="41" spans="2:6">
      <c r="B41" s="44" t="s">
        <v>202</v>
      </c>
      <c r="C41" s="285">
        <f>Normalized_FCF!C9</f>
        <v>0</v>
      </c>
      <c r="D41" s="1" t="str">
        <f>Reporting_currency</f>
        <v>CNY</v>
      </c>
    </row>
    <row r="43" spans="2:6">
      <c r="B43" s="463" t="s">
        <v>205</v>
      </c>
      <c r="C43" s="463"/>
      <c r="D43" s="463"/>
      <c r="E43" s="463"/>
      <c r="F43" s="463"/>
    </row>
    <row r="44" spans="2:6">
      <c r="B44" s="44" t="s">
        <v>267</v>
      </c>
      <c r="C44" s="286">
        <f>Normalized_FCF!C46</f>
        <v>5660933.7634011274</v>
      </c>
      <c r="D44" s="1" t="str">
        <f>Reporting_currency</f>
        <v>CNY</v>
      </c>
      <c r="E44" s="244"/>
      <c r="F44" s="244"/>
    </row>
    <row r="45" spans="2:6">
      <c r="B45" s="44" t="s">
        <v>268</v>
      </c>
      <c r="C45" s="286">
        <f>Normalized_FCF!C45</f>
        <v>-12007999.9998</v>
      </c>
      <c r="D45" s="1" t="str">
        <f>Reporting_currency</f>
        <v>CNY</v>
      </c>
      <c r="E45" s="244"/>
      <c r="F45" s="244"/>
    </row>
    <row r="46" spans="2:6">
      <c r="B46" s="44" t="s">
        <v>203</v>
      </c>
      <c r="C46" s="285">
        <f>Normalized_FCF!C10</f>
        <v>-6347066.2363988729</v>
      </c>
      <c r="D46" s="1" t="str">
        <f>Reporting_currency</f>
        <v>CNY</v>
      </c>
    </row>
    <row r="48" spans="2:6">
      <c r="B48" s="1" t="s">
        <v>211</v>
      </c>
    </row>
    <row r="49" spans="2:6">
      <c r="B49" s="44" t="s">
        <v>223</v>
      </c>
      <c r="C49" s="285">
        <f>Normalized_FCF!C13</f>
        <v>0</v>
      </c>
      <c r="D49" s="1" t="str">
        <f>Reporting_currency</f>
        <v>CNY</v>
      </c>
    </row>
    <row r="51" spans="2:6">
      <c r="B51" s="463" t="s">
        <v>206</v>
      </c>
      <c r="C51" s="463"/>
      <c r="D51" s="463"/>
      <c r="E51" s="463"/>
      <c r="F51" s="463"/>
    </row>
    <row r="52" spans="2:6">
      <c r="B52" s="44" t="s">
        <v>204</v>
      </c>
      <c r="C52" s="285">
        <f>Normalized_FCF!C12</f>
        <v>-268306202.34061834</v>
      </c>
      <c r="D52" s="1" t="str">
        <f>Reporting_currency</f>
        <v>CNY</v>
      </c>
    </row>
    <row r="54" spans="2:6">
      <c r="B54" s="463" t="s">
        <v>265</v>
      </c>
      <c r="C54" s="464"/>
      <c r="D54" s="464"/>
      <c r="E54" s="464"/>
      <c r="F54" s="464"/>
    </row>
    <row r="55" spans="2:6">
      <c r="B55" s="44" t="s">
        <v>207</v>
      </c>
      <c r="C55" s="285">
        <f>Normalized_FCF!C17</f>
        <v>0</v>
      </c>
      <c r="D55" s="1" t="str">
        <f>Reporting_currency</f>
        <v>CNY</v>
      </c>
    </row>
    <row r="57" spans="2:6" ht="24.5" customHeight="1">
      <c r="B57" s="462" t="s">
        <v>270</v>
      </c>
      <c r="C57" s="462"/>
      <c r="D57" s="462"/>
      <c r="E57" s="462"/>
      <c r="F57" s="462"/>
    </row>
    <row r="58" spans="2:6" ht="24.5" customHeight="1">
      <c r="B58" s="462" t="s">
        <v>282</v>
      </c>
      <c r="C58" s="462"/>
      <c r="D58" s="462"/>
      <c r="E58" s="462"/>
      <c r="F58" s="462"/>
    </row>
    <row r="60" spans="2:6">
      <c r="B60" s="44" t="s">
        <v>227</v>
      </c>
      <c r="C60" s="285">
        <f>Normalized_FCF!G19</f>
        <v>866291325.69594693</v>
      </c>
      <c r="D60" s="1" t="str">
        <f>Reporting_currency</f>
        <v>CNY</v>
      </c>
    </row>
    <row r="61" spans="2:6">
      <c r="B61" s="44" t="s">
        <v>213</v>
      </c>
      <c r="C61" s="285">
        <f>Normalized_FCF!C19</f>
        <v>804918607.021855</v>
      </c>
      <c r="D61" s="1" t="str">
        <f>Reporting_currency</f>
        <v>CNY</v>
      </c>
    </row>
    <row r="62" spans="2:6">
      <c r="B62" s="204" t="s">
        <v>302</v>
      </c>
      <c r="C62" s="89">
        <f>Normalized_FCF!C124</f>
        <v>7.4549935546810039E-2</v>
      </c>
      <c r="F62" s="257"/>
    </row>
    <row r="63" spans="2:6">
      <c r="B63" s="204" t="s">
        <v>330</v>
      </c>
      <c r="C63" s="89">
        <f>Normalized_FCF!C92</f>
        <v>5.6593699946609718E-2</v>
      </c>
      <c r="E63" s="44" t="s">
        <v>321</v>
      </c>
      <c r="F63" s="258">
        <f>Normalized_FCF!C90</f>
        <v>0.75913814722313788</v>
      </c>
    </row>
    <row r="65" spans="1:6">
      <c r="B65" s="192" t="s">
        <v>323</v>
      </c>
      <c r="C65" s="264" t="s">
        <v>325</v>
      </c>
      <c r="D65" s="264" t="s">
        <v>326</v>
      </c>
    </row>
    <row r="66" spans="1:6">
      <c r="B66" s="44" t="s">
        <v>324</v>
      </c>
      <c r="C66" s="89">
        <f>Normalized_FCF!E119</f>
        <v>0.23262925318478492</v>
      </c>
      <c r="D66" s="89">
        <f>Normalized_FCF!G119</f>
        <v>0.24428659814721837</v>
      </c>
    </row>
    <row r="67" spans="1:6">
      <c r="B67" s="229" t="str">
        <f>Normalized_FCF!B116</f>
        <v>Pre-tax Profit/Sales</v>
      </c>
      <c r="C67" s="263">
        <f>Normalized_FCF!E116</f>
        <v>0.17509284601323677</v>
      </c>
      <c r="D67" s="263">
        <f>Normalized_FCF!G116</f>
        <v>0.18386696912323625</v>
      </c>
    </row>
    <row r="68" spans="1:6">
      <c r="B68" s="229" t="str">
        <f>Normalized_FCF!B117</f>
        <v>Sales/Total Assets</v>
      </c>
      <c r="C68" s="265">
        <f>Normalized_FCF!E117</f>
        <v>0.68288968092621871</v>
      </c>
      <c r="D68" s="265">
        <f>Normalized_FCF!G117</f>
        <v>0.68288968092621871</v>
      </c>
    </row>
    <row r="69" spans="1:6">
      <c r="B69" s="229" t="str">
        <f>Normalized_FCF!B118</f>
        <v>Total Assets/Equity</v>
      </c>
      <c r="C69" s="265">
        <f>Normalized_FCF!E118</f>
        <v>1.9455633401039498</v>
      </c>
      <c r="D69" s="265">
        <f>Normalized_FCF!G118</f>
        <v>1.9455633401039498</v>
      </c>
    </row>
    <row r="71" spans="1:6" ht="13.9">
      <c r="A71" s="200" t="s">
        <v>475</v>
      </c>
      <c r="B71" s="34"/>
      <c r="C71" s="34"/>
      <c r="D71" s="34"/>
      <c r="E71" s="34"/>
      <c r="F71" s="34"/>
    </row>
    <row r="72" spans="1:6">
      <c r="A72" s="191"/>
    </row>
    <row r="73" spans="1:6">
      <c r="A73" s="191"/>
      <c r="B73" s="462" t="s">
        <v>476</v>
      </c>
      <c r="C73" s="462"/>
      <c r="D73" s="462"/>
      <c r="E73" s="462"/>
      <c r="F73" s="462"/>
    </row>
    <row r="74" spans="1:6">
      <c r="A74" s="191"/>
      <c r="B74" s="1" t="s">
        <v>463</v>
      </c>
    </row>
    <row r="75" spans="1:6">
      <c r="A75" s="191"/>
    </row>
    <row r="76" spans="1:6">
      <c r="A76" s="191"/>
      <c r="B76" s="192" t="s">
        <v>195</v>
      </c>
    </row>
    <row r="77" spans="1:6">
      <c r="A77" s="191"/>
      <c r="B77" s="462" t="s">
        <v>271</v>
      </c>
      <c r="C77" s="462"/>
      <c r="D77" s="462"/>
      <c r="E77" s="462"/>
      <c r="F77" s="462"/>
    </row>
    <row r="78" spans="1:6">
      <c r="A78" s="191"/>
      <c r="B78" s="1" t="s">
        <v>215</v>
      </c>
      <c r="C78" s="285">
        <f>DCF!F4</f>
        <v>-200133333.33000001</v>
      </c>
      <c r="D78" s="1" t="str">
        <f>Reporting_currency</f>
        <v>CNY</v>
      </c>
    </row>
    <row r="79" spans="1:6">
      <c r="A79" s="191"/>
      <c r="B79" s="44" t="s">
        <v>234</v>
      </c>
      <c r="C79" s="201">
        <f>C78*scaling_factor*Exchange_Rate/Common_Shares</f>
        <v>-0.34717825150878556</v>
      </c>
      <c r="D79" s="1" t="str">
        <f>Market_currency</f>
        <v>CNY</v>
      </c>
    </row>
    <row r="80" spans="1:6">
      <c r="A80" s="191"/>
      <c r="B80" s="229" t="s">
        <v>308</v>
      </c>
      <c r="C80" s="337">
        <f>IF(BS!G31/BS!G27&gt;300%,"nm",BS!G31/BS!G27)</f>
        <v>4.3380350010353987E-2</v>
      </c>
    </row>
    <row r="81" spans="1:6">
      <c r="A81" s="191"/>
      <c r="B81" s="229" t="s">
        <v>310</v>
      </c>
      <c r="C81" s="338">
        <f>IF(BS!C50&gt;30,"nm",BS!C50)</f>
        <v>0.18538212957704164</v>
      </c>
    </row>
    <row r="82" spans="1:6">
      <c r="A82" s="191"/>
    </row>
    <row r="83" spans="1:6">
      <c r="A83" s="191"/>
      <c r="B83" s="1" t="s">
        <v>464</v>
      </c>
    </row>
    <row r="84" spans="1:6">
      <c r="A84" s="191"/>
      <c r="B84" s="1" t="s">
        <v>224</v>
      </c>
      <c r="C84" s="285">
        <f>DCF!F5</f>
        <v>843588191.76314533</v>
      </c>
      <c r="D84" s="1" t="str">
        <f>Reporting_currency</f>
        <v>CNY</v>
      </c>
    </row>
    <row r="85" spans="1:6">
      <c r="A85" s="191"/>
      <c r="B85" s="229" t="s">
        <v>222</v>
      </c>
      <c r="C85" s="291">
        <f>BS!C66</f>
        <v>1787077152.3299999</v>
      </c>
      <c r="D85" s="339" t="str">
        <f>Reporting_currency</f>
        <v>CNY</v>
      </c>
    </row>
    <row r="86" spans="1:6">
      <c r="A86" s="191"/>
      <c r="B86" s="44" t="s">
        <v>235</v>
      </c>
      <c r="C86" s="201">
        <f>C84*scaling_factor*Exchange_Rate/Common_Shares</f>
        <v>1.4634017658960605</v>
      </c>
      <c r="D86" s="1" t="str">
        <f>Market_currency</f>
        <v>CNY</v>
      </c>
    </row>
    <row r="87" spans="1:6">
      <c r="A87" s="191"/>
    </row>
    <row r="88" spans="1:6">
      <c r="A88" s="191"/>
      <c r="B88" s="1" t="s">
        <v>216</v>
      </c>
    </row>
    <row r="89" spans="1:6">
      <c r="A89" s="191"/>
      <c r="B89" s="1" t="s">
        <v>217</v>
      </c>
      <c r="C89" s="285">
        <f>DCF!F6</f>
        <v>60320206.770000003</v>
      </c>
      <c r="D89" s="1" t="str">
        <f>Reporting_currency</f>
        <v>CNY</v>
      </c>
    </row>
    <row r="90" spans="1:6">
      <c r="A90" s="191"/>
      <c r="B90" s="44" t="s">
        <v>236</v>
      </c>
      <c r="C90" s="201">
        <f>C89*scaling_factor*Exchange_Rate/Common_Shares</f>
        <v>0.10463955988044209</v>
      </c>
      <c r="D90" s="1" t="str">
        <f>Market_currency</f>
        <v>CNY</v>
      </c>
    </row>
    <row r="91" spans="1:6">
      <c r="A91" s="191"/>
    </row>
    <row r="92" spans="1:6">
      <c r="A92" s="191"/>
      <c r="B92" s="44" t="s">
        <v>467</v>
      </c>
      <c r="C92" s="216">
        <f>DCF!F8</f>
        <v>1.2208630742677169</v>
      </c>
      <c r="D92" s="44" t="str">
        <f>Market_currency</f>
        <v>CNY</v>
      </c>
    </row>
    <row r="94" spans="1:6" ht="13.9">
      <c r="A94" s="200" t="s">
        <v>468</v>
      </c>
      <c r="B94" s="34"/>
      <c r="C94" s="34"/>
      <c r="D94" s="34"/>
      <c r="E94" s="34"/>
      <c r="F94" s="34"/>
    </row>
    <row r="95" spans="1:6">
      <c r="A95" s="191"/>
    </row>
    <row r="96" spans="1:6" ht="11.75" customHeight="1">
      <c r="B96" s="462" t="s">
        <v>483</v>
      </c>
      <c r="C96" s="462"/>
      <c r="D96" s="462"/>
      <c r="E96" s="462"/>
      <c r="F96" s="462"/>
    </row>
    <row r="97" spans="2:6">
      <c r="B97" s="466" t="s">
        <v>482</v>
      </c>
      <c r="C97" s="466"/>
      <c r="D97" s="466"/>
      <c r="E97" s="466"/>
      <c r="F97" s="466"/>
    </row>
    <row r="98" spans="2:6">
      <c r="B98" s="466" t="s">
        <v>481</v>
      </c>
      <c r="C98" s="466"/>
      <c r="D98" s="466"/>
      <c r="E98" s="466"/>
      <c r="F98" s="466"/>
    </row>
    <row r="100" spans="2:6">
      <c r="B100" s="192" t="s">
        <v>195</v>
      </c>
    </row>
    <row r="101" spans="2:6">
      <c r="B101" s="49" t="s">
        <v>465</v>
      </c>
      <c r="C101" s="211">
        <f>E25+C103</f>
        <v>7.2499999999999995E-2</v>
      </c>
    </row>
    <row r="102" spans="2:6">
      <c r="B102" s="229" t="s">
        <v>317</v>
      </c>
      <c r="C102" s="263">
        <f>E25</f>
        <v>7.2499999999999995E-2</v>
      </c>
    </row>
    <row r="103" spans="2:6">
      <c r="B103" s="229" t="s">
        <v>316</v>
      </c>
      <c r="C103" s="263">
        <f>IF(C15="Y",1%,0)+IF(C16="Y",1%,0)</f>
        <v>0</v>
      </c>
    </row>
    <row r="104" spans="2:6">
      <c r="B104" s="44" t="s">
        <v>214</v>
      </c>
      <c r="C104" s="211">
        <f>Terminal_Growth</f>
        <v>0</v>
      </c>
    </row>
    <row r="106" spans="2:6">
      <c r="B106" s="250" t="s">
        <v>281</v>
      </c>
      <c r="C106" s="116"/>
    </row>
    <row r="107" spans="2:6">
      <c r="B107" s="462" t="s">
        <v>283</v>
      </c>
      <c r="C107" s="462"/>
      <c r="D107" s="462"/>
      <c r="E107" s="462"/>
      <c r="F107" s="462"/>
    </row>
    <row r="108" spans="2:6">
      <c r="B108" s="462" t="s">
        <v>284</v>
      </c>
      <c r="C108" s="462"/>
      <c r="D108" s="462"/>
      <c r="E108" s="462"/>
      <c r="F108" s="462"/>
    </row>
    <row r="110" spans="2:6">
      <c r="B110" s="192" t="s">
        <v>485</v>
      </c>
    </row>
    <row r="111" spans="2:6">
      <c r="B111" s="49" t="s">
        <v>466</v>
      </c>
      <c r="C111" s="216">
        <f>BS!D47</f>
        <v>-0.45026820353990077</v>
      </c>
      <c r="D111" s="1" t="str">
        <f>Market_currency</f>
        <v>CNY</v>
      </c>
    </row>
    <row r="112" spans="2:6">
      <c r="B112" s="44" t="s">
        <v>322</v>
      </c>
      <c r="C112" s="216">
        <f>DCF!C11</f>
        <v>20.480453319671195</v>
      </c>
      <c r="D112" s="1" t="str">
        <f>Market_currency</f>
        <v>CNY</v>
      </c>
    </row>
    <row r="114" spans="2:6" ht="24.5" customHeight="1">
      <c r="B114" s="462" t="s">
        <v>489</v>
      </c>
      <c r="C114" s="462"/>
      <c r="D114" s="462"/>
      <c r="E114" s="462"/>
      <c r="F114" s="462"/>
    </row>
    <row r="116" spans="2:6">
      <c r="B116" s="192" t="s">
        <v>486</v>
      </c>
    </row>
    <row r="117" spans="2:6" ht="12.4">
      <c r="B117" s="342" t="s">
        <v>101</v>
      </c>
      <c r="C117" s="342" t="s">
        <v>110</v>
      </c>
      <c r="D117" s="342" t="s">
        <v>219</v>
      </c>
      <c r="E117" s="342" t="s">
        <v>124</v>
      </c>
      <c r="F117" s="342" t="s">
        <v>542</v>
      </c>
    </row>
    <row r="118" spans="2:6">
      <c r="B118" s="205" t="str">
        <f>DCF!B90&amp;" ("&amp;DCF!D90&amp;"yrs)"</f>
        <v>Snowball Scenario (5yrs)</v>
      </c>
      <c r="C118" s="206">
        <f>DCF!C90</f>
        <v>0.04</v>
      </c>
      <c r="D118" s="207" t="str">
        <f>ROUND(DCF!E90,2)&amp;" "&amp;Market_currency</f>
        <v>24.11 CNY</v>
      </c>
      <c r="E118" s="208">
        <f>DCF!F90</f>
        <v>0.05</v>
      </c>
      <c r="F118" s="208">
        <f>RATE(Holding_Period,Scenarios!C$58,-DCF!E90,C$18)</f>
        <v>1.7509090510548962E-2</v>
      </c>
    </row>
    <row r="119" spans="2:6">
      <c r="B119" s="205" t="str">
        <f>DCF!B91&amp;" ("&amp;DCF!D91&amp;"yrs)"</f>
        <v>Optimistic (5yrs)</v>
      </c>
      <c r="C119" s="198">
        <f>DCF!C91</f>
        <v>0.03</v>
      </c>
      <c r="D119" s="207" t="str">
        <f>ROUND(DCF!E91,2)&amp;" "&amp;Market_currency</f>
        <v>23.15 CNY</v>
      </c>
      <c r="E119" s="199">
        <f>DCF!F91</f>
        <v>0.18</v>
      </c>
      <c r="F119" s="208">
        <f>RATE(Holding_Period,Scenarios!C$58,-DCF!E91,C$18)</f>
        <v>3.1967649383656802E-2</v>
      </c>
    </row>
    <row r="120" spans="2:6">
      <c r="B120" s="205" t="str">
        <f>DCF!B92&amp;" ("&amp;DCF!D92&amp;"yrs)"</f>
        <v>Base (5yrs)</v>
      </c>
      <c r="C120" s="198">
        <f>DCF!C92</f>
        <v>0.02</v>
      </c>
      <c r="D120" s="207" t="str">
        <f>ROUND(DCF!E92,2)&amp;" "&amp;Market_currency</f>
        <v>22.23 CNY</v>
      </c>
      <c r="E120" s="199">
        <f>DCF!F92</f>
        <v>0.53999999999999992</v>
      </c>
      <c r="F120" s="208">
        <f>RATE(Holding_Period,Scenarios!C$58,-DCF!E92,C$18)</f>
        <v>4.6709833410638273E-2</v>
      </c>
    </row>
    <row r="121" spans="2:6">
      <c r="B121" s="205" t="str">
        <f>DCF!B93&amp;" ("&amp;DCF!D93&amp;"yrs)"</f>
        <v>Pessimistic (5yrs)</v>
      </c>
      <c r="C121" s="198">
        <f>DCF!C93</f>
        <v>0.01</v>
      </c>
      <c r="D121" s="207" t="str">
        <f>ROUND(DCF!E93,2)&amp;" "&amp;Market_currency</f>
        <v>21.34 CNY</v>
      </c>
      <c r="E121" s="199">
        <f>DCF!F93</f>
        <v>0.18</v>
      </c>
      <c r="F121" s="208">
        <f>RATE(Holding_Period,Scenarios!C$58,-DCF!E93,C$18)</f>
        <v>6.1740846352732755E-2</v>
      </c>
    </row>
    <row r="122" spans="2:6">
      <c r="B122" s="205" t="str">
        <f>DCF!B94&amp;" ("&amp;DCF!D94&amp;"yrs)"</f>
        <v>Devil's advocate (5yrs)</v>
      </c>
      <c r="C122" s="198">
        <f>DCF!C94</f>
        <v>-0.02</v>
      </c>
      <c r="D122" s="207" t="str">
        <f>ROUND(DCF!E94,2)&amp;" "&amp;Market_currency</f>
        <v>18.86 CNY</v>
      </c>
      <c r="E122" s="199">
        <f>DCF!F94</f>
        <v>0.05</v>
      </c>
      <c r="F122" s="208">
        <f>RATE(Holding_Period,Scenarios!C$58,-DCF!E94,C$18)</f>
        <v>0.10861808706871171</v>
      </c>
    </row>
    <row r="124" spans="2:6">
      <c r="B124" s="463" t="s">
        <v>355</v>
      </c>
      <c r="C124" s="463"/>
      <c r="D124" s="463"/>
      <c r="E124" s="463"/>
      <c r="F124" s="463"/>
    </row>
    <row r="125" spans="2:6">
      <c r="B125" s="193" t="s">
        <v>218</v>
      </c>
      <c r="C125" s="197">
        <f>Scenarios!C36</f>
        <v>22.158401911290397</v>
      </c>
      <c r="D125" s="194" t="str">
        <f>Market_currency</f>
        <v>CNY</v>
      </c>
    </row>
    <row r="127" spans="2:6" ht="24.5" customHeight="1">
      <c r="B127" s="465" t="s">
        <v>356</v>
      </c>
      <c r="C127" s="465"/>
      <c r="D127" s="465"/>
      <c r="E127" s="465"/>
      <c r="F127" s="465"/>
    </row>
    <row r="129" spans="1:6" ht="13.9">
      <c r="A129" s="200" t="s">
        <v>472</v>
      </c>
      <c r="B129" s="34"/>
      <c r="C129" s="34"/>
      <c r="D129" s="34"/>
      <c r="E129" s="34"/>
      <c r="F129" s="34"/>
    </row>
    <row r="131" spans="1:6">
      <c r="B131" s="467" t="s">
        <v>285</v>
      </c>
      <c r="C131" s="467"/>
      <c r="D131" s="467"/>
      <c r="E131" s="467"/>
      <c r="F131" s="467"/>
    </row>
    <row r="132" spans="1:6">
      <c r="B132" s="462" t="s">
        <v>357</v>
      </c>
      <c r="C132" s="462"/>
      <c r="D132" s="462"/>
      <c r="E132" s="462"/>
      <c r="F132" s="462"/>
    </row>
    <row r="134" spans="1:6">
      <c r="B134" s="192" t="s">
        <v>195</v>
      </c>
    </row>
    <row r="135" spans="1:6">
      <c r="B135" s="1" t="s">
        <v>221</v>
      </c>
      <c r="C135" s="202">
        <f>E21</f>
        <v>3</v>
      </c>
    </row>
    <row r="136" spans="1:6">
      <c r="B136" s="194" t="s">
        <v>220</v>
      </c>
      <c r="C136" s="195">
        <f>Scenarios!C58</f>
        <v>1.06</v>
      </c>
      <c r="D136" s="194" t="str">
        <f>Market_currency</f>
        <v>CNY</v>
      </c>
    </row>
    <row r="138" spans="1:6">
      <c r="B138" s="192" t="s">
        <v>492</v>
      </c>
      <c r="C138" s="214"/>
      <c r="D138" s="215"/>
    </row>
    <row r="139" spans="1:6" ht="12.4">
      <c r="B139" s="340" t="s">
        <v>460</v>
      </c>
      <c r="C139" s="340" t="str">
        <f>"PV("&amp;Holding_Period&amp;" yrs of Dividends)"</f>
        <v>PV(3 yrs of Dividends)</v>
      </c>
      <c r="D139" s="340" t="s">
        <v>469</v>
      </c>
      <c r="E139" s="341" t="str">
        <f>"Buy below ("&amp;Market_currency&amp;")"</f>
        <v>Buy below (CNY)</v>
      </c>
      <c r="F139" s="341" t="s">
        <v>470</v>
      </c>
    </row>
    <row r="140" spans="1:6">
      <c r="B140" s="336" t="s">
        <v>311</v>
      </c>
      <c r="C140" s="333">
        <f>Scenarios!C62</f>
        <v>1.8480449762944853</v>
      </c>
      <c r="D140" s="333">
        <f>Scenarios!D62</f>
        <v>9.4291071962937867</v>
      </c>
      <c r="E140" s="334">
        <f>Scenarios!E62</f>
        <v>11.277152172588272</v>
      </c>
      <c r="F140" s="335">
        <f>E22</f>
        <v>0.32950289523458665</v>
      </c>
    </row>
    <row r="141" spans="1:6">
      <c r="B141" s="336" t="s">
        <v>312</v>
      </c>
      <c r="C141" s="333">
        <f>Scenarios!C63</f>
        <v>2.1443334287647504</v>
      </c>
      <c r="D141" s="333">
        <f>Scenarios!D63</f>
        <v>12.018116290869372</v>
      </c>
      <c r="E141" s="334">
        <f>Scenarios!E63</f>
        <v>14.162449719634122</v>
      </c>
      <c r="F141" s="335">
        <f>Scenarios!F63</f>
        <v>0.22621703288100403</v>
      </c>
    </row>
    <row r="142" spans="1:6">
      <c r="B142" s="194"/>
      <c r="C142" s="194"/>
      <c r="D142" s="194"/>
      <c r="E142" s="194"/>
      <c r="F142" s="194"/>
    </row>
    <row r="143" spans="1:6" ht="12.4">
      <c r="B143" s="340" t="s">
        <v>461</v>
      </c>
      <c r="C143" s="340" t="str">
        <f>"PV("&amp;Holding_Period&amp;" yrs of Dividends)"</f>
        <v>PV(3 yrs of Dividends)</v>
      </c>
      <c r="D143" s="340" t="s">
        <v>469</v>
      </c>
      <c r="E143" s="341" t="str">
        <f>"Sell above ("&amp;Market_currency&amp;")"</f>
        <v>Sell above (CNY)</v>
      </c>
      <c r="F143" s="341" t="s">
        <v>470</v>
      </c>
    </row>
    <row r="144" spans="1:6">
      <c r="B144" s="336" t="s">
        <v>314</v>
      </c>
      <c r="C144" s="333">
        <f>Scenarios!C66</f>
        <v>2.6975834619563113</v>
      </c>
      <c r="D144" s="333">
        <f>Scenarios!D66</f>
        <v>17.252411295330781</v>
      </c>
      <c r="E144" s="334">
        <f>Scenarios!E66</f>
        <v>19.949994757287094</v>
      </c>
      <c r="F144" s="335">
        <f>E24</f>
        <v>8.6999999999999994E-2</v>
      </c>
    </row>
    <row r="145" spans="1:6">
      <c r="B145" s="336" t="s">
        <v>313</v>
      </c>
      <c r="C145" s="333">
        <f>Scenarios!C67</f>
        <v>2.7691177408033969</v>
      </c>
      <c r="D145" s="333">
        <f>Scenarios!D67</f>
        <v>17.961662544847524</v>
      </c>
      <c r="E145" s="334">
        <f>Scenarios!E67</f>
        <v>20.730780285650923</v>
      </c>
      <c r="F145" s="335">
        <f>Scenarios!F67</f>
        <v>7.2499999999999995E-2</v>
      </c>
    </row>
    <row r="147" spans="1:6" ht="13.9">
      <c r="A147" s="200" t="s">
        <v>473</v>
      </c>
      <c r="B147" s="34"/>
      <c r="C147" s="34"/>
      <c r="D147" s="34"/>
      <c r="E147" s="34"/>
      <c r="F147" s="34"/>
    </row>
    <row r="149" spans="1:6">
      <c r="B149" s="461" t="s">
        <v>358</v>
      </c>
      <c r="C149" s="462"/>
      <c r="D149" s="462"/>
      <c r="E149" s="462"/>
      <c r="F149" s="462"/>
    </row>
    <row r="151" spans="1:6">
      <c r="B151" s="192" t="s">
        <v>289</v>
      </c>
    </row>
    <row r="152" spans="1:6">
      <c r="B152" s="464" t="s">
        <v>293</v>
      </c>
      <c r="C152" s="464"/>
      <c r="D152" s="464"/>
      <c r="E152" s="464"/>
      <c r="F152" s="464"/>
    </row>
    <row r="153" spans="1:6">
      <c r="B153" s="196" t="s">
        <v>290</v>
      </c>
    </row>
    <row r="154" spans="1:6">
      <c r="B154" s="196" t="s">
        <v>291</v>
      </c>
    </row>
    <row r="155" spans="1:6">
      <c r="B155" s="196" t="s">
        <v>292</v>
      </c>
    </row>
    <row r="157" spans="1:6">
      <c r="B157" s="1" t="s">
        <v>296</v>
      </c>
    </row>
    <row r="158" spans="1:6" ht="34.25" customHeight="1">
      <c r="B158" s="463" t="s">
        <v>436</v>
      </c>
      <c r="C158" s="463"/>
      <c r="D158" s="463"/>
      <c r="E158" s="463"/>
      <c r="F158" s="463"/>
    </row>
    <row r="160" spans="1:6">
      <c r="B160" s="1" t="s">
        <v>297</v>
      </c>
    </row>
    <row r="161" spans="2:6" ht="24.5" customHeight="1">
      <c r="B161" s="460" t="s">
        <v>294</v>
      </c>
      <c r="C161" s="460"/>
      <c r="D161" s="460"/>
      <c r="E161" s="460"/>
      <c r="F161" s="460"/>
    </row>
    <row r="162" spans="2:6" ht="24.5" customHeight="1">
      <c r="B162" s="460" t="s">
        <v>295</v>
      </c>
      <c r="C162" s="460"/>
      <c r="D162" s="460"/>
      <c r="E162" s="460"/>
      <c r="F162" s="460"/>
    </row>
    <row r="164" spans="2:6">
      <c r="B164" s="1" t="s">
        <v>301</v>
      </c>
    </row>
    <row r="165" spans="2:6">
      <c r="B165" s="196" t="s">
        <v>298</v>
      </c>
    </row>
    <row r="166" spans="2:6">
      <c r="B166" s="196" t="s">
        <v>299</v>
      </c>
    </row>
    <row r="167" spans="2:6">
      <c r="B167" s="196" t="s">
        <v>300</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F39" sqref="F39"/>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v>
      </c>
    </row>
    <row r="4" spans="2:13">
      <c r="B4" s="31" t="s">
        <v>0</v>
      </c>
      <c r="C4" s="287">
        <v>6129461219</v>
      </c>
      <c r="D4" s="287">
        <v>6249319078</v>
      </c>
      <c r="E4" s="287">
        <v>5682141447</v>
      </c>
      <c r="F4" s="287">
        <v>4651100995</v>
      </c>
      <c r="G4" s="287">
        <v>3329297918</v>
      </c>
      <c r="H4" s="287">
        <v>3310864083</v>
      </c>
      <c r="I4" s="287">
        <v>2918572854</v>
      </c>
      <c r="J4" s="287">
        <v>2210529514</v>
      </c>
      <c r="K4" s="287">
        <v>1544300894</v>
      </c>
      <c r="L4" s="287">
        <v>1583235731</v>
      </c>
      <c r="M4" s="287"/>
    </row>
    <row r="5" spans="2:13">
      <c r="B5" s="38" t="s">
        <v>40</v>
      </c>
      <c r="C5" s="287">
        <v>4407422084</v>
      </c>
      <c r="D5" s="287">
        <v>4321480843</v>
      </c>
      <c r="E5" s="287">
        <v>3978855242</v>
      </c>
      <c r="F5" s="287">
        <v>3293652640</v>
      </c>
      <c r="G5" s="287">
        <v>2298160068</v>
      </c>
      <c r="H5" s="287">
        <v>2198164870</v>
      </c>
      <c r="I5" s="287">
        <v>2065727128</v>
      </c>
      <c r="J5" s="287">
        <v>1559929846</v>
      </c>
      <c r="K5" s="287">
        <v>993637032</v>
      </c>
      <c r="L5" s="287">
        <v>996799764</v>
      </c>
      <c r="M5" s="287"/>
    </row>
    <row r="6" spans="2:13">
      <c r="B6" s="38" t="s">
        <v>51</v>
      </c>
      <c r="C6" s="287">
        <v>456603351</v>
      </c>
      <c r="D6" s="287">
        <v>451772305</v>
      </c>
      <c r="E6" s="287">
        <v>471987592</v>
      </c>
      <c r="F6" s="287">
        <v>430231756</v>
      </c>
      <c r="G6" s="287">
        <v>315308507</v>
      </c>
      <c r="H6" s="287">
        <v>532728643</v>
      </c>
      <c r="I6" s="287">
        <v>471904599</v>
      </c>
      <c r="J6" s="287">
        <v>360354823</v>
      </c>
      <c r="K6" s="287">
        <v>268427406</v>
      </c>
      <c r="L6" s="287">
        <v>341642106</v>
      </c>
      <c r="M6" s="287"/>
    </row>
    <row r="7" spans="2:13">
      <c r="B7" s="66" t="s">
        <v>58</v>
      </c>
      <c r="C7" s="288">
        <v>304923157</v>
      </c>
      <c r="D7" s="288">
        <v>285858877</v>
      </c>
      <c r="E7" s="288">
        <v>267651684</v>
      </c>
      <c r="F7" s="288">
        <v>222391023</v>
      </c>
      <c r="G7" s="288">
        <v>172179694</v>
      </c>
      <c r="H7" s="288">
        <v>410723752</v>
      </c>
      <c r="I7" s="288">
        <v>343598742</v>
      </c>
      <c r="J7" s="288">
        <v>286174672</v>
      </c>
      <c r="K7" s="288">
        <v>197063391</v>
      </c>
      <c r="L7" s="288">
        <v>242768584</v>
      </c>
      <c r="M7" s="288"/>
    </row>
    <row r="8" spans="2:13">
      <c r="B8" s="38" t="s">
        <v>46</v>
      </c>
      <c r="C8" s="287">
        <v>151760727</v>
      </c>
      <c r="D8" s="287">
        <v>210426001</v>
      </c>
      <c r="E8" s="287">
        <v>184885909</v>
      </c>
      <c r="F8" s="287">
        <v>141554165</v>
      </c>
      <c r="G8" s="287">
        <v>61678851</v>
      </c>
      <c r="H8" s="287">
        <v>68644761</v>
      </c>
      <c r="I8" s="287">
        <v>48742254</v>
      </c>
      <c r="J8" s="287">
        <v>47311155</v>
      </c>
      <c r="K8" s="287">
        <v>47605907</v>
      </c>
      <c r="L8" s="287">
        <v>0</v>
      </c>
      <c r="M8" s="287"/>
    </row>
    <row r="9" spans="2:13">
      <c r="B9" s="38" t="s">
        <v>134</v>
      </c>
      <c r="C9" s="287"/>
      <c r="D9" s="287"/>
      <c r="E9" s="287"/>
      <c r="F9" s="287"/>
      <c r="G9" s="287"/>
      <c r="H9" s="287"/>
      <c r="I9" s="287"/>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6249607</v>
      </c>
      <c r="D12" s="287">
        <v>4610251</v>
      </c>
      <c r="E12" s="287">
        <v>1311423</v>
      </c>
      <c r="F12" s="287">
        <v>394228</v>
      </c>
      <c r="G12" s="287">
        <v>74051</v>
      </c>
      <c r="H12" s="287">
        <v>0</v>
      </c>
      <c r="I12" s="287">
        <v>0</v>
      </c>
      <c r="J12" s="287">
        <v>0</v>
      </c>
      <c r="K12" s="287">
        <v>0</v>
      </c>
      <c r="L12" s="287"/>
      <c r="M12" s="287"/>
    </row>
    <row r="13" spans="2:13">
      <c r="B13" s="38" t="s">
        <v>64</v>
      </c>
      <c r="C13" s="287">
        <v>37086796</v>
      </c>
      <c r="D13" s="287">
        <v>31023567</v>
      </c>
      <c r="E13" s="287">
        <v>31991799</v>
      </c>
      <c r="F13" s="287">
        <v>18258659</v>
      </c>
      <c r="G13" s="287">
        <v>12674421</v>
      </c>
      <c r="H13" s="287">
        <v>7073727</v>
      </c>
      <c r="I13" s="287">
        <v>0</v>
      </c>
      <c r="J13" s="287">
        <v>0</v>
      </c>
      <c r="K13" s="287">
        <v>0</v>
      </c>
      <c r="L13" s="287"/>
      <c r="M13" s="287"/>
    </row>
    <row r="14" spans="2:13">
      <c r="B14" s="38" t="s">
        <v>47</v>
      </c>
      <c r="C14" s="287">
        <v>260714131</v>
      </c>
      <c r="D14" s="287">
        <v>289376410</v>
      </c>
      <c r="E14" s="287">
        <v>224010347</v>
      </c>
      <c r="F14" s="287">
        <v>153720766</v>
      </c>
      <c r="G14" s="287">
        <v>137748165</v>
      </c>
      <c r="H14" s="287">
        <v>101545465</v>
      </c>
      <c r="I14" s="287">
        <v>85553107</v>
      </c>
      <c r="J14" s="287">
        <v>50017037</v>
      </c>
      <c r="K14" s="287">
        <v>42676057</v>
      </c>
      <c r="L14" s="287">
        <v>47144437</v>
      </c>
      <c r="M14" s="287"/>
    </row>
    <row r="15" spans="2:13">
      <c r="B15" s="41" t="s">
        <v>39</v>
      </c>
      <c r="C15" s="289">
        <v>848231191</v>
      </c>
      <c r="D15" s="289">
        <v>1008089459</v>
      </c>
      <c r="E15" s="289">
        <v>833918670</v>
      </c>
      <c r="F15" s="289">
        <v>647006086</v>
      </c>
      <c r="G15" s="289">
        <v>514682567</v>
      </c>
      <c r="H15" s="289">
        <v>413076950</v>
      </c>
      <c r="I15" s="289">
        <v>244475736</v>
      </c>
      <c r="J15" s="289">
        <v>205956703</v>
      </c>
      <c r="K15" s="289">
        <v>159744960</v>
      </c>
      <c r="L15" s="289">
        <v>142611679</v>
      </c>
      <c r="M15" s="289"/>
    </row>
    <row r="16" spans="2:13">
      <c r="B16" s="27" t="s">
        <v>41</v>
      </c>
      <c r="C16" s="287">
        <v>0</v>
      </c>
      <c r="D16" s="287">
        <v>0</v>
      </c>
      <c r="E16" s="287">
        <v>0</v>
      </c>
      <c r="F16" s="287">
        <v>0</v>
      </c>
      <c r="G16" s="287">
        <v>0</v>
      </c>
      <c r="H16" s="287">
        <v>0</v>
      </c>
      <c r="I16" s="287">
        <v>0</v>
      </c>
      <c r="J16" s="287">
        <v>0</v>
      </c>
      <c r="K16" s="287">
        <v>0</v>
      </c>
      <c r="L16" s="287">
        <v>0</v>
      </c>
      <c r="M16" s="287"/>
    </row>
    <row r="18" spans="2:13">
      <c r="B18" s="16" t="s">
        <v>48</v>
      </c>
      <c r="C18" s="9"/>
    </row>
    <row r="19" spans="2:13">
      <c r="B19" s="26" t="s">
        <v>44</v>
      </c>
      <c r="C19" s="287">
        <v>213321215</v>
      </c>
      <c r="D19" s="287">
        <v>173104850</v>
      </c>
      <c r="E19" s="287">
        <v>130450506</v>
      </c>
      <c r="F19" s="287">
        <v>105234144</v>
      </c>
      <c r="G19" s="287">
        <v>99116575</v>
      </c>
      <c r="H19" s="287">
        <v>95719410</v>
      </c>
      <c r="I19" s="287">
        <v>87904740</v>
      </c>
      <c r="J19" s="287">
        <v>78828048</v>
      </c>
      <c r="K19" s="287">
        <v>74835527</v>
      </c>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1040530375</v>
      </c>
      <c r="D22" s="287">
        <v>268029963</v>
      </c>
      <c r="E22" s="287">
        <v>1022817247</v>
      </c>
      <c r="F22" s="287">
        <v>577079594</v>
      </c>
      <c r="G22" s="287">
        <v>610942604</v>
      </c>
      <c r="H22" s="287">
        <v>443891507</v>
      </c>
      <c r="I22" s="287">
        <v>326910600</v>
      </c>
      <c r="J22" s="287">
        <v>29944782</v>
      </c>
      <c r="K22" s="287">
        <v>366836089</v>
      </c>
      <c r="L22" s="287">
        <v>298070452</v>
      </c>
      <c r="M22" s="287"/>
    </row>
    <row r="23" spans="2:13">
      <c r="B23" s="26" t="s">
        <v>288</v>
      </c>
      <c r="C23" s="287">
        <v>-241780101</v>
      </c>
      <c r="D23" s="287">
        <v>-44910807</v>
      </c>
      <c r="E23" s="287">
        <v>-310348060</v>
      </c>
      <c r="F23" s="287">
        <v>-333430153</v>
      </c>
      <c r="G23" s="287">
        <v>206352378</v>
      </c>
      <c r="H23" s="287">
        <v>-307940933</v>
      </c>
      <c r="I23" s="287">
        <v>-21315461</v>
      </c>
      <c r="J23" s="287">
        <v>-61592804</v>
      </c>
      <c r="K23" s="287">
        <v>-40659058</v>
      </c>
      <c r="L23" s="287">
        <v>-49353967</v>
      </c>
      <c r="M23" s="287"/>
    </row>
    <row r="24" spans="2:13">
      <c r="B24" s="26" t="s">
        <v>287</v>
      </c>
      <c r="C24" s="287">
        <v>-865081548</v>
      </c>
      <c r="D24" s="287">
        <v>-517389967</v>
      </c>
      <c r="E24" s="287">
        <v>-285534453</v>
      </c>
      <c r="F24" s="287">
        <v>-463128689</v>
      </c>
      <c r="G24" s="287">
        <v>-123908474</v>
      </c>
      <c r="H24" s="287">
        <v>261892739</v>
      </c>
      <c r="I24" s="287">
        <v>-5745476</v>
      </c>
      <c r="J24" s="287">
        <v>-109372169</v>
      </c>
      <c r="K24" s="287">
        <v>-375277495</v>
      </c>
      <c r="L24" s="287">
        <v>-28573770</v>
      </c>
      <c r="M24" s="287"/>
    </row>
    <row r="25" spans="2:13">
      <c r="B25" s="23" t="str">
        <f>"Dividend per share ("&amp;Market_currency&amp;")"</f>
        <v>Dividend per share (CNY)</v>
      </c>
      <c r="C25" s="37">
        <f>10.6/10</f>
        <v>1.06</v>
      </c>
      <c r="D25" s="37">
        <f>10.6/10</f>
        <v>1.06</v>
      </c>
      <c r="E25" s="37">
        <f>10/10</f>
        <v>1</v>
      </c>
      <c r="F25" s="37"/>
      <c r="G25" s="37"/>
      <c r="H25" s="37"/>
      <c r="I25" s="37"/>
      <c r="J25" s="37"/>
      <c r="K25" s="37"/>
      <c r="L25" s="37"/>
      <c r="M25" s="37"/>
    </row>
    <row r="27" spans="2:13">
      <c r="B27" s="16" t="s">
        <v>26</v>
      </c>
      <c r="C27" s="94" t="s">
        <v>544</v>
      </c>
    </row>
    <row r="28" spans="2:13">
      <c r="B28" s="25" t="s">
        <v>22</v>
      </c>
      <c r="C28" s="270">
        <f>BS!C4</f>
        <v>1175281306.4799998</v>
      </c>
      <c r="D28" s="287">
        <v>851687201</v>
      </c>
      <c r="E28" s="287">
        <v>790890033</v>
      </c>
      <c r="F28" s="287">
        <v>567013771</v>
      </c>
      <c r="G28" s="287">
        <v>458930449</v>
      </c>
      <c r="H28" s="287">
        <v>595526269</v>
      </c>
      <c r="I28" s="287">
        <v>643156397</v>
      </c>
      <c r="J28" s="287">
        <v>642505610</v>
      </c>
      <c r="K28" s="287">
        <v>606387186</v>
      </c>
      <c r="L28" s="287">
        <v>754112914</v>
      </c>
      <c r="M28" s="287"/>
    </row>
    <row r="29" spans="2:13">
      <c r="B29" s="25" t="s">
        <v>30</v>
      </c>
      <c r="C29" s="270">
        <f>BS!C6</f>
        <v>2668382470.8800001</v>
      </c>
      <c r="D29" s="287">
        <v>2819492731</v>
      </c>
      <c r="E29" s="287">
        <v>2459595915</v>
      </c>
      <c r="F29" s="287">
        <v>1867069694</v>
      </c>
      <c r="G29" s="287">
        <v>1603890018</v>
      </c>
      <c r="H29" s="287">
        <v>1464309401</v>
      </c>
      <c r="I29" s="287">
        <v>1241320451</v>
      </c>
      <c r="J29" s="287">
        <v>957439830</v>
      </c>
      <c r="K29" s="287">
        <v>589826147</v>
      </c>
      <c r="L29" s="287">
        <v>412378412</v>
      </c>
      <c r="M29" s="287"/>
    </row>
    <row r="30" spans="2:13">
      <c r="B30" s="28" t="s">
        <v>38</v>
      </c>
      <c r="C30" s="271">
        <f>BS!C33+BS!C42</f>
        <v>4362314805.7700005</v>
      </c>
      <c r="D30" s="289">
        <v>4086723205</v>
      </c>
      <c r="E30" s="289">
        <v>3962039491</v>
      </c>
      <c r="F30" s="289">
        <v>2581011486</v>
      </c>
      <c r="G30" s="289">
        <v>2275269694</v>
      </c>
      <c r="H30" s="289">
        <v>2004846282</v>
      </c>
      <c r="I30" s="289">
        <v>1560581012</v>
      </c>
      <c r="J30" s="289">
        <v>1160274283</v>
      </c>
      <c r="K30" s="289">
        <v>894522509</v>
      </c>
      <c r="L30" s="289">
        <v>1020621379</v>
      </c>
      <c r="M30" s="289"/>
    </row>
    <row r="31" spans="2:13">
      <c r="B31" s="28" t="s">
        <v>28</v>
      </c>
      <c r="C31" s="271">
        <f>BS!G27</f>
        <v>4613455937.5900002</v>
      </c>
      <c r="D31" s="289">
        <v>4542064792</v>
      </c>
      <c r="E31" s="289">
        <v>4014575003</v>
      </c>
      <c r="F31" s="289">
        <v>3369724644</v>
      </c>
      <c r="G31" s="289">
        <v>2971650742</v>
      </c>
      <c r="H31" s="289">
        <v>2672345812</v>
      </c>
      <c r="I31" s="289">
        <v>2009953108</v>
      </c>
      <c r="J31" s="289">
        <v>1762034156</v>
      </c>
      <c r="K31" s="289">
        <v>1651561675</v>
      </c>
      <c r="L31" s="289">
        <v>1489799476</v>
      </c>
      <c r="M31" s="289"/>
    </row>
    <row r="32" spans="2:13">
      <c r="B32" s="25" t="s">
        <v>143</v>
      </c>
      <c r="C32" s="270">
        <f>BS!G28</f>
        <v>0</v>
      </c>
      <c r="D32" s="287">
        <v>0</v>
      </c>
      <c r="E32" s="287">
        <v>0</v>
      </c>
      <c r="F32" s="287">
        <v>0</v>
      </c>
      <c r="G32" s="287">
        <v>0</v>
      </c>
      <c r="H32" s="287">
        <v>0</v>
      </c>
      <c r="I32" s="287">
        <v>0</v>
      </c>
      <c r="J32" s="287">
        <v>0</v>
      </c>
      <c r="K32" s="287">
        <v>0</v>
      </c>
      <c r="L32" s="287">
        <v>0</v>
      </c>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6129461219</v>
      </c>
      <c r="D36" s="270">
        <f t="shared" si="1"/>
        <v>6249319078</v>
      </c>
      <c r="E36" s="270">
        <f t="shared" si="1"/>
        <v>5682141447</v>
      </c>
      <c r="F36" s="270">
        <f t="shared" si="1"/>
        <v>4651100995</v>
      </c>
      <c r="G36" s="270">
        <f t="shared" si="1"/>
        <v>3329297918</v>
      </c>
      <c r="H36" s="270">
        <f t="shared" si="1"/>
        <v>3310864083</v>
      </c>
      <c r="I36" s="270">
        <f t="shared" si="1"/>
        <v>2918572854</v>
      </c>
      <c r="J36" s="270">
        <f t="shared" si="1"/>
        <v>2210529514</v>
      </c>
      <c r="K36" s="270">
        <f t="shared" si="1"/>
        <v>1544300894</v>
      </c>
      <c r="L36" s="270">
        <f t="shared" si="1"/>
        <v>1583235731</v>
      </c>
      <c r="M36" s="270" t="str">
        <f t="shared" si="1"/>
        <v/>
      </c>
    </row>
    <row r="37" spans="2:13">
      <c r="B37" s="38" t="s">
        <v>40</v>
      </c>
      <c r="C37" s="270">
        <f t="shared" ref="C37:M37" si="2">IF(C$4="","",-C5)</f>
        <v>-4407422084</v>
      </c>
      <c r="D37" s="270">
        <f t="shared" si="2"/>
        <v>-4321480843</v>
      </c>
      <c r="E37" s="270">
        <f t="shared" si="2"/>
        <v>-3978855242</v>
      </c>
      <c r="F37" s="270">
        <f t="shared" si="2"/>
        <v>-3293652640</v>
      </c>
      <c r="G37" s="270">
        <f t="shared" si="2"/>
        <v>-2298160068</v>
      </c>
      <c r="H37" s="270">
        <f t="shared" si="2"/>
        <v>-2198164870</v>
      </c>
      <c r="I37" s="270">
        <f t="shared" si="2"/>
        <v>-2065727128</v>
      </c>
      <c r="J37" s="270">
        <f t="shared" si="2"/>
        <v>-1559929846</v>
      </c>
      <c r="K37" s="270">
        <f t="shared" si="2"/>
        <v>-993637032</v>
      </c>
      <c r="L37" s="270">
        <f t="shared" si="2"/>
        <v>-996799764</v>
      </c>
      <c r="M37" s="270" t="str">
        <f t="shared" si="2"/>
        <v/>
      </c>
    </row>
    <row r="38" spans="2:13">
      <c r="B38" s="30" t="s">
        <v>55</v>
      </c>
      <c r="C38" s="267">
        <f>IF(C36="","",C36+C37)</f>
        <v>1722039135</v>
      </c>
      <c r="D38" s="267">
        <f t="shared" ref="D38" si="3">IF(D36="","",D36+D37)</f>
        <v>1927838235</v>
      </c>
      <c r="E38" s="267">
        <f t="shared" ref="E38" si="4">IF(E36="","",E36+E37)</f>
        <v>1703286205</v>
      </c>
      <c r="F38" s="267">
        <f t="shared" ref="F38" si="5">IF(F36="","",F36+F37)</f>
        <v>1357448355</v>
      </c>
      <c r="G38" s="267">
        <f t="shared" ref="G38" si="6">IF(G36="","",G36+G37)</f>
        <v>1031137850</v>
      </c>
      <c r="H38" s="267">
        <f t="shared" ref="H38" si="7">IF(H36="","",H36+H37)</f>
        <v>1112699213</v>
      </c>
      <c r="I38" s="267">
        <f t="shared" ref="I38" si="8">IF(I36="","",I36+I37)</f>
        <v>852845726</v>
      </c>
      <c r="J38" s="267">
        <f t="shared" ref="J38" si="9">IF(J36="","",J36+J37)</f>
        <v>650599668</v>
      </c>
      <c r="K38" s="267">
        <f t="shared" ref="K38" si="10">IF(K36="","",K36+K37)</f>
        <v>550663862</v>
      </c>
      <c r="L38" s="267">
        <f t="shared" ref="L38" si="11">IF(L36="","",L36+L37)</f>
        <v>586435967</v>
      </c>
      <c r="M38" s="267" t="str">
        <f t="shared" ref="M38" si="12">IF(M36="","",M36+M37)</f>
        <v/>
      </c>
    </row>
    <row r="39" spans="2:13">
      <c r="B39" s="38" t="s">
        <v>51</v>
      </c>
      <c r="C39" s="270">
        <f t="shared" ref="C39:M39" si="13">IF(C$4="","",-C6)</f>
        <v>-456603351</v>
      </c>
      <c r="D39" s="270">
        <f t="shared" si="13"/>
        <v>-451772305</v>
      </c>
      <c r="E39" s="270">
        <f t="shared" si="13"/>
        <v>-471987592</v>
      </c>
      <c r="F39" s="270">
        <f t="shared" si="13"/>
        <v>-430231756</v>
      </c>
      <c r="G39" s="270">
        <f t="shared" si="13"/>
        <v>-315308507</v>
      </c>
      <c r="H39" s="270">
        <f t="shared" si="13"/>
        <v>-532728643</v>
      </c>
      <c r="I39" s="270">
        <f t="shared" si="13"/>
        <v>-471904599</v>
      </c>
      <c r="J39" s="270">
        <f t="shared" si="13"/>
        <v>-360354823</v>
      </c>
      <c r="K39" s="270">
        <f t="shared" si="13"/>
        <v>-268427406</v>
      </c>
      <c r="L39" s="270">
        <f t="shared" si="13"/>
        <v>-341642106</v>
      </c>
      <c r="M39" s="270" t="str">
        <f t="shared" si="13"/>
        <v/>
      </c>
    </row>
    <row r="40" spans="2:13">
      <c r="B40" s="66" t="s">
        <v>58</v>
      </c>
      <c r="C40" s="282">
        <f t="shared" ref="C40:M40" si="14">IF(C$4="","",-C7)</f>
        <v>-304923157</v>
      </c>
      <c r="D40" s="282">
        <f t="shared" si="14"/>
        <v>-285858877</v>
      </c>
      <c r="E40" s="282">
        <f t="shared" si="14"/>
        <v>-267651684</v>
      </c>
      <c r="F40" s="282">
        <f t="shared" si="14"/>
        <v>-222391023</v>
      </c>
      <c r="G40" s="282">
        <f t="shared" si="14"/>
        <v>-172179694</v>
      </c>
      <c r="H40" s="282">
        <f t="shared" si="14"/>
        <v>-410723752</v>
      </c>
      <c r="I40" s="282">
        <f t="shared" si="14"/>
        <v>-343598742</v>
      </c>
      <c r="J40" s="282">
        <f t="shared" si="14"/>
        <v>-286174672</v>
      </c>
      <c r="K40" s="282">
        <f t="shared" si="14"/>
        <v>-197063391</v>
      </c>
      <c r="L40" s="282">
        <f t="shared" si="14"/>
        <v>-242768584</v>
      </c>
      <c r="M40" s="282" t="str">
        <f t="shared" si="14"/>
        <v/>
      </c>
    </row>
    <row r="41" spans="2:13">
      <c r="B41" s="66" t="s">
        <v>61</v>
      </c>
      <c r="C41" s="282">
        <f>IF(C$4="","",C39-C40)</f>
        <v>-151680194</v>
      </c>
      <c r="D41" s="282">
        <f t="shared" ref="D41:M41" si="15">IF(D$4="","",D39-D40)</f>
        <v>-165913428</v>
      </c>
      <c r="E41" s="282">
        <f t="shared" si="15"/>
        <v>-204335908</v>
      </c>
      <c r="F41" s="282">
        <f t="shared" si="15"/>
        <v>-207840733</v>
      </c>
      <c r="G41" s="282">
        <f t="shared" si="15"/>
        <v>-143128813</v>
      </c>
      <c r="H41" s="282">
        <f t="shared" si="15"/>
        <v>-122004891</v>
      </c>
      <c r="I41" s="282">
        <f t="shared" si="15"/>
        <v>-128305857</v>
      </c>
      <c r="J41" s="282">
        <f t="shared" si="15"/>
        <v>-74180151</v>
      </c>
      <c r="K41" s="282">
        <f t="shared" si="15"/>
        <v>-71364015</v>
      </c>
      <c r="L41" s="282">
        <f t="shared" si="15"/>
        <v>-98873522</v>
      </c>
      <c r="M41" s="282" t="str">
        <f t="shared" si="15"/>
        <v/>
      </c>
    </row>
    <row r="42" spans="2:13">
      <c r="B42" s="38" t="s">
        <v>46</v>
      </c>
      <c r="C42" s="270">
        <f t="shared" ref="C42:M42" si="16">IF(C$4="","",-C8)</f>
        <v>-151760727</v>
      </c>
      <c r="D42" s="270">
        <f t="shared" si="16"/>
        <v>-210426001</v>
      </c>
      <c r="E42" s="270">
        <f t="shared" si="16"/>
        <v>-184885909</v>
      </c>
      <c r="F42" s="270">
        <f t="shared" si="16"/>
        <v>-141554165</v>
      </c>
      <c r="G42" s="270">
        <f t="shared" si="16"/>
        <v>-61678851</v>
      </c>
      <c r="H42" s="270">
        <f t="shared" si="16"/>
        <v>-68644761</v>
      </c>
      <c r="I42" s="270">
        <f t="shared" si="16"/>
        <v>-48742254</v>
      </c>
      <c r="J42" s="270">
        <f t="shared" si="16"/>
        <v>-47311155</v>
      </c>
      <c r="K42" s="270">
        <f t="shared" si="16"/>
        <v>-47605907</v>
      </c>
      <c r="L42" s="270">
        <f t="shared" si="16"/>
        <v>0</v>
      </c>
      <c r="M42" s="270" t="str">
        <f t="shared" si="16"/>
        <v/>
      </c>
    </row>
    <row r="43" spans="2:13">
      <c r="B43" s="41" t="s">
        <v>127</v>
      </c>
      <c r="C43" s="271">
        <f>IF(C$4="","",C38+C39+C42)</f>
        <v>1113675057</v>
      </c>
      <c r="D43" s="271">
        <f t="shared" ref="D43:M43" si="17">IF(D$4="","",D38+D39+D42)</f>
        <v>1265639929</v>
      </c>
      <c r="E43" s="271">
        <f t="shared" si="17"/>
        <v>1046412704</v>
      </c>
      <c r="F43" s="271">
        <f t="shared" si="17"/>
        <v>785662434</v>
      </c>
      <c r="G43" s="271">
        <f t="shared" si="17"/>
        <v>654150492</v>
      </c>
      <c r="H43" s="271">
        <f t="shared" si="17"/>
        <v>511325809</v>
      </c>
      <c r="I43" s="271">
        <f t="shared" si="17"/>
        <v>332198873</v>
      </c>
      <c r="J43" s="271">
        <f t="shared" si="17"/>
        <v>242933690</v>
      </c>
      <c r="K43" s="271">
        <f t="shared" si="17"/>
        <v>234630549</v>
      </c>
      <c r="L43" s="271">
        <f t="shared" si="17"/>
        <v>244793861</v>
      </c>
      <c r="M43" s="271" t="str">
        <f t="shared" si="17"/>
        <v/>
      </c>
    </row>
    <row r="44" spans="2:13">
      <c r="B44" s="41" t="s">
        <v>139</v>
      </c>
      <c r="C44" s="290">
        <f t="shared" ref="C44:M44" si="18">IF(C$4="","",C47-C46-C45-C43)</f>
        <v>-35566924</v>
      </c>
      <c r="D44" s="290">
        <f t="shared" si="18"/>
        <v>5412624</v>
      </c>
      <c r="E44" s="290">
        <f t="shared" si="18"/>
        <v>-19164063</v>
      </c>
      <c r="F44" s="290">
        <f t="shared" si="18"/>
        <v>-2800013</v>
      </c>
      <c r="G44" s="290">
        <f t="shared" si="18"/>
        <v>-14320130</v>
      </c>
      <c r="H44" s="290">
        <f t="shared" si="18"/>
        <v>-3777121</v>
      </c>
      <c r="I44" s="290">
        <f t="shared" si="18"/>
        <v>-2170030</v>
      </c>
      <c r="J44" s="290">
        <f t="shared" si="18"/>
        <v>13040050</v>
      </c>
      <c r="K44" s="290">
        <f t="shared" si="18"/>
        <v>-32209532</v>
      </c>
      <c r="L44" s="290">
        <f t="shared" si="18"/>
        <v>-55037745</v>
      </c>
      <c r="M44" s="290" t="str">
        <f t="shared" si="18"/>
        <v/>
      </c>
    </row>
    <row r="45" spans="2:13">
      <c r="B45" s="38" t="s">
        <v>65</v>
      </c>
      <c r="C45" s="285">
        <f t="shared" ref="C45:M45" si="19">IF(C$4="","",C51+C52)</f>
        <v>30837189</v>
      </c>
      <c r="D45" s="285">
        <f t="shared" si="19"/>
        <v>26413316</v>
      </c>
      <c r="E45" s="285">
        <f t="shared" si="19"/>
        <v>30680376</v>
      </c>
      <c r="F45" s="285">
        <f t="shared" si="19"/>
        <v>17864431</v>
      </c>
      <c r="G45" s="285">
        <f t="shared" si="19"/>
        <v>12600370</v>
      </c>
      <c r="H45" s="285">
        <f t="shared" si="19"/>
        <v>7073727</v>
      </c>
      <c r="I45" s="285">
        <f t="shared" si="19"/>
        <v>0</v>
      </c>
      <c r="J45" s="285">
        <f t="shared" si="19"/>
        <v>0</v>
      </c>
      <c r="K45" s="285">
        <f t="shared" si="19"/>
        <v>0</v>
      </c>
      <c r="L45" s="285">
        <f t="shared" si="19"/>
        <v>0</v>
      </c>
      <c r="M45" s="285" t="str">
        <f t="shared" si="19"/>
        <v/>
      </c>
    </row>
    <row r="46" spans="2:13">
      <c r="B46" s="38" t="s">
        <v>47</v>
      </c>
      <c r="C46" s="270">
        <f>IF(C$4="","",-C14)</f>
        <v>-260714131</v>
      </c>
      <c r="D46" s="270">
        <f t="shared" ref="D46:M46" si="20">IF(D$4="","",-D14)</f>
        <v>-289376410</v>
      </c>
      <c r="E46" s="270">
        <f t="shared" si="20"/>
        <v>-224010347</v>
      </c>
      <c r="F46" s="270">
        <f t="shared" si="20"/>
        <v>-153720766</v>
      </c>
      <c r="G46" s="270">
        <f t="shared" si="20"/>
        <v>-137748165</v>
      </c>
      <c r="H46" s="270">
        <f t="shared" si="20"/>
        <v>-101545465</v>
      </c>
      <c r="I46" s="270">
        <f t="shared" si="20"/>
        <v>-85553107</v>
      </c>
      <c r="J46" s="270">
        <f t="shared" si="20"/>
        <v>-50017037</v>
      </c>
      <c r="K46" s="270">
        <f t="shared" si="20"/>
        <v>-42676057</v>
      </c>
      <c r="L46" s="270">
        <f t="shared" si="20"/>
        <v>-47144437</v>
      </c>
      <c r="M46" s="270" t="str">
        <f t="shared" si="20"/>
        <v/>
      </c>
    </row>
    <row r="47" spans="2:13">
      <c r="B47" s="41" t="s">
        <v>39</v>
      </c>
      <c r="C47" s="271">
        <f t="shared" ref="C47:M47" si="21">IF(C$4="","",C15)</f>
        <v>848231191</v>
      </c>
      <c r="D47" s="271">
        <f t="shared" si="21"/>
        <v>1008089459</v>
      </c>
      <c r="E47" s="271">
        <f t="shared" si="21"/>
        <v>833918670</v>
      </c>
      <c r="F47" s="271">
        <f t="shared" si="21"/>
        <v>647006086</v>
      </c>
      <c r="G47" s="271">
        <f t="shared" si="21"/>
        <v>514682567</v>
      </c>
      <c r="H47" s="271">
        <f t="shared" si="21"/>
        <v>413076950</v>
      </c>
      <c r="I47" s="271">
        <f t="shared" si="21"/>
        <v>244475736</v>
      </c>
      <c r="J47" s="271">
        <f t="shared" si="21"/>
        <v>205956703</v>
      </c>
      <c r="K47" s="271">
        <f t="shared" si="21"/>
        <v>159744960</v>
      </c>
      <c r="L47" s="271">
        <f t="shared" si="21"/>
        <v>142611679</v>
      </c>
      <c r="M47" s="271" t="str">
        <f t="shared" si="21"/>
        <v/>
      </c>
    </row>
    <row r="48" spans="2:13">
      <c r="B48" s="27" t="s">
        <v>41</v>
      </c>
      <c r="C48" s="270">
        <f t="shared" ref="C48:M48" si="22">IF(C$4="","",MIN(-C16,0))</f>
        <v>0</v>
      </c>
      <c r="D48" s="270">
        <f t="shared" si="22"/>
        <v>0</v>
      </c>
      <c r="E48" s="270">
        <f t="shared" si="22"/>
        <v>0</v>
      </c>
      <c r="F48" s="270">
        <f t="shared" si="22"/>
        <v>0</v>
      </c>
      <c r="G48" s="270">
        <f t="shared" si="22"/>
        <v>0</v>
      </c>
      <c r="H48" s="270">
        <f t="shared" si="22"/>
        <v>0</v>
      </c>
      <c r="I48" s="270">
        <f t="shared" si="22"/>
        <v>0</v>
      </c>
      <c r="J48" s="270">
        <f t="shared" si="22"/>
        <v>0</v>
      </c>
      <c r="K48" s="270">
        <f t="shared" si="22"/>
        <v>0</v>
      </c>
      <c r="L48" s="270">
        <f t="shared" si="22"/>
        <v>0</v>
      </c>
      <c r="M48" s="270" t="str">
        <f t="shared" si="22"/>
        <v/>
      </c>
    </row>
    <row r="50" spans="2:13">
      <c r="B50" s="16" t="s">
        <v>65</v>
      </c>
    </row>
    <row r="51" spans="2:13">
      <c r="B51" s="38" t="s">
        <v>37</v>
      </c>
      <c r="C51" s="270">
        <f t="shared" ref="C51:M51" si="23">IF(C$4="","",-C12)</f>
        <v>-6249607</v>
      </c>
      <c r="D51" s="270">
        <f t="shared" si="23"/>
        <v>-4610251</v>
      </c>
      <c r="E51" s="270">
        <f t="shared" si="23"/>
        <v>-1311423</v>
      </c>
      <c r="F51" s="270">
        <f t="shared" si="23"/>
        <v>-394228</v>
      </c>
      <c r="G51" s="270">
        <f t="shared" si="23"/>
        <v>-74051</v>
      </c>
      <c r="H51" s="270">
        <f t="shared" si="23"/>
        <v>0</v>
      </c>
      <c r="I51" s="270">
        <f t="shared" si="23"/>
        <v>0</v>
      </c>
      <c r="J51" s="270">
        <f t="shared" si="23"/>
        <v>0</v>
      </c>
      <c r="K51" s="270">
        <f t="shared" si="23"/>
        <v>0</v>
      </c>
      <c r="L51" s="270">
        <f t="shared" si="23"/>
        <v>0</v>
      </c>
      <c r="M51" s="270" t="str">
        <f t="shared" si="23"/>
        <v/>
      </c>
    </row>
    <row r="52" spans="2:13">
      <c r="B52" s="38" t="s">
        <v>64</v>
      </c>
      <c r="C52" s="270">
        <f>IF(C$4="","",C13)</f>
        <v>37086796</v>
      </c>
      <c r="D52" s="270">
        <f t="shared" ref="D52:M52" si="24">IF(D$4="","",D13)</f>
        <v>31023567</v>
      </c>
      <c r="E52" s="270">
        <f t="shared" si="24"/>
        <v>31991799</v>
      </c>
      <c r="F52" s="270">
        <f t="shared" si="24"/>
        <v>18258659</v>
      </c>
      <c r="G52" s="270">
        <f t="shared" si="24"/>
        <v>12674421</v>
      </c>
      <c r="H52" s="270">
        <f t="shared" si="24"/>
        <v>7073727</v>
      </c>
      <c r="I52" s="270">
        <f t="shared" si="24"/>
        <v>0</v>
      </c>
      <c r="J52" s="270">
        <f t="shared" si="24"/>
        <v>0</v>
      </c>
      <c r="K52" s="270">
        <f t="shared" si="24"/>
        <v>0</v>
      </c>
      <c r="L52" s="270">
        <f t="shared" si="24"/>
        <v>0</v>
      </c>
      <c r="M52" s="270" t="str">
        <f t="shared" si="24"/>
        <v/>
      </c>
    </row>
    <row r="54" spans="2:13">
      <c r="B54" s="156" t="s">
        <v>139</v>
      </c>
    </row>
    <row r="55" spans="2:13">
      <c r="B55" s="38" t="s">
        <v>134</v>
      </c>
      <c r="C55" s="285">
        <f t="shared" ref="C55:M55" si="25">IF(C$4="","",C9)</f>
        <v>0</v>
      </c>
      <c r="D55" s="285">
        <f t="shared" si="25"/>
        <v>0</v>
      </c>
      <c r="E55" s="285">
        <f t="shared" si="25"/>
        <v>0</v>
      </c>
      <c r="F55" s="285">
        <f t="shared" si="25"/>
        <v>0</v>
      </c>
      <c r="G55" s="285">
        <f t="shared" si="25"/>
        <v>0</v>
      </c>
      <c r="H55" s="285">
        <f t="shared" si="25"/>
        <v>0</v>
      </c>
      <c r="I55" s="285">
        <f t="shared" si="25"/>
        <v>0</v>
      </c>
      <c r="J55" s="285">
        <f t="shared" si="25"/>
        <v>0</v>
      </c>
      <c r="K55" s="285">
        <f t="shared" si="25"/>
        <v>0</v>
      </c>
      <c r="L55" s="285">
        <f t="shared" si="25"/>
        <v>0</v>
      </c>
      <c r="M55" s="285" t="str">
        <f t="shared" si="25"/>
        <v/>
      </c>
    </row>
    <row r="56" spans="2:13">
      <c r="B56" s="38" t="s">
        <v>138</v>
      </c>
      <c r="C56" s="285">
        <f t="shared" ref="C56:M56" si="26">IF(C$4="","",C10)</f>
        <v>0</v>
      </c>
      <c r="D56" s="285">
        <f t="shared" si="26"/>
        <v>0</v>
      </c>
      <c r="E56" s="285">
        <f t="shared" si="26"/>
        <v>0</v>
      </c>
      <c r="F56" s="285">
        <f t="shared" si="26"/>
        <v>0</v>
      </c>
      <c r="G56" s="285">
        <f t="shared" si="26"/>
        <v>0</v>
      </c>
      <c r="H56" s="285">
        <f t="shared" si="26"/>
        <v>0</v>
      </c>
      <c r="I56" s="285">
        <f t="shared" si="26"/>
        <v>0</v>
      </c>
      <c r="J56" s="285">
        <f t="shared" si="26"/>
        <v>0</v>
      </c>
      <c r="K56" s="285">
        <f t="shared" si="26"/>
        <v>0</v>
      </c>
      <c r="L56" s="285">
        <f t="shared" si="26"/>
        <v>0</v>
      </c>
      <c r="M56" s="285" t="str">
        <f t="shared" si="26"/>
        <v/>
      </c>
    </row>
    <row r="57" spans="2:13">
      <c r="B57" s="38" t="s">
        <v>133</v>
      </c>
      <c r="C57" s="285">
        <f t="shared" ref="C57:M57" si="27">IF(C$4="","",C11)</f>
        <v>0</v>
      </c>
      <c r="D57" s="285">
        <f t="shared" si="27"/>
        <v>0</v>
      </c>
      <c r="E57" s="285">
        <f t="shared" si="27"/>
        <v>0</v>
      </c>
      <c r="F57" s="285">
        <f t="shared" si="27"/>
        <v>0</v>
      </c>
      <c r="G57" s="285">
        <f t="shared" si="27"/>
        <v>0</v>
      </c>
      <c r="H57" s="285">
        <f t="shared" si="27"/>
        <v>0</v>
      </c>
      <c r="I57" s="285">
        <f t="shared" si="27"/>
        <v>0</v>
      </c>
      <c r="J57" s="285">
        <f t="shared" si="27"/>
        <v>0</v>
      </c>
      <c r="K57" s="285">
        <f t="shared" si="27"/>
        <v>0</v>
      </c>
      <c r="L57" s="285">
        <f t="shared" si="27"/>
        <v>0</v>
      </c>
      <c r="M57" s="285" t="str">
        <f t="shared" si="27"/>
        <v/>
      </c>
    </row>
    <row r="58" spans="2:13">
      <c r="B58" s="38" t="s">
        <v>135</v>
      </c>
      <c r="C58" s="285">
        <f>IF(C$4="","",C44-C55-C56-C57)</f>
        <v>-35566924</v>
      </c>
      <c r="D58" s="285">
        <f t="shared" ref="D58:M58" si="28">IF(D$4="","",D44-D55-D56-D57)</f>
        <v>5412624</v>
      </c>
      <c r="E58" s="285">
        <f t="shared" si="28"/>
        <v>-19164063</v>
      </c>
      <c r="F58" s="285">
        <f t="shared" si="28"/>
        <v>-2800013</v>
      </c>
      <c r="G58" s="285">
        <f t="shared" si="28"/>
        <v>-14320130</v>
      </c>
      <c r="H58" s="285">
        <f t="shared" si="28"/>
        <v>-3777121</v>
      </c>
      <c r="I58" s="285">
        <f t="shared" si="28"/>
        <v>-2170030</v>
      </c>
      <c r="J58" s="285">
        <f t="shared" si="28"/>
        <v>13040050</v>
      </c>
      <c r="K58" s="285">
        <f t="shared" si="28"/>
        <v>-32209532</v>
      </c>
      <c r="L58" s="285">
        <f t="shared" si="28"/>
        <v>-55037745</v>
      </c>
      <c r="M58" s="285" t="str">
        <f t="shared" si="28"/>
        <v/>
      </c>
    </row>
    <row r="60" spans="2:13">
      <c r="B60" s="16" t="s">
        <v>48</v>
      </c>
      <c r="C60" s="9"/>
    </row>
    <row r="61" spans="2:13">
      <c r="B61" s="26" t="s">
        <v>44</v>
      </c>
      <c r="C61" s="270">
        <f>IF(C$4="","",-C19)</f>
        <v>-213321215</v>
      </c>
      <c r="D61" s="270">
        <f t="shared" ref="D61:M61" si="29">IF(D$4="","",-D19)</f>
        <v>-173104850</v>
      </c>
      <c r="E61" s="270">
        <f t="shared" si="29"/>
        <v>-130450506</v>
      </c>
      <c r="F61" s="270">
        <f t="shared" si="29"/>
        <v>-105234144</v>
      </c>
      <c r="G61" s="270">
        <f t="shared" si="29"/>
        <v>-99116575</v>
      </c>
      <c r="H61" s="270">
        <f t="shared" si="29"/>
        <v>-95719410</v>
      </c>
      <c r="I61" s="270">
        <f t="shared" si="29"/>
        <v>-87904740</v>
      </c>
      <c r="J61" s="270">
        <f t="shared" si="29"/>
        <v>-78828048</v>
      </c>
      <c r="K61" s="270">
        <f t="shared" si="29"/>
        <v>-74835527</v>
      </c>
      <c r="L61" s="270">
        <f t="shared" si="29"/>
        <v>0</v>
      </c>
      <c r="M61" s="270" t="str">
        <f t="shared" si="29"/>
        <v/>
      </c>
    </row>
    <row r="62" spans="2:13">
      <c r="B62" s="26" t="s">
        <v>50</v>
      </c>
      <c r="C62" s="270">
        <f>IF(C$4="","",IF(C20=0,C61,-C20))</f>
        <v>-213321215</v>
      </c>
      <c r="D62" s="270">
        <f t="shared" ref="D62:M62" si="30">IF(D$4="","",IF(D20=0,D61,-D20))</f>
        <v>-173104850</v>
      </c>
      <c r="E62" s="270">
        <f t="shared" si="30"/>
        <v>-130450506</v>
      </c>
      <c r="F62" s="270">
        <f t="shared" si="30"/>
        <v>-105234144</v>
      </c>
      <c r="G62" s="270">
        <f t="shared" si="30"/>
        <v>-99116575</v>
      </c>
      <c r="H62" s="270">
        <f t="shared" si="30"/>
        <v>-95719410</v>
      </c>
      <c r="I62" s="270">
        <f t="shared" si="30"/>
        <v>-87904740</v>
      </c>
      <c r="J62" s="270">
        <f t="shared" si="30"/>
        <v>-78828048</v>
      </c>
      <c r="K62" s="270">
        <f t="shared" si="30"/>
        <v>-74835527</v>
      </c>
      <c r="L62" s="270">
        <f t="shared" si="30"/>
        <v>0</v>
      </c>
      <c r="M62" s="270" t="str">
        <f t="shared" si="30"/>
        <v/>
      </c>
    </row>
    <row r="63" spans="2:13">
      <c r="B63" s="26" t="s">
        <v>49</v>
      </c>
      <c r="C63" s="270">
        <f>IF(C$4="","",-C21)</f>
        <v>0</v>
      </c>
      <c r="D63" s="270">
        <f t="shared" ref="D63:M63" si="31">IF(D$4="","",-D21)</f>
        <v>0</v>
      </c>
      <c r="E63" s="270">
        <f t="shared" si="31"/>
        <v>0</v>
      </c>
      <c r="F63" s="270">
        <f t="shared" si="31"/>
        <v>0</v>
      </c>
      <c r="G63" s="270">
        <f t="shared" si="31"/>
        <v>0</v>
      </c>
      <c r="H63" s="270">
        <f t="shared" si="31"/>
        <v>0</v>
      </c>
      <c r="I63" s="270">
        <f t="shared" si="31"/>
        <v>0</v>
      </c>
      <c r="J63" s="270">
        <f t="shared" si="31"/>
        <v>0</v>
      </c>
      <c r="K63" s="270">
        <f t="shared" si="31"/>
        <v>0</v>
      </c>
      <c r="L63" s="270">
        <f t="shared" si="31"/>
        <v>0</v>
      </c>
      <c r="M63" s="270" t="str">
        <f t="shared" si="31"/>
        <v/>
      </c>
    </row>
    <row r="64" spans="2:13">
      <c r="B64" s="26" t="s">
        <v>305</v>
      </c>
      <c r="C64" s="270">
        <f>IF(C$4="","",C22+C23+C24)</f>
        <v>-66331274</v>
      </c>
      <c r="D64" s="270">
        <f t="shared" ref="D64:M64" si="32">IF(D$4="","",D22+D23+D24)</f>
        <v>-294270811</v>
      </c>
      <c r="E64" s="270">
        <f t="shared" si="32"/>
        <v>426934734</v>
      </c>
      <c r="F64" s="270">
        <f t="shared" si="32"/>
        <v>-219479248</v>
      </c>
      <c r="G64" s="270">
        <f t="shared" si="32"/>
        <v>693386508</v>
      </c>
      <c r="H64" s="270">
        <f t="shared" si="32"/>
        <v>397843313</v>
      </c>
      <c r="I64" s="270">
        <f t="shared" si="32"/>
        <v>299849663</v>
      </c>
      <c r="J64" s="270">
        <f t="shared" si="32"/>
        <v>-141020191</v>
      </c>
      <c r="K64" s="270">
        <f t="shared" si="32"/>
        <v>-49100464</v>
      </c>
      <c r="L64" s="270">
        <f t="shared" si="32"/>
        <v>220142715</v>
      </c>
      <c r="M64" s="270" t="str">
        <f t="shared" si="32"/>
        <v/>
      </c>
    </row>
    <row r="65" spans="2:13">
      <c r="B65" s="23" t="s">
        <v>34</v>
      </c>
      <c r="C65" s="70">
        <f>IF(C$4="","",C25)</f>
        <v>1.06</v>
      </c>
      <c r="D65" s="70">
        <f t="shared" ref="D65:M65" si="33">IF(D$4="","",D25)</f>
        <v>1.06</v>
      </c>
      <c r="E65" s="70">
        <f t="shared" si="33"/>
        <v>1</v>
      </c>
      <c r="F65" s="70">
        <f t="shared" si="33"/>
        <v>0</v>
      </c>
      <c r="G65" s="70">
        <f t="shared" si="33"/>
        <v>0</v>
      </c>
      <c r="H65" s="70">
        <f t="shared" si="33"/>
        <v>0</v>
      </c>
      <c r="I65" s="70">
        <f t="shared" si="33"/>
        <v>0</v>
      </c>
      <c r="J65" s="70">
        <f t="shared" si="33"/>
        <v>0</v>
      </c>
      <c r="K65" s="70">
        <f t="shared" si="33"/>
        <v>0</v>
      </c>
      <c r="L65" s="70">
        <f t="shared" si="33"/>
        <v>0</v>
      </c>
      <c r="M65" s="70" t="str">
        <f t="shared" si="33"/>
        <v/>
      </c>
    </row>
    <row r="67" spans="2:13">
      <c r="B67" s="88" t="s">
        <v>81</v>
      </c>
    </row>
    <row r="68" spans="2:13">
      <c r="B68" s="1" t="str">
        <f>B36</f>
        <v>Sales</v>
      </c>
      <c r="C68" s="89">
        <f t="shared" ref="C68:M68" si="34">IF(D$36="","",C36/D36-1)</f>
        <v>-1.9179346982288958E-2</v>
      </c>
      <c r="D68" s="89">
        <f t="shared" si="34"/>
        <v>9.9817583967300338E-2</v>
      </c>
      <c r="E68" s="89">
        <f t="shared" si="34"/>
        <v>0.22167664239249651</v>
      </c>
      <c r="F68" s="89">
        <f t="shared" si="34"/>
        <v>0.39702156717595383</v>
      </c>
      <c r="G68" s="89">
        <f t="shared" si="34"/>
        <v>5.5676809853508757E-3</v>
      </c>
      <c r="H68" s="89">
        <f t="shared" si="34"/>
        <v>0.1344120049846802</v>
      </c>
      <c r="I68" s="89">
        <f t="shared" si="34"/>
        <v>0.3203048570560727</v>
      </c>
      <c r="J68" s="89">
        <f t="shared" si="34"/>
        <v>0.43141114700410199</v>
      </c>
      <c r="K68" s="89">
        <f t="shared" si="34"/>
        <v>-2.4591939303572952E-2</v>
      </c>
      <c r="L68" s="89" t="str">
        <f t="shared" si="34"/>
        <v/>
      </c>
      <c r="M68" s="89" t="str">
        <f t="shared" si="34"/>
        <v/>
      </c>
    </row>
    <row r="69" spans="2:13">
      <c r="B69" s="30" t="s">
        <v>55</v>
      </c>
      <c r="C69" s="89">
        <f>IF(D$36="","",C38/D38-1)</f>
        <v>-0.10675122853344587</v>
      </c>
      <c r="D69" s="89">
        <f t="shared" ref="D69:M69" si="35">IF(E$36="","",D38/E38-1)</f>
        <v>0.13183458501620393</v>
      </c>
      <c r="E69" s="89">
        <f t="shared" si="35"/>
        <v>0.25477053968657248</v>
      </c>
      <c r="F69" s="89">
        <f t="shared" si="35"/>
        <v>0.31645672302689687</v>
      </c>
      <c r="G69" s="89">
        <f t="shared" si="35"/>
        <v>-7.3300458962398896E-2</v>
      </c>
      <c r="H69" s="89">
        <f t="shared" si="35"/>
        <v>0.30468990941510565</v>
      </c>
      <c r="I69" s="89">
        <f t="shared" si="35"/>
        <v>0.31086099170895976</v>
      </c>
      <c r="J69" s="89">
        <f t="shared" si="35"/>
        <v>0.18148241222337558</v>
      </c>
      <c r="K69" s="89">
        <f t="shared" si="35"/>
        <v>-6.0999166171538777E-2</v>
      </c>
      <c r="L69" s="89" t="str">
        <f t="shared" si="35"/>
        <v/>
      </c>
      <c r="M69" s="89" t="str">
        <f t="shared" si="35"/>
        <v/>
      </c>
    </row>
    <row r="70" spans="2:13">
      <c r="B70" s="77" t="str">
        <f>B43</f>
        <v>Operating EBIT</v>
      </c>
      <c r="C70" s="98">
        <f>IF(D$36="","",C43/D43-1)</f>
        <v>-0.12006959366402858</v>
      </c>
      <c r="D70" s="98">
        <f t="shared" ref="D70:M70" si="36">IF(E$36="","",D43/E43-1)</f>
        <v>0.20950359658477535</v>
      </c>
      <c r="E70" s="98">
        <f t="shared" si="36"/>
        <v>0.33188588217519377</v>
      </c>
      <c r="F70" s="98">
        <f t="shared" si="36"/>
        <v>0.20104233446024833</v>
      </c>
      <c r="G70" s="98">
        <f t="shared" si="36"/>
        <v>0.27932226475976685</v>
      </c>
      <c r="H70" s="98">
        <f t="shared" si="36"/>
        <v>0.5392159653714419</v>
      </c>
      <c r="I70" s="98">
        <f t="shared" si="36"/>
        <v>0.36744670119652811</v>
      </c>
      <c r="J70" s="98">
        <f t="shared" si="36"/>
        <v>3.5388149733221574E-2</v>
      </c>
      <c r="K70" s="98">
        <f t="shared" si="36"/>
        <v>-4.1517838553966069E-2</v>
      </c>
      <c r="L70" s="98" t="str">
        <f t="shared" si="36"/>
        <v/>
      </c>
      <c r="M70" s="98" t="str">
        <f t="shared" si="36"/>
        <v/>
      </c>
    </row>
    <row r="71" spans="2:13">
      <c r="B71" s="41" t="s">
        <v>139</v>
      </c>
      <c r="C71" s="98">
        <f>IF(D$36="","",C44/D44-1)</f>
        <v>-7.5711056227072122</v>
      </c>
      <c r="D71" s="98">
        <f t="shared" ref="D71:M71" si="37">IF(E$36="","",D44/E44-1)</f>
        <v>-1.2824361410208263</v>
      </c>
      <c r="E71" s="98">
        <f t="shared" si="37"/>
        <v>5.8442764372879701</v>
      </c>
      <c r="F71" s="98">
        <f t="shared" si="37"/>
        <v>-0.80447014098335701</v>
      </c>
      <c r="G71" s="98">
        <f t="shared" si="37"/>
        <v>2.7912817725458092</v>
      </c>
      <c r="H71" s="98">
        <f t="shared" si="37"/>
        <v>0.74058469237752478</v>
      </c>
      <c r="I71" s="98">
        <f t="shared" si="37"/>
        <v>-1.1664127054727551</v>
      </c>
      <c r="J71" s="98">
        <f t="shared" si="37"/>
        <v>-1.4048506510432999</v>
      </c>
      <c r="K71" s="98">
        <f t="shared" si="37"/>
        <v>-0.41477377025530393</v>
      </c>
      <c r="L71" s="98" t="str">
        <f t="shared" si="37"/>
        <v/>
      </c>
      <c r="M71" s="98" t="str">
        <f t="shared" si="37"/>
        <v/>
      </c>
    </row>
    <row r="72" spans="2:13">
      <c r="B72" s="77" t="str">
        <f>B47</f>
        <v>Reported Net Income</v>
      </c>
      <c r="C72" s="98">
        <f>IF(D$36="","",C47/D47-1)</f>
        <v>-0.15857547817093087</v>
      </c>
      <c r="D72" s="98">
        <f t="shared" ref="D72:M72" si="38">IF(E$36="","",D47/E47-1)</f>
        <v>0.20885824393402785</v>
      </c>
      <c r="E72" s="98">
        <f t="shared" si="38"/>
        <v>0.28888844795194091</v>
      </c>
      <c r="F72" s="98">
        <f t="shared" si="38"/>
        <v>0.25709734015529606</v>
      </c>
      <c r="G72" s="98">
        <f t="shared" si="38"/>
        <v>0.24597261357720401</v>
      </c>
      <c r="H72" s="98">
        <f t="shared" si="38"/>
        <v>0.68964395714100646</v>
      </c>
      <c r="I72" s="98">
        <f t="shared" si="38"/>
        <v>0.18702490590947174</v>
      </c>
      <c r="J72" s="98">
        <f t="shared" si="38"/>
        <v>0.28928451326414306</v>
      </c>
      <c r="K72" s="98">
        <f t="shared" si="38"/>
        <v>0.12013939615702873</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8975770743.3600006</v>
      </c>
      <c r="D76" s="285">
        <f t="shared" ref="D76:M76" si="39">IF(D$4="","",D79+D80)</f>
        <v>8628787997</v>
      </c>
      <c r="E76" s="285">
        <f t="shared" si="39"/>
        <v>7976614494</v>
      </c>
      <c r="F76" s="285">
        <f t="shared" si="39"/>
        <v>5950736130</v>
      </c>
      <c r="G76" s="285">
        <f t="shared" si="39"/>
        <v>5246920436</v>
      </c>
      <c r="H76" s="285">
        <f t="shared" si="39"/>
        <v>4677192094</v>
      </c>
      <c r="I76" s="285">
        <f t="shared" si="39"/>
        <v>3570534120</v>
      </c>
      <c r="J76" s="285">
        <f t="shared" si="39"/>
        <v>2922308439</v>
      </c>
      <c r="K76" s="285">
        <f t="shared" si="39"/>
        <v>2546084184</v>
      </c>
      <c r="L76" s="285">
        <f t="shared" si="39"/>
        <v>2510420855</v>
      </c>
      <c r="M76" s="285" t="str">
        <f t="shared" si="39"/>
        <v/>
      </c>
    </row>
    <row r="77" spans="2:13">
      <c r="B77" s="90" t="s">
        <v>82</v>
      </c>
      <c r="C77" s="260">
        <f t="shared" ref="C77:H78" si="40">IF(C$4="","",C28)</f>
        <v>1175281306.4799998</v>
      </c>
      <c r="D77" s="282">
        <f t="shared" si="40"/>
        <v>851687201</v>
      </c>
      <c r="E77" s="282">
        <f t="shared" si="40"/>
        <v>790890033</v>
      </c>
      <c r="F77" s="282">
        <f t="shared" si="40"/>
        <v>567013771</v>
      </c>
      <c r="G77" s="282">
        <f t="shared" si="40"/>
        <v>458930449</v>
      </c>
      <c r="H77" s="282">
        <f t="shared" si="40"/>
        <v>595526269</v>
      </c>
      <c r="I77" s="291"/>
      <c r="J77" s="291"/>
      <c r="K77" s="291"/>
      <c r="L77" s="291"/>
      <c r="M77" s="291"/>
    </row>
    <row r="78" spans="2:13">
      <c r="B78" s="90" t="s">
        <v>83</v>
      </c>
      <c r="C78" s="260">
        <f t="shared" si="40"/>
        <v>2668382470.8800001</v>
      </c>
      <c r="D78" s="282">
        <f t="shared" si="40"/>
        <v>2819492731</v>
      </c>
      <c r="E78" s="282">
        <f t="shared" si="40"/>
        <v>2459595915</v>
      </c>
      <c r="F78" s="282">
        <f t="shared" si="40"/>
        <v>1867069694</v>
      </c>
      <c r="G78" s="282">
        <f t="shared" si="40"/>
        <v>1603890018</v>
      </c>
      <c r="H78" s="282">
        <f t="shared" si="40"/>
        <v>1464309401</v>
      </c>
      <c r="I78" s="291"/>
      <c r="J78" s="291"/>
      <c r="K78" s="291"/>
      <c r="L78" s="291"/>
      <c r="M78" s="291"/>
    </row>
    <row r="79" spans="2:13">
      <c r="B79" s="25" t="s">
        <v>38</v>
      </c>
      <c r="C79" s="259">
        <f t="shared" ref="C79:M79" si="41">IF(C$4="","",C30)</f>
        <v>4362314805.7700005</v>
      </c>
      <c r="D79" s="270">
        <f t="shared" si="41"/>
        <v>4086723205</v>
      </c>
      <c r="E79" s="270">
        <f t="shared" si="41"/>
        <v>3962039491</v>
      </c>
      <c r="F79" s="270">
        <f t="shared" si="41"/>
        <v>2581011486</v>
      </c>
      <c r="G79" s="270">
        <f t="shared" si="41"/>
        <v>2275269694</v>
      </c>
      <c r="H79" s="270">
        <f t="shared" si="41"/>
        <v>2004846282</v>
      </c>
      <c r="I79" s="270">
        <f t="shared" si="41"/>
        <v>1560581012</v>
      </c>
      <c r="J79" s="270">
        <f t="shared" si="41"/>
        <v>1160274283</v>
      </c>
      <c r="K79" s="270">
        <f t="shared" si="41"/>
        <v>894522509</v>
      </c>
      <c r="L79" s="270">
        <f t="shared" si="41"/>
        <v>1020621379</v>
      </c>
      <c r="M79" s="270" t="str">
        <f t="shared" si="41"/>
        <v/>
      </c>
    </row>
    <row r="80" spans="2:13">
      <c r="B80" s="25" t="s">
        <v>28</v>
      </c>
      <c r="C80" s="259">
        <f t="shared" ref="C80:M80" si="42">IF(C$4="","",C31)</f>
        <v>4613455937.5900002</v>
      </c>
      <c r="D80" s="270">
        <f t="shared" si="42"/>
        <v>4542064792</v>
      </c>
      <c r="E80" s="270">
        <f t="shared" si="42"/>
        <v>4014575003</v>
      </c>
      <c r="F80" s="270">
        <f t="shared" si="42"/>
        <v>3369724644</v>
      </c>
      <c r="G80" s="270">
        <f t="shared" si="42"/>
        <v>2971650742</v>
      </c>
      <c r="H80" s="270">
        <f t="shared" si="42"/>
        <v>2672345812</v>
      </c>
      <c r="I80" s="270">
        <f t="shared" si="42"/>
        <v>2009953108</v>
      </c>
      <c r="J80" s="270">
        <f t="shared" si="42"/>
        <v>1762034156</v>
      </c>
      <c r="K80" s="270">
        <f t="shared" si="42"/>
        <v>1651561675</v>
      </c>
      <c r="L80" s="270">
        <f t="shared" si="42"/>
        <v>1489799476</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10" zoomScaleNormal="100" workbookViewId="0">
      <selection activeCell="C20" sqref="C20"/>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137858131.29+873257349.31+118164871.09+46000954.79</f>
        <v>1175281306.4799998</v>
      </c>
      <c r="D4" s="231">
        <v>0.6</v>
      </c>
      <c r="E4" s="24"/>
      <c r="F4" s="4" t="s">
        <v>74</v>
      </c>
      <c r="G4" s="18">
        <f>1787077152.33</f>
        <v>1787077152.3299999</v>
      </c>
      <c r="H4" s="231">
        <v>0.9</v>
      </c>
    </row>
    <row r="5" spans="2:8" ht="15" customHeight="1">
      <c r="B5" s="1" t="s">
        <v>31</v>
      </c>
      <c r="C5" s="18">
        <v>0</v>
      </c>
      <c r="D5" s="231">
        <v>0.6</v>
      </c>
      <c r="E5" s="24"/>
      <c r="F5" s="1" t="s">
        <v>27</v>
      </c>
      <c r="G5" s="18">
        <v>0</v>
      </c>
      <c r="H5" s="231">
        <v>0.7</v>
      </c>
    </row>
    <row r="6" spans="2:8" ht="15" customHeight="1">
      <c r="B6" s="4" t="s">
        <v>8</v>
      </c>
      <c r="C6" s="18">
        <v>2668382470.8800001</v>
      </c>
      <c r="D6" s="231">
        <v>0.5</v>
      </c>
      <c r="E6" s="24"/>
      <c r="F6" s="4" t="s">
        <v>147</v>
      </c>
      <c r="G6" s="18">
        <v>0</v>
      </c>
      <c r="H6" s="231">
        <v>0.6</v>
      </c>
    </row>
    <row r="7" spans="2:8" ht="15" customHeight="1">
      <c r="B7" s="1" t="s">
        <v>66</v>
      </c>
      <c r="C7" s="18">
        <v>0</v>
      </c>
      <c r="D7" s="231">
        <v>0.6</v>
      </c>
      <c r="E7" s="24"/>
      <c r="F7" s="4" t="s">
        <v>148</v>
      </c>
      <c r="G7" s="18">
        <v>100533677.95</v>
      </c>
      <c r="H7" s="231">
        <v>0.6</v>
      </c>
    </row>
    <row r="8" spans="2:8" ht="15" customHeight="1">
      <c r="B8" s="1" t="s">
        <v>144</v>
      </c>
      <c r="C8" s="18">
        <v>0</v>
      </c>
      <c r="D8" s="231">
        <v>0.6</v>
      </c>
      <c r="E8" s="24"/>
      <c r="F8" s="1" t="s">
        <v>149</v>
      </c>
      <c r="G8" s="18">
        <v>0</v>
      </c>
      <c r="H8" s="231">
        <v>0.6</v>
      </c>
    </row>
    <row r="9" spans="2:8" ht="15" customHeight="1">
      <c r="B9" s="4" t="s">
        <v>23</v>
      </c>
      <c r="C9" s="18">
        <f>99101872.15+101413642.79</f>
        <v>200515514.94</v>
      </c>
      <c r="D9" s="231">
        <v>0.1</v>
      </c>
      <c r="E9" s="24"/>
      <c r="F9" s="4" t="s">
        <v>150</v>
      </c>
      <c r="G9" s="18">
        <v>0</v>
      </c>
      <c r="H9" s="231">
        <v>0.6</v>
      </c>
    </row>
    <row r="10" spans="2:8" ht="15" customHeight="1">
      <c r="B10" s="4" t="s">
        <v>9</v>
      </c>
      <c r="C10" s="18">
        <v>0</v>
      </c>
      <c r="D10" s="231">
        <v>0.9</v>
      </c>
      <c r="F10" s="1" t="s">
        <v>400</v>
      </c>
      <c r="G10" s="18">
        <v>0</v>
      </c>
      <c r="H10" s="231">
        <v>0.6</v>
      </c>
    </row>
    <row r="11" spans="2:8" ht="15" customHeight="1">
      <c r="B11" s="4" t="s">
        <v>10</v>
      </c>
      <c r="C11" s="18">
        <v>67792309.400000006</v>
      </c>
      <c r="D11" s="231">
        <v>0.05</v>
      </c>
      <c r="H11" s="232"/>
    </row>
    <row r="12" spans="2:8" ht="15" customHeight="1">
      <c r="B12" s="77" t="s">
        <v>69</v>
      </c>
      <c r="C12" s="78">
        <f>SUM(C4:C11)</f>
        <v>4111971601.6999998</v>
      </c>
      <c r="D12" s="19">
        <f>C4*D4+C5*D5+C9*D9+C6*D6+C8*D8+C7*D7+C10*D10+C11*D11</f>
        <v>2062801186.2920001</v>
      </c>
      <c r="F12" s="77" t="s">
        <v>67</v>
      </c>
      <c r="G12" s="78">
        <f>SUM(G4:G10)</f>
        <v>1887610830.28</v>
      </c>
      <c r="H12" s="19">
        <f>G4*H4+G5*H5+G6*H6+G7*H7+G8*H8+G9*H9+G10*H10</f>
        <v>1668689643.8669999</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327</v>
      </c>
      <c r="C15" s="18">
        <v>0</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0</v>
      </c>
      <c r="H17" s="231">
        <v>0.6</v>
      </c>
    </row>
    <row r="18" spans="2:8" ht="15" customHeight="1">
      <c r="B18" s="4" t="s">
        <v>144</v>
      </c>
      <c r="C18" s="18">
        <v>0</v>
      </c>
      <c r="D18" s="231">
        <v>0.6</v>
      </c>
      <c r="F18" s="4" t="s">
        <v>151</v>
      </c>
      <c r="G18" s="18">
        <v>0</v>
      </c>
      <c r="H18" s="231">
        <v>0.1</v>
      </c>
    </row>
    <row r="19" spans="2:8" ht="15" customHeight="1">
      <c r="B19" s="4" t="s">
        <v>24</v>
      </c>
      <c r="C19" s="18">
        <f>2231119024.42+138347899.78+702433.09</f>
        <v>2370169357.2900004</v>
      </c>
      <c r="D19" s="231">
        <v>0.1</v>
      </c>
      <c r="F19" s="4" t="s">
        <v>152</v>
      </c>
      <c r="G19" s="18">
        <v>0</v>
      </c>
      <c r="H19" s="231">
        <v>0.1</v>
      </c>
    </row>
    <row r="20" spans="2:8" ht="15" customHeight="1">
      <c r="B20" s="4" t="s">
        <v>16</v>
      </c>
      <c r="C20" s="18">
        <v>0</v>
      </c>
      <c r="D20" s="231">
        <v>0.05</v>
      </c>
      <c r="F20" s="4" t="s">
        <v>149</v>
      </c>
      <c r="G20" s="18">
        <v>0</v>
      </c>
      <c r="H20" s="231">
        <v>0.2</v>
      </c>
    </row>
    <row r="21" spans="2:8" ht="15" customHeight="1">
      <c r="B21" s="4" t="s">
        <v>17</v>
      </c>
      <c r="C21" s="18">
        <v>350577950.81999999</v>
      </c>
      <c r="D21" s="231">
        <v>0.05</v>
      </c>
      <c r="F21" s="1" t="s">
        <v>150</v>
      </c>
      <c r="G21" s="18">
        <v>0</v>
      </c>
      <c r="H21" s="231">
        <v>0.1</v>
      </c>
    </row>
    <row r="22" spans="2:8" ht="15" customHeight="1">
      <c r="B22" s="4" t="s">
        <v>18</v>
      </c>
      <c r="C22" s="18">
        <v>129686538.37</v>
      </c>
      <c r="D22" s="231">
        <v>0.9</v>
      </c>
      <c r="H22" s="232"/>
    </row>
    <row r="23" spans="2:8" ht="15" customHeight="1">
      <c r="B23" s="4" t="s">
        <v>19</v>
      </c>
      <c r="C23" s="18">
        <v>125754464.90000001</v>
      </c>
      <c r="D23" s="231">
        <v>0</v>
      </c>
      <c r="H23" s="232"/>
    </row>
    <row r="24" spans="2:8" ht="15" customHeight="1">
      <c r="B24" s="77" t="s">
        <v>70</v>
      </c>
      <c r="C24" s="78">
        <f>SUM(C15:C23)</f>
        <v>2976188311.3800006</v>
      </c>
      <c r="D24" s="19">
        <f>C15*D15+C16*D16+C18*D18+C17*D17+C19*D19+C20*D20+C21*D21+C22*D22+C23*D23</f>
        <v>371263717.80300009</v>
      </c>
      <c r="F24" s="77" t="s">
        <v>68</v>
      </c>
      <c r="G24" s="78">
        <f>SUM(G15:G21)</f>
        <v>0</v>
      </c>
      <c r="H24" s="19">
        <f>G15*H15+G16*H16+G17*H17+G18*H18+G19*H19+G20*H20+G21*H21</f>
        <v>0</v>
      </c>
    </row>
    <row r="26" spans="2:8" ht="15" customHeight="1">
      <c r="B26" s="16" t="s">
        <v>169</v>
      </c>
      <c r="C26" s="164" t="s">
        <v>113</v>
      </c>
      <c r="F26" s="166" t="s">
        <v>165</v>
      </c>
      <c r="G26" s="167" t="s">
        <v>113</v>
      </c>
      <c r="H26" s="168" t="s">
        <v>33</v>
      </c>
    </row>
    <row r="27" spans="2:8" ht="15" customHeight="1">
      <c r="B27" s="4" t="s">
        <v>3</v>
      </c>
      <c r="C27" s="18">
        <v>200133333.33000001</v>
      </c>
      <c r="F27" s="169" t="s">
        <v>28</v>
      </c>
      <c r="G27" s="82">
        <f>G32-G30</f>
        <v>4613455937.5900002</v>
      </c>
      <c r="H27" s="170">
        <f>H32-G30</f>
        <v>-259560257.80800056</v>
      </c>
    </row>
    <row r="28" spans="2:8" ht="15" customHeight="1">
      <c r="B28" s="4" t="s">
        <v>4</v>
      </c>
      <c r="C28" s="18">
        <v>0</v>
      </c>
      <c r="F28" s="171" t="s">
        <v>209</v>
      </c>
      <c r="G28" s="287">
        <v>0</v>
      </c>
      <c r="H28" s="170"/>
    </row>
    <row r="29" spans="2:8" ht="15" customHeight="1">
      <c r="B29" s="4" t="s">
        <v>5</v>
      </c>
      <c r="C29" s="18">
        <v>0</v>
      </c>
      <c r="F29" s="172" t="s">
        <v>72</v>
      </c>
      <c r="G29" s="14">
        <f>G27-G28</f>
        <v>4613455937.5900002</v>
      </c>
      <c r="H29" s="170">
        <f>H27-G28</f>
        <v>-259560257.80800056</v>
      </c>
    </row>
    <row r="30" spans="2:8" ht="15" customHeight="1">
      <c r="B30" s="2" t="s">
        <v>6</v>
      </c>
      <c r="C30" s="18">
        <v>0</v>
      </c>
      <c r="F30" s="169" t="s">
        <v>21</v>
      </c>
      <c r="G30" s="82">
        <f>C33+C42</f>
        <v>4362314805.7700005</v>
      </c>
      <c r="H30" s="170"/>
    </row>
    <row r="31" spans="2:8" ht="15" customHeight="1">
      <c r="B31" s="77" t="s">
        <v>172</v>
      </c>
      <c r="C31" s="78">
        <f>SUM(C27:C30)</f>
        <v>200133333.33000001</v>
      </c>
      <c r="F31" s="172" t="s">
        <v>73</v>
      </c>
      <c r="G31" s="173">
        <f>C31+C40</f>
        <v>200133333.33000001</v>
      </c>
      <c r="H31" s="170"/>
    </row>
    <row r="32" spans="2:8" ht="15" customHeight="1">
      <c r="B32" s="4" t="s">
        <v>7</v>
      </c>
      <c r="C32" s="20">
        <f>C33-C31</f>
        <v>4023288853.8400002</v>
      </c>
      <c r="F32" s="174" t="s">
        <v>71</v>
      </c>
      <c r="G32" s="175">
        <f>G35+G40</f>
        <v>8975770743.3600006</v>
      </c>
      <c r="H32" s="170">
        <f>H35+H40</f>
        <v>4102754547.9619999</v>
      </c>
    </row>
    <row r="33" spans="2:8" ht="15" customHeight="1">
      <c r="B33" s="80" t="s">
        <v>2</v>
      </c>
      <c r="C33" s="81">
        <v>4223422187.1700001</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7088159913.0799999</v>
      </c>
      <c r="H35" s="182">
        <f>D12+D24</f>
        <v>2434064904.0950003</v>
      </c>
    </row>
    <row r="36" spans="2:8" ht="15" customHeight="1">
      <c r="B36" s="4" t="s">
        <v>11</v>
      </c>
      <c r="C36" s="18">
        <v>0</v>
      </c>
      <c r="F36" s="172" t="s">
        <v>166</v>
      </c>
      <c r="G36" s="173">
        <f>C4+C15</f>
        <v>1175281306.4799998</v>
      </c>
      <c r="H36" s="177"/>
    </row>
    <row r="37" spans="2:8" ht="15" customHeight="1">
      <c r="B37" s="4" t="s">
        <v>12</v>
      </c>
      <c r="C37" s="18">
        <v>0</v>
      </c>
      <c r="F37" s="172" t="s">
        <v>167</v>
      </c>
      <c r="G37" s="173">
        <f>C6</f>
        <v>2668382470.8800001</v>
      </c>
      <c r="H37" s="177"/>
    </row>
    <row r="38" spans="2:8" ht="15" customHeight="1">
      <c r="B38" s="4" t="s">
        <v>13</v>
      </c>
      <c r="C38" s="18">
        <v>0</v>
      </c>
      <c r="F38" s="172" t="s">
        <v>168</v>
      </c>
      <c r="G38" s="173">
        <f>C7+C17</f>
        <v>0</v>
      </c>
      <c r="H38" s="177"/>
    </row>
    <row r="39" spans="2:8" ht="15" customHeight="1">
      <c r="B39" s="2" t="s">
        <v>14</v>
      </c>
      <c r="C39" s="18">
        <v>0</v>
      </c>
      <c r="F39" s="172" t="s">
        <v>76</v>
      </c>
      <c r="G39" s="173">
        <f>C7+C17+C19+C20</f>
        <v>2370169357.2900004</v>
      </c>
      <c r="H39" s="170">
        <f>C7*D7+C17*D17+C19*D19+C20*D20</f>
        <v>237016935.72900006</v>
      </c>
    </row>
    <row r="40" spans="2:8" ht="15" customHeight="1">
      <c r="B40" s="77" t="s">
        <v>173</v>
      </c>
      <c r="C40" s="78">
        <f>SUM(C36:C39)</f>
        <v>0</v>
      </c>
      <c r="F40" s="181" t="s">
        <v>115</v>
      </c>
      <c r="G40" s="175">
        <f>G12+G24</f>
        <v>1887610830.28</v>
      </c>
      <c r="H40" s="182">
        <f>H12+H24</f>
        <v>1668689643.8669999</v>
      </c>
    </row>
    <row r="41" spans="2:8" ht="15" customHeight="1">
      <c r="B41" s="4" t="s">
        <v>15</v>
      </c>
      <c r="C41" s="20">
        <f>C42-C40</f>
        <v>138892618.59999999</v>
      </c>
      <c r="F41" s="172" t="s">
        <v>160</v>
      </c>
      <c r="G41" s="173">
        <f>C70</f>
        <v>1787077152.3299999</v>
      </c>
      <c r="H41" s="182">
        <f>H40-H42</f>
        <v>1608369437.0969999</v>
      </c>
    </row>
    <row r="42" spans="2:8" ht="15" customHeight="1">
      <c r="B42" s="80" t="s">
        <v>20</v>
      </c>
      <c r="C42" s="81">
        <v>138892618.59999999</v>
      </c>
      <c r="F42" s="183" t="s">
        <v>161</v>
      </c>
      <c r="G42" s="184">
        <f>C82</f>
        <v>100533677.95</v>
      </c>
      <c r="H42" s="185">
        <f>D82</f>
        <v>60320206.770000003</v>
      </c>
    </row>
    <row r="44" spans="2:8" ht="15" customHeight="1">
      <c r="B44" s="76" t="s">
        <v>92</v>
      </c>
      <c r="C44" s="35"/>
      <c r="D44" s="35"/>
      <c r="E44" s="35"/>
      <c r="F44" s="35"/>
      <c r="G44" s="35"/>
      <c r="H44" s="35"/>
    </row>
    <row r="45" spans="2:8" ht="15" customHeight="1">
      <c r="B45" s="16" t="s">
        <v>228</v>
      </c>
      <c r="C45" s="209" t="s">
        <v>113</v>
      </c>
      <c r="D45" s="164" t="s">
        <v>309</v>
      </c>
      <c r="F45" s="226" t="s">
        <v>56</v>
      </c>
    </row>
    <row r="46" spans="2:8" ht="15" customHeight="1">
      <c r="B46" s="1" t="s">
        <v>230</v>
      </c>
      <c r="C46" s="73">
        <f>G29</f>
        <v>4613455937.5900002</v>
      </c>
      <c r="D46" s="73">
        <f>H29</f>
        <v>-259560257.80800056</v>
      </c>
      <c r="F46" s="223"/>
    </row>
    <row r="47" spans="2:8" ht="15" customHeight="1">
      <c r="B47" s="1" t="str">
        <f>"Equity per share ("&amp;Market_currency&amp;")"</f>
        <v>Equity per share (CNY)</v>
      </c>
      <c r="C47" s="134">
        <f>C46*H1/Common_Shares*Exchange_Rate</f>
        <v>8.0031224143171134</v>
      </c>
      <c r="D47" s="134">
        <f>D46*H1/Common_Shares*Exchange_Rate</f>
        <v>-0.45026820353990077</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0.18538212957704164</v>
      </c>
      <c r="D50" s="92">
        <f>G31/Normalized_FCF!G8</f>
        <v>0.17970532075048531</v>
      </c>
      <c r="F50" s="223"/>
    </row>
    <row r="51" spans="2:8" ht="15" customHeight="1">
      <c r="B51" s="1" t="s">
        <v>146</v>
      </c>
      <c r="C51" s="163"/>
      <c r="D51" s="89">
        <f>G29/G32</f>
        <v>0.51398994799448205</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0.15230636566292824</v>
      </c>
      <c r="D54" s="89">
        <f>Normalized_FCF!G8/G35</f>
        <v>0.15711765403950623</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9.0002520007222933E-2</v>
      </c>
      <c r="F58" s="5"/>
    </row>
    <row r="59" spans="2:8" ht="15" customHeight="1">
      <c r="B59" s="1" t="s">
        <v>89</v>
      </c>
      <c r="C59" s="95"/>
      <c r="D59" s="89">
        <f>G39/G32</f>
        <v>0.26406304539845549</v>
      </c>
      <c r="F59" s="223"/>
    </row>
    <row r="60" spans="2:8" ht="15" customHeight="1">
      <c r="F60" s="223"/>
    </row>
    <row r="61" spans="2:8" ht="15" customHeight="1">
      <c r="B61" s="143" t="s">
        <v>231</v>
      </c>
      <c r="C61" s="210" t="s">
        <v>114</v>
      </c>
      <c r="D61" s="179" t="s">
        <v>91</v>
      </c>
      <c r="F61" s="223"/>
    </row>
    <row r="62" spans="2:8" ht="15" customHeight="1">
      <c r="B62" s="1" t="s">
        <v>210</v>
      </c>
      <c r="C62" s="89">
        <f>IF(G28&lt;=0,0,G28/G29)</f>
        <v>0</v>
      </c>
      <c r="D62" s="89">
        <f>G28/G29</f>
        <v>0</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1787077152.3299999</v>
      </c>
      <c r="D66" s="73">
        <f>C66-D75</f>
        <v>843588191.76314533</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1787077152.3299999</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-468902548.5</v>
      </c>
      <c r="D73" s="285">
        <f>(Normalized_FCF!C26+Normalized_FCF!C35-Normalized_FCF!C89)/12</f>
        <v>-471744480.2834273</v>
      </c>
      <c r="F73" s="1" t="s">
        <v>278</v>
      </c>
    </row>
    <row r="74" spans="2:6" ht="15" customHeight="1">
      <c r="B74" s="227" t="s">
        <v>259</v>
      </c>
      <c r="C74" s="228">
        <f>-$C$66/C73</f>
        <v>3.8111909565149227</v>
      </c>
      <c r="D74" s="228">
        <f>-$C$66/D73</f>
        <v>3.7882311866294902</v>
      </c>
      <c r="F74" s="223" t="s">
        <v>257</v>
      </c>
    </row>
    <row r="75" spans="2:6" ht="15" customHeight="1">
      <c r="B75" s="77" t="s">
        <v>258</v>
      </c>
      <c r="C75" s="261"/>
      <c r="D75" s="262">
        <f>MAX(-D73*D76,G5)</f>
        <v>943488960.5668546</v>
      </c>
      <c r="F75" s="223" t="s">
        <v>279</v>
      </c>
    </row>
    <row r="76" spans="2:6" ht="15" customHeight="1">
      <c r="B76" s="229" t="s">
        <v>260</v>
      </c>
      <c r="C76" s="230"/>
      <c r="D76" s="248">
        <f>IF(D74&lt;=3,1,IF(D74&gt;18,6,2))</f>
        <v>2</v>
      </c>
      <c r="F76" s="223" t="s">
        <v>261</v>
      </c>
    </row>
    <row r="77" spans="2:6" ht="15" customHeight="1">
      <c r="F77" s="223"/>
    </row>
    <row r="78" spans="2:6" ht="15" customHeight="1">
      <c r="B78" s="16" t="s">
        <v>159</v>
      </c>
      <c r="C78" s="209" t="s">
        <v>113</v>
      </c>
      <c r="D78" s="165" t="s">
        <v>33</v>
      </c>
      <c r="F78" s="223"/>
    </row>
    <row r="79" spans="2:6" ht="15" customHeight="1">
      <c r="B79" s="102" t="s">
        <v>148</v>
      </c>
      <c r="C79" s="19">
        <f>G7+G17</f>
        <v>100533677.95</v>
      </c>
      <c r="D79" s="73">
        <f>G7*H7+G17*H17</f>
        <v>60320206.770000003</v>
      </c>
      <c r="F79" s="223"/>
    </row>
    <row r="80" spans="2:6" ht="15" customHeight="1">
      <c r="B80" s="102" t="s">
        <v>152</v>
      </c>
      <c r="C80" s="19">
        <f>G19</f>
        <v>0</v>
      </c>
      <c r="D80" s="73">
        <f>G19*H19</f>
        <v>0</v>
      </c>
      <c r="F80" s="223"/>
    </row>
    <row r="81" spans="2:8" ht="15" customHeight="1">
      <c r="B81" s="102" t="s">
        <v>150</v>
      </c>
      <c r="C81" s="19">
        <f>G9+G21</f>
        <v>0</v>
      </c>
      <c r="D81" s="73">
        <f>G9*H9+G21*H21</f>
        <v>0</v>
      </c>
      <c r="F81" s="223"/>
    </row>
    <row r="82" spans="2:8" ht="15" customHeight="1">
      <c r="B82" s="77" t="s">
        <v>159</v>
      </c>
      <c r="C82" s="78">
        <f>SUM(C79:C81)</f>
        <v>100533677.95</v>
      </c>
      <c r="D82" s="78">
        <f>SUM(D79:D81)</f>
        <v>60320206.770000003</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-200133333.33000001</v>
      </c>
      <c r="D86" s="201">
        <f>C86*scaling_factor/Common_Shares</f>
        <v>-0.34717825150878556</v>
      </c>
      <c r="E86" s="214" t="str">
        <f>Market_currency</f>
        <v>CNY</v>
      </c>
    </row>
    <row r="87" spans="2:8" ht="15" customHeight="1">
      <c r="B87" s="212" t="s">
        <v>240</v>
      </c>
      <c r="C87" s="73">
        <f>DCF!F5*Exchange_Rate</f>
        <v>843588191.76314533</v>
      </c>
      <c r="D87" s="201">
        <f>C87*scaling_factor/Common_Shares</f>
        <v>1.4634017658960605</v>
      </c>
      <c r="E87" s="214" t="str">
        <f>Market_currency</f>
        <v>CNY</v>
      </c>
    </row>
    <row r="88" spans="2:8" ht="15" customHeight="1">
      <c r="B88" s="213" t="s">
        <v>159</v>
      </c>
      <c r="C88" s="73">
        <f>DCF!F6*Exchange_Rate</f>
        <v>60320206.770000003</v>
      </c>
      <c r="D88" s="201">
        <f>C88*scaling_factor/Common_Shares</f>
        <v>0.10463955988044209</v>
      </c>
      <c r="E88" s="214" t="str">
        <f>Market_currency</f>
        <v>CNY</v>
      </c>
    </row>
    <row r="89" spans="2:8" ht="15" customHeight="1">
      <c r="B89" s="77" t="s">
        <v>244</v>
      </c>
      <c r="C89" s="162">
        <f>SUM(C86:C88)</f>
        <v>703775065.20314527</v>
      </c>
      <c r="D89" s="216">
        <f>SUM(D86:D88)</f>
        <v>1.2208630742677171</v>
      </c>
      <c r="E89" s="214" t="str">
        <f>Market_currency</f>
        <v>CNY</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97" activePane="bottomRight" state="frozen"/>
      <selection activeCell="C17" sqref="C17"/>
      <selection pane="topRight" activeCell="C17" sqref="C17"/>
      <selection pane="bottomLeft" activeCell="C17" sqref="C17"/>
      <selection pane="bottomRight" activeCell="E117" sqref="E117"/>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391</v>
      </c>
      <c r="C3" s="104">
        <f>scaling_factor</f>
        <v>1</v>
      </c>
      <c r="D3" s="9"/>
      <c r="E3" s="237"/>
      <c r="F3" s="9"/>
      <c r="G3" s="16" t="s">
        <v>408</v>
      </c>
      <c r="H3" s="104">
        <f>scaling_factor</f>
        <v>1</v>
      </c>
    </row>
    <row r="4" spans="1:17" ht="15.75" customHeight="1">
      <c r="A4" s="10"/>
      <c r="B4" s="25" t="s">
        <v>0</v>
      </c>
      <c r="C4" s="458">
        <f>C100*C117</f>
        <v>6129461219</v>
      </c>
      <c r="D4" s="54"/>
      <c r="E4" s="235"/>
      <c r="F4" s="54"/>
      <c r="G4" s="270">
        <f>Data!C36</f>
        <v>6129461219</v>
      </c>
      <c r="H4" s="270">
        <f>Data!D36</f>
        <v>6249319078</v>
      </c>
      <c r="I4" s="270">
        <f>Data!E36</f>
        <v>5682141447</v>
      </c>
      <c r="J4" s="270">
        <f>Data!F36</f>
        <v>4651100995</v>
      </c>
      <c r="K4" s="270">
        <f>Data!G36</f>
        <v>3329297918</v>
      </c>
      <c r="L4" s="270">
        <f>Data!H36</f>
        <v>3310864083</v>
      </c>
      <c r="M4" s="270">
        <f>Data!I36</f>
        <v>2918572854</v>
      </c>
      <c r="N4" s="270">
        <f>Data!J36</f>
        <v>2210529514</v>
      </c>
      <c r="O4" s="270">
        <f>Data!K36</f>
        <v>1544300894</v>
      </c>
      <c r="P4" s="270">
        <f>Data!L36</f>
        <v>1583235731</v>
      </c>
      <c r="Q4" s="270" t="str">
        <f>Data!M36</f>
        <v/>
      </c>
    </row>
    <row r="5" spans="1:17" ht="15.75" customHeight="1">
      <c r="A5" s="10"/>
      <c r="B5" s="2" t="s">
        <v>43</v>
      </c>
      <c r="C5" s="266">
        <f>C26</f>
        <v>-4898209149.4011278</v>
      </c>
      <c r="E5" s="237"/>
      <c r="G5" s="270">
        <f t="shared" ref="G5:Q5" si="1">G26</f>
        <v>-4864105968</v>
      </c>
      <c r="H5" s="270">
        <f t="shared" si="1"/>
        <v>-4817765721</v>
      </c>
      <c r="I5" s="270">
        <f t="shared" si="1"/>
        <v>-4431392835</v>
      </c>
      <c r="J5" s="270">
        <f t="shared" si="1"/>
        <v>-3657597828</v>
      </c>
      <c r="K5" s="270">
        <f t="shared" si="1"/>
        <v>-2532018613</v>
      </c>
      <c r="L5" s="270">
        <f t="shared" si="1"/>
        <v>-2677533383</v>
      </c>
      <c r="M5" s="270">
        <f t="shared" si="1"/>
        <v>-2458068124</v>
      </c>
      <c r="N5" s="270">
        <f t="shared" si="1"/>
        <v>-1893415673</v>
      </c>
      <c r="O5" s="270">
        <f t="shared" si="1"/>
        <v>-1238306330</v>
      </c>
      <c r="P5" s="270">
        <f t="shared" si="1"/>
        <v>-1239568348</v>
      </c>
      <c r="Q5" s="270" t="str">
        <f t="shared" si="1"/>
        <v/>
      </c>
    </row>
    <row r="6" spans="1:17" ht="15.75" customHeight="1">
      <c r="A6" s="10"/>
      <c r="B6" s="30" t="s">
        <v>45</v>
      </c>
      <c r="C6" s="267">
        <f>C4+C5</f>
        <v>1231252069.5988722</v>
      </c>
      <c r="E6" s="237"/>
      <c r="G6" s="267">
        <f>IF(G4="","",G4+G5)</f>
        <v>1265355251</v>
      </c>
      <c r="H6" s="267">
        <f t="shared" ref="H6:Q6" si="2">IF(H4="","",H4+H5)</f>
        <v>1431553357</v>
      </c>
      <c r="I6" s="267">
        <f t="shared" si="2"/>
        <v>1250748612</v>
      </c>
      <c r="J6" s="267">
        <f t="shared" si="2"/>
        <v>993503167</v>
      </c>
      <c r="K6" s="267">
        <f t="shared" si="2"/>
        <v>797279305</v>
      </c>
      <c r="L6" s="267">
        <f t="shared" si="2"/>
        <v>633330700</v>
      </c>
      <c r="M6" s="267">
        <f t="shared" si="2"/>
        <v>460504730</v>
      </c>
      <c r="N6" s="267">
        <f t="shared" si="2"/>
        <v>317113841</v>
      </c>
      <c r="O6" s="267">
        <f t="shared" si="2"/>
        <v>305994564</v>
      </c>
      <c r="P6" s="267">
        <f t="shared" si="2"/>
        <v>343667383</v>
      </c>
      <c r="Q6" s="267" t="str">
        <f t="shared" si="2"/>
        <v/>
      </c>
    </row>
    <row r="7" spans="1:17" ht="15.75" customHeight="1">
      <c r="A7" s="10"/>
      <c r="B7" s="8" t="s">
        <v>42</v>
      </c>
      <c r="C7" s="266">
        <f>C35</f>
        <v>-151680194</v>
      </c>
      <c r="E7" s="237"/>
      <c r="G7" s="266">
        <f t="shared" ref="G7:Q7" si="3">G35</f>
        <v>-151680194</v>
      </c>
      <c r="H7" s="266">
        <f t="shared" si="3"/>
        <v>-165913428</v>
      </c>
      <c r="I7" s="266">
        <f t="shared" si="3"/>
        <v>-204335908</v>
      </c>
      <c r="J7" s="266">
        <f t="shared" si="3"/>
        <v>-207840733</v>
      </c>
      <c r="K7" s="266">
        <f t="shared" si="3"/>
        <v>-143128813</v>
      </c>
      <c r="L7" s="266">
        <f t="shared" si="3"/>
        <v>-122004891</v>
      </c>
      <c r="M7" s="266">
        <f t="shared" si="3"/>
        <v>-128305857</v>
      </c>
      <c r="N7" s="266">
        <f t="shared" si="3"/>
        <v>-74180151</v>
      </c>
      <c r="O7" s="266">
        <f t="shared" si="3"/>
        <v>-71364015</v>
      </c>
      <c r="P7" s="266">
        <f t="shared" si="3"/>
        <v>-98873522</v>
      </c>
      <c r="Q7" s="266" t="str">
        <f t="shared" si="3"/>
        <v/>
      </c>
    </row>
    <row r="8" spans="1:17" ht="15.75" customHeight="1">
      <c r="A8" s="10"/>
      <c r="B8" s="28" t="s">
        <v>127</v>
      </c>
      <c r="C8" s="268">
        <f>C6+C7</f>
        <v>1079571875.5988722</v>
      </c>
      <c r="D8" s="56"/>
      <c r="E8" s="241"/>
      <c r="F8" s="56"/>
      <c r="G8" s="267">
        <f>IF(G$4="","",G6+G7)</f>
        <v>1113675057</v>
      </c>
      <c r="H8" s="267">
        <f t="shared" ref="H8:Q8" si="4">IF(H$4="","",H6+H7)</f>
        <v>1265639929</v>
      </c>
      <c r="I8" s="267">
        <f t="shared" si="4"/>
        <v>1046412704</v>
      </c>
      <c r="J8" s="267">
        <f t="shared" si="4"/>
        <v>785662434</v>
      </c>
      <c r="K8" s="267">
        <f t="shared" si="4"/>
        <v>654150492</v>
      </c>
      <c r="L8" s="267">
        <f t="shared" si="4"/>
        <v>511325809</v>
      </c>
      <c r="M8" s="267">
        <f t="shared" si="4"/>
        <v>332198873</v>
      </c>
      <c r="N8" s="267">
        <f t="shared" si="4"/>
        <v>242933690</v>
      </c>
      <c r="O8" s="267">
        <f t="shared" si="4"/>
        <v>234630549</v>
      </c>
      <c r="P8" s="267">
        <f t="shared" si="4"/>
        <v>244793861</v>
      </c>
      <c r="Q8" s="267" t="str">
        <f t="shared" si="4"/>
        <v/>
      </c>
    </row>
    <row r="9" spans="1:17" ht="15.75" customHeight="1">
      <c r="A9" s="10"/>
      <c r="B9" s="26" t="s">
        <v>413</v>
      </c>
      <c r="C9" s="300">
        <f>C61</f>
        <v>0</v>
      </c>
      <c r="D9" s="55"/>
      <c r="E9" s="236"/>
      <c r="F9" s="55"/>
      <c r="G9" s="270">
        <f>G59</f>
        <v>0</v>
      </c>
      <c r="H9" s="270">
        <f t="shared" ref="H9:Q9" si="5">H59</f>
        <v>0</v>
      </c>
      <c r="I9" s="270">
        <f t="shared" si="5"/>
        <v>0</v>
      </c>
      <c r="J9" s="270">
        <f t="shared" si="5"/>
        <v>0</v>
      </c>
      <c r="K9" s="270">
        <f t="shared" si="5"/>
        <v>0</v>
      </c>
      <c r="L9" s="270">
        <f t="shared" si="5"/>
        <v>0</v>
      </c>
      <c r="M9" s="270">
        <f t="shared" si="5"/>
        <v>0</v>
      </c>
      <c r="N9" s="270">
        <f t="shared" si="5"/>
        <v>0</v>
      </c>
      <c r="O9" s="270">
        <f t="shared" si="5"/>
        <v>0</v>
      </c>
      <c r="P9" s="270">
        <f t="shared" si="5"/>
        <v>0</v>
      </c>
      <c r="Q9" s="270" t="str">
        <f t="shared" si="5"/>
        <v/>
      </c>
    </row>
    <row r="10" spans="1:17" ht="15.75" customHeight="1">
      <c r="A10" s="10"/>
      <c r="B10" s="2" t="s">
        <v>65</v>
      </c>
      <c r="C10" s="266">
        <f>C48</f>
        <v>-6347066.2363988729</v>
      </c>
      <c r="E10" s="237"/>
      <c r="G10" s="266">
        <f>G48</f>
        <v>13330399.695946824</v>
      </c>
      <c r="H10" s="266">
        <f t="shared" ref="H10:Q10" si="6">H48</f>
        <v>11768668.591548294</v>
      </c>
      <c r="I10" s="266">
        <f t="shared" si="6"/>
        <v>15578675.530899916</v>
      </c>
      <c r="J10" s="266">
        <f t="shared" si="6"/>
        <v>9245447.1414980609</v>
      </c>
      <c r="K10" s="266">
        <f t="shared" si="6"/>
        <v>6617420.7584999539</v>
      </c>
      <c r="L10" s="266">
        <f t="shared" si="6"/>
        <v>3734580.4157711505</v>
      </c>
      <c r="M10" s="266">
        <f t="shared" si="6"/>
        <v>0</v>
      </c>
      <c r="N10" s="266">
        <f t="shared" si="6"/>
        <v>0</v>
      </c>
      <c r="O10" s="266">
        <f t="shared" si="6"/>
        <v>0</v>
      </c>
      <c r="P10" s="266">
        <f t="shared" si="6"/>
        <v>0</v>
      </c>
      <c r="Q10" s="266" t="str">
        <f t="shared" si="6"/>
        <v/>
      </c>
    </row>
    <row r="11" spans="1:17" ht="15.75" customHeight="1">
      <c r="A11" s="10"/>
      <c r="B11" s="67" t="s">
        <v>137</v>
      </c>
      <c r="C11" s="267">
        <f>SUM(C8:C10)</f>
        <v>1073224809.3624734</v>
      </c>
      <c r="E11" s="237"/>
      <c r="G11" s="267">
        <f t="shared" ref="G11:Q11" si="7">IF(G$4="","",SUM(G8:G10))</f>
        <v>1127005456.6959469</v>
      </c>
      <c r="H11" s="267">
        <f t="shared" si="7"/>
        <v>1277408597.5915482</v>
      </c>
      <c r="I11" s="267">
        <f t="shared" si="7"/>
        <v>1061991379.5308999</v>
      </c>
      <c r="J11" s="267">
        <f t="shared" si="7"/>
        <v>794907881.14149809</v>
      </c>
      <c r="K11" s="267">
        <f t="shared" si="7"/>
        <v>660767912.75849998</v>
      </c>
      <c r="L11" s="267">
        <f t="shared" si="7"/>
        <v>515060389.41577113</v>
      </c>
      <c r="M11" s="267">
        <f t="shared" si="7"/>
        <v>332198873</v>
      </c>
      <c r="N11" s="267">
        <f t="shared" si="7"/>
        <v>242933690</v>
      </c>
      <c r="O11" s="267">
        <f t="shared" si="7"/>
        <v>234630549</v>
      </c>
      <c r="P11" s="267">
        <f t="shared" si="7"/>
        <v>244793861</v>
      </c>
      <c r="Q11" s="267" t="str">
        <f t="shared" si="7"/>
        <v/>
      </c>
    </row>
    <row r="12" spans="1:17" ht="15.75" customHeight="1">
      <c r="A12" s="10"/>
      <c r="B12" s="2" t="s">
        <v>60</v>
      </c>
      <c r="C12" s="266">
        <f>-C11*C41</f>
        <v>-268306202.34061834</v>
      </c>
      <c r="E12" s="237"/>
      <c r="G12" s="266">
        <f>Data!C46</f>
        <v>-260714131</v>
      </c>
      <c r="H12" s="266">
        <f>Data!D46</f>
        <v>-289376410</v>
      </c>
      <c r="I12" s="266">
        <f>Data!E46</f>
        <v>-224010347</v>
      </c>
      <c r="J12" s="266">
        <f>Data!F46</f>
        <v>-153720766</v>
      </c>
      <c r="K12" s="266">
        <f>Data!G46</f>
        <v>-137748165</v>
      </c>
      <c r="L12" s="266">
        <f>Data!H46</f>
        <v>-101545465</v>
      </c>
      <c r="M12" s="266">
        <f>Data!I46</f>
        <v>-85553107</v>
      </c>
      <c r="N12" s="266">
        <f>Data!J46</f>
        <v>-50017037</v>
      </c>
      <c r="O12" s="266">
        <f>Data!K46</f>
        <v>-42676057</v>
      </c>
      <c r="P12" s="266">
        <f>Data!L46</f>
        <v>-47144437</v>
      </c>
      <c r="Q12" s="266" t="str">
        <f>Data!M46</f>
        <v/>
      </c>
    </row>
    <row r="13" spans="1:17" ht="15.75" customHeight="1">
      <c r="A13" s="10"/>
      <c r="B13" s="38" t="s">
        <v>208</v>
      </c>
      <c r="C13" s="266">
        <f>-C4*C79</f>
        <v>0</v>
      </c>
      <c r="D13" s="57"/>
      <c r="E13" s="242"/>
      <c r="F13" s="57"/>
      <c r="G13" s="270">
        <f>Data!C48</f>
        <v>0</v>
      </c>
      <c r="H13" s="270">
        <f>Data!D48</f>
        <v>0</v>
      </c>
      <c r="I13" s="270">
        <f>Data!E48</f>
        <v>0</v>
      </c>
      <c r="J13" s="270">
        <f>Data!F48</f>
        <v>0</v>
      </c>
      <c r="K13" s="270">
        <f>Data!G48</f>
        <v>0</v>
      </c>
      <c r="L13" s="270">
        <f>Data!H48</f>
        <v>0</v>
      </c>
      <c r="M13" s="270">
        <f>Data!I48</f>
        <v>0</v>
      </c>
      <c r="N13" s="270">
        <f>Data!J48</f>
        <v>0</v>
      </c>
      <c r="O13" s="270">
        <f>Data!K48</f>
        <v>0</v>
      </c>
      <c r="P13" s="270">
        <f>Data!L48</f>
        <v>0</v>
      </c>
      <c r="Q13" s="270" t="str">
        <f>Data!M48</f>
        <v/>
      </c>
    </row>
    <row r="14" spans="1:17" ht="15.75" customHeight="1">
      <c r="A14" s="10"/>
      <c r="B14" s="39" t="s">
        <v>129</v>
      </c>
      <c r="C14" s="269">
        <f>SUM(C11:C13)</f>
        <v>804918607.021855</v>
      </c>
      <c r="D14" s="58"/>
      <c r="E14" s="243"/>
      <c r="F14" s="58"/>
      <c r="G14" s="267">
        <f t="shared" ref="G14:Q14" si="8">IF(G$4="","",SUM(G11:G13))</f>
        <v>866291325.69594693</v>
      </c>
      <c r="H14" s="267">
        <f t="shared" si="8"/>
        <v>988032187.5915482</v>
      </c>
      <c r="I14" s="267">
        <f t="shared" si="8"/>
        <v>837981032.53089988</v>
      </c>
      <c r="J14" s="267">
        <f t="shared" si="8"/>
        <v>641187115.14149809</v>
      </c>
      <c r="K14" s="267">
        <f t="shared" si="8"/>
        <v>523019747.75849998</v>
      </c>
      <c r="L14" s="267">
        <f t="shared" si="8"/>
        <v>413514924.41577113</v>
      </c>
      <c r="M14" s="267">
        <f t="shared" si="8"/>
        <v>246645766</v>
      </c>
      <c r="N14" s="267">
        <f t="shared" si="8"/>
        <v>192916653</v>
      </c>
      <c r="O14" s="267">
        <f t="shared" si="8"/>
        <v>191954492</v>
      </c>
      <c r="P14" s="267">
        <f t="shared" si="8"/>
        <v>197649424</v>
      </c>
      <c r="Q14" s="267" t="str">
        <f t="shared" si="8"/>
        <v/>
      </c>
    </row>
    <row r="15" spans="1:17" ht="15.75" customHeight="1">
      <c r="A15" s="10"/>
      <c r="B15" s="2" t="s">
        <v>62</v>
      </c>
      <c r="C15" s="266">
        <f>BS!$G$39*BS!D58</f>
        <v>213321214.99999997</v>
      </c>
      <c r="E15" s="237"/>
      <c r="G15" s="266">
        <f>IF(Data!C61="","",-Data!C61)</f>
        <v>213321215</v>
      </c>
      <c r="H15" s="266">
        <f>IF(Data!D61="","",-Data!D61)</f>
        <v>173104850</v>
      </c>
      <c r="I15" s="266">
        <f>IF(Data!E61="","",-Data!E61)</f>
        <v>130450506</v>
      </c>
      <c r="J15" s="266">
        <f>IF(Data!F61="","",-Data!F61)</f>
        <v>105234144</v>
      </c>
      <c r="K15" s="266">
        <f>IF(Data!G61="","",-Data!G61)</f>
        <v>99116575</v>
      </c>
      <c r="L15" s="266">
        <f>IF(Data!H61="","",-Data!H61)</f>
        <v>95719410</v>
      </c>
      <c r="M15" s="266">
        <f>IF(Data!I61="","",-Data!I61)</f>
        <v>87904740</v>
      </c>
      <c r="N15" s="266">
        <f>IF(Data!J61="","",-Data!J61)</f>
        <v>78828048</v>
      </c>
      <c r="O15" s="266">
        <f>IF(Data!K61="","",-Data!K61)</f>
        <v>74835527</v>
      </c>
      <c r="P15" s="266">
        <f>IF(Data!L61="","",-Data!L61)</f>
        <v>0</v>
      </c>
      <c r="Q15" s="266" t="str">
        <f>IF(Data!M61="","",-Data!M61)</f>
        <v/>
      </c>
    </row>
    <row r="16" spans="1:17" ht="15.75" customHeight="1">
      <c r="A16" s="10"/>
      <c r="B16" s="2" t="s">
        <v>396</v>
      </c>
      <c r="C16" s="266">
        <f>-C4*C82</f>
        <v>-213321214.99999994</v>
      </c>
      <c r="E16" s="237"/>
      <c r="G16" s="266">
        <f>Data!C62</f>
        <v>-213321215</v>
      </c>
      <c r="H16" s="266">
        <f>Data!D62</f>
        <v>-173104850</v>
      </c>
      <c r="I16" s="266">
        <f>Data!E62</f>
        <v>-130450506</v>
      </c>
      <c r="J16" s="266">
        <f>Data!F62</f>
        <v>-105234144</v>
      </c>
      <c r="K16" s="266">
        <f>Data!G62</f>
        <v>-99116575</v>
      </c>
      <c r="L16" s="266">
        <f>Data!H62</f>
        <v>-95719410</v>
      </c>
      <c r="M16" s="266">
        <f>Data!I62</f>
        <v>-87904740</v>
      </c>
      <c r="N16" s="266">
        <f>Data!J62</f>
        <v>-78828048</v>
      </c>
      <c r="O16" s="266">
        <f>Data!K62</f>
        <v>-74835527</v>
      </c>
      <c r="P16" s="266">
        <f>Data!L62</f>
        <v>0</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804918607.021855</v>
      </c>
      <c r="D19" s="26"/>
      <c r="E19" s="234"/>
      <c r="F19" s="26"/>
      <c r="G19" s="271">
        <f t="shared" ref="G19:Q19" si="9">IF(G$4="","",G14+G17)</f>
        <v>866291325.69594693</v>
      </c>
      <c r="H19" s="271">
        <f t="shared" si="9"/>
        <v>988032187.5915482</v>
      </c>
      <c r="I19" s="271">
        <f t="shared" si="9"/>
        <v>837981032.53089988</v>
      </c>
      <c r="J19" s="271">
        <f t="shared" si="9"/>
        <v>641187115.14149809</v>
      </c>
      <c r="K19" s="271">
        <f t="shared" si="9"/>
        <v>523019747.75849998</v>
      </c>
      <c r="L19" s="271">
        <f t="shared" si="9"/>
        <v>413514924.41577113</v>
      </c>
      <c r="M19" s="271">
        <f t="shared" si="9"/>
        <v>246645766</v>
      </c>
      <c r="N19" s="271">
        <f t="shared" si="9"/>
        <v>192916653</v>
      </c>
      <c r="O19" s="271">
        <f t="shared" si="9"/>
        <v>191954492</v>
      </c>
      <c r="P19" s="271">
        <f t="shared" si="9"/>
        <v>197649424</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-4407422084</v>
      </c>
      <c r="D23" s="55"/>
      <c r="E23" s="236"/>
      <c r="F23" s="55"/>
      <c r="G23" s="270">
        <f>Data!C37</f>
        <v>-4407422084</v>
      </c>
      <c r="H23" s="270">
        <f>Data!D37</f>
        <v>-4321480843</v>
      </c>
      <c r="I23" s="270">
        <f>Data!E37</f>
        <v>-3978855242</v>
      </c>
      <c r="J23" s="270">
        <f>Data!F37</f>
        <v>-3293652640</v>
      </c>
      <c r="K23" s="270">
        <f>Data!G37</f>
        <v>-2298160068</v>
      </c>
      <c r="L23" s="270">
        <f>Data!H37</f>
        <v>-2198164870</v>
      </c>
      <c r="M23" s="270">
        <f>Data!I37</f>
        <v>-2065727128</v>
      </c>
      <c r="N23" s="270">
        <f>Data!J37</f>
        <v>-1559929846</v>
      </c>
      <c r="O23" s="270">
        <f>Data!K37</f>
        <v>-993637032</v>
      </c>
      <c r="P23" s="270">
        <f>Data!L37</f>
        <v>-996799764</v>
      </c>
      <c r="Q23" s="270" t="str">
        <f>Data!M37</f>
        <v/>
      </c>
    </row>
    <row r="24" spans="1:17" ht="15.75" customHeight="1">
      <c r="A24" s="10"/>
      <c r="B24" s="65" t="s">
        <v>59</v>
      </c>
      <c r="C24" s="266">
        <f>-C4*C30</f>
        <v>-304923157</v>
      </c>
      <c r="D24" s="26"/>
      <c r="E24" s="234"/>
      <c r="F24" s="26"/>
      <c r="G24" s="270">
        <f>Data!C40</f>
        <v>-304923157</v>
      </c>
      <c r="H24" s="270">
        <f>Data!D40</f>
        <v>-285858877</v>
      </c>
      <c r="I24" s="270">
        <f>Data!E40</f>
        <v>-267651684</v>
      </c>
      <c r="J24" s="270">
        <f>Data!F40</f>
        <v>-222391023</v>
      </c>
      <c r="K24" s="270">
        <f>Data!G40</f>
        <v>-172179694</v>
      </c>
      <c r="L24" s="270">
        <f>Data!H40</f>
        <v>-410723752</v>
      </c>
      <c r="M24" s="270">
        <f>Data!I40</f>
        <v>-343598742</v>
      </c>
      <c r="N24" s="270">
        <f>Data!J40</f>
        <v>-286174672</v>
      </c>
      <c r="O24" s="270">
        <f>Data!K40</f>
        <v>-197063391</v>
      </c>
      <c r="P24" s="270">
        <f>Data!L40</f>
        <v>-242768584</v>
      </c>
      <c r="Q24" s="270" t="str">
        <f>Data!M40</f>
        <v/>
      </c>
    </row>
    <row r="25" spans="1:17" ht="15.75" customHeight="1">
      <c r="A25" s="10"/>
      <c r="B25" s="26" t="s">
        <v>46</v>
      </c>
      <c r="C25" s="266">
        <f>-C4*C31</f>
        <v>-185863908.40112749</v>
      </c>
      <c r="D25" s="55"/>
      <c r="E25" s="235"/>
      <c r="F25" s="55"/>
      <c r="G25" s="270">
        <f>Data!C42</f>
        <v>-151760727</v>
      </c>
      <c r="H25" s="270">
        <f>Data!D42</f>
        <v>-210426001</v>
      </c>
      <c r="I25" s="270">
        <f>Data!E42</f>
        <v>-184885909</v>
      </c>
      <c r="J25" s="270">
        <f>Data!F42</f>
        <v>-141554165</v>
      </c>
      <c r="K25" s="270">
        <f>Data!G42</f>
        <v>-61678851</v>
      </c>
      <c r="L25" s="270">
        <f>Data!H42</f>
        <v>-68644761</v>
      </c>
      <c r="M25" s="270">
        <f>Data!I42</f>
        <v>-48742254</v>
      </c>
      <c r="N25" s="270">
        <f>Data!J42</f>
        <v>-47311155</v>
      </c>
      <c r="O25" s="270">
        <f>Data!K42</f>
        <v>-47605907</v>
      </c>
      <c r="P25" s="270">
        <f>Data!L42</f>
        <v>0</v>
      </c>
      <c r="Q25" s="270" t="str">
        <f>Data!M42</f>
        <v/>
      </c>
    </row>
    <row r="26" spans="1:17" ht="15.75" customHeight="1">
      <c r="A26" s="10"/>
      <c r="B26" s="67" t="s">
        <v>43</v>
      </c>
      <c r="C26" s="267">
        <f>SUM(C23:C25)</f>
        <v>-4898209149.4011278</v>
      </c>
      <c r="D26" s="9"/>
      <c r="E26" s="240"/>
      <c r="F26" s="9"/>
      <c r="G26" s="267">
        <f>IF(G$4="","",SUM(G23:G25))</f>
        <v>-4864105968</v>
      </c>
      <c r="H26" s="267">
        <f t="shared" ref="H26:Q26" si="10">IF(H$4="","",SUM(H23:H25))</f>
        <v>-4817765721</v>
      </c>
      <c r="I26" s="267">
        <f t="shared" si="10"/>
        <v>-4431392835</v>
      </c>
      <c r="J26" s="267">
        <f t="shared" si="10"/>
        <v>-3657597828</v>
      </c>
      <c r="K26" s="267">
        <f t="shared" si="10"/>
        <v>-2532018613</v>
      </c>
      <c r="L26" s="267">
        <f t="shared" si="10"/>
        <v>-2677533383</v>
      </c>
      <c r="M26" s="267">
        <f t="shared" si="10"/>
        <v>-2458068124</v>
      </c>
      <c r="N26" s="267">
        <f t="shared" si="10"/>
        <v>-1893415673</v>
      </c>
      <c r="O26" s="267">
        <f t="shared" si="10"/>
        <v>-1238306330</v>
      </c>
      <c r="P26" s="267">
        <f t="shared" si="10"/>
        <v>-1239568348</v>
      </c>
      <c r="Q26" s="267" t="str">
        <f t="shared" si="10"/>
        <v/>
      </c>
    </row>
    <row r="27" spans="1:17" ht="15.75" customHeight="1">
      <c r="A27" s="10"/>
      <c r="E27" s="237"/>
    </row>
    <row r="28" spans="1:17" ht="15.75" customHeight="1">
      <c r="A28" s="10"/>
      <c r="B28" s="61" t="s">
        <v>175</v>
      </c>
      <c r="E28" s="237"/>
    </row>
    <row r="29" spans="1:17" ht="15.75" customHeight="1">
      <c r="A29" s="10"/>
      <c r="B29" s="25" t="s">
        <v>40</v>
      </c>
      <c r="C29" s="60">
        <f>G29</f>
        <v>0.71905538293283389</v>
      </c>
      <c r="D29" s="25"/>
      <c r="E29" s="235"/>
      <c r="F29" s="25"/>
      <c r="G29" s="13">
        <f t="shared" ref="G29:Q29" si="11">IF(G$4="","",ABS(G23/G$4))</f>
        <v>0.71905538293283389</v>
      </c>
      <c r="H29" s="13">
        <f t="shared" si="11"/>
        <v>0.69151227342723942</v>
      </c>
      <c r="I29" s="13">
        <f t="shared" si="11"/>
        <v>0.70023868274182366</v>
      </c>
      <c r="J29" s="13">
        <f t="shared" si="11"/>
        <v>0.7081447260639413</v>
      </c>
      <c r="K29" s="13">
        <f t="shared" si="11"/>
        <v>0.6902836948219303</v>
      </c>
      <c r="L29" s="13">
        <f t="shared" si="11"/>
        <v>0.66392482895529359</v>
      </c>
      <c r="M29" s="13">
        <f t="shared" si="11"/>
        <v>0.7077867270535505</v>
      </c>
      <c r="N29" s="13">
        <f t="shared" si="11"/>
        <v>0.70568152839419629</v>
      </c>
      <c r="O29" s="13">
        <f t="shared" si="11"/>
        <v>0.6434219107562078</v>
      </c>
      <c r="P29" s="13">
        <f t="shared" si="11"/>
        <v>0.62959655626923194</v>
      </c>
      <c r="Q29" s="13" t="str">
        <f t="shared" si="11"/>
        <v/>
      </c>
    </row>
    <row r="30" spans="1:17" ht="15.75" customHeight="1">
      <c r="A30" s="10"/>
      <c r="B30" s="65" t="str">
        <f>B24</f>
        <v>Selling Expenses</v>
      </c>
      <c r="C30" s="60">
        <f>G30</f>
        <v>4.9747138631826948E-2</v>
      </c>
      <c r="D30" s="25"/>
      <c r="E30" s="235"/>
      <c r="F30" s="25"/>
      <c r="G30" s="13">
        <f t="shared" ref="G30:Q30" si="12">IF(G$4="","",ABS(G24/G$4))</f>
        <v>4.9747138631826948E-2</v>
      </c>
      <c r="H30" s="13">
        <f t="shared" si="12"/>
        <v>4.5742403841457363E-2</v>
      </c>
      <c r="I30" s="13">
        <f t="shared" si="12"/>
        <v>4.7104016416436106E-2</v>
      </c>
      <c r="J30" s="13">
        <f t="shared" si="12"/>
        <v>4.7814705214759584E-2</v>
      </c>
      <c r="K30" s="13">
        <f t="shared" si="12"/>
        <v>5.1716517488297663E-2</v>
      </c>
      <c r="L30" s="13">
        <f t="shared" si="12"/>
        <v>0.12405334127393111</v>
      </c>
      <c r="M30" s="13">
        <f t="shared" si="12"/>
        <v>0.11772834162048984</v>
      </c>
      <c r="N30" s="13">
        <f t="shared" si="12"/>
        <v>0.12945978336301914</v>
      </c>
      <c r="O30" s="13">
        <f t="shared" si="12"/>
        <v>0.12760686195652748</v>
      </c>
      <c r="P30" s="13">
        <f t="shared" si="12"/>
        <v>0.15333697897701123</v>
      </c>
      <c r="Q30" s="13" t="str">
        <f t="shared" si="12"/>
        <v/>
      </c>
    </row>
    <row r="31" spans="1:17" ht="15.75" customHeight="1">
      <c r="A31" s="10"/>
      <c r="B31" s="26" t="str">
        <f>B25</f>
        <v>R&amp;D</v>
      </c>
      <c r="C31" s="60">
        <f>AVERAGE(G31:I31)</f>
        <v>3.0323041742231712E-2</v>
      </c>
      <c r="D31" s="26"/>
      <c r="E31" s="234"/>
      <c r="F31" s="26"/>
      <c r="G31" s="13">
        <f t="shared" ref="G31:Q31" si="13">IF(G$4="","",ABS(G25/G$4))</f>
        <v>2.475922786322143E-2</v>
      </c>
      <c r="H31" s="13">
        <f t="shared" si="13"/>
        <v>3.3671828622222254E-2</v>
      </c>
      <c r="I31" s="13">
        <f t="shared" si="13"/>
        <v>3.2538068741251452E-2</v>
      </c>
      <c r="J31" s="13">
        <f t="shared" si="13"/>
        <v>3.0434549830711644E-2</v>
      </c>
      <c r="K31" s="13">
        <f t="shared" si="13"/>
        <v>1.852608343234485E-2</v>
      </c>
      <c r="L31" s="13">
        <f t="shared" si="13"/>
        <v>2.0733186044230616E-2</v>
      </c>
      <c r="M31" s="13">
        <f t="shared" si="13"/>
        <v>1.6700715191398131E-2</v>
      </c>
      <c r="N31" s="13">
        <f t="shared" si="13"/>
        <v>2.1402634391607583E-2</v>
      </c>
      <c r="O31" s="13">
        <f t="shared" si="13"/>
        <v>3.082683380224735E-2</v>
      </c>
      <c r="P31" s="13">
        <f t="shared" si="13"/>
        <v>0</v>
      </c>
      <c r="Q31" s="13" t="str">
        <f t="shared" si="13"/>
        <v/>
      </c>
    </row>
    <row r="32" spans="1:17" ht="15.75" customHeight="1">
      <c r="A32" s="10"/>
      <c r="B32" s="67" t="s">
        <v>43</v>
      </c>
      <c r="C32" s="68">
        <f>ABS(C26/$C$4)</f>
        <v>0.79912556330689266</v>
      </c>
      <c r="E32" s="237"/>
      <c r="G32" s="29">
        <f t="shared" ref="G32:Q32" si="14">IF(G$4="","",ABS(G26/G$4))</f>
        <v>0.79356174942788227</v>
      </c>
      <c r="H32" s="29">
        <f t="shared" si="14"/>
        <v>0.77092650589091904</v>
      </c>
      <c r="I32" s="29">
        <f t="shared" si="14"/>
        <v>0.77988076789951122</v>
      </c>
      <c r="J32" s="29">
        <f t="shared" si="14"/>
        <v>0.78639398110941261</v>
      </c>
      <c r="K32" s="29">
        <f t="shared" si="14"/>
        <v>0.7605262957425728</v>
      </c>
      <c r="L32" s="29">
        <f t="shared" si="14"/>
        <v>0.80871135627345536</v>
      </c>
      <c r="M32" s="29">
        <f t="shared" si="14"/>
        <v>0.84221578386543849</v>
      </c>
      <c r="N32" s="29">
        <f t="shared" si="14"/>
        <v>0.85654394614882301</v>
      </c>
      <c r="O32" s="29">
        <f t="shared" si="14"/>
        <v>0.80185560651498267</v>
      </c>
      <c r="P32" s="29">
        <f t="shared" si="14"/>
        <v>0.7829335352462431</v>
      </c>
      <c r="Q32" s="29" t="str">
        <f t="shared" si="14"/>
        <v/>
      </c>
    </row>
    <row r="33" spans="1:17" ht="15.75" customHeight="1">
      <c r="A33" s="10"/>
      <c r="E33" s="237"/>
    </row>
    <row r="34" spans="1:17" ht="15.75" customHeight="1">
      <c r="A34" s="10"/>
      <c r="B34" s="61" t="s">
        <v>42</v>
      </c>
      <c r="E34" s="237"/>
    </row>
    <row r="35" spans="1:17" ht="15.75" customHeight="1">
      <c r="A35" s="10"/>
      <c r="B35" s="298" t="s">
        <v>394</v>
      </c>
      <c r="C35" s="276">
        <f>G35</f>
        <v>-151680194</v>
      </c>
      <c r="D35" s="55"/>
      <c r="E35" s="236"/>
      <c r="F35" s="55"/>
      <c r="G35" s="267">
        <f>IF(G4="","",Data!C41)</f>
        <v>-151680194</v>
      </c>
      <c r="H35" s="267">
        <f>IF(H4="","",Data!D41)</f>
        <v>-165913428</v>
      </c>
      <c r="I35" s="267">
        <f>IF(I4="","",Data!E41)</f>
        <v>-204335908</v>
      </c>
      <c r="J35" s="267">
        <f>IF(J4="","",Data!F41)</f>
        <v>-207840733</v>
      </c>
      <c r="K35" s="267">
        <f>IF(K4="","",Data!G41)</f>
        <v>-143128813</v>
      </c>
      <c r="L35" s="267">
        <f>IF(L4="","",Data!H41)</f>
        <v>-122004891</v>
      </c>
      <c r="M35" s="267">
        <f>IF(M4="","",Data!I41)</f>
        <v>-128305857</v>
      </c>
      <c r="N35" s="267">
        <f>IF(N4="","",Data!J41)</f>
        <v>-74180151</v>
      </c>
      <c r="O35" s="267">
        <f>IF(O4="","",Data!K41)</f>
        <v>-71364015</v>
      </c>
      <c r="P35" s="267">
        <f>IF(P4="","",Data!L41)</f>
        <v>-98873522</v>
      </c>
      <c r="Q35" s="267" t="str">
        <f>IF(Q4="","",Data!M41)</f>
        <v/>
      </c>
    </row>
    <row r="36" spans="1:17" ht="15.75" customHeight="1">
      <c r="A36" s="10"/>
      <c r="E36" s="237"/>
    </row>
    <row r="37" spans="1:17" ht="15.75" customHeight="1">
      <c r="A37" s="10"/>
      <c r="B37" s="61" t="s">
        <v>176</v>
      </c>
      <c r="E37" s="237"/>
    </row>
    <row r="38" spans="1:17" ht="15.75" customHeight="1">
      <c r="A38" s="10"/>
      <c r="B38" s="298" t="s">
        <v>394</v>
      </c>
      <c r="C38" s="68">
        <f>ABS(C35/$C$4)</f>
        <v>2.4746089188038958E-2</v>
      </c>
      <c r="E38" s="237"/>
      <c r="G38" s="29">
        <f t="shared" ref="G38:Q38" si="15">IF(G$4="","",ABS(G35/G$4))</f>
        <v>2.4746089188038958E-2</v>
      </c>
      <c r="H38" s="29">
        <f t="shared" si="15"/>
        <v>2.654904093216794E-2</v>
      </c>
      <c r="I38" s="29">
        <f t="shared" si="15"/>
        <v>3.5961073814500553E-2</v>
      </c>
      <c r="J38" s="29">
        <f t="shared" si="15"/>
        <v>4.4686351301214865E-2</v>
      </c>
      <c r="K38" s="29">
        <f t="shared" si="15"/>
        <v>4.2990689486263028E-2</v>
      </c>
      <c r="L38" s="29">
        <f t="shared" si="15"/>
        <v>3.6849863945321006E-2</v>
      </c>
      <c r="M38" s="29">
        <f t="shared" si="15"/>
        <v>4.396184827942623E-2</v>
      </c>
      <c r="N38" s="29">
        <f t="shared" si="15"/>
        <v>3.3557638805631437E-2</v>
      </c>
      <c r="O38" s="29">
        <f t="shared" si="15"/>
        <v>4.6211211349593377E-2</v>
      </c>
      <c r="P38" s="29">
        <f t="shared" si="15"/>
        <v>6.2450284606417841E-2</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401</v>
      </c>
      <c r="F41" s="26"/>
      <c r="G41" s="6">
        <f t="shared" ref="G41:Q41" si="16">IF(G$4="","",-G12/SUM(G8+G9,G10))</f>
        <v>0.23133351258505722</v>
      </c>
      <c r="H41" s="6">
        <f t="shared" si="16"/>
        <v>0.22653394579118702</v>
      </c>
      <c r="I41" s="6">
        <f t="shared" si="16"/>
        <v>0.21093424232779487</v>
      </c>
      <c r="J41" s="6">
        <f t="shared" si="16"/>
        <v>0.19338186178158778</v>
      </c>
      <c r="K41" s="6">
        <f t="shared" si="16"/>
        <v>0.20846678892887574</v>
      </c>
      <c r="L41" s="6">
        <f t="shared" si="16"/>
        <v>0.19715254188966502</v>
      </c>
      <c r="M41" s="6">
        <f t="shared" si="16"/>
        <v>0.25753581349446664</v>
      </c>
      <c r="N41" s="6">
        <f t="shared" si="16"/>
        <v>0.20588761073031905</v>
      </c>
      <c r="O41" s="6">
        <f t="shared" si="16"/>
        <v>0.1818861916399471</v>
      </c>
      <c r="P41" s="6">
        <f t="shared" si="16"/>
        <v>0.19258831413259991</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-12007999.9998</v>
      </c>
      <c r="E45" s="237"/>
      <c r="G45" s="266">
        <f>Data!C51</f>
        <v>-6249607</v>
      </c>
      <c r="H45" s="266">
        <f>Data!D51</f>
        <v>-4610251</v>
      </c>
      <c r="I45" s="266">
        <f>Data!E51</f>
        <v>-1311423</v>
      </c>
      <c r="J45" s="266">
        <f>Data!F51</f>
        <v>-394228</v>
      </c>
      <c r="K45" s="266">
        <f>Data!G51</f>
        <v>-74051</v>
      </c>
      <c r="L45" s="266">
        <f>Data!H51</f>
        <v>0</v>
      </c>
      <c r="M45" s="266">
        <f>Data!I51</f>
        <v>0</v>
      </c>
      <c r="N45" s="266">
        <f>Data!J51</f>
        <v>0</v>
      </c>
      <c r="O45" s="266">
        <f>Data!K51</f>
        <v>0</v>
      </c>
      <c r="P45" s="266">
        <f>Data!L51</f>
        <v>0</v>
      </c>
      <c r="Q45" s="266" t="str">
        <f>Data!M51</f>
        <v/>
      </c>
    </row>
    <row r="46" spans="1:17" ht="15.75" customHeight="1">
      <c r="A46" s="10"/>
      <c r="B46" s="2" t="s">
        <v>272</v>
      </c>
      <c r="C46" s="266">
        <f>BS!D75*C51</f>
        <v>5660933.7634011274</v>
      </c>
      <c r="E46" s="237"/>
      <c r="G46" s="274">
        <f t="shared" ref="G46:Q46" si="17">IFERROR(IF(G$4="","",($C$46/$C$47)*G47),0)</f>
        <v>19580006.695946824</v>
      </c>
      <c r="H46" s="274">
        <f t="shared" si="17"/>
        <v>16378919.591548294</v>
      </c>
      <c r="I46" s="274">
        <f t="shared" si="17"/>
        <v>16890098.530899916</v>
      </c>
      <c r="J46" s="274">
        <f t="shared" si="17"/>
        <v>9639675.1414980609</v>
      </c>
      <c r="K46" s="274">
        <f t="shared" si="17"/>
        <v>6691471.7584999539</v>
      </c>
      <c r="L46" s="274">
        <f t="shared" si="17"/>
        <v>3734580.4157711505</v>
      </c>
      <c r="M46" s="274">
        <f t="shared" si="17"/>
        <v>0</v>
      </c>
      <c r="N46" s="274">
        <f t="shared" si="17"/>
        <v>0</v>
      </c>
      <c r="O46" s="274">
        <f t="shared" si="17"/>
        <v>0</v>
      </c>
      <c r="P46" s="274">
        <f t="shared" si="17"/>
        <v>0</v>
      </c>
      <c r="Q46" s="274" t="str">
        <f t="shared" si="17"/>
        <v/>
      </c>
    </row>
    <row r="47" spans="1:17" ht="15.75" customHeight="1">
      <c r="A47" s="10"/>
      <c r="B47" s="245" t="s">
        <v>269</v>
      </c>
      <c r="C47" s="278">
        <f>BS!$C$66*C51</f>
        <v>10722462.91398</v>
      </c>
      <c r="D47" s="246"/>
      <c r="E47" s="247"/>
      <c r="F47" s="246"/>
      <c r="G47" s="278">
        <f>Data!C52</f>
        <v>37086796</v>
      </c>
      <c r="H47" s="278">
        <f>Data!D52</f>
        <v>31023567</v>
      </c>
      <c r="I47" s="278">
        <f>Data!E52</f>
        <v>31991799</v>
      </c>
      <c r="J47" s="278">
        <f>Data!F52</f>
        <v>18258659</v>
      </c>
      <c r="K47" s="278">
        <f>Data!G52</f>
        <v>12674421</v>
      </c>
      <c r="L47" s="278">
        <f>Data!H52</f>
        <v>7073727</v>
      </c>
      <c r="M47" s="278">
        <f>Data!I52</f>
        <v>0</v>
      </c>
      <c r="N47" s="278">
        <f>Data!J52</f>
        <v>0</v>
      </c>
      <c r="O47" s="278">
        <f>Data!K52</f>
        <v>0</v>
      </c>
      <c r="P47" s="278">
        <f>Data!L52</f>
        <v>0</v>
      </c>
      <c r="Q47" s="278" t="str">
        <f>Data!M52</f>
        <v/>
      </c>
    </row>
    <row r="48" spans="1:17" ht="15.75" customHeight="1">
      <c r="A48" s="10"/>
      <c r="B48" s="67" t="s">
        <v>65</v>
      </c>
      <c r="C48" s="267">
        <f>C45+C46</f>
        <v>-6347066.2363988729</v>
      </c>
      <c r="E48" s="237"/>
      <c r="G48" s="267">
        <f>IF(G$4="","",(G45+G46))</f>
        <v>13330399.695946824</v>
      </c>
      <c r="H48" s="267">
        <f t="shared" ref="H48:Q48" si="18">IF(H$4="","",(H45+H46))</f>
        <v>11768668.591548294</v>
      </c>
      <c r="I48" s="267">
        <f t="shared" si="18"/>
        <v>15578675.530899916</v>
      </c>
      <c r="J48" s="267">
        <f t="shared" si="18"/>
        <v>9245447.1414980609</v>
      </c>
      <c r="K48" s="267">
        <f t="shared" si="18"/>
        <v>6617420.7584999539</v>
      </c>
      <c r="L48" s="267">
        <f t="shared" si="18"/>
        <v>3734580.4157711505</v>
      </c>
      <c r="M48" s="267">
        <f t="shared" si="18"/>
        <v>0</v>
      </c>
      <c r="N48" s="267">
        <f t="shared" si="18"/>
        <v>0</v>
      </c>
      <c r="O48" s="267">
        <f t="shared" si="18"/>
        <v>0</v>
      </c>
      <c r="P48" s="267">
        <f t="shared" si="18"/>
        <v>0</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2.0752767138030977E-2</v>
      </c>
      <c r="H51" s="151"/>
      <c r="I51" s="151"/>
      <c r="J51" s="151"/>
      <c r="K51" s="151"/>
      <c r="L51" s="151"/>
      <c r="M51" s="151"/>
      <c r="N51" s="151"/>
      <c r="O51" s="151"/>
      <c r="P51" s="151"/>
      <c r="Q51" s="151"/>
    </row>
    <row r="52" spans="1:17" ht="15.75" customHeight="1">
      <c r="A52" s="10"/>
      <c r="B52" s="8" t="s">
        <v>84</v>
      </c>
      <c r="C52" s="79">
        <v>0.06</v>
      </c>
      <c r="E52" s="234"/>
      <c r="G52" s="22">
        <f>IFERROR(ABS(Normalized_FCF!G45/BS!$G$31),0)</f>
        <v>3.122721685594982E-2</v>
      </c>
      <c r="H52" s="151"/>
      <c r="I52" s="151"/>
      <c r="J52" s="151"/>
      <c r="K52" s="151"/>
      <c r="L52" s="151"/>
      <c r="M52" s="151"/>
      <c r="N52" s="151"/>
      <c r="O52" s="151"/>
      <c r="P52" s="151"/>
      <c r="Q52" s="151"/>
    </row>
    <row r="53" spans="1:17" ht="15.75" customHeight="1">
      <c r="A53" s="10"/>
      <c r="B53" s="25" t="s">
        <v>87</v>
      </c>
      <c r="C53" s="40">
        <f>-C8/C45</f>
        <v>89.904386710264248</v>
      </c>
      <c r="E53" s="237"/>
      <c r="G53" s="40">
        <f t="shared" ref="G53:Q53" si="19">IF(G4="","",-G8/G45)</f>
        <v>178.19921428659435</v>
      </c>
      <c r="H53" s="40">
        <f t="shared" si="19"/>
        <v>274.52733679793141</v>
      </c>
      <c r="I53" s="40">
        <f t="shared" si="19"/>
        <v>797.92157374089061</v>
      </c>
      <c r="J53" s="40">
        <f t="shared" si="19"/>
        <v>1992.9138315898415</v>
      </c>
      <c r="K53" s="40">
        <f t="shared" si="19"/>
        <v>8833.7833655183586</v>
      </c>
      <c r="L53" s="40" t="e">
        <f t="shared" si="19"/>
        <v>#DIV/0!</v>
      </c>
      <c r="M53" s="40" t="e">
        <f t="shared" si="19"/>
        <v>#DIV/0!</v>
      </c>
      <c r="N53" s="40" t="e">
        <f t="shared" si="19"/>
        <v>#DIV/0!</v>
      </c>
      <c r="O53" s="40" t="e">
        <f t="shared" si="19"/>
        <v>#DIV/0!</v>
      </c>
      <c r="P53" s="40" t="e">
        <f t="shared" si="19"/>
        <v>#DIV/0!</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f>Data!E56</f>
        <v>0</v>
      </c>
      <c r="J56" s="266">
        <f>Data!F56</f>
        <v>0</v>
      </c>
      <c r="K56" s="266">
        <f>Data!G56</f>
        <v>0</v>
      </c>
      <c r="L56" s="266">
        <f>Data!H56</f>
        <v>0</v>
      </c>
      <c r="M56" s="266">
        <f>Data!I56</f>
        <v>0</v>
      </c>
      <c r="N56" s="266">
        <f>Data!J56</f>
        <v>0</v>
      </c>
      <c r="O56" s="266">
        <f>Data!K56</f>
        <v>0</v>
      </c>
      <c r="P56" s="266">
        <f>Data!L56</f>
        <v>0</v>
      </c>
      <c r="Q56" s="266" t="str">
        <f>Data!M56</f>
        <v/>
      </c>
    </row>
    <row r="57" spans="1:17" ht="15.75" customHeight="1">
      <c r="A57" s="10"/>
      <c r="B57" s="38" t="s">
        <v>134</v>
      </c>
      <c r="C57" s="266">
        <f>BS!$C68*C65</f>
        <v>0</v>
      </c>
      <c r="E57" s="237"/>
      <c r="G57" s="266">
        <f>Data!C55</f>
        <v>0</v>
      </c>
      <c r="H57" s="266">
        <f>Data!D55</f>
        <v>0</v>
      </c>
      <c r="I57" s="266">
        <f>Data!E55</f>
        <v>0</v>
      </c>
      <c r="J57" s="266">
        <f>Data!F55</f>
        <v>0</v>
      </c>
      <c r="K57" s="266">
        <f>Data!G55</f>
        <v>0</v>
      </c>
      <c r="L57" s="266">
        <f>Data!H55</f>
        <v>0</v>
      </c>
      <c r="M57" s="266">
        <f>Data!I55</f>
        <v>0</v>
      </c>
      <c r="N57" s="266">
        <f>Data!J55</f>
        <v>0</v>
      </c>
      <c r="O57" s="266">
        <f>Data!K55</f>
        <v>0</v>
      </c>
      <c r="P57" s="266">
        <f>Data!L55</f>
        <v>0</v>
      </c>
      <c r="Q57" s="266" t="str">
        <f>Data!M55</f>
        <v/>
      </c>
    </row>
    <row r="58" spans="1:17" ht="15.75" customHeight="1">
      <c r="A58" s="10"/>
      <c r="B58" s="38" t="s">
        <v>133</v>
      </c>
      <c r="C58" s="266">
        <f>BS!$C69*C66</f>
        <v>0</v>
      </c>
      <c r="E58" s="237"/>
      <c r="G58" s="266">
        <f>Data!C57</f>
        <v>0</v>
      </c>
      <c r="H58" s="266">
        <f>Data!D57</f>
        <v>0</v>
      </c>
      <c r="I58" s="266">
        <f>Data!E57</f>
        <v>0</v>
      </c>
      <c r="J58" s="266">
        <f>Data!F57</f>
        <v>0</v>
      </c>
      <c r="K58" s="266">
        <f>Data!G57</f>
        <v>0</v>
      </c>
      <c r="L58" s="266">
        <f>Data!H57</f>
        <v>0</v>
      </c>
      <c r="M58" s="266">
        <f>Data!I57</f>
        <v>0</v>
      </c>
      <c r="N58" s="266">
        <f>Data!J57</f>
        <v>0</v>
      </c>
      <c r="O58" s="266">
        <f>Data!K57</f>
        <v>0</v>
      </c>
      <c r="P58" s="266">
        <f>Data!L57</f>
        <v>0</v>
      </c>
      <c r="Q58" s="266" t="str">
        <f>Data!M57</f>
        <v/>
      </c>
    </row>
    <row r="59" spans="1:17" ht="15.75" customHeight="1">
      <c r="A59" s="10"/>
      <c r="B59" s="30" t="s">
        <v>163</v>
      </c>
      <c r="C59" s="267">
        <f>SUM(C56:C58)</f>
        <v>0</v>
      </c>
      <c r="E59" s="237"/>
      <c r="G59" s="267">
        <f t="shared" ref="G59:Q59" si="20">IF(G4="","",SUM(G56:G58))</f>
        <v>0</v>
      </c>
      <c r="H59" s="267">
        <f t="shared" si="20"/>
        <v>0</v>
      </c>
      <c r="I59" s="267">
        <f t="shared" si="20"/>
        <v>0</v>
      </c>
      <c r="J59" s="267">
        <f t="shared" si="20"/>
        <v>0</v>
      </c>
      <c r="K59" s="267">
        <f t="shared" si="20"/>
        <v>0</v>
      </c>
      <c r="L59" s="267">
        <f t="shared" si="20"/>
        <v>0</v>
      </c>
      <c r="M59" s="267">
        <f t="shared" si="20"/>
        <v>0</v>
      </c>
      <c r="N59" s="267">
        <f t="shared" si="20"/>
        <v>0</v>
      </c>
      <c r="O59" s="267">
        <f t="shared" si="20"/>
        <v>0</v>
      </c>
      <c r="P59" s="267">
        <f t="shared" si="20"/>
        <v>0</v>
      </c>
      <c r="Q59" s="267" t="str">
        <f t="shared" si="20"/>
        <v/>
      </c>
    </row>
    <row r="60" spans="1:17" ht="15.75" customHeight="1">
      <c r="A60" s="10"/>
      <c r="B60" s="38" t="s">
        <v>135</v>
      </c>
      <c r="C60" s="279">
        <v>0</v>
      </c>
      <c r="E60" s="235" t="s">
        <v>264</v>
      </c>
      <c r="G60" s="266">
        <f>Data!C58</f>
        <v>-35566924</v>
      </c>
      <c r="H60" s="266">
        <f>Data!D58</f>
        <v>5412624</v>
      </c>
      <c r="I60" s="266">
        <f>Data!E58</f>
        <v>-19164063</v>
      </c>
      <c r="J60" s="266">
        <f>Data!F58</f>
        <v>-2800013</v>
      </c>
      <c r="K60" s="266">
        <f>Data!G58</f>
        <v>-14320130</v>
      </c>
      <c r="L60" s="266">
        <f>Data!H58</f>
        <v>-3777121</v>
      </c>
      <c r="M60" s="266">
        <f>Data!I58</f>
        <v>-2170030</v>
      </c>
      <c r="N60" s="266">
        <f>Data!J58</f>
        <v>13040050</v>
      </c>
      <c r="O60" s="266">
        <f>Data!K58</f>
        <v>-32209532</v>
      </c>
      <c r="P60" s="266">
        <f>Data!L58</f>
        <v>-55037745</v>
      </c>
      <c r="Q60" s="266" t="str">
        <f>Data!M58</f>
        <v/>
      </c>
    </row>
    <row r="61" spans="1:17" ht="15.75" customHeight="1">
      <c r="A61" s="10"/>
      <c r="B61" s="30" t="s">
        <v>164</v>
      </c>
      <c r="C61" s="267">
        <f>C59+C60</f>
        <v>0</v>
      </c>
      <c r="E61" s="237"/>
      <c r="G61" s="267">
        <f t="shared" ref="G61:Q61" si="21">IF(G4="","",G59+G60)</f>
        <v>-35566924</v>
      </c>
      <c r="H61" s="267">
        <f t="shared" si="21"/>
        <v>5412624</v>
      </c>
      <c r="I61" s="267">
        <f t="shared" si="21"/>
        <v>-19164063</v>
      </c>
      <c r="J61" s="267">
        <f t="shared" si="21"/>
        <v>-2800013</v>
      </c>
      <c r="K61" s="267">
        <f t="shared" si="21"/>
        <v>-14320130</v>
      </c>
      <c r="L61" s="267">
        <f t="shared" si="21"/>
        <v>-3777121</v>
      </c>
      <c r="M61" s="267">
        <f t="shared" si="21"/>
        <v>-2170030</v>
      </c>
      <c r="N61" s="267">
        <f t="shared" si="21"/>
        <v>13040050</v>
      </c>
      <c r="O61" s="267">
        <f t="shared" si="21"/>
        <v>-32209532</v>
      </c>
      <c r="P61" s="267">
        <f t="shared" si="21"/>
        <v>-55037745</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0</v>
      </c>
      <c r="E65" s="237"/>
      <c r="G65" s="22">
        <f>IFERROR(G57/BS!$C$68,0)</f>
        <v>0</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0.79912556330689266</v>
      </c>
      <c r="D71" s="26"/>
      <c r="E71" s="234"/>
      <c r="F71" s="26"/>
      <c r="G71" s="6">
        <f t="shared" ref="G71:Q71" si="23">IF(G$4="","",ABS(G5/G$4))</f>
        <v>0.79356174942788227</v>
      </c>
      <c r="H71" s="6">
        <f t="shared" si="23"/>
        <v>0.77092650589091904</v>
      </c>
      <c r="I71" s="6">
        <f t="shared" si="23"/>
        <v>0.77988076789951122</v>
      </c>
      <c r="J71" s="6">
        <f t="shared" si="23"/>
        <v>0.78639398110941261</v>
      </c>
      <c r="K71" s="6">
        <f t="shared" si="23"/>
        <v>0.7605262957425728</v>
      </c>
      <c r="L71" s="6">
        <f t="shared" si="23"/>
        <v>0.80871135627345536</v>
      </c>
      <c r="M71" s="6">
        <f t="shared" si="23"/>
        <v>0.84221578386543849</v>
      </c>
      <c r="N71" s="6">
        <f t="shared" si="23"/>
        <v>0.85654394614882301</v>
      </c>
      <c r="O71" s="6">
        <f t="shared" si="23"/>
        <v>0.80185560651498267</v>
      </c>
      <c r="P71" s="6">
        <f t="shared" si="23"/>
        <v>0.7829335352462431</v>
      </c>
      <c r="Q71" s="6" t="str">
        <f t="shared" si="23"/>
        <v/>
      </c>
    </row>
    <row r="72" spans="1:17" ht="15.75" customHeight="1">
      <c r="A72" s="10"/>
      <c r="B72" s="30" t="s">
        <v>45</v>
      </c>
      <c r="C72" s="75">
        <f t="shared" si="22"/>
        <v>0.20087443669310737</v>
      </c>
      <c r="D72" s="26"/>
      <c r="E72" s="234"/>
      <c r="F72" s="26"/>
      <c r="G72" s="62">
        <f t="shared" ref="G72:Q72" si="24">IF(G$4="","",ABS(G6/G$4))</f>
        <v>0.2064382505721177</v>
      </c>
      <c r="H72" s="62">
        <f t="shared" si="24"/>
        <v>0.22907349410908093</v>
      </c>
      <c r="I72" s="62">
        <f t="shared" si="24"/>
        <v>0.22011923210048875</v>
      </c>
      <c r="J72" s="62">
        <f t="shared" si="24"/>
        <v>0.21360601889058742</v>
      </c>
      <c r="K72" s="62">
        <f t="shared" si="24"/>
        <v>0.23947370425742717</v>
      </c>
      <c r="L72" s="62">
        <f t="shared" si="24"/>
        <v>0.19128864372654467</v>
      </c>
      <c r="M72" s="62">
        <f t="shared" si="24"/>
        <v>0.15778421613456151</v>
      </c>
      <c r="N72" s="62">
        <f t="shared" si="24"/>
        <v>0.14345605385117693</v>
      </c>
      <c r="O72" s="62">
        <f t="shared" si="24"/>
        <v>0.19814439348501731</v>
      </c>
      <c r="P72" s="62">
        <f t="shared" si="24"/>
        <v>0.21706646475375688</v>
      </c>
      <c r="Q72" s="62" t="str">
        <f t="shared" si="24"/>
        <v/>
      </c>
    </row>
    <row r="73" spans="1:17" ht="15.75" customHeight="1">
      <c r="A73" s="10"/>
      <c r="B73" s="8" t="s">
        <v>42</v>
      </c>
      <c r="C73" s="74">
        <f t="shared" si="22"/>
        <v>2.4746089188038958E-2</v>
      </c>
      <c r="D73" s="26"/>
      <c r="E73" s="234"/>
      <c r="F73" s="26"/>
      <c r="G73" s="6">
        <f t="shared" ref="G73:Q73" si="25">IF(G$4="","",ABS(G7/G$4))</f>
        <v>2.4746089188038958E-2</v>
      </c>
      <c r="H73" s="6">
        <f t="shared" si="25"/>
        <v>2.654904093216794E-2</v>
      </c>
      <c r="I73" s="6">
        <f t="shared" si="25"/>
        <v>3.5961073814500553E-2</v>
      </c>
      <c r="J73" s="6">
        <f t="shared" si="25"/>
        <v>4.4686351301214865E-2</v>
      </c>
      <c r="K73" s="6">
        <f t="shared" si="25"/>
        <v>4.2990689486263028E-2</v>
      </c>
      <c r="L73" s="6">
        <f t="shared" si="25"/>
        <v>3.6849863945321006E-2</v>
      </c>
      <c r="M73" s="6">
        <f t="shared" si="25"/>
        <v>4.396184827942623E-2</v>
      </c>
      <c r="N73" s="6">
        <f t="shared" si="25"/>
        <v>3.3557638805631437E-2</v>
      </c>
      <c r="O73" s="6">
        <f t="shared" si="25"/>
        <v>4.6211211349593377E-2</v>
      </c>
      <c r="P73" s="6">
        <f t="shared" si="25"/>
        <v>6.2450284606417841E-2</v>
      </c>
      <c r="Q73" s="6" t="str">
        <f t="shared" si="25"/>
        <v/>
      </c>
    </row>
    <row r="74" spans="1:17" ht="15.75" customHeight="1">
      <c r="A74" s="10"/>
      <c r="B74" s="28" t="s">
        <v>127</v>
      </c>
      <c r="C74" s="75">
        <f t="shared" si="22"/>
        <v>0.17612834750506839</v>
      </c>
      <c r="D74" s="26"/>
      <c r="E74" s="234"/>
      <c r="F74" s="26"/>
      <c r="G74" s="62">
        <f t="shared" ref="G74:Q74" si="26">IF(G$4="","",ABS(G8/G$4))</f>
        <v>0.18169216138407873</v>
      </c>
      <c r="H74" s="62">
        <f t="shared" si="26"/>
        <v>0.20252445317691298</v>
      </c>
      <c r="I74" s="62">
        <f t="shared" si="26"/>
        <v>0.18415815828598819</v>
      </c>
      <c r="J74" s="62">
        <f t="shared" si="26"/>
        <v>0.16891966758937257</v>
      </c>
      <c r="K74" s="62">
        <f t="shared" si="26"/>
        <v>0.19648301477116414</v>
      </c>
      <c r="L74" s="62">
        <f t="shared" si="26"/>
        <v>0.15443877978122367</v>
      </c>
      <c r="M74" s="62">
        <f t="shared" si="26"/>
        <v>0.11382236785513526</v>
      </c>
      <c r="N74" s="62">
        <f t="shared" si="26"/>
        <v>0.10989841504554551</v>
      </c>
      <c r="O74" s="62">
        <f t="shared" si="26"/>
        <v>0.15193318213542392</v>
      </c>
      <c r="P74" s="62">
        <f t="shared" si="26"/>
        <v>0.15461618014733902</v>
      </c>
      <c r="Q74" s="62" t="str">
        <f t="shared" si="26"/>
        <v/>
      </c>
    </row>
    <row r="75" spans="1:17" ht="15.75" customHeight="1">
      <c r="A75" s="10"/>
      <c r="B75" s="26" t="s">
        <v>128</v>
      </c>
      <c r="C75" s="74">
        <f t="shared" si="22"/>
        <v>0</v>
      </c>
      <c r="D75" s="26"/>
      <c r="E75" s="234"/>
      <c r="F75" s="26"/>
      <c r="G75" s="6">
        <f t="shared" ref="G75:Q75" si="27">IF(G$4="","",G9/G$4)</f>
        <v>0</v>
      </c>
      <c r="H75" s="6">
        <f t="shared" si="27"/>
        <v>0</v>
      </c>
      <c r="I75" s="6">
        <f t="shared" si="27"/>
        <v>0</v>
      </c>
      <c r="J75" s="6">
        <f t="shared" si="27"/>
        <v>0</v>
      </c>
      <c r="K75" s="6">
        <f t="shared" si="27"/>
        <v>0</v>
      </c>
      <c r="L75" s="6">
        <f t="shared" si="27"/>
        <v>0</v>
      </c>
      <c r="M75" s="6">
        <f t="shared" si="27"/>
        <v>0</v>
      </c>
      <c r="N75" s="6">
        <f t="shared" si="27"/>
        <v>0</v>
      </c>
      <c r="O75" s="6">
        <f t="shared" si="27"/>
        <v>0</v>
      </c>
      <c r="P75" s="6">
        <f t="shared" si="27"/>
        <v>0</v>
      </c>
      <c r="Q75" s="6" t="str">
        <f t="shared" si="27"/>
        <v/>
      </c>
    </row>
    <row r="76" spans="1:17" ht="15.75" customHeight="1">
      <c r="A76" s="10"/>
      <c r="B76" s="2" t="s">
        <v>65</v>
      </c>
      <c r="C76" s="74">
        <f t="shared" si="22"/>
        <v>1.035501491831671E-3</v>
      </c>
      <c r="D76" s="26"/>
      <c r="E76" s="234"/>
      <c r="F76" s="26"/>
      <c r="G76" s="6">
        <f t="shared" ref="G76:Q76" si="28">IF(G$4="","",ABS(G10/G$4))</f>
        <v>2.1748077391574769E-3</v>
      </c>
      <c r="H76" s="6">
        <f t="shared" si="28"/>
        <v>1.8831921437614733E-3</v>
      </c>
      <c r="I76" s="6">
        <f t="shared" si="28"/>
        <v>2.7416909058335724E-3</v>
      </c>
      <c r="J76" s="6">
        <f t="shared" si="28"/>
        <v>1.9877975454493566E-3</v>
      </c>
      <c r="K76" s="6">
        <f t="shared" si="28"/>
        <v>1.9876325043555187E-3</v>
      </c>
      <c r="L76" s="6">
        <f t="shared" si="28"/>
        <v>1.1279775678339589E-3</v>
      </c>
      <c r="M76" s="6">
        <f t="shared" si="28"/>
        <v>0</v>
      </c>
      <c r="N76" s="6">
        <f t="shared" si="28"/>
        <v>0</v>
      </c>
      <c r="O76" s="6">
        <f t="shared" si="28"/>
        <v>0</v>
      </c>
      <c r="P76" s="6">
        <f t="shared" si="28"/>
        <v>0</v>
      </c>
      <c r="Q76" s="6" t="str">
        <f t="shared" si="28"/>
        <v/>
      </c>
    </row>
    <row r="77" spans="1:17" ht="15.75" customHeight="1">
      <c r="A77" s="10"/>
      <c r="B77" s="67" t="s">
        <v>137</v>
      </c>
      <c r="C77" s="75">
        <f>C11/C4</f>
        <v>0.17509284601323674</v>
      </c>
      <c r="D77" s="26"/>
      <c r="E77" s="234"/>
      <c r="F77" s="26"/>
      <c r="G77" s="62">
        <f t="shared" ref="G77:Q77" si="29">IF(G$4="","",G11/G$4)</f>
        <v>0.18386696912323625</v>
      </c>
      <c r="H77" s="62">
        <f t="shared" si="29"/>
        <v>0.20440764532067443</v>
      </c>
      <c r="I77" s="62">
        <f t="shared" si="29"/>
        <v>0.18689984919182176</v>
      </c>
      <c r="J77" s="62">
        <f t="shared" si="29"/>
        <v>0.17090746513482194</v>
      </c>
      <c r="K77" s="62">
        <f t="shared" si="29"/>
        <v>0.19847064727551966</v>
      </c>
      <c r="L77" s="62">
        <f t="shared" si="29"/>
        <v>0.15556675734905762</v>
      </c>
      <c r="M77" s="62">
        <f t="shared" si="29"/>
        <v>0.11382236785513526</v>
      </c>
      <c r="N77" s="62">
        <f t="shared" si="29"/>
        <v>0.10989841504554551</v>
      </c>
      <c r="O77" s="62">
        <f t="shared" si="29"/>
        <v>0.15193318213542392</v>
      </c>
      <c r="P77" s="62">
        <f t="shared" si="29"/>
        <v>0.15461618014733902</v>
      </c>
      <c r="Q77" s="62" t="str">
        <f t="shared" si="29"/>
        <v/>
      </c>
    </row>
    <row r="78" spans="1:17" ht="15.75" customHeight="1">
      <c r="A78" s="10"/>
      <c r="B78" s="2" t="s">
        <v>60</v>
      </c>
      <c r="C78" s="74">
        <f>ABS(C12/C$4)</f>
        <v>4.3773211503309185E-2</v>
      </c>
      <c r="D78" s="26"/>
      <c r="E78" s="234"/>
      <c r="F78" s="26"/>
      <c r="G78" s="6">
        <f t="shared" ref="G78:Q78" si="30">IF(G$4="","",ABS(G12/G$4))</f>
        <v>4.2534591815646498E-2</v>
      </c>
      <c r="H78" s="6">
        <f t="shared" si="30"/>
        <v>4.6305270444377843E-2</v>
      </c>
      <c r="I78" s="6">
        <f t="shared" si="30"/>
        <v>3.9423578080456045E-2</v>
      </c>
      <c r="J78" s="6">
        <f t="shared" si="30"/>
        <v>3.3050403800143666E-2</v>
      </c>
      <c r="K78" s="6">
        <f t="shared" si="30"/>
        <v>4.1374538534163105E-2</v>
      </c>
      <c r="L78" s="6">
        <f t="shared" si="30"/>
        <v>3.0670381644899436E-2</v>
      </c>
      <c r="M78" s="6">
        <f t="shared" si="30"/>
        <v>2.9313336099438689E-2</v>
      </c>
      <c r="N78" s="6">
        <f t="shared" si="30"/>
        <v>2.2626722096776311E-2</v>
      </c>
      <c r="O78" s="6">
        <f t="shared" si="30"/>
        <v>2.7634547882350705E-2</v>
      </c>
      <c r="P78" s="6">
        <f t="shared" si="30"/>
        <v>2.977726947219839E-2</v>
      </c>
      <c r="Q78" s="6" t="str">
        <f t="shared" si="30"/>
        <v/>
      </c>
    </row>
    <row r="79" spans="1:17" ht="15.75" customHeight="1">
      <c r="A79" s="10"/>
      <c r="B79" s="38" t="str">
        <f>B13</f>
        <v>NCI’s Share of Profits</v>
      </c>
      <c r="C79" s="233">
        <f>MIN(BS!C62,MAX(G79:K79))</f>
        <v>0</v>
      </c>
      <c r="D79" s="26"/>
      <c r="E79" s="234"/>
      <c r="F79" s="26"/>
      <c r="G79" s="6">
        <f t="shared" ref="G79:Q79" si="31">IF(G$4="","",-G13/G$4)</f>
        <v>0</v>
      </c>
      <c r="H79" s="6">
        <f t="shared" si="31"/>
        <v>0</v>
      </c>
      <c r="I79" s="6">
        <f t="shared" si="31"/>
        <v>0</v>
      </c>
      <c r="J79" s="6">
        <f t="shared" si="31"/>
        <v>0</v>
      </c>
      <c r="K79" s="6">
        <f t="shared" si="31"/>
        <v>0</v>
      </c>
      <c r="L79" s="6">
        <f t="shared" si="31"/>
        <v>0</v>
      </c>
      <c r="M79" s="6">
        <f t="shared" si="31"/>
        <v>0</v>
      </c>
      <c r="N79" s="6">
        <f t="shared" si="31"/>
        <v>0</v>
      </c>
      <c r="O79" s="6">
        <f t="shared" si="31"/>
        <v>0</v>
      </c>
      <c r="P79" s="6">
        <f t="shared" si="31"/>
        <v>0</v>
      </c>
      <c r="Q79" s="6" t="str">
        <f t="shared" si="31"/>
        <v/>
      </c>
    </row>
    <row r="80" spans="1:17" ht="15.75" customHeight="1">
      <c r="A80" s="10"/>
      <c r="B80" s="39" t="s">
        <v>129</v>
      </c>
      <c r="C80" s="75">
        <f>ABS(C14/C$4)</f>
        <v>0.13131963450992756</v>
      </c>
      <c r="D80" s="26"/>
      <c r="E80" s="234"/>
      <c r="F80" s="26"/>
      <c r="G80" s="62">
        <f t="shared" ref="G80:Q80" si="32">IF(G$4="","",ABS(G14/G$4))</f>
        <v>0.14133237730758974</v>
      </c>
      <c r="H80" s="62">
        <f t="shared" si="32"/>
        <v>0.15810237487629661</v>
      </c>
      <c r="I80" s="62">
        <f t="shared" si="32"/>
        <v>0.14747627111136571</v>
      </c>
      <c r="J80" s="62">
        <f t="shared" si="32"/>
        <v>0.13785706133467826</v>
      </c>
      <c r="K80" s="62">
        <f t="shared" si="32"/>
        <v>0.15709610874135654</v>
      </c>
      <c r="L80" s="62">
        <f t="shared" si="32"/>
        <v>0.12489637570415817</v>
      </c>
      <c r="M80" s="62">
        <f t="shared" si="32"/>
        <v>8.4509031755696587E-2</v>
      </c>
      <c r="N80" s="62">
        <f t="shared" si="32"/>
        <v>8.72716929487692E-2</v>
      </c>
      <c r="O80" s="62">
        <f t="shared" si="32"/>
        <v>0.12429863425307322</v>
      </c>
      <c r="P80" s="62">
        <f t="shared" si="32"/>
        <v>0.12483891067514065</v>
      </c>
      <c r="Q80" s="62" t="str">
        <f t="shared" si="32"/>
        <v/>
      </c>
    </row>
    <row r="81" spans="1:17" ht="15.75" customHeight="1">
      <c r="A81" s="10"/>
      <c r="B81" s="2" t="s">
        <v>62</v>
      </c>
      <c r="C81" s="74">
        <f>ABS(C15/C$4)</f>
        <v>3.4802604564778135E-2</v>
      </c>
      <c r="D81" s="26"/>
      <c r="E81" s="234"/>
      <c r="F81" s="26"/>
      <c r="G81" s="6">
        <f t="shared" ref="G81:Q81" si="33">IF(G$4="","",G15/G$4)</f>
        <v>3.4802604564778142E-2</v>
      </c>
      <c r="H81" s="6">
        <f t="shared" si="33"/>
        <v>2.769979382384162E-2</v>
      </c>
      <c r="I81" s="6">
        <f t="shared" si="33"/>
        <v>2.2957982869094881E-2</v>
      </c>
      <c r="J81" s="6">
        <f t="shared" si="33"/>
        <v>2.2625641565970769E-2</v>
      </c>
      <c r="K81" s="6">
        <f t="shared" si="33"/>
        <v>2.9771014021941909E-2</v>
      </c>
      <c r="L81" s="6">
        <f t="shared" si="33"/>
        <v>2.8910703550617485E-2</v>
      </c>
      <c r="M81" s="6">
        <f t="shared" si="33"/>
        <v>3.0119083674585566E-2</v>
      </c>
      <c r="N81" s="6">
        <f t="shared" si="33"/>
        <v>3.5660255834973668E-2</v>
      </c>
      <c r="O81" s="6">
        <f t="shared" si="33"/>
        <v>4.8459161871080285E-2</v>
      </c>
      <c r="P81" s="6">
        <f t="shared" si="33"/>
        <v>0</v>
      </c>
      <c r="Q81" s="6" t="str">
        <f t="shared" si="33"/>
        <v/>
      </c>
    </row>
    <row r="82" spans="1:17" ht="15.75" customHeight="1">
      <c r="A82" s="10"/>
      <c r="B82" s="2" t="s">
        <v>77</v>
      </c>
      <c r="C82" s="85">
        <f>MAX(AVERAGE(G82:J82),C81)</f>
        <v>3.4802604564778135E-2</v>
      </c>
      <c r="D82" s="26"/>
      <c r="E82" s="235" t="s">
        <v>545</v>
      </c>
      <c r="F82" s="26"/>
      <c r="G82" s="6">
        <f t="shared" ref="G82:Q82" si="34">IF(G$4="","",-G16/G$4)</f>
        <v>3.4802604564778142E-2</v>
      </c>
      <c r="H82" s="6">
        <f t="shared" si="34"/>
        <v>2.769979382384162E-2</v>
      </c>
      <c r="I82" s="6">
        <f t="shared" si="34"/>
        <v>2.2957982869094881E-2</v>
      </c>
      <c r="J82" s="6">
        <f t="shared" si="34"/>
        <v>2.2625641565970769E-2</v>
      </c>
      <c r="K82" s="6">
        <f t="shared" si="34"/>
        <v>2.9771014021941909E-2</v>
      </c>
      <c r="L82" s="6">
        <f t="shared" si="34"/>
        <v>2.8910703550617485E-2</v>
      </c>
      <c r="M82" s="6">
        <f t="shared" si="34"/>
        <v>3.0119083674585566E-2</v>
      </c>
      <c r="N82" s="6">
        <f t="shared" si="34"/>
        <v>3.5660255834973668E-2</v>
      </c>
      <c r="O82" s="6">
        <f t="shared" si="34"/>
        <v>4.8459161871080285E-2</v>
      </c>
      <c r="P82" s="6">
        <f t="shared" si="34"/>
        <v>0</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0.13131963450992756</v>
      </c>
      <c r="D85" s="72"/>
      <c r="E85" s="234"/>
      <c r="F85" s="72"/>
      <c r="G85" s="62">
        <f t="shared" ref="G85:Q85" si="35">IF(G$4="","",ABS(G19/G$4))</f>
        <v>0.14133237730758974</v>
      </c>
      <c r="H85" s="62">
        <f t="shared" si="35"/>
        <v>0.15810237487629661</v>
      </c>
      <c r="I85" s="62">
        <f t="shared" si="35"/>
        <v>0.14747627111136571</v>
      </c>
      <c r="J85" s="62">
        <f t="shared" si="35"/>
        <v>0.13785706133467826</v>
      </c>
      <c r="K85" s="62">
        <f t="shared" si="35"/>
        <v>0.15709610874135654</v>
      </c>
      <c r="L85" s="62">
        <f t="shared" si="35"/>
        <v>0.12489637570415817</v>
      </c>
      <c r="M85" s="62">
        <f t="shared" si="35"/>
        <v>8.4509031755696587E-2</v>
      </c>
      <c r="N85" s="62">
        <f t="shared" si="35"/>
        <v>8.72716929487692E-2</v>
      </c>
      <c r="O85" s="62">
        <f t="shared" si="35"/>
        <v>0.12429863425307322</v>
      </c>
      <c r="P85" s="62">
        <f t="shared" si="35"/>
        <v>0.12483891067514065</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(CNY)</v>
      </c>
      <c r="C88" s="110">
        <f>G88</f>
        <v>1.06</v>
      </c>
      <c r="E88" s="237"/>
      <c r="G88" s="109">
        <f>Data!C65</f>
        <v>1.06</v>
      </c>
      <c r="H88" s="109">
        <f>Data!D65</f>
        <v>1.06</v>
      </c>
      <c r="I88" s="109">
        <f>Data!E65</f>
        <v>1</v>
      </c>
      <c r="J88" s="109">
        <f>Data!F65</f>
        <v>0</v>
      </c>
      <c r="K88" s="109">
        <f>Data!G65</f>
        <v>0</v>
      </c>
      <c r="L88" s="109">
        <f>Data!H65</f>
        <v>0</v>
      </c>
      <c r="M88" s="109">
        <f>Data!I65</f>
        <v>0</v>
      </c>
      <c r="N88" s="109">
        <f>Data!J65</f>
        <v>0</v>
      </c>
      <c r="O88" s="109">
        <f>Data!K65</f>
        <v>0</v>
      </c>
      <c r="P88" s="109">
        <f>Data!L65</f>
        <v>0</v>
      </c>
      <c r="Q88" s="109" t="str">
        <f>Data!M65</f>
        <v/>
      </c>
    </row>
    <row r="89" spans="1:17" ht="15.75" customHeight="1">
      <c r="A89" s="10"/>
      <c r="B89" s="2" t="str">
        <f>"Dividend ("&amp;Market_currency&amp;")"</f>
        <v>Dividend (CNY)</v>
      </c>
      <c r="C89" s="71">
        <f>C88*Common_Shares/scaling_factor</f>
        <v>611044420</v>
      </c>
      <c r="E89" s="237"/>
      <c r="G89" s="71">
        <f t="shared" ref="G89:Q89" si="36">IF(G$4="","",G88*Common_Shares/scaling_factor)</f>
        <v>611044420</v>
      </c>
      <c r="H89" s="71">
        <f t="shared" si="36"/>
        <v>611044420</v>
      </c>
      <c r="I89" s="71">
        <f t="shared" si="36"/>
        <v>576457000</v>
      </c>
      <c r="J89" s="71">
        <f t="shared" si="36"/>
        <v>0</v>
      </c>
      <c r="K89" s="71">
        <f t="shared" si="36"/>
        <v>0</v>
      </c>
      <c r="L89" s="71">
        <f t="shared" si="36"/>
        <v>0</v>
      </c>
      <c r="M89" s="71">
        <f t="shared" si="36"/>
        <v>0</v>
      </c>
      <c r="N89" s="71">
        <f t="shared" si="36"/>
        <v>0</v>
      </c>
      <c r="O89" s="71">
        <f t="shared" si="36"/>
        <v>0</v>
      </c>
      <c r="P89" s="71">
        <f t="shared" si="36"/>
        <v>0</v>
      </c>
      <c r="Q89" s="71" t="str">
        <f t="shared" si="36"/>
        <v/>
      </c>
    </row>
    <row r="90" spans="1:17" ht="15.75" customHeight="1">
      <c r="A90" s="10"/>
      <c r="B90" s="2" t="s">
        <v>182</v>
      </c>
      <c r="C90" s="22">
        <f>C88/(C19*scaling_factor/Common_Shares)</f>
        <v>0.75913814722313788</v>
      </c>
      <c r="E90" s="237"/>
      <c r="G90" s="152">
        <f t="shared" ref="G90:Q90" si="37">IF(G$4="","",G88/(G19*scaling_factor/Common_Shares))</f>
        <v>0.7053567337859572</v>
      </c>
      <c r="H90" s="152">
        <f t="shared" si="37"/>
        <v>0.61844586408616609</v>
      </c>
      <c r="I90" s="152">
        <f t="shared" si="37"/>
        <v>0.6879117517242177</v>
      </c>
      <c r="J90" s="152">
        <f t="shared" si="37"/>
        <v>0</v>
      </c>
      <c r="K90" s="152">
        <f t="shared" si="37"/>
        <v>0</v>
      </c>
      <c r="L90" s="152">
        <f t="shared" si="37"/>
        <v>0</v>
      </c>
      <c r="M90" s="152">
        <f t="shared" si="37"/>
        <v>0</v>
      </c>
      <c r="N90" s="152">
        <f t="shared" si="37"/>
        <v>0</v>
      </c>
      <c r="O90" s="152">
        <f t="shared" si="37"/>
        <v>0</v>
      </c>
      <c r="P90" s="152">
        <f t="shared" si="37"/>
        <v>0</v>
      </c>
      <c r="Q90" s="152" t="str">
        <f t="shared" si="37"/>
        <v/>
      </c>
    </row>
    <row r="91" spans="1:17" ht="15.75" customHeight="1">
      <c r="A91" s="10"/>
      <c r="B91" s="2" t="s">
        <v>329</v>
      </c>
      <c r="C91" s="292">
        <v>0</v>
      </c>
      <c r="E91" s="237"/>
      <c r="G91" s="293"/>
      <c r="H91" s="293"/>
      <c r="I91" s="293"/>
      <c r="J91" s="293"/>
      <c r="K91" s="293"/>
      <c r="L91" s="293"/>
      <c r="M91" s="293"/>
      <c r="N91" s="293"/>
      <c r="O91" s="293"/>
      <c r="P91" s="293"/>
      <c r="Q91" s="293"/>
    </row>
    <row r="92" spans="1:17" ht="15.75" customHeight="1">
      <c r="A92" s="10"/>
      <c r="B92" s="2" t="s">
        <v>328</v>
      </c>
      <c r="C92" s="22">
        <f>(C88*(1-dividend_tax_rate))/Market_Price</f>
        <v>5.6593699946609718E-2</v>
      </c>
      <c r="E92" s="237"/>
      <c r="G92" s="22">
        <f t="shared" ref="G92:Q92" si="38">IF(G$4="","",(G88*(1-dividend_tax_rate))/Market_Price)</f>
        <v>5.6593699946609718E-2</v>
      </c>
      <c r="H92" s="22">
        <f t="shared" si="38"/>
        <v>5.6593699946609718E-2</v>
      </c>
      <c r="I92" s="22">
        <f t="shared" si="38"/>
        <v>5.3390282968499729E-2</v>
      </c>
      <c r="J92" s="22">
        <f t="shared" si="38"/>
        <v>0</v>
      </c>
      <c r="K92" s="22">
        <f t="shared" si="38"/>
        <v>0</v>
      </c>
      <c r="L92" s="22">
        <f t="shared" si="38"/>
        <v>0</v>
      </c>
      <c r="M92" s="22">
        <f t="shared" si="38"/>
        <v>0</v>
      </c>
      <c r="N92" s="22">
        <f t="shared" si="38"/>
        <v>0</v>
      </c>
      <c r="O92" s="22">
        <f t="shared" si="38"/>
        <v>0</v>
      </c>
      <c r="P92" s="22">
        <f t="shared" si="38"/>
        <v>0</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-1.9179346982288958E-2</v>
      </c>
      <c r="H95" s="6">
        <f t="shared" si="39"/>
        <v>9.9817583967300338E-2</v>
      </c>
      <c r="I95" s="6">
        <f t="shared" si="39"/>
        <v>0.22167664239249651</v>
      </c>
      <c r="J95" s="6">
        <f t="shared" si="39"/>
        <v>0.39702156717595383</v>
      </c>
      <c r="K95" s="6">
        <f t="shared" si="39"/>
        <v>5.5676809853508757E-3</v>
      </c>
      <c r="L95" s="6">
        <f t="shared" si="39"/>
        <v>0.1344120049846802</v>
      </c>
      <c r="M95" s="6">
        <f t="shared" si="39"/>
        <v>0.3203048570560727</v>
      </c>
      <c r="N95" s="6">
        <f t="shared" si="39"/>
        <v>0.43141114700410199</v>
      </c>
      <c r="O95" s="6">
        <f t="shared" si="39"/>
        <v>-2.4591939303572952E-2</v>
      </c>
      <c r="P95" s="6" t="str">
        <f t="shared" si="39"/>
        <v/>
      </c>
      <c r="Q95" s="6" t="str">
        <f t="shared" si="39"/>
        <v/>
      </c>
    </row>
    <row r="96" spans="1:17" ht="15.75" customHeight="1">
      <c r="A96" s="10"/>
      <c r="B96" s="67" t="s">
        <v>137</v>
      </c>
      <c r="C96" s="74">
        <f>C11/G11-1</f>
        <v>-4.7719952919431985E-2</v>
      </c>
      <c r="D96" s="26"/>
      <c r="E96" s="234"/>
      <c r="F96" s="26"/>
      <c r="G96" s="6">
        <f t="shared" ref="G96:Q96" si="40">IF(H5="","",G11/H11-1)</f>
        <v>-0.1177408240238671</v>
      </c>
      <c r="H96" s="6">
        <f t="shared" si="40"/>
        <v>0.2028427181356236</v>
      </c>
      <c r="I96" s="6">
        <f t="shared" si="40"/>
        <v>0.33599301846884</v>
      </c>
      <c r="J96" s="6">
        <f t="shared" si="40"/>
        <v>0.20300617780153041</v>
      </c>
      <c r="K96" s="6">
        <f t="shared" si="40"/>
        <v>0.28289405735122397</v>
      </c>
      <c r="L96" s="6">
        <f t="shared" si="40"/>
        <v>0.5504579674349801</v>
      </c>
      <c r="M96" s="6">
        <f t="shared" si="40"/>
        <v>0.36744670119652811</v>
      </c>
      <c r="N96" s="6">
        <f t="shared" si="40"/>
        <v>3.5388149733221574E-2</v>
      </c>
      <c r="O96" s="6">
        <f t="shared" si="40"/>
        <v>-4.1517838553966069E-2</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8975770743.3600006</v>
      </c>
      <c r="D100" s="25"/>
      <c r="E100" s="238"/>
      <c r="F100" s="25"/>
      <c r="G100" s="270">
        <f t="shared" ref="G100:Q100" si="41">IF(G$4="","",G104+G103)</f>
        <v>8975770743.3600006</v>
      </c>
      <c r="H100" s="270">
        <f t="shared" si="41"/>
        <v>8628787997</v>
      </c>
      <c r="I100" s="270">
        <f t="shared" si="41"/>
        <v>7976614494</v>
      </c>
      <c r="J100" s="270">
        <f t="shared" si="41"/>
        <v>5950736130</v>
      </c>
      <c r="K100" s="270">
        <f t="shared" si="41"/>
        <v>5246920436</v>
      </c>
      <c r="L100" s="270">
        <f t="shared" si="41"/>
        <v>4677192094</v>
      </c>
      <c r="M100" s="270">
        <f t="shared" si="41"/>
        <v>3570534120</v>
      </c>
      <c r="N100" s="270">
        <f t="shared" si="41"/>
        <v>2922308439</v>
      </c>
      <c r="O100" s="270">
        <f t="shared" si="41"/>
        <v>2546084184</v>
      </c>
      <c r="P100" s="270">
        <f t="shared" si="41"/>
        <v>2510420855</v>
      </c>
      <c r="Q100" s="270" t="str">
        <f t="shared" si="41"/>
        <v/>
      </c>
    </row>
    <row r="101" spans="1:17" ht="15.75" customHeight="1">
      <c r="A101" s="10"/>
      <c r="B101" s="90" t="s">
        <v>179</v>
      </c>
      <c r="C101" s="281">
        <f>BS!C4</f>
        <v>1175281306.4799998</v>
      </c>
      <c r="D101" s="86"/>
      <c r="E101" s="239"/>
      <c r="F101" s="86"/>
      <c r="G101" s="282">
        <f>IF(G$4="","",Data!D77)</f>
        <v>851687201</v>
      </c>
      <c r="H101" s="282">
        <f>IF(H$4="","",Data!E77)</f>
        <v>790890033</v>
      </c>
      <c r="I101" s="282">
        <f>IF(I$4="","",Data!F77)</f>
        <v>567013771</v>
      </c>
      <c r="J101" s="282">
        <f>IF(J$4="","",Data!G77)</f>
        <v>458930449</v>
      </c>
      <c r="K101" s="282">
        <f>IF(K$4="","",Data!H77)</f>
        <v>595526269</v>
      </c>
      <c r="L101" s="282">
        <f>IF(L$4="","",Data!I77)</f>
        <v>0</v>
      </c>
      <c r="M101" s="282">
        <f>IF(M$4="","",Data!J77)</f>
        <v>0</v>
      </c>
      <c r="N101" s="282">
        <f>IF(N$4="","",Data!K77)</f>
        <v>0</v>
      </c>
      <c r="O101" s="282">
        <f>IF(O$4="","",Data!L77)</f>
        <v>0</v>
      </c>
      <c r="P101" s="282">
        <f>IF(P$4="","",Data!M77)</f>
        <v>0</v>
      </c>
      <c r="Q101" s="282" t="str">
        <f>IF(Q$4="","",Data!N77)</f>
        <v/>
      </c>
    </row>
    <row r="102" spans="1:17" ht="15.75" customHeight="1">
      <c r="A102" s="10"/>
      <c r="B102" s="90" t="s">
        <v>180</v>
      </c>
      <c r="C102" s="281">
        <f>BS!C6+BS!C7</f>
        <v>2668382470.8800001</v>
      </c>
      <c r="D102" s="86"/>
      <c r="E102" s="239"/>
      <c r="F102" s="86"/>
      <c r="G102" s="282">
        <f>IF(G$4="","",Data!D78)</f>
        <v>2819492731</v>
      </c>
      <c r="H102" s="282">
        <f>IF(H$4="","",Data!E78)</f>
        <v>2459595915</v>
      </c>
      <c r="I102" s="282">
        <f>IF(I$4="","",Data!F78)</f>
        <v>1867069694</v>
      </c>
      <c r="J102" s="282">
        <f>IF(J$4="","",Data!G78)</f>
        <v>1603890018</v>
      </c>
      <c r="K102" s="282">
        <f>IF(K$4="","",Data!H78)</f>
        <v>1464309401</v>
      </c>
      <c r="L102" s="282">
        <f>IF(L$4="","",Data!I78)</f>
        <v>0</v>
      </c>
      <c r="M102" s="282">
        <f>IF(M$4="","",Data!J78)</f>
        <v>0</v>
      </c>
      <c r="N102" s="282">
        <f>IF(N$4="","",Data!K78)</f>
        <v>0</v>
      </c>
      <c r="O102" s="282">
        <f>IF(O$4="","",Data!L78)</f>
        <v>0</v>
      </c>
      <c r="P102" s="282">
        <f>IF(P$4="","",Data!M78)</f>
        <v>0</v>
      </c>
      <c r="Q102" s="282" t="str">
        <f>IF(Q$4="","",Data!N78)</f>
        <v/>
      </c>
    </row>
    <row r="103" spans="1:17" ht="15.75" customHeight="1">
      <c r="A103" s="10"/>
      <c r="B103" s="25" t="s">
        <v>38</v>
      </c>
      <c r="C103" s="280">
        <f>BS!G30</f>
        <v>4362314805.7700005</v>
      </c>
      <c r="D103" s="25"/>
      <c r="E103" s="238"/>
      <c r="F103" s="25"/>
      <c r="G103" s="270">
        <f>Data!C79</f>
        <v>4362314805.7700005</v>
      </c>
      <c r="H103" s="270">
        <f>Data!D79</f>
        <v>4086723205</v>
      </c>
      <c r="I103" s="270">
        <f>Data!E79</f>
        <v>3962039491</v>
      </c>
      <c r="J103" s="270">
        <f>Data!F79</f>
        <v>2581011486</v>
      </c>
      <c r="K103" s="270">
        <f>Data!G79</f>
        <v>2275269694</v>
      </c>
      <c r="L103" s="270">
        <f>Data!H79</f>
        <v>2004846282</v>
      </c>
      <c r="M103" s="270">
        <f>Data!I79</f>
        <v>1560581012</v>
      </c>
      <c r="N103" s="270">
        <f>Data!J79</f>
        <v>1160274283</v>
      </c>
      <c r="O103" s="270">
        <f>Data!K79</f>
        <v>894522509</v>
      </c>
      <c r="P103" s="270">
        <f>Data!L79</f>
        <v>1020621379</v>
      </c>
      <c r="Q103" s="270" t="str">
        <f>Data!M79</f>
        <v/>
      </c>
    </row>
    <row r="104" spans="1:17" ht="15.75" customHeight="1">
      <c r="A104" s="10"/>
      <c r="B104" s="25" t="s">
        <v>28</v>
      </c>
      <c r="C104" s="280">
        <f>BS!G27</f>
        <v>4613455937.5900002</v>
      </c>
      <c r="D104" s="25"/>
      <c r="E104" s="238"/>
      <c r="F104" s="25"/>
      <c r="G104" s="270">
        <f>Data!C80</f>
        <v>4613455937.5900002</v>
      </c>
      <c r="H104" s="270">
        <f>Data!D80</f>
        <v>4542064792</v>
      </c>
      <c r="I104" s="270">
        <f>Data!E80</f>
        <v>4014575003</v>
      </c>
      <c r="J104" s="270">
        <f>Data!F80</f>
        <v>3369724644</v>
      </c>
      <c r="K104" s="270">
        <f>Data!G80</f>
        <v>2971650742</v>
      </c>
      <c r="L104" s="270">
        <f>Data!H80</f>
        <v>2672345812</v>
      </c>
      <c r="M104" s="270">
        <f>Data!I80</f>
        <v>2009953108</v>
      </c>
      <c r="N104" s="270">
        <f>Data!J80</f>
        <v>1762034156</v>
      </c>
      <c r="O104" s="270">
        <f>Data!K80</f>
        <v>1651561675</v>
      </c>
      <c r="P104" s="270">
        <f>Data!L80</f>
        <v>1489799476</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0.19174300390985144</v>
      </c>
      <c r="D107" s="25"/>
      <c r="E107" s="238"/>
      <c r="F107" s="25"/>
      <c r="G107" s="91">
        <f t="shared" ref="G107:Q107" si="42">IF(G$4="","",G101/G$4)</f>
        <v>0.13894976582280258</v>
      </c>
      <c r="H107" s="91">
        <f t="shared" si="42"/>
        <v>0.12655619326339668</v>
      </c>
      <c r="I107" s="91">
        <f t="shared" si="42"/>
        <v>9.9788746248012927E-2</v>
      </c>
      <c r="J107" s="91">
        <f t="shared" si="42"/>
        <v>9.8671357490055969E-2</v>
      </c>
      <c r="K107" s="91">
        <f t="shared" si="42"/>
        <v>0.17887443048585716</v>
      </c>
      <c r="L107" s="91">
        <f t="shared" si="42"/>
        <v>0</v>
      </c>
      <c r="M107" s="91">
        <f t="shared" si="42"/>
        <v>0</v>
      </c>
      <c r="N107" s="91">
        <f t="shared" si="42"/>
        <v>0</v>
      </c>
      <c r="O107" s="91">
        <f t="shared" si="42"/>
        <v>0</v>
      </c>
      <c r="P107" s="91">
        <f t="shared" si="42"/>
        <v>0</v>
      </c>
      <c r="Q107" s="91" t="str">
        <f t="shared" si="42"/>
        <v/>
      </c>
    </row>
    <row r="108" spans="1:17" ht="15.75" customHeight="1">
      <c r="A108" s="10"/>
      <c r="B108" s="25" t="s">
        <v>187</v>
      </c>
      <c r="C108" s="91">
        <f>C102/C$4</f>
        <v>0.43533719776358049</v>
      </c>
      <c r="D108" s="25"/>
      <c r="E108" s="238"/>
      <c r="F108" s="25"/>
      <c r="G108" s="91">
        <f t="shared" ref="G108:Q108" si="43">IF(G$4="","",G102/G$4)</f>
        <v>0.45999030424732668</v>
      </c>
      <c r="H108" s="91">
        <f t="shared" si="43"/>
        <v>0.39357822577162382</v>
      </c>
      <c r="I108" s="91">
        <f t="shared" si="43"/>
        <v>0.32858557137569266</v>
      </c>
      <c r="J108" s="91">
        <f t="shared" si="43"/>
        <v>0.34484093545253147</v>
      </c>
      <c r="K108" s="91">
        <f t="shared" si="43"/>
        <v>0.43982528360803785</v>
      </c>
      <c r="L108" s="91">
        <f t="shared" si="43"/>
        <v>0</v>
      </c>
      <c r="M108" s="91">
        <f t="shared" si="43"/>
        <v>0</v>
      </c>
      <c r="N108" s="91">
        <f t="shared" si="43"/>
        <v>0</v>
      </c>
      <c r="O108" s="91">
        <f t="shared" si="43"/>
        <v>0</v>
      </c>
      <c r="P108" s="91">
        <f t="shared" si="43"/>
        <v>0</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552</v>
      </c>
      <c r="G112" s="251">
        <f>IF(G$4="","",Data!C$22/Data!C15)</f>
        <v>1.2267060985735432</v>
      </c>
      <c r="H112" s="251">
        <f>IF(H$4="","",Data!D$22/Data!D15)</f>
        <v>0.26587914456111778</v>
      </c>
      <c r="I112" s="251">
        <f>IF(I$4="","",Data!E$22/Data!E15)</f>
        <v>1.2265191844187875</v>
      </c>
      <c r="J112" s="251">
        <f>IF(J$4="","",Data!F$22/Data!F15)</f>
        <v>0.89192297644013196</v>
      </c>
      <c r="K112" s="251">
        <f>IF(K$4="","",Data!G$22/Data!G15)</f>
        <v>1.1870279725250534</v>
      </c>
      <c r="L112" s="251">
        <f>IF(L$4="","",Data!H$22/Data!H15)</f>
        <v>1.0745976191603042</v>
      </c>
      <c r="M112" s="251">
        <f>IF(M$4="","",Data!I$22/Data!I15)</f>
        <v>1.3371903704995902</v>
      </c>
      <c r="N112" s="251">
        <f>IF(N$4="","",Data!J$22/Data!J15)</f>
        <v>0.14539357818327475</v>
      </c>
      <c r="O112" s="251">
        <f>IF(O$4="","",Data!K$22/Data!K15)</f>
        <v>2.2963859955268697</v>
      </c>
      <c r="P112" s="251">
        <f>IF(P$4="","",Data!L$22/Data!L15)</f>
        <v>2.0900844453279315</v>
      </c>
      <c r="Q112" s="251" t="str">
        <f>IF(Q$4="","",Data!M$22/Data!M15)</f>
        <v/>
      </c>
    </row>
    <row r="113" spans="1:17" ht="15.75" customHeight="1">
      <c r="A113" s="10"/>
      <c r="B113" s="2" t="s">
        <v>304</v>
      </c>
      <c r="C113" s="151"/>
      <c r="E113" s="459">
        <f>(Normalized_FCF!E117/Normalized_FCF!C117)^(1/DCF!C15)-1</f>
        <v>0</v>
      </c>
      <c r="G113" s="251">
        <f>IF(G$4="","",Data!C$22/G19)</f>
        <v>1.2011321643606159</v>
      </c>
      <c r="H113" s="251">
        <f>IF(H$4="","",Data!D$22/H19)</f>
        <v>0.27127654985953087</v>
      </c>
      <c r="I113" s="251">
        <f>IF(I$4="","",Data!E$22/I19)</f>
        <v>1.2205732675247449</v>
      </c>
      <c r="J113" s="251">
        <f>IF(J$4="","",Data!F$22/J19)</f>
        <v>0.90001745258503718</v>
      </c>
      <c r="K113" s="251">
        <f>IF(K$4="","",Data!G$22/K19)</f>
        <v>1.1681061883768444</v>
      </c>
      <c r="L113" s="251">
        <f>IF(L$4="","",Data!H$22/L19)</f>
        <v>1.0734594588747819</v>
      </c>
      <c r="M113" s="251">
        <f>IF(M$4="","",Data!I$22/M19)</f>
        <v>1.3254255497740837</v>
      </c>
      <c r="N113" s="251">
        <f>IF(N$4="","",Data!J$22/N19)</f>
        <v>0.1552213431776675</v>
      </c>
      <c r="O113" s="251">
        <f>IF(O$4="","",Data!K$22/O19)</f>
        <v>1.9110575906710221</v>
      </c>
      <c r="P113" s="251">
        <f>IF(P$4="","",Data!L$22/P19)</f>
        <v>1.5080765021607145</v>
      </c>
      <c r="Q113" s="251" t="str">
        <f>IF(Q$4="","",Data!M$22/Q19)</f>
        <v/>
      </c>
    </row>
    <row r="114" spans="1:17" ht="15.75" customHeight="1">
      <c r="A114" s="10"/>
      <c r="E114" s="237"/>
    </row>
    <row r="115" spans="1:17" ht="15.75" customHeight="1">
      <c r="A115" s="10"/>
      <c r="B115" s="88" t="s">
        <v>36</v>
      </c>
      <c r="C115" s="451" t="s">
        <v>325</v>
      </c>
      <c r="D115" s="52"/>
      <c r="E115" s="451" t="str">
        <f>DCF!F15&amp;"yrs Projection"</f>
        <v>6yrs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0.17509284601323674</v>
      </c>
      <c r="E116" s="22">
        <f>E119/E117/E118</f>
        <v>0.17509284601323677</v>
      </c>
      <c r="G116" s="22">
        <f t="shared" ref="G116:Q116" si="44">IF(G4="","",G77)</f>
        <v>0.18386696912323625</v>
      </c>
      <c r="H116" s="22">
        <f t="shared" si="44"/>
        <v>0.20440764532067443</v>
      </c>
      <c r="I116" s="22">
        <f t="shared" si="44"/>
        <v>0.18689984919182176</v>
      </c>
      <c r="J116" s="22">
        <f t="shared" si="44"/>
        <v>0.17090746513482194</v>
      </c>
      <c r="K116" s="22">
        <f t="shared" si="44"/>
        <v>0.19847064727551966</v>
      </c>
      <c r="L116" s="22">
        <f t="shared" si="44"/>
        <v>0.15556675734905762</v>
      </c>
      <c r="M116" s="22">
        <f t="shared" si="44"/>
        <v>0.11382236785513526</v>
      </c>
      <c r="N116" s="22">
        <f t="shared" si="44"/>
        <v>0.10989841504554551</v>
      </c>
      <c r="O116" s="22">
        <f t="shared" si="44"/>
        <v>0.15193318213542392</v>
      </c>
      <c r="P116" s="22">
        <f t="shared" si="44"/>
        <v>0.15461618014733902</v>
      </c>
      <c r="Q116" s="22" t="str">
        <f t="shared" si="44"/>
        <v/>
      </c>
    </row>
    <row r="117" spans="1:17" ht="15.75" customHeight="1">
      <c r="B117" s="7" t="s">
        <v>80</v>
      </c>
      <c r="C117" s="452">
        <f>G117</f>
        <v>0.68288968092621871</v>
      </c>
      <c r="E117" s="452">
        <f>C117</f>
        <v>0.68288968092621871</v>
      </c>
      <c r="G117" s="40">
        <f t="shared" ref="G117:Q117" si="45">IF(G4="","",G4/G100)</f>
        <v>0.68288968092621871</v>
      </c>
      <c r="H117" s="40">
        <f t="shared" si="45"/>
        <v>0.72424065583401998</v>
      </c>
      <c r="I117" s="40">
        <f t="shared" si="45"/>
        <v>0.71235001406600507</v>
      </c>
      <c r="J117" s="40">
        <f t="shared" si="45"/>
        <v>0.78160094707476135</v>
      </c>
      <c r="K117" s="40">
        <f t="shared" si="45"/>
        <v>0.63452418587427573</v>
      </c>
      <c r="L117" s="40">
        <f t="shared" si="45"/>
        <v>0.70787430074707558</v>
      </c>
      <c r="M117" s="40">
        <f t="shared" si="45"/>
        <v>0.8174051152884656</v>
      </c>
      <c r="N117" s="40">
        <f t="shared" si="45"/>
        <v>0.75643264909998087</v>
      </c>
      <c r="O117" s="40">
        <f t="shared" si="45"/>
        <v>0.60653960450508027</v>
      </c>
      <c r="P117" s="40">
        <f t="shared" si="45"/>
        <v>0.6306654630623677</v>
      </c>
      <c r="Q117" s="40" t="str">
        <f t="shared" si="45"/>
        <v/>
      </c>
    </row>
    <row r="118" spans="1:17" ht="15.75" customHeight="1">
      <c r="B118" s="7" t="s">
        <v>88</v>
      </c>
      <c r="C118" s="15">
        <f>C100/C104</f>
        <v>1.9455633401039498</v>
      </c>
      <c r="D118" s="11"/>
      <c r="E118" s="15">
        <f>C100/C104</f>
        <v>1.9455633401039498</v>
      </c>
      <c r="F118" s="11"/>
      <c r="G118" s="15">
        <f t="shared" ref="G118:Q118" si="46">IF(G$4="","",G100/G104)</f>
        <v>1.9455633401039498</v>
      </c>
      <c r="H118" s="15">
        <f t="shared" si="46"/>
        <v>1.8997500899146134</v>
      </c>
      <c r="I118" s="15">
        <f t="shared" si="46"/>
        <v>1.9869138048334527</v>
      </c>
      <c r="J118" s="15">
        <f t="shared" si="46"/>
        <v>1.7659413627744476</v>
      </c>
      <c r="K118" s="15">
        <f t="shared" si="46"/>
        <v>1.7656585149265163</v>
      </c>
      <c r="L118" s="15">
        <f t="shared" si="46"/>
        <v>1.7502196283869267</v>
      </c>
      <c r="M118" s="15">
        <f t="shared" si="46"/>
        <v>1.776426577211472</v>
      </c>
      <c r="N118" s="15">
        <f t="shared" si="46"/>
        <v>1.6584856933953782</v>
      </c>
      <c r="O118" s="15">
        <f t="shared" si="46"/>
        <v>1.5416222249163054</v>
      </c>
      <c r="P118" s="15">
        <f t="shared" si="46"/>
        <v>1.6850729883059778</v>
      </c>
      <c r="Q118" s="15" t="str">
        <f t="shared" si="46"/>
        <v/>
      </c>
    </row>
    <row r="119" spans="1:17" ht="15.75" customHeight="1">
      <c r="A119" s="10"/>
      <c r="B119" s="67" t="s">
        <v>191</v>
      </c>
      <c r="C119" s="62">
        <f>C11/C104</f>
        <v>0.23262925318478492</v>
      </c>
      <c r="D119" s="100"/>
      <c r="E119" s="453">
        <f>C11/C104</f>
        <v>0.23262925318478492</v>
      </c>
      <c r="F119" s="100"/>
      <c r="G119" s="99">
        <f t="shared" ref="G119:Q119" si="47">IF(G$4="","",G11/G104)</f>
        <v>0.24428659814721837</v>
      </c>
      <c r="H119" s="99">
        <f t="shared" si="47"/>
        <v>0.28123962472782538</v>
      </c>
      <c r="I119" s="99">
        <f t="shared" si="47"/>
        <v>0.26453394910726491</v>
      </c>
      <c r="J119" s="99">
        <f t="shared" si="47"/>
        <v>0.2358969842111224</v>
      </c>
      <c r="K119" s="99">
        <f t="shared" si="47"/>
        <v>0.22235719138171184</v>
      </c>
      <c r="L119" s="99">
        <f t="shared" si="47"/>
        <v>0.19273717761485995</v>
      </c>
      <c r="M119" s="99">
        <f t="shared" si="47"/>
        <v>0.16527692694808879</v>
      </c>
      <c r="N119" s="99">
        <f t="shared" si="47"/>
        <v>0.13787115827055513</v>
      </c>
      <c r="O119" s="99">
        <f t="shared" si="47"/>
        <v>0.14206587168474952</v>
      </c>
      <c r="P119" s="99">
        <f t="shared" si="47"/>
        <v>0.16431329514039916</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(CNY)</v>
      </c>
      <c r="C123" s="159">
        <f>C14*$C$3/Common_Shares*Exchange_Rate</f>
        <v>1.396320292791752</v>
      </c>
      <c r="D123" s="26"/>
      <c r="E123" s="234"/>
      <c r="F123" s="26"/>
      <c r="G123" s="159">
        <f t="shared" ref="G123:Q123" si="48">IF(G$4="","",G14*$C$3/Common_Shares*Exchange_Rate)</f>
        <v>1.5027856816656697</v>
      </c>
      <c r="H123" s="159">
        <f t="shared" si="48"/>
        <v>1.7139737874491041</v>
      </c>
      <c r="I123" s="159">
        <f t="shared" si="48"/>
        <v>1.4536748318276991</v>
      </c>
      <c r="J123" s="159">
        <f t="shared" si="48"/>
        <v>1.1122895812549731</v>
      </c>
      <c r="K123" s="159">
        <f t="shared" si="48"/>
        <v>0.90730054064483556</v>
      </c>
      <c r="L123" s="159">
        <f t="shared" si="48"/>
        <v>0.71733871635832525</v>
      </c>
      <c r="M123" s="159">
        <f t="shared" si="48"/>
        <v>0.42786498559302777</v>
      </c>
      <c r="N123" s="159">
        <f t="shared" si="48"/>
        <v>0.33465922523275804</v>
      </c>
      <c r="O123" s="159">
        <f t="shared" si="48"/>
        <v>0.33299013109390641</v>
      </c>
      <c r="P123" s="159">
        <f t="shared" si="48"/>
        <v>0.3428693276341514</v>
      </c>
      <c r="Q123" s="159" t="str">
        <f t="shared" si="48"/>
        <v/>
      </c>
    </row>
    <row r="124" spans="1:17" ht="15.75" customHeight="1">
      <c r="A124" s="10"/>
      <c r="B124" s="26" t="s">
        <v>226</v>
      </c>
      <c r="C124" s="74">
        <f>C19*Exchange_Rate*$C$3/(Market_Price*Common_Shares)</f>
        <v>7.4549935546810039E-2</v>
      </c>
      <c r="D124" s="26"/>
      <c r="E124" s="234"/>
      <c r="F124" s="26"/>
      <c r="G124" s="74">
        <f t="shared" ref="G124" si="49">IF(G$4="","",G123/Market_Price)</f>
        <v>8.0234152785139873E-2</v>
      </c>
      <c r="H124" s="74">
        <f t="shared" ref="H124" si="50">IF(H$4="","",H123/Market_Price)</f>
        <v>9.1509545512498888E-2</v>
      </c>
      <c r="I124" s="74">
        <f t="shared" ref="I124" si="51">IF(I$4="","",I123/Market_Price)</f>
        <v>7.761211061546712E-2</v>
      </c>
      <c r="J124" s="74">
        <f t="shared" ref="J124" si="52">IF(J$4="","",J123/Market_Price)</f>
        <v>5.9385455486117088E-2</v>
      </c>
      <c r="K124" s="74">
        <f t="shared" ref="K124" si="53">IF(K$4="","",K123/Market_Price)</f>
        <v>4.8441032602500565E-2</v>
      </c>
      <c r="L124" s="74">
        <f t="shared" ref="L124" si="54">IF(L$4="","",L123/Market_Price)</f>
        <v>3.8298917050631355E-2</v>
      </c>
      <c r="M124" s="74">
        <f t="shared" ref="M124" si="55">IF(M$4="","",M123/Market_Price)</f>
        <v>2.2843832653124813E-2</v>
      </c>
      <c r="N124" s="74">
        <f t="shared" ref="N124" si="56">IF(N$4="","",N123/Market_Price)</f>
        <v>1.7867550733195837E-2</v>
      </c>
      <c r="O124" s="74">
        <f t="shared" ref="O124" si="57">IF(O$4="","",O123/Market_Price)</f>
        <v>1.7778437324821483E-2</v>
      </c>
      <c r="P124" s="74">
        <f t="shared" ref="P124" si="58">IF(P$4="","",P123/Market_Price)</f>
        <v>1.8305890423606589E-2</v>
      </c>
      <c r="Q124" s="74" t="str">
        <f t="shared" ref="Q124" si="59">IF(Q$4="","",Q123/Market_Price)</f>
        <v/>
      </c>
    </row>
    <row r="125" spans="1:17" ht="15.75" customHeight="1">
      <c r="B125" s="2" t="s">
        <v>306</v>
      </c>
      <c r="C125" s="151"/>
      <c r="G125" s="22">
        <f>IF(G$4="","",(Data!C47*$C$3)/(Market_Price*Common_Shares))</f>
        <v>7.8561459588828902E-2</v>
      </c>
      <c r="H125" s="22">
        <f>IF(H$4="","",(Data!D47*$C$3)/(Market_Price*Common_Shares))</f>
        <v>9.3367209477154087E-2</v>
      </c>
      <c r="I125" s="22">
        <f>IF(I$4="","",(Data!E47*$C$3)/(Market_Price*Common_Shares))</f>
        <v>7.7235862803322619E-2</v>
      </c>
      <c r="J125" s="22">
        <f>IF(J$4="","",(Data!F47*$C$3)/(Market_Price*Common_Shares))</f>
        <v>5.9924396813433568E-2</v>
      </c>
      <c r="K125" s="22">
        <f>IF(K$4="","",(Data!G47*$C$3)/(Market_Price*Common_Shares))</f>
        <v>4.7668859760717316E-2</v>
      </c>
      <c r="L125" s="22">
        <f>IF(L$4="","",(Data!H47*$C$3)/(Market_Price*Common_Shares))</f>
        <v>3.8258352744896522E-2</v>
      </c>
      <c r="M125" s="22">
        <f>IF(M$4="","",(Data!I47*$C$3)/(Market_Price*Common_Shares))</f>
        <v>2.2642848857715732E-2</v>
      </c>
      <c r="N125" s="22">
        <f>IF(N$4="","",(Data!J47*$C$3)/(Market_Price*Common_Shares))</f>
        <v>1.9075293824915403E-2</v>
      </c>
      <c r="O125" s="22">
        <f>IF(O$4="","",(Data!K47*$C$3)/(Market_Price*Common_Shares))</f>
        <v>1.4795255530233255E-2</v>
      </c>
      <c r="P125" s="22">
        <f>IF(P$4="","",(Data!L47*$C$3)/(Market_Price*Common_Shares))</f>
        <v>1.3208405651111621E-2</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abSelected="1"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v>
      </c>
      <c r="E3" s="106" t="s">
        <v>422</v>
      </c>
      <c r="H3" s="106" t="s">
        <v>412</v>
      </c>
    </row>
    <row r="4" spans="2:15">
      <c r="B4" s="97" t="s">
        <v>391</v>
      </c>
      <c r="C4" s="275">
        <f>Normalized_FCF!C19</f>
        <v>804918607.021855</v>
      </c>
      <c r="D4" t="str">
        <f>Reporting_currency</f>
        <v>CNY</v>
      </c>
      <c r="E4" s="135" t="s">
        <v>429</v>
      </c>
      <c r="F4" s="275">
        <f>-BS!G31</f>
        <v>-200133333.33000001</v>
      </c>
      <c r="G4" t="str">
        <f>Reporting_currency</f>
        <v>CNY</v>
      </c>
      <c r="H4" s="308" t="s">
        <v>392</v>
      </c>
      <c r="I4" s="305">
        <f>Normalized_FCF!C4</f>
        <v>6129461219</v>
      </c>
      <c r="J4" s="305"/>
    </row>
    <row r="5" spans="2:15">
      <c r="B5" s="187" t="s">
        <v>105</v>
      </c>
      <c r="C5" s="188">
        <f>Equity_Cost</f>
        <v>7.2499999999999995E-2</v>
      </c>
      <c r="E5" s="135" t="s">
        <v>430</v>
      </c>
      <c r="F5" s="275">
        <f>BS!D66</f>
        <v>843588191.76314533</v>
      </c>
      <c r="G5" t="str">
        <f>Reporting_currency</f>
        <v>CNY</v>
      </c>
      <c r="H5" s="308" t="s">
        <v>393</v>
      </c>
      <c r="I5" s="305">
        <f>Normalized_FCF!C7</f>
        <v>-151680194</v>
      </c>
      <c r="J5" s="305"/>
    </row>
    <row r="6" spans="2:15" ht="13.25" customHeight="1">
      <c r="B6" s="136" t="s">
        <v>194</v>
      </c>
      <c r="C6" s="283">
        <f>(C4*(1+Terminal_Growth))/(Equity_Cost-Terminal_Growth)</f>
        <v>11102325614.094553</v>
      </c>
      <c r="D6" t="str">
        <f>Reporting_currency</f>
        <v>CNY</v>
      </c>
      <c r="E6" s="187" t="s">
        <v>431</v>
      </c>
      <c r="F6" s="284">
        <f>BS!H42</f>
        <v>60320206.770000003</v>
      </c>
      <c r="G6" t="str">
        <f>Reporting_currency</f>
        <v>CNY</v>
      </c>
      <c r="H6" s="308" t="s">
        <v>414</v>
      </c>
      <c r="I6" s="305">
        <f>I7+I8</f>
        <v>-6347066.2363988729</v>
      </c>
      <c r="J6" s="305"/>
      <c r="N6" s="135"/>
    </row>
    <row r="7" spans="2:15" ht="12.75" customHeight="1">
      <c r="B7" s="318" t="s">
        <v>428</v>
      </c>
      <c r="C7" s="275">
        <f>F7</f>
        <v>703775065.20314527</v>
      </c>
      <c r="E7" s="140" t="s">
        <v>422</v>
      </c>
      <c r="F7" s="283">
        <f>SUM(F4:F6)</f>
        <v>703775065.20314527</v>
      </c>
      <c r="G7" t="str">
        <f>Reporting_currency</f>
        <v>CNY</v>
      </c>
      <c r="H7" s="312" t="s">
        <v>415</v>
      </c>
      <c r="I7" s="313">
        <f>Normalized_FCF!C9</f>
        <v>0</v>
      </c>
      <c r="J7" s="313"/>
      <c r="N7" s="304"/>
      <c r="O7" s="304"/>
    </row>
    <row r="8" spans="2:15" ht="13.15">
      <c r="B8" s="136" t="s">
        <v>424</v>
      </c>
      <c r="C8" s="283">
        <f>C6+C7</f>
        <v>11806100679.297699</v>
      </c>
      <c r="D8" t="str">
        <f>Reporting_currency</f>
        <v>CNY</v>
      </c>
      <c r="E8" s="140" t="s">
        <v>462</v>
      </c>
      <c r="F8" s="108">
        <f>FV_adjustments*scaling_factor/Common_Shares*Exchange_Rate</f>
        <v>1.2208630742677169</v>
      </c>
      <c r="G8" s="294" t="str">
        <f>Market_currency</f>
        <v>CNY</v>
      </c>
      <c r="H8" s="314" t="str">
        <f>Normalized_FCF!B10</f>
        <v>Net Interest Income</v>
      </c>
      <c r="I8" s="313">
        <f>Normalized_FCF!C10</f>
        <v>-6347066.2363988729</v>
      </c>
      <c r="J8" s="313"/>
      <c r="N8" s="304"/>
      <c r="O8" s="304"/>
    </row>
    <row r="9" spans="2:15" ht="13.15" thickBot="1">
      <c r="B9" s="189" t="str">
        <f>"*"&amp;Thesis!E15</f>
        <v>*CNY</v>
      </c>
      <c r="C9" s="190">
        <f>Exchange_Rate</f>
        <v>1</v>
      </c>
      <c r="D9" t="str">
        <f>Thesis!E15</f>
        <v>CNY</v>
      </c>
      <c r="F9" s="322"/>
      <c r="H9" s="308" t="str">
        <f>Normalized_FCF!B79</f>
        <v>NCI’s Share of Profits</v>
      </c>
      <c r="I9" s="144">
        <f>Normalized_FCF!C79</f>
        <v>0</v>
      </c>
      <c r="J9" s="306"/>
      <c r="N9" s="304"/>
      <c r="O9" s="304"/>
    </row>
    <row r="10" spans="2:15" ht="13.5" thickTop="1">
      <c r="B10" s="107" t="s">
        <v>425</v>
      </c>
      <c r="C10" s="283">
        <f>C8*Exchange_Rate</f>
        <v>11806100679.297699</v>
      </c>
      <c r="D10" t="str">
        <f>Market_currency</f>
        <v>CNY</v>
      </c>
      <c r="H10" s="308" t="s">
        <v>395</v>
      </c>
      <c r="I10" s="306">
        <f>Normalized_FCF!C41</f>
        <v>0.25</v>
      </c>
      <c r="N10" s="304"/>
      <c r="O10" s="304"/>
    </row>
    <row r="11" spans="2:15" ht="13.15">
      <c r="B11" s="136" t="s">
        <v>423</v>
      </c>
      <c r="C11" s="108">
        <f>(C10*scaling_factor)/Common_Shares</f>
        <v>20.480453319671195</v>
      </c>
      <c r="D11" t="str">
        <f>Market_currency</f>
        <v>CNY</v>
      </c>
      <c r="E11" s="307"/>
      <c r="I11" s="307"/>
      <c r="J11" s="307"/>
    </row>
    <row r="13" spans="2:15" ht="13.9">
      <c r="B13" s="34" t="s">
        <v>426</v>
      </c>
      <c r="C13" s="35"/>
      <c r="D13" s="35"/>
      <c r="E13" s="35"/>
      <c r="F13" s="35"/>
      <c r="G13" s="35"/>
      <c r="H13" s="35"/>
      <c r="I13" s="35"/>
      <c r="J13" s="35"/>
      <c r="K13" s="35"/>
      <c r="L13" s="35"/>
    </row>
    <row r="14" spans="2:15" ht="13.15">
      <c r="B14" s="106" t="s">
        <v>397</v>
      </c>
      <c r="C14" s="309" t="s">
        <v>403</v>
      </c>
      <c r="E14" s="106" t="s">
        <v>397</v>
      </c>
      <c r="F14" s="309" t="str">
        <f>IF(ROUND(F17,4)=ROUND(C17,4),"I","II")</f>
        <v>I</v>
      </c>
      <c r="H14" s="106" t="s">
        <v>411</v>
      </c>
    </row>
    <row r="15" spans="2:15">
      <c r="B15" s="139" t="s">
        <v>419</v>
      </c>
      <c r="C15" s="148">
        <f>Scenarios!C45</f>
        <v>5</v>
      </c>
      <c r="E15" s="308" t="str">
        <f>IF(F14="II","Change year","Terminal Year")</f>
        <v>Terminal Year</v>
      </c>
      <c r="F15" s="310">
        <f>IF(F14="II",_xlfn.CEILING.MATH(C15/2),C15+1)</f>
        <v>6</v>
      </c>
      <c r="H15" s="97" t="s">
        <v>427</v>
      </c>
      <c r="I15" s="126">
        <f>Terminal_Growth</f>
        <v>0</v>
      </c>
      <c r="J15" s="126"/>
    </row>
    <row r="16" spans="2:15" ht="13.25" customHeight="1">
      <c r="B16" s="114" t="s">
        <v>420</v>
      </c>
      <c r="C16" s="147">
        <f>Scenarios!C46</f>
        <v>1.8613012126595999E-2</v>
      </c>
      <c r="E16" s="308" t="s">
        <v>398</v>
      </c>
      <c r="F16" s="311">
        <f>Scenarios!C41</f>
        <v>1.8613012126595999E-2</v>
      </c>
    </row>
    <row r="17" spans="1:21" ht="13.25" customHeight="1">
      <c r="B17" s="308" t="s">
        <v>547</v>
      </c>
      <c r="C17" s="306">
        <f>Normalized_FCF!C77</f>
        <v>0.17509284601323674</v>
      </c>
      <c r="E17" s="308" t="s">
        <v>548</v>
      </c>
      <c r="F17" s="311">
        <f>Scenarios!C40</f>
        <v>0.17509284601323677</v>
      </c>
      <c r="H17" s="106" t="s">
        <v>410</v>
      </c>
    </row>
    <row r="18" spans="1:21" ht="13.25" customHeight="1">
      <c r="B18" s="308" t="s">
        <v>421</v>
      </c>
      <c r="C18" s="306">
        <f>Normalized_FCF!C81-Normalized_FCF!C82</f>
        <v>0</v>
      </c>
      <c r="E18" s="308" t="s">
        <v>421</v>
      </c>
      <c r="F18" s="144">
        <f>IF(F14="II",C18/2,C18)</f>
        <v>0</v>
      </c>
      <c r="H18" s="140" t="s">
        <v>97</v>
      </c>
      <c r="I18" s="129">
        <f>(L52+FV_adjustments)*Exchange_Rate/Common_Shares*scaling_factor</f>
        <v>22.101557768235505</v>
      </c>
      <c r="J18" t="str">
        <f>Market_currency</f>
        <v>CNY</v>
      </c>
    </row>
    <row r="19" spans="1:21">
      <c r="L19" s="275"/>
    </row>
    <row r="20" spans="1:21" ht="13.15">
      <c r="A20" s="121" t="s">
        <v>397</v>
      </c>
      <c r="B20" s="121" t="s">
        <v>98</v>
      </c>
      <c r="C20" s="121" t="s">
        <v>392</v>
      </c>
      <c r="D20" s="121" t="s">
        <v>102</v>
      </c>
      <c r="E20" s="121" t="s">
        <v>547</v>
      </c>
      <c r="F20" s="121" t="s">
        <v>549</v>
      </c>
      <c r="G20" s="121" t="str">
        <f>B18</f>
        <v>D&amp;A - maint. Capx</v>
      </c>
      <c r="H20" s="121" t="s">
        <v>551</v>
      </c>
      <c r="I20" s="121" t="s">
        <v>527</v>
      </c>
      <c r="J20" s="121" t="s">
        <v>550</v>
      </c>
      <c r="K20" s="121" t="s">
        <v>528</v>
      </c>
      <c r="L20" s="122" t="s">
        <v>417</v>
      </c>
    </row>
    <row r="21" spans="1:21">
      <c r="A21" s="302" t="str">
        <f t="shared" ref="A21:A50" si="0">IF($C$15&lt;B21,"",IF(B21&gt;=$F$15,"II","I"))</f>
        <v>I</v>
      </c>
      <c r="B21" s="117">
        <v>1</v>
      </c>
      <c r="C21" s="277">
        <f>I4*(1+D21)</f>
        <v>6243548954.9987469</v>
      </c>
      <c r="D21" s="299">
        <f t="shared" ref="D21:D50" si="1">IF(A21="",0,IF(A21="I",$C$16,$F$16))</f>
        <v>1.8613012126595999E-2</v>
      </c>
      <c r="E21" s="299">
        <f>$C$17</f>
        <v>0.17509284601323674</v>
      </c>
      <c r="F21" s="277">
        <f>C21*E21</f>
        <v>1093200755.7537007</v>
      </c>
      <c r="G21" s="299">
        <f t="shared" ref="G21:G50" si="2">IF(A21="",0%,IF(A21="I",$C$18,$F$18))</f>
        <v>0</v>
      </c>
      <c r="H21" s="277">
        <f>(F21*(1-$I$10)+C21*(G21-$I$9))</f>
        <v>819900566.81527555</v>
      </c>
      <c r="I21" s="299">
        <f>H21/C4-1</f>
        <v>1.861301212659594E-2</v>
      </c>
      <c r="J21" s="299">
        <f>H21/C21</f>
        <v>0.13131963450992756</v>
      </c>
      <c r="K21" s="119">
        <f t="shared" ref="K21:K50" si="3">IF($C$15&lt;B21,0,1/(1+Equity_Cost)^B21)</f>
        <v>0.93240093240093236</v>
      </c>
      <c r="L21" s="277">
        <f t="shared" ref="L21:L51" si="4">H21*K21</f>
        <v>764476052.97461581</v>
      </c>
    </row>
    <row r="22" spans="1:21">
      <c r="A22" s="302" t="str">
        <f t="shared" si="0"/>
        <v>I</v>
      </c>
      <c r="B22" s="117">
        <v>2</v>
      </c>
      <c r="C22" s="277">
        <f t="shared" ref="C22:C50" si="5">IF(A22="",0,C21*(1+D22))</f>
        <v>6359760207.4111338</v>
      </c>
      <c r="D22" s="299">
        <f t="shared" si="1"/>
        <v>1.8613012126595999E-2</v>
      </c>
      <c r="E22" s="299">
        <f t="shared" ref="E22:E50" si="6">IF($C$15&lt;B22,0,IF(B22&gt;=$F$15,$F$17,$C$17))</f>
        <v>0.17509284601323674</v>
      </c>
      <c r="F22" s="277">
        <f t="shared" ref="F22:F50" si="7">IF(A22="", 0,C22*E22)</f>
        <v>1113548514.6773481</v>
      </c>
      <c r="G22" s="299">
        <f t="shared" si="2"/>
        <v>0</v>
      </c>
      <c r="H22" s="277">
        <f t="shared" ref="H22:H50" si="8">IF(A22="", 0,F22*(1-$I$10)+C22*(G22-$I$9))</f>
        <v>835161386.0080111</v>
      </c>
      <c r="I22" s="299">
        <f t="shared" ref="I22:I50" si="9">IF(A22="", 0,H22/H21-1)</f>
        <v>1.861301212659594E-2</v>
      </c>
      <c r="J22" s="299">
        <f>IF(A22="", 0,H22/C22)</f>
        <v>0.13131963450992754</v>
      </c>
      <c r="K22" s="119">
        <f t="shared" si="3"/>
        <v>0.86937149874212816</v>
      </c>
      <c r="L22" s="277">
        <f t="shared" si="4"/>
        <v>726065505.84533763</v>
      </c>
    </row>
    <row r="23" spans="1:21">
      <c r="A23" s="302" t="str">
        <f t="shared" si="0"/>
        <v>I</v>
      </c>
      <c r="B23" s="117">
        <v>3</v>
      </c>
      <c r="C23" s="277">
        <f t="shared" si="5"/>
        <v>6478134501.2739191</v>
      </c>
      <c r="D23" s="299">
        <f t="shared" si="1"/>
        <v>1.8613012126595999E-2</v>
      </c>
      <c r="E23" s="299">
        <f t="shared" si="6"/>
        <v>0.17509284601323674</v>
      </c>
      <c r="F23" s="277">
        <f t="shared" si="7"/>
        <v>1134275006.6845906</v>
      </c>
      <c r="G23" s="299">
        <f t="shared" si="2"/>
        <v>0</v>
      </c>
      <c r="H23" s="277">
        <f t="shared" si="8"/>
        <v>850706255.01344299</v>
      </c>
      <c r="I23" s="299">
        <f t="shared" si="9"/>
        <v>1.8613012126596162E-2</v>
      </c>
      <c r="J23" s="299">
        <f t="shared" ref="J23:J50" si="10">IF(A23="", 0,H23/C23)</f>
        <v>0.13131963450992756</v>
      </c>
      <c r="K23" s="119">
        <f t="shared" si="3"/>
        <v>0.81060279602995633</v>
      </c>
      <c r="L23" s="277">
        <f t="shared" si="4"/>
        <v>689584868.91406989</v>
      </c>
      <c r="N23" s="275"/>
      <c r="O23" s="275"/>
      <c r="P23" s="275"/>
      <c r="Q23" s="275"/>
      <c r="R23" s="275"/>
      <c r="S23" s="275"/>
      <c r="T23" s="275"/>
      <c r="U23" s="275"/>
    </row>
    <row r="24" spans="1:21">
      <c r="A24" s="302" t="str">
        <f t="shared" si="0"/>
        <v>I</v>
      </c>
      <c r="B24" s="117">
        <v>4</v>
      </c>
      <c r="C24" s="277">
        <f t="shared" si="5"/>
        <v>6598712097.3038502</v>
      </c>
      <c r="D24" s="299">
        <f t="shared" si="1"/>
        <v>1.8613012126595999E-2</v>
      </c>
      <c r="E24" s="299">
        <f t="shared" si="6"/>
        <v>0.17509284601323674</v>
      </c>
      <c r="F24" s="277">
        <f t="shared" si="7"/>
        <v>1155387281.1389055</v>
      </c>
      <c r="G24" s="299">
        <f t="shared" si="2"/>
        <v>0</v>
      </c>
      <c r="H24" s="277">
        <f t="shared" si="8"/>
        <v>866540460.85417914</v>
      </c>
      <c r="I24" s="299">
        <f t="shared" si="9"/>
        <v>1.861301212659594E-2</v>
      </c>
      <c r="J24" s="299">
        <f t="shared" si="10"/>
        <v>0.13131963450992756</v>
      </c>
      <c r="K24" s="119">
        <f t="shared" si="3"/>
        <v>0.75580680282513402</v>
      </c>
      <c r="L24" s="277">
        <f t="shared" si="4"/>
        <v>654937175.23681533</v>
      </c>
      <c r="N24" s="275"/>
      <c r="O24" s="275"/>
      <c r="P24" s="275"/>
      <c r="Q24" s="275"/>
      <c r="R24" s="275"/>
      <c r="S24" s="275"/>
      <c r="T24" s="275"/>
      <c r="U24" s="275"/>
    </row>
    <row r="25" spans="1:21">
      <c r="A25" s="302" t="str">
        <f t="shared" si="0"/>
        <v>I</v>
      </c>
      <c r="B25" s="117">
        <v>5</v>
      </c>
      <c r="C25" s="277">
        <f t="shared" si="5"/>
        <v>6721534005.5908823</v>
      </c>
      <c r="D25" s="299">
        <f t="shared" si="1"/>
        <v>1.8613012126595999E-2</v>
      </c>
      <c r="E25" s="299">
        <f t="shared" si="6"/>
        <v>0.17509284601323674</v>
      </c>
      <c r="F25" s="277">
        <f t="shared" si="7"/>
        <v>1176892518.6136587</v>
      </c>
      <c r="G25" s="299">
        <f t="shared" si="2"/>
        <v>0</v>
      </c>
      <c r="H25" s="277">
        <f t="shared" si="8"/>
        <v>882669388.96024394</v>
      </c>
      <c r="I25" s="299">
        <f t="shared" si="9"/>
        <v>1.861301212659594E-2</v>
      </c>
      <c r="J25" s="299">
        <f t="shared" si="10"/>
        <v>0.13131963450992754</v>
      </c>
      <c r="K25" s="119">
        <f t="shared" si="3"/>
        <v>0.70471496766912267</v>
      </c>
      <c r="L25" s="277">
        <f t="shared" si="4"/>
        <v>622030329.90364254</v>
      </c>
      <c r="N25" s="275"/>
      <c r="O25" s="275"/>
      <c r="P25" s="275"/>
      <c r="Q25" s="275"/>
      <c r="R25" s="275"/>
      <c r="S25" s="275"/>
      <c r="T25" s="275"/>
      <c r="U25" s="275"/>
    </row>
    <row r="26" spans="1:21">
      <c r="A26" s="302" t="str">
        <f t="shared" si="0"/>
        <v/>
      </c>
      <c r="B26" s="117">
        <v>6</v>
      </c>
      <c r="C26" s="277">
        <f t="shared" si="5"/>
        <v>0</v>
      </c>
      <c r="D26" s="299">
        <f t="shared" si="1"/>
        <v>0</v>
      </c>
      <c r="E26" s="299">
        <f t="shared" si="6"/>
        <v>0</v>
      </c>
      <c r="F26" s="277">
        <f t="shared" si="7"/>
        <v>0</v>
      </c>
      <c r="G26" s="299">
        <f t="shared" si="2"/>
        <v>0</v>
      </c>
      <c r="H26" s="277">
        <f t="shared" si="8"/>
        <v>0</v>
      </c>
      <c r="I26" s="299">
        <f t="shared" si="9"/>
        <v>0</v>
      </c>
      <c r="J26" s="299">
        <f t="shared" si="10"/>
        <v>0</v>
      </c>
      <c r="K26" s="119">
        <f t="shared" si="3"/>
        <v>0</v>
      </c>
      <c r="L26" s="277">
        <f t="shared" si="4"/>
        <v>0</v>
      </c>
    </row>
    <row r="27" spans="1:21">
      <c r="A27" s="302" t="str">
        <f t="shared" si="0"/>
        <v/>
      </c>
      <c r="B27" s="117">
        <v>7</v>
      </c>
      <c r="C27" s="277">
        <f t="shared" si="5"/>
        <v>0</v>
      </c>
      <c r="D27" s="299">
        <f t="shared" si="1"/>
        <v>0</v>
      </c>
      <c r="E27" s="299">
        <f t="shared" si="6"/>
        <v>0</v>
      </c>
      <c r="F27" s="277">
        <f t="shared" si="7"/>
        <v>0</v>
      </c>
      <c r="G27" s="299">
        <f t="shared" si="2"/>
        <v>0</v>
      </c>
      <c r="H27" s="277">
        <f t="shared" si="8"/>
        <v>0</v>
      </c>
      <c r="I27" s="299">
        <f t="shared" si="9"/>
        <v>0</v>
      </c>
      <c r="J27" s="299">
        <f t="shared" si="10"/>
        <v>0</v>
      </c>
      <c r="K27" s="119">
        <f t="shared" si="3"/>
        <v>0</v>
      </c>
      <c r="L27" s="277">
        <f t="shared" si="4"/>
        <v>0</v>
      </c>
    </row>
    <row r="28" spans="1:21">
      <c r="A28" s="302" t="str">
        <f t="shared" si="0"/>
        <v/>
      </c>
      <c r="B28" s="117">
        <v>8</v>
      </c>
      <c r="C28" s="277">
        <f t="shared" si="5"/>
        <v>0</v>
      </c>
      <c r="D28" s="299">
        <f t="shared" si="1"/>
        <v>0</v>
      </c>
      <c r="E28" s="299">
        <f t="shared" si="6"/>
        <v>0</v>
      </c>
      <c r="F28" s="277">
        <f t="shared" si="7"/>
        <v>0</v>
      </c>
      <c r="G28" s="299">
        <f t="shared" si="2"/>
        <v>0</v>
      </c>
      <c r="H28" s="277">
        <f t="shared" si="8"/>
        <v>0</v>
      </c>
      <c r="I28" s="299">
        <f t="shared" si="9"/>
        <v>0</v>
      </c>
      <c r="J28" s="299">
        <f t="shared" si="10"/>
        <v>0</v>
      </c>
      <c r="K28" s="119">
        <f t="shared" si="3"/>
        <v>0</v>
      </c>
      <c r="L28" s="277">
        <f t="shared" si="4"/>
        <v>0</v>
      </c>
    </row>
    <row r="29" spans="1:21">
      <c r="A29" s="302" t="str">
        <f t="shared" si="0"/>
        <v/>
      </c>
      <c r="B29" s="117">
        <v>9</v>
      </c>
      <c r="C29" s="277">
        <f t="shared" si="5"/>
        <v>0</v>
      </c>
      <c r="D29" s="299">
        <f t="shared" si="1"/>
        <v>0</v>
      </c>
      <c r="E29" s="299">
        <f t="shared" si="6"/>
        <v>0</v>
      </c>
      <c r="F29" s="277">
        <f t="shared" si="7"/>
        <v>0</v>
      </c>
      <c r="G29" s="299">
        <f t="shared" si="2"/>
        <v>0</v>
      </c>
      <c r="H29" s="277">
        <f t="shared" si="8"/>
        <v>0</v>
      </c>
      <c r="I29" s="299">
        <f t="shared" si="9"/>
        <v>0</v>
      </c>
      <c r="J29" s="299">
        <f t="shared" si="10"/>
        <v>0</v>
      </c>
      <c r="K29" s="119">
        <f t="shared" si="3"/>
        <v>0</v>
      </c>
      <c r="L29" s="277">
        <f t="shared" si="4"/>
        <v>0</v>
      </c>
    </row>
    <row r="30" spans="1:21">
      <c r="A30" s="302" t="str">
        <f t="shared" si="0"/>
        <v/>
      </c>
      <c r="B30" s="117">
        <v>10</v>
      </c>
      <c r="C30" s="277">
        <f t="shared" si="5"/>
        <v>0</v>
      </c>
      <c r="D30" s="299">
        <f t="shared" si="1"/>
        <v>0</v>
      </c>
      <c r="E30" s="299">
        <f t="shared" si="6"/>
        <v>0</v>
      </c>
      <c r="F30" s="277">
        <f t="shared" si="7"/>
        <v>0</v>
      </c>
      <c r="G30" s="299">
        <f t="shared" si="2"/>
        <v>0</v>
      </c>
      <c r="H30" s="277">
        <f t="shared" si="8"/>
        <v>0</v>
      </c>
      <c r="I30" s="299">
        <f t="shared" si="9"/>
        <v>0</v>
      </c>
      <c r="J30" s="299">
        <f t="shared" si="10"/>
        <v>0</v>
      </c>
      <c r="K30" s="119">
        <f t="shared" si="3"/>
        <v>0</v>
      </c>
      <c r="L30" s="277">
        <f t="shared" si="4"/>
        <v>0</v>
      </c>
    </row>
    <row r="31" spans="1:21">
      <c r="A31" s="302" t="str">
        <f t="shared" si="0"/>
        <v/>
      </c>
      <c r="B31" s="117">
        <v>11</v>
      </c>
      <c r="C31" s="277">
        <f t="shared" si="5"/>
        <v>0</v>
      </c>
      <c r="D31" s="299">
        <f t="shared" si="1"/>
        <v>0</v>
      </c>
      <c r="E31" s="299">
        <f t="shared" si="6"/>
        <v>0</v>
      </c>
      <c r="F31" s="277">
        <f t="shared" si="7"/>
        <v>0</v>
      </c>
      <c r="G31" s="299">
        <f t="shared" si="2"/>
        <v>0</v>
      </c>
      <c r="H31" s="277">
        <f t="shared" si="8"/>
        <v>0</v>
      </c>
      <c r="I31" s="299">
        <f t="shared" si="9"/>
        <v>0</v>
      </c>
      <c r="J31" s="299">
        <f t="shared" si="10"/>
        <v>0</v>
      </c>
      <c r="K31" s="119">
        <f t="shared" si="3"/>
        <v>0</v>
      </c>
      <c r="L31" s="277">
        <f t="shared" si="4"/>
        <v>0</v>
      </c>
    </row>
    <row r="32" spans="1:21">
      <c r="A32" s="302" t="str">
        <f t="shared" si="0"/>
        <v/>
      </c>
      <c r="B32" s="117">
        <v>12</v>
      </c>
      <c r="C32" s="277">
        <f t="shared" si="5"/>
        <v>0</v>
      </c>
      <c r="D32" s="299">
        <f t="shared" si="1"/>
        <v>0</v>
      </c>
      <c r="E32" s="299">
        <f t="shared" si="6"/>
        <v>0</v>
      </c>
      <c r="F32" s="277">
        <f t="shared" si="7"/>
        <v>0</v>
      </c>
      <c r="G32" s="299">
        <f t="shared" si="2"/>
        <v>0</v>
      </c>
      <c r="H32" s="277">
        <f t="shared" si="8"/>
        <v>0</v>
      </c>
      <c r="I32" s="299">
        <f t="shared" si="9"/>
        <v>0</v>
      </c>
      <c r="J32" s="299">
        <f t="shared" si="10"/>
        <v>0</v>
      </c>
      <c r="K32" s="119">
        <f t="shared" si="3"/>
        <v>0</v>
      </c>
      <c r="L32" s="277">
        <f t="shared" si="4"/>
        <v>0</v>
      </c>
    </row>
    <row r="33" spans="1:21">
      <c r="A33" s="302" t="str">
        <f t="shared" si="0"/>
        <v/>
      </c>
      <c r="B33" s="117">
        <v>13</v>
      </c>
      <c r="C33" s="277">
        <f t="shared" si="5"/>
        <v>0</v>
      </c>
      <c r="D33" s="299">
        <f t="shared" si="1"/>
        <v>0</v>
      </c>
      <c r="E33" s="299">
        <f t="shared" si="6"/>
        <v>0</v>
      </c>
      <c r="F33" s="277">
        <f t="shared" si="7"/>
        <v>0</v>
      </c>
      <c r="G33" s="299">
        <f t="shared" si="2"/>
        <v>0</v>
      </c>
      <c r="H33" s="277">
        <f t="shared" si="8"/>
        <v>0</v>
      </c>
      <c r="I33" s="299">
        <f t="shared" si="9"/>
        <v>0</v>
      </c>
      <c r="J33" s="299">
        <f t="shared" si="10"/>
        <v>0</v>
      </c>
      <c r="K33" s="119">
        <f t="shared" si="3"/>
        <v>0</v>
      </c>
      <c r="L33" s="277">
        <f t="shared" si="4"/>
        <v>0</v>
      </c>
      <c r="N33" s="275"/>
      <c r="O33" s="275"/>
      <c r="P33" s="275"/>
      <c r="Q33" s="275"/>
      <c r="R33" s="275"/>
      <c r="S33" s="275"/>
      <c r="T33" s="275"/>
      <c r="U33" s="275"/>
    </row>
    <row r="34" spans="1:21">
      <c r="A34" s="302" t="str">
        <f t="shared" si="0"/>
        <v/>
      </c>
      <c r="B34" s="117">
        <v>14</v>
      </c>
      <c r="C34" s="277">
        <f t="shared" si="5"/>
        <v>0</v>
      </c>
      <c r="D34" s="299">
        <f t="shared" si="1"/>
        <v>0</v>
      </c>
      <c r="E34" s="299">
        <f t="shared" si="6"/>
        <v>0</v>
      </c>
      <c r="F34" s="277">
        <f t="shared" si="7"/>
        <v>0</v>
      </c>
      <c r="G34" s="299">
        <f t="shared" si="2"/>
        <v>0</v>
      </c>
      <c r="H34" s="277">
        <f t="shared" si="8"/>
        <v>0</v>
      </c>
      <c r="I34" s="299">
        <f t="shared" si="9"/>
        <v>0</v>
      </c>
      <c r="J34" s="299">
        <f t="shared" si="10"/>
        <v>0</v>
      </c>
      <c r="K34" s="119">
        <f t="shared" si="3"/>
        <v>0</v>
      </c>
      <c r="L34" s="277">
        <f t="shared" si="4"/>
        <v>0</v>
      </c>
      <c r="N34" s="275"/>
      <c r="O34" s="275"/>
      <c r="P34" s="275"/>
      <c r="Q34" s="275"/>
      <c r="R34" s="275"/>
      <c r="S34" s="275"/>
      <c r="T34" s="275"/>
      <c r="U34" s="275"/>
    </row>
    <row r="35" spans="1:21">
      <c r="A35" s="302" t="str">
        <f t="shared" si="0"/>
        <v/>
      </c>
      <c r="B35" s="117">
        <v>15</v>
      </c>
      <c r="C35" s="277">
        <f t="shared" si="5"/>
        <v>0</v>
      </c>
      <c r="D35" s="299">
        <f t="shared" si="1"/>
        <v>0</v>
      </c>
      <c r="E35" s="299">
        <f t="shared" si="6"/>
        <v>0</v>
      </c>
      <c r="F35" s="277">
        <f t="shared" si="7"/>
        <v>0</v>
      </c>
      <c r="G35" s="299">
        <f t="shared" si="2"/>
        <v>0</v>
      </c>
      <c r="H35" s="277">
        <f t="shared" si="8"/>
        <v>0</v>
      </c>
      <c r="I35" s="299">
        <f t="shared" si="9"/>
        <v>0</v>
      </c>
      <c r="J35" s="299">
        <f t="shared" si="10"/>
        <v>0</v>
      </c>
      <c r="K35" s="119">
        <f t="shared" si="3"/>
        <v>0</v>
      </c>
      <c r="L35" s="277">
        <f t="shared" si="4"/>
        <v>0</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416</v>
      </c>
      <c r="B51" s="316">
        <f>C15+1</f>
        <v>6</v>
      </c>
      <c r="C51" s="277">
        <f>VLOOKUP(C15,B21:C50,2,FALSE)*(1+Terminal_Growth)</f>
        <v>6721534005.5908823</v>
      </c>
      <c r="D51" s="301">
        <f>Terminal_Growth</f>
        <v>0</v>
      </c>
      <c r="E51" s="301">
        <f>F17</f>
        <v>0.17509284601323677</v>
      </c>
      <c r="F51" s="277">
        <f>C51*E51</f>
        <v>1176892518.6136589</v>
      </c>
      <c r="G51" s="299">
        <f>F18</f>
        <v>0</v>
      </c>
      <c r="H51" s="277">
        <f>(F51*(1-$I$10)+C51*(G51-$I$9))/Equity_Cost</f>
        <v>12174750192.555094</v>
      </c>
      <c r="I51" s="415">
        <f>(F51*(1-$I$10)+C51*(G51-$I$9))/VLOOKUP(C15,B21:H50,COLUMN(H20)-1,FALSE)-1</f>
        <v>0</v>
      </c>
      <c r="J51" s="454"/>
      <c r="K51" s="119">
        <f>1/(1+Equity_Cost)^C15</f>
        <v>0.70471496766912267</v>
      </c>
      <c r="L51" s="277">
        <f t="shared" si="4"/>
        <v>8579728688.326108</v>
      </c>
    </row>
    <row r="52" spans="1:21" ht="13.15">
      <c r="G52" s="111"/>
      <c r="H52" s="111"/>
      <c r="I52" s="111"/>
      <c r="J52" s="468" t="s">
        <v>418</v>
      </c>
      <c r="K52" s="468"/>
      <c r="L52" s="317">
        <f>SUM(L21:L51)</f>
        <v>12036822621.200588</v>
      </c>
    </row>
    <row r="53" spans="1:21">
      <c r="C53" s="111"/>
    </row>
    <row r="54" spans="1:21" ht="13.15">
      <c r="B54" s="115" t="s">
        <v>108</v>
      </c>
      <c r="C54" s="128"/>
      <c r="D54" s="128"/>
      <c r="E54" s="113"/>
      <c r="F54" s="113"/>
      <c r="G54" s="113"/>
      <c r="H54" s="113"/>
      <c r="I54" s="113"/>
      <c r="J54" s="113"/>
      <c r="K54" s="113"/>
      <c r="L54" s="113"/>
    </row>
    <row r="55" spans="1:21" ht="13.15">
      <c r="A55" s="125">
        <f>L52</f>
        <v>12036822621.200588</v>
      </c>
      <c r="B55" s="123">
        <f>C94</f>
        <v>-0.02</v>
      </c>
      <c r="C55" s="123">
        <f>C93</f>
        <v>0.01</v>
      </c>
      <c r="D55" s="123">
        <f>C92</f>
        <v>0.02</v>
      </c>
      <c r="E55" s="123">
        <f>C91</f>
        <v>0.03</v>
      </c>
      <c r="F55" s="123">
        <f>C90</f>
        <v>0.04</v>
      </c>
      <c r="G55" s="123"/>
      <c r="H55" s="123"/>
      <c r="I55" s="123"/>
      <c r="J55" s="123"/>
      <c r="K55" s="123"/>
      <c r="L55" s="123"/>
    </row>
    <row r="56" spans="1:21" ht="13.15">
      <c r="A56" s="131">
        <v>1</v>
      </c>
      <c r="B56" s="118">
        <f t="dataTable" ref="B56:F69" dt2D="1" dtr="1" r1="C16" r2="C15"/>
        <v>10880279101.812662</v>
      </c>
      <c r="C56" s="118">
        <v>11213348870.2355</v>
      </c>
      <c r="D56" s="118">
        <v>11324372126.376446</v>
      </c>
      <c r="E56" s="118">
        <v>11435395382.517389</v>
      </c>
      <c r="F56" s="118">
        <v>11546418638.658337</v>
      </c>
      <c r="G56" s="295"/>
      <c r="H56" s="295"/>
      <c r="I56" s="295"/>
      <c r="J56" s="295"/>
      <c r="K56" s="295"/>
      <c r="L56" s="295"/>
    </row>
    <row r="57" spans="1:21" ht="13.15">
      <c r="A57" s="131">
        <v>2</v>
      </c>
      <c r="B57" s="118">
        <v>10677383454.226414</v>
      </c>
      <c r="C57" s="118">
        <v>11317902239.654945</v>
      </c>
      <c r="D57" s="118">
        <v>11535549228.966217</v>
      </c>
      <c r="E57" s="118">
        <v>11755266582.028366</v>
      </c>
      <c r="F57" s="118">
        <v>11977054298.8414</v>
      </c>
      <c r="G57" s="295"/>
      <c r="H57" s="295"/>
      <c r="I57" s="295"/>
      <c r="J57" s="295"/>
      <c r="K57" s="295"/>
      <c r="L57" s="295"/>
    </row>
    <row r="58" spans="1:21" ht="13.15">
      <c r="A58" s="131">
        <v>3</v>
      </c>
      <c r="B58" s="118">
        <v>10491986965.056694</v>
      </c>
      <c r="C58" s="118">
        <v>11416362755.378618</v>
      </c>
      <c r="D58" s="118">
        <v>11736388990.869776</v>
      </c>
      <c r="E58" s="118">
        <v>12062462232.840775</v>
      </c>
      <c r="F58" s="118">
        <v>12394640393.564367</v>
      </c>
      <c r="G58" s="295"/>
      <c r="H58" s="295"/>
      <c r="I58" s="295"/>
      <c r="J58" s="295"/>
      <c r="K58" s="295"/>
      <c r="L58" s="295"/>
    </row>
    <row r="59" spans="1:21" ht="13.15">
      <c r="A59" s="131">
        <v>4</v>
      </c>
      <c r="B59" s="118">
        <v>10322580382.878298</v>
      </c>
      <c r="C59" s="118">
        <v>11509085478.810703</v>
      </c>
      <c r="D59" s="118">
        <v>11927397435.757076</v>
      </c>
      <c r="E59" s="118">
        <v>12357484629.425179</v>
      </c>
      <c r="F59" s="118">
        <v>12799572364.204823</v>
      </c>
      <c r="G59" s="295"/>
      <c r="H59" s="295"/>
      <c r="I59" s="295"/>
      <c r="J59" s="295"/>
      <c r="K59" s="295"/>
      <c r="L59" s="295"/>
    </row>
    <row r="60" spans="1:21" ht="13.15">
      <c r="A60" s="131">
        <v>5</v>
      </c>
      <c r="B60" s="118">
        <v>10167784624.803871</v>
      </c>
      <c r="C60" s="118">
        <v>11596404780.131359</v>
      </c>
      <c r="D60" s="118">
        <v>12109055816.908634</v>
      </c>
      <c r="E60" s="118">
        <v>12640816161.809273</v>
      </c>
      <c r="F60" s="118">
        <v>13192233669.068295</v>
      </c>
      <c r="G60" s="295"/>
      <c r="H60" s="295"/>
      <c r="I60" s="295"/>
      <c r="J60" s="295"/>
      <c r="K60" s="295"/>
      <c r="L60" s="295"/>
    </row>
    <row r="61" spans="1:21" ht="13.15">
      <c r="A61" s="131">
        <v>6</v>
      </c>
      <c r="B61" s="118">
        <v>10026339549.826771</v>
      </c>
      <c r="C61" s="118">
        <v>11678635544.079018</v>
      </c>
      <c r="D61" s="118">
        <v>12281821829.752071</v>
      </c>
      <c r="E61" s="118">
        <v>12912920104.331995</v>
      </c>
      <c r="F61" s="118">
        <v>13572996146.511662</v>
      </c>
      <c r="G61" s="295"/>
      <c r="H61" s="295"/>
      <c r="I61" s="295"/>
      <c r="J61" s="295"/>
      <c r="K61" s="295"/>
      <c r="L61" s="295"/>
    </row>
    <row r="62" spans="1:21" ht="13.15">
      <c r="A62" s="131">
        <v>7</v>
      </c>
      <c r="B62" s="118">
        <v>9897093700.4304466</v>
      </c>
      <c r="C62" s="118">
        <v>11756074305.465622</v>
      </c>
      <c r="D62" s="118">
        <v>12446130765.043737</v>
      </c>
      <c r="E62" s="118">
        <v>13174241373.141695</v>
      </c>
      <c r="F62" s="118">
        <v>13942220367.062805</v>
      </c>
      <c r="G62" s="295"/>
      <c r="H62" s="295"/>
      <c r="I62" s="295"/>
      <c r="J62" s="295"/>
      <c r="K62" s="295"/>
      <c r="L62" s="295"/>
    </row>
    <row r="63" spans="1:21" ht="13.15">
      <c r="A63" s="131">
        <v>8</v>
      </c>
      <c r="B63" s="118">
        <v>9778994928.9540825</v>
      </c>
      <c r="C63" s="118">
        <v>11829000318.519676</v>
      </c>
      <c r="D63" s="118">
        <v>12602396605.600842</v>
      </c>
      <c r="E63" s="118">
        <v>13425207253.676882</v>
      </c>
      <c r="F63" s="118">
        <v>14300255974.869974</v>
      </c>
      <c r="G63" s="295"/>
      <c r="H63" s="295"/>
      <c r="I63" s="295"/>
      <c r="J63" s="295"/>
      <c r="K63" s="295"/>
      <c r="L63" s="295"/>
    </row>
    <row r="64" spans="1:21" ht="13.15">
      <c r="A64" s="131">
        <v>9</v>
      </c>
      <c r="B64" s="118">
        <v>9671081832.4069176</v>
      </c>
      <c r="C64" s="118">
        <v>11897676563.913237</v>
      </c>
      <c r="D64" s="118">
        <v>12751013069.347458</v>
      </c>
      <c r="E64" s="118">
        <v>13666228099.319065</v>
      </c>
      <c r="F64" s="118">
        <v>14647442018.804199</v>
      </c>
      <c r="G64" s="295"/>
      <c r="H64" s="295"/>
      <c r="I64" s="295"/>
      <c r="J64" s="295"/>
      <c r="K64" s="295"/>
      <c r="L64" s="295"/>
    </row>
    <row r="65" spans="1:21" ht="13.15">
      <c r="A65" s="131">
        <v>10</v>
      </c>
      <c r="B65" s="118">
        <v>9572475926.0048447</v>
      </c>
      <c r="C65" s="118">
        <v>11962350697.104374</v>
      </c>
      <c r="D65" s="118">
        <v>12892354601.302286</v>
      </c>
      <c r="E65" s="118">
        <v>13897698002.360046</v>
      </c>
      <c r="F65" s="118">
        <v>14984107273.528297</v>
      </c>
      <c r="G65" s="295"/>
      <c r="H65" s="295"/>
      <c r="I65" s="295"/>
      <c r="J65" s="295"/>
      <c r="K65" s="295"/>
      <c r="L65" s="295"/>
    </row>
    <row r="66" spans="1:21" ht="13.15">
      <c r="A66" s="131">
        <v>15</v>
      </c>
      <c r="B66" s="118">
        <v>9193260406.3787117</v>
      </c>
      <c r="C66" s="277">
        <v>12233393119.765942</v>
      </c>
      <c r="D66" s="118">
        <v>13501809829.642033</v>
      </c>
      <c r="E66" s="118">
        <v>14924517415.357327</v>
      </c>
      <c r="F66" s="118">
        <v>16520448074.12912</v>
      </c>
      <c r="G66" s="295"/>
      <c r="H66" s="295"/>
      <c r="I66" s="295"/>
      <c r="J66" s="295"/>
      <c r="K66" s="295"/>
      <c r="L66" s="295"/>
      <c r="M66" s="275"/>
      <c r="N66" s="275"/>
      <c r="O66" s="275"/>
      <c r="P66" s="275"/>
      <c r="Q66" s="275"/>
      <c r="R66" s="275"/>
      <c r="S66" s="275"/>
      <c r="T66" s="275"/>
      <c r="U66" s="275"/>
    </row>
    <row r="67" spans="1:21" ht="13.15">
      <c r="A67" s="132">
        <v>20</v>
      </c>
      <c r="B67" s="118">
        <v>8951697649.7527275</v>
      </c>
      <c r="C67" s="277">
        <v>12434144081.793121</v>
      </c>
      <c r="D67" s="118">
        <v>13976003946.562794</v>
      </c>
      <c r="E67" s="118">
        <v>15763385535.566662</v>
      </c>
      <c r="F67" s="118">
        <v>17837696706.909836</v>
      </c>
      <c r="G67" s="295"/>
      <c r="H67" s="295"/>
      <c r="I67" s="295"/>
      <c r="J67" s="295"/>
      <c r="K67" s="295"/>
      <c r="L67" s="295"/>
      <c r="M67" s="275"/>
      <c r="N67" s="275"/>
      <c r="O67" s="275"/>
      <c r="P67" s="275"/>
      <c r="Q67" s="275"/>
      <c r="R67" s="275"/>
      <c r="S67" s="275"/>
      <c r="T67" s="275"/>
      <c r="U67" s="275"/>
    </row>
    <row r="68" spans="1:21" ht="13.15">
      <c r="A68" s="132">
        <v>25</v>
      </c>
      <c r="B68" s="118">
        <v>8797820599.9783077</v>
      </c>
      <c r="C68" s="277">
        <v>12582832793.910925</v>
      </c>
      <c r="D68" s="118">
        <v>14344956496.42411</v>
      </c>
      <c r="E68" s="118">
        <v>16448705382.655888</v>
      </c>
      <c r="F68" s="118">
        <v>18967097136.739006</v>
      </c>
      <c r="G68" s="295"/>
      <c r="H68" s="295"/>
      <c r="I68" s="295"/>
      <c r="J68" s="295"/>
      <c r="K68" s="295"/>
      <c r="L68" s="295"/>
      <c r="M68" s="275"/>
      <c r="N68" s="275"/>
      <c r="O68" s="275"/>
      <c r="P68" s="275"/>
      <c r="Q68" s="275"/>
      <c r="R68" s="275"/>
      <c r="S68" s="275"/>
      <c r="T68" s="275"/>
      <c r="U68" s="275"/>
    </row>
    <row r="69" spans="1:21" ht="13.15">
      <c r="A69" s="132">
        <v>30</v>
      </c>
      <c r="B69" s="118">
        <v>8699799916.7488098</v>
      </c>
      <c r="C69" s="277">
        <v>12692960949.153629</v>
      </c>
      <c r="D69" s="118">
        <v>14632024553.980619</v>
      </c>
      <c r="E69" s="118">
        <v>17008582771.603748</v>
      </c>
      <c r="F69" s="118">
        <v>19935437736.345955</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-0.02</v>
      </c>
      <c r="C72" s="124">
        <f>C55</f>
        <v>0.01</v>
      </c>
      <c r="D72" s="124">
        <f>D55</f>
        <v>0.02</v>
      </c>
      <c r="E72" s="124">
        <f>E55</f>
        <v>0.03</v>
      </c>
      <c r="F72" s="124">
        <f>F55</f>
        <v>0.04</v>
      </c>
      <c r="G72" s="124"/>
      <c r="H72" s="124"/>
      <c r="I72" s="124"/>
      <c r="J72" s="124"/>
      <c r="K72" s="124"/>
      <c r="L72" s="124"/>
    </row>
    <row r="73" spans="1:21" ht="13.15">
      <c r="A73" s="131">
        <v>0</v>
      </c>
      <c r="B73" s="119">
        <f>C11</f>
        <v>20.480453319671195</v>
      </c>
      <c r="C73" s="119">
        <f>C11</f>
        <v>20.480453319671195</v>
      </c>
      <c r="D73" s="119">
        <f>C11</f>
        <v>20.480453319671195</v>
      </c>
      <c r="E73" s="119">
        <f>C11</f>
        <v>20.480453319671195</v>
      </c>
      <c r="F73" s="119">
        <f>C11</f>
        <v>20.480453319671195</v>
      </c>
      <c r="G73" s="296"/>
      <c r="H73" s="296"/>
      <c r="I73" s="296"/>
      <c r="J73" s="296"/>
      <c r="K73" s="296"/>
      <c r="L73" s="296"/>
    </row>
    <row r="74" spans="1:21" ht="13.15">
      <c r="A74" s="131">
        <v>1</v>
      </c>
      <c r="B74" s="119">
        <f t="shared" ref="B74:F87" si="11">(B56+FV_adjustments)/Common_Shares*scaling_factor*Exchange_Rate</f>
        <v>20.095261514763127</v>
      </c>
      <c r="C74" s="119">
        <f t="shared" si="11"/>
        <v>20.673049222125236</v>
      </c>
      <c r="D74" s="119">
        <f t="shared" si="11"/>
        <v>20.86564512457927</v>
      </c>
      <c r="E74" s="119">
        <f t="shared" si="11"/>
        <v>21.058241027033301</v>
      </c>
      <c r="F74" s="119">
        <f t="shared" si="11"/>
        <v>21.250836929487338</v>
      </c>
      <c r="G74" s="296"/>
      <c r="H74" s="296"/>
      <c r="I74" s="296"/>
      <c r="J74" s="296"/>
      <c r="K74" s="296"/>
      <c r="L74" s="296"/>
    </row>
    <row r="75" spans="1:21" ht="13.15">
      <c r="A75" s="131">
        <v>2</v>
      </c>
      <c r="B75" s="119">
        <f t="shared" si="11"/>
        <v>19.743291380674638</v>
      </c>
      <c r="C75" s="119">
        <f t="shared" si="11"/>
        <v>20.854421587140223</v>
      </c>
      <c r="D75" s="119">
        <f t="shared" si="11"/>
        <v>21.231981386589741</v>
      </c>
      <c r="E75" s="119">
        <f t="shared" si="11"/>
        <v>21.613132718019752</v>
      </c>
      <c r="F75" s="119">
        <f t="shared" si="11"/>
        <v>21.997875581430264</v>
      </c>
      <c r="G75" s="296"/>
      <c r="H75" s="296"/>
      <c r="I75" s="296"/>
      <c r="J75" s="296"/>
      <c r="K75" s="296"/>
      <c r="L75" s="296"/>
    </row>
    <row r="76" spans="1:21" ht="13.15">
      <c r="A76" s="131">
        <v>3</v>
      </c>
      <c r="B76" s="119">
        <f t="shared" si="11"/>
        <v>19.421677645097276</v>
      </c>
      <c r="C76" s="119">
        <f t="shared" si="11"/>
        <v>21.025224467014478</v>
      </c>
      <c r="D76" s="119">
        <f t="shared" si="11"/>
        <v>21.580385104305996</v>
      </c>
      <c r="E76" s="119">
        <f t="shared" si="11"/>
        <v>22.146035693978771</v>
      </c>
      <c r="F76" s="119">
        <f t="shared" si="11"/>
        <v>22.722276698465823</v>
      </c>
      <c r="G76" s="296"/>
      <c r="H76" s="296"/>
      <c r="I76" s="296"/>
      <c r="J76" s="296"/>
      <c r="K76" s="296"/>
      <c r="L76" s="296"/>
    </row>
    <row r="77" spans="1:21" ht="13.15">
      <c r="A77" s="131">
        <v>4</v>
      </c>
      <c r="B77" s="119">
        <f t="shared" si="11"/>
        <v>19.127802157110494</v>
      </c>
      <c r="C77" s="119">
        <f t="shared" si="11"/>
        <v>21.186073799110513</v>
      </c>
      <c r="D77" s="119">
        <f t="shared" si="11"/>
        <v>21.911734094581593</v>
      </c>
      <c r="E77" s="119">
        <f t="shared" si="11"/>
        <v>22.657821302592083</v>
      </c>
      <c r="F77" s="119">
        <f t="shared" si="11"/>
        <v>23.424726266500308</v>
      </c>
      <c r="G77" s="296"/>
      <c r="H77" s="296"/>
      <c r="I77" s="296"/>
      <c r="J77" s="296"/>
      <c r="K77" s="296"/>
      <c r="L77" s="296"/>
    </row>
    <row r="78" spans="1:21" ht="13.15">
      <c r="A78" s="131">
        <v>5</v>
      </c>
      <c r="B78" s="119">
        <f t="shared" si="11"/>
        <v>18.85927257368202</v>
      </c>
      <c r="C78" s="119">
        <f t="shared" si="11"/>
        <v>21.337549627005146</v>
      </c>
      <c r="D78" s="119">
        <f t="shared" si="11"/>
        <v>22.226863204214329</v>
      </c>
      <c r="E78" s="119">
        <f t="shared" si="11"/>
        <v>23.149326362612335</v>
      </c>
      <c r="F78" s="119">
        <f t="shared" si="11"/>
        <v>24.105889483988296</v>
      </c>
      <c r="G78" s="296"/>
      <c r="H78" s="296"/>
      <c r="I78" s="296"/>
      <c r="J78" s="296"/>
      <c r="K78" s="296"/>
      <c r="L78" s="296"/>
    </row>
    <row r="79" spans="1:21" ht="13.15">
      <c r="A79" s="131">
        <v>6</v>
      </c>
      <c r="B79" s="119">
        <f t="shared" si="11"/>
        <v>18.613902884395397</v>
      </c>
      <c r="C79" s="119">
        <f t="shared" si="11"/>
        <v>21.480198192201957</v>
      </c>
      <c r="D79" s="119">
        <f t="shared" si="11"/>
        <v>22.52656641337553</v>
      </c>
      <c r="E79" s="119">
        <f t="shared" si="11"/>
        <v>23.621354532142277</v>
      </c>
      <c r="F79" s="119">
        <f t="shared" si="11"/>
        <v>24.766411391855435</v>
      </c>
      <c r="G79" s="296"/>
      <c r="H79" s="296"/>
      <c r="I79" s="296"/>
      <c r="J79" s="296"/>
      <c r="K79" s="296"/>
      <c r="L79" s="296"/>
    </row>
    <row r="80" spans="1:21" ht="13.15">
      <c r="A80" s="131">
        <f t="shared" ref="A80" si="12">A62</f>
        <v>7</v>
      </c>
      <c r="B80" s="119">
        <f t="shared" si="11"/>
        <v>18.389695615863097</v>
      </c>
      <c r="C80" s="119">
        <f t="shared" si="11"/>
        <v>21.614533903949066</v>
      </c>
      <c r="D80" s="119">
        <f t="shared" si="11"/>
        <v>22.8115988360743</v>
      </c>
      <c r="E80" s="119">
        <f t="shared" si="11"/>
        <v>24.074677622693176</v>
      </c>
      <c r="F80" s="119">
        <f t="shared" si="11"/>
        <v>25.406917484332659</v>
      </c>
      <c r="G80" s="296"/>
      <c r="H80" s="296"/>
      <c r="I80" s="296"/>
      <c r="J80" s="296"/>
      <c r="K80" s="296"/>
      <c r="L80" s="296"/>
    </row>
    <row r="81" spans="1:12" ht="13.15">
      <c r="A81" s="131">
        <v>8</v>
      </c>
      <c r="B81" s="119">
        <f t="shared" si="11"/>
        <v>18.18482557095712</v>
      </c>
      <c r="C81" s="119">
        <f t="shared" si="11"/>
        <v>21.741041194265698</v>
      </c>
      <c r="D81" s="119">
        <f t="shared" si="11"/>
        <v>23.0826786226969</v>
      </c>
      <c r="E81" s="119">
        <f t="shared" si="11"/>
        <v>24.51003686117096</v>
      </c>
      <c r="F81" s="119">
        <f t="shared" si="11"/>
        <v>26.028014301280269</v>
      </c>
      <c r="G81" s="296"/>
      <c r="H81" s="296"/>
      <c r="I81" s="296"/>
      <c r="J81" s="296"/>
      <c r="K81" s="296"/>
      <c r="L81" s="296"/>
    </row>
    <row r="82" spans="1:12" ht="13.15">
      <c r="A82" s="131">
        <f t="shared" ref="A82" si="13">A64</f>
        <v>9</v>
      </c>
      <c r="B82" s="119">
        <f t="shared" si="11"/>
        <v>17.997624970483599</v>
      </c>
      <c r="C82" s="119">
        <f t="shared" si="11"/>
        <v>21.860176264866908</v>
      </c>
      <c r="D82" s="119">
        <f t="shared" si="11"/>
        <v>23.340488769414897</v>
      </c>
      <c r="E82" s="119">
        <f t="shared" si="11"/>
        <v>24.928144101853583</v>
      </c>
      <c r="F82" s="119">
        <f t="shared" si="11"/>
        <v>26.630290002562802</v>
      </c>
      <c r="G82" s="296"/>
      <c r="H82" s="296"/>
      <c r="I82" s="296"/>
      <c r="J82" s="296"/>
      <c r="K82" s="296"/>
      <c r="L82" s="296"/>
    </row>
    <row r="83" spans="1:12" ht="13.15">
      <c r="A83" s="131">
        <f t="shared" ref="A83:A87" si="14">A65</f>
        <v>10</v>
      </c>
      <c r="B83" s="119">
        <f t="shared" si="11"/>
        <v>17.826569876344621</v>
      </c>
      <c r="C83" s="119">
        <f t="shared" si="11"/>
        <v>21.972368732286224</v>
      </c>
      <c r="D83" s="119">
        <f t="shared" si="11"/>
        <v>23.585678839020833</v>
      </c>
      <c r="E83" s="119">
        <f t="shared" si="11"/>
        <v>25.329682990341329</v>
      </c>
      <c r="F83" s="119">
        <f t="shared" si="11"/>
        <v>27.214314925018595</v>
      </c>
      <c r="G83" s="296"/>
      <c r="H83" s="296"/>
      <c r="I83" s="296"/>
      <c r="J83" s="296"/>
      <c r="K83" s="296"/>
      <c r="L83" s="296"/>
    </row>
    <row r="84" spans="1:12" ht="13.15">
      <c r="A84" s="131">
        <f t="shared" si="14"/>
        <v>15</v>
      </c>
      <c r="B84" s="119">
        <f t="shared" si="11"/>
        <v>17.168731529987244</v>
      </c>
      <c r="C84" s="119">
        <f t="shared" si="11"/>
        <v>22.442555446406388</v>
      </c>
      <c r="D84" s="119">
        <f t="shared" si="11"/>
        <v>24.642922012995207</v>
      </c>
      <c r="E84" s="119">
        <f t="shared" si="11"/>
        <v>27.11094232624545</v>
      </c>
      <c r="F84" s="119">
        <f t="shared" si="11"/>
        <v>29.879458726899429</v>
      </c>
      <c r="G84" s="296"/>
      <c r="H84" s="296"/>
      <c r="I84" s="296"/>
      <c r="J84" s="296"/>
      <c r="K84" s="296"/>
      <c r="L84" s="296"/>
    </row>
    <row r="85" spans="1:12" ht="13.15">
      <c r="A85" s="132">
        <f t="shared" si="14"/>
        <v>20</v>
      </c>
      <c r="B85" s="119">
        <f t="shared" si="11"/>
        <v>16.749684217480009</v>
      </c>
      <c r="C85" s="119">
        <f t="shared" si="11"/>
        <v>22.790805119889718</v>
      </c>
      <c r="D85" s="119">
        <f t="shared" si="11"/>
        <v>25.46552303426958</v>
      </c>
      <c r="E85" s="119">
        <f t="shared" si="11"/>
        <v>28.566156019910952</v>
      </c>
      <c r="F85" s="119">
        <f t="shared" si="11"/>
        <v>32.164535727925902</v>
      </c>
      <c r="G85" s="296"/>
      <c r="H85" s="296"/>
      <c r="I85" s="296"/>
      <c r="J85" s="296"/>
      <c r="K85" s="296"/>
      <c r="L85" s="296"/>
    </row>
    <row r="86" spans="1:12" ht="13.15">
      <c r="A86" s="132">
        <f t="shared" si="14"/>
        <v>25</v>
      </c>
      <c r="B86" s="119">
        <f t="shared" si="11"/>
        <v>16.482748349280961</v>
      </c>
      <c r="C86" s="119">
        <f t="shared" si="11"/>
        <v>23.048740598369125</v>
      </c>
      <c r="D86" s="119">
        <f t="shared" si="11"/>
        <v>26.10555785015579</v>
      </c>
      <c r="E86" s="119">
        <f t="shared" si="11"/>
        <v>29.755004185670455</v>
      </c>
      <c r="F86" s="119">
        <f t="shared" si="11"/>
        <v>34.123745920237155</v>
      </c>
      <c r="G86" s="296"/>
      <c r="H86" s="296"/>
      <c r="I86" s="296"/>
      <c r="J86" s="296"/>
      <c r="K86" s="296"/>
      <c r="L86" s="296"/>
    </row>
    <row r="87" spans="1:12" ht="13.15">
      <c r="A87" s="132">
        <f t="shared" si="14"/>
        <v>30</v>
      </c>
      <c r="B87" s="119">
        <f t="shared" si="11"/>
        <v>16.312708462126327</v>
      </c>
      <c r="C87" s="119">
        <f t="shared" si="11"/>
        <v>23.239783738174356</v>
      </c>
      <c r="D87" s="119">
        <f t="shared" si="11"/>
        <v>26.603544790303118</v>
      </c>
      <c r="E87" s="119">
        <f t="shared" si="11"/>
        <v>30.726242957942905</v>
      </c>
      <c r="F87" s="119">
        <f t="shared" si="11"/>
        <v>35.803560025377607</v>
      </c>
      <c r="G87" s="296"/>
      <c r="H87" s="296"/>
      <c r="I87" s="296"/>
      <c r="J87" s="296"/>
      <c r="K87" s="296"/>
      <c r="L87" s="296"/>
    </row>
    <row r="89" spans="1:12" ht="13.15">
      <c r="B89" s="153" t="s">
        <v>101</v>
      </c>
      <c r="C89" s="153" t="s">
        <v>110</v>
      </c>
      <c r="D89" s="153" t="s">
        <v>99</v>
      </c>
      <c r="E89" s="154" t="s">
        <v>100</v>
      </c>
      <c r="F89" s="154" t="s">
        <v>455</v>
      </c>
      <c r="G89" s="323"/>
      <c r="H89" s="323"/>
      <c r="I89" s="323"/>
      <c r="J89" s="323"/>
      <c r="K89" s="323"/>
      <c r="L89" s="323"/>
    </row>
    <row r="90" spans="1:12">
      <c r="B90" s="120" t="str">
        <f>Scenarios!B29</f>
        <v>Snowball Scenario</v>
      </c>
      <c r="C90" s="130">
        <f>Scenarios!C29</f>
        <v>0.04</v>
      </c>
      <c r="D90" s="133">
        <f>Scenarios!D29</f>
        <v>5</v>
      </c>
      <c r="E90" s="127">
        <f>INDEX(B$73:F$87, MATCH(D90, A$73:A$87, 0), MATCH(C90, B$72:F$72, 0))</f>
        <v>24.105889483988296</v>
      </c>
      <c r="F90" s="130">
        <f>Scenarios!F29</f>
        <v>0.05</v>
      </c>
      <c r="G90" s="297"/>
      <c r="H90" s="297"/>
      <c r="I90" s="297"/>
      <c r="J90" s="297"/>
      <c r="K90" s="297"/>
      <c r="L90" s="297"/>
    </row>
    <row r="91" spans="1:12">
      <c r="B91" s="120" t="str">
        <f>Scenarios!B22</f>
        <v>Optimistic</v>
      </c>
      <c r="C91" s="130">
        <f>Scenarios!C22</f>
        <v>0.03</v>
      </c>
      <c r="D91" s="133">
        <f>Scenarios!D22</f>
        <v>5</v>
      </c>
      <c r="E91" s="127">
        <f>INDEX(B$73:F$87, MATCH(D91, A$73:A$87, 0), MATCH(C91, B$72:F$72, 0))</f>
        <v>23.149326362612335</v>
      </c>
      <c r="F91" s="130">
        <f>Scenarios!F22*(1-F$90-F$94)</f>
        <v>0.18</v>
      </c>
      <c r="G91" s="297"/>
      <c r="H91" s="297"/>
      <c r="I91" s="297"/>
      <c r="J91" s="297"/>
      <c r="K91" s="297"/>
      <c r="L91" s="297"/>
    </row>
    <row r="92" spans="1:12">
      <c r="B92" s="120" t="str">
        <f>Scenarios!B23</f>
        <v>Base</v>
      </c>
      <c r="C92" s="130">
        <f>Scenarios!C23</f>
        <v>0.02</v>
      </c>
      <c r="D92" s="133">
        <f>Scenarios!D23</f>
        <v>5</v>
      </c>
      <c r="E92" s="127">
        <f>INDEX(B$73:F$87, MATCH(D92, A$73:A$87, 0), MATCH(C92, B$72:F$72, 0))</f>
        <v>22.226863204214329</v>
      </c>
      <c r="F92" s="130">
        <f>Scenarios!F23*(1-F$90-F$94)</f>
        <v>0.53999999999999992</v>
      </c>
      <c r="G92" s="297"/>
      <c r="H92" s="297"/>
      <c r="I92" s="297"/>
      <c r="J92" s="297"/>
      <c r="K92" s="297"/>
      <c r="L92" s="297"/>
    </row>
    <row r="93" spans="1:12">
      <c r="B93" s="120" t="str">
        <f>Scenarios!B24</f>
        <v>Pessimistic</v>
      </c>
      <c r="C93" s="130">
        <f>Scenarios!C24</f>
        <v>0.01</v>
      </c>
      <c r="D93" s="133">
        <f>Scenarios!D24</f>
        <v>5</v>
      </c>
      <c r="E93" s="127">
        <f>INDEX(B$73:F$87, MATCH(D93, A$73:A$87, 0), MATCH(C93, B$72:F$72, 0))</f>
        <v>21.337549627005146</v>
      </c>
      <c r="F93" s="130">
        <f>Scenarios!F24*(1-F$90-F$94)</f>
        <v>0.18</v>
      </c>
      <c r="G93" s="297"/>
      <c r="H93" s="297"/>
      <c r="I93" s="297"/>
      <c r="J93" s="297"/>
      <c r="K93" s="297"/>
      <c r="L93" s="297"/>
    </row>
    <row r="94" spans="1:12">
      <c r="B94" s="120" t="str">
        <f>Scenarios!B30</f>
        <v>Devil's advocate</v>
      </c>
      <c r="C94" s="130">
        <f>Scenarios!C30</f>
        <v>-0.02</v>
      </c>
      <c r="D94" s="133">
        <f>Scenarios!D30</f>
        <v>5</v>
      </c>
      <c r="E94" s="127">
        <f>INDEX(B$73:F$87, MATCH(D94, A$73:A$87, 0), MATCH(C94, B$72:F$72, 0))</f>
        <v>18.85927257368202</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31" zoomScaleNormal="100" workbookViewId="0">
      <selection activeCell="B41" sqref="B41"/>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540</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603279.SS – 景津装备: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 CNY</v>
      </c>
      <c r="D6" s="469"/>
      <c r="E6" s="469"/>
      <c r="F6" s="469"/>
      <c r="G6" s="469"/>
    </row>
    <row r="7" spans="2:7" ht="12.75" customHeight="1">
      <c r="B7" s="97" t="s">
        <v>232</v>
      </c>
      <c r="C7" s="447">
        <f>Normalized_FCF!G8</f>
        <v>1113675057</v>
      </c>
      <c r="D7" s="469"/>
      <c r="E7" s="469"/>
      <c r="F7" s="469"/>
      <c r="G7" s="469"/>
    </row>
    <row r="8" spans="2:7">
      <c r="B8" s="97" t="s">
        <v>63</v>
      </c>
      <c r="C8" s="447">
        <f>Normalized_FCF!G19</f>
        <v>866291325.69594693</v>
      </c>
      <c r="D8" s="469"/>
      <c r="E8" s="469"/>
      <c r="F8" s="469"/>
      <c r="G8" s="469"/>
    </row>
    <row r="9" spans="2:7">
      <c r="B9" s="97" t="s">
        <v>54</v>
      </c>
      <c r="C9" s="447">
        <f>Normalized_FCF!C19</f>
        <v>804918607.021855</v>
      </c>
      <c r="D9" s="469"/>
      <c r="E9" s="469"/>
      <c r="F9" s="469"/>
      <c r="G9" s="469"/>
    </row>
    <row r="10" spans="2:7">
      <c r="C10" s="448"/>
      <c r="D10" s="469"/>
      <c r="E10" s="469"/>
      <c r="F10" s="469"/>
      <c r="G10" s="469"/>
    </row>
    <row r="11" spans="2:7" ht="13.15">
      <c r="B11" s="145" t="s">
        <v>320</v>
      </c>
      <c r="C11" s="448"/>
      <c r="D11" s="469"/>
      <c r="E11" s="469"/>
      <c r="F11" s="469"/>
      <c r="G11" s="469"/>
    </row>
    <row r="12" spans="2:7">
      <c r="B12" s="114" t="s">
        <v>121</v>
      </c>
      <c r="C12" s="249">
        <f ca="1">(Normalized_FCF!G4/OFFSET(Normalized_FCF!G4, 0, $C$4))^(1/$C$4) - 1</f>
        <v>3.8616291470131348E-2</v>
      </c>
      <c r="D12" s="469"/>
      <c r="E12" s="469"/>
      <c r="F12" s="469"/>
      <c r="G12" s="469"/>
    </row>
    <row r="13" spans="2:7">
      <c r="B13" s="135" t="s">
        <v>127</v>
      </c>
      <c r="C13" s="249">
        <f ca="1">(Normalized_FCF!G8/OFFSET(Normalized_FCF!G8, 0, $C$4))^(1/$C$4) - 1</f>
        <v>3.1638982981769814E-2</v>
      </c>
      <c r="D13" s="469"/>
      <c r="E13" s="469"/>
      <c r="F13" s="469"/>
      <c r="G13" s="469"/>
    </row>
    <row r="14" spans="2:7">
      <c r="B14" s="97" t="s">
        <v>63</v>
      </c>
      <c r="C14" s="249">
        <f ca="1">(Normalized_FCF!G19/OFFSET(Normalized_FCF!G19, 0, $C$4))^(1/$C$4) - 1</f>
        <v>1.6751656374703661E-2</v>
      </c>
      <c r="D14" s="469"/>
      <c r="E14" s="469"/>
      <c r="F14" s="469"/>
      <c r="G14" s="469"/>
    </row>
    <row r="16" spans="2:7" ht="13.9">
      <c r="B16" s="34" t="s">
        <v>451</v>
      </c>
      <c r="C16" s="35"/>
      <c r="D16" s="35"/>
      <c r="E16" s="35"/>
      <c r="F16" s="35"/>
      <c r="G16" s="35"/>
    </row>
    <row r="17" spans="2:7" ht="13.15">
      <c r="B17" s="106" t="s">
        <v>126</v>
      </c>
      <c r="E17" s="222" t="s">
        <v>251</v>
      </c>
    </row>
    <row r="18" spans="2:7" ht="12.75" customHeight="1">
      <c r="B18" s="139" t="s">
        <v>111</v>
      </c>
      <c r="C18" s="137">
        <v>5</v>
      </c>
      <c r="E18" s="450" t="s">
        <v>541</v>
      </c>
      <c r="F18" s="319"/>
    </row>
    <row r="19" spans="2:7">
      <c r="E19" s="319"/>
      <c r="F19" s="319"/>
    </row>
    <row r="20" spans="2:7" ht="13.15">
      <c r="B20" s="106" t="s">
        <v>448</v>
      </c>
      <c r="E20" s="319"/>
      <c r="F20" s="319"/>
    </row>
    <row r="21" spans="2:7" ht="13.15">
      <c r="B21" s="153" t="s">
        <v>434</v>
      </c>
      <c r="C21" s="153" t="s">
        <v>377</v>
      </c>
      <c r="D21" s="153" t="s">
        <v>446</v>
      </c>
      <c r="E21" s="154" t="str">
        <f>"Value per share ("&amp;Market_currency&amp;")"</f>
        <v>Value per share (CNY)</v>
      </c>
      <c r="F21" s="154" t="s">
        <v>447</v>
      </c>
      <c r="G21" s="154" t="s">
        <v>455</v>
      </c>
    </row>
    <row r="22" spans="2:7">
      <c r="B22" s="302" t="s">
        <v>443</v>
      </c>
      <c r="C22" s="324">
        <v>0.03</v>
      </c>
      <c r="D22" s="325">
        <f>C18</f>
        <v>5</v>
      </c>
      <c r="E22" s="326">
        <f>DCF!E91</f>
        <v>23.149326362612335</v>
      </c>
      <c r="F22" s="328">
        <f>1-F23-F24</f>
        <v>0.2</v>
      </c>
      <c r="G22" s="328">
        <f>F22*(1-F$29-F$30)</f>
        <v>0.18</v>
      </c>
    </row>
    <row r="23" spans="2:7">
      <c r="B23" s="302" t="s">
        <v>435</v>
      </c>
      <c r="C23" s="324">
        <v>0.02</v>
      </c>
      <c r="D23" s="325">
        <f>C18</f>
        <v>5</v>
      </c>
      <c r="E23" s="326">
        <f>DCF!E92</f>
        <v>22.226863204214329</v>
      </c>
      <c r="F23" s="327">
        <v>0.6</v>
      </c>
      <c r="G23" s="328">
        <f t="shared" ref="G23:G24" si="0">F23*(1-F$29-F$30)</f>
        <v>0.53999999999999992</v>
      </c>
    </row>
    <row r="24" spans="2:7">
      <c r="B24" s="302" t="s">
        <v>444</v>
      </c>
      <c r="C24" s="324">
        <v>0.01</v>
      </c>
      <c r="D24" s="325">
        <f>C18</f>
        <v>5</v>
      </c>
      <c r="E24" s="326">
        <f>DCF!E93</f>
        <v>21.337549627005146</v>
      </c>
      <c r="F24" s="327">
        <v>0.2</v>
      </c>
      <c r="G24" s="328">
        <f t="shared" si="0"/>
        <v>0.18</v>
      </c>
    </row>
    <row r="25" spans="2:7">
      <c r="B25" s="141" t="s">
        <v>449</v>
      </c>
      <c r="C25" s="441">
        <f>E23*F23+E24*F24+E22*F22</f>
        <v>22.233493120452096</v>
      </c>
      <c r="D25" s="141" t="str">
        <f>Market_currency</f>
        <v>CNY</v>
      </c>
      <c r="G25" s="149"/>
    </row>
    <row r="27" spans="2:7" ht="13.15">
      <c r="B27" s="106" t="s">
        <v>450</v>
      </c>
    </row>
    <row r="28" spans="2:7" ht="13.15">
      <c r="B28" s="153" t="s">
        <v>434</v>
      </c>
      <c r="C28" s="153" t="s">
        <v>377</v>
      </c>
      <c r="D28" s="153" t="s">
        <v>446</v>
      </c>
      <c r="E28" s="154" t="str">
        <f>"Value per share ("&amp;Market_currency&amp;")"</f>
        <v>Value per share (CNY)</v>
      </c>
      <c r="F28" s="154" t="s">
        <v>447</v>
      </c>
      <c r="G28" s="154" t="s">
        <v>455</v>
      </c>
    </row>
    <row r="29" spans="2:7">
      <c r="B29" s="302" t="s">
        <v>442</v>
      </c>
      <c r="C29" s="324">
        <v>0.04</v>
      </c>
      <c r="D29" s="325">
        <f>C18</f>
        <v>5</v>
      </c>
      <c r="E29" s="326">
        <f>DCF!E90</f>
        <v>24.105889483988296</v>
      </c>
      <c r="F29" s="327">
        <v>0.05</v>
      </c>
      <c r="G29" s="328">
        <f>F29</f>
        <v>0.05</v>
      </c>
    </row>
    <row r="30" spans="2:7">
      <c r="B30" s="315" t="s">
        <v>445</v>
      </c>
      <c r="C30" s="324">
        <v>-0.02</v>
      </c>
      <c r="D30" s="325">
        <f>C18</f>
        <v>5</v>
      </c>
      <c r="E30" s="326">
        <f>DCF!E94</f>
        <v>18.85927257368202</v>
      </c>
      <c r="F30" s="327">
        <v>0.05</v>
      </c>
      <c r="G30" s="328">
        <f>F30</f>
        <v>0.05</v>
      </c>
    </row>
    <row r="31" spans="2:7">
      <c r="E31" s="329"/>
      <c r="F31" s="329"/>
    </row>
    <row r="32" spans="2:7" ht="13.15">
      <c r="B32" s="145" t="s">
        <v>454</v>
      </c>
    </row>
    <row r="33" spans="2:7">
      <c r="B33" s="97" t="s">
        <v>456</v>
      </c>
      <c r="C33" s="155">
        <f>Normalized_FCF!C88*(1-dividend_tax_rate)</f>
        <v>1.06</v>
      </c>
      <c r="D33" t="str">
        <f>Market_currency</f>
        <v>CNY</v>
      </c>
      <c r="E33" s="97" t="s">
        <v>453</v>
      </c>
      <c r="F33" s="219">
        <f>Holding_Period</f>
        <v>3</v>
      </c>
    </row>
    <row r="34" spans="2:7">
      <c r="B34" s="97" t="s">
        <v>233</v>
      </c>
      <c r="C34" s="146">
        <f>Market_Price</f>
        <v>18.73</v>
      </c>
      <c r="D34" t="str">
        <f>Market_currency</f>
        <v>CNY</v>
      </c>
      <c r="E34" s="97" t="s">
        <v>452</v>
      </c>
      <c r="F34" s="330">
        <f>RATE(Holding_Period,$C$33,-C34,$C$36)</f>
        <v>0.11129441592831543</v>
      </c>
    </row>
    <row r="35" spans="2:7">
      <c r="B35" s="97" t="s">
        <v>432</v>
      </c>
      <c r="C35" s="320">
        <f>DCF!C11</f>
        <v>20.480453319671195</v>
      </c>
      <c r="D35" s="97" t="str">
        <f>Market_currency</f>
        <v>CNY</v>
      </c>
      <c r="E35" s="97" t="s">
        <v>452</v>
      </c>
      <c r="F35" s="330">
        <f>RATE(Holding_Period,$C$33,-C35,$C$36)</f>
        <v>7.7065845382676482E-2</v>
      </c>
    </row>
    <row r="36" spans="2:7">
      <c r="B36" s="97" t="s">
        <v>433</v>
      </c>
      <c r="C36" s="321">
        <f>E22*G22+E23*G23+E24*G24+E30*G30+E29*G29</f>
        <v>22.158401911290397</v>
      </c>
      <c r="D36" t="str">
        <f>Market_currency</f>
        <v>CNY</v>
      </c>
      <c r="E36" s="97" t="s">
        <v>458</v>
      </c>
      <c r="F36" s="331" t="s">
        <v>457</v>
      </c>
    </row>
    <row r="38" spans="2:7" ht="13.9">
      <c r="B38" s="34" t="s">
        <v>409</v>
      </c>
      <c r="C38" s="35"/>
      <c r="D38" s="35"/>
      <c r="E38" s="35"/>
      <c r="F38" s="35"/>
      <c r="G38" s="35"/>
    </row>
    <row r="39" spans="2:7" ht="13.15">
      <c r="B39" s="414" t="str">
        <f>IF(DCF!F14="II","2","1")&amp;"-stage DCF"</f>
        <v>1-stage DCF</v>
      </c>
      <c r="E39" s="222" t="s">
        <v>251</v>
      </c>
    </row>
    <row r="40" spans="2:7">
      <c r="B40" t="s">
        <v>548</v>
      </c>
      <c r="C40" s="126">
        <f>Normalized_FCF!E116</f>
        <v>0.17509284601323677</v>
      </c>
      <c r="E40" s="97" t="s">
        <v>399</v>
      </c>
    </row>
    <row r="41" spans="2:7">
      <c r="B41" s="97" t="s">
        <v>398</v>
      </c>
      <c r="C41" s="455">
        <f>DCF!C16</f>
        <v>1.8613012126595999E-2</v>
      </c>
      <c r="E41" s="97"/>
    </row>
    <row r="43" spans="2:7" ht="13.9">
      <c r="B43" s="34" t="s">
        <v>276</v>
      </c>
      <c r="C43" s="35"/>
      <c r="D43" s="35"/>
      <c r="E43" s="35"/>
      <c r="F43" s="35"/>
      <c r="G43" s="35"/>
    </row>
    <row r="44" spans="2:7" ht="13.15">
      <c r="B44" s="106" t="s">
        <v>249</v>
      </c>
      <c r="E44" s="222" t="s">
        <v>251</v>
      </c>
    </row>
    <row r="45" spans="2:7">
      <c r="B45" s="139" t="s">
        <v>111</v>
      </c>
      <c r="C45" s="150">
        <f>C18</f>
        <v>5</v>
      </c>
      <c r="D45" s="137"/>
      <c r="E45" s="221" t="s">
        <v>307</v>
      </c>
    </row>
    <row r="46" spans="2:7">
      <c r="B46" s="114" t="s">
        <v>112</v>
      </c>
      <c r="C46" s="138">
        <v>1.8613012126595999E-2</v>
      </c>
      <c r="D46" s="138"/>
      <c r="E46" s="221" t="s">
        <v>252</v>
      </c>
    </row>
    <row r="47" spans="2:7">
      <c r="B47" s="97" t="s">
        <v>96</v>
      </c>
      <c r="C47" s="146">
        <f>DCF!I18</f>
        <v>22.101557768235505</v>
      </c>
      <c r="D47" s="146" t="str">
        <f>Market_currency</f>
        <v>CNY</v>
      </c>
      <c r="E47" s="221" t="s">
        <v>253</v>
      </c>
    </row>
    <row r="49" spans="2:7" ht="13.15">
      <c r="B49" s="106" t="s">
        <v>277</v>
      </c>
      <c r="C49" s="218" t="str">
        <f>IF(Scenarios!C50="Y",Scenarios!B50,"")&amp;IF(Scenarios!C51="Y",Scenarios!B51,"")&amp;IF(Scenarios!C52="Y",Scenarios!B52,"")&amp;" "&amp;IF(Scenarios!C53="Y",Scenarios!B53,"")</f>
        <v xml:space="preserve">Low Growth </v>
      </c>
      <c r="E49" s="222" t="s">
        <v>254</v>
      </c>
    </row>
    <row r="50" spans="2:7">
      <c r="B50" s="97" t="s">
        <v>250</v>
      </c>
      <c r="C50" s="218" t="str">
        <f>IF(C36&lt;C35,"Y","N")</f>
        <v>N</v>
      </c>
      <c r="E50" s="126"/>
    </row>
    <row r="51" spans="2:7">
      <c r="B51" s="97" t="s">
        <v>246</v>
      </c>
      <c r="C51" s="218" t="str">
        <f>IF(C50="Y","N",IF(C46&gt;8%,"N","Y"))</f>
        <v>Y</v>
      </c>
      <c r="E51" s="221" t="s">
        <v>247</v>
      </c>
    </row>
    <row r="52" spans="2:7">
      <c r="B52" s="97" t="s">
        <v>245</v>
      </c>
      <c r="C52" s="218" t="str">
        <f>IF(C46&gt;8%,"Y","N")</f>
        <v>N</v>
      </c>
      <c r="E52" s="221"/>
    </row>
    <row r="53" spans="2:7">
      <c r="B53" s="97" t="s">
        <v>237</v>
      </c>
      <c r="C53" s="217" t="str">
        <f>IF(F53&gt;50%,"Y","N")</f>
        <v>N</v>
      </c>
      <c r="E53" s="126" t="s">
        <v>273</v>
      </c>
      <c r="F53" s="249">
        <f>BS!D89/C36</f>
        <v>5.5097072395173467E-2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331</v>
      </c>
      <c r="C58" s="155">
        <f>C33</f>
        <v>1.06</v>
      </c>
      <c r="D58" t="str">
        <f>Market_currency</f>
        <v>CNY</v>
      </c>
    </row>
    <row r="60" spans="2:7" ht="13.15">
      <c r="B60" s="106" t="s">
        <v>471</v>
      </c>
      <c r="E60" s="413"/>
    </row>
    <row r="61" spans="2:7" ht="13.15">
      <c r="B61" s="153" t="s">
        <v>460</v>
      </c>
      <c r="C61" s="153" t="s">
        <v>103</v>
      </c>
      <c r="D61" s="153" t="s">
        <v>104</v>
      </c>
      <c r="E61" s="154" t="str">
        <f>"Buy below ("&amp;Market_currency&amp;")"</f>
        <v>Buy below (CNY)</v>
      </c>
      <c r="F61" s="154" t="s">
        <v>452</v>
      </c>
      <c r="G61" s="154" t="s">
        <v>459</v>
      </c>
    </row>
    <row r="62" spans="2:7" ht="13.15">
      <c r="B62" s="302" t="s">
        <v>311</v>
      </c>
      <c r="C62" s="119">
        <f>PV(F62, Holding_Period, -C58, 0)</f>
        <v>1.8480449762944853</v>
      </c>
      <c r="D62" s="119">
        <f>C36/(1+F62)^Holding_Period</f>
        <v>9.4291071962937867</v>
      </c>
      <c r="E62" s="332">
        <f>C62+D62</f>
        <v>11.277152172588272</v>
      </c>
      <c r="F62" s="301">
        <f>Thesis!E22</f>
        <v>0.32950289523458665</v>
      </c>
      <c r="G62" s="440">
        <f>(1-E62/C36)</f>
        <v>0.49106653910622455</v>
      </c>
    </row>
    <row r="63" spans="2:7" ht="13.15">
      <c r="B63" s="302" t="s">
        <v>312</v>
      </c>
      <c r="C63" s="119">
        <f>PV(F63, Holding_Period, -C58, 0)</f>
        <v>2.1443334287647504</v>
      </c>
      <c r="D63" s="119">
        <f>C36/(1+F63)^Holding_Period</f>
        <v>12.018116290869372</v>
      </c>
      <c r="E63" s="332">
        <f>C63+D63</f>
        <v>14.162449719634122</v>
      </c>
      <c r="F63" s="301">
        <f>Thesis!E23</f>
        <v>0.22621703288100403</v>
      </c>
      <c r="G63" s="440">
        <f>(1-E63/C36)</f>
        <v>0.36085419082420778</v>
      </c>
    </row>
    <row r="65" spans="2:7" ht="13.15">
      <c r="B65" s="153" t="s">
        <v>461</v>
      </c>
      <c r="C65" s="153" t="s">
        <v>103</v>
      </c>
      <c r="D65" s="153" t="s">
        <v>104</v>
      </c>
      <c r="E65" s="154" t="str">
        <f>"Sell above ("&amp;Market_currency&amp;")"</f>
        <v>Sell above (CNY)</v>
      </c>
      <c r="F65" s="154" t="s">
        <v>452</v>
      </c>
      <c r="G65" s="154" t="s">
        <v>459</v>
      </c>
    </row>
    <row r="66" spans="2:7" ht="13.15">
      <c r="B66" s="302" t="s">
        <v>314</v>
      </c>
      <c r="C66" s="119">
        <f>PV(F66, Holding_Period, -C58, 0)</f>
        <v>2.6975834619563113</v>
      </c>
      <c r="D66" s="119">
        <f>C36/(1+F66)^Holding_Period</f>
        <v>17.252411295330781</v>
      </c>
      <c r="E66" s="332">
        <f>C66+D66</f>
        <v>19.949994757287094</v>
      </c>
      <c r="F66" s="301">
        <f>Thesis!E24</f>
        <v>8.6999999999999994E-2</v>
      </c>
      <c r="G66" s="440">
        <f>(1-E66/C36)</f>
        <v>9.9664549945637115E-2</v>
      </c>
    </row>
    <row r="67" spans="2:7" ht="13.15">
      <c r="B67" s="302" t="s">
        <v>313</v>
      </c>
      <c r="C67" s="119">
        <f>PV(F67, Holding_Period, -C58, 0)</f>
        <v>2.7691177408033969</v>
      </c>
      <c r="D67" s="119">
        <f>C36/(1+F67)^Holding_Period</f>
        <v>17.961662544847524</v>
      </c>
      <c r="E67" s="332">
        <f>C67+D67</f>
        <v>20.730780285650923</v>
      </c>
      <c r="F67" s="301">
        <f>Thesis!E25</f>
        <v>7.2499999999999995E-2</v>
      </c>
      <c r="G67" s="440">
        <f>(1-E67/C36)</f>
        <v>6.4428004842355446E-2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332</v>
      </c>
      <c r="B2" s="345"/>
      <c r="C2" s="345"/>
      <c r="D2" s="345"/>
      <c r="E2" s="345"/>
      <c r="F2" s="345"/>
      <c r="G2" s="346"/>
      <c r="H2" s="346"/>
      <c r="I2" s="346"/>
      <c r="J2" s="346"/>
    </row>
    <row r="3" spans="1:10">
      <c r="E3" s="435" t="s">
        <v>539</v>
      </c>
      <c r="F3" s="436">
        <f>Thesis!F3</f>
        <v>45938</v>
      </c>
    </row>
    <row r="4" spans="1:10">
      <c r="B4" s="422" t="s">
        <v>531</v>
      </c>
      <c r="C4" s="423" t="str">
        <f>Thesis!C4</f>
        <v>景津装备</v>
      </c>
      <c r="D4" s="349"/>
      <c r="E4" s="434" t="s">
        <v>537</v>
      </c>
      <c r="F4" s="437" t="str">
        <f>Thesis!F4</f>
        <v>CN</v>
      </c>
    </row>
    <row r="5" spans="1:10">
      <c r="B5" s="343" t="s">
        <v>362</v>
      </c>
      <c r="C5" s="355" t="str">
        <f>Thesis!C5</f>
        <v>603279.SS</v>
      </c>
      <c r="E5" s="438" t="s">
        <v>538</v>
      </c>
      <c r="F5" s="439" t="str">
        <f>Thesis!F5</f>
        <v>N</v>
      </c>
    </row>
    <row r="6" spans="1:10">
      <c r="B6" s="350" t="s">
        <v>334</v>
      </c>
      <c r="C6" s="352" t="str">
        <f>Thesis!C6</f>
        <v>CNS_01</v>
      </c>
      <c r="E6" s="354"/>
    </row>
    <row r="7" spans="1:10">
      <c r="B7" s="343" t="s">
        <v>364</v>
      </c>
      <c r="C7" s="352" t="str">
        <f>Market_currency</f>
        <v>CNY</v>
      </c>
      <c r="D7" s="354"/>
      <c r="E7" s="354"/>
    </row>
    <row r="8" spans="1:10">
      <c r="B8" s="351" t="s">
        <v>363</v>
      </c>
      <c r="C8" s="356">
        <f>Market_Price</f>
        <v>18.73</v>
      </c>
    </row>
    <row r="9" spans="1:10">
      <c r="B9" s="351" t="s">
        <v>359</v>
      </c>
      <c r="C9" s="353">
        <f>Common_Shares</f>
        <v>576457000</v>
      </c>
    </row>
    <row r="10" spans="1:10">
      <c r="B10" s="351" t="s">
        <v>365</v>
      </c>
      <c r="C10" s="357">
        <f>投资主题!C8*Common_Shares/1000000</f>
        <v>10797.03961</v>
      </c>
      <c r="D10" s="343" t="s">
        <v>526</v>
      </c>
      <c r="E10" s="360">
        <f>Scenarios!F34</f>
        <v>0.11129441592831543</v>
      </c>
    </row>
    <row r="11" spans="1:10">
      <c r="D11" s="349"/>
      <c r="E11" s="349"/>
    </row>
    <row r="12" spans="1:10" ht="24.5" customHeight="1">
      <c r="B12" s="474" t="s">
        <v>495</v>
      </c>
      <c r="C12" s="474"/>
      <c r="D12" s="474"/>
      <c r="E12" s="474"/>
      <c r="F12" s="474"/>
    </row>
    <row r="14" spans="1:10">
      <c r="B14" s="347" t="s">
        <v>368</v>
      </c>
      <c r="C14" s="348"/>
      <c r="D14" s="349"/>
    </row>
    <row r="15" spans="1:10">
      <c r="B15" s="343" t="s">
        <v>335</v>
      </c>
      <c r="C15" s="358" t="str">
        <f>Thesis!C15</f>
        <v>N</v>
      </c>
      <c r="D15" s="351" t="s">
        <v>366</v>
      </c>
      <c r="E15" s="344" t="str">
        <f>IF(E17=C7,C7,E17&amp;"/"&amp;C7)</f>
        <v>CNY</v>
      </c>
    </row>
    <row r="16" spans="1:10">
      <c r="B16" s="343" t="s">
        <v>336</v>
      </c>
      <c r="C16" s="358" t="str">
        <f>Thesis!C16</f>
        <v>N</v>
      </c>
      <c r="D16" s="351" t="s">
        <v>367</v>
      </c>
      <c r="E16" s="425">
        <f>Exchange_Rate</f>
        <v>1</v>
      </c>
    </row>
    <row r="17" spans="1:6">
      <c r="B17" s="343" t="s">
        <v>532</v>
      </c>
      <c r="C17" s="424">
        <f>Terminal_Growth</f>
        <v>0</v>
      </c>
      <c r="D17" s="351" t="s">
        <v>337</v>
      </c>
      <c r="E17" s="344" t="str">
        <f>Reporting_currency</f>
        <v>CNY</v>
      </c>
    </row>
    <row r="18" spans="1:6">
      <c r="B18" s="343" t="str">
        <f>"预期股权价值 ("&amp;C7&amp;") :"</f>
        <v>预期股权价值 (CNY) :</v>
      </c>
      <c r="C18" s="359">
        <f>C125</f>
        <v>22.158401911290397</v>
      </c>
      <c r="D18" s="350" t="s">
        <v>360</v>
      </c>
      <c r="E18" s="426">
        <f>Thesis!E18</f>
        <v>6</v>
      </c>
    </row>
    <row r="19" spans="1:6">
      <c r="B19" s="350" t="s">
        <v>333</v>
      </c>
      <c r="C19" s="352" t="str">
        <f>IF(Scenarios!C50="Y",Scenarios!B50,"")&amp;IF(Scenarios!C51="Y",Scenarios!B51,"")&amp;IF(Scenarios!C52="Y",Scenarios!B52,"")&amp;" "&amp;IF(Scenarios!C53="Y",Scenarios!B53,"")</f>
        <v xml:space="preserve">Low Growth </v>
      </c>
      <c r="D19" s="343" t="s">
        <v>361</v>
      </c>
      <c r="E19" s="427">
        <f>EOMONTH(EDATE(BS!C1,E18+2),0)</f>
        <v>46081</v>
      </c>
    </row>
    <row r="20" spans="1:6">
      <c r="D20" s="349"/>
      <c r="E20" s="349"/>
    </row>
    <row r="21" spans="1:6">
      <c r="B21" s="347" t="s">
        <v>491</v>
      </c>
      <c r="C21" s="361" t="str">
        <f>C138&amp;" ("&amp;Market_currency&amp;")"</f>
        <v xml:space="preserve"> (CNY)</v>
      </c>
      <c r="D21" s="362" t="s">
        <v>342</v>
      </c>
      <c r="E21" s="363">
        <f>Holding_Period</f>
        <v>3</v>
      </c>
    </row>
    <row r="22" spans="1:6">
      <c r="B22" s="343" t="s">
        <v>338</v>
      </c>
      <c r="C22" s="364">
        <f>E140</f>
        <v>11.277152172588272</v>
      </c>
      <c r="D22" s="365" t="s">
        <v>438</v>
      </c>
      <c r="E22" s="366">
        <f>Thesis!E22</f>
        <v>0.32950289523458665</v>
      </c>
    </row>
    <row r="23" spans="1:6">
      <c r="B23" s="343" t="s">
        <v>339</v>
      </c>
      <c r="C23" s="367">
        <f>E141</f>
        <v>14.162449719634122</v>
      </c>
      <c r="D23" s="365" t="s">
        <v>439</v>
      </c>
      <c r="E23" s="368">
        <f>Thesis!E23</f>
        <v>0.22621703288100403</v>
      </c>
    </row>
    <row r="24" spans="1:6">
      <c r="B24" s="343" t="s">
        <v>341</v>
      </c>
      <c r="C24" s="367">
        <f>E144</f>
        <v>19.949994757287094</v>
      </c>
      <c r="D24" s="365" t="s">
        <v>441</v>
      </c>
      <c r="E24" s="368">
        <f>Thesis!E24</f>
        <v>8.6999999999999994E-2</v>
      </c>
    </row>
    <row r="25" spans="1:6">
      <c r="B25" s="343" t="s">
        <v>340</v>
      </c>
      <c r="C25" s="367">
        <f>E145</f>
        <v>20.730780285650923</v>
      </c>
      <c r="D25" s="365" t="s">
        <v>440</v>
      </c>
      <c r="E25" s="368">
        <f>Thesis!E25</f>
        <v>7.2499999999999995E-2</v>
      </c>
    </row>
    <row r="27" spans="1:6" ht="13.9">
      <c r="A27" s="345" t="s">
        <v>343</v>
      </c>
      <c r="B27" s="345"/>
      <c r="C27" s="345"/>
      <c r="D27" s="345"/>
      <c r="E27" s="345"/>
      <c r="F27" s="345"/>
    </row>
    <row r="29" spans="1:6">
      <c r="B29" s="474" t="s">
        <v>496</v>
      </c>
      <c r="C29" s="474"/>
      <c r="D29" s="474"/>
      <c r="E29" s="474"/>
      <c r="F29" s="474"/>
    </row>
    <row r="30" spans="1:6" ht="24.5" customHeight="1">
      <c r="B30" s="477" t="s">
        <v>497</v>
      </c>
      <c r="C30" s="477"/>
      <c r="D30" s="477"/>
      <c r="E30" s="477"/>
      <c r="F30" s="477"/>
    </row>
    <row r="32" spans="1:6">
      <c r="B32" s="369" t="s">
        <v>369</v>
      </c>
      <c r="C32" s="370">
        <f>scaling_factor</f>
        <v>1</v>
      </c>
    </row>
    <row r="33" spans="2:6">
      <c r="B33" s="470" t="s">
        <v>498</v>
      </c>
      <c r="C33" s="470"/>
      <c r="D33" s="470"/>
      <c r="E33" s="470"/>
      <c r="F33" s="470"/>
    </row>
    <row r="34" spans="2:6">
      <c r="B34" s="372" t="s">
        <v>197</v>
      </c>
      <c r="C34" s="373">
        <f>Normalized_FCF!C8</f>
        <v>1079571875.5988722</v>
      </c>
      <c r="D34" s="343" t="str">
        <f>Reporting_currency</f>
        <v>CNY</v>
      </c>
    </row>
    <row r="35" spans="2:6">
      <c r="B35" s="372"/>
      <c r="C35" s="374"/>
    </row>
    <row r="36" spans="2:6" ht="24.5" customHeight="1">
      <c r="B36" s="470" t="s">
        <v>499</v>
      </c>
      <c r="C36" s="470"/>
      <c r="D36" s="470"/>
      <c r="E36" s="470"/>
      <c r="F36" s="470"/>
    </row>
    <row r="37" spans="2:6">
      <c r="B37" s="372" t="s">
        <v>199</v>
      </c>
      <c r="C37" s="373">
        <f>Normalized_FCF!C15</f>
        <v>213321214.99999997</v>
      </c>
      <c r="D37" s="343" t="str">
        <f>Reporting_currency</f>
        <v>CNY</v>
      </c>
    </row>
    <row r="38" spans="2:6">
      <c r="B38" s="375" t="s">
        <v>200</v>
      </c>
      <c r="C38" s="373">
        <f>Normalized_FCF!C16</f>
        <v>-213321214.99999994</v>
      </c>
      <c r="D38" s="343" t="str">
        <f>Reporting_currency</f>
        <v>CNY</v>
      </c>
    </row>
    <row r="40" spans="2:6">
      <c r="B40" s="470" t="s">
        <v>500</v>
      </c>
      <c r="C40" s="470"/>
      <c r="D40" s="470"/>
      <c r="E40" s="470"/>
      <c r="F40" s="470"/>
    </row>
    <row r="41" spans="2:6">
      <c r="B41" s="372" t="s">
        <v>202</v>
      </c>
      <c r="C41" s="373">
        <f>Normalized_FCF!C9</f>
        <v>0</v>
      </c>
      <c r="D41" s="343" t="str">
        <f>Reporting_currency</f>
        <v>CNY</v>
      </c>
    </row>
    <row r="43" spans="2:6">
      <c r="B43" s="470" t="s">
        <v>501</v>
      </c>
      <c r="C43" s="470"/>
      <c r="D43" s="470"/>
      <c r="E43" s="470"/>
      <c r="F43" s="470"/>
    </row>
    <row r="44" spans="2:6">
      <c r="B44" s="372" t="s">
        <v>267</v>
      </c>
      <c r="C44" s="376">
        <f>Normalized_FCF!C46</f>
        <v>5660933.7634011274</v>
      </c>
      <c r="D44" s="343" t="str">
        <f>Reporting_currency</f>
        <v>CNY</v>
      </c>
      <c r="E44" s="371"/>
      <c r="F44" s="371"/>
    </row>
    <row r="45" spans="2:6">
      <c r="B45" s="372" t="s">
        <v>268</v>
      </c>
      <c r="C45" s="376">
        <f>Normalized_FCF!C45</f>
        <v>-12007999.9998</v>
      </c>
      <c r="D45" s="343" t="str">
        <f>Reporting_currency</f>
        <v>CNY</v>
      </c>
      <c r="E45" s="371"/>
      <c r="F45" s="371"/>
    </row>
    <row r="46" spans="2:6">
      <c r="B46" s="372" t="s">
        <v>203</v>
      </c>
      <c r="C46" s="373">
        <f>Normalized_FCF!C10</f>
        <v>-6347066.2363988729</v>
      </c>
      <c r="D46" s="343" t="str">
        <f>Reporting_currency</f>
        <v>CNY</v>
      </c>
    </row>
    <row r="48" spans="2:6">
      <c r="B48" s="343" t="s">
        <v>502</v>
      </c>
    </row>
    <row r="49" spans="2:6">
      <c r="B49" s="372" t="s">
        <v>223</v>
      </c>
      <c r="C49" s="373">
        <f>Normalized_FCF!C13</f>
        <v>0</v>
      </c>
      <c r="D49" s="343" t="str">
        <f>Reporting_currency</f>
        <v>CNY</v>
      </c>
    </row>
    <row r="51" spans="2:6">
      <c r="B51" s="470" t="s">
        <v>503</v>
      </c>
      <c r="C51" s="470"/>
      <c r="D51" s="470"/>
      <c r="E51" s="470"/>
      <c r="F51" s="470"/>
    </row>
    <row r="52" spans="2:6">
      <c r="B52" s="372" t="s">
        <v>494</v>
      </c>
      <c r="C52" s="373">
        <f>Normalized_FCF!C12</f>
        <v>-268306202.34061834</v>
      </c>
      <c r="D52" s="343" t="str">
        <f>Reporting_currency</f>
        <v>CNY</v>
      </c>
    </row>
    <row r="54" spans="2:6">
      <c r="B54" s="470" t="s">
        <v>504</v>
      </c>
      <c r="C54" s="476"/>
      <c r="D54" s="476"/>
      <c r="E54" s="476"/>
      <c r="F54" s="476"/>
    </row>
    <row r="55" spans="2:6">
      <c r="B55" s="372" t="s">
        <v>207</v>
      </c>
      <c r="C55" s="373">
        <f>Normalized_FCF!C17</f>
        <v>0</v>
      </c>
      <c r="D55" s="343" t="str">
        <f>Reporting_currency</f>
        <v>CNY</v>
      </c>
    </row>
    <row r="57" spans="2:6">
      <c r="B57" s="474" t="s">
        <v>505</v>
      </c>
      <c r="C57" s="474"/>
      <c r="D57" s="474"/>
      <c r="E57" s="474"/>
      <c r="F57" s="474"/>
    </row>
    <row r="58" spans="2:6">
      <c r="B58" s="474" t="s">
        <v>506</v>
      </c>
      <c r="C58" s="474"/>
      <c r="D58" s="474"/>
      <c r="E58" s="474"/>
      <c r="F58" s="474"/>
    </row>
    <row r="60" spans="2:6">
      <c r="B60" s="372" t="s">
        <v>370</v>
      </c>
      <c r="C60" s="373">
        <f>Normalized_FCF!G19</f>
        <v>866291325.69594693</v>
      </c>
      <c r="D60" s="343" t="str">
        <f>Reporting_currency</f>
        <v>CNY</v>
      </c>
    </row>
    <row r="61" spans="2:6">
      <c r="B61" s="372" t="s">
        <v>213</v>
      </c>
      <c r="C61" s="373">
        <f>Normalized_FCF!C19</f>
        <v>804918607.021855</v>
      </c>
      <c r="D61" s="343" t="str">
        <f>Reporting_currency</f>
        <v>CNY</v>
      </c>
    </row>
    <row r="62" spans="2:6">
      <c r="B62" s="377" t="s">
        <v>302</v>
      </c>
      <c r="C62" s="378">
        <f>Normalized_FCF!C124</f>
        <v>7.4549935546810039E-2</v>
      </c>
      <c r="F62" s="379"/>
    </row>
    <row r="63" spans="2:6">
      <c r="B63" s="377" t="s">
        <v>330</v>
      </c>
      <c r="C63" s="378">
        <f>Normalized_FCF!C92</f>
        <v>5.6593699946609718E-2</v>
      </c>
      <c r="E63" s="372" t="s">
        <v>371</v>
      </c>
      <c r="F63" s="380">
        <f>Normalized_FCF!C90</f>
        <v>0.75913814722313788</v>
      </c>
    </row>
    <row r="65" spans="1:6">
      <c r="B65" s="369" t="s">
        <v>374</v>
      </c>
      <c r="C65" s="381" t="s">
        <v>325</v>
      </c>
      <c r="D65" s="381" t="s">
        <v>372</v>
      </c>
    </row>
    <row r="66" spans="1:6">
      <c r="B66" s="372" t="s">
        <v>324</v>
      </c>
      <c r="C66" s="378">
        <f>Normalized_FCF!E119</f>
        <v>0.23262925318478492</v>
      </c>
      <c r="D66" s="378">
        <f>Normalized_FCF!G119</f>
        <v>0.24428659814721837</v>
      </c>
    </row>
    <row r="67" spans="1:6">
      <c r="B67" s="382" t="str">
        <f>Normalized_FCF!B116</f>
        <v>Pre-tax Profit/Sales</v>
      </c>
      <c r="C67" s="383">
        <f>Normalized_FCF!E116</f>
        <v>0.17509284601323677</v>
      </c>
      <c r="D67" s="383">
        <f>Normalized_FCF!G116</f>
        <v>0.18386696912323625</v>
      </c>
    </row>
    <row r="68" spans="1:6">
      <c r="B68" s="382" t="str">
        <f>Normalized_FCF!B117</f>
        <v>Sales/Total Assets</v>
      </c>
      <c r="C68" s="384">
        <f>Normalized_FCF!E117</f>
        <v>0.68288968092621871</v>
      </c>
      <c r="D68" s="384">
        <f>Normalized_FCF!G117</f>
        <v>0.68288968092621871</v>
      </c>
    </row>
    <row r="69" spans="1:6">
      <c r="B69" s="382" t="str">
        <f>Normalized_FCF!B118</f>
        <v>Total Assets/Equity</v>
      </c>
      <c r="C69" s="384">
        <f>Normalized_FCF!E118</f>
        <v>1.9455633401039498</v>
      </c>
      <c r="D69" s="384">
        <f>Normalized_FCF!G118</f>
        <v>1.9455633401039498</v>
      </c>
    </row>
    <row r="71" spans="1:6" ht="13.9">
      <c r="A71" s="345" t="s">
        <v>474</v>
      </c>
      <c r="B71" s="345"/>
      <c r="C71" s="345"/>
      <c r="D71" s="345"/>
      <c r="E71" s="345"/>
      <c r="F71" s="345"/>
    </row>
    <row r="72" spans="1:6">
      <c r="A72" s="385"/>
    </row>
    <row r="73" spans="1:6">
      <c r="A73" s="386"/>
      <c r="B73" s="474" t="s">
        <v>507</v>
      </c>
      <c r="C73" s="474"/>
      <c r="D73" s="474"/>
      <c r="E73" s="474"/>
      <c r="F73" s="474"/>
    </row>
    <row r="74" spans="1:6">
      <c r="B74" s="477" t="s">
        <v>477</v>
      </c>
      <c r="C74" s="477"/>
      <c r="D74" s="477"/>
      <c r="E74" s="477"/>
      <c r="F74" s="477"/>
    </row>
    <row r="76" spans="1:6">
      <c r="B76" s="369" t="s">
        <v>369</v>
      </c>
    </row>
    <row r="77" spans="1:6">
      <c r="B77" s="474" t="s">
        <v>508</v>
      </c>
      <c r="C77" s="474"/>
      <c r="D77" s="474"/>
      <c r="E77" s="474"/>
      <c r="F77" s="474"/>
    </row>
    <row r="78" spans="1:6">
      <c r="B78" s="343" t="s">
        <v>215</v>
      </c>
      <c r="C78" s="373">
        <f>DCF!F4</f>
        <v>-200133333.33000001</v>
      </c>
      <c r="D78" s="343" t="str">
        <f>Reporting_currency</f>
        <v>CNY</v>
      </c>
    </row>
    <row r="79" spans="1:6">
      <c r="B79" s="372" t="s">
        <v>234</v>
      </c>
      <c r="C79" s="387">
        <f>C78*scaling_factor*Exchange_Rate/Common_Shares</f>
        <v>-0.34717825150878556</v>
      </c>
      <c r="D79" s="343" t="str">
        <f>Market_currency</f>
        <v>CNY</v>
      </c>
    </row>
    <row r="80" spans="1:6">
      <c r="B80" s="382" t="s">
        <v>308</v>
      </c>
      <c r="C80" s="388">
        <f>IF(BS!G31/BS!G27&gt;300%,"nm",BS!G31/BS!G27)</f>
        <v>4.3380350010353987E-2</v>
      </c>
    </row>
    <row r="81" spans="1:6">
      <c r="B81" s="382" t="s">
        <v>310</v>
      </c>
      <c r="C81" s="389">
        <f>IF(BS!C50&gt;30,"nm",BS!C50)</f>
        <v>0.18538212957704164</v>
      </c>
    </row>
    <row r="83" spans="1:6">
      <c r="B83" s="343" t="s">
        <v>509</v>
      </c>
    </row>
    <row r="84" spans="1:6">
      <c r="B84" s="343" t="s">
        <v>224</v>
      </c>
      <c r="C84" s="373">
        <f>DCF!F5</f>
        <v>843588191.76314533</v>
      </c>
      <c r="D84" s="343" t="str">
        <f>Reporting_currency</f>
        <v>CNY</v>
      </c>
    </row>
    <row r="85" spans="1:6">
      <c r="B85" s="382" t="s">
        <v>479</v>
      </c>
      <c r="C85" s="390">
        <f>BS!C66</f>
        <v>1787077152.3299999</v>
      </c>
      <c r="D85" s="391" t="str">
        <f>Reporting_currency</f>
        <v>CNY</v>
      </c>
    </row>
    <row r="86" spans="1:6">
      <c r="B86" s="372" t="s">
        <v>235</v>
      </c>
      <c r="C86" s="387">
        <f>C84*scaling_factor*Exchange_Rate/Common_Shares</f>
        <v>1.4634017658960605</v>
      </c>
      <c r="D86" s="343" t="str">
        <f>Market_currency</f>
        <v>CNY</v>
      </c>
    </row>
    <row r="88" spans="1:6">
      <c r="B88" s="343" t="s">
        <v>510</v>
      </c>
    </row>
    <row r="89" spans="1:6">
      <c r="B89" s="343" t="s">
        <v>217</v>
      </c>
      <c r="C89" s="373">
        <f>DCF!F6</f>
        <v>60320206.770000003</v>
      </c>
      <c r="D89" s="343" t="str">
        <f>Reporting_currency</f>
        <v>CNY</v>
      </c>
    </row>
    <row r="90" spans="1:6">
      <c r="B90" s="372" t="s">
        <v>236</v>
      </c>
      <c r="C90" s="387">
        <f>C89*scaling_factor*Exchange_Rate/Common_Shares</f>
        <v>0.10463955988044209</v>
      </c>
      <c r="D90" s="343" t="str">
        <f>Market_currency</f>
        <v>CNY</v>
      </c>
    </row>
    <row r="92" spans="1:6">
      <c r="B92" s="372" t="s">
        <v>478</v>
      </c>
      <c r="C92" s="387">
        <f>DCF!F8</f>
        <v>1.2208630742677169</v>
      </c>
      <c r="D92" s="343" t="str">
        <f>Market_currency</f>
        <v>CNY</v>
      </c>
    </row>
    <row r="94" spans="1:6" ht="13.9">
      <c r="A94" s="345" t="s">
        <v>480</v>
      </c>
      <c r="B94" s="345"/>
      <c r="C94" s="345"/>
      <c r="D94" s="345"/>
      <c r="E94" s="345"/>
      <c r="F94" s="345"/>
    </row>
    <row r="95" spans="1:6">
      <c r="A95" s="385"/>
    </row>
    <row r="96" spans="1:6">
      <c r="A96" s="385"/>
      <c r="B96" s="474" t="s">
        <v>511</v>
      </c>
      <c r="C96" s="474"/>
      <c r="D96" s="474"/>
      <c r="E96" s="474"/>
      <c r="F96" s="474"/>
    </row>
    <row r="97" spans="1:6">
      <c r="A97" s="385"/>
      <c r="B97" s="477" t="s">
        <v>512</v>
      </c>
      <c r="C97" s="477"/>
      <c r="D97" s="477"/>
      <c r="E97" s="477"/>
      <c r="F97" s="477"/>
    </row>
    <row r="98" spans="1:6">
      <c r="A98" s="385"/>
      <c r="B98" s="477" t="s">
        <v>513</v>
      </c>
      <c r="C98" s="477"/>
      <c r="D98" s="477"/>
      <c r="E98" s="477"/>
      <c r="F98" s="477"/>
    </row>
    <row r="99" spans="1:6">
      <c r="A99" s="385"/>
    </row>
    <row r="100" spans="1:6">
      <c r="A100" s="385"/>
      <c r="B100" s="369" t="s">
        <v>369</v>
      </c>
    </row>
    <row r="101" spans="1:6">
      <c r="A101" s="385"/>
      <c r="B101" s="372" t="s">
        <v>212</v>
      </c>
      <c r="C101" s="368">
        <f>E25+C103</f>
        <v>7.2499999999999995E-2</v>
      </c>
    </row>
    <row r="102" spans="1:6">
      <c r="A102" s="385"/>
      <c r="B102" s="382" t="s">
        <v>317</v>
      </c>
      <c r="C102" s="383">
        <f>E25</f>
        <v>7.2499999999999995E-2</v>
      </c>
    </row>
    <row r="103" spans="1:6">
      <c r="A103" s="385"/>
      <c r="B103" s="382" t="s">
        <v>316</v>
      </c>
      <c r="C103" s="383">
        <f>IF(C15="Y",1%,0)+IF(C16="Y",1%,0)</f>
        <v>0</v>
      </c>
    </row>
    <row r="104" spans="1:6">
      <c r="A104" s="385"/>
      <c r="B104" s="372" t="s">
        <v>532</v>
      </c>
      <c r="C104" s="368">
        <v>0</v>
      </c>
    </row>
    <row r="105" spans="1:6">
      <c r="A105" s="385"/>
      <c r="C105" s="392"/>
    </row>
    <row r="106" spans="1:6">
      <c r="A106" s="385"/>
      <c r="B106" s="393" t="s">
        <v>373</v>
      </c>
      <c r="C106" s="392"/>
    </row>
    <row r="107" spans="1:6">
      <c r="A107" s="385"/>
      <c r="B107" s="474" t="s">
        <v>514</v>
      </c>
      <c r="C107" s="474"/>
      <c r="D107" s="474"/>
      <c r="E107" s="474"/>
      <c r="F107" s="474"/>
    </row>
    <row r="108" spans="1:6">
      <c r="A108" s="385"/>
      <c r="B108" s="474" t="s">
        <v>533</v>
      </c>
      <c r="C108" s="474"/>
      <c r="D108" s="474"/>
      <c r="E108" s="474"/>
      <c r="F108" s="474"/>
    </row>
    <row r="109" spans="1:6">
      <c r="A109" s="385"/>
    </row>
    <row r="110" spans="1:6">
      <c r="A110" s="385"/>
      <c r="B110" s="369" t="s">
        <v>487</v>
      </c>
    </row>
    <row r="111" spans="1:6">
      <c r="A111" s="385"/>
      <c r="B111" s="375" t="s">
        <v>484</v>
      </c>
      <c r="C111" s="394">
        <f>BS!D47</f>
        <v>-0.45026820353990077</v>
      </c>
      <c r="D111" s="343" t="str">
        <f>Market_currency</f>
        <v>CNY</v>
      </c>
    </row>
    <row r="112" spans="1:6">
      <c r="A112" s="385"/>
      <c r="B112" s="372" t="s">
        <v>375</v>
      </c>
      <c r="C112" s="394">
        <f>DCF!C11</f>
        <v>20.480453319671195</v>
      </c>
      <c r="D112" s="343" t="str">
        <f>Market_currency</f>
        <v>CNY</v>
      </c>
    </row>
    <row r="113" spans="1:6">
      <c r="A113" s="385"/>
    </row>
    <row r="114" spans="1:6">
      <c r="A114" s="385"/>
      <c r="B114" s="474" t="s">
        <v>515</v>
      </c>
      <c r="C114" s="474"/>
      <c r="D114" s="474"/>
      <c r="E114" s="474"/>
      <c r="F114" s="474"/>
    </row>
    <row r="115" spans="1:6">
      <c r="A115" s="385"/>
    </row>
    <row r="116" spans="1:6">
      <c r="A116" s="385"/>
      <c r="B116" s="369" t="s">
        <v>488</v>
      </c>
    </row>
    <row r="117" spans="1:6">
      <c r="A117" s="385"/>
      <c r="B117" s="342" t="s">
        <v>376</v>
      </c>
      <c r="C117" s="342" t="s">
        <v>377</v>
      </c>
      <c r="D117" s="342" t="s">
        <v>99</v>
      </c>
      <c r="E117" s="342" t="s">
        <v>378</v>
      </c>
      <c r="F117" s="342" t="s">
        <v>379</v>
      </c>
    </row>
    <row r="118" spans="1:6">
      <c r="A118" s="385"/>
      <c r="B118" s="395" t="str">
        <f>DCF!B90</f>
        <v>Snowball Scenario</v>
      </c>
      <c r="C118" s="396">
        <f>DCF!C90</f>
        <v>0.04</v>
      </c>
      <c r="D118" s="397">
        <f>DCF!D90</f>
        <v>5</v>
      </c>
      <c r="E118" s="398" t="str">
        <f>ROUND(DCF!E90,2)&amp;" "&amp;Market_currency</f>
        <v>24.11 CNY</v>
      </c>
      <c r="F118" s="399">
        <f>DCF!F90</f>
        <v>0.05</v>
      </c>
    </row>
    <row r="119" spans="1:6">
      <c r="A119" s="385"/>
      <c r="B119" s="400" t="str">
        <f>DCF!B91</f>
        <v>Optimistic</v>
      </c>
      <c r="C119" s="401">
        <f>DCF!C91</f>
        <v>0.03</v>
      </c>
      <c r="D119" s="402">
        <f>DCF!D91</f>
        <v>5</v>
      </c>
      <c r="E119" s="398" t="str">
        <f>ROUND(DCF!E91,2)&amp;" "&amp;Market_currency</f>
        <v>23.15 CNY</v>
      </c>
      <c r="F119" s="403">
        <f>DCF!F91</f>
        <v>0.18</v>
      </c>
    </row>
    <row r="120" spans="1:6">
      <c r="B120" s="400" t="str">
        <f>DCF!B92</f>
        <v>Base</v>
      </c>
      <c r="C120" s="401">
        <f>DCF!C92</f>
        <v>0.02</v>
      </c>
      <c r="D120" s="402">
        <f>DCF!D92</f>
        <v>5</v>
      </c>
      <c r="E120" s="398" t="str">
        <f>ROUND(DCF!E92,2)&amp;" "&amp;Market_currency</f>
        <v>22.23 CNY</v>
      </c>
      <c r="F120" s="403">
        <f>DCF!F92</f>
        <v>0.53999999999999992</v>
      </c>
    </row>
    <row r="121" spans="1:6">
      <c r="B121" s="400" t="str">
        <f>DCF!B93</f>
        <v>Pessimistic</v>
      </c>
      <c r="C121" s="401">
        <f>DCF!C93</f>
        <v>0.01</v>
      </c>
      <c r="D121" s="402">
        <f>DCF!D93</f>
        <v>5</v>
      </c>
      <c r="E121" s="398" t="str">
        <f>ROUND(DCF!E93,2)&amp;" "&amp;Market_currency</f>
        <v>21.34 CNY</v>
      </c>
      <c r="F121" s="403">
        <f>DCF!F93</f>
        <v>0.18</v>
      </c>
    </row>
    <row r="122" spans="1:6">
      <c r="B122" s="400" t="str">
        <f>DCF!B94</f>
        <v>Devil's advocate</v>
      </c>
      <c r="C122" s="401">
        <f>DCF!C94</f>
        <v>-0.02</v>
      </c>
      <c r="D122" s="402">
        <f>DCF!D94</f>
        <v>5</v>
      </c>
      <c r="E122" s="398" t="str">
        <f>ROUND(DCF!E94,2)&amp;" "&amp;Market_currency</f>
        <v>18.86 CNY</v>
      </c>
      <c r="F122" s="403">
        <f>DCF!F94</f>
        <v>0.05</v>
      </c>
    </row>
    <row r="124" spans="1:6">
      <c r="B124" s="470" t="s">
        <v>516</v>
      </c>
      <c r="C124" s="470"/>
      <c r="D124" s="470"/>
      <c r="E124" s="470"/>
      <c r="F124" s="470"/>
    </row>
    <row r="125" spans="1:6">
      <c r="B125" s="372" t="s">
        <v>218</v>
      </c>
      <c r="C125" s="404">
        <f>Scenarios!C36</f>
        <v>22.158401911290397</v>
      </c>
      <c r="D125" s="343" t="str">
        <f>Market_currency</f>
        <v>CNY</v>
      </c>
    </row>
    <row r="127" spans="1:6">
      <c r="B127" s="472" t="s">
        <v>517</v>
      </c>
      <c r="C127" s="472"/>
      <c r="D127" s="472"/>
      <c r="E127" s="472"/>
      <c r="F127" s="472"/>
    </row>
    <row r="129" spans="1:6" ht="13.9">
      <c r="A129" s="345" t="s">
        <v>490</v>
      </c>
      <c r="B129" s="345"/>
      <c r="C129" s="345"/>
      <c r="D129" s="345"/>
      <c r="E129" s="345"/>
      <c r="F129" s="345"/>
    </row>
    <row r="131" spans="1:6">
      <c r="B131" s="473" t="s">
        <v>518</v>
      </c>
      <c r="C131" s="473"/>
      <c r="D131" s="473"/>
      <c r="E131" s="473"/>
      <c r="F131" s="473"/>
    </row>
    <row r="132" spans="1:6" ht="24.5" customHeight="1">
      <c r="B132" s="474" t="s">
        <v>519</v>
      </c>
      <c r="C132" s="474"/>
      <c r="D132" s="474"/>
      <c r="E132" s="474"/>
      <c r="F132" s="474"/>
    </row>
    <row r="134" spans="1:6">
      <c r="B134" s="369" t="s">
        <v>369</v>
      </c>
    </row>
    <row r="135" spans="1:6">
      <c r="B135" s="343" t="s">
        <v>380</v>
      </c>
      <c r="C135" s="405">
        <f>E21</f>
        <v>3</v>
      </c>
    </row>
    <row r="136" spans="1:6">
      <c r="B136" s="343" t="s">
        <v>381</v>
      </c>
      <c r="C136" s="406">
        <f>Scenarios!C58</f>
        <v>1.06</v>
      </c>
      <c r="D136" s="343" t="str">
        <f>Market_currency</f>
        <v>CNY</v>
      </c>
    </row>
    <row r="138" spans="1:6">
      <c r="B138" s="369" t="s">
        <v>491</v>
      </c>
      <c r="C138" s="407"/>
      <c r="D138" s="407"/>
    </row>
    <row r="139" spans="1:6">
      <c r="B139" s="340" t="s">
        <v>460</v>
      </c>
      <c r="C139" s="340" t="str">
        <f>"PV("&amp;Holding_Period&amp;" yrs of Dividends)"</f>
        <v>PV(3 yrs of Dividends)</v>
      </c>
      <c r="D139" s="340" t="s">
        <v>469</v>
      </c>
      <c r="E139" s="341" t="str">
        <f>"Buy below ("&amp;Market_currency&amp;")"</f>
        <v>Buy below (CNY)</v>
      </c>
      <c r="F139" s="341" t="s">
        <v>493</v>
      </c>
    </row>
    <row r="140" spans="1:6">
      <c r="B140" s="408" t="s">
        <v>311</v>
      </c>
      <c r="C140" s="409">
        <f>Scenarios!C62</f>
        <v>1.8480449762944853</v>
      </c>
      <c r="D140" s="409">
        <f>Scenarios!D62</f>
        <v>9.4291071962937867</v>
      </c>
      <c r="E140" s="410">
        <f>Scenarios!E62</f>
        <v>11.277152172588272</v>
      </c>
      <c r="F140" s="411">
        <f>E22</f>
        <v>0.32950289523458665</v>
      </c>
    </row>
    <row r="141" spans="1:6">
      <c r="B141" s="408" t="s">
        <v>312</v>
      </c>
      <c r="C141" s="409">
        <f>Scenarios!C63</f>
        <v>2.1443334287647504</v>
      </c>
      <c r="D141" s="409">
        <f>Scenarios!D63</f>
        <v>12.018116290869372</v>
      </c>
      <c r="E141" s="410">
        <f>Scenarios!E63</f>
        <v>14.162449719634122</v>
      </c>
      <c r="F141" s="411">
        <f>Scenarios!F63</f>
        <v>0.22621703288100403</v>
      </c>
    </row>
    <row r="143" spans="1:6">
      <c r="B143" s="340" t="s">
        <v>461</v>
      </c>
      <c r="C143" s="340" t="str">
        <f>"PV("&amp;Holding_Period&amp;" yrs of Dividends)"</f>
        <v>PV(3 yrs of Dividends)</v>
      </c>
      <c r="D143" s="340" t="s">
        <v>469</v>
      </c>
      <c r="E143" s="341" t="str">
        <f>"Sell above ("&amp;Market_currency&amp;")"</f>
        <v>Sell above (CNY)</v>
      </c>
      <c r="F143" s="341" t="s">
        <v>493</v>
      </c>
    </row>
    <row r="144" spans="1:6">
      <c r="B144" s="408" t="s">
        <v>314</v>
      </c>
      <c r="C144" s="409">
        <f>Scenarios!C66</f>
        <v>2.6975834619563113</v>
      </c>
      <c r="D144" s="409">
        <f>Scenarios!D66</f>
        <v>17.252411295330781</v>
      </c>
      <c r="E144" s="410">
        <f>Scenarios!E66</f>
        <v>19.949994757287094</v>
      </c>
      <c r="F144" s="411">
        <f>E24</f>
        <v>8.6999999999999994E-2</v>
      </c>
    </row>
    <row r="145" spans="1:6">
      <c r="B145" s="408" t="s">
        <v>313</v>
      </c>
      <c r="C145" s="409">
        <f>Scenarios!C67</f>
        <v>2.7691177408033969</v>
      </c>
      <c r="D145" s="409">
        <f>Scenarios!D67</f>
        <v>17.961662544847524</v>
      </c>
      <c r="E145" s="410">
        <f>Scenarios!E67</f>
        <v>20.730780285650923</v>
      </c>
      <c r="F145" s="411">
        <f>Scenarios!F67</f>
        <v>7.2499999999999995E-2</v>
      </c>
    </row>
    <row r="147" spans="1:6" ht="13.9">
      <c r="A147" s="345" t="s">
        <v>473</v>
      </c>
      <c r="B147" s="345"/>
      <c r="C147" s="345"/>
      <c r="D147" s="345"/>
      <c r="E147" s="345"/>
      <c r="F147" s="345"/>
    </row>
    <row r="149" spans="1:6">
      <c r="B149" s="475" t="s">
        <v>520</v>
      </c>
      <c r="C149" s="474"/>
      <c r="D149" s="474"/>
      <c r="E149" s="474"/>
      <c r="F149" s="474"/>
    </row>
    <row r="151" spans="1:6">
      <c r="B151" s="369" t="s">
        <v>382</v>
      </c>
    </row>
    <row r="152" spans="1:6">
      <c r="B152" s="476" t="s">
        <v>521</v>
      </c>
      <c r="C152" s="476"/>
      <c r="D152" s="476"/>
      <c r="E152" s="476"/>
      <c r="F152" s="476"/>
    </row>
    <row r="153" spans="1:6">
      <c r="B153" s="412" t="s">
        <v>383</v>
      </c>
    </row>
    <row r="154" spans="1:6">
      <c r="B154" s="412" t="s">
        <v>384</v>
      </c>
    </row>
    <row r="155" spans="1:6">
      <c r="B155" s="412" t="s">
        <v>385</v>
      </c>
    </row>
    <row r="157" spans="1:6">
      <c r="B157" s="343" t="s">
        <v>522</v>
      </c>
    </row>
    <row r="158" spans="1:6" ht="24.5" customHeight="1">
      <c r="B158" s="470" t="s">
        <v>437</v>
      </c>
      <c r="C158" s="470"/>
      <c r="D158" s="470"/>
      <c r="E158" s="470"/>
      <c r="F158" s="470"/>
    </row>
    <row r="160" spans="1:6">
      <c r="B160" s="343" t="s">
        <v>523</v>
      </c>
    </row>
    <row r="161" spans="2:6">
      <c r="B161" s="471" t="s">
        <v>386</v>
      </c>
      <c r="C161" s="471"/>
      <c r="D161" s="471"/>
      <c r="E161" s="471"/>
      <c r="F161" s="471"/>
    </row>
    <row r="162" spans="2:6">
      <c r="B162" s="471" t="s">
        <v>387</v>
      </c>
      <c r="C162" s="471"/>
      <c r="D162" s="471"/>
      <c r="E162" s="471"/>
      <c r="F162" s="471"/>
    </row>
    <row r="164" spans="2:6">
      <c r="B164" s="343" t="s">
        <v>524</v>
      </c>
    </row>
    <row r="165" spans="2:6">
      <c r="B165" s="412" t="s">
        <v>388</v>
      </c>
    </row>
    <row r="166" spans="2:6">
      <c r="B166" s="412" t="s">
        <v>389</v>
      </c>
    </row>
    <row r="167" spans="2:6">
      <c r="B167" s="412" t="s">
        <v>390</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2026-03-09T03:33:05Z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