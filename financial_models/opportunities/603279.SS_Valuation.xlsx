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7767965-6CB0-497E-8215-B9C0677A8B57}" xr6:coauthVersionLast="47" xr6:coauthVersionMax="47" xr10:uidLastSave="{00000000-0000-0000-0000-000000000000}"/>
  <bookViews>
    <workbookView xWindow="2205" yWindow="2205" windowWidth="12690" windowHeight="7642"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4" i="3"/>
  <c r="C9" i="3"/>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E38" i="4" s="1"/>
  <c r="F36" i="4"/>
  <c r="F38" i="4" s="1"/>
  <c r="D37" i="4"/>
  <c r="E37" i="4"/>
  <c r="F37" i="4"/>
  <c r="F72" i="10"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<sst xmlns="http://schemas.openxmlformats.org/spreadsheetml/2006/main" count="836" uniqueCount="561">
  <si>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</si>
  <si>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</si>
  <si>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</si>
  <si>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</si>
  <si>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</si>
  <si>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</si>
  <si>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</si>
  <si>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</si>
  <si>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</si>
  <si>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</si>
  <si>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</si>
  <si>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</si>
  <si>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</si>
  <si>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</si>
  <si>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</si>
  <si>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</si>
  <si>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</si>
  <si>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</si>
  <si>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</si>
  <si>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</si>
  <si>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</si>
  <si>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</si>
  <si>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</si>
  <si>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</si>
  <si>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</si>
  <si>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</si>
  <si>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</si>
  <si>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</si>
  <si>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</si>
  <si>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</si>
  <si>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</si>
  <si>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</si>
  <si>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</si>
  <si>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</si>
  <si>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</si>
  <si>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</si>
  <si>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</si>
  <si>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</si>
  <si>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</si>
  <si>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</si>
  <si>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</si>
  <si>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</si>
  <si>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</si>
  <si>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</si>
  <si>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</si>
  <si>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</si>
  <si>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</si>
  <si>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</si>
  <si>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</si>
  <si>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</si>
  <si>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</si>
  <si>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</si>
  <si>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</si>
  <si>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</si>
  <si>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</si>
  <si>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</si>
  <si>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</si>
  <si>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</si>
  <si>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</si>
  <si>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</si>
  <si>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</si>
  <si>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</si>
  <si>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</si>
  <si>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</si>
  <si>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</si>
  <si>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</si>
  <si>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</si>
  <si>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</si>
  <si>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</si>
  <si>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</si>
  <si>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</si>
  <si>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</si>
  <si>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</si>
  <si>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</si>
  <si>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</si>
  <si>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</si>
  <si>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</si>
  <si>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</si>
  <si>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</si>
  <si>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</si>
  <si>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</si>
  <si>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</si>
  <si>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</si>
  <si>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</si>
  <si>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</si>
  <si>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</si>
  <si>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</si>
  <si>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</si>
  <si>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</si>
  <si>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</si>
  <si>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</si>
  <si>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</si>
  <si>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</si>
  <si>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</si>
  <si>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</si>
  <si>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</si>
  <si>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</si>
  <si>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</si>
  <si>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</si>
  <si>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</si>
  <si>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</si>
  <si>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</si>
  <si>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</si>
  <si>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</si>
  <si>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</si>
  <si>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</si>
  <si>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</si>
  <si>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</si>
  <si>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</si>
  <si>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</si>
  <si>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</si>
  <si>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</si>
  <si>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</si>
  <si>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</si>
  <si>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</si>
  <si>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</si>
  <si>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</si>
  <si>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</si>
  <si>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</si>
  <si>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</si>
  <si>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</si>
  <si>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</si>
  <si>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</si>
  <si>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</si>
  <si>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</si>
  <si>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</si>
  <si>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</si>
  <si>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</si>
  <si>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</si>
  <si>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</si>
  <si>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</si>
  <si>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</si>
  <si>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</si>
  <si>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</si>
  <si>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</si>
  <si>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</si>
  <si>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</si>
  <si>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</si>
  <si>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</si>
  <si>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</si>
  <si>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</si>
  <si>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</si>
  <si>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</si>
  <si>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</si>
  <si>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</si>
  <si>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</si>
  <si>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</si>
  <si>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</si>
  <si>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</si>
  <si>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</si>
  <si>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</si>
  <si>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</si>
  <si>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</si>
  <si>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</si>
  <si>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</si>
  <si>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</si>
  <si>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</si>
  <si>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</si>
  <si>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</si>
  <si>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</si>
  <si>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</si>
  <si>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</si>
  <si>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</si>
  <si>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</si>
  <si>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</si>
  <si>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</si>
  <si>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</si>
  <si>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</si>
  <si>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</si>
  <si>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</si>
  <si>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</si>
  <si>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</si>
  <si>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</si>
  <si>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</si>
  <si>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</si>
  <si>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</si>
  <si>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</si>
  <si>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</si>
  <si>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</si>
  <si>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</si>
  <si>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</si>
  <si>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</si>
  <si>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</si>
  <si>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</si>
  <si>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</si>
  <si>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</si>
  <si>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</si>
  <si>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</si>
  <si>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</si>
  <si>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</si>
  <si>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</si>
  <si>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</si>
  <si>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</si>
  <si>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</si>
  <si>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</si>
  <si>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</si>
  <si>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</si>
  <si>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</si>
  <si>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</si>
  <si>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</si>
  <si>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</si>
  <si>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</si>
  <si>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</si>
  <si>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</si>
  <si>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</si>
  <si>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</si>
  <si>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</si>
  <si>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</si>
  <si>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</si>
  <si>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</si>
  <si>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</si>
  <si>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</si>
  <si>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</si>
  <si>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</si>
  <si>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</si>
  <si>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</si>
  <si>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</si>
  <si>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</si>
  <si>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</si>
  <si>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</si>
  <si>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</si>
  <si>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</si>
  <si>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</si>
  <si>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</si>
  <si>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</si>
  <si>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</si>
  <si>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</si>
  <si>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</si>
  <si>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</si>
  <si>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</si>
  <si>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</si>
  <si>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</si>
  <si>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</si>
  <si>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</si>
  <si>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</si>
  <si>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</si>
  <si>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</si>
  <si>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</si>
  <si>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</si>
  <si>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</si>
  <si>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</si>
  <si>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</si>
  <si>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</si>
  <si>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</si>
  <si>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</si>
  <si>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</si>
  <si>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</si>
  <si>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</si>
  <si>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</si>
  <si>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</si>
  <si>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</si>
  <si>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</si>
  <si>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</si>
  <si>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</si>
  <si>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</si>
  <si>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</si>
  <si>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</si>
  <si>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</si>
  <si>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</si>
  <si>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</si>
  <si>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</si>
  <si>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</si>
  <si>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</si>
  <si>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</si>
  <si>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</si>
  <si>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</si>
  <si>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</si>
  <si>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</si>
  <si>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</si>
  <si>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</si>
  <si>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</si>
  <si>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</si>
  <si>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</si>
  <si>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</si>
  <si>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</si>
  <si>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</si>
  <si>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</si>
  <si>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</si>
  <si>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</si>
  <si>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</si>
  <si>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</si>
  <si>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</si>
  <si>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</si>
  <si>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</si>
  <si>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</si>
  <si>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</si>
  <si>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</si>
  <si>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</si>
  <si>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</si>
  <si>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</si>
  <si>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</si>
  <si>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</si>
  <si>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</si>
  <si>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</si>
  <si>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</si>
  <si>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</si>
  <si>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</si>
  <si>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</si>
  <si>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</si>
  <si>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</si>
  <si>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</si>
  <si>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</si>
  <si>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</si>
  <si>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</si>
  <si>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</si>
  <si>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</si>
  <si>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</si>
  <si>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</si>
  <si>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</si>
  <si>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</si>
  <si>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</si>
  <si>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</si>
  <si>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</si>
  <si>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</si>
  <si>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</si>
  <si>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</si>
  <si>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</si>
  <si>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</si>
  <si>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</si>
  <si>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</si>
  <si>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</si>
  <si>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</si>
  <si>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</si>
  <si>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</si>
  <si>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</si>
  <si>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</si>
  <si>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</si>
  <si>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</si>
  <si>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</si>
  <si>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</si>
  <si>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</si>
  <si>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</si>
  <si>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</si>
  <si>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</si>
  <si>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</si>
  <si>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</si>
  <si>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</si>
  <si>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</si>
  <si>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</si>
  <si>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</si>
  <si>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</si>
  <si>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</si>
  <si>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</si>
  <si>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</si>
  <si>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</si>
  <si>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</si>
  <si>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</si>
  <si>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</si>
  <si>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</si>
  <si>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</si>
  <si>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</si>
  <si>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</si>
  <si>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</si>
  <si>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</si>
  <si>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</si>
  <si>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</si>
  <si>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</si>
  <si>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</si>
  <si>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</si>
  <si>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</si>
  <si>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</si>
  <si>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</si>
  <si>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</si>
  <si>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</si>
  <si>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</si>
  <si>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</si>
  <si>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</si>
  <si>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</si>
  <si>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</si>
  <si>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</si>
  <si>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</si>
  <si>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</si>
  <si>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</si>
  <si>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</si>
  <si>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</si>
  <si>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</si>
  <si>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</si>
  <si>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</si>
  <si>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</si>
  <si>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</si>
  <si>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</si>
  <si>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</si>
  <si>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</si>
  <si>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</si>
  <si>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</si>
  <si>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</si>
  <si>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</si>
  <si>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</si>
  <si>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</si>
  <si>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</si>
  <si>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</si>
  <si>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</si>
  <si>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</si>
  <si>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</si>
  <si>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</si>
  <si>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</si>
  <si>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</si>
  <si>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</si>
  <si>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</si>
  <si>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</si>
  <si>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</si>
  <si>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</si>
  <si>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</si>
  <si>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</si>
  <si>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</si>
  <si>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</si>
  <si>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</si>
  <si>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</si>
  <si>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</si>
  <si>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</si>
  <si>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</si>
  <si>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</si>
  <si>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</si>
  <si>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</si>
  <si>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</si>
  <si>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</si>
  <si>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</si>
  <si>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</si>
  <si>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</si>
  <si>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</si>
  <si>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</si>
  <si>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</si>
  <si>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</si>
  <si>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</si>
  <si>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</si>
  <si>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</si>
  <si>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</si>
  <si>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</si>
  <si>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</si>
  <si>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</si>
  <si>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</si>
  <si>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</si>
  <si>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</si>
  <si>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</si>
  <si>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</si>
  <si>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</si>
  <si>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</si>
  <si>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</si>
  <si>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</si>
  <si>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</si>
  <si>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</si>
  <si>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</si>
  <si>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</si>
  <si>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</si>
  <si>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</si>
  <si>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</si>
  <si>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</si>
  <si>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</si>
  <si>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</si>
  <si>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</si>
  <si>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</si>
  <si>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</si>
  <si>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</si>
  <si>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</si>
  <si>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</si>
  <si>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</si>
  <si>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</si>
  <si>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</si>
  <si>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</si>
  <si>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</si>
  <si>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</si>
  <si>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</si>
  <si>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</si>
  <si>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</si>
  <si>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</si>
  <si>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</si>
  <si>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</si>
  <si>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</si>
  <si>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</si>
  <si>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</si>
  <si>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</si>
  <si>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</si>
  <si>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</si>
  <si>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</si>
  <si>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</si>
  <si>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</si>
  <si>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</si>
  <si>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</si>
  <si>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</si>
  <si>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</si>
  <si>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</si>
  <si>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</si>
  <si>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</si>
  <si>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</si>
  <si>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</si>
  <si>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</si>
  <si>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</si>
  <si>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</si>
  <si>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</si>
  <si>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</si>
  <si>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</si>
  <si>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</si>
  <si>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</si>
  <si>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</si>
  <si>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</si>
  <si>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</si>
  <si>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</si>
  <si>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</si>
  <si>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</si>
  <si>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</si>
  <si>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</si>
  <si>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</si>
  <si>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</si>
  <si>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</si>
  <si>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</si>
  <si>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</si>
  <si>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</si>
  <si>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</si>
  <si>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</si>
  <si>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</si>
  <si>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</si>
  <si>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</si>
  <si>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</si>
  <si>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</si>
  <si>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</si>
  <si>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</si>
  <si>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</si>
  <si>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</si>
  <si>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</si>
  <si>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</si>
  <si>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</si>
  <si>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</si>
  <si>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</si>
  <si>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</si>
  <si>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</si>
  <si>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</si>
  <si>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</si>
  <si>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</si>
  <si>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</si>
  <si>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</si>
  <si>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</si>
  <si>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</si>
  <si>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</si>
  <si>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</si>
  <si>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</si>
  <si>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</si>
  <si>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</si>
  <si>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</si>
  <si>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</si>
  <si>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</si>
  <si>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</si>
  <si>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</si>
  <si>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</si>
  <si>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</si>
  <si>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</si>
  <si>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</si>
  <si>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</si>
  <si>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</si>
  <si>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</si>
  <si>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</si>
  <si>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</si>
  <si>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</si>
  <si>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</si>
  <si>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景津装备</t>
  </si>
  <si>
    <t>603279.SS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</si>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</sst>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7DC2ABD9-8943-49FB-8778-407662D6DD9C}"/>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3279.SS_Valuation_backup.xlsx" TargetMode="External"/><Relationship Id="rId1" Type="http://schemas.openxmlformats.org/officeDocument/2006/relationships/externalLinkPath" Target="603279.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576457000</v>
          </cell>
        </row>
        <row r="12">
          <cell r="C12">
            <v>15.78</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576457000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15.8</v>
      </c>
      <c r="D12" s="50"/>
      <c r="E12" s="48"/>
    </row>
    <row r="13" spans="1:10">
      <c r="B13" s="1" t="s">
        <v>464</v>
      </c>
      <c r="C13" s="48" t="s">
        <v>394</v>
      </c>
      <c r="D13" s="48"/>
      <c r="E13" s="5"/>
    </row>
    <row r="14" spans="1:10">
      <c r="B14" s="4" t="s">
        <v>465</v>
      </c>
      <c r="C14" s="35">
        <f>Thesis!C12*Common_Shares/1000000</f>
        <v>9108.0205999999998</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17.692199895960851</v>
      </c>
      <c r="D26" s="1" t="s">
        <v>380</v>
      </c>
      <c r="E26" s="301">
        <f ca="1">Scenarios!C87</f>
        <v>9.667733636354825E-2</v>
      </c>
    </row>
    <row r="27" spans="2:6">
      <c r="D27" s="5"/>
      <c r="E27" s="5"/>
    </row>
    <row r="28" spans="2:6">
      <c r="B28" s="45" t="s">
        <v>410</v>
      </c>
      <c r="C28" s="309" t="str">
        <f>C145&amp;" ("&amp;Market_currency&amp;")"</f>
        <v>603279.SS (CNY)</v>
      </c>
      <c r="D28" s="309" t="str">
        <f>IF(D11="","",D145&amp;" ("&amp;D13&amp;")")</f>
        <v/>
      </c>
      <c r="E28" s="305" t="s">
        <v>406</v>
      </c>
      <c r="F28" s="303">
        <v>3</v>
      </c>
    </row>
    <row r="29" spans="2:6">
      <c r="B29" s="1" t="s">
        <v>402</v>
      </c>
      <c r="C29" s="310">
        <f>C149</f>
        <v>7.2279420709207756</v>
      </c>
      <c r="D29" s="310" t="str">
        <f>D149</f>
        <v/>
      </c>
      <c r="E29" s="306" t="s">
        <v>401</v>
      </c>
      <c r="F29" s="302">
        <v>0.45</v>
      </c>
    </row>
    <row r="30" spans="2:6">
      <c r="B30" s="1" t="s">
        <v>403</v>
      </c>
      <c r="C30" s="311">
        <f>C157</f>
        <v>9.7854619462725747</v>
      </c>
      <c r="D30" s="311" t="str">
        <f>D157</f>
        <v/>
      </c>
      <c r="E30" s="307" t="s">
        <v>414</v>
      </c>
      <c r="F30" s="312">
        <v>0.3</v>
      </c>
    </row>
    <row r="31" spans="2:6">
      <c r="B31" s="1" t="s">
        <v>404</v>
      </c>
      <c r="C31" s="311">
        <f>C165</f>
        <v>16.722424859968235</v>
      </c>
      <c r="D31" s="311" t="str">
        <f>D165</f>
        <v/>
      </c>
      <c r="E31" s="307" t="s">
        <v>413</v>
      </c>
      <c r="F31" s="312">
        <v>7.4999999999999997E-2</v>
      </c>
    </row>
    <row r="32" spans="2:6">
      <c r="B32" s="1" t="s">
        <v>405</v>
      </c>
      <c r="C32" s="311">
        <f>C173</f>
        <v>16.202875796143875</v>
      </c>
      <c r="D32" s="311" t="str">
        <f>D173</f>
        <v/>
      </c>
      <c r="E32" s="307" t="s">
        <v>415</v>
      </c>
      <c r="F32" s="312">
        <v>8.6999999999999994E-2</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v>
      </c>
    </row>
    <row r="40" spans="1:6" ht="24.6" customHeight="1">
      <c r="B40" s="373" t="s">
        <v>227</v>
      </c>
      <c r="C40" s="373"/>
      <c r="D40" s="373"/>
      <c r="E40" s="373"/>
      <c r="F40" s="373"/>
    </row>
    <row r="41" spans="1:6">
      <c r="B41" s="47" t="s">
        <v>228</v>
      </c>
      <c r="C41" s="349">
        <f>Normalized_FCF!C8</f>
        <v>898092603.37923622</v>
      </c>
      <c r="D41" s="1" t="str">
        <f>Reporting_currency</f>
        <v>CNY</v>
      </c>
    </row>
    <row r="42" spans="1:6">
      <c r="B42" s="47"/>
      <c r="C42" s="76"/>
    </row>
    <row r="43" spans="1:6" ht="24.6" customHeight="1">
      <c r="B43" s="373" t="s">
        <v>229</v>
      </c>
      <c r="C43" s="373"/>
      <c r="D43" s="373"/>
      <c r="E43" s="373"/>
      <c r="F43" s="373"/>
    </row>
    <row r="44" spans="1:6">
      <c r="B44" s="47" t="s">
        <v>230</v>
      </c>
      <c r="C44" s="349">
        <f>Normalized_FCF!C9</f>
        <v>213321214.99999997</v>
      </c>
      <c r="D44" s="1" t="str">
        <f>Reporting_currency</f>
        <v>CNY</v>
      </c>
    </row>
    <row r="45" spans="1:6">
      <c r="B45" s="52" t="s">
        <v>231</v>
      </c>
      <c r="C45" s="349">
        <f>Normalized_FCF!C10</f>
        <v>-213321215</v>
      </c>
      <c r="D45" s="1" t="str">
        <f>Reporting_currency</f>
        <v>CNY</v>
      </c>
    </row>
    <row r="47" spans="1:6">
      <c r="B47" s="373" t="s">
        <v>232</v>
      </c>
      <c r="C47" s="373"/>
      <c r="D47" s="373"/>
      <c r="E47" s="373"/>
      <c r="F47" s="373"/>
    </row>
    <row r="48" spans="1:6">
      <c r="B48" s="47" t="s">
        <v>233</v>
      </c>
      <c r="C48" s="349">
        <f>Normalized_FCF!C11</f>
        <v>0</v>
      </c>
      <c r="D48" s="1" t="str">
        <f>Reporting_currency</f>
        <v>CNY</v>
      </c>
    </row>
    <row r="50" spans="2:6">
      <c r="B50" s="373" t="s">
        <v>236</v>
      </c>
      <c r="C50" s="373"/>
      <c r="D50" s="373"/>
      <c r="E50" s="373"/>
      <c r="F50" s="373"/>
    </row>
    <row r="51" spans="2:6">
      <c r="B51" s="47" t="s">
        <v>331</v>
      </c>
      <c r="C51" s="350">
        <f>Normalized_FCF!C48</f>
        <v>12828070.849551909</v>
      </c>
      <c r="D51" s="1" t="str">
        <f>Reporting_currency</f>
        <v>CNY</v>
      </c>
      <c r="E51" s="286"/>
      <c r="F51" s="286"/>
    </row>
    <row r="52" spans="2:6">
      <c r="B52" s="47" t="s">
        <v>332</v>
      </c>
      <c r="C52" s="350">
        <f>Normalized_FCF!C47</f>
        <v>-6249607</v>
      </c>
      <c r="D52" s="1" t="str">
        <f>Reporting_currency</f>
        <v>CNY</v>
      </c>
      <c r="E52" s="286"/>
      <c r="F52" s="286"/>
    </row>
    <row r="53" spans="2:6">
      <c r="B53" s="47" t="s">
        <v>234</v>
      </c>
      <c r="C53" s="349">
        <f>Normalized_FCF!C12</f>
        <v>6578463.8495519087</v>
      </c>
      <c r="D53" s="1" t="str">
        <f>Reporting_currency</f>
        <v>CNY</v>
      </c>
    </row>
    <row r="55" spans="2:6">
      <c r="B55" s="1" t="s">
        <v>242</v>
      </c>
    </row>
    <row r="56" spans="2:6">
      <c r="B56" s="47" t="s">
        <v>261</v>
      </c>
      <c r="C56" s="349">
        <f>Normalized_FCF!C15</f>
        <v>0</v>
      </c>
      <c r="D56" s="1" t="str">
        <f>Reporting_currency</f>
        <v>CNY</v>
      </c>
    </row>
    <row r="58" spans="2:6">
      <c r="B58" s="373" t="s">
        <v>237</v>
      </c>
      <c r="C58" s="373"/>
      <c r="D58" s="373"/>
      <c r="E58" s="373"/>
      <c r="F58" s="373"/>
    </row>
    <row r="59" spans="2:6">
      <c r="B59" s="47" t="s">
        <v>235</v>
      </c>
      <c r="C59" s="349">
        <f>Normalized_FCF!C14</f>
        <v>-226167766.80719703</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865118716.5321629</v>
      </c>
      <c r="D67" s="1" t="str">
        <f>Reporting_currency</f>
        <v>CNY</v>
      </c>
    </row>
    <row r="68" spans="1:6">
      <c r="B68" s="47" t="s">
        <v>244</v>
      </c>
      <c r="C68" s="349">
        <f>Normalized_FCF!C19</f>
        <v>678503300.42159104</v>
      </c>
      <c r="D68" s="1" t="str">
        <f>Reporting_currency</f>
        <v>CNY</v>
      </c>
    </row>
    <row r="69" spans="1:6">
      <c r="B69" s="227" t="s">
        <v>371</v>
      </c>
      <c r="C69" s="92">
        <f>Normalized_FCF!C126</f>
        <v>7.4495143370842953E-2</v>
      </c>
      <c r="F69" s="314"/>
    </row>
    <row r="70" spans="1:6">
      <c r="B70" s="227" t="s">
        <v>434</v>
      </c>
      <c r="C70" s="92">
        <f>Normalized_FCF!C94</f>
        <v>6.0379746835443039E-2</v>
      </c>
      <c r="E70" s="47" t="s">
        <v>425</v>
      </c>
      <c r="F70" s="315">
        <f>Normalized_FCF!C92</f>
        <v>0.90057693104856651</v>
      </c>
    </row>
    <row r="72" spans="1:6">
      <c r="B72" s="210" t="s">
        <v>427</v>
      </c>
      <c r="C72" s="323" t="s">
        <v>429</v>
      </c>
      <c r="D72" s="323" t="s">
        <v>430</v>
      </c>
    </row>
    <row r="73" spans="1:6">
      <c r="B73" s="47" t="s">
        <v>428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15.693643536790917</v>
      </c>
      <c r="D93" s="1" t="str">
        <f>Market_currency</f>
        <v>CNY</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270317959.52999997</v>
      </c>
      <c r="D102" s="1" t="str">
        <f>Reporting_currency</f>
        <v>CNY</v>
      </c>
    </row>
    <row r="103" spans="2:6">
      <c r="B103" s="47" t="s">
        <v>276</v>
      </c>
      <c r="C103" s="223">
        <f>C102*scaling_factor*Exchange_Rate/Common_Shares</f>
        <v>0.46892996273789717</v>
      </c>
      <c r="D103" s="1" t="str">
        <f>Market_currency</f>
        <v>CNY</v>
      </c>
    </row>
    <row r="104" spans="2:6">
      <c r="B104" s="296" t="s">
        <v>384</v>
      </c>
      <c r="C104" s="325">
        <f>IF(BS!G31/BS!G27&gt;300%,"nm",BS!G31/BS!G27)</f>
        <v>6.0553888114002474E-2</v>
      </c>
    </row>
    <row r="105" spans="2:6">
      <c r="B105" s="296" t="s">
        <v>386</v>
      </c>
      <c r="C105" s="326">
        <f>IF(BS!C50&gt;30,"nm",BS!C50)</f>
        <v>0.30099118789407647</v>
      </c>
    </row>
    <row r="107" spans="2:6">
      <c r="B107" s="1" t="s">
        <v>250</v>
      </c>
    </row>
    <row r="108" spans="2:6">
      <c r="B108" s="47" t="s">
        <v>260</v>
      </c>
      <c r="C108" s="349">
        <f>BS!C66</f>
        <v>1723046566.25</v>
      </c>
      <c r="D108" s="1" t="str">
        <f>Reporting_currency</f>
        <v>CNY</v>
      </c>
    </row>
    <row r="109" spans="2:6">
      <c r="B109" s="47" t="s">
        <v>262</v>
      </c>
      <c r="C109" s="349">
        <f>DCF!C8</f>
        <v>867841842.9465394</v>
      </c>
      <c r="D109" s="1" t="str">
        <f>Reporting_currency</f>
        <v>CNY</v>
      </c>
    </row>
    <row r="110" spans="2:6">
      <c r="B110" s="47" t="s">
        <v>277</v>
      </c>
      <c r="C110" s="223">
        <f>C109*scaling_factor*Exchange_Rate/Common_Shares</f>
        <v>1.5054754178482339</v>
      </c>
      <c r="D110" s="1" t="str">
        <f>Market_currency</f>
        <v>CNY</v>
      </c>
    </row>
    <row r="112" spans="2:6">
      <c r="B112" s="1" t="s">
        <v>252</v>
      </c>
    </row>
    <row r="113" spans="1:6">
      <c r="B113" s="47" t="s">
        <v>253</v>
      </c>
      <c r="C113" s="349">
        <f>DCF!C9</f>
        <v>30193430.795999996</v>
      </c>
      <c r="D113" s="1" t="str">
        <f>Reporting_currency</f>
        <v>CNY</v>
      </c>
    </row>
    <row r="114" spans="1:6">
      <c r="B114" s="47" t="s">
        <v>278</v>
      </c>
      <c r="C114" s="223">
        <f>C113*scaling_factor*Exchange_Rate/Common_Shares</f>
        <v>5.2377594158801083E-2</v>
      </c>
      <c r="D114" s="1" t="str">
        <f>Market_currency</f>
        <v>CNY</v>
      </c>
    </row>
    <row r="116" spans="1:6" ht="24.6" customHeight="1">
      <c r="B116" s="372" t="s">
        <v>352</v>
      </c>
      <c r="C116" s="372"/>
      <c r="D116" s="372"/>
      <c r="E116" s="372"/>
      <c r="F116" s="372"/>
    </row>
    <row r="118" spans="1:6">
      <c r="B118" s="47" t="s">
        <v>426</v>
      </c>
      <c r="C118" s="223">
        <f>IF(valuation_method="DCF",DCF!C12,DDM!C7)</f>
        <v>16.782566586060053</v>
      </c>
      <c r="D118" s="1" t="str">
        <f>Market_currency</f>
        <v>CNY</v>
      </c>
    </row>
    <row r="119" spans="1:6">
      <c r="B119" s="296" t="s">
        <v>549</v>
      </c>
      <c r="C119" s="223">
        <f>BS!D47</f>
        <v>-0.43338518935931036</v>
      </c>
      <c r="D119" s="1" t="str">
        <f>Market_currency</f>
        <v>CNY</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21.39 CNY</v>
      </c>
      <c r="F126" s="232">
        <f>DCF!F74</f>
        <v>0.05</v>
      </c>
    </row>
    <row r="127" spans="1:6">
      <c r="B127" s="218" t="str">
        <f>DCF!B75</f>
        <v>Optimistic</v>
      </c>
      <c r="C127" s="219">
        <f>DCF!C75</f>
        <v>0.05</v>
      </c>
      <c r="D127" s="220">
        <f>DCF!D75</f>
        <v>5</v>
      </c>
      <c r="E127" s="231" t="str">
        <f>ROUND(IF(valuation_method="DCF",DCF!E75,DDM!E70),2)&amp;" "&amp;Market_currency</f>
        <v>18.05 CNY</v>
      </c>
      <c r="F127" s="221">
        <f>DCF!F75</f>
        <v>0.18</v>
      </c>
    </row>
    <row r="128" spans="1:6">
      <c r="B128" s="218" t="str">
        <f>DCF!B76</f>
        <v>Base</v>
      </c>
      <c r="C128" s="219">
        <f>DCF!C76</f>
        <v>0.03</v>
      </c>
      <c r="D128" s="220">
        <f>DCF!D76</f>
        <v>5</v>
      </c>
      <c r="E128" s="231" t="str">
        <f>ROUND(IF(valuation_method="DCF",DCF!E76,DDM!E71),2)&amp;" "&amp;Market_currency</f>
        <v>17.53 CNY</v>
      </c>
      <c r="F128" s="221">
        <f>DCF!F76</f>
        <v>0.53999999999999992</v>
      </c>
    </row>
    <row r="129" spans="1:6">
      <c r="B129" s="218" t="str">
        <f>DCF!B77</f>
        <v>Pessimistic</v>
      </c>
      <c r="C129" s="219">
        <f>DCF!C77</f>
        <v>0.01</v>
      </c>
      <c r="D129" s="220">
        <f>DCF!D77</f>
        <v>5</v>
      </c>
      <c r="E129" s="231" t="str">
        <f>ROUND(IF(valuation_method="DCF",DCF!E77,DDM!E72),2)&amp;" "&amp;Market_currency</f>
        <v>17.03 CNY</v>
      </c>
      <c r="F129" s="221">
        <f>DCF!F77</f>
        <v>0.18</v>
      </c>
    </row>
    <row r="130" spans="1:6">
      <c r="B130" s="218" t="str">
        <f>DCF!B78</f>
        <v>Devil's advocate</v>
      </c>
      <c r="C130" s="219">
        <f>DCF!C78</f>
        <v>0</v>
      </c>
      <c r="D130" s="220">
        <f>DCF!D78</f>
        <v>10</v>
      </c>
      <c r="E130" s="231" t="str">
        <f>ROUND(IF(valuation_method="DCF",DCF!E78,DDM!E73),2)&amp;" "&amp;Market_currency</f>
        <v>16.78 CNY</v>
      </c>
      <c r="F130" s="221">
        <f>DCF!F78</f>
        <v>0.05</v>
      </c>
    </row>
    <row r="132" spans="1:6">
      <c r="B132" s="211" t="s">
        <v>254</v>
      </c>
      <c r="C132" s="217">
        <f>Scenarios!C60</f>
        <v>17.692199895960851</v>
      </c>
      <c r="D132" s="212" t="str">
        <f>Market_currency</f>
        <v>CNY</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0.45</v>
      </c>
    </row>
    <row r="143" spans="1:6">
      <c r="B143" s="212" t="s">
        <v>257</v>
      </c>
      <c r="C143" s="213">
        <f>Scenarios!C77</f>
        <v>0.95400000000000007</v>
      </c>
      <c r="D143" s="212" t="str">
        <f>Market_currency</f>
        <v>CNY</v>
      </c>
    </row>
    <row r="145" spans="2:4">
      <c r="B145" s="210" t="s">
        <v>388</v>
      </c>
      <c r="C145" s="241" t="str">
        <f>C11</f>
        <v>603279.SS</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5.8033375360894999</v>
      </c>
    </row>
    <row r="149" spans="2:4">
      <c r="B149" s="80" t="s">
        <v>256</v>
      </c>
      <c r="C149" s="215">
        <f>Scenarios!C83</f>
        <v>7.2279420709207756</v>
      </c>
      <c r="D149" s="300" t="str">
        <f>IF($D$11="","",C149*$E$25)</f>
        <v/>
      </c>
    </row>
    <row r="150" spans="2:4">
      <c r="B150" s="259" t="s">
        <v>396</v>
      </c>
      <c r="C150" s="298" t="str">
        <f>Market_currency</f>
        <v>CNY</v>
      </c>
      <c r="D150" s="298" t="str">
        <f>IF($D$11="","",D$13)</f>
        <v/>
      </c>
    </row>
    <row r="151" spans="2:4">
      <c r="B151" s="214" t="s">
        <v>258</v>
      </c>
      <c r="C151" s="92">
        <f>Scenarios!F83</f>
        <v>0.59146165465997691</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8.0528902576062116</v>
      </c>
    </row>
    <row r="157" spans="2:4">
      <c r="B157" s="80" t="s">
        <v>256</v>
      </c>
      <c r="C157" s="215">
        <f>Scenarios!C93</f>
        <v>9.7854619462725747</v>
      </c>
      <c r="D157" s="300" t="str">
        <f>IF($D$11="","",C157*$E$25)</f>
        <v/>
      </c>
    </row>
    <row r="158" spans="2:4">
      <c r="B158" s="259" t="s">
        <v>396</v>
      </c>
      <c r="C158" s="298" t="str">
        <f>Market_currency</f>
        <v>CNY</v>
      </c>
      <c r="D158" s="298" t="str">
        <f>IF($D$11="","",D$13)</f>
        <v/>
      </c>
    </row>
    <row r="159" spans="2:4">
      <c r="B159" s="214" t="s">
        <v>258</v>
      </c>
      <c r="C159" s="92">
        <f>Scenarios!F93</f>
        <v>0.44690530268615114</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14.241523304130386</v>
      </c>
    </row>
    <row r="165" spans="2:4">
      <c r="B165" s="80" t="s">
        <v>382</v>
      </c>
      <c r="C165" s="215">
        <f>Scenarios!C99</f>
        <v>16.722424859968235</v>
      </c>
      <c r="D165" s="300" t="str">
        <f>IF($D$11="","",C165*$E$25)</f>
        <v/>
      </c>
    </row>
    <row r="166" spans="2:4">
      <c r="B166" s="259" t="s">
        <v>396</v>
      </c>
      <c r="C166" s="298" t="str">
        <f>Market_currency</f>
        <v>CNY</v>
      </c>
      <c r="D166" s="298" t="str">
        <f>IF($D$11="","",D$13)</f>
        <v/>
      </c>
    </row>
    <row r="167" spans="2:4">
      <c r="B167" s="214" t="s">
        <v>258</v>
      </c>
      <c r="C167" s="92">
        <f>Scenarios!F99</f>
        <v>5.481370557055576E-2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13.775050680383194</v>
      </c>
    </row>
    <row r="173" spans="2:4">
      <c r="B173" s="80" t="s">
        <v>382</v>
      </c>
      <c r="C173" s="215">
        <f>Scenarios!C105</f>
        <v>16.202875796143875</v>
      </c>
      <c r="D173" s="300" t="str">
        <f>IF($D$11="","",C173*$E$25)</f>
        <v/>
      </c>
    </row>
    <row r="174" spans="2:4">
      <c r="B174" s="259" t="s">
        <v>396</v>
      </c>
      <c r="C174" s="298" t="str">
        <f>Market_currency</f>
        <v>CNY</v>
      </c>
      <c r="D174" s="298" t="str">
        <f>IF($D$11="","",D$13)</f>
        <v/>
      </c>
    </row>
    <row r="175" spans="2:4">
      <c r="B175" s="214" t="s">
        <v>258</v>
      </c>
      <c r="C175" s="92">
        <f>Scenarios!F105</f>
        <v>8.3913949117474296E-2</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6129461219</v>
      </c>
      <c r="D4" s="351">
        <v>6249319078</v>
      </c>
      <c r="E4" s="351">
        <v>5682141447</v>
      </c>
      <c r="F4" s="351">
        <v>4651100995</v>
      </c>
      <c r="G4" s="351">
        <v>3329297918</v>
      </c>
      <c r="H4" s="351">
        <v>3310864083</v>
      </c>
      <c r="I4" s="351">
        <v>2918572854</v>
      </c>
      <c r="J4" s="351">
        <v>2210529514</v>
      </c>
      <c r="K4" s="351">
        <v>1544300894</v>
      </c>
      <c r="L4" s="351">
        <v>1583235731</v>
      </c>
      <c r="M4" s="351"/>
    </row>
    <row r="5" spans="2:13">
      <c r="B5" s="40" t="s">
        <v>41</v>
      </c>
      <c r="C5" s="351">
        <v>4407422084</v>
      </c>
      <c r="D5" s="351">
        <v>4321480843</v>
      </c>
      <c r="E5" s="351">
        <v>3978855242</v>
      </c>
      <c r="F5" s="351">
        <v>3293652640</v>
      </c>
      <c r="G5" s="351">
        <v>2298160068</v>
      </c>
      <c r="H5" s="351">
        <v>2198164870</v>
      </c>
      <c r="I5" s="351">
        <v>2065727128</v>
      </c>
      <c r="J5" s="351">
        <v>1559929846</v>
      </c>
      <c r="K5" s="351">
        <v>993637032</v>
      </c>
      <c r="L5" s="351">
        <v>996799764</v>
      </c>
      <c r="M5" s="351"/>
    </row>
    <row r="6" spans="2:13">
      <c r="B6" s="40" t="s">
        <v>52</v>
      </c>
      <c r="C6" s="351">
        <v>456603351</v>
      </c>
      <c r="D6" s="351">
        <v>451772305</v>
      </c>
      <c r="E6" s="351">
        <v>471987592</v>
      </c>
      <c r="F6" s="351">
        <v>430231756</v>
      </c>
      <c r="G6" s="351">
        <v>315308507</v>
      </c>
      <c r="H6" s="351">
        <v>532728643</v>
      </c>
      <c r="I6" s="351">
        <v>471904599</v>
      </c>
      <c r="J6" s="351">
        <v>360354823</v>
      </c>
      <c r="K6" s="351">
        <v>268427406</v>
      </c>
      <c r="L6" s="351">
        <v>341642106</v>
      </c>
      <c r="M6" s="351"/>
    </row>
    <row r="7" spans="2:13">
      <c r="B7" s="69" t="s">
        <v>59</v>
      </c>
      <c r="C7" s="352">
        <v>304923157</v>
      </c>
      <c r="D7" s="352">
        <v>285858877</v>
      </c>
      <c r="E7" s="352">
        <v>267651684</v>
      </c>
      <c r="F7" s="352">
        <v>222391023</v>
      </c>
      <c r="G7" s="352">
        <v>172179694</v>
      </c>
      <c r="H7" s="352">
        <v>410723752</v>
      </c>
      <c r="I7" s="352">
        <v>343598742</v>
      </c>
      <c r="J7" s="352">
        <v>286174672</v>
      </c>
      <c r="K7" s="352">
        <v>197063391</v>
      </c>
      <c r="L7" s="352">
        <v>242768584</v>
      </c>
      <c r="M7" s="352"/>
    </row>
    <row r="8" spans="2:13">
      <c r="B8" s="40" t="s">
        <v>47</v>
      </c>
      <c r="C8" s="351">
        <v>151760727</v>
      </c>
      <c r="D8" s="351">
        <v>210426001</v>
      </c>
      <c r="E8" s="351">
        <v>184885909</v>
      </c>
      <c r="F8" s="351">
        <v>141554165</v>
      </c>
      <c r="G8" s="351">
        <v>61678851</v>
      </c>
      <c r="H8" s="351">
        <v>68644761</v>
      </c>
      <c r="I8" s="351">
        <v>48742254</v>
      </c>
      <c r="J8" s="351">
        <v>47311155</v>
      </c>
      <c r="K8" s="351">
        <v>47605907</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6249607</v>
      </c>
      <c r="D12" s="351">
        <v>4610251</v>
      </c>
      <c r="E12" s="351">
        <v>1311423</v>
      </c>
      <c r="F12" s="351">
        <v>394228</v>
      </c>
      <c r="G12" s="351">
        <v>74051</v>
      </c>
      <c r="H12" s="351">
        <v>0</v>
      </c>
      <c r="I12" s="351">
        <v>0</v>
      </c>
      <c r="J12" s="351">
        <v>0</v>
      </c>
      <c r="K12" s="351">
        <v>0</v>
      </c>
      <c r="L12" s="351"/>
      <c r="M12" s="351"/>
    </row>
    <row r="13" spans="2:13">
      <c r="B13" s="40" t="s">
        <v>65</v>
      </c>
      <c r="C13" s="351">
        <v>37086796</v>
      </c>
      <c r="D13" s="351">
        <v>31023567</v>
      </c>
      <c r="E13" s="351">
        <v>31991799</v>
      </c>
      <c r="F13" s="351">
        <v>18258659</v>
      </c>
      <c r="G13" s="351">
        <v>12674421</v>
      </c>
      <c r="H13" s="351">
        <v>7073727</v>
      </c>
      <c r="I13" s="351">
        <v>0</v>
      </c>
      <c r="J13" s="351">
        <v>0</v>
      </c>
      <c r="K13" s="351">
        <v>0</v>
      </c>
      <c r="L13" s="351"/>
      <c r="M13" s="351"/>
    </row>
    <row r="14" spans="2:13">
      <c r="B14" s="40" t="s">
        <v>48</v>
      </c>
      <c r="C14" s="351">
        <v>260714131</v>
      </c>
      <c r="D14" s="351">
        <v>289376410</v>
      </c>
      <c r="E14" s="351">
        <v>224010347</v>
      </c>
      <c r="F14" s="351">
        <v>153720766</v>
      </c>
      <c r="G14" s="351">
        <v>137748165</v>
      </c>
      <c r="H14" s="351">
        <v>101545465</v>
      </c>
      <c r="I14" s="351">
        <v>85553107</v>
      </c>
      <c r="J14" s="351">
        <v>50017037</v>
      </c>
      <c r="K14" s="351">
        <v>42676057</v>
      </c>
      <c r="L14" s="351">
        <v>47144437</v>
      </c>
      <c r="M14" s="351"/>
    </row>
    <row r="15" spans="2:13">
      <c r="B15" s="43" t="s">
        <v>40</v>
      </c>
      <c r="C15" s="353">
        <v>848231191</v>
      </c>
      <c r="D15" s="353">
        <v>1008089459</v>
      </c>
      <c r="E15" s="353">
        <v>833918670</v>
      </c>
      <c r="F15" s="353">
        <v>647006086</v>
      </c>
      <c r="G15" s="353">
        <v>514682567</v>
      </c>
      <c r="H15" s="353">
        <v>413076950</v>
      </c>
      <c r="I15" s="353">
        <v>244475736</v>
      </c>
      <c r="J15" s="353">
        <v>205956703</v>
      </c>
      <c r="K15" s="353">
        <v>159744960</v>
      </c>
      <c r="L15" s="353">
        <v>142611679</v>
      </c>
      <c r="M15" s="353"/>
    </row>
    <row r="16" spans="2:13">
      <c r="B16" s="28" t="s">
        <v>42</v>
      </c>
      <c r="C16" s="351">
        <v>0</v>
      </c>
      <c r="D16" s="351">
        <v>0</v>
      </c>
      <c r="E16" s="351">
        <v>0</v>
      </c>
      <c r="F16" s="351">
        <v>0</v>
      </c>
      <c r="G16" s="351">
        <v>0</v>
      </c>
      <c r="H16" s="351">
        <v>0</v>
      </c>
      <c r="I16" s="351">
        <v>0</v>
      </c>
      <c r="J16" s="351">
        <v>0</v>
      </c>
      <c r="K16" s="351">
        <v>0</v>
      </c>
      <c r="L16" s="351">
        <v>0</v>
      </c>
      <c r="M16" s="351"/>
    </row>
    <row r="18" spans="2:13">
      <c r="B18" s="16" t="s">
        <v>49</v>
      </c>
      <c r="C18" s="9"/>
    </row>
    <row r="19" spans="2:13">
      <c r="B19" s="27" t="s">
        <v>45</v>
      </c>
      <c r="C19" s="351">
        <v>213321215</v>
      </c>
      <c r="D19" s="351">
        <v>173104850</v>
      </c>
      <c r="E19" s="351">
        <v>130450506</v>
      </c>
      <c r="F19" s="351">
        <v>105234144</v>
      </c>
      <c r="G19" s="351">
        <v>99116575</v>
      </c>
      <c r="H19" s="351">
        <v>95719410</v>
      </c>
      <c r="I19" s="351">
        <v>87904740</v>
      </c>
      <c r="J19" s="351">
        <v>78828048</v>
      </c>
      <c r="K19" s="351">
        <v>74835527</v>
      </c>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1040530375</v>
      </c>
      <c r="D22" s="351">
        <v>268029963</v>
      </c>
      <c r="E22" s="351">
        <v>1022817247</v>
      </c>
      <c r="F22" s="351">
        <v>577079594</v>
      </c>
      <c r="G22" s="351">
        <v>610942604</v>
      </c>
      <c r="H22" s="351">
        <v>443891507</v>
      </c>
      <c r="I22" s="351">
        <v>326910600</v>
      </c>
      <c r="J22" s="351">
        <v>29944782</v>
      </c>
      <c r="K22" s="351">
        <v>366836089</v>
      </c>
      <c r="L22" s="351">
        <v>298070452</v>
      </c>
      <c r="M22" s="351"/>
    </row>
    <row r="23" spans="2:13">
      <c r="B23" s="27" t="s">
        <v>356</v>
      </c>
      <c r="C23" s="351">
        <v>-241780101</v>
      </c>
      <c r="D23" s="351">
        <v>-44910807</v>
      </c>
      <c r="E23" s="351">
        <v>-310348060</v>
      </c>
      <c r="F23" s="351">
        <v>-333430153</v>
      </c>
      <c r="G23" s="351">
        <v>206352378</v>
      </c>
      <c r="H23" s="351">
        <v>-307940933</v>
      </c>
      <c r="I23" s="351">
        <v>-21315461</v>
      </c>
      <c r="J23" s="351">
        <v>-61592804</v>
      </c>
      <c r="K23" s="351">
        <v>-40659058</v>
      </c>
      <c r="L23" s="351">
        <v>-49353967</v>
      </c>
      <c r="M23" s="351"/>
    </row>
    <row r="24" spans="2:13">
      <c r="B24" s="27" t="s">
        <v>355</v>
      </c>
      <c r="C24" s="351">
        <v>-865081548</v>
      </c>
      <c r="D24" s="351">
        <v>-517389967</v>
      </c>
      <c r="E24" s="351">
        <v>-285534453</v>
      </c>
      <c r="F24" s="351">
        <v>-463128689</v>
      </c>
      <c r="G24" s="351">
        <v>-123908474</v>
      </c>
      <c r="H24" s="351">
        <v>261892739</v>
      </c>
      <c r="I24" s="351">
        <v>-5745476</v>
      </c>
      <c r="J24" s="351">
        <v>-109372169</v>
      </c>
      <c r="K24" s="351">
        <v>-375277495</v>
      </c>
      <c r="L24" s="351">
        <v>-28573770</v>
      </c>
      <c r="M24" s="351"/>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26</v>
      </c>
      <c r="C27" s="97" t="s">
        <v>559</v>
      </c>
    </row>
    <row r="28" spans="2:13">
      <c r="B28" s="26" t="s">
        <v>22</v>
      </c>
      <c r="C28" s="333">
        <f>BS!C4</f>
        <v>1180157900.1600001</v>
      </c>
      <c r="D28" s="351">
        <v>851687201</v>
      </c>
      <c r="E28" s="351">
        <v>790890033</v>
      </c>
      <c r="F28" s="351">
        <v>567013771</v>
      </c>
      <c r="G28" s="351">
        <v>458930449</v>
      </c>
      <c r="H28" s="351">
        <v>595526269</v>
      </c>
      <c r="I28" s="351">
        <v>643156397</v>
      </c>
      <c r="J28" s="351">
        <v>642505610</v>
      </c>
      <c r="K28" s="351">
        <v>606387186</v>
      </c>
      <c r="L28" s="351">
        <v>754112914</v>
      </c>
      <c r="M28" s="351"/>
    </row>
    <row r="29" spans="2:13">
      <c r="B29" s="26" t="s">
        <v>30</v>
      </c>
      <c r="C29" s="333">
        <f>BS!C6</f>
        <v>2566018245.5700002</v>
      </c>
      <c r="D29" s="351">
        <v>2819492731</v>
      </c>
      <c r="E29" s="351">
        <v>2459595915</v>
      </c>
      <c r="F29" s="351">
        <v>1867069694</v>
      </c>
      <c r="G29" s="351">
        <v>1603890018</v>
      </c>
      <c r="H29" s="351">
        <v>1464309401</v>
      </c>
      <c r="I29" s="351">
        <v>1241320451</v>
      </c>
      <c r="J29" s="351">
        <v>957439830</v>
      </c>
      <c r="K29" s="351">
        <v>589826147</v>
      </c>
      <c r="L29" s="351">
        <v>412378412</v>
      </c>
      <c r="M29" s="351"/>
    </row>
    <row r="30" spans="2:13">
      <c r="B30" s="29" t="s">
        <v>38</v>
      </c>
      <c r="C30" s="334">
        <f>BS!C33+BS!C42</f>
        <v>4208442385.48</v>
      </c>
      <c r="D30" s="353">
        <v>4086723205</v>
      </c>
      <c r="E30" s="353">
        <v>3962039491</v>
      </c>
      <c r="F30" s="353">
        <v>2581011486</v>
      </c>
      <c r="G30" s="353">
        <v>2275269694</v>
      </c>
      <c r="H30" s="353">
        <v>2004846282</v>
      </c>
      <c r="I30" s="353">
        <v>1560581012</v>
      </c>
      <c r="J30" s="353">
        <v>1160274283</v>
      </c>
      <c r="K30" s="353">
        <v>894522509</v>
      </c>
      <c r="L30" s="353">
        <v>1020621379</v>
      </c>
      <c r="M30" s="353"/>
    </row>
    <row r="31" spans="2:13">
      <c r="B31" s="29" t="s">
        <v>28</v>
      </c>
      <c r="C31" s="334">
        <f>BS!G27</f>
        <v>4464089226.1300011</v>
      </c>
      <c r="D31" s="353">
        <v>4542064792</v>
      </c>
      <c r="E31" s="353">
        <v>4014575003</v>
      </c>
      <c r="F31" s="353">
        <v>3369724644</v>
      </c>
      <c r="G31" s="353">
        <v>2971650742</v>
      </c>
      <c r="H31" s="353">
        <v>2672345812</v>
      </c>
      <c r="I31" s="353">
        <v>2009953108</v>
      </c>
      <c r="J31" s="353">
        <v>1762034156</v>
      </c>
      <c r="K31" s="353">
        <v>1651561675</v>
      </c>
      <c r="L31" s="353">
        <v>1489799476</v>
      </c>
      <c r="M31" s="353"/>
    </row>
    <row r="32" spans="2:13">
      <c r="B32" s="26" t="s">
        <v>168</v>
      </c>
      <c r="C32" s="333">
        <f>BS!G28</f>
        <v>0</v>
      </c>
      <c r="D32" s="351">
        <v>0</v>
      </c>
      <c r="E32" s="351">
        <v>0</v>
      </c>
      <c r="F32" s="351">
        <v>0</v>
      </c>
      <c r="G32" s="351">
        <v>0</v>
      </c>
      <c r="H32" s="351">
        <v>0</v>
      </c>
      <c r="I32" s="351">
        <v>0</v>
      </c>
      <c r="J32" s="351">
        <v>0</v>
      </c>
      <c r="K32" s="351">
        <v>0</v>
      </c>
      <c r="L32" s="351">
        <v>0</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6129461219</v>
      </c>
      <c r="D36" s="333">
        <f t="shared" si="1"/>
        <v>6249319078</v>
      </c>
      <c r="E36" s="333">
        <f t="shared" si="1"/>
        <v>5682141447</v>
      </c>
      <c r="F36" s="333">
        <f t="shared" si="1"/>
        <v>4651100995</v>
      </c>
      <c r="G36" s="333">
        <f t="shared" si="1"/>
        <v>3329297918</v>
      </c>
      <c r="H36" s="333">
        <f t="shared" si="1"/>
        <v>3310864083</v>
      </c>
      <c r="I36" s="333">
        <f t="shared" si="1"/>
        <v>2918572854</v>
      </c>
      <c r="J36" s="333">
        <f t="shared" si="1"/>
        <v>2210529514</v>
      </c>
      <c r="K36" s="333">
        <f t="shared" si="1"/>
        <v>1544300894</v>
      </c>
      <c r="L36" s="333">
        <f t="shared" si="1"/>
        <v>1583235731</v>
      </c>
      <c r="M36" s="333" t="str">
        <f t="shared" si="1"/>
        <v/>
      </c>
    </row>
    <row r="37" spans="2:13">
      <c r="B37" s="40" t="s">
        <v>41</v>
      </c>
      <c r="C37" s="333">
        <f t="shared" ref="C37:M37" si="2">IF(C$4="","",-C5)</f>
        <v>-4407422084</v>
      </c>
      <c r="D37" s="333">
        <f t="shared" si="2"/>
        <v>-4321480843</v>
      </c>
      <c r="E37" s="333">
        <f t="shared" si="2"/>
        <v>-3978855242</v>
      </c>
      <c r="F37" s="333">
        <f t="shared" si="2"/>
        <v>-3293652640</v>
      </c>
      <c r="G37" s="333">
        <f t="shared" si="2"/>
        <v>-2298160068</v>
      </c>
      <c r="H37" s="333">
        <f t="shared" si="2"/>
        <v>-2198164870</v>
      </c>
      <c r="I37" s="333">
        <f t="shared" si="2"/>
        <v>-2065727128</v>
      </c>
      <c r="J37" s="333">
        <f t="shared" si="2"/>
        <v>-1559929846</v>
      </c>
      <c r="K37" s="333">
        <f t="shared" si="2"/>
        <v>-993637032</v>
      </c>
      <c r="L37" s="333">
        <f t="shared" si="2"/>
        <v>-996799764</v>
      </c>
      <c r="M37" s="333" t="str">
        <f t="shared" si="2"/>
        <v/>
      </c>
    </row>
    <row r="38" spans="2:13">
      <c r="B38" s="31" t="s">
        <v>56</v>
      </c>
      <c r="C38" s="329">
        <f>IF(C36="","",C36+C37)</f>
        <v>1722039135</v>
      </c>
      <c r="D38" s="329">
        <f t="shared" ref="D38" si="3">IF(D36="","",D36+D37)</f>
        <v>1927838235</v>
      </c>
      <c r="E38" s="329">
        <f t="shared" ref="E38" si="4">IF(E36="","",E36+E37)</f>
        <v>1703286205</v>
      </c>
      <c r="F38" s="329">
        <f t="shared" ref="F38" si="5">IF(F36="","",F36+F37)</f>
        <v>1357448355</v>
      </c>
      <c r="G38" s="329">
        <f t="shared" ref="G38" si="6">IF(G36="","",G36+G37)</f>
        <v>1031137850</v>
      </c>
      <c r="H38" s="329">
        <f t="shared" ref="H38" si="7">IF(H36="","",H36+H37)</f>
        <v>1112699213</v>
      </c>
      <c r="I38" s="329">
        <f t="shared" ref="I38" si="8">IF(I36="","",I36+I37)</f>
        <v>852845726</v>
      </c>
      <c r="J38" s="329">
        <f t="shared" ref="J38" si="9">IF(J36="","",J36+J37)</f>
        <v>650599668</v>
      </c>
      <c r="K38" s="329">
        <f t="shared" ref="K38" si="10">IF(K36="","",K36+K37)</f>
        <v>550663862</v>
      </c>
      <c r="L38" s="329">
        <f t="shared" ref="L38" si="11">IF(L36="","",L36+L37)</f>
        <v>586435967</v>
      </c>
      <c r="M38" s="329" t="str">
        <f t="shared" ref="M38" si="12">IF(M36="","",M36+M37)</f>
        <v/>
      </c>
    </row>
    <row r="39" spans="2:13">
      <c r="B39" s="40" t="s">
        <v>52</v>
      </c>
      <c r="C39" s="333">
        <f t="shared" ref="C39:M39" si="13">IF(C$4="","",-C6)</f>
        <v>-456603351</v>
      </c>
      <c r="D39" s="333">
        <f t="shared" si="13"/>
        <v>-451772305</v>
      </c>
      <c r="E39" s="333">
        <f t="shared" si="13"/>
        <v>-471987592</v>
      </c>
      <c r="F39" s="333">
        <f t="shared" si="13"/>
        <v>-430231756</v>
      </c>
      <c r="G39" s="333">
        <f t="shared" si="13"/>
        <v>-315308507</v>
      </c>
      <c r="H39" s="333">
        <f t="shared" si="13"/>
        <v>-532728643</v>
      </c>
      <c r="I39" s="333">
        <f t="shared" si="13"/>
        <v>-471904599</v>
      </c>
      <c r="J39" s="333">
        <f t="shared" si="13"/>
        <v>-360354823</v>
      </c>
      <c r="K39" s="333">
        <f t="shared" si="13"/>
        <v>-268427406</v>
      </c>
      <c r="L39" s="333">
        <f t="shared" si="13"/>
        <v>-341642106</v>
      </c>
      <c r="M39" s="333" t="str">
        <f t="shared" si="13"/>
        <v/>
      </c>
    </row>
    <row r="40" spans="2:13">
      <c r="B40" s="69" t="s">
        <v>59</v>
      </c>
      <c r="C40" s="346">
        <f t="shared" ref="C40:M40" si="14">IF(C$4="","",-C7)</f>
        <v>-304923157</v>
      </c>
      <c r="D40" s="346">
        <f t="shared" si="14"/>
        <v>-285858877</v>
      </c>
      <c r="E40" s="346">
        <f t="shared" si="14"/>
        <v>-267651684</v>
      </c>
      <c r="F40" s="346">
        <f t="shared" si="14"/>
        <v>-222391023</v>
      </c>
      <c r="G40" s="346">
        <f t="shared" si="14"/>
        <v>-172179694</v>
      </c>
      <c r="H40" s="346">
        <f t="shared" si="14"/>
        <v>-410723752</v>
      </c>
      <c r="I40" s="346">
        <f t="shared" si="14"/>
        <v>-343598742</v>
      </c>
      <c r="J40" s="346">
        <f t="shared" si="14"/>
        <v>-286174672</v>
      </c>
      <c r="K40" s="346">
        <f t="shared" si="14"/>
        <v>-197063391</v>
      </c>
      <c r="L40" s="346">
        <f t="shared" si="14"/>
        <v>-242768584</v>
      </c>
      <c r="M40" s="346" t="str">
        <f t="shared" si="14"/>
        <v/>
      </c>
    </row>
    <row r="41" spans="2:13">
      <c r="B41" s="69" t="s">
        <v>62</v>
      </c>
      <c r="C41" s="346">
        <f>IF(C$4="","",C39-C40)</f>
        <v>-151680194</v>
      </c>
      <c r="D41" s="346">
        <f t="shared" ref="D41:M41" si="15">IF(D$4="","",D39-D40)</f>
        <v>-165913428</v>
      </c>
      <c r="E41" s="346">
        <f t="shared" si="15"/>
        <v>-204335908</v>
      </c>
      <c r="F41" s="346">
        <f t="shared" si="15"/>
        <v>-207840733</v>
      </c>
      <c r="G41" s="346">
        <f t="shared" si="15"/>
        <v>-143128813</v>
      </c>
      <c r="H41" s="346">
        <f t="shared" si="15"/>
        <v>-122004891</v>
      </c>
      <c r="I41" s="346">
        <f t="shared" si="15"/>
        <v>-128305857</v>
      </c>
      <c r="J41" s="346">
        <f t="shared" si="15"/>
        <v>-74180151</v>
      </c>
      <c r="K41" s="346">
        <f t="shared" si="15"/>
        <v>-71364015</v>
      </c>
      <c r="L41" s="346">
        <f t="shared" si="15"/>
        <v>-98873522</v>
      </c>
      <c r="M41" s="346" t="str">
        <f t="shared" si="15"/>
        <v/>
      </c>
    </row>
    <row r="42" spans="2:13">
      <c r="B42" s="40" t="s">
        <v>47</v>
      </c>
      <c r="C42" s="333">
        <f t="shared" ref="C42:M42" si="16">IF(C$4="","",-C8)</f>
        <v>-151760727</v>
      </c>
      <c r="D42" s="333">
        <f t="shared" si="16"/>
        <v>-210426001</v>
      </c>
      <c r="E42" s="333">
        <f t="shared" si="16"/>
        <v>-184885909</v>
      </c>
      <c r="F42" s="333">
        <f t="shared" si="16"/>
        <v>-141554165</v>
      </c>
      <c r="G42" s="333">
        <f t="shared" si="16"/>
        <v>-61678851</v>
      </c>
      <c r="H42" s="333">
        <f t="shared" si="16"/>
        <v>-68644761</v>
      </c>
      <c r="I42" s="333">
        <f t="shared" si="16"/>
        <v>-48742254</v>
      </c>
      <c r="J42" s="333">
        <f t="shared" si="16"/>
        <v>-47311155</v>
      </c>
      <c r="K42" s="333">
        <f t="shared" si="16"/>
        <v>-47605907</v>
      </c>
      <c r="L42" s="333">
        <f t="shared" si="16"/>
        <v>0</v>
      </c>
      <c r="M42" s="333" t="str">
        <f t="shared" si="16"/>
        <v/>
      </c>
    </row>
    <row r="43" spans="2:13">
      <c r="B43" s="43" t="s">
        <v>148</v>
      </c>
      <c r="C43" s="334">
        <f>IF(C$4="","",C38+C39+C42)</f>
        <v>1113675057</v>
      </c>
      <c r="D43" s="334">
        <f t="shared" ref="D43:M43" si="17">IF(D$4="","",D38+D39+D42)</f>
        <v>1265639929</v>
      </c>
      <c r="E43" s="334">
        <f t="shared" si="17"/>
        <v>1046412704</v>
      </c>
      <c r="F43" s="334">
        <f t="shared" si="17"/>
        <v>785662434</v>
      </c>
      <c r="G43" s="334">
        <f t="shared" si="17"/>
        <v>654150492</v>
      </c>
      <c r="H43" s="334">
        <f t="shared" si="17"/>
        <v>511325809</v>
      </c>
      <c r="I43" s="334">
        <f t="shared" si="17"/>
        <v>332198873</v>
      </c>
      <c r="J43" s="334">
        <f t="shared" si="17"/>
        <v>242933690</v>
      </c>
      <c r="K43" s="334">
        <f t="shared" si="17"/>
        <v>234630549</v>
      </c>
      <c r="L43" s="334">
        <f t="shared" si="17"/>
        <v>244793861</v>
      </c>
      <c r="M43" s="334" t="str">
        <f t="shared" si="17"/>
        <v/>
      </c>
    </row>
    <row r="44" spans="2:13">
      <c r="B44" s="43" t="s">
        <v>164</v>
      </c>
      <c r="C44" s="354">
        <f t="shared" ref="C44:M44" si="18">IF(C$4="","",C47-C46-C45-C43)</f>
        <v>-35566924</v>
      </c>
      <c r="D44" s="354">
        <f t="shared" si="18"/>
        <v>5412624</v>
      </c>
      <c r="E44" s="354">
        <f t="shared" si="18"/>
        <v>-19164063</v>
      </c>
      <c r="F44" s="354">
        <f t="shared" si="18"/>
        <v>-2800013</v>
      </c>
      <c r="G44" s="354">
        <f t="shared" si="18"/>
        <v>-14320130</v>
      </c>
      <c r="H44" s="354">
        <f t="shared" si="18"/>
        <v>-3777121</v>
      </c>
      <c r="I44" s="354">
        <f t="shared" si="18"/>
        <v>-2170030</v>
      </c>
      <c r="J44" s="354">
        <f t="shared" si="18"/>
        <v>13040050</v>
      </c>
      <c r="K44" s="354">
        <f t="shared" si="18"/>
        <v>-32209532</v>
      </c>
      <c r="L44" s="354">
        <f t="shared" si="18"/>
        <v>-55037745</v>
      </c>
      <c r="M44" s="354" t="str">
        <f t="shared" si="18"/>
        <v/>
      </c>
    </row>
    <row r="45" spans="2:13">
      <c r="B45" s="40" t="s">
        <v>66</v>
      </c>
      <c r="C45" s="349">
        <f t="shared" ref="C45:M45" si="19">IF(C$4="","",C51+C52)</f>
        <v>30837189</v>
      </c>
      <c r="D45" s="349">
        <f t="shared" si="19"/>
        <v>26413316</v>
      </c>
      <c r="E45" s="349">
        <f t="shared" si="19"/>
        <v>30680376</v>
      </c>
      <c r="F45" s="349">
        <f t="shared" si="19"/>
        <v>17864431</v>
      </c>
      <c r="G45" s="349">
        <f t="shared" si="19"/>
        <v>12600370</v>
      </c>
      <c r="H45" s="349">
        <f t="shared" si="19"/>
        <v>7073727</v>
      </c>
      <c r="I45" s="349">
        <f t="shared" si="19"/>
        <v>0</v>
      </c>
      <c r="J45" s="349">
        <f t="shared" si="19"/>
        <v>0</v>
      </c>
      <c r="K45" s="349">
        <f t="shared" si="19"/>
        <v>0</v>
      </c>
      <c r="L45" s="349">
        <f t="shared" si="19"/>
        <v>0</v>
      </c>
      <c r="M45" s="349" t="str">
        <f t="shared" si="19"/>
        <v/>
      </c>
    </row>
    <row r="46" spans="2:13">
      <c r="B46" s="40" t="s">
        <v>48</v>
      </c>
      <c r="C46" s="333">
        <f t="shared" ref="C46:M46" si="20">IF(C$4="","",-C14)</f>
        <v>-260714131</v>
      </c>
      <c r="D46" s="333">
        <f t="shared" si="20"/>
        <v>-289376410</v>
      </c>
      <c r="E46" s="333">
        <f t="shared" si="20"/>
        <v>-224010347</v>
      </c>
      <c r="F46" s="333">
        <f t="shared" si="20"/>
        <v>-153720766</v>
      </c>
      <c r="G46" s="333">
        <f t="shared" si="20"/>
        <v>-137748165</v>
      </c>
      <c r="H46" s="333">
        <f t="shared" si="20"/>
        <v>-101545465</v>
      </c>
      <c r="I46" s="333">
        <f t="shared" si="20"/>
        <v>-85553107</v>
      </c>
      <c r="J46" s="333">
        <f t="shared" si="20"/>
        <v>-50017037</v>
      </c>
      <c r="K46" s="333">
        <f t="shared" si="20"/>
        <v>-42676057</v>
      </c>
      <c r="L46" s="333">
        <f t="shared" si="20"/>
        <v>-47144437</v>
      </c>
      <c r="M46" s="333" t="str">
        <f t="shared" si="20"/>
        <v/>
      </c>
    </row>
    <row r="47" spans="2:13">
      <c r="B47" s="43" t="s">
        <v>40</v>
      </c>
      <c r="C47" s="334">
        <f t="shared" ref="C47:M47" si="21">IF(C$4="","",C15)</f>
        <v>848231191</v>
      </c>
      <c r="D47" s="334">
        <f t="shared" si="21"/>
        <v>1008089459</v>
      </c>
      <c r="E47" s="334">
        <f t="shared" si="21"/>
        <v>833918670</v>
      </c>
      <c r="F47" s="334">
        <f t="shared" si="21"/>
        <v>647006086</v>
      </c>
      <c r="G47" s="334">
        <f t="shared" si="21"/>
        <v>514682567</v>
      </c>
      <c r="H47" s="334">
        <f t="shared" si="21"/>
        <v>413076950</v>
      </c>
      <c r="I47" s="334">
        <f t="shared" si="21"/>
        <v>244475736</v>
      </c>
      <c r="J47" s="334">
        <f t="shared" si="21"/>
        <v>205956703</v>
      </c>
      <c r="K47" s="334">
        <f t="shared" si="21"/>
        <v>159744960</v>
      </c>
      <c r="L47" s="334">
        <f t="shared" si="21"/>
        <v>142611679</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-6249607</v>
      </c>
      <c r="D51" s="333">
        <f t="shared" si="23"/>
        <v>-4610251</v>
      </c>
      <c r="E51" s="333">
        <f t="shared" si="23"/>
        <v>-1311423</v>
      </c>
      <c r="F51" s="333">
        <f t="shared" si="23"/>
        <v>-394228</v>
      </c>
      <c r="G51" s="333">
        <f t="shared" si="23"/>
        <v>-74051</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37086796</v>
      </c>
      <c r="D52" s="333">
        <f t="shared" si="24"/>
        <v>31023567</v>
      </c>
      <c r="E52" s="333">
        <f t="shared" si="24"/>
        <v>31991799</v>
      </c>
      <c r="F52" s="333">
        <f t="shared" si="24"/>
        <v>18258659</v>
      </c>
      <c r="G52" s="333">
        <f t="shared" si="24"/>
        <v>12674421</v>
      </c>
      <c r="H52" s="333">
        <f t="shared" si="24"/>
        <v>7073727</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-35566924</v>
      </c>
      <c r="D58" s="349">
        <f t="shared" ref="D58:M58" si="28">IF(D$4="","",D44-D55-D56-D57)</f>
        <v>5412624</v>
      </c>
      <c r="E58" s="349">
        <f t="shared" si="28"/>
        <v>-19164063</v>
      </c>
      <c r="F58" s="349">
        <f t="shared" si="28"/>
        <v>-2800013</v>
      </c>
      <c r="G58" s="349">
        <f t="shared" si="28"/>
        <v>-14320130</v>
      </c>
      <c r="H58" s="349">
        <f t="shared" si="28"/>
        <v>-3777121</v>
      </c>
      <c r="I58" s="349">
        <f t="shared" si="28"/>
        <v>-2170030</v>
      </c>
      <c r="J58" s="349">
        <f t="shared" si="28"/>
        <v>13040050</v>
      </c>
      <c r="K58" s="349">
        <f t="shared" si="28"/>
        <v>-32209532</v>
      </c>
      <c r="L58" s="349">
        <f t="shared" si="28"/>
        <v>-55037745</v>
      </c>
      <c r="M58" s="349" t="str">
        <f t="shared" si="28"/>
        <v/>
      </c>
    </row>
    <row r="60" spans="2:13">
      <c r="B60" s="16" t="s">
        <v>49</v>
      </c>
      <c r="C60" s="9"/>
    </row>
    <row r="61" spans="2:13">
      <c r="B61" s="27" t="s">
        <v>45</v>
      </c>
      <c r="C61" s="333">
        <f>IF(C$4="","",-C19)</f>
        <v>-213321215</v>
      </c>
      <c r="D61" s="333">
        <f t="shared" ref="D61:M61" si="29">IF(D$4="","",-D19)</f>
        <v>-173104850</v>
      </c>
      <c r="E61" s="333">
        <f t="shared" si="29"/>
        <v>-130450506</v>
      </c>
      <c r="F61" s="333">
        <f t="shared" si="29"/>
        <v>-105234144</v>
      </c>
      <c r="G61" s="333">
        <f t="shared" si="29"/>
        <v>-99116575</v>
      </c>
      <c r="H61" s="333">
        <f t="shared" si="29"/>
        <v>-95719410</v>
      </c>
      <c r="I61" s="333">
        <f t="shared" si="29"/>
        <v>-87904740</v>
      </c>
      <c r="J61" s="333">
        <f t="shared" si="29"/>
        <v>-78828048</v>
      </c>
      <c r="K61" s="333">
        <f t="shared" si="29"/>
        <v>-74835527</v>
      </c>
      <c r="L61" s="333">
        <f t="shared" si="29"/>
        <v>0</v>
      </c>
      <c r="M61" s="333" t="str">
        <f t="shared" si="29"/>
        <v/>
      </c>
    </row>
    <row r="62" spans="2:13">
      <c r="B62" s="27" t="s">
        <v>51</v>
      </c>
      <c r="C62" s="333">
        <f>IF(C$4="","",IF(C20=0,C61,-C20))</f>
        <v>-213321215</v>
      </c>
      <c r="D62" s="333">
        <f t="shared" ref="D62:M62" si="30">IF(D$4="","",IF(D20=0,D61,-D20))</f>
        <v>-173104850</v>
      </c>
      <c r="E62" s="333">
        <f t="shared" si="30"/>
        <v>-130450506</v>
      </c>
      <c r="F62" s="333">
        <f t="shared" si="30"/>
        <v>-105234144</v>
      </c>
      <c r="G62" s="333">
        <f t="shared" si="30"/>
        <v>-99116575</v>
      </c>
      <c r="H62" s="333">
        <f t="shared" si="30"/>
        <v>-95719410</v>
      </c>
      <c r="I62" s="333">
        <f t="shared" si="30"/>
        <v>-87904740</v>
      </c>
      <c r="J62" s="333">
        <f t="shared" si="30"/>
        <v>-78828048</v>
      </c>
      <c r="K62" s="333">
        <f t="shared" si="30"/>
        <v>-74835527</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-66331274</v>
      </c>
      <c r="D64" s="333">
        <f t="shared" ref="D64:M64" si="32">IF(D$4="","",D22+D23+D24)</f>
        <v>-294270811</v>
      </c>
      <c r="E64" s="333">
        <f t="shared" si="32"/>
        <v>426934734</v>
      </c>
      <c r="F64" s="333">
        <f t="shared" si="32"/>
        <v>-219479248</v>
      </c>
      <c r="G64" s="333">
        <f t="shared" si="32"/>
        <v>693386508</v>
      </c>
      <c r="H64" s="333">
        <f t="shared" si="32"/>
        <v>397843313</v>
      </c>
      <c r="I64" s="333">
        <f t="shared" si="32"/>
        <v>299849663</v>
      </c>
      <c r="J64" s="333">
        <f t="shared" si="32"/>
        <v>-141020191</v>
      </c>
      <c r="K64" s="333">
        <f t="shared" si="32"/>
        <v>-49100464</v>
      </c>
      <c r="L64" s="333">
        <f t="shared" si="32"/>
        <v>220142715</v>
      </c>
      <c r="M64" s="333" t="str">
        <f t="shared" si="32"/>
        <v/>
      </c>
    </row>
    <row r="65" spans="2:13">
      <c r="B65" s="24" t="s">
        <v>34</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56</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164</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8672531611.6100006</v>
      </c>
      <c r="D76" s="349">
        <f t="shared" ref="D76:M76" si="39">IF(D$4="","",D79+D80)</f>
        <v>8628787997</v>
      </c>
      <c r="E76" s="349">
        <f t="shared" si="39"/>
        <v>7976614494</v>
      </c>
      <c r="F76" s="349">
        <f t="shared" si="39"/>
        <v>5950736130</v>
      </c>
      <c r="G76" s="349">
        <f t="shared" si="39"/>
        <v>5246920436</v>
      </c>
      <c r="H76" s="349">
        <f t="shared" si="39"/>
        <v>4677192094</v>
      </c>
      <c r="I76" s="349">
        <f t="shared" si="39"/>
        <v>3570534120</v>
      </c>
      <c r="J76" s="349">
        <f t="shared" si="39"/>
        <v>2922308439</v>
      </c>
      <c r="K76" s="349">
        <f t="shared" si="39"/>
        <v>2546084184</v>
      </c>
      <c r="L76" s="349">
        <f t="shared" si="39"/>
        <v>2510420855</v>
      </c>
      <c r="M76" s="349" t="str">
        <f t="shared" si="39"/>
        <v/>
      </c>
    </row>
    <row r="77" spans="2:13">
      <c r="B77" s="93" t="s">
        <v>83</v>
      </c>
      <c r="C77" s="318">
        <f t="shared" ref="C77:H78" si="40">IF(C$4="","",C28)</f>
        <v>1180157900.1600001</v>
      </c>
      <c r="D77" s="346">
        <f t="shared" si="40"/>
        <v>851687201</v>
      </c>
      <c r="E77" s="346">
        <f t="shared" si="40"/>
        <v>790890033</v>
      </c>
      <c r="F77" s="346">
        <f t="shared" si="40"/>
        <v>567013771</v>
      </c>
      <c r="G77" s="346">
        <f t="shared" si="40"/>
        <v>458930449</v>
      </c>
      <c r="H77" s="346">
        <f t="shared" si="40"/>
        <v>595526269</v>
      </c>
      <c r="I77" s="355"/>
      <c r="J77" s="355"/>
      <c r="K77" s="355"/>
      <c r="L77" s="355"/>
      <c r="M77" s="355"/>
    </row>
    <row r="78" spans="2:13">
      <c r="B78" s="93" t="s">
        <v>84</v>
      </c>
      <c r="C78" s="318">
        <f t="shared" si="40"/>
        <v>2566018245.5700002</v>
      </c>
      <c r="D78" s="346">
        <f t="shared" si="40"/>
        <v>2819492731</v>
      </c>
      <c r="E78" s="346">
        <f t="shared" si="40"/>
        <v>2459595915</v>
      </c>
      <c r="F78" s="346">
        <f t="shared" si="40"/>
        <v>1867069694</v>
      </c>
      <c r="G78" s="346">
        <f t="shared" si="40"/>
        <v>1603890018</v>
      </c>
      <c r="H78" s="346">
        <f t="shared" si="40"/>
        <v>1464309401</v>
      </c>
      <c r="I78" s="355"/>
      <c r="J78" s="355"/>
      <c r="K78" s="355"/>
      <c r="L78" s="355"/>
      <c r="M78" s="355"/>
    </row>
    <row r="79" spans="2:13">
      <c r="B79" s="26" t="s">
        <v>38</v>
      </c>
      <c r="C79" s="317">
        <f t="shared" ref="C79:M79" si="41">IF(C$4="","",C30)</f>
        <v>4208442385.48</v>
      </c>
      <c r="D79" s="333">
        <f t="shared" si="41"/>
        <v>4086723205</v>
      </c>
      <c r="E79" s="333">
        <f t="shared" si="41"/>
        <v>3962039491</v>
      </c>
      <c r="F79" s="333">
        <f t="shared" si="41"/>
        <v>2581011486</v>
      </c>
      <c r="G79" s="333">
        <f t="shared" si="41"/>
        <v>2275269694</v>
      </c>
      <c r="H79" s="333">
        <f t="shared" si="41"/>
        <v>2004846282</v>
      </c>
      <c r="I79" s="333">
        <f t="shared" si="41"/>
        <v>1560581012</v>
      </c>
      <c r="J79" s="333">
        <f t="shared" si="41"/>
        <v>1160274283</v>
      </c>
      <c r="K79" s="333">
        <f t="shared" si="41"/>
        <v>894522509</v>
      </c>
      <c r="L79" s="333">
        <f t="shared" si="41"/>
        <v>1020621379</v>
      </c>
      <c r="M79" s="333" t="str">
        <f t="shared" si="41"/>
        <v/>
      </c>
    </row>
    <row r="80" spans="2:13">
      <c r="B80" s="26" t="s">
        <v>28</v>
      </c>
      <c r="C80" s="317">
        <f t="shared" ref="C80:M80" si="42">IF(C$4="","",C31)</f>
        <v>4464089226.1300011</v>
      </c>
      <c r="D80" s="333">
        <f t="shared" si="42"/>
        <v>4542064792</v>
      </c>
      <c r="E80" s="333">
        <f t="shared" si="42"/>
        <v>4014575003</v>
      </c>
      <c r="F80" s="333">
        <f t="shared" si="42"/>
        <v>3369724644</v>
      </c>
      <c r="G80" s="333">
        <f t="shared" si="42"/>
        <v>2971650742</v>
      </c>
      <c r="H80" s="333">
        <f t="shared" si="42"/>
        <v>2672345812</v>
      </c>
      <c r="I80" s="333">
        <f t="shared" si="42"/>
        <v>2009953108</v>
      </c>
      <c r="J80" s="333">
        <f t="shared" si="42"/>
        <v>1762034156</v>
      </c>
      <c r="K80" s="333">
        <f t="shared" si="42"/>
        <v>1651561675</v>
      </c>
      <c r="L80" s="333">
        <f t="shared" si="42"/>
        <v>1489799476</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162848038.15+872554672.94+94302275.67+50452913.4</f>
        <v>1180157900.1600001</v>
      </c>
      <c r="D4" s="261">
        <v>0.6</v>
      </c>
      <c r="E4" s="25"/>
      <c r="F4" s="4" t="s">
        <v>75</v>
      </c>
      <c r="G4" s="19">
        <v>1723046566.25</v>
      </c>
      <c r="H4" s="261">
        <v>0.9</v>
      </c>
    </row>
    <row r="5" spans="2:8" ht="15" customHeight="1">
      <c r="B5" s="1" t="s">
        <v>31</v>
      </c>
      <c r="C5" s="19">
        <v>0</v>
      </c>
      <c r="D5" s="261">
        <v>0.6</v>
      </c>
      <c r="E5" s="25"/>
      <c r="F5" s="1" t="s">
        <v>27</v>
      </c>
      <c r="G5" s="19">
        <v>0</v>
      </c>
      <c r="H5" s="261">
        <v>0.7</v>
      </c>
    </row>
    <row r="6" spans="2:8" ht="15" customHeight="1">
      <c r="B6" s="4" t="s">
        <v>8</v>
      </c>
      <c r="C6" s="19">
        <v>2566018245.5700002</v>
      </c>
      <c r="D6" s="261">
        <v>0.5</v>
      </c>
      <c r="E6" s="25"/>
      <c r="F6" s="4" t="s">
        <v>173</v>
      </c>
      <c r="G6" s="19">
        <v>0</v>
      </c>
      <c r="H6" s="261">
        <v>0.6</v>
      </c>
    </row>
    <row r="7" spans="2:8" ht="15" customHeight="1">
      <c r="B7" s="1" t="s">
        <v>67</v>
      </c>
      <c r="C7" s="19">
        <v>0</v>
      </c>
      <c r="D7" s="261">
        <v>0.6</v>
      </c>
      <c r="E7" s="25"/>
      <c r="F7" s="4" t="s">
        <v>174</v>
      </c>
      <c r="G7" s="19">
        <v>50322384.659999996</v>
      </c>
      <c r="H7" s="261">
        <v>0.6</v>
      </c>
    </row>
    <row r="8" spans="2:8" ht="15" customHeight="1">
      <c r="B8" s="1" t="s">
        <v>169</v>
      </c>
      <c r="C8" s="19">
        <v>0</v>
      </c>
      <c r="D8" s="261">
        <v>0.6</v>
      </c>
      <c r="E8" s="25"/>
      <c r="F8" s="1" t="s">
        <v>175</v>
      </c>
      <c r="G8" s="19">
        <v>0</v>
      </c>
      <c r="H8" s="261">
        <v>0.6</v>
      </c>
    </row>
    <row r="9" spans="2:8" ht="15" customHeight="1">
      <c r="B9" s="4" t="s">
        <v>23</v>
      </c>
      <c r="C9" s="19">
        <f>21769366.3+88430040.42</f>
        <v>110199406.72</v>
      </c>
      <c r="D9" s="261">
        <v>0.1</v>
      </c>
      <c r="E9" s="25"/>
      <c r="F9" s="4" t="s">
        <v>176</v>
      </c>
      <c r="G9" s="19">
        <v>0</v>
      </c>
      <c r="H9" s="261">
        <v>0.6</v>
      </c>
    </row>
    <row r="10" spans="2:8" ht="15" customHeight="1">
      <c r="B10" s="4" t="s">
        <v>9</v>
      </c>
      <c r="C10" s="19">
        <v>0</v>
      </c>
      <c r="D10" s="261">
        <v>0.9</v>
      </c>
      <c r="H10" s="262"/>
    </row>
    <row r="11" spans="2:8" ht="15" customHeight="1">
      <c r="B11" s="4" t="s">
        <v>10</v>
      </c>
      <c r="C11" s="19">
        <v>66428111.5</v>
      </c>
      <c r="D11" s="261">
        <v>0.05</v>
      </c>
      <c r="H11" s="262"/>
    </row>
    <row r="12" spans="2:8" ht="15" customHeight="1">
      <c r="B12" s="80" t="s">
        <v>70</v>
      </c>
      <c r="C12" s="81">
        <f>SUM(C4:C11)</f>
        <v>3922803663.9500003</v>
      </c>
      <c r="D12" s="20">
        <f>C4*D4+C5*D5+C9*D9+C6*D6+C8*D8+C7*D7+C10*D10+C11*D11</f>
        <v>2005445209.1280003</v>
      </c>
      <c r="F12" s="80" t="s">
        <v>68</v>
      </c>
      <c r="G12" s="81">
        <f>SUM(G4:G9)</f>
        <v>1773368950.9100001</v>
      </c>
      <c r="H12" s="20">
        <f>G4*H4+G5*H5+G6*H6+G7*H7+G8*H8+G9*H9</f>
        <v>1580935340.421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2276113969.89+136330644.02+1116002.95</f>
        <v>2413560616.8599997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308495762.44999999</v>
      </c>
      <c r="D21" s="261">
        <v>0.05</v>
      </c>
      <c r="F21" s="1" t="s">
        <v>176</v>
      </c>
      <c r="G21" s="19">
        <v>0</v>
      </c>
      <c r="H21" s="261">
        <v>0.1</v>
      </c>
    </row>
    <row r="22" spans="2:8" ht="15" customHeight="1">
      <c r="B22" s="4" t="s">
        <v>18</v>
      </c>
      <c r="C22" s="19">
        <v>128281177.8</v>
      </c>
      <c r="D22" s="261">
        <v>0.9</v>
      </c>
      <c r="H22" s="262"/>
    </row>
    <row r="23" spans="2:8" ht="15" customHeight="1">
      <c r="B23" s="4" t="s">
        <v>19</v>
      </c>
      <c r="C23" s="19">
        <v>126021439.64</v>
      </c>
      <c r="D23" s="261">
        <v>0</v>
      </c>
      <c r="H23" s="262"/>
    </row>
    <row r="24" spans="2:8" ht="15" customHeight="1">
      <c r="B24" s="80" t="s">
        <v>71</v>
      </c>
      <c r="C24" s="81">
        <f>SUM(C15:C23)</f>
        <v>2976358996.7499995</v>
      </c>
      <c r="D24" s="20">
        <f>C15*D15+C16*D16+C18*D18+C17*D17+C19*D19+C20*D20+C21*D21+C22*D22+C23*D23</f>
        <v>372233909.82849997</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200146666.66999999</v>
      </c>
      <c r="F27" s="187" t="s">
        <v>28</v>
      </c>
      <c r="G27" s="85">
        <f>G32-G30</f>
        <v>4464089226.1300011</v>
      </c>
      <c r="H27" s="188">
        <f>H32-G30</f>
        <v>-249827926.10249996</v>
      </c>
    </row>
    <row r="28" spans="2:8" ht="15" customHeight="1">
      <c r="B28" s="4" t="s">
        <v>4</v>
      </c>
      <c r="C28" s="19">
        <v>0</v>
      </c>
      <c r="F28" s="189" t="s">
        <v>240</v>
      </c>
      <c r="G28" s="12">
        <v>0</v>
      </c>
      <c r="H28" s="188"/>
    </row>
    <row r="29" spans="2:8" ht="15" customHeight="1">
      <c r="B29" s="4" t="s">
        <v>5</v>
      </c>
      <c r="C29" s="19">
        <v>0</v>
      </c>
      <c r="F29" s="190" t="s">
        <v>73</v>
      </c>
      <c r="G29" s="14">
        <f>G27-G28</f>
        <v>4464089226.1300011</v>
      </c>
      <c r="H29" s="188">
        <f>H27-G28</f>
        <v>-249827926.10249996</v>
      </c>
    </row>
    <row r="30" spans="2:8" ht="15" customHeight="1">
      <c r="B30" s="2" t="s">
        <v>6</v>
      </c>
      <c r="C30" s="19">
        <v>0</v>
      </c>
      <c r="F30" s="187" t="s">
        <v>21</v>
      </c>
      <c r="G30" s="85">
        <f>C33+C42</f>
        <v>4208442385.48</v>
      </c>
      <c r="H30" s="188"/>
    </row>
    <row r="31" spans="2:8" ht="15" customHeight="1">
      <c r="B31" s="80" t="s">
        <v>199</v>
      </c>
      <c r="C31" s="81">
        <f>SUM(C27:C30)</f>
        <v>200146666.66999999</v>
      </c>
      <c r="F31" s="190" t="s">
        <v>74</v>
      </c>
      <c r="G31" s="191">
        <f>C31+C40</f>
        <v>270317959.52999997</v>
      </c>
      <c r="H31" s="188"/>
    </row>
    <row r="32" spans="2:8" ht="15" customHeight="1">
      <c r="B32" s="4" t="s">
        <v>7</v>
      </c>
      <c r="C32" s="21">
        <f>C33-C31</f>
        <v>3801371953.8299999</v>
      </c>
      <c r="F32" s="192" t="s">
        <v>72</v>
      </c>
      <c r="G32" s="193">
        <f>G35+G40</f>
        <v>8672531611.6100006</v>
      </c>
      <c r="H32" s="188">
        <f>H35+H40</f>
        <v>3958614459.3775001</v>
      </c>
    </row>
    <row r="33" spans="2:8" ht="15" customHeight="1">
      <c r="B33" s="83" t="s">
        <v>2</v>
      </c>
      <c r="C33" s="84">
        <v>4001518620.5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6899162660.6999998</v>
      </c>
      <c r="H35" s="200">
        <f>D12+D24</f>
        <v>2377679118.9565001</v>
      </c>
    </row>
    <row r="36" spans="2:8" ht="15" customHeight="1">
      <c r="B36" s="4" t="s">
        <v>11</v>
      </c>
      <c r="C36" s="19">
        <v>70000000</v>
      </c>
      <c r="F36" s="190" t="s">
        <v>193</v>
      </c>
      <c r="G36" s="191">
        <f>C4+C15</f>
        <v>1180157900.1600001</v>
      </c>
      <c r="H36" s="195"/>
    </row>
    <row r="37" spans="2:8" ht="15" customHeight="1">
      <c r="B37" s="4" t="s">
        <v>12</v>
      </c>
      <c r="C37" s="19">
        <v>171292.86</v>
      </c>
      <c r="F37" s="190" t="s">
        <v>194</v>
      </c>
      <c r="G37" s="191">
        <f>C6</f>
        <v>2566018245.5700002</v>
      </c>
      <c r="H37" s="195"/>
    </row>
    <row r="38" spans="2:8" ht="15" customHeight="1">
      <c r="B38" s="4" t="s">
        <v>13</v>
      </c>
      <c r="C38" s="19">
        <v>0</v>
      </c>
      <c r="F38" s="190" t="s">
        <v>195</v>
      </c>
      <c r="G38" s="191">
        <f>C7+C17</f>
        <v>0</v>
      </c>
      <c r="H38" s="195"/>
    </row>
    <row r="39" spans="2:8" ht="15" customHeight="1">
      <c r="B39" s="2" t="s">
        <v>14</v>
      </c>
      <c r="C39" s="19">
        <v>0</v>
      </c>
      <c r="F39" s="190" t="s">
        <v>77</v>
      </c>
      <c r="G39" s="191">
        <f>C7+C17+C19+C20</f>
        <v>2413560616.8599997</v>
      </c>
      <c r="H39" s="188">
        <f>C7*D7+C17*D17+C19*D19+C20*D20</f>
        <v>241356061.68599999</v>
      </c>
    </row>
    <row r="40" spans="2:8" ht="15" customHeight="1">
      <c r="B40" s="80" t="s">
        <v>200</v>
      </c>
      <c r="C40" s="81">
        <f>SUM(C36:C39)</f>
        <v>70171292.859999999</v>
      </c>
      <c r="F40" s="199" t="s">
        <v>134</v>
      </c>
      <c r="G40" s="193">
        <f>G12+G24</f>
        <v>1773368950.9100001</v>
      </c>
      <c r="H40" s="200">
        <f>H12+H24</f>
        <v>1580935340.421</v>
      </c>
    </row>
    <row r="41" spans="2:8" ht="15" customHeight="1">
      <c r="B41" s="4" t="s">
        <v>15</v>
      </c>
      <c r="C41" s="21">
        <f>C42-C40</f>
        <v>136752472.12</v>
      </c>
      <c r="F41" s="190" t="s">
        <v>187</v>
      </c>
      <c r="G41" s="191">
        <f>C70</f>
        <v>1723046566.25</v>
      </c>
      <c r="H41" s="200">
        <f>H40-H42</f>
        <v>1550741909.625</v>
      </c>
    </row>
    <row r="42" spans="2:8" ht="15" customHeight="1">
      <c r="B42" s="83" t="s">
        <v>20</v>
      </c>
      <c r="C42" s="84">
        <v>206923764.97999999</v>
      </c>
      <c r="F42" s="201" t="s">
        <v>188</v>
      </c>
      <c r="G42" s="202">
        <f>C82</f>
        <v>50322384.659999996</v>
      </c>
      <c r="H42" s="203">
        <f>D82</f>
        <v>30193430.795999996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0.30099118789407647</v>
      </c>
      <c r="D50" s="95">
        <f>G31/Normalized_FCF!G8</f>
        <v>0.24272606073999553</v>
      </c>
      <c r="F50" s="253"/>
    </row>
    <row r="51" spans="2:8" ht="15" customHeight="1">
      <c r="B51" s="1" t="s">
        <v>172</v>
      </c>
      <c r="C51" s="181"/>
      <c r="D51" s="92">
        <f>G29/G32</f>
        <v>0.51473888203000406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0.13017414540681585</v>
      </c>
      <c r="D54" s="92">
        <f>Normalized_FCF!G8/G35</f>
        <v>0.16142177127434257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8.8384444753464353E-2</v>
      </c>
      <c r="F58" s="5"/>
    </row>
    <row r="59" spans="2:8" ht="15" customHeight="1">
      <c r="B59" s="1" t="s">
        <v>90</v>
      </c>
      <c r="C59" s="98"/>
      <c r="D59" s="92">
        <f>G39/G32</f>
        <v>0.27829943146346597</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1723046566.25</v>
      </c>
      <c r="D66" s="76">
        <f>C66-D75</f>
        <v>867841842.9465394</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1723046566.25</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-468902548.5</v>
      </c>
      <c r="D73" s="349">
        <f>(Normalized_FCF!C25+Normalized_FCF!C35-Normalized_FCF!C91)/12</f>
        <v>-427602361.6517303</v>
      </c>
      <c r="F73" s="1" t="s">
        <v>342</v>
      </c>
    </row>
    <row r="74" spans="2:6" ht="15" customHeight="1">
      <c r="B74" s="257" t="s">
        <v>312</v>
      </c>
      <c r="C74" s="258">
        <f>-$C$66/C73</f>
        <v>3.674636812621205</v>
      </c>
      <c r="D74" s="258">
        <f>-$C$66/D73</f>
        <v>4.0295534374372126</v>
      </c>
      <c r="F74" s="253" t="s">
        <v>310</v>
      </c>
    </row>
    <row r="75" spans="2:6" ht="15" customHeight="1">
      <c r="B75" s="80" t="s">
        <v>311</v>
      </c>
      <c r="C75" s="320"/>
      <c r="D75" s="321">
        <f>MAX(-D73*D76,G5)</f>
        <v>855204723.3034606</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50322384.659999996</v>
      </c>
      <c r="D79" s="76">
        <f>G7*H7+G17*H17</f>
        <v>30193430.795999996</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50322384.659999996</v>
      </c>
      <c r="D82" s="81">
        <f>SUM(D79:D81)</f>
        <v>30193430.795999996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-270317959.52999997</v>
      </c>
      <c r="D86" s="223">
        <f>C86*scaling_factor/Common_Shares</f>
        <v>-0.46892996273789717</v>
      </c>
      <c r="E86" s="240" t="str">
        <f>Market_currency</f>
        <v>CNY</v>
      </c>
    </row>
    <row r="87" spans="2:8" ht="15" customHeight="1">
      <c r="B87" s="238" t="s">
        <v>282</v>
      </c>
      <c r="C87" s="76">
        <f>DCF!C8*Exchange_Rate</f>
        <v>867841842.9465394</v>
      </c>
      <c r="D87" s="223">
        <f>C87*scaling_factor/Common_Shares</f>
        <v>1.5054754178482339</v>
      </c>
      <c r="E87" s="240" t="str">
        <f>Market_currency</f>
        <v>CNY</v>
      </c>
    </row>
    <row r="88" spans="2:8" ht="15" customHeight="1">
      <c r="B88" s="239" t="s">
        <v>185</v>
      </c>
      <c r="C88" s="76">
        <f>DCF!C9*Exchange_Rate</f>
        <v>30193430.795999996</v>
      </c>
      <c r="D88" s="223">
        <f>C88*scaling_factor/Common_Shares</f>
        <v>5.2377594158801083E-2</v>
      </c>
      <c r="E88" s="240" t="str">
        <f>Market_currency</f>
        <v>CNY</v>
      </c>
    </row>
    <row r="89" spans="2:8" ht="15" customHeight="1">
      <c r="B89" s="80" t="s">
        <v>286</v>
      </c>
      <c r="C89" s="180">
        <f>SUM(C86:C88)</f>
        <v>627717314.21253943</v>
      </c>
      <c r="D89" s="242">
        <f>SUM(D86:D88)</f>
        <v>1.088923049269138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AVERAGE(G4:I4)*0.9</f>
        <v>5418276523.1999998</v>
      </c>
      <c r="D4" s="57"/>
      <c r="E4" s="266"/>
      <c r="F4" s="57"/>
      <c r="G4" s="333">
        <f>Data!C36</f>
        <v>6129461219</v>
      </c>
      <c r="H4" s="333">
        <f>Data!D36</f>
        <v>6249319078</v>
      </c>
      <c r="I4" s="333">
        <f>Data!E36</f>
        <v>5682141447</v>
      </c>
      <c r="J4" s="333">
        <f>Data!F36</f>
        <v>4651100995</v>
      </c>
      <c r="K4" s="333">
        <f>Data!G36</f>
        <v>3329297918</v>
      </c>
      <c r="L4" s="333">
        <f>Data!H36</f>
        <v>3310864083</v>
      </c>
      <c r="M4" s="333">
        <f>Data!I36</f>
        <v>2918572854</v>
      </c>
      <c r="N4" s="333">
        <f>Data!J36</f>
        <v>2210529514</v>
      </c>
      <c r="O4" s="333">
        <f>Data!K36</f>
        <v>1544300894</v>
      </c>
      <c r="P4" s="333">
        <f>Data!L36</f>
        <v>1583235731</v>
      </c>
      <c r="Q4" s="333" t="str">
        <f>Data!M36</f>
        <v/>
      </c>
    </row>
    <row r="5" spans="1:17" ht="15.75" customHeight="1">
      <c r="A5" s="10"/>
      <c r="B5" s="2" t="s">
        <v>44</v>
      </c>
      <c r="C5" s="328">
        <f>C25</f>
        <v>-4165584653.5707636</v>
      </c>
      <c r="E5" s="268"/>
      <c r="G5" s="333">
        <f t="shared" ref="G5:Q5" si="1">G25</f>
        <v>-4712345241</v>
      </c>
      <c r="H5" s="333">
        <f t="shared" si="1"/>
        <v>-4607339720</v>
      </c>
      <c r="I5" s="333">
        <f t="shared" si="1"/>
        <v>-4246506926</v>
      </c>
      <c r="J5" s="333">
        <f t="shared" si="1"/>
        <v>-3516043663</v>
      </c>
      <c r="K5" s="333">
        <f t="shared" si="1"/>
        <v>-2470339762</v>
      </c>
      <c r="L5" s="333">
        <f t="shared" si="1"/>
        <v>-2608888622</v>
      </c>
      <c r="M5" s="333">
        <f t="shared" si="1"/>
        <v>-2409325870</v>
      </c>
      <c r="N5" s="333">
        <f t="shared" si="1"/>
        <v>-1846104518</v>
      </c>
      <c r="O5" s="333">
        <f t="shared" si="1"/>
        <v>-1190700423</v>
      </c>
      <c r="P5" s="333">
        <f t="shared" si="1"/>
        <v>-1239568348</v>
      </c>
      <c r="Q5" s="333" t="str">
        <f t="shared" si="1"/>
        <v/>
      </c>
    </row>
    <row r="6" spans="1:17" ht="15.75" customHeight="1">
      <c r="A6" s="10"/>
      <c r="B6" s="31" t="s">
        <v>46</v>
      </c>
      <c r="C6" s="329">
        <f>C4+C5</f>
        <v>1252691869.6292362</v>
      </c>
      <c r="E6" s="268"/>
      <c r="G6" s="329">
        <f>IF(G4="","",G4+G5)</f>
        <v>1417115978</v>
      </c>
      <c r="H6" s="329">
        <f t="shared" ref="H6:Q6" si="2">IF(H4="","",H4+H5)</f>
        <v>1641979358</v>
      </c>
      <c r="I6" s="329">
        <f t="shared" si="2"/>
        <v>1435634521</v>
      </c>
      <c r="J6" s="329">
        <f t="shared" si="2"/>
        <v>1135057332</v>
      </c>
      <c r="K6" s="329">
        <f t="shared" si="2"/>
        <v>858958156</v>
      </c>
      <c r="L6" s="329">
        <f t="shared" si="2"/>
        <v>701975461</v>
      </c>
      <c r="M6" s="329">
        <f t="shared" si="2"/>
        <v>509246984</v>
      </c>
      <c r="N6" s="329">
        <f t="shared" si="2"/>
        <v>364424996</v>
      </c>
      <c r="O6" s="329">
        <f t="shared" si="2"/>
        <v>353600471</v>
      </c>
      <c r="P6" s="329">
        <f t="shared" si="2"/>
        <v>343667383</v>
      </c>
      <c r="Q6" s="329" t="str">
        <f t="shared" si="2"/>
        <v/>
      </c>
    </row>
    <row r="7" spans="1:17" ht="15.75" customHeight="1">
      <c r="A7" s="10"/>
      <c r="B7" s="8" t="s">
        <v>43</v>
      </c>
      <c r="C7" s="328">
        <f>C35</f>
        <v>-354599266.25</v>
      </c>
      <c r="E7" s="268"/>
      <c r="G7" s="328">
        <f t="shared" ref="G7:Q7" si="3">G35</f>
        <v>-303440921</v>
      </c>
      <c r="H7" s="328">
        <f t="shared" si="3"/>
        <v>-376339429</v>
      </c>
      <c r="I7" s="328">
        <f t="shared" si="3"/>
        <v>-389221817</v>
      </c>
      <c r="J7" s="328">
        <f t="shared" si="3"/>
        <v>-349394898</v>
      </c>
      <c r="K7" s="328">
        <f t="shared" si="3"/>
        <v>-204807664</v>
      </c>
      <c r="L7" s="328">
        <f t="shared" si="3"/>
        <v>-190649652</v>
      </c>
      <c r="M7" s="328">
        <f t="shared" si="3"/>
        <v>-177048111</v>
      </c>
      <c r="N7" s="328">
        <f t="shared" si="3"/>
        <v>-121491306</v>
      </c>
      <c r="O7" s="328">
        <f t="shared" si="3"/>
        <v>-118969922</v>
      </c>
      <c r="P7" s="328">
        <f t="shared" si="3"/>
        <v>-98873522</v>
      </c>
      <c r="Q7" s="328" t="str">
        <f t="shared" si="3"/>
        <v/>
      </c>
    </row>
    <row r="8" spans="1:17" ht="15.75" customHeight="1">
      <c r="A8" s="10"/>
      <c r="B8" s="29" t="s">
        <v>148</v>
      </c>
      <c r="C8" s="330">
        <f>C6+C7</f>
        <v>898092603.37923622</v>
      </c>
      <c r="D8" s="59"/>
      <c r="E8" s="274"/>
      <c r="F8" s="59"/>
      <c r="G8" s="329">
        <f>IF(G$4="","",G6+G7)</f>
        <v>1113675057</v>
      </c>
      <c r="H8" s="329">
        <f t="shared" ref="H8:Q8" si="4">IF(H$4="","",H6+H7)</f>
        <v>1265639929</v>
      </c>
      <c r="I8" s="329">
        <f t="shared" si="4"/>
        <v>1046412704</v>
      </c>
      <c r="J8" s="329">
        <f t="shared" si="4"/>
        <v>785662434</v>
      </c>
      <c r="K8" s="329">
        <f t="shared" si="4"/>
        <v>654150492</v>
      </c>
      <c r="L8" s="329">
        <f t="shared" si="4"/>
        <v>511325809</v>
      </c>
      <c r="M8" s="329">
        <f t="shared" si="4"/>
        <v>332198873</v>
      </c>
      <c r="N8" s="329">
        <f t="shared" si="4"/>
        <v>242933690</v>
      </c>
      <c r="O8" s="329">
        <f t="shared" si="4"/>
        <v>234630549</v>
      </c>
      <c r="P8" s="329">
        <f t="shared" si="4"/>
        <v>244793861</v>
      </c>
      <c r="Q8" s="329" t="str">
        <f t="shared" si="4"/>
        <v/>
      </c>
    </row>
    <row r="9" spans="1:17" ht="15.75" customHeight="1">
      <c r="A9" s="10"/>
      <c r="B9" s="2" t="s">
        <v>63</v>
      </c>
      <c r="C9" s="328">
        <f>BS!$G$39*BS!D58</f>
        <v>213321214.99999997</v>
      </c>
      <c r="E9" s="268"/>
      <c r="G9" s="328">
        <f>IF(Data!C61="","",-Data!C61)</f>
        <v>213321215</v>
      </c>
      <c r="H9" s="328">
        <f>IF(Data!D61="","",-Data!D61)</f>
        <v>173104850</v>
      </c>
      <c r="I9" s="328">
        <f>IF(Data!E61="","",-Data!E61)</f>
        <v>130450506</v>
      </c>
      <c r="J9" s="328">
        <f>IF(Data!F61="","",-Data!F61)</f>
        <v>105234144</v>
      </c>
      <c r="K9" s="328">
        <f>IF(Data!G61="","",-Data!G61)</f>
        <v>99116575</v>
      </c>
      <c r="L9" s="328">
        <f>IF(Data!H61="","",-Data!H61)</f>
        <v>95719410</v>
      </c>
      <c r="M9" s="328">
        <f>IF(Data!I61="","",-Data!I61)</f>
        <v>87904740</v>
      </c>
      <c r="N9" s="328">
        <f>IF(Data!J61="","",-Data!J61)</f>
        <v>78828048</v>
      </c>
      <c r="O9" s="328">
        <f>IF(Data!K61="","",-Data!K61)</f>
        <v>74835527</v>
      </c>
      <c r="P9" s="328">
        <f>IF(Data!L61="","",-Data!L61)</f>
        <v>0</v>
      </c>
      <c r="Q9" s="328" t="str">
        <f>IF(Data!M61="","",-Data!M61)</f>
        <v/>
      </c>
    </row>
    <row r="10" spans="1:17" ht="15.75" customHeight="1">
      <c r="A10" s="10"/>
      <c r="B10" s="2" t="s">
        <v>78</v>
      </c>
      <c r="C10" s="328">
        <f>-C4*C78</f>
        <v>-213321215</v>
      </c>
      <c r="E10" s="268"/>
      <c r="G10" s="328">
        <f>Data!C62</f>
        <v>-213321215</v>
      </c>
      <c r="H10" s="328">
        <f>Data!D62</f>
        <v>-173104850</v>
      </c>
      <c r="I10" s="328">
        <f>Data!E62</f>
        <v>-130450506</v>
      </c>
      <c r="J10" s="328">
        <f>Data!F62</f>
        <v>-105234144</v>
      </c>
      <c r="K10" s="328">
        <f>Data!G62</f>
        <v>-99116575</v>
      </c>
      <c r="L10" s="328">
        <f>Data!H62</f>
        <v>-95719410</v>
      </c>
      <c r="M10" s="328">
        <f>Data!I62</f>
        <v>-87904740</v>
      </c>
      <c r="N10" s="328">
        <f>Data!J62</f>
        <v>-78828048</v>
      </c>
      <c r="O10" s="328">
        <f>Data!K62</f>
        <v>-74835527</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6578463.8495519087</v>
      </c>
      <c r="E12" s="268"/>
      <c r="G12" s="328">
        <f>G50</f>
        <v>12157790.53216283</v>
      </c>
      <c r="H12" s="328">
        <f t="shared" ref="H12:Q12" si="6">H50</f>
        <v>10787766.413925113</v>
      </c>
      <c r="I12" s="328">
        <f t="shared" si="6"/>
        <v>14567159.823979978</v>
      </c>
      <c r="J12" s="328">
        <f t="shared" si="6"/>
        <v>8668145.4284623209</v>
      </c>
      <c r="K12" s="328">
        <f t="shared" si="6"/>
        <v>6216681.3090674309</v>
      </c>
      <c r="L12" s="328">
        <f t="shared" si="6"/>
        <v>3510923.5352386222</v>
      </c>
      <c r="M12" s="328">
        <f t="shared" si="6"/>
        <v>0</v>
      </c>
      <c r="N12" s="328">
        <f t="shared" si="6"/>
        <v>0</v>
      </c>
      <c r="O12" s="328">
        <f t="shared" si="6"/>
        <v>0</v>
      </c>
      <c r="P12" s="328">
        <f t="shared" si="6"/>
        <v>0</v>
      </c>
      <c r="Q12" s="328" t="str">
        <f t="shared" si="6"/>
        <v/>
      </c>
    </row>
    <row r="13" spans="1:17" ht="15.75" customHeight="1">
      <c r="A13" s="10"/>
      <c r="B13" s="70" t="s">
        <v>160</v>
      </c>
      <c r="C13" s="329">
        <f>SUM(C8:C12)</f>
        <v>904671067.22878814</v>
      </c>
      <c r="E13" s="268"/>
      <c r="G13" s="329">
        <f>IF(G$4="","",SUM(G8:G12))</f>
        <v>1125832847.5321629</v>
      </c>
      <c r="H13" s="329">
        <f t="shared" ref="H13:Q13" si="7">IF(H$4="","",SUM(H8:H12))</f>
        <v>1276427695.4139252</v>
      </c>
      <c r="I13" s="329">
        <f t="shared" si="7"/>
        <v>1060979863.82398</v>
      </c>
      <c r="J13" s="329">
        <f t="shared" si="7"/>
        <v>794330579.42846227</v>
      </c>
      <c r="K13" s="329">
        <f t="shared" si="7"/>
        <v>660367173.30906749</v>
      </c>
      <c r="L13" s="329">
        <f t="shared" si="7"/>
        <v>514836732.53523862</v>
      </c>
      <c r="M13" s="329">
        <f t="shared" si="7"/>
        <v>332198873</v>
      </c>
      <c r="N13" s="329">
        <f t="shared" si="7"/>
        <v>242933690</v>
      </c>
      <c r="O13" s="329">
        <f t="shared" si="7"/>
        <v>234630549</v>
      </c>
      <c r="P13" s="329">
        <f t="shared" si="7"/>
        <v>244793861</v>
      </c>
      <c r="Q13" s="329" t="str">
        <f t="shared" si="7"/>
        <v/>
      </c>
    </row>
    <row r="14" spans="1:17" ht="15.75" customHeight="1">
      <c r="A14" s="10"/>
      <c r="B14" s="2" t="s">
        <v>61</v>
      </c>
      <c r="C14" s="328">
        <f>-SUM(C8+C11,C12)*C43</f>
        <v>-226167766.80719703</v>
      </c>
      <c r="E14" s="268"/>
      <c r="G14" s="328">
        <f>Data!C46</f>
        <v>-260714131</v>
      </c>
      <c r="H14" s="328">
        <f>Data!D46</f>
        <v>-289376410</v>
      </c>
      <c r="I14" s="328">
        <f>Data!E46</f>
        <v>-224010347</v>
      </c>
      <c r="J14" s="328">
        <f>Data!F46</f>
        <v>-153720766</v>
      </c>
      <c r="K14" s="328">
        <f>Data!G46</f>
        <v>-137748165</v>
      </c>
      <c r="L14" s="328">
        <f>Data!H46</f>
        <v>-101545465</v>
      </c>
      <c r="M14" s="328">
        <f>Data!I46</f>
        <v>-85553107</v>
      </c>
      <c r="N14" s="328">
        <f>Data!J46</f>
        <v>-50017037</v>
      </c>
      <c r="O14" s="328">
        <f>Data!K46</f>
        <v>-42676057</v>
      </c>
      <c r="P14" s="328">
        <f>Data!L46</f>
        <v>-47144437</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678503300.42159104</v>
      </c>
      <c r="D16" s="61"/>
      <c r="E16" s="276"/>
      <c r="F16" s="61"/>
      <c r="G16" s="329">
        <f>IF(G$4="","",SUM(G13:G15))</f>
        <v>865118716.5321629</v>
      </c>
      <c r="H16" s="329">
        <f t="shared" ref="H16:Q16" si="8">IF(H$4="","",SUM(H13:H15))</f>
        <v>987051285.41392517</v>
      </c>
      <c r="I16" s="329">
        <f t="shared" si="8"/>
        <v>836969516.82397997</v>
      </c>
      <c r="J16" s="329">
        <f t="shared" si="8"/>
        <v>640609813.42846227</v>
      </c>
      <c r="K16" s="329">
        <f t="shared" si="8"/>
        <v>522619008.30906749</v>
      </c>
      <c r="L16" s="329">
        <f t="shared" si="8"/>
        <v>413291267.53523862</v>
      </c>
      <c r="M16" s="329">
        <f t="shared" si="8"/>
        <v>246645766</v>
      </c>
      <c r="N16" s="329">
        <f t="shared" si="8"/>
        <v>192916653</v>
      </c>
      <c r="O16" s="329">
        <f t="shared" si="8"/>
        <v>191954492</v>
      </c>
      <c r="P16" s="329">
        <f t="shared" si="8"/>
        <v>197649424</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678503300.42159104</v>
      </c>
      <c r="D19" s="27"/>
      <c r="E19" s="265"/>
      <c r="F19" s="27"/>
      <c r="G19" s="334">
        <f>IF(G$4="","",G16+G17)</f>
        <v>865118716.5321629</v>
      </c>
      <c r="H19" s="334">
        <f t="shared" ref="H19:Q19" si="9">IF(H$4="","",H16+H17)</f>
        <v>987051285.41392517</v>
      </c>
      <c r="I19" s="334">
        <f t="shared" si="9"/>
        <v>836969516.82397997</v>
      </c>
      <c r="J19" s="334">
        <f t="shared" si="9"/>
        <v>640609813.42846227</v>
      </c>
      <c r="K19" s="334">
        <f t="shared" si="9"/>
        <v>522619008.30906749</v>
      </c>
      <c r="L19" s="334">
        <f t="shared" si="9"/>
        <v>413291267.53523862</v>
      </c>
      <c r="M19" s="334">
        <f t="shared" si="9"/>
        <v>246645766</v>
      </c>
      <c r="N19" s="334">
        <f t="shared" si="9"/>
        <v>192916653</v>
      </c>
      <c r="O19" s="334">
        <f t="shared" si="9"/>
        <v>191954492</v>
      </c>
      <c r="P19" s="334">
        <f t="shared" si="9"/>
        <v>197649424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-3896040900.2255597</v>
      </c>
      <c r="D23" s="58"/>
      <c r="E23" s="267"/>
      <c r="F23" s="58"/>
      <c r="G23" s="333">
        <f>Data!C37</f>
        <v>-4407422084</v>
      </c>
      <c r="H23" s="333">
        <f>Data!D37</f>
        <v>-4321480843</v>
      </c>
      <c r="I23" s="333">
        <f>Data!E37</f>
        <v>-3978855242</v>
      </c>
      <c r="J23" s="333">
        <f>Data!F37</f>
        <v>-3293652640</v>
      </c>
      <c r="K23" s="333">
        <f>Data!G37</f>
        <v>-2298160068</v>
      </c>
      <c r="L23" s="333">
        <f>Data!H37</f>
        <v>-2198164870</v>
      </c>
      <c r="M23" s="333">
        <f>Data!I37</f>
        <v>-2065727128</v>
      </c>
      <c r="N23" s="333">
        <f>Data!J37</f>
        <v>-1559929846</v>
      </c>
      <c r="O23" s="333">
        <f>Data!K37</f>
        <v>-993637032</v>
      </c>
      <c r="P23" s="333">
        <f>Data!L37</f>
        <v>-996799764</v>
      </c>
      <c r="Q23" s="333" t="str">
        <f>Data!M37</f>
        <v/>
      </c>
    </row>
    <row r="24" spans="1:17" ht="15.75" customHeight="1">
      <c r="A24" s="10"/>
      <c r="B24" s="68" t="s">
        <v>60</v>
      </c>
      <c r="C24" s="328">
        <f>-C4*C29</f>
        <v>-269543753.3452037</v>
      </c>
      <c r="D24" s="27"/>
      <c r="E24" s="265"/>
      <c r="F24" s="27"/>
      <c r="G24" s="333">
        <f>Data!C40</f>
        <v>-304923157</v>
      </c>
      <c r="H24" s="333">
        <f>Data!D40</f>
        <v>-285858877</v>
      </c>
      <c r="I24" s="333">
        <f>Data!E40</f>
        <v>-267651684</v>
      </c>
      <c r="J24" s="333">
        <f>Data!F40</f>
        <v>-222391023</v>
      </c>
      <c r="K24" s="333">
        <f>Data!G40</f>
        <v>-172179694</v>
      </c>
      <c r="L24" s="333">
        <f>Data!H40</f>
        <v>-410723752</v>
      </c>
      <c r="M24" s="333">
        <f>Data!I40</f>
        <v>-343598742</v>
      </c>
      <c r="N24" s="333">
        <f>Data!J40</f>
        <v>-286174672</v>
      </c>
      <c r="O24" s="333">
        <f>Data!K40</f>
        <v>-197063391</v>
      </c>
      <c r="P24" s="333">
        <f>Data!L40</f>
        <v>-242768584</v>
      </c>
      <c r="Q24" s="333" t="str">
        <f>Data!M40</f>
        <v/>
      </c>
    </row>
    <row r="25" spans="1:17" ht="15.75" customHeight="1">
      <c r="A25" s="10"/>
      <c r="B25" s="70" t="s">
        <v>44</v>
      </c>
      <c r="C25" s="329">
        <f>C23+C24</f>
        <v>-4165584653.5707636</v>
      </c>
      <c r="D25" s="9"/>
      <c r="E25" s="273"/>
      <c r="F25" s="9"/>
      <c r="G25" s="329">
        <f t="shared" ref="G25:Q25" si="10">IF(G$4="","",G23+G24)</f>
        <v>-4712345241</v>
      </c>
      <c r="H25" s="329">
        <f t="shared" si="10"/>
        <v>-4607339720</v>
      </c>
      <c r="I25" s="329">
        <f t="shared" si="10"/>
        <v>-4246506926</v>
      </c>
      <c r="J25" s="329">
        <f t="shared" si="10"/>
        <v>-3516043663</v>
      </c>
      <c r="K25" s="329">
        <f t="shared" si="10"/>
        <v>-2470339762</v>
      </c>
      <c r="L25" s="329">
        <f t="shared" si="10"/>
        <v>-2608888622</v>
      </c>
      <c r="M25" s="329">
        <f t="shared" si="10"/>
        <v>-2409325870</v>
      </c>
      <c r="N25" s="329">
        <f t="shared" si="10"/>
        <v>-1846104518</v>
      </c>
      <c r="O25" s="329">
        <f t="shared" si="10"/>
        <v>-1190700423</v>
      </c>
      <c r="P25" s="329">
        <f t="shared" si="10"/>
        <v>-1239568348</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0.71905538293283389</v>
      </c>
      <c r="D28" s="26"/>
      <c r="E28" s="266" t="s">
        <v>324</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324</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44</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-182442565.75</v>
      </c>
      <c r="E33" s="266" t="s">
        <v>324</v>
      </c>
      <c r="G33" s="328">
        <f>Data!C41</f>
        <v>-151680194</v>
      </c>
      <c r="H33" s="328">
        <f>Data!D41</f>
        <v>-165913428</v>
      </c>
      <c r="I33" s="328">
        <f>Data!E41</f>
        <v>-204335908</v>
      </c>
      <c r="J33" s="328">
        <f>Data!F41</f>
        <v>-207840733</v>
      </c>
      <c r="K33" s="328">
        <f>Data!G41</f>
        <v>-143128813</v>
      </c>
      <c r="L33" s="328">
        <f>Data!H41</f>
        <v>-122004891</v>
      </c>
      <c r="M33" s="328">
        <f>Data!I41</f>
        <v>-128305857</v>
      </c>
      <c r="N33" s="328">
        <f>Data!J41</f>
        <v>-74180151</v>
      </c>
      <c r="O33" s="328">
        <f>Data!K41</f>
        <v>-71364015</v>
      </c>
      <c r="P33" s="328">
        <f>Data!L41</f>
        <v>-98873522</v>
      </c>
      <c r="Q33" s="328" t="str">
        <f>Data!M41</f>
        <v/>
      </c>
    </row>
    <row r="34" spans="1:17" ht="15.75" customHeight="1">
      <c r="A34" s="10"/>
      <c r="B34" s="27" t="s">
        <v>47</v>
      </c>
      <c r="C34" s="340">
        <f>AVERAGE(G34:J34)</f>
        <v>-172156700.5</v>
      </c>
      <c r="D34" s="58"/>
      <c r="E34" s="266" t="s">
        <v>324</v>
      </c>
      <c r="F34" s="58"/>
      <c r="G34" s="333">
        <f>Data!C42</f>
        <v>-151760727</v>
      </c>
      <c r="H34" s="333">
        <f>Data!D42</f>
        <v>-210426001</v>
      </c>
      <c r="I34" s="333">
        <f>Data!E42</f>
        <v>-184885909</v>
      </c>
      <c r="J34" s="333">
        <f>Data!F42</f>
        <v>-141554165</v>
      </c>
      <c r="K34" s="333">
        <f>Data!G42</f>
        <v>-61678851</v>
      </c>
      <c r="L34" s="333">
        <f>Data!H42</f>
        <v>-68644761</v>
      </c>
      <c r="M34" s="333">
        <f>Data!I42</f>
        <v>-48742254</v>
      </c>
      <c r="N34" s="333">
        <f>Data!J42</f>
        <v>-47311155</v>
      </c>
      <c r="O34" s="333">
        <f>Data!K42</f>
        <v>-47605907</v>
      </c>
      <c r="P34" s="333">
        <f>Data!L42</f>
        <v>0</v>
      </c>
      <c r="Q34" s="333" t="str">
        <f>Data!M42</f>
        <v/>
      </c>
    </row>
    <row r="35" spans="1:17" ht="15.75" customHeight="1">
      <c r="A35" s="10"/>
      <c r="B35" s="70" t="s">
        <v>43</v>
      </c>
      <c r="C35" s="329">
        <f>C33+C34</f>
        <v>-354599266.25</v>
      </c>
      <c r="D35" s="58"/>
      <c r="E35" s="267"/>
      <c r="F35" s="58"/>
      <c r="G35" s="329">
        <f t="shared" ref="G35:Q35" si="14">IF(G4="","",G33+G34)</f>
        <v>-303440921</v>
      </c>
      <c r="H35" s="329">
        <f t="shared" si="14"/>
        <v>-376339429</v>
      </c>
      <c r="I35" s="329">
        <f t="shared" si="14"/>
        <v>-389221817</v>
      </c>
      <c r="J35" s="329">
        <f t="shared" si="14"/>
        <v>-349394898</v>
      </c>
      <c r="K35" s="329">
        <f t="shared" si="14"/>
        <v>-204807664</v>
      </c>
      <c r="L35" s="329">
        <f t="shared" si="14"/>
        <v>-190649652</v>
      </c>
      <c r="M35" s="329">
        <f t="shared" si="14"/>
        <v>-177048111</v>
      </c>
      <c r="N35" s="329">
        <f t="shared" si="14"/>
        <v>-121491306</v>
      </c>
      <c r="O35" s="329">
        <f t="shared" si="14"/>
        <v>-118969922</v>
      </c>
      <c r="P35" s="329">
        <f t="shared" si="14"/>
        <v>-98873522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3.3671697073565113E-2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3.1773332306473966E-2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43</v>
      </c>
      <c r="C40" s="71">
        <f>ABS(C35/$C$4)</f>
        <v>6.5445029380039085E-2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0.23157445758621098</v>
      </c>
      <c r="H43" s="6">
        <f t="shared" si="18"/>
        <v>0.22670803135947301</v>
      </c>
      <c r="I43" s="6">
        <f t="shared" si="18"/>
        <v>0.21113534256213184</v>
      </c>
      <c r="J43" s="6">
        <f t="shared" si="18"/>
        <v>0.19352240739693713</v>
      </c>
      <c r="K43" s="6">
        <f t="shared" si="18"/>
        <v>0.20859329562029971</v>
      </c>
      <c r="L43" s="6">
        <f t="shared" si="18"/>
        <v>0.19723818947407681</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-6249607</v>
      </c>
      <c r="E47" s="268"/>
      <c r="G47" s="328">
        <f>Data!C51</f>
        <v>-6249607</v>
      </c>
      <c r="H47" s="328">
        <f>Data!D51</f>
        <v>-4610251</v>
      </c>
      <c r="I47" s="328">
        <f>Data!E51</f>
        <v>-1311423</v>
      </c>
      <c r="J47" s="328">
        <f>Data!F51</f>
        <v>-394228</v>
      </c>
      <c r="K47" s="328">
        <f>Data!G51</f>
        <v>-74051</v>
      </c>
      <c r="L47" s="328">
        <f>Data!H51</f>
        <v>0</v>
      </c>
      <c r="M47" s="328">
        <f>Data!I51</f>
        <v>0</v>
      </c>
      <c r="N47" s="328">
        <f>Data!J51</f>
        <v>0</v>
      </c>
      <c r="O47" s="328">
        <f>Data!K51</f>
        <v>0</v>
      </c>
      <c r="P47" s="328">
        <f>Data!L51</f>
        <v>0</v>
      </c>
      <c r="Q47" s="328" t="str">
        <f>Data!M51</f>
        <v/>
      </c>
    </row>
    <row r="48" spans="1:17" ht="15.75" customHeight="1">
      <c r="A48" s="10"/>
      <c r="B48" s="2" t="s">
        <v>336</v>
      </c>
      <c r="C48" s="328">
        <f>BS!D75*C53</f>
        <v>12828070.849551909</v>
      </c>
      <c r="E48" s="268"/>
      <c r="G48" s="337">
        <f>IFERROR(IF(G$4="","",($C$48/$C$49)*G49),0)</f>
        <v>18407397.53216283</v>
      </c>
      <c r="H48" s="337">
        <f t="shared" ref="H48:Q48" si="19">IFERROR(IF(H$4="","",($C$48/$C$49)*H49),0)</f>
        <v>15398017.413925113</v>
      </c>
      <c r="I48" s="337">
        <f t="shared" si="19"/>
        <v>15878582.823979978</v>
      </c>
      <c r="J48" s="337">
        <f t="shared" si="19"/>
        <v>9062373.4284623209</v>
      </c>
      <c r="K48" s="337">
        <f t="shared" si="19"/>
        <v>6290732.3090674309</v>
      </c>
      <c r="L48" s="337">
        <f t="shared" si="19"/>
        <v>3510923.5352386222</v>
      </c>
      <c r="M48" s="337">
        <f t="shared" si="19"/>
        <v>0</v>
      </c>
      <c r="N48" s="337">
        <f t="shared" si="19"/>
        <v>0</v>
      </c>
      <c r="O48" s="337">
        <f t="shared" si="19"/>
        <v>0</v>
      </c>
      <c r="P48" s="337">
        <f t="shared" si="19"/>
        <v>0</v>
      </c>
      <c r="Q48" s="337" t="str">
        <f t="shared" si="19"/>
        <v/>
      </c>
    </row>
    <row r="49" spans="1:17" ht="15.75" customHeight="1">
      <c r="A49" s="10"/>
      <c r="B49" s="287" t="s">
        <v>333</v>
      </c>
      <c r="C49" s="342">
        <f>BS!$C$66*C53</f>
        <v>25845698.493749999</v>
      </c>
      <c r="D49" s="288"/>
      <c r="E49" s="289"/>
      <c r="F49" s="288"/>
      <c r="G49" s="342">
        <f>Data!C52</f>
        <v>37086796</v>
      </c>
      <c r="H49" s="342">
        <f>Data!D52</f>
        <v>31023567</v>
      </c>
      <c r="I49" s="342">
        <f>Data!E52</f>
        <v>31991799</v>
      </c>
      <c r="J49" s="342">
        <f>Data!F52</f>
        <v>18258659</v>
      </c>
      <c r="K49" s="342">
        <f>Data!G52</f>
        <v>12674421</v>
      </c>
      <c r="L49" s="342">
        <f>Data!H52</f>
        <v>7073727</v>
      </c>
      <c r="M49" s="342">
        <f>Data!I52</f>
        <v>0</v>
      </c>
      <c r="N49" s="342">
        <f>Data!J52</f>
        <v>0</v>
      </c>
      <c r="O49" s="342">
        <f>Data!K52</f>
        <v>0</v>
      </c>
      <c r="P49" s="342">
        <f>Data!L52</f>
        <v>0</v>
      </c>
      <c r="Q49" s="342" t="str">
        <f>Data!M52</f>
        <v/>
      </c>
    </row>
    <row r="50" spans="1:17" ht="15.75" customHeight="1">
      <c r="A50" s="10"/>
      <c r="B50" s="70" t="s">
        <v>66</v>
      </c>
      <c r="C50" s="329">
        <f>C47+C48</f>
        <v>6578463.8495519087</v>
      </c>
      <c r="E50" s="268"/>
      <c r="G50" s="329">
        <f>IF(G$4="","",(G47+G48))</f>
        <v>12157790.53216283</v>
      </c>
      <c r="H50" s="329">
        <f t="shared" ref="H50:Q50" si="20">IF(H$4="","",(H47+H48))</f>
        <v>10787766.413925113</v>
      </c>
      <c r="I50" s="329">
        <f t="shared" si="20"/>
        <v>14567159.823979978</v>
      </c>
      <c r="J50" s="329">
        <f t="shared" si="20"/>
        <v>8668145.4284623209</v>
      </c>
      <c r="K50" s="329">
        <f t="shared" si="20"/>
        <v>6216681.3090674309</v>
      </c>
      <c r="L50" s="329">
        <f t="shared" si="20"/>
        <v>3510923.5352386222</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2.1523966169245717E-2</v>
      </c>
      <c r="H53" s="169"/>
      <c r="I53" s="169"/>
      <c r="J53" s="169"/>
      <c r="K53" s="169"/>
      <c r="L53" s="169"/>
      <c r="M53" s="169"/>
      <c r="N53" s="169"/>
      <c r="O53" s="169"/>
      <c r="P53" s="169"/>
      <c r="Q53" s="169"/>
    </row>
    <row r="54" spans="1:17" ht="15.75" customHeight="1">
      <c r="A54" s="10"/>
      <c r="B54" s="8" t="s">
        <v>85</v>
      </c>
      <c r="C54" s="82">
        <f>G54</f>
        <v>2.3119466464108229E-2</v>
      </c>
      <c r="E54" s="265" t="s">
        <v>327</v>
      </c>
      <c r="G54" s="23">
        <f>IFERROR(ABS(Normalized_FCF!G47/BS!$G$31),0)</f>
        <v>2.3119466464108229E-2</v>
      </c>
      <c r="H54" s="169"/>
      <c r="I54" s="169"/>
      <c r="J54" s="169"/>
      <c r="K54" s="169"/>
      <c r="L54" s="169"/>
      <c r="M54" s="169"/>
      <c r="N54" s="169"/>
      <c r="O54" s="169"/>
      <c r="P54" s="169"/>
      <c r="Q54" s="169"/>
    </row>
    <row r="55" spans="1:17" ht="15.75" customHeight="1">
      <c r="A55" s="10"/>
      <c r="B55" s="26" t="s">
        <v>88</v>
      </c>
      <c r="C55" s="42">
        <f>-C8/C47</f>
        <v>143.70385263893172</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-35566924</v>
      </c>
      <c r="H62" s="328">
        <f>Data!D58</f>
        <v>5412624</v>
      </c>
      <c r="I62" s="328">
        <f>Data!E58</f>
        <v>-19164063</v>
      </c>
      <c r="J62" s="328">
        <f>Data!F58</f>
        <v>-2800013</v>
      </c>
      <c r="K62" s="328">
        <f>Data!G58</f>
        <v>-14320130</v>
      </c>
      <c r="L62" s="328">
        <f>Data!H58</f>
        <v>-3777121</v>
      </c>
      <c r="M62" s="328">
        <f>Data!I58</f>
        <v>-2170030</v>
      </c>
      <c r="N62" s="328">
        <f>Data!J58</f>
        <v>13040050</v>
      </c>
      <c r="O62" s="328">
        <f>Data!K58</f>
        <v>-32209532</v>
      </c>
      <c r="P62" s="328">
        <f>Data!L58</f>
        <v>-55037745</v>
      </c>
      <c r="Q62" s="328" t="str">
        <f>Data!M58</f>
        <v/>
      </c>
    </row>
    <row r="63" spans="1:17" ht="15.75" customHeight="1">
      <c r="A63" s="10"/>
      <c r="B63" s="31" t="s">
        <v>191</v>
      </c>
      <c r="C63" s="329">
        <f>C61+C62</f>
        <v>0</v>
      </c>
      <c r="E63" s="268"/>
      <c r="G63" s="329">
        <f t="shared" ref="G63:Q63" si="23">IF(G4="","",G61+G62)</f>
        <v>-35566924</v>
      </c>
      <c r="H63" s="329">
        <f t="shared" si="23"/>
        <v>5412624</v>
      </c>
      <c r="I63" s="329">
        <f t="shared" si="23"/>
        <v>-19164063</v>
      </c>
      <c r="J63" s="329">
        <f t="shared" si="23"/>
        <v>-2800013</v>
      </c>
      <c r="K63" s="329">
        <f t="shared" si="23"/>
        <v>-14320130</v>
      </c>
      <c r="L63" s="329">
        <f t="shared" si="23"/>
        <v>-3777121</v>
      </c>
      <c r="M63" s="329">
        <f t="shared" si="23"/>
        <v>-2170030</v>
      </c>
      <c r="N63" s="329">
        <f t="shared" si="23"/>
        <v>13040050</v>
      </c>
      <c r="O63" s="329">
        <f t="shared" si="23"/>
        <v>-32209532</v>
      </c>
      <c r="P63" s="329">
        <f t="shared" si="23"/>
        <v>-55037745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46</v>
      </c>
      <c r="C74" s="78">
        <f>ABS(C6/C$4)</f>
        <v>0.23119747843533914</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43</v>
      </c>
      <c r="C75" s="77">
        <f>ABS(C7/C$4)</f>
        <v>6.5445029380039085E-2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148</v>
      </c>
      <c r="C76" s="78">
        <f>ABS(C8/C$4)</f>
        <v>0.16575244905530004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63</v>
      </c>
      <c r="C77" s="77">
        <f>ABS(C9/C$4)</f>
        <v>3.9370677020008168E-2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78</v>
      </c>
      <c r="C78" s="88">
        <f>MAX(AVERAGE(G78:J78),C77)</f>
        <v>3.9370677020008168E-2</v>
      </c>
      <c r="D78" s="27"/>
      <c r="E78" s="266" t="s">
        <v>560</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1.2141247906754507E-3</v>
      </c>
      <c r="D80" s="27"/>
      <c r="E80" s="265"/>
      <c r="F80" s="27"/>
      <c r="G80" s="6">
        <f t="shared" ref="G80:Q80" si="31">IF(G$4="","",ABS(G12/G$4))</f>
        <v>1.9835006859128691E-3</v>
      </c>
      <c r="H80" s="6">
        <f t="shared" si="31"/>
        <v>1.7262306947811623E-3</v>
      </c>
      <c r="I80" s="6">
        <f t="shared" si="31"/>
        <v>2.5636742696137915E-3</v>
      </c>
      <c r="J80" s="6">
        <f t="shared" si="31"/>
        <v>1.8636760280588834E-3</v>
      </c>
      <c r="K80" s="6">
        <f t="shared" si="31"/>
        <v>1.8672649496029364E-3</v>
      </c>
      <c r="L80" s="6">
        <f t="shared" si="31"/>
        <v>1.0604251480046704E-3</v>
      </c>
      <c r="M80" s="6">
        <f t="shared" si="31"/>
        <v>0</v>
      </c>
      <c r="N80" s="6">
        <f t="shared" si="31"/>
        <v>0</v>
      </c>
      <c r="O80" s="6">
        <f t="shared" si="31"/>
        <v>0</v>
      </c>
      <c r="P80" s="6">
        <f t="shared" si="31"/>
        <v>0</v>
      </c>
      <c r="Q80" s="6" t="str">
        <f t="shared" si="31"/>
        <v/>
      </c>
    </row>
    <row r="81" spans="1:17" ht="15.75" customHeight="1">
      <c r="A81" s="10"/>
      <c r="B81" s="70" t="s">
        <v>160</v>
      </c>
      <c r="C81" s="78">
        <f>C13/C4</f>
        <v>0.16696657384597549</v>
      </c>
      <c r="D81" s="27"/>
      <c r="E81" s="265"/>
      <c r="F81" s="27"/>
      <c r="G81" s="65">
        <f t="shared" ref="G81:Q81" si="32">IF(G$4="","",G13/G$4)</f>
        <v>0.18367566206999161</v>
      </c>
      <c r="H81" s="65">
        <f t="shared" si="32"/>
        <v>0.20425068387169415</v>
      </c>
      <c r="I81" s="65">
        <f t="shared" si="32"/>
        <v>0.18672183255560199</v>
      </c>
      <c r="J81" s="65">
        <f t="shared" si="32"/>
        <v>0.17078334361743144</v>
      </c>
      <c r="K81" s="65">
        <f t="shared" si="32"/>
        <v>0.19835027972076708</v>
      </c>
      <c r="L81" s="65">
        <f t="shared" si="32"/>
        <v>0.15549920492922834</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61</v>
      </c>
      <c r="C82" s="77">
        <f>ABS(C14/C$4)</f>
        <v>4.1741643461493873E-2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0.12522493038448163</v>
      </c>
      <c r="D84" s="27"/>
      <c r="E84" s="265"/>
      <c r="F84" s="27"/>
      <c r="G84" s="65">
        <f t="shared" ref="G84:Q84" si="35">IF(G$4="","",ABS(G16/G$4))</f>
        <v>0.14114107025434514</v>
      </c>
      <c r="H84" s="65">
        <f t="shared" si="35"/>
        <v>0.1579454134273163</v>
      </c>
      <c r="I84" s="65">
        <f t="shared" si="35"/>
        <v>0.14729825447514594</v>
      </c>
      <c r="J84" s="65">
        <f t="shared" si="35"/>
        <v>0.13773293981728776</v>
      </c>
      <c r="K84" s="65">
        <f t="shared" si="35"/>
        <v>0.15697574118660398</v>
      </c>
      <c r="L84" s="65">
        <f t="shared" si="35"/>
        <v>0.12482882328432889</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0.12522493038448163</v>
      </c>
      <c r="D87" s="75"/>
      <c r="E87" s="265"/>
      <c r="F87" s="75"/>
      <c r="G87" s="65">
        <f t="shared" ref="G87:Q87" si="36">IF(G$4="","",ABS(G19/G$4))</f>
        <v>0.14114107025434514</v>
      </c>
      <c r="H87" s="65">
        <f t="shared" si="36"/>
        <v>0.1579454134273163</v>
      </c>
      <c r="I87" s="65">
        <f t="shared" si="36"/>
        <v>0.14729825447514594</v>
      </c>
      <c r="J87" s="65">
        <f t="shared" si="36"/>
        <v>0.13773293981728776</v>
      </c>
      <c r="K87" s="65">
        <f t="shared" si="36"/>
        <v>0.15697574118660398</v>
      </c>
      <c r="L87" s="65">
        <f t="shared" si="36"/>
        <v>0.12482882328432889</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0.90057693104856651</v>
      </c>
      <c r="E92" s="268"/>
      <c r="G92" s="170">
        <f t="shared" ref="G92:Q92" si="38">IF(G$4="","",G90/(G19*scaling_factor/Common_Shares))</f>
        <v>0.70631279652505707</v>
      </c>
      <c r="H92" s="170">
        <f t="shared" si="38"/>
        <v>0.61906045717143798</v>
      </c>
      <c r="I92" s="170">
        <f t="shared" si="38"/>
        <v>0.68874312434634644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6.0379746835443039E-2</v>
      </c>
      <c r="E94" s="268"/>
      <c r="G94" s="23">
        <f t="shared" ref="G94:Q94" si="39">IF(G$4="","",(G90*(1-dividend_tax_rate))/Market_Price)</f>
        <v>6.0379746835443039E-2</v>
      </c>
      <c r="H94" s="23">
        <f t="shared" si="39"/>
        <v>6.0379746835443039E-2</v>
      </c>
      <c r="I94" s="23">
        <f t="shared" si="39"/>
        <v>5.6962025316455694E-2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-0.11602727717657824</v>
      </c>
      <c r="D97" s="27"/>
      <c r="E97" s="265"/>
      <c r="F97" s="27"/>
      <c r="G97" s="6">
        <f t="shared" ref="G97:Q97" si="40">IF(H4="","",G4/H4-1)</f>
        <v>-1.9179346982288958E-2</v>
      </c>
      <c r="H97" s="6">
        <f t="shared" si="40"/>
        <v>9.9817583967300338E-2</v>
      </c>
      <c r="I97" s="6">
        <f t="shared" si="40"/>
        <v>0.22167664239249651</v>
      </c>
      <c r="J97" s="6">
        <f t="shared" si="40"/>
        <v>0.39702156717595383</v>
      </c>
      <c r="K97" s="6">
        <f t="shared" si="40"/>
        <v>5.5676809853508757E-3</v>
      </c>
      <c r="L97" s="6">
        <f t="shared" si="40"/>
        <v>0.1344120049846802</v>
      </c>
      <c r="M97" s="6">
        <f t="shared" si="40"/>
        <v>0.3203048570560727</v>
      </c>
      <c r="N97" s="6">
        <f t="shared" si="40"/>
        <v>0.43141114700410199</v>
      </c>
      <c r="O97" s="6">
        <f t="shared" si="40"/>
        <v>-2.4591939303572952E-2</v>
      </c>
      <c r="P97" s="6" t="str">
        <f t="shared" si="40"/>
        <v/>
      </c>
      <c r="Q97" s="6" t="str">
        <f t="shared" si="40"/>
        <v/>
      </c>
    </row>
    <row r="98" spans="1:17" ht="15.75" customHeight="1">
      <c r="A98" s="10"/>
      <c r="B98" s="70" t="s">
        <v>160</v>
      </c>
      <c r="C98" s="77">
        <f>C13/G13-1</f>
        <v>-0.19644282078655251</v>
      </c>
      <c r="D98" s="27"/>
      <c r="E98" s="265"/>
      <c r="F98" s="27"/>
      <c r="G98" s="6">
        <f t="shared" ref="G98:Q98" si="41">IF(H5="","",G13/H13-1)</f>
        <v>-0.11798149509199329</v>
      </c>
      <c r="H98" s="6">
        <f t="shared" si="41"/>
        <v>0.20306495809772374</v>
      </c>
      <c r="I98" s="6">
        <f t="shared" si="41"/>
        <v>0.33569056926824792</v>
      </c>
      <c r="J98" s="6">
        <f t="shared" si="41"/>
        <v>0.20286200092004991</v>
      </c>
      <c r="K98" s="6">
        <f t="shared" si="41"/>
        <v>0.282672994324211</v>
      </c>
      <c r="L98" s="6">
        <f t="shared" si="41"/>
        <v>0.54978470542625413</v>
      </c>
      <c r="M98" s="6">
        <f t="shared" si="41"/>
        <v>0.36744670119652811</v>
      </c>
      <c r="N98" s="6">
        <f t="shared" si="41"/>
        <v>3.5388149733221574E-2</v>
      </c>
      <c r="O98" s="6">
        <f t="shared" si="41"/>
        <v>-4.1517838553966069E-2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8672531611.6100006</v>
      </c>
      <c r="D102" s="26"/>
      <c r="E102" s="269"/>
      <c r="F102" s="26"/>
      <c r="G102" s="333">
        <f t="shared" ref="G102:Q102" si="42">IF(G$4="","",G106+G105)</f>
        <v>8672531611.6100006</v>
      </c>
      <c r="H102" s="333">
        <f t="shared" si="42"/>
        <v>8628787997</v>
      </c>
      <c r="I102" s="333">
        <f t="shared" si="42"/>
        <v>7976614494</v>
      </c>
      <c r="J102" s="333">
        <f t="shared" si="42"/>
        <v>5950736130</v>
      </c>
      <c r="K102" s="333">
        <f t="shared" si="42"/>
        <v>5246920436</v>
      </c>
      <c r="L102" s="333">
        <f t="shared" si="42"/>
        <v>4677192094</v>
      </c>
      <c r="M102" s="333">
        <f t="shared" si="42"/>
        <v>3570534120</v>
      </c>
      <c r="N102" s="333">
        <f t="shared" si="42"/>
        <v>2922308439</v>
      </c>
      <c r="O102" s="333">
        <f t="shared" si="42"/>
        <v>2546084184</v>
      </c>
      <c r="P102" s="333">
        <f t="shared" si="42"/>
        <v>2510420855</v>
      </c>
      <c r="Q102" s="333" t="str">
        <f t="shared" si="42"/>
        <v/>
      </c>
    </row>
    <row r="103" spans="1:17" ht="15.75" customHeight="1">
      <c r="A103" s="10"/>
      <c r="B103" s="93" t="s">
        <v>206</v>
      </c>
      <c r="C103" s="345">
        <f>BS!C4</f>
        <v>1180157900.1600001</v>
      </c>
      <c r="D103" s="89"/>
      <c r="E103" s="270"/>
      <c r="F103" s="89"/>
      <c r="G103" s="346">
        <f>IF(G$4="","",Data!D77)</f>
        <v>851687201</v>
      </c>
      <c r="H103" s="346">
        <f>IF(H$4="","",Data!E77)</f>
        <v>790890033</v>
      </c>
      <c r="I103" s="346">
        <f>IF(I$4="","",Data!F77)</f>
        <v>567013771</v>
      </c>
      <c r="J103" s="346">
        <f>IF(J$4="","",Data!G77)</f>
        <v>458930449</v>
      </c>
      <c r="K103" s="346">
        <f>IF(K$4="","",Data!H77)</f>
        <v>595526269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2566018245.5700002</v>
      </c>
      <c r="D104" s="89"/>
      <c r="E104" s="270"/>
      <c r="F104" s="89"/>
      <c r="G104" s="346">
        <f>IF(G$4="","",Data!D78)</f>
        <v>2819492731</v>
      </c>
      <c r="H104" s="346">
        <f>IF(H$4="","",Data!E78)</f>
        <v>2459595915</v>
      </c>
      <c r="I104" s="346">
        <f>IF(I$4="","",Data!F78)</f>
        <v>1867069694</v>
      </c>
      <c r="J104" s="346">
        <f>IF(J$4="","",Data!G78)</f>
        <v>1603890018</v>
      </c>
      <c r="K104" s="346">
        <f>IF(K$4="","",Data!H78)</f>
        <v>1464309401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4208442385.48</v>
      </c>
      <c r="D105" s="26"/>
      <c r="E105" s="269"/>
      <c r="F105" s="26"/>
      <c r="G105" s="333">
        <f>Data!C79</f>
        <v>4208442385.48</v>
      </c>
      <c r="H105" s="333">
        <f>Data!D79</f>
        <v>4086723205</v>
      </c>
      <c r="I105" s="333">
        <f>Data!E79</f>
        <v>3962039491</v>
      </c>
      <c r="J105" s="333">
        <f>Data!F79</f>
        <v>2581011486</v>
      </c>
      <c r="K105" s="333">
        <f>Data!G79</f>
        <v>2275269694</v>
      </c>
      <c r="L105" s="333">
        <f>Data!H79</f>
        <v>2004846282</v>
      </c>
      <c r="M105" s="333">
        <f>Data!I79</f>
        <v>1560581012</v>
      </c>
      <c r="N105" s="333">
        <f>Data!J79</f>
        <v>1160274283</v>
      </c>
      <c r="O105" s="333">
        <f>Data!K79</f>
        <v>894522509</v>
      </c>
      <c r="P105" s="333">
        <f>Data!L79</f>
        <v>1020621379</v>
      </c>
      <c r="Q105" s="333" t="str">
        <f>Data!M79</f>
        <v/>
      </c>
    </row>
    <row r="106" spans="1:17" ht="15.75" customHeight="1">
      <c r="A106" s="10"/>
      <c r="B106" s="26" t="s">
        <v>28</v>
      </c>
      <c r="C106" s="344">
        <f>BS!G27</f>
        <v>4464089226.1300011</v>
      </c>
      <c r="D106" s="26"/>
      <c r="E106" s="269"/>
      <c r="F106" s="26"/>
      <c r="G106" s="333">
        <f>Data!C80</f>
        <v>4464089226.1300011</v>
      </c>
      <c r="H106" s="333">
        <f>Data!D80</f>
        <v>4542064792</v>
      </c>
      <c r="I106" s="333">
        <f>Data!E80</f>
        <v>4014575003</v>
      </c>
      <c r="J106" s="333">
        <f>Data!F80</f>
        <v>3369724644</v>
      </c>
      <c r="K106" s="333">
        <f>Data!G80</f>
        <v>2971650742</v>
      </c>
      <c r="L106" s="333">
        <f>Data!H80</f>
        <v>2672345812</v>
      </c>
      <c r="M106" s="333">
        <f>Data!I80</f>
        <v>2009953108</v>
      </c>
      <c r="N106" s="333">
        <f>Data!J80</f>
        <v>1762034156</v>
      </c>
      <c r="O106" s="333">
        <f>Data!K80</f>
        <v>1651561675</v>
      </c>
      <c r="P106" s="333">
        <f>Data!L80</f>
        <v>1489799476</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0.21781057041049767</v>
      </c>
      <c r="D109" s="26"/>
      <c r="E109" s="269"/>
      <c r="F109" s="26"/>
      <c r="G109" s="94">
        <f t="shared" ref="G109:Q109" si="43">IF(G$4="","",G103/G$4)</f>
        <v>0.13894976582280258</v>
      </c>
      <c r="H109" s="94">
        <f t="shared" si="43"/>
        <v>0.12655619326339668</v>
      </c>
      <c r="I109" s="94">
        <f t="shared" si="43"/>
        <v>9.9788746248012927E-2</v>
      </c>
      <c r="J109" s="94">
        <f t="shared" si="43"/>
        <v>9.8671357490055969E-2</v>
      </c>
      <c r="K109" s="94">
        <f t="shared" si="43"/>
        <v>0.17887443048585716</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0.47358569363944647</v>
      </c>
      <c r="D110" s="26"/>
      <c r="E110" s="269"/>
      <c r="F110" s="26"/>
      <c r="G110" s="94">
        <f t="shared" ref="G110:Q110" si="44">IF(G$4="","",G104/G$4)</f>
        <v>0.45999030424732668</v>
      </c>
      <c r="H110" s="94">
        <f t="shared" si="44"/>
        <v>0.39357822577162382</v>
      </c>
      <c r="I110" s="94">
        <f t="shared" si="44"/>
        <v>0.32858557137569266</v>
      </c>
      <c r="J110" s="94">
        <f t="shared" si="44"/>
        <v>0.34484093545253147</v>
      </c>
      <c r="K110" s="94">
        <f t="shared" si="44"/>
        <v>0.43982528360803785</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1.2267060985735432</v>
      </c>
      <c r="H114" s="295">
        <f>IF(H$4="","",Data!D$22/Data!D15)</f>
        <v>0.26587914456111778</v>
      </c>
      <c r="I114" s="295">
        <f>IF(I$4="","",Data!E$22/Data!E15)</f>
        <v>1.2265191844187875</v>
      </c>
      <c r="J114" s="295">
        <f>IF(J$4="","",Data!F$22/Data!F15)</f>
        <v>0.89192297644013196</v>
      </c>
      <c r="K114" s="295">
        <f>IF(K$4="","",Data!G$22/Data!G15)</f>
        <v>1.1870279725250534</v>
      </c>
      <c r="L114" s="295">
        <f>IF(L$4="","",Data!H$22/Data!H15)</f>
        <v>1.0745976191603042</v>
      </c>
      <c r="M114" s="295">
        <f>IF(M$4="","",Data!I$22/Data!I15)</f>
        <v>1.3371903704995902</v>
      </c>
      <c r="N114" s="295">
        <f>IF(N$4="","",Data!J$22/Data!J15)</f>
        <v>0.14539357818327475</v>
      </c>
      <c r="O114" s="295">
        <f>IF(O$4="","",Data!K$22/Data!K15)</f>
        <v>2.2963859955268697</v>
      </c>
      <c r="P114" s="295">
        <f>IF(P$4="","",Data!L$22/Data!L15)</f>
        <v>2.0900844453279315</v>
      </c>
      <c r="Q114" s="295" t="str">
        <f>IF(Q$4="","",Data!M$22/Data!M15)</f>
        <v/>
      </c>
    </row>
    <row r="115" spans="1:17" ht="15.75" customHeight="1">
      <c r="A115" s="10"/>
      <c r="B115" s="2" t="s">
        <v>373</v>
      </c>
      <c r="C115" s="169"/>
      <c r="E115" s="268"/>
      <c r="G115" s="295">
        <f>IF(G$4="","",Data!C$22/G19)</f>
        <v>1.2027602167376248</v>
      </c>
      <c r="H115" s="295">
        <f>IF(H$4="","",Data!D$22/H19)</f>
        <v>0.27154613641742054</v>
      </c>
      <c r="I115" s="295">
        <f>IF(I$4="","",Data!E$22/I19)</f>
        <v>1.2220483858017317</v>
      </c>
      <c r="J115" s="295">
        <f>IF(J$4="","",Data!F$22/J19)</f>
        <v>0.90082852604386965</v>
      </c>
      <c r="K115" s="295">
        <f>IF(K$4="","",Data!G$22/K19)</f>
        <v>1.1690018814598866</v>
      </c>
      <c r="L115" s="295">
        <f>IF(L$4="","",Data!H$22/L19)</f>
        <v>1.0740403726583754</v>
      </c>
      <c r="M115" s="295">
        <f>IF(M$4="","",Data!I$22/M19)</f>
        <v>1.3254255497740837</v>
      </c>
      <c r="N115" s="295">
        <f>IF(N$4="","",Data!J$22/N19)</f>
        <v>0.1552213431776675</v>
      </c>
      <c r="O115" s="295">
        <f>IF(O$4="","",Data!K$22/O19)</f>
        <v>1.9110575906710221</v>
      </c>
      <c r="P115" s="295">
        <f>IF(P$4="","",Data!L$22/P19)</f>
        <v>1.5080765021607145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0.16696657384597549</v>
      </c>
      <c r="E118" s="268"/>
      <c r="G118" s="23">
        <f t="shared" ref="G118:Q118" si="45">IF(G4="","",IF(valuation_method="DDM",G13/(G4+G12),G81))</f>
        <v>0.18367566206999161</v>
      </c>
      <c r="H118" s="23">
        <f t="shared" si="45"/>
        <v>0.20425068387169415</v>
      </c>
      <c r="I118" s="23">
        <f t="shared" si="45"/>
        <v>0.18672183255560199</v>
      </c>
      <c r="J118" s="23">
        <f t="shared" si="45"/>
        <v>0.17078334361743144</v>
      </c>
      <c r="K118" s="23">
        <f t="shared" si="45"/>
        <v>0.19835027972076708</v>
      </c>
      <c r="L118" s="23">
        <f t="shared" si="45"/>
        <v>0.15549920492922834</v>
      </c>
      <c r="M118" s="23">
        <f t="shared" si="45"/>
        <v>0.11382236785513526</v>
      </c>
      <c r="N118" s="23">
        <f t="shared" si="45"/>
        <v>0.10989841504554551</v>
      </c>
      <c r="O118" s="23">
        <f t="shared" si="45"/>
        <v>0.15193318213542392</v>
      </c>
      <c r="P118" s="23">
        <f t="shared" si="45"/>
        <v>0.15461618014733902</v>
      </c>
      <c r="Q118" s="23" t="str">
        <f t="shared" si="45"/>
        <v/>
      </c>
    </row>
    <row r="119" spans="1:17" ht="15.75" customHeight="1">
      <c r="B119" s="7" t="s">
        <v>81</v>
      </c>
      <c r="C119" s="42">
        <f>IF(valuation_method="DDM",(C4+C12)/C102,C4/C102)</f>
        <v>0.62476296032712075</v>
      </c>
      <c r="E119" s="268"/>
      <c r="G119" s="42">
        <f t="shared" ref="G119:Q119" si="46">IF(G4="","",IF(valuation_method="DDM",(G4+G12)/G102,G4/G102))</f>
        <v>0.70676723862204571</v>
      </c>
      <c r="H119" s="42">
        <f t="shared" si="46"/>
        <v>0.72424065583401998</v>
      </c>
      <c r="I119" s="42">
        <f t="shared" si="46"/>
        <v>0.71235001406600507</v>
      </c>
      <c r="J119" s="42">
        <f t="shared" si="46"/>
        <v>0.78160094707476135</v>
      </c>
      <c r="K119" s="42">
        <f t="shared" si="46"/>
        <v>0.63452418587427573</v>
      </c>
      <c r="L119" s="42">
        <f t="shared" si="46"/>
        <v>0.70787430074707558</v>
      </c>
      <c r="M119" s="42">
        <f t="shared" si="46"/>
        <v>0.8174051152884656</v>
      </c>
      <c r="N119" s="42">
        <f t="shared" si="46"/>
        <v>0.75643264909998087</v>
      </c>
      <c r="O119" s="42">
        <f t="shared" si="46"/>
        <v>0.60653960450508027</v>
      </c>
      <c r="P119" s="42">
        <f t="shared" si="46"/>
        <v>0.6306654630623677</v>
      </c>
      <c r="Q119" s="42" t="str">
        <f t="shared" si="46"/>
        <v/>
      </c>
    </row>
    <row r="120" spans="1:17" ht="15.75" customHeight="1">
      <c r="B120" s="7" t="s">
        <v>89</v>
      </c>
      <c r="C120" s="15">
        <f>C102/C106</f>
        <v>1.9427325871638936</v>
      </c>
      <c r="D120" s="11"/>
      <c r="E120" s="272"/>
      <c r="F120" s="11"/>
      <c r="G120" s="15">
        <f t="shared" ref="G120:Q120" si="47">IF(G$4="","",G102/G106)</f>
        <v>1.9427325871638936</v>
      </c>
      <c r="H120" s="15">
        <f t="shared" si="47"/>
        <v>1.8997500899146134</v>
      </c>
      <c r="I120" s="15">
        <f t="shared" si="47"/>
        <v>1.9869138048334527</v>
      </c>
      <c r="J120" s="15">
        <f t="shared" si="47"/>
        <v>1.7659413627744476</v>
      </c>
      <c r="K120" s="15">
        <f t="shared" si="47"/>
        <v>1.7656585149265163</v>
      </c>
      <c r="L120" s="15">
        <f t="shared" si="47"/>
        <v>1.7502196283869267</v>
      </c>
      <c r="M120" s="15">
        <f t="shared" si="47"/>
        <v>1.776426577211472</v>
      </c>
      <c r="N120" s="15">
        <f t="shared" si="47"/>
        <v>1.6584856933953782</v>
      </c>
      <c r="O120" s="15">
        <f t="shared" si="47"/>
        <v>1.5416222249163054</v>
      </c>
      <c r="P120" s="15">
        <f t="shared" si="47"/>
        <v>1.6850729883059778</v>
      </c>
      <c r="Q120" s="15" t="str">
        <f t="shared" si="47"/>
        <v/>
      </c>
    </row>
    <row r="121" spans="1:17" ht="15.75" customHeight="1">
      <c r="A121" s="10"/>
      <c r="B121" s="70" t="s">
        <v>218</v>
      </c>
      <c r="C121" s="102">
        <f>C13/C106</f>
        <v>0.2026552385945618</v>
      </c>
      <c r="D121" s="103"/>
      <c r="E121" s="271"/>
      <c r="F121" s="103"/>
      <c r="G121" s="102">
        <f t="shared" ref="G121:Q121" si="48">IF(G$4="","",G13/G106)</f>
        <v>0.25219765791020438</v>
      </c>
      <c r="H121" s="102">
        <f t="shared" si="48"/>
        <v>0.2810236651978445</v>
      </c>
      <c r="I121" s="102">
        <f t="shared" si="48"/>
        <v>0.26428198826304999</v>
      </c>
      <c r="J121" s="102">
        <f t="shared" si="48"/>
        <v>0.23572566406659257</v>
      </c>
      <c r="K121" s="102">
        <f t="shared" si="48"/>
        <v>0.22222233722682458</v>
      </c>
      <c r="L121" s="102">
        <f t="shared" si="48"/>
        <v>0.1926534845241199</v>
      </c>
      <c r="M121" s="102">
        <f t="shared" si="48"/>
        <v>0.16527692694808879</v>
      </c>
      <c r="N121" s="102">
        <f t="shared" si="48"/>
        <v>0.13787115827055513</v>
      </c>
      <c r="O121" s="102">
        <f t="shared" si="48"/>
        <v>0.14206587168474952</v>
      </c>
      <c r="P121" s="102">
        <f t="shared" si="48"/>
        <v>0.16431329514039916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1.1770232652593187</v>
      </c>
      <c r="D125" s="27"/>
      <c r="E125" s="265"/>
      <c r="F125" s="27"/>
      <c r="G125" s="177">
        <f t="shared" ref="G125:Q125" si="49">IF(G$4="","",G16*$C$3/Common_Shares*Exchange_Rate)</f>
        <v>1.5007515157802973</v>
      </c>
      <c r="H125" s="177">
        <f t="shared" si="49"/>
        <v>1.7122721823378417</v>
      </c>
      <c r="I125" s="177">
        <f t="shared" si="49"/>
        <v>1.4519201203628025</v>
      </c>
      <c r="J125" s="177">
        <f t="shared" si="49"/>
        <v>1.1112881159019012</v>
      </c>
      <c r="K125" s="177">
        <f t="shared" si="49"/>
        <v>0.90660536398910496</v>
      </c>
      <c r="L125" s="177">
        <f t="shared" si="49"/>
        <v>0.7169507309916241</v>
      </c>
      <c r="M125" s="177">
        <f t="shared" si="49"/>
        <v>0.42786498559302777</v>
      </c>
      <c r="N125" s="177">
        <f t="shared" si="49"/>
        <v>0.33465922523275804</v>
      </c>
      <c r="O125" s="177">
        <f t="shared" si="49"/>
        <v>0.33299013109390641</v>
      </c>
      <c r="P125" s="177">
        <f t="shared" si="49"/>
        <v>0.3428693276341514</v>
      </c>
      <c r="Q125" s="177" t="str">
        <f t="shared" si="49"/>
        <v/>
      </c>
    </row>
    <row r="126" spans="1:17" ht="15.75" customHeight="1">
      <c r="A126" s="10"/>
      <c r="B126" s="27" t="s">
        <v>264</v>
      </c>
      <c r="C126" s="77">
        <f>C19*Exchange_Rate*$C$3/(Market_Price*Common_Shares)</f>
        <v>7.4495143370842953E-2</v>
      </c>
      <c r="D126" s="27"/>
      <c r="E126" s="265"/>
      <c r="F126" s="27"/>
      <c r="G126" s="77">
        <f t="shared" ref="G126" si="50">IF(G$4="","",G125/Market_Price)</f>
        <v>9.4984273150651721E-2</v>
      </c>
      <c r="H126" s="77">
        <f t="shared" ref="H126" si="51">IF(H$4="","",H125/Market_Price)</f>
        <v>0.10837165710998997</v>
      </c>
      <c r="I126" s="77">
        <f t="shared" ref="I126" si="52">IF(I$4="","",I125/Market_Price)</f>
        <v>9.189367850397484E-2</v>
      </c>
      <c r="J126" s="77">
        <f t="shared" ref="J126" si="53">IF(J$4="","",J125/Market_Price)</f>
        <v>7.033469087986717E-2</v>
      </c>
      <c r="K126" s="77">
        <f t="shared" ref="K126" si="54">IF(K$4="","",K125/Market_Price)</f>
        <v>5.7380086328424361E-2</v>
      </c>
      <c r="L126" s="77">
        <f t="shared" ref="L126" si="55">IF(L$4="","",L125/Market_Price)</f>
        <v>4.5376628543773674E-2</v>
      </c>
      <c r="M126" s="77">
        <f t="shared" ref="M126" si="56">IF(M$4="","",M125/Market_Price)</f>
        <v>2.7080062379305554E-2</v>
      </c>
      <c r="N126" s="77">
        <f t="shared" ref="N126" si="57">IF(N$4="","",N125/Market_Price)</f>
        <v>2.1180963622326458E-2</v>
      </c>
      <c r="O126" s="77">
        <f t="shared" ref="O126" si="58">IF(O$4="","",O125/Market_Price)</f>
        <v>2.1075324752778884E-2</v>
      </c>
      <c r="P126" s="77">
        <f t="shared" ref="P126" si="59">IF(P$4="","",P125/Market_Price)</f>
        <v>2.1700590356591859E-2</v>
      </c>
      <c r="Q126" s="77" t="str">
        <f t="shared" ref="Q126" si="60">IF(Q$4="","",Q125/Market_Price)</f>
        <v/>
      </c>
    </row>
    <row r="127" spans="1:17" ht="15.75" customHeight="1">
      <c r="B127" s="2" t="s">
        <v>375</v>
      </c>
      <c r="C127" s="169"/>
      <c r="G127" s="23">
        <f>IF(G$4="","",(Data!C47*$C$3)/(Market_Price*Common_Shares))</f>
        <v>9.313013532270667E-2</v>
      </c>
      <c r="H127" s="23">
        <f>IF(H$4="","",(Data!D47*$C$3)/(Market_Price*Common_Shares))</f>
        <v>0.1106815084498162</v>
      </c>
      <c r="I127" s="23">
        <f>IF(I$4="","",(Data!E47*$C$3)/(Market_Price*Common_Shares))</f>
        <v>9.1558715842166627E-2</v>
      </c>
      <c r="J127" s="23">
        <f>IF(J$4="","",(Data!F47*$C$3)/(Market_Price*Common_Shares))</f>
        <v>7.103695900731713E-2</v>
      </c>
      <c r="K127" s="23">
        <f>IF(K$4="","",(Data!G47*$C$3)/(Market_Price*Common_Shares))</f>
        <v>5.6508717931533885E-2</v>
      </c>
      <c r="L127" s="23">
        <f>IF(L$4="","",(Data!H47*$C$3)/(Market_Price*Common_Shares))</f>
        <v>4.5353097905817208E-2</v>
      </c>
      <c r="M127" s="23">
        <f>IF(M$4="","",(Data!I47*$C$3)/(Market_Price*Common_Shares))</f>
        <v>2.6841807538292128E-2</v>
      </c>
      <c r="N127" s="23">
        <f>IF(N$4="","",(Data!J47*$C$3)/(Market_Price*Common_Shares))</f>
        <v>2.2612674262067436E-2</v>
      </c>
      <c r="O127" s="23">
        <f>IF(O$4="","",(Data!K47*$C$3)/(Market_Price*Common_Shares))</f>
        <v>1.7538932663371448E-2</v>
      </c>
      <c r="P127" s="23">
        <f>IF(P$4="","",(Data!L47*$C$3)/(Market_Price*Common_Shares))</f>
        <v>1.5657812521855736E-2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678503300.42159104</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9046710672.2878819</v>
      </c>
      <c r="D6" t="str">
        <f>Reporting_currency</f>
        <v>CNY</v>
      </c>
      <c r="E6" s="378" t="s">
        <v>245</v>
      </c>
      <c r="F6" s="378"/>
      <c r="H6" s="120"/>
    </row>
    <row r="7" spans="2:8">
      <c r="B7" s="148" t="s">
        <v>220</v>
      </c>
      <c r="C7" s="338">
        <f>BS!G31</f>
        <v>270317959.52999997</v>
      </c>
      <c r="D7" t="str">
        <f>Reporting_currency</f>
        <v>CNY</v>
      </c>
      <c r="E7" s="378"/>
      <c r="F7" s="378"/>
      <c r="H7" s="120"/>
    </row>
    <row r="8" spans="2:8">
      <c r="B8" s="148" t="s">
        <v>221</v>
      </c>
      <c r="C8" s="338">
        <f>BS!D66</f>
        <v>867841842.9465394</v>
      </c>
      <c r="D8" t="str">
        <f>Reporting_currency</f>
        <v>CNY</v>
      </c>
      <c r="E8" s="378"/>
      <c r="F8" s="378"/>
      <c r="H8" s="120"/>
    </row>
    <row r="9" spans="2:8">
      <c r="B9" s="205" t="s">
        <v>186</v>
      </c>
      <c r="C9" s="348">
        <f>BS!H42</f>
        <v>30193430.795999996</v>
      </c>
      <c r="D9" t="str">
        <f>Reporting_currency</f>
        <v>CNY</v>
      </c>
      <c r="E9" s="378"/>
      <c r="F9" s="378"/>
      <c r="H9" s="120"/>
    </row>
    <row r="10" spans="2:8" ht="13.15">
      <c r="B10" s="149" t="s">
        <v>223</v>
      </c>
      <c r="C10" s="347">
        <f>C6-C7+C8+C9</f>
        <v>9674427986.5004196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16.782566586060053</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3.5934836391919099E-2</v>
      </c>
      <c r="H16" s="120"/>
    </row>
    <row r="17" spans="2:17" ht="13.35" customHeight="1">
      <c r="B17" s="118" t="s">
        <v>130</v>
      </c>
      <c r="C17" s="162">
        <f>Scenarios!C64</f>
        <v>5</v>
      </c>
      <c r="H17" s="120"/>
    </row>
    <row r="18" spans="2:17" ht="13.35" customHeight="1">
      <c r="B18" s="153" t="s">
        <v>103</v>
      </c>
      <c r="C18" s="140">
        <f>(F52-C7+C8+C9)*Exchange_Rate/Common_Shares*scaling_factor</f>
        <v>17.687067476395459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702885205.51361811</v>
      </c>
      <c r="D21" s="138">
        <f>IF($C$17&lt;B21,0,DCF!$C$16)</f>
        <v>3.5934836391919099E-2</v>
      </c>
      <c r="E21" s="124">
        <f t="shared" ref="E21:E50" si="0">IF($C$17&lt;B21,0,1/(1+Equity_Cost)^B21)</f>
        <v>0.93023255813953487</v>
      </c>
      <c r="F21" s="125">
        <f t="shared" ref="F21:F51" si="1">C21*E21</f>
        <v>653846702.80336571</v>
      </c>
      <c r="H21" s="120"/>
    </row>
    <row r="22" spans="2:17">
      <c r="B22" s="122">
        <v>2</v>
      </c>
      <c r="C22" s="123">
        <f t="shared" ref="C22:C50" si="2">IF(ROW()-ROW($C$21)&lt;$C$17, $C$21*(1+D22)^(ROW()-ROW($C$21)), 0)</f>
        <v>728143270.37605047</v>
      </c>
      <c r="D22" s="138">
        <f>IF($C$17&lt;B22,0,DCF!$C$16)</f>
        <v>3.5934836391919099E-2</v>
      </c>
      <c r="E22" s="124">
        <f t="shared" si="0"/>
        <v>0.86533261222282321</v>
      </c>
      <c r="F22" s="125">
        <f t="shared" si="1"/>
        <v>630086118.22697723</v>
      </c>
      <c r="H22" s="120"/>
    </row>
    <row r="23" spans="2:17">
      <c r="B23" s="122">
        <v>3</v>
      </c>
      <c r="C23" s="123">
        <f t="shared" si="2"/>
        <v>754308979.66689074</v>
      </c>
      <c r="D23" s="138">
        <f>IF($C$17&lt;B23,0,DCF!$C$16)</f>
        <v>3.5934836391919099E-2</v>
      </c>
      <c r="E23" s="124">
        <f t="shared" si="0"/>
        <v>0.80496056950960304</v>
      </c>
      <c r="F23" s="125">
        <f t="shared" si="1"/>
        <v>607188985.858868</v>
      </c>
      <c r="G23" s="338"/>
      <c r="H23" s="339"/>
      <c r="I23" s="338"/>
      <c r="J23" s="338"/>
      <c r="K23" s="338"/>
      <c r="L23" s="338"/>
      <c r="M23" s="338"/>
      <c r="N23" s="338"/>
      <c r="O23" s="338"/>
      <c r="P23" s="338"/>
      <c r="Q23" s="338"/>
    </row>
    <row r="24" spans="2:17">
      <c r="B24" s="122">
        <v>4</v>
      </c>
      <c r="C24" s="123">
        <f t="shared" si="2"/>
        <v>781414949.44017601</v>
      </c>
      <c r="D24" s="138">
        <f>IF($C$17&lt;B24,0,DCF!$C$16)</f>
        <v>3.5934836391919099E-2</v>
      </c>
      <c r="E24" s="124">
        <f t="shared" si="0"/>
        <v>0.7488005297763749</v>
      </c>
      <c r="F24" s="125">
        <f t="shared" si="1"/>
        <v>585123928.11598301</v>
      </c>
      <c r="G24" s="338"/>
      <c r="H24" s="339"/>
      <c r="I24" s="338"/>
      <c r="J24" s="338"/>
      <c r="K24" s="338"/>
      <c r="L24" s="338"/>
      <c r="M24" s="338"/>
      <c r="N24" s="338"/>
      <c r="O24" s="338"/>
      <c r="P24" s="338"/>
      <c r="Q24" s="338"/>
    </row>
    <row r="25" spans="2:17">
      <c r="B25" s="122">
        <v>5</v>
      </c>
      <c r="C25" s="123">
        <f t="shared" si="2"/>
        <v>809494967.80250847</v>
      </c>
      <c r="D25" s="138">
        <f>IF($C$17&lt;B25,0,DCF!$C$16)</f>
        <v>3.5934836391919099E-2</v>
      </c>
      <c r="E25" s="124">
        <f t="shared" si="0"/>
        <v>0.69655863235011617</v>
      </c>
      <c r="F25" s="125">
        <f t="shared" si="1"/>
        <v>563860707.66681659</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9371802740.1815758</v>
      </c>
      <c r="D51" s="139">
        <f>Terminal_Growth</f>
        <v>0</v>
      </c>
      <c r="E51" s="124">
        <f>1/(1+Equity_Cost)^C17</f>
        <v>0.69655863235011617</v>
      </c>
      <c r="F51" s="125">
        <f t="shared" si="1"/>
        <v>6528010099.3559494</v>
      </c>
      <c r="H51" s="120"/>
    </row>
    <row r="52" spans="1:17">
      <c r="C52" s="114"/>
      <c r="E52" s="127" t="s">
        <v>97</v>
      </c>
      <c r="F52" s="137">
        <f>SUM(F21:F51)</f>
        <v>9568116542.0279598</v>
      </c>
      <c r="H52" s="120"/>
    </row>
    <row r="53" spans="1:17">
      <c r="C53" s="114"/>
      <c r="H53" s="120"/>
    </row>
    <row r="54" spans="1:17" ht="13.15">
      <c r="B54" s="119" t="s">
        <v>125</v>
      </c>
      <c r="C54" s="136"/>
      <c r="D54" s="136"/>
      <c r="E54" s="117"/>
      <c r="F54" s="117"/>
      <c r="H54" s="120"/>
    </row>
    <row r="55" spans="1:17" ht="13.15">
      <c r="A55" s="133">
        <f>F52</f>
        <v>9568116542.0279598</v>
      </c>
      <c r="B55" s="131">
        <f>C78</f>
        <v>0</v>
      </c>
      <c r="C55" s="131">
        <f>C77</f>
        <v>0.01</v>
      </c>
      <c r="D55" s="131">
        <f>C76</f>
        <v>0.03</v>
      </c>
      <c r="E55" s="131">
        <f>C75</f>
        <v>0.05</v>
      </c>
      <c r="F55" s="131">
        <f>C74</f>
        <v>0.08</v>
      </c>
      <c r="H55" s="120"/>
    </row>
    <row r="56" spans="1:17" ht="13.15">
      <c r="A56" s="143">
        <v>5</v>
      </c>
      <c r="B56" s="123">
        <f t="dataTable" ref="B56:F61" dt2D="1" dtr="1" r1="C16" r2="C17"/>
        <v>9046710672.2878819</v>
      </c>
      <c r="C56" s="123">
        <v>9189126412.0592842</v>
      </c>
      <c r="D56" s="123">
        <v>9480135567.5542622</v>
      </c>
      <c r="E56" s="123">
        <v>9779684253.9565125</v>
      </c>
      <c r="F56" s="123">
        <v>10245838099.369934</v>
      </c>
      <c r="H56" s="120"/>
    </row>
    <row r="57" spans="1:17" ht="13.15">
      <c r="A57" s="143">
        <v>10</v>
      </c>
      <c r="B57" s="123">
        <v>9046710672.2878838</v>
      </c>
      <c r="C57" s="123">
        <v>9325672023.4796867</v>
      </c>
      <c r="D57" s="123">
        <v>9924663459.6226807</v>
      </c>
      <c r="E57" s="123">
        <v>10583880788.585932</v>
      </c>
      <c r="F57" s="123">
        <v>11701610024.736546</v>
      </c>
      <c r="H57" s="120"/>
    </row>
    <row r="58" spans="1:17" ht="13.15">
      <c r="A58" s="143">
        <v>15</v>
      </c>
      <c r="B58" s="123">
        <v>9046710672.2878838</v>
      </c>
      <c r="C58" s="341">
        <v>9494256863.4140472</v>
      </c>
      <c r="D58" s="123">
        <v>10502126679.177025</v>
      </c>
      <c r="E58" s="123">
        <v>11685202072.98748</v>
      </c>
      <c r="F58" s="123">
        <v>13866673764.9659</v>
      </c>
      <c r="G58" s="338"/>
      <c r="H58" s="339"/>
      <c r="I58" s="338"/>
      <c r="J58" s="338"/>
      <c r="K58" s="338"/>
      <c r="L58" s="338"/>
      <c r="M58" s="338"/>
      <c r="N58" s="338"/>
      <c r="O58" s="338"/>
      <c r="P58" s="338"/>
      <c r="Q58" s="338"/>
    </row>
    <row r="59" spans="1:17" ht="13.15">
      <c r="A59" s="144">
        <v>20</v>
      </c>
      <c r="B59" s="123">
        <v>9046710672.2878838</v>
      </c>
      <c r="C59" s="341">
        <v>9665474811.5622597</v>
      </c>
      <c r="D59" s="123">
        <v>11120631761.98378</v>
      </c>
      <c r="E59" s="123">
        <v>12933423051.518507</v>
      </c>
      <c r="F59" s="123">
        <v>16552819224.067139</v>
      </c>
      <c r="G59" s="338"/>
      <c r="H59" s="339"/>
      <c r="I59" s="338"/>
      <c r="J59" s="338"/>
      <c r="K59" s="338"/>
      <c r="L59" s="338"/>
      <c r="M59" s="338"/>
      <c r="N59" s="338"/>
      <c r="O59" s="338"/>
      <c r="P59" s="338"/>
      <c r="Q59" s="338"/>
    </row>
    <row r="60" spans="1:17" ht="13.15">
      <c r="A60" s="144">
        <v>25</v>
      </c>
      <c r="B60" s="123">
        <v>9046710672.2878838</v>
      </c>
      <c r="C60" s="341">
        <v>9824116343.9132061</v>
      </c>
      <c r="D60" s="123">
        <v>11726093812.342928</v>
      </c>
      <c r="E60" s="123">
        <v>14230570095.96228</v>
      </c>
      <c r="F60" s="123">
        <v>19629581241.677238</v>
      </c>
      <c r="G60" s="338"/>
      <c r="H60" s="339"/>
      <c r="I60" s="338"/>
      <c r="J60" s="338"/>
      <c r="K60" s="338"/>
      <c r="L60" s="338"/>
      <c r="M60" s="338"/>
      <c r="N60" s="338"/>
      <c r="O60" s="338"/>
      <c r="P60" s="338"/>
      <c r="Q60" s="338"/>
    </row>
    <row r="61" spans="1:17" ht="13.15">
      <c r="A61" s="144">
        <v>30</v>
      </c>
      <c r="B61" s="123">
        <v>9046710672.2878838</v>
      </c>
      <c r="C61" s="341">
        <v>9963447858.5559425</v>
      </c>
      <c r="D61" s="123">
        <v>12288853416.963266</v>
      </c>
      <c r="E61" s="123">
        <v>15514325764.510073</v>
      </c>
      <c r="F61" s="123">
        <v>23006732277.651726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16.782566586060053</v>
      </c>
      <c r="C65" s="124">
        <f>C12</f>
        <v>16.782566586060053</v>
      </c>
      <c r="D65" s="124">
        <f>C12</f>
        <v>16.782566586060053</v>
      </c>
      <c r="E65" s="141">
        <f>C12</f>
        <v>16.782566586060053</v>
      </c>
      <c r="F65" s="124">
        <f>C12</f>
        <v>16.782566586060053</v>
      </c>
      <c r="H65" s="120"/>
    </row>
    <row r="66" spans="1:8" ht="13.15">
      <c r="A66" s="143">
        <f t="shared" ref="A66:A71" si="3">A56</f>
        <v>5</v>
      </c>
      <c r="B66" s="124">
        <f t="shared" ref="B66:F71" si="4">(B56-$C$7+$C$8+$C$9)/Common_Shares*$C$3*Exchange_Rate</f>
        <v>16.782566586060053</v>
      </c>
      <c r="C66" s="124">
        <f t="shared" si="4"/>
        <v>17.029620121313162</v>
      </c>
      <c r="D66" s="124">
        <f t="shared" si="4"/>
        <v>17.534443821077375</v>
      </c>
      <c r="E66" s="124">
        <f t="shared" si="4"/>
        <v>18.054081342006516</v>
      </c>
      <c r="F66" s="124">
        <f t="shared" si="4"/>
        <v>18.862734624755138</v>
      </c>
      <c r="H66" s="120"/>
    </row>
    <row r="67" spans="1:8" ht="13.15">
      <c r="A67" s="143">
        <f t="shared" si="3"/>
        <v>10</v>
      </c>
      <c r="B67" s="124">
        <f t="shared" si="4"/>
        <v>16.782566586060057</v>
      </c>
      <c r="C67" s="124">
        <f t="shared" si="4"/>
        <v>17.266490540824769</v>
      </c>
      <c r="D67" s="124">
        <f t="shared" si="4"/>
        <v>18.305581810673161</v>
      </c>
      <c r="E67" s="124">
        <f t="shared" si="4"/>
        <v>19.449149030714295</v>
      </c>
      <c r="F67" s="124">
        <f t="shared" si="4"/>
        <v>21.388112797570475</v>
      </c>
      <c r="H67" s="120"/>
    </row>
    <row r="68" spans="1:8" ht="13.15">
      <c r="A68" s="143">
        <f t="shared" si="3"/>
        <v>15</v>
      </c>
      <c r="B68" s="124">
        <f t="shared" si="4"/>
        <v>16.782566586060057</v>
      </c>
      <c r="C68" s="124">
        <f t="shared" si="4"/>
        <v>17.558940523970712</v>
      </c>
      <c r="D68" s="124">
        <f t="shared" si="4"/>
        <v>19.30732733471805</v>
      </c>
      <c r="E68" s="124">
        <f t="shared" si="4"/>
        <v>21.359649353204173</v>
      </c>
      <c r="F68" s="124">
        <f t="shared" si="4"/>
        <v>25.143924142092885</v>
      </c>
      <c r="H68" s="120"/>
    </row>
    <row r="69" spans="1:8" ht="13.15">
      <c r="A69" s="144">
        <f t="shared" si="3"/>
        <v>20</v>
      </c>
      <c r="B69" s="124">
        <f t="shared" si="4"/>
        <v>16.782566586060057</v>
      </c>
      <c r="C69" s="124">
        <f t="shared" si="4"/>
        <v>17.855958251482413</v>
      </c>
      <c r="D69" s="124">
        <f t="shared" si="4"/>
        <v>20.380269605879221</v>
      </c>
      <c r="E69" s="124">
        <f t="shared" si="4"/>
        <v>23.524981682469022</v>
      </c>
      <c r="F69" s="124">
        <f t="shared" si="4"/>
        <v>29.803674061169659</v>
      </c>
      <c r="H69" s="120"/>
    </row>
    <row r="70" spans="1:8" ht="13.15">
      <c r="A70" s="144">
        <f t="shared" si="3"/>
        <v>25</v>
      </c>
      <c r="B70" s="124">
        <f t="shared" si="4"/>
        <v>16.782566586060057</v>
      </c>
      <c r="C70" s="124">
        <f t="shared" si="4"/>
        <v>18.131159233257197</v>
      </c>
      <c r="D70" s="124">
        <f t="shared" si="4"/>
        <v>21.430585675176928</v>
      </c>
      <c r="E70" s="124">
        <f t="shared" si="4"/>
        <v>25.775187759320847</v>
      </c>
      <c r="F70" s="124">
        <f t="shared" si="4"/>
        <v>35.141040105141897</v>
      </c>
    </row>
    <row r="71" spans="1:8" ht="13.15">
      <c r="A71" s="144">
        <f t="shared" si="3"/>
        <v>30</v>
      </c>
      <c r="B71" s="124">
        <f t="shared" si="4"/>
        <v>16.782566586060057</v>
      </c>
      <c r="C71" s="124">
        <f t="shared" si="4"/>
        <v>18.372862455948113</v>
      </c>
      <c r="D71" s="124">
        <f t="shared" si="4"/>
        <v>22.406824327184516</v>
      </c>
      <c r="E71" s="124">
        <f t="shared" si="4"/>
        <v>28.002163350818204</v>
      </c>
      <c r="F71" s="124">
        <f t="shared" si="4"/>
        <v>40.999501423114417</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21.388112797570475</v>
      </c>
      <c r="F74" s="142">
        <f>Scenarios!C58</f>
        <v>0.05</v>
      </c>
    </row>
    <row r="75" spans="1:8">
      <c r="B75" s="127" t="str">
        <f>Scenarios!B36</f>
        <v>Optimistic</v>
      </c>
      <c r="C75" s="142">
        <f>Scenarios!C38</f>
        <v>0.05</v>
      </c>
      <c r="D75" s="145">
        <f>Scenarios!C37</f>
        <v>5</v>
      </c>
      <c r="E75" s="135">
        <f>INDEX(B$65:F$71, MATCH(D75, A$65:A$71, 0), MATCH(C75, B$64:F$64, 0))</f>
        <v>18.054081342006516</v>
      </c>
      <c r="F75" s="142">
        <f>Scenarios!C40*(1-F$74-F$78)</f>
        <v>0.18</v>
      </c>
      <c r="H75" s="120"/>
    </row>
    <row r="76" spans="1:8">
      <c r="B76" s="127" t="str">
        <f>Scenarios!B24</f>
        <v>Base</v>
      </c>
      <c r="C76" s="142">
        <f>Scenarios!C26</f>
        <v>0.03</v>
      </c>
      <c r="D76" s="145">
        <f>Scenarios!C25</f>
        <v>5</v>
      </c>
      <c r="E76" s="135">
        <f>INDEX(B$65:F$71, MATCH(D76, A$65:A$71, 0), MATCH(C76, B$64:F$64, 0))</f>
        <v>17.534443821077375</v>
      </c>
      <c r="F76" s="142">
        <f>Scenarios!C28*(1-F$74-F$78)</f>
        <v>0.53999999999999992</v>
      </c>
      <c r="H76" s="120"/>
    </row>
    <row r="77" spans="1:8">
      <c r="B77" s="127" t="str">
        <f>Scenarios!B30</f>
        <v>Pessimistic</v>
      </c>
      <c r="C77" s="142">
        <f>Scenarios!C32</f>
        <v>0.01</v>
      </c>
      <c r="D77" s="145">
        <f>Scenarios!C31</f>
        <v>5</v>
      </c>
      <c r="E77" s="135">
        <f>INDEX(B$65:F$71, MATCH(D77, A$65:A$71, 0), MATCH(C77, B$64:F$64, 0))</f>
        <v>17.029620121313162</v>
      </c>
      <c r="F77" s="142">
        <f>Scenarios!C34*(1-F$74-F$78)</f>
        <v>0.18</v>
      </c>
      <c r="H77" s="120"/>
    </row>
    <row r="78" spans="1:8">
      <c r="B78" s="127" t="str">
        <f>Scenarios!B48</f>
        <v>Devil's advocate</v>
      </c>
      <c r="C78" s="142">
        <f>Scenarios!C50</f>
        <v>0</v>
      </c>
      <c r="D78" s="145">
        <f>Scenarios!C49</f>
        <v>10</v>
      </c>
      <c r="E78" s="135">
        <f>INDEX(B$65:F$71, MATCH(D78, A$65:A$71, 0), MATCH(C78, B$64:F$64, 0))</f>
        <v>16.782566586060057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549939978</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7332533040</v>
      </c>
      <c r="D6" t="str">
        <f>Reporting_currency</f>
        <v>CNY</v>
      </c>
      <c r="E6" s="378"/>
      <c r="F6" s="378"/>
      <c r="H6" s="120"/>
    </row>
    <row r="7" spans="2:8" ht="13.15">
      <c r="B7" s="149" t="s">
        <v>421</v>
      </c>
      <c r="C7" s="111">
        <f>(C6*scaling_factor)/Common_Shares*Exchange_Rate</f>
        <v>12.72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3.5934836391919099E-2</v>
      </c>
      <c r="H11" s="120"/>
    </row>
    <row r="12" spans="2:8" ht="13.35" customHeight="1">
      <c r="B12" s="118" t="s">
        <v>130</v>
      </c>
      <c r="C12" s="162">
        <f>Scenarios!C64</f>
        <v>5</v>
      </c>
      <c r="H12" s="120"/>
    </row>
    <row r="13" spans="2:8" ht="13.35" customHeight="1">
      <c r="B13" s="153" t="s">
        <v>103</v>
      </c>
      <c r="C13" s="140">
        <f>F47/Common_Shares*scaling_factor</f>
        <v>13.453115372354064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569701981.13480568</v>
      </c>
      <c r="D16" s="138">
        <f>IF($C$12&lt;B16,0,DDM!$C$11)</f>
        <v>3.5934836391919099E-2</v>
      </c>
      <c r="E16" s="124">
        <f t="shared" ref="E16:E45" si="0">IF($C$12&lt;B16,0,1/(1+Equity_Cost)^B16)</f>
        <v>0.93023255813953487</v>
      </c>
      <c r="F16" s="125">
        <f t="shared" ref="F16:F46" si="1">C16*E16</f>
        <v>529955331.28819132</v>
      </c>
      <c r="H16" s="120"/>
    </row>
    <row r="17" spans="2:8">
      <c r="B17" s="122">
        <v>2</v>
      </c>
      <c r="C17" s="123">
        <f t="shared" ref="C17:C45" si="2">IF(ROW()-ROW($C$16)&lt;$C$12, $C$16*(1+D17)^(ROW()-ROW($C$16)), 0)</f>
        <v>590174128.61903715</v>
      </c>
      <c r="D17" s="138">
        <f>IF($C$12&lt;B17,0,DDM!$C$11)</f>
        <v>3.5934836391919099E-2</v>
      </c>
      <c r="E17" s="124">
        <f t="shared" si="0"/>
        <v>0.86533261222282321</v>
      </c>
      <c r="F17" s="125">
        <f t="shared" si="1"/>
        <v>510696920.38423985</v>
      </c>
      <c r="H17" s="120"/>
    </row>
    <row r="18" spans="2:8">
      <c r="B18" s="122">
        <v>3</v>
      </c>
      <c r="C18" s="123">
        <f t="shared" si="2"/>
        <v>611381939.37370574</v>
      </c>
      <c r="D18" s="138">
        <f>IF($C$12&lt;B18,0,DDM!$C$11)</f>
        <v>3.5934836391919099E-2</v>
      </c>
      <c r="E18" s="124">
        <f t="shared" si="0"/>
        <v>0.80496056950960304</v>
      </c>
      <c r="F18" s="125">
        <f t="shared" si="1"/>
        <v>492138354.10614377</v>
      </c>
      <c r="H18" s="120"/>
    </row>
    <row r="19" spans="2:8">
      <c r="B19" s="122">
        <v>4</v>
      </c>
      <c r="C19" s="123">
        <f t="shared" si="2"/>
        <v>633351849.33807409</v>
      </c>
      <c r="D19" s="138">
        <f>IF($C$12&lt;B19,0,DDM!$C$11)</f>
        <v>3.5934836391919099E-2</v>
      </c>
      <c r="E19" s="124">
        <f t="shared" si="0"/>
        <v>0.7488005297763749</v>
      </c>
      <c r="F19" s="125">
        <f t="shared" si="1"/>
        <v>474254200.31919664</v>
      </c>
      <c r="H19" s="120"/>
    </row>
    <row r="20" spans="2:8">
      <c r="B20" s="122">
        <v>5</v>
      </c>
      <c r="C20" s="123">
        <f t="shared" si="2"/>
        <v>656111244.42255723</v>
      </c>
      <c r="D20" s="138">
        <f>IF($C$12&lt;B20,0,DDM!$C$11)</f>
        <v>3.5934836391919099E-2</v>
      </c>
      <c r="E20" s="124">
        <f t="shared" si="0"/>
        <v>0.69655863235011617</v>
      </c>
      <c r="F20" s="125">
        <f t="shared" si="1"/>
        <v>457019951.08450925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7596026415.130743</v>
      </c>
      <c r="D46" s="139">
        <f>Terminal_Growth</f>
        <v>0</v>
      </c>
      <c r="E46" s="124">
        <f>1/(1+Equity_Cost)^C12</f>
        <v>0.69655863235011617</v>
      </c>
      <c r="F46" s="125">
        <f t="shared" si="1"/>
        <v>5291077771.0188265</v>
      </c>
      <c r="H46" s="120"/>
    </row>
    <row r="47" spans="2:8">
      <c r="C47" s="114"/>
      <c r="E47" s="127" t="s">
        <v>97</v>
      </c>
      <c r="F47" s="137">
        <f>SUM(F16:F46)</f>
        <v>7755142528.201107</v>
      </c>
      <c r="H47" s="120"/>
    </row>
    <row r="48" spans="2:8">
      <c r="C48" s="114"/>
      <c r="H48" s="120"/>
    </row>
    <row r="49" spans="1:8" ht="13.15">
      <c r="B49" s="119" t="s">
        <v>125</v>
      </c>
      <c r="C49" s="136"/>
      <c r="D49" s="136"/>
      <c r="E49" s="117"/>
      <c r="F49" s="117"/>
      <c r="H49" s="120"/>
    </row>
    <row r="50" spans="1:8" ht="13.15">
      <c r="A50" s="133">
        <f>F47</f>
        <v>7755142528.201107</v>
      </c>
      <c r="B50" s="131">
        <f>C73</f>
        <v>0</v>
      </c>
      <c r="C50" s="131">
        <f>C72</f>
        <v>0.01</v>
      </c>
      <c r="D50" s="131">
        <f>C71</f>
        <v>0.03</v>
      </c>
      <c r="E50" s="131">
        <f>C70</f>
        <v>0.05</v>
      </c>
      <c r="F50" s="131">
        <f>C69</f>
        <v>0.08</v>
      </c>
      <c r="H50" s="120"/>
    </row>
    <row r="51" spans="1:8" ht="13.15">
      <c r="A51" s="143">
        <v>5</v>
      </c>
      <c r="B51" s="123">
        <f t="dataTable" ref="B51:F56" dt2D="1" dtr="1" r1="C11" r2="C12"/>
        <v>7332533040</v>
      </c>
      <c r="C51" s="123">
        <v>7447963736.8707056</v>
      </c>
      <c r="D51" s="123">
        <v>7683832255.8171406</v>
      </c>
      <c r="E51" s="123">
        <v>7926622228.8469315</v>
      </c>
      <c r="F51" s="123">
        <v>8304448888.3959465</v>
      </c>
      <c r="H51" s="120"/>
    </row>
    <row r="52" spans="1:8" ht="13.15">
      <c r="A52" s="143">
        <v>10</v>
      </c>
      <c r="B52" s="123">
        <v>7332533040.0000019</v>
      </c>
      <c r="C52" s="123">
        <v>7558636581.7837286</v>
      </c>
      <c r="D52" s="123">
        <v>8044130664.1411581</v>
      </c>
      <c r="E52" s="123">
        <v>8578438991.2517395</v>
      </c>
      <c r="F52" s="123">
        <v>9484380039.9639416</v>
      </c>
      <c r="H52" s="120"/>
    </row>
    <row r="53" spans="1:8" ht="13.15">
      <c r="A53" s="143">
        <v>15</v>
      </c>
      <c r="B53" s="123">
        <v>7332533040.0000038</v>
      </c>
      <c r="C53" s="123">
        <v>7695277837.7761898</v>
      </c>
      <c r="D53" s="123">
        <v>8512175712.7948647</v>
      </c>
      <c r="E53" s="123">
        <v>9471081079.4160709</v>
      </c>
      <c r="F53" s="123">
        <v>11239205852.794197</v>
      </c>
      <c r="H53" s="120"/>
    </row>
    <row r="54" spans="1:8" ht="13.15">
      <c r="A54" s="144">
        <v>20</v>
      </c>
      <c r="B54" s="123">
        <v>7332533040.0000029</v>
      </c>
      <c r="C54" s="123">
        <v>7834053278.6315641</v>
      </c>
      <c r="D54" s="123">
        <v>9013485981.1757069</v>
      </c>
      <c r="E54" s="123">
        <v>10482788195.720387</v>
      </c>
      <c r="F54" s="123">
        <v>13416378423.31089</v>
      </c>
      <c r="H54" s="120"/>
    </row>
    <row r="55" spans="1:8" ht="13.15">
      <c r="A55" s="144">
        <v>25</v>
      </c>
      <c r="B55" s="123">
        <v>7332533040.0000019</v>
      </c>
      <c r="C55" s="123">
        <v>7962635292.5388746</v>
      </c>
      <c r="D55" s="123">
        <v>9504224620.8366394</v>
      </c>
      <c r="E55" s="123">
        <v>11534150829.683891</v>
      </c>
      <c r="F55" s="123">
        <v>15910153229.158379</v>
      </c>
      <c r="H55" s="120"/>
    </row>
    <row r="56" spans="1:8" ht="13.15">
      <c r="A56" s="144">
        <v>30</v>
      </c>
      <c r="B56" s="123">
        <v>7332533040.0000019</v>
      </c>
      <c r="C56" s="123">
        <v>8075566165.6086483</v>
      </c>
      <c r="D56" s="123">
        <v>9960352106.7190208</v>
      </c>
      <c r="E56" s="123">
        <v>12574659495.861166</v>
      </c>
      <c r="F56" s="123">
        <v>18647399113.257225</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12.72</v>
      </c>
      <c r="C60" s="124">
        <f>C7</f>
        <v>12.72</v>
      </c>
      <c r="D60" s="124">
        <f>C7</f>
        <v>12.72</v>
      </c>
      <c r="E60" s="141">
        <f>C7</f>
        <v>12.72</v>
      </c>
      <c r="F60" s="124">
        <f>C7</f>
        <v>12.72</v>
      </c>
      <c r="H60" s="120"/>
    </row>
    <row r="61" spans="1:8" ht="13.15">
      <c r="A61" s="143">
        <f t="shared" ref="A61:A66" si="3">A51</f>
        <v>5</v>
      </c>
      <c r="B61" s="124">
        <f t="shared" ref="B61:F66" si="4">B51/Common_Shares*$C$3*Exchange_Rate</f>
        <v>12.72</v>
      </c>
      <c r="C61" s="124">
        <f t="shared" si="4"/>
        <v>12.920241643124649</v>
      </c>
      <c r="D61" s="124">
        <f t="shared" si="4"/>
        <v>13.329410963553466</v>
      </c>
      <c r="E61" s="124">
        <f t="shared" si="4"/>
        <v>13.750587171023913</v>
      </c>
      <c r="F61" s="124">
        <f t="shared" si="4"/>
        <v>14.406016213518001</v>
      </c>
      <c r="H61" s="120"/>
    </row>
    <row r="62" spans="1:8" ht="13.15">
      <c r="A62" s="143">
        <f t="shared" si="3"/>
        <v>10</v>
      </c>
      <c r="B62" s="124">
        <f t="shared" si="4"/>
        <v>12.720000000000004</v>
      </c>
      <c r="C62" s="124">
        <f t="shared" si="4"/>
        <v>13.112229675038604</v>
      </c>
      <c r="D62" s="124">
        <f t="shared" si="4"/>
        <v>13.954433139230087</v>
      </c>
      <c r="E62" s="124">
        <f t="shared" si="4"/>
        <v>14.881316370955231</v>
      </c>
      <c r="F62" s="124">
        <f t="shared" si="4"/>
        <v>16.45288380566797</v>
      </c>
      <c r="H62" s="120"/>
    </row>
    <row r="63" spans="1:8" ht="13.15">
      <c r="A63" s="143">
        <f t="shared" si="3"/>
        <v>15</v>
      </c>
      <c r="B63" s="124">
        <f t="shared" si="4"/>
        <v>12.720000000000006</v>
      </c>
      <c r="C63" s="124">
        <f t="shared" si="4"/>
        <v>13.349266012514706</v>
      </c>
      <c r="D63" s="124">
        <f t="shared" si="4"/>
        <v>14.76636715799247</v>
      </c>
      <c r="E63" s="124">
        <f t="shared" si="4"/>
        <v>16.429813636430939</v>
      </c>
      <c r="F63" s="124">
        <f t="shared" si="4"/>
        <v>19.497041154490617</v>
      </c>
      <c r="H63" s="120"/>
    </row>
    <row r="64" spans="1:8" ht="13.15">
      <c r="A64" s="144">
        <f t="shared" si="3"/>
        <v>20</v>
      </c>
      <c r="B64" s="124">
        <f t="shared" si="4"/>
        <v>12.720000000000004</v>
      </c>
      <c r="C64" s="124">
        <f t="shared" si="4"/>
        <v>13.59000459467326</v>
      </c>
      <c r="D64" s="124">
        <f t="shared" si="4"/>
        <v>15.636007509971614</v>
      </c>
      <c r="E64" s="124">
        <f t="shared" si="4"/>
        <v>18.184857145841558</v>
      </c>
      <c r="F64" s="124">
        <f t="shared" si="4"/>
        <v>23.273858107908985</v>
      </c>
      <c r="H64" s="120"/>
    </row>
    <row r="65" spans="1:8" ht="13.15">
      <c r="A65" s="144">
        <f t="shared" si="3"/>
        <v>25</v>
      </c>
      <c r="B65" s="124">
        <f t="shared" si="4"/>
        <v>12.720000000000004</v>
      </c>
      <c r="C65" s="124">
        <f t="shared" si="4"/>
        <v>13.813060284702718</v>
      </c>
      <c r="D65" s="124">
        <f t="shared" si="4"/>
        <v>16.487308890058824</v>
      </c>
      <c r="E65" s="124">
        <f t="shared" si="4"/>
        <v>20.00869246046781</v>
      </c>
      <c r="F65" s="124">
        <f t="shared" si="4"/>
        <v>27.599895966495989</v>
      </c>
    </row>
    <row r="66" spans="1:8" ht="13.15">
      <c r="A66" s="144">
        <f t="shared" si="3"/>
        <v>30</v>
      </c>
      <c r="B66" s="124">
        <f t="shared" si="4"/>
        <v>12.720000000000004</v>
      </c>
      <c r="C66" s="124">
        <f t="shared" si="4"/>
        <v>14.008965396566698</v>
      </c>
      <c r="D66" s="124">
        <f t="shared" si="4"/>
        <v>17.278569098335211</v>
      </c>
      <c r="E66" s="124">
        <f t="shared" si="4"/>
        <v>21.81369901980749</v>
      </c>
      <c r="F66" s="124">
        <f t="shared" si="4"/>
        <v>32.348291569461772</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16.45288380566797</v>
      </c>
      <c r="F69" s="142">
        <f>Scenarios!C58</f>
        <v>0.05</v>
      </c>
    </row>
    <row r="70" spans="1:8">
      <c r="B70" s="127" t="str">
        <f>Scenarios!B36</f>
        <v>Optimistic</v>
      </c>
      <c r="C70" s="142">
        <f>Scenarios!C38</f>
        <v>0.05</v>
      </c>
      <c r="D70" s="145">
        <f>Scenarios!C37</f>
        <v>5</v>
      </c>
      <c r="E70" s="135">
        <f>INDEX(B$60:F$66, MATCH(D70, A$60:A$66, 0), MATCH(C70, B$59:F$59, 0))</f>
        <v>13.750587171023913</v>
      </c>
      <c r="F70" s="142">
        <f>Scenarios!C40*(1-F$69-F$73)</f>
        <v>0.18</v>
      </c>
      <c r="H70" s="120"/>
    </row>
    <row r="71" spans="1:8">
      <c r="B71" s="127" t="str">
        <f>Scenarios!B24</f>
        <v>Base</v>
      </c>
      <c r="C71" s="142">
        <f>Scenarios!C26</f>
        <v>0.03</v>
      </c>
      <c r="D71" s="145">
        <f>Scenarios!C25</f>
        <v>5</v>
      </c>
      <c r="E71" s="135">
        <f>INDEX(B$60:F$66, MATCH(D71, A$60:A$66, 0), MATCH(C71, B$59:F$59, 0))</f>
        <v>13.329410963553466</v>
      </c>
      <c r="F71" s="142">
        <f>Scenarios!C28*(1-F$69-F$73)</f>
        <v>0.53999999999999992</v>
      </c>
      <c r="H71" s="120"/>
    </row>
    <row r="72" spans="1:8">
      <c r="B72" s="127" t="str">
        <f>Scenarios!B30</f>
        <v>Pessimistic</v>
      </c>
      <c r="C72" s="142">
        <f>Scenarios!C32</f>
        <v>0.01</v>
      </c>
      <c r="D72" s="145">
        <f>Scenarios!C31</f>
        <v>5</v>
      </c>
      <c r="E72" s="135">
        <f>INDEX(B$60:F$66, MATCH(D72, A$60:A$66, 0), MATCH(C72, B$59:F$59, 0))</f>
        <v>12.920241643124649</v>
      </c>
      <c r="F72" s="142">
        <f>Scenarios!C34*(1-F$69-F$73)</f>
        <v>0.18</v>
      </c>
      <c r="H72" s="120"/>
    </row>
    <row r="73" spans="1:8">
      <c r="B73" s="127" t="str">
        <f>Scenarios!B48</f>
        <v>Devil's advocate</v>
      </c>
      <c r="C73" s="142">
        <f>Scenarios!C50</f>
        <v>0</v>
      </c>
      <c r="D73" s="145">
        <f>Scenarios!C49</f>
        <v>10</v>
      </c>
      <c r="E73" s="135">
        <f>INDEX(B$60:F$66, MATCH(D73, A$60:A$66, 0), MATCH(C73, B$59:F$59, 0))</f>
        <v>12.720000000000004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-15.8</v>
      </c>
    </row>
    <row r="4" spans="2:9">
      <c r="B4" s="152" t="s">
        <v>142</v>
      </c>
      <c r="C4" s="120">
        <v>3</v>
      </c>
      <c r="D4" s="120"/>
      <c r="E4" s="155" t="s">
        <v>146</v>
      </c>
      <c r="F4" s="155"/>
      <c r="H4" s="247">
        <v>1</v>
      </c>
      <c r="I4" s="124">
        <f t="shared" ref="I4:I13" si="0">IF(ROW()-3 &lt; $C$76, $C$77, IF(ROW()-3 = $C$76, $C$77 + $C$60, ""))</f>
        <v>0.95400000000000007</v>
      </c>
    </row>
    <row r="5" spans="2:9">
      <c r="H5" s="247">
        <v>2</v>
      </c>
      <c r="I5" s="124">
        <f t="shared" si="0"/>
        <v>0.95400000000000007</v>
      </c>
    </row>
    <row r="6" spans="2:9" ht="13.15">
      <c r="B6" s="159" t="s">
        <v>92</v>
      </c>
      <c r="C6" s="107">
        <f>DCF!C3</f>
        <v>1</v>
      </c>
      <c r="E6" s="100" t="s">
        <v>274</v>
      </c>
      <c r="F6" s="100"/>
      <c r="H6" s="247">
        <v>3</v>
      </c>
      <c r="I6" s="124">
        <f t="shared" si="0"/>
        <v>18.646199895960851</v>
      </c>
    </row>
    <row r="7" spans="2:9" ht="12.75" customHeight="1">
      <c r="B7" s="100" t="s">
        <v>270</v>
      </c>
      <c r="C7" s="338">
        <f>Normalized_FCF!G8</f>
        <v>1113675057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80"/>
      <c r="H7" s="247">
        <v>4</v>
      </c>
      <c r="I7" s="124" t="str">
        <f t="shared" si="0"/>
        <v/>
      </c>
    </row>
    <row r="8" spans="2:9">
      <c r="B8" s="100" t="s">
        <v>64</v>
      </c>
      <c r="C8" s="338">
        <f>Normalized_FCF!G19</f>
        <v>865118716.5321629</v>
      </c>
      <c r="D8" t="str">
        <f>Reporting_currency</f>
        <v>CNY</v>
      </c>
      <c r="E8" s="380"/>
      <c r="F8" s="380"/>
      <c r="H8" s="247">
        <v>5</v>
      </c>
      <c r="I8" s="124" t="str">
        <f t="shared" si="0"/>
        <v/>
      </c>
    </row>
    <row r="9" spans="2:9">
      <c r="B9" s="100" t="s">
        <v>55</v>
      </c>
      <c r="C9" s="338">
        <f>Normalized_FCF!C19</f>
        <v>678503300.42159104</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9.6365877843450409E-2</v>
      </c>
      <c r="D12" s="158"/>
      <c r="E12" s="380"/>
      <c r="F12" s="380"/>
      <c r="H12" s="247">
        <v>9</v>
      </c>
      <c r="I12" s="124" t="str">
        <f t="shared" si="0"/>
        <v/>
      </c>
    </row>
    <row r="13" spans="2:9">
      <c r="B13" s="148" t="s">
        <v>148</v>
      </c>
      <c r="C13" s="158">
        <f ca="1">(Normalized_FCF!G8/OFFSET(Normalized_FCF!G8, 0, $C$4))^(1/$C$4) - 1</f>
        <v>0.12333037284725878</v>
      </c>
      <c r="E13" s="380"/>
      <c r="F13" s="380"/>
      <c r="H13" s="247">
        <v>10</v>
      </c>
      <c r="I13" s="124" t="str">
        <f t="shared" si="0"/>
        <v/>
      </c>
    </row>
    <row r="14" spans="2:9">
      <c r="B14" s="100" t="s">
        <v>64</v>
      </c>
      <c r="C14" s="158">
        <f ca="1">(Normalized_FCF!G19/OFFSET(Normalized_FCF!G19, 0, $C$4))^(1/$C$4) - 1</f>
        <v>0.10533530085337128</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15.8</v>
      </c>
      <c r="D21" t="str">
        <f>Market_currency</f>
        <v>CNY</v>
      </c>
      <c r="E21" s="381"/>
      <c r="F21" s="381"/>
    </row>
    <row r="22" spans="2:6">
      <c r="B22" s="100" t="s">
        <v>273</v>
      </c>
      <c r="C22" s="160">
        <f>IF(valuation_method="DCF",DCF!C12,DDM!C7)</f>
        <v>16.782566586060053</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0.03</v>
      </c>
      <c r="D26" s="164"/>
      <c r="E26" s="379"/>
      <c r="F26" s="379"/>
    </row>
    <row r="27" spans="2:6">
      <c r="B27" s="100" t="s">
        <v>109</v>
      </c>
      <c r="C27" s="160">
        <f>IF(valuation_method="DCF",DCF!E76,DDM!E71)</f>
        <v>17.534443821077375</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17.029620121313162</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18.054081342006516</v>
      </c>
      <c r="D39" t="str">
        <f>Market_currency</f>
        <v>CNY</v>
      </c>
      <c r="E39" s="379"/>
      <c r="F39" s="379"/>
    </row>
    <row r="40" spans="2:6">
      <c r="B40" s="100" t="s">
        <v>143</v>
      </c>
      <c r="C40" s="167">
        <f>1-C28-C34</f>
        <v>0.2</v>
      </c>
      <c r="D40" s="165"/>
      <c r="E40" s="379"/>
      <c r="F40" s="379"/>
    </row>
    <row r="42" spans="2:6" ht="13.15">
      <c r="B42" s="100" t="s">
        <v>116</v>
      </c>
      <c r="C42" s="154">
        <f>C27*C28+C33*C34+C39*C40</f>
        <v>17.537406585310361</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16.782566586060057</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21.388112797570475</v>
      </c>
      <c r="D57" t="str">
        <f>Market_currency</f>
        <v>CNY</v>
      </c>
      <c r="E57" s="379"/>
      <c r="F57" s="379"/>
    </row>
    <row r="58" spans="2:6">
      <c r="B58" s="100" t="s">
        <v>143</v>
      </c>
      <c r="C58" s="165">
        <v>0.05</v>
      </c>
      <c r="D58" s="165"/>
      <c r="E58" s="379"/>
      <c r="F58" s="379"/>
    </row>
    <row r="60" spans="2:6" ht="13.15">
      <c r="B60" s="100" t="s">
        <v>116</v>
      </c>
      <c r="C60" s="154">
        <f>C51*C52+C57*C58+C42*(1-C52-C58)</f>
        <v>17.692199895960851</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3.5934836391919099E-2</v>
      </c>
      <c r="D65" s="151"/>
      <c r="E65" s="251" t="s">
        <v>304</v>
      </c>
    </row>
    <row r="66" spans="2:6">
      <c r="B66" s="100" t="s">
        <v>99</v>
      </c>
      <c r="C66" s="160">
        <f>IF(valuation_method="DCF",DCF!C18,DDM!C13)</f>
        <v>17.687067476395459</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6.1548199527054877E-2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0.95400000000000007</v>
      </c>
      <c r="D77" t="str">
        <f>Market_currency</f>
        <v>CNY</v>
      </c>
    </row>
    <row r="79" spans="2:6" ht="13.15">
      <c r="B79" s="109" t="s">
        <v>296</v>
      </c>
    </row>
    <row r="80" spans="2:6">
      <c r="B80" s="148" t="s">
        <v>294</v>
      </c>
      <c r="C80" s="167">
        <f>Thesis!F29</f>
        <v>0.45</v>
      </c>
    </row>
    <row r="81" spans="2:8">
      <c r="B81" s="100" t="s">
        <v>117</v>
      </c>
      <c r="C81" s="116">
        <f>PV(C80, C76, -C77, 0)</f>
        <v>1.4246045348312761</v>
      </c>
      <c r="D81" s="116"/>
      <c r="E81" s="100"/>
      <c r="F81" s="100"/>
    </row>
    <row r="82" spans="2:8">
      <c r="B82" s="100" t="s">
        <v>118</v>
      </c>
      <c r="C82" s="116">
        <f>C60/(1+C80)^C76</f>
        <v>5.8033375360894999</v>
      </c>
      <c r="D82" s="116"/>
    </row>
    <row r="83" spans="2:8" ht="13.15">
      <c r="B83" s="110" t="s">
        <v>98</v>
      </c>
      <c r="C83" s="111">
        <f>C81+C82</f>
        <v>7.2279420709207756</v>
      </c>
      <c r="D83" t="str">
        <f>Market_currency</f>
        <v>CNY</v>
      </c>
      <c r="E83" s="146" t="s">
        <v>122</v>
      </c>
      <c r="F83" s="291">
        <f>(1-C83/C60)</f>
        <v>0.59146165465997691</v>
      </c>
    </row>
    <row r="84" spans="2:8">
      <c r="E84" s="120"/>
    </row>
    <row r="85" spans="2:8" ht="13.15">
      <c r="B85" s="109" t="s">
        <v>297</v>
      </c>
    </row>
    <row r="86" spans="2:8">
      <c r="B86" s="148" t="s">
        <v>295</v>
      </c>
      <c r="C86" s="116">
        <f>Market_Price</f>
        <v>15.8</v>
      </c>
      <c r="D86" t="str">
        <f>Market_currency</f>
        <v>CNY</v>
      </c>
    </row>
    <row r="87" spans="2:8" ht="13.15">
      <c r="B87" s="100" t="s">
        <v>293</v>
      </c>
      <c r="C87" s="237">
        <f ca="1">IRR(OFFSET($I$3, 0, 0, $C$76 + 1, 1))</f>
        <v>9.667733636354825E-2</v>
      </c>
    </row>
    <row r="88" spans="2:8">
      <c r="B88" s="100"/>
    </row>
    <row r="89" spans="2:8" ht="13.15">
      <c r="B89" s="109" t="s">
        <v>392</v>
      </c>
    </row>
    <row r="90" spans="2:8">
      <c r="B90" s="148" t="s">
        <v>393</v>
      </c>
      <c r="C90" s="167">
        <f>Thesis!F30</f>
        <v>0.3</v>
      </c>
    </row>
    <row r="91" spans="2:8">
      <c r="B91" s="100" t="s">
        <v>117</v>
      </c>
      <c r="C91" s="116">
        <f>PV(C90, C76, -C77, 0)</f>
        <v>1.7325716886663638</v>
      </c>
      <c r="D91" s="116"/>
      <c r="E91" s="100"/>
      <c r="F91" s="100"/>
    </row>
    <row r="92" spans="2:8">
      <c r="B92" s="100" t="s">
        <v>118</v>
      </c>
      <c r="C92" s="116">
        <f>C60/(1+C90)^C76</f>
        <v>8.0528902576062116</v>
      </c>
      <c r="D92" s="116"/>
    </row>
    <row r="93" spans="2:8" ht="13.15">
      <c r="B93" s="110" t="s">
        <v>98</v>
      </c>
      <c r="C93" s="111">
        <f>C91+C92</f>
        <v>9.7854619462725747</v>
      </c>
      <c r="D93" t="str">
        <f>Market_currency</f>
        <v>CNY</v>
      </c>
      <c r="E93" s="146" t="s">
        <v>122</v>
      </c>
      <c r="F93" s="291">
        <f>(1-C93/C60)</f>
        <v>0.44690530268615114</v>
      </c>
    </row>
    <row r="95" spans="2:8" ht="13.15">
      <c r="B95" s="109" t="s">
        <v>378</v>
      </c>
      <c r="G95" s="2"/>
      <c r="H95" s="281"/>
    </row>
    <row r="96" spans="2:8">
      <c r="B96" s="148" t="s">
        <v>383</v>
      </c>
      <c r="C96" s="134">
        <f>Thesis!F31</f>
        <v>7.4999999999999997E-2</v>
      </c>
      <c r="G96" s="2"/>
      <c r="H96" s="281"/>
    </row>
    <row r="97" spans="2:8">
      <c r="B97" s="100" t="s">
        <v>117</v>
      </c>
      <c r="C97" s="116">
        <f>PV(C96, C76, -C77, 0)</f>
        <v>2.4809015558378498</v>
      </c>
      <c r="D97" s="116"/>
      <c r="G97" s="2"/>
      <c r="H97" s="281"/>
    </row>
    <row r="98" spans="2:8">
      <c r="B98" s="100" t="s">
        <v>118</v>
      </c>
      <c r="C98" s="116">
        <f>C60/(1+C96)^C76</f>
        <v>14.241523304130386</v>
      </c>
      <c r="D98" s="116"/>
      <c r="G98" s="2"/>
      <c r="H98" s="281"/>
    </row>
    <row r="99" spans="2:8" ht="13.15">
      <c r="B99" s="110" t="s">
        <v>379</v>
      </c>
      <c r="C99" s="111">
        <f>C97+C98</f>
        <v>16.722424859968235</v>
      </c>
      <c r="D99" t="s">
        <v>377</v>
      </c>
      <c r="E99" s="146" t="s">
        <v>122</v>
      </c>
      <c r="F99" s="291">
        <f>(1-C99/C60)</f>
        <v>5.481370557055576E-2</v>
      </c>
    </row>
    <row r="100" spans="2:8">
      <c r="B100" s="100"/>
    </row>
    <row r="101" spans="2:8" ht="13.15">
      <c r="B101" s="109" t="s">
        <v>399</v>
      </c>
    </row>
    <row r="102" spans="2:8">
      <c r="B102" s="148" t="s">
        <v>398</v>
      </c>
      <c r="C102" s="134">
        <f>Thesis!F32</f>
        <v>8.6999999999999994E-2</v>
      </c>
    </row>
    <row r="103" spans="2:8">
      <c r="B103" s="100" t="s">
        <v>117</v>
      </c>
      <c r="C103" s="116">
        <f>PV(C102, C76, -C77, 0)</f>
        <v>2.4278251157606801</v>
      </c>
      <c r="D103" s="116"/>
    </row>
    <row r="104" spans="2:8">
      <c r="B104" s="100" t="s">
        <v>118</v>
      </c>
      <c r="C104" s="116">
        <f>C60/(1+C102)^C76</f>
        <v>13.775050680383194</v>
      </c>
      <c r="D104" s="116"/>
    </row>
    <row r="105" spans="2:8" ht="13.15">
      <c r="B105" s="110" t="s">
        <v>379</v>
      </c>
      <c r="C105" s="111">
        <f>C103+C104</f>
        <v>16.202875796143875</v>
      </c>
      <c r="D105" t="s">
        <v>377</v>
      </c>
      <c r="E105" s="146" t="s">
        <v>122</v>
      </c>
      <c r="F105" s="291">
        <f>(1-C105/C66)</f>
        <v>8.3913949117474296E-2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景津装备</v>
      </c>
    </row>
    <row r="6" spans="1:10">
      <c r="B6" s="4" t="s">
        <v>480</v>
      </c>
      <c r="C6" s="34">
        <f>Common_Shares</f>
        <v>576457000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603279.SS</v>
      </c>
      <c r="D11" s="49"/>
      <c r="E11" s="34"/>
    </row>
    <row r="12" spans="1:10">
      <c r="B12" s="4" t="s">
        <v>484</v>
      </c>
      <c r="C12" s="366">
        <f>Market_Price</f>
        <v>15.8</v>
      </c>
      <c r="D12" s="50"/>
      <c r="E12" s="48"/>
    </row>
    <row r="13" spans="1:10">
      <c r="B13" s="1" t="s">
        <v>485</v>
      </c>
      <c r="C13" s="32" t="str">
        <f>Market_currency</f>
        <v>CNY</v>
      </c>
      <c r="D13" s="48"/>
      <c r="E13" s="5"/>
    </row>
    <row r="14" spans="1:10">
      <c r="B14" s="4" t="s">
        <v>486</v>
      </c>
      <c r="C14" s="35">
        <f>投资主题!C12*Common_Shares/1000000</f>
        <v>9108.0205999999998</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17.692199895960851</v>
      </c>
      <c r="D26" s="1" t="s">
        <v>446</v>
      </c>
      <c r="E26" s="301">
        <f ca="1">Scenarios!C87</f>
        <v>9.667733636354825E-2</v>
      </c>
    </row>
    <row r="27" spans="2:6">
      <c r="D27" s="5"/>
      <c r="E27" s="5"/>
    </row>
    <row r="28" spans="2:6">
      <c r="B28" s="45" t="s">
        <v>448</v>
      </c>
      <c r="C28" s="309" t="str">
        <f>C145&amp;" ("&amp;Market_currency&amp;")"</f>
        <v>603279.SS (CNY)</v>
      </c>
      <c r="D28" s="309" t="str">
        <f>IF(D11="","",D145&amp;" ("&amp;D13&amp;")")</f>
        <v/>
      </c>
      <c r="E28" s="305" t="s">
        <v>453</v>
      </c>
      <c r="F28" s="361">
        <f>Thesis!F28</f>
        <v>3</v>
      </c>
    </row>
    <row r="29" spans="2:6">
      <c r="B29" s="1" t="s">
        <v>449</v>
      </c>
      <c r="C29" s="310">
        <f>C149</f>
        <v>7.2279420709207756</v>
      </c>
      <c r="D29" s="310" t="str">
        <f>D149</f>
        <v/>
      </c>
      <c r="E29" s="306" t="s">
        <v>455</v>
      </c>
      <c r="F29" s="362">
        <f>Thesis!F29</f>
        <v>0.45</v>
      </c>
    </row>
    <row r="30" spans="2:6">
      <c r="B30" s="1" t="s">
        <v>450</v>
      </c>
      <c r="C30" s="311">
        <f>C157</f>
        <v>9.7854619462725747</v>
      </c>
      <c r="D30" s="311" t="str">
        <f>D157</f>
        <v/>
      </c>
      <c r="E30" s="307" t="s">
        <v>454</v>
      </c>
      <c r="F30" s="224">
        <f>Thesis!F30</f>
        <v>0.3</v>
      </c>
    </row>
    <row r="31" spans="2:6">
      <c r="B31" s="1" t="s">
        <v>451</v>
      </c>
      <c r="C31" s="311">
        <f>C165</f>
        <v>16.722424859968235</v>
      </c>
      <c r="D31" s="311" t="str">
        <f>D165</f>
        <v/>
      </c>
      <c r="E31" s="307" t="s">
        <v>491</v>
      </c>
      <c r="F31" s="224">
        <f>Thesis!F31</f>
        <v>7.4999999999999997E-2</v>
      </c>
    </row>
    <row r="32" spans="2:6">
      <c r="B32" s="1" t="s">
        <v>452</v>
      </c>
      <c r="C32" s="311">
        <f>C173</f>
        <v>16.202875796143875</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v>
      </c>
    </row>
    <row r="40" spans="1:6">
      <c r="B40" s="373" t="s">
        <v>494</v>
      </c>
      <c r="C40" s="373"/>
      <c r="D40" s="373"/>
      <c r="E40" s="373"/>
      <c r="F40" s="373"/>
    </row>
    <row r="41" spans="1:6">
      <c r="B41" s="47" t="s">
        <v>228</v>
      </c>
      <c r="C41" s="349">
        <f>Normalized_FCF!C8</f>
        <v>898092603.37923622</v>
      </c>
      <c r="D41" s="1" t="str">
        <f>Reporting_currency</f>
        <v>CNY</v>
      </c>
    </row>
    <row r="42" spans="1:6">
      <c r="B42" s="47"/>
      <c r="C42" s="76"/>
    </row>
    <row r="43" spans="1:6" ht="24.6" customHeight="1">
      <c r="B43" s="373" t="s">
        <v>495</v>
      </c>
      <c r="C43" s="373"/>
      <c r="D43" s="373"/>
      <c r="E43" s="373"/>
      <c r="F43" s="373"/>
    </row>
    <row r="44" spans="1:6">
      <c r="B44" s="47" t="s">
        <v>230</v>
      </c>
      <c r="C44" s="349">
        <f>Normalized_FCF!C9</f>
        <v>213321214.99999997</v>
      </c>
      <c r="D44" s="1" t="str">
        <f>Reporting_currency</f>
        <v>CNY</v>
      </c>
    </row>
    <row r="45" spans="1:6">
      <c r="B45" s="52" t="s">
        <v>231</v>
      </c>
      <c r="C45" s="349">
        <f>Normalized_FCF!C10</f>
        <v>-213321215</v>
      </c>
      <c r="D45" s="1" t="str">
        <f>Reporting_currency</f>
        <v>CNY</v>
      </c>
    </row>
    <row r="47" spans="1:6">
      <c r="B47" s="373" t="s">
        <v>496</v>
      </c>
      <c r="C47" s="373"/>
      <c r="D47" s="373"/>
      <c r="E47" s="373"/>
      <c r="F47" s="373"/>
    </row>
    <row r="48" spans="1:6">
      <c r="B48" s="47" t="s">
        <v>233</v>
      </c>
      <c r="C48" s="349">
        <f>Normalized_FCF!C11</f>
        <v>0</v>
      </c>
      <c r="D48" s="1" t="str">
        <f>Reporting_currency</f>
        <v>CNY</v>
      </c>
    </row>
    <row r="50" spans="2:6">
      <c r="B50" s="373" t="s">
        <v>497</v>
      </c>
      <c r="C50" s="373"/>
      <c r="D50" s="373"/>
      <c r="E50" s="373"/>
      <c r="F50" s="373"/>
    </row>
    <row r="51" spans="2:6">
      <c r="B51" s="47" t="s">
        <v>331</v>
      </c>
      <c r="C51" s="350">
        <f>Normalized_FCF!C48</f>
        <v>12828070.849551909</v>
      </c>
      <c r="D51" s="1" t="str">
        <f>Reporting_currency</f>
        <v>CNY</v>
      </c>
      <c r="E51" s="286"/>
      <c r="F51" s="286"/>
    </row>
    <row r="52" spans="2:6">
      <c r="B52" s="47" t="s">
        <v>332</v>
      </c>
      <c r="C52" s="350">
        <f>Normalized_FCF!C47</f>
        <v>-6249607</v>
      </c>
      <c r="D52" s="1" t="str">
        <f>Reporting_currency</f>
        <v>CNY</v>
      </c>
      <c r="E52" s="286"/>
      <c r="F52" s="286"/>
    </row>
    <row r="53" spans="2:6">
      <c r="B53" s="47" t="s">
        <v>234</v>
      </c>
      <c r="C53" s="349">
        <f>Normalized_FCF!C12</f>
        <v>6578463.8495519087</v>
      </c>
      <c r="D53" s="1" t="str">
        <f>Reporting_currency</f>
        <v>CNY</v>
      </c>
    </row>
    <row r="55" spans="2:6">
      <c r="B55" s="1" t="s">
        <v>498</v>
      </c>
    </row>
    <row r="56" spans="2:6">
      <c r="B56" s="47" t="s">
        <v>261</v>
      </c>
      <c r="C56" s="349">
        <f>Normalized_FCF!C15</f>
        <v>0</v>
      </c>
      <c r="D56" s="1" t="str">
        <f>Reporting_currency</f>
        <v>CNY</v>
      </c>
    </row>
    <row r="58" spans="2:6">
      <c r="B58" s="373" t="s">
        <v>237</v>
      </c>
      <c r="C58" s="373"/>
      <c r="D58" s="373"/>
      <c r="E58" s="373"/>
      <c r="F58" s="373"/>
    </row>
    <row r="59" spans="2:6">
      <c r="B59" s="47" t="s">
        <v>235</v>
      </c>
      <c r="C59" s="349">
        <f>Normalized_FCF!C14</f>
        <v>-226167766.80719703</v>
      </c>
      <c r="D59" s="1" t="str">
        <f>Reporting_currency</f>
        <v>CNY</v>
      </c>
    </row>
    <row r="61" spans="2:6">
      <c r="B61" s="373" t="s">
        <v>499</v>
      </c>
      <c r="C61" s="374"/>
      <c r="D61" s="374"/>
      <c r="E61" s="374"/>
      <c r="F61" s="374"/>
    </row>
    <row r="62" spans="2:6">
      <c r="B62" s="47" t="s">
        <v>238</v>
      </c>
      <c r="C62" s="349">
        <f>Normalized_FCF!C17</f>
        <v>0</v>
      </c>
      <c r="D62" s="1" t="str">
        <f>Reporting_currency</f>
        <v>CNY</v>
      </c>
    </row>
    <row r="64" spans="2:6">
      <c r="B64" s="372" t="s">
        <v>500</v>
      </c>
      <c r="C64" s="372"/>
      <c r="D64" s="372"/>
      <c r="E64" s="372"/>
      <c r="F64" s="372"/>
    </row>
    <row r="65" spans="1:6">
      <c r="B65" s="372" t="s">
        <v>501</v>
      </c>
      <c r="C65" s="372"/>
      <c r="D65" s="372"/>
      <c r="E65" s="372"/>
      <c r="F65" s="372"/>
    </row>
    <row r="67" spans="1:6">
      <c r="B67" s="47" t="s">
        <v>502</v>
      </c>
      <c r="C67" s="349">
        <f>Normalized_FCF!G19</f>
        <v>865118716.5321629</v>
      </c>
      <c r="D67" s="1" t="str">
        <f>Reporting_currency</f>
        <v>CNY</v>
      </c>
    </row>
    <row r="68" spans="1:6">
      <c r="B68" s="47" t="s">
        <v>244</v>
      </c>
      <c r="C68" s="349">
        <f>Normalized_FCF!C19</f>
        <v>678503300.42159104</v>
      </c>
      <c r="D68" s="1" t="str">
        <f>Reporting_currency</f>
        <v>CNY</v>
      </c>
    </row>
    <row r="69" spans="1:6">
      <c r="B69" s="227" t="s">
        <v>371</v>
      </c>
      <c r="C69" s="92">
        <f>Normalized_FCF!C126</f>
        <v>7.4495143370842953E-2</v>
      </c>
      <c r="F69" s="314"/>
    </row>
    <row r="70" spans="1:6">
      <c r="B70" s="227" t="s">
        <v>434</v>
      </c>
      <c r="C70" s="92">
        <f>Normalized_FCF!C94</f>
        <v>6.0379746835443039E-2</v>
      </c>
      <c r="E70" s="47" t="s">
        <v>503</v>
      </c>
      <c r="F70" s="315">
        <f>Normalized_FCF!C92</f>
        <v>0.90057693104856651</v>
      </c>
    </row>
    <row r="72" spans="1:6">
      <c r="B72" s="210" t="s">
        <v>513</v>
      </c>
      <c r="C72" s="323" t="s">
        <v>429</v>
      </c>
      <c r="D72" s="323" t="s">
        <v>504</v>
      </c>
    </row>
    <row r="73" spans="1:6">
      <c r="B73" s="47" t="s">
        <v>428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15.693643536790917</v>
      </c>
      <c r="D93" s="1" t="str">
        <f>Market_currency</f>
        <v>CNY</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270317959.52999997</v>
      </c>
      <c r="D102" s="1" t="str">
        <f>Reporting_currency</f>
        <v>CNY</v>
      </c>
    </row>
    <row r="103" spans="2:6">
      <c r="B103" s="47" t="s">
        <v>276</v>
      </c>
      <c r="C103" s="223">
        <f>C102*scaling_factor*Exchange_Rate/Common_Shares</f>
        <v>0.46892996273789717</v>
      </c>
      <c r="D103" s="1" t="str">
        <f>Market_currency</f>
        <v>CNY</v>
      </c>
    </row>
    <row r="104" spans="2:6">
      <c r="B104" s="296" t="s">
        <v>384</v>
      </c>
      <c r="C104" s="325">
        <f>IF(BS!G31/BS!G27&gt;300%,"nm",BS!G31/BS!G27)</f>
        <v>6.0553888114002474E-2</v>
      </c>
    </row>
    <row r="105" spans="2:6">
      <c r="B105" s="296" t="s">
        <v>386</v>
      </c>
      <c r="C105" s="326">
        <f>IF(BS!C50&gt;30,"nm",BS!C50)</f>
        <v>0.30099118789407647</v>
      </c>
    </row>
    <row r="107" spans="2:6">
      <c r="B107" s="1" t="s">
        <v>514</v>
      </c>
    </row>
    <row r="108" spans="2:6">
      <c r="B108" s="47" t="s">
        <v>260</v>
      </c>
      <c r="C108" s="349">
        <f>BS!C66</f>
        <v>1723046566.25</v>
      </c>
      <c r="D108" s="1" t="str">
        <f>Reporting_currency</f>
        <v>CNY</v>
      </c>
    </row>
    <row r="109" spans="2:6">
      <c r="B109" s="47" t="s">
        <v>262</v>
      </c>
      <c r="C109" s="349">
        <f>DCF!C8</f>
        <v>867841842.9465394</v>
      </c>
      <c r="D109" s="1" t="str">
        <f>Reporting_currency</f>
        <v>CNY</v>
      </c>
    </row>
    <row r="110" spans="2:6">
      <c r="B110" s="47" t="s">
        <v>277</v>
      </c>
      <c r="C110" s="223">
        <f>C109*scaling_factor*Exchange_Rate/Common_Shares</f>
        <v>1.5054754178482339</v>
      </c>
      <c r="D110" s="1" t="str">
        <f>Market_currency</f>
        <v>CNY</v>
      </c>
    </row>
    <row r="112" spans="2:6">
      <c r="B112" s="1" t="s">
        <v>515</v>
      </c>
    </row>
    <row r="113" spans="1:6">
      <c r="B113" s="47" t="s">
        <v>253</v>
      </c>
      <c r="C113" s="349">
        <f>DCF!C9</f>
        <v>30193430.795999996</v>
      </c>
      <c r="D113" s="1" t="str">
        <f>Reporting_currency</f>
        <v>CNY</v>
      </c>
    </row>
    <row r="114" spans="1:6">
      <c r="B114" s="47" t="s">
        <v>278</v>
      </c>
      <c r="C114" s="223">
        <f>C113*scaling_factor*Exchange_Rate/Common_Shares</f>
        <v>5.2377594158801083E-2</v>
      </c>
      <c r="D114" s="1" t="str">
        <f>Market_currency</f>
        <v>CNY</v>
      </c>
    </row>
    <row r="116" spans="1:6">
      <c r="B116" s="372" t="s">
        <v>516</v>
      </c>
      <c r="C116" s="372"/>
      <c r="D116" s="372"/>
      <c r="E116" s="372"/>
      <c r="F116" s="372"/>
    </row>
    <row r="118" spans="1:6">
      <c r="B118" s="47" t="s">
        <v>517</v>
      </c>
      <c r="C118" s="223">
        <f>IF(valuation_method="DCF",DCF!C12,DDM!C7)</f>
        <v>16.782566586060053</v>
      </c>
      <c r="D118" s="1" t="str">
        <f>Market_currency</f>
        <v>CNY</v>
      </c>
    </row>
    <row r="119" spans="1:6">
      <c r="B119" s="296" t="s">
        <v>550</v>
      </c>
      <c r="C119" s="223">
        <f>BS!D47</f>
        <v>-0.43338518935931036</v>
      </c>
      <c r="D119" s="1" t="str">
        <f>Market_currency</f>
        <v>CNY</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21.39 CNY</v>
      </c>
      <c r="F126" s="232">
        <f>DCF!F74</f>
        <v>0.05</v>
      </c>
    </row>
    <row r="127" spans="1:6">
      <c r="B127" s="218" t="str">
        <f>DCF!B75</f>
        <v>Optimistic</v>
      </c>
      <c r="C127" s="219">
        <f>DCF!C75</f>
        <v>0.05</v>
      </c>
      <c r="D127" s="220">
        <f>DCF!D75</f>
        <v>5</v>
      </c>
      <c r="E127" s="231" t="str">
        <f>ROUND(IF(valuation_method="DCF",DCF!E75,DDM!E70),2)&amp;" "&amp;Market_currency</f>
        <v>18.05 CNY</v>
      </c>
      <c r="F127" s="221">
        <f>DCF!F75</f>
        <v>0.18</v>
      </c>
    </row>
    <row r="128" spans="1:6">
      <c r="B128" s="218" t="str">
        <f>DCF!B76</f>
        <v>Base</v>
      </c>
      <c r="C128" s="219">
        <f>DCF!C76</f>
        <v>0.03</v>
      </c>
      <c r="D128" s="220">
        <f>DCF!D76</f>
        <v>5</v>
      </c>
      <c r="E128" s="231" t="str">
        <f>ROUND(IF(valuation_method="DCF",DCF!E76,DDM!E71),2)&amp;" "&amp;Market_currency</f>
        <v>17.53 CNY</v>
      </c>
      <c r="F128" s="221">
        <f>DCF!F76</f>
        <v>0.53999999999999992</v>
      </c>
    </row>
    <row r="129" spans="1:6">
      <c r="B129" s="218" t="str">
        <f>DCF!B77</f>
        <v>Pessimistic</v>
      </c>
      <c r="C129" s="219">
        <f>DCF!C77</f>
        <v>0.01</v>
      </c>
      <c r="D129" s="220">
        <f>DCF!D77</f>
        <v>5</v>
      </c>
      <c r="E129" s="231" t="str">
        <f>ROUND(IF(valuation_method="DCF",DCF!E77,DDM!E72),2)&amp;" "&amp;Market_currency</f>
        <v>17.03 CNY</v>
      </c>
      <c r="F129" s="221">
        <f>DCF!F77</f>
        <v>0.18</v>
      </c>
    </row>
    <row r="130" spans="1:6">
      <c r="B130" s="218" t="str">
        <f>DCF!B78</f>
        <v>Devil's advocate</v>
      </c>
      <c r="C130" s="219">
        <f>DCF!C78</f>
        <v>0</v>
      </c>
      <c r="D130" s="220">
        <f>DCF!D78</f>
        <v>10</v>
      </c>
      <c r="E130" s="231" t="str">
        <f>ROUND(IF(valuation_method="DCF",DCF!E78,DDM!E73),2)&amp;" "&amp;Market_currency</f>
        <v>16.78 CNY</v>
      </c>
      <c r="F130" s="221">
        <f>DCF!F78</f>
        <v>0.05</v>
      </c>
    </row>
    <row r="132" spans="1:6">
      <c r="B132" s="211" t="s">
        <v>254</v>
      </c>
      <c r="C132" s="217">
        <f>Scenarios!C60</f>
        <v>17.692199895960851</v>
      </c>
      <c r="D132" s="212" t="str">
        <f>Market_currency</f>
        <v>CNY</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0.45</v>
      </c>
    </row>
    <row r="143" spans="1:6">
      <c r="B143" s="212" t="s">
        <v>530</v>
      </c>
      <c r="C143" s="213">
        <f>Scenarios!C77</f>
        <v>0.95400000000000007</v>
      </c>
      <c r="D143" s="212" t="str">
        <f>Market_currency</f>
        <v>CNY</v>
      </c>
    </row>
    <row r="145" spans="2:4">
      <c r="B145" s="210" t="s">
        <v>531</v>
      </c>
      <c r="C145" s="241" t="str">
        <f>C11</f>
        <v>603279.SS</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5.8033375360894999</v>
      </c>
    </row>
    <row r="149" spans="2:4">
      <c r="B149" s="80" t="s">
        <v>256</v>
      </c>
      <c r="C149" s="215">
        <f>Scenarios!C83</f>
        <v>7.2279420709207756</v>
      </c>
      <c r="D149" s="300" t="str">
        <f>IF($D$11="","",C149*$E$25)</f>
        <v/>
      </c>
    </row>
    <row r="150" spans="2:4">
      <c r="B150" s="259" t="s">
        <v>532</v>
      </c>
      <c r="C150" s="298" t="str">
        <f>Market_currency</f>
        <v>CNY</v>
      </c>
      <c r="D150" s="298" t="str">
        <f>IF($D$11="","",D$13)</f>
        <v/>
      </c>
    </row>
    <row r="151" spans="2:4">
      <c r="B151" s="214" t="s">
        <v>533</v>
      </c>
      <c r="C151" s="92">
        <f>Scenarios!F83</f>
        <v>0.59146165465997691</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8.0528902576062116</v>
      </c>
    </row>
    <row r="157" spans="2:4">
      <c r="B157" s="80" t="s">
        <v>256</v>
      </c>
      <c r="C157" s="215">
        <f>Scenarios!C93</f>
        <v>9.7854619462725747</v>
      </c>
      <c r="D157" s="300" t="str">
        <f>IF($D$11="","",C157*$E$25)</f>
        <v/>
      </c>
    </row>
    <row r="158" spans="2:4">
      <c r="B158" s="259" t="s">
        <v>532</v>
      </c>
      <c r="C158" s="298" t="str">
        <f>Market_currency</f>
        <v>CNY</v>
      </c>
      <c r="D158" s="298" t="str">
        <f>IF($D$11="","",D$13)</f>
        <v/>
      </c>
    </row>
    <row r="159" spans="2:4">
      <c r="B159" s="214" t="s">
        <v>533</v>
      </c>
      <c r="C159" s="92">
        <f>Scenarios!F93</f>
        <v>0.44690530268615114</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14.241523304130386</v>
      </c>
    </row>
    <row r="165" spans="2:4">
      <c r="B165" s="80" t="s">
        <v>382</v>
      </c>
      <c r="C165" s="215">
        <f>Scenarios!C99</f>
        <v>16.722424859968235</v>
      </c>
      <c r="D165" s="300" t="str">
        <f>IF($D$11="","",C165*$E$25)</f>
        <v/>
      </c>
    </row>
    <row r="166" spans="2:4">
      <c r="B166" s="259" t="s">
        <v>532</v>
      </c>
      <c r="C166" s="298" t="str">
        <f>Market_currency</f>
        <v>CNY</v>
      </c>
      <c r="D166" s="298" t="str">
        <f>IF($D$11="","",D$13)</f>
        <v/>
      </c>
    </row>
    <row r="167" spans="2:4">
      <c r="B167" s="214" t="s">
        <v>533</v>
      </c>
      <c r="C167" s="92">
        <f>Scenarios!F99</f>
        <v>5.481370557055576E-2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13.775050680383194</v>
      </c>
    </row>
    <row r="173" spans="2:4">
      <c r="B173" s="80" t="s">
        <v>382</v>
      </c>
      <c r="C173" s="215">
        <f>Scenarios!C105</f>
        <v>16.202875796143875</v>
      </c>
      <c r="D173" s="300" t="str">
        <f>IF($D$11="","",C173*$E$25)</f>
        <v/>
      </c>
    </row>
    <row r="174" spans="2:4">
      <c r="B174" s="259" t="s">
        <v>532</v>
      </c>
      <c r="C174" s="298" t="str">
        <f>Market_currency</f>
        <v>CNY</v>
      </c>
      <c r="D174" s="298" t="str">
        <f>IF($D$11="","",D$13)</f>
        <v/>
      </c>
    </row>
    <row r="175" spans="2:4">
      <c r="B175" s="214" t="s">
        <v>533</v>
      </c>
      <c r="C175" s="92">
        <f>Scenarios!F105</f>
        <v>8.3913949117474296E-2</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F25EC-B5FB-49FD-94DF-3B2B5DC689E8}">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2025-08-06T08:51:17Z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