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F287456-E2A6-4E08-BC1C-354269D0153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<sst xmlns="http://schemas.openxmlformats.org/spreadsheetml/2006/main" count="766" uniqueCount="555">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</sst>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16.010000000000002</v>
      </c>
      <c r="E8" s="32"/>
    </row>
    <row r="9" spans="1:9">
      <c r="B9" s="4" t="s">
        <v>344</v>
      </c>
      <c r="C9" s="48">
        <v>576457000</v>
      </c>
    </row>
    <row r="10" spans="1:9">
      <c r="B10" s="4" t="s">
        <v>350</v>
      </c>
      <c r="C10" s="33">
        <f>Thesis!C8*Common_Shares/1000000</f>
        <v>9229.0765699999993</v>
      </c>
      <c r="D10" s="1" t="s">
        <v>528</v>
      </c>
      <c r="E10" s="307">
        <f>Scenarios!F34</f>
        <v>0.13201257822477411</v>
      </c>
    </row>
    <row r="11" spans="1:9">
      <c r="D11" s="5"/>
      <c r="E11" s="5"/>
    </row>
    <row r="12" spans="1:9" ht="24.5" customHeight="1">
      <c r="B12" s="456" t="s">
        <v>353</v>
      </c>
      <c r="C12" s="456"/>
      <c r="D12" s="456"/>
      <c r="E12" s="456"/>
      <c r="F12" s="456"/>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19.606158406839043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10.191091106864292</v>
      </c>
      <c r="D22" s="38" t="s">
        <v>406</v>
      </c>
      <c r="E22" s="79">
        <v>0.32950289523458665</v>
      </c>
    </row>
    <row r="23" spans="1:6">
      <c r="B23" s="1" t="s">
        <v>312</v>
      </c>
      <c r="C23" s="259">
        <f>E141</f>
        <v>12.77818205620288</v>
      </c>
      <c r="D23" s="38" t="s">
        <v>407</v>
      </c>
      <c r="E23" s="448">
        <v>0.22621703288100403</v>
      </c>
    </row>
    <row r="24" spans="1:6">
      <c r="B24" s="1" t="s">
        <v>314</v>
      </c>
      <c r="C24" s="259">
        <f>E144</f>
        <v>17.962831836381895</v>
      </c>
      <c r="D24" s="38" t="s">
        <v>408</v>
      </c>
      <c r="E24" s="448">
        <v>8.6999999999999994E-2</v>
      </c>
    </row>
    <row r="25" spans="1:6">
      <c r="B25" s="1" t="s">
        <v>313</v>
      </c>
      <c r="C25" s="259">
        <f>E145</f>
        <v>18.66192456479336</v>
      </c>
      <c r="D25" s="38" t="s">
        <v>409</v>
      </c>
      <c r="E25" s="449">
        <v>7.2499999999999995E-2</v>
      </c>
    </row>
    <row r="26" spans="1:6">
      <c r="D26" s="5"/>
      <c r="E26" s="5"/>
    </row>
    <row r="27" spans="1:6" ht="13.9">
      <c r="A27" s="200" t="s">
        <v>280</v>
      </c>
      <c r="B27" s="34"/>
      <c r="C27" s="34"/>
      <c r="D27" s="34"/>
      <c r="E27" s="34"/>
      <c r="F27" s="34"/>
    </row>
    <row r="29" spans="1:6">
      <c r="B29" s="456" t="s">
        <v>354</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936713050.44528866</v>
      </c>
      <c r="D34" s="1" t="str">
        <f>Reporting_currency</f>
        <v>CNY</v>
      </c>
    </row>
    <row r="35" spans="2:6">
      <c r="B35" s="44"/>
      <c r="C35" s="73"/>
    </row>
    <row r="36" spans="2:6" ht="24.5" customHeight="1">
      <c r="B36" s="457" t="s">
        <v>198</v>
      </c>
      <c r="C36" s="457"/>
      <c r="D36" s="457"/>
      <c r="E36" s="457"/>
      <c r="F36" s="457"/>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-232449414.58456084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7.5559915281283932E-2</v>
      </c>
      <c r="F62" s="260"/>
    </row>
    <row r="63" spans="2:6">
      <c r="B63" s="204" t="s">
        <v>330</v>
      </c>
      <c r="C63" s="89">
        <f>Normalized_FCF!C92</f>
        <v>6.6208619612742034E-2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6" t="s">
        <v>479</v>
      </c>
      <c r="C73" s="456"/>
      <c r="D73" s="456"/>
      <c r="E73" s="456"/>
      <c r="F73" s="456"/>
    </row>
    <row r="74" spans="1:6">
      <c r="A74" s="191"/>
      <c r="B74" s="1" t="s">
        <v>466</v>
      </c>
    </row>
    <row r="75" spans="1:6">
      <c r="A75" s="191"/>
    </row>
    <row r="76" spans="1:6">
      <c r="A76" s="191"/>
      <c r="B76" s="192" t="s">
        <v>195</v>
      </c>
    </row>
    <row r="77" spans="1:6">
      <c r="A77" s="191"/>
      <c r="B77" s="456" t="s">
        <v>271</v>
      </c>
      <c r="C77" s="456"/>
      <c r="D77" s="456"/>
      <c r="E77" s="456"/>
      <c r="F77" s="456"/>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6" t="s">
        <v>486</v>
      </c>
      <c r="C96" s="456"/>
      <c r="D96" s="456"/>
      <c r="E96" s="456"/>
      <c r="F96" s="456"/>
    </row>
    <row r="97" spans="2:6">
      <c r="B97" s="458" t="s">
        <v>485</v>
      </c>
      <c r="C97" s="458"/>
      <c r="D97" s="458"/>
      <c r="E97" s="458"/>
      <c r="F97" s="458"/>
    </row>
    <row r="98" spans="2:6">
      <c r="B98" s="458" t="s">
        <v>484</v>
      </c>
      <c r="C98" s="458"/>
      <c r="D98" s="458"/>
      <c r="E98" s="458"/>
      <c r="F98" s="458"/>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6" t="s">
        <v>492</v>
      </c>
      <c r="C114" s="456"/>
      <c r="D114" s="456"/>
      <c r="E114" s="456"/>
      <c r="F114" s="456"/>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2.4974143754617189E-2</v>
      </c>
    </row>
    <row r="119" spans="2:6">
      <c r="B119" s="205" t="str">
        <f>DCF!B91&amp;" ("&amp;DCF!D91&amp;"yrs)"</f>
        <v>Optimistic (5yrs)</v>
      </c>
      <c r="C119" s="198">
        <f>DCF!C91</f>
        <v>0.03</v>
      </c>
      <c r="D119" s="207" t="str">
        <f>ROUND(DCF!E91,2)&amp;" "&amp;Market_currency</f>
        <v>20.4 CNY</v>
      </c>
      <c r="E119" s="199">
        <f>DCF!F91</f>
        <v>0.18</v>
      </c>
      <c r="F119" s="208">
        <f>RATE(Holding_Period,Scenarios!C$58,-DCF!E91,C$18)</f>
        <v>3.9483311479093855E-2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5.4272230398016742E-2</v>
      </c>
    </row>
    <row r="121" spans="2:6">
      <c r="B121" s="205" t="str">
        <f>DCF!B93&amp;" ("&amp;DCF!D93&amp;"yrs)"</f>
        <v>Pessimistic (5yrs)</v>
      </c>
      <c r="C121" s="198">
        <f>DCF!C93</f>
        <v>0.01</v>
      </c>
      <c r="D121" s="207" t="str">
        <f>ROUND(DCF!E93,2)&amp;" "&amp;Market_currency</f>
        <v>18.82 CNY</v>
      </c>
      <c r="E121" s="199">
        <f>DCF!F93</f>
        <v>0.18</v>
      </c>
      <c r="F121" s="208">
        <f>RATE(Holding_Period,Scenarios!C$58,-DCF!E93,C$18)</f>
        <v>6.9345640331955866E-2</v>
      </c>
    </row>
    <row r="122" spans="2:6">
      <c r="B122" s="205" t="str">
        <f>DCF!B94&amp;" ("&amp;DCF!D94&amp;"yrs)"</f>
        <v>Devil's advocate (5yrs)</v>
      </c>
      <c r="C122" s="198">
        <f>DCF!C94</f>
        <v>0</v>
      </c>
      <c r="D122" s="207" t="str">
        <f>ROUND(DCF!E94,2)&amp;" "&amp;Market_currency</f>
        <v>18.07 CNY</v>
      </c>
      <c r="E122" s="199">
        <f>DCF!F94</f>
        <v>0.05</v>
      </c>
      <c r="F122" s="208">
        <f>RATE(Holding_Period,Scenarios!C$58,-DCF!E94,C$18)</f>
        <v>8.4708196220257326E-2</v>
      </c>
    </row>
    <row r="124" spans="2:6">
      <c r="B124" s="457" t="s">
        <v>355</v>
      </c>
      <c r="C124" s="457"/>
      <c r="D124" s="457"/>
      <c r="E124" s="457"/>
      <c r="F124" s="457"/>
    </row>
    <row r="125" spans="2:6">
      <c r="B125" s="193" t="s">
        <v>218</v>
      </c>
      <c r="C125" s="197">
        <f>Scenarios!C36</f>
        <v>19.606158406839043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59" t="s">
        <v>285</v>
      </c>
      <c r="C131" s="459"/>
      <c r="D131" s="459"/>
      <c r="E131" s="459"/>
      <c r="F131" s="459"/>
    </row>
    <row r="132" spans="1:6">
      <c r="B132" s="456" t="s">
        <v>357</v>
      </c>
      <c r="C132" s="456"/>
      <c r="D132" s="456"/>
      <c r="E132" s="456"/>
      <c r="F132" s="456"/>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8.3430461305698067</v>
      </c>
      <c r="E140" s="338">
        <f>Scenarios!E62</f>
        <v>10.191091106864292</v>
      </c>
      <c r="F140" s="339">
        <f>E22</f>
        <v>0.32950289523458665</v>
      </c>
    </row>
    <row r="141" spans="1:6">
      <c r="B141" s="340" t="s">
        <v>312</v>
      </c>
      <c r="C141" s="337">
        <f>Scenarios!C63</f>
        <v>2.1443334287647504</v>
      </c>
      <c r="D141" s="337">
        <f>Scenarios!D63</f>
        <v>10.633848627438129</v>
      </c>
      <c r="E141" s="338">
        <f>Scenarios!E63</f>
        <v>12.77818205620288</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15.265248374425582</v>
      </c>
      <c r="E144" s="338">
        <f>Scenarios!E66</f>
        <v>17.962831836381895</v>
      </c>
      <c r="F144" s="339">
        <f>E24</f>
        <v>8.6999999999999994E-2</v>
      </c>
    </row>
    <row r="145" spans="1:6">
      <c r="B145" s="340" t="s">
        <v>313</v>
      </c>
      <c r="C145" s="337">
        <f>Scenarios!C67</f>
        <v>2.7691177408033969</v>
      </c>
      <c r="D145" s="337">
        <f>Scenarios!D67</f>
        <v>15.892806823989963</v>
      </c>
      <c r="E145" s="338">
        <f>Scenarios!E67</f>
        <v>18.66192456479336</v>
      </c>
      <c r="F145" s="339">
        <f>Scenarios!F67</f>
        <v>7.2499999999999995E-2</v>
      </c>
    </row>
    <row r="147" spans="1:6" ht="13.9">
      <c r="A147" s="200" t="s">
        <v>476</v>
      </c>
      <c r="B147" s="34"/>
      <c r="C147" s="34"/>
      <c r="D147" s="34"/>
      <c r="E147" s="34"/>
      <c r="F147" s="34"/>
    </row>
    <row r="149" spans="1:6">
      <c r="B149" s="463" t="s">
        <v>358</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439</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6.6208619612742034E-2</v>
      </c>
      <c r="E92" s="238"/>
      <c r="G92" s="22">
        <f t="shared" ref="G92:Q92" si="38">IF(G$4="","",(G88*(1-dividend_tax_rate))/Market_Price)</f>
        <v>6.6208619612742034E-2</v>
      </c>
      <c r="H92" s="22">
        <f t="shared" si="38"/>
        <v>6.6208619612742034E-2</v>
      </c>
      <c r="I92" s="22">
        <f t="shared" si="38"/>
        <v>6.2460961898813235E-2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7.5559915281283932E-2</v>
      </c>
      <c r="D124" s="26"/>
      <c r="E124" s="235"/>
      <c r="F124" s="26"/>
      <c r="G124" s="74">
        <f t="shared" ref="G124" si="49">IF(G$4="","",G123/Market_Price)</f>
        <v>9.3652446886923257E-2</v>
      </c>
      <c r="H124" s="74">
        <f t="shared" ref="H124" si="50">IF(H$4="","",H123/Market_Price)</f>
        <v>0.10687828070554531</v>
      </c>
      <c r="I124" s="74">
        <f t="shared" ref="I124" si="51">IF(I$4="","",I123/Market_Price)</f>
        <v>9.0614196925440038E-2</v>
      </c>
      <c r="J124" s="74">
        <f t="shared" ref="J124" si="52">IF(J$4="","",J123/Market_Price)</f>
        <v>6.936981627431954E-2</v>
      </c>
      <c r="K124" s="74">
        <f t="shared" ref="K124" si="53">IF(K$4="","",K123/Market_Price)</f>
        <v>5.659807432679656E-2</v>
      </c>
      <c r="L124" s="74">
        <f t="shared" ref="L124" si="54">IF(L$4="","",L123/Market_Price)</f>
        <v>4.4765041273580719E-2</v>
      </c>
      <c r="M124" s="74">
        <f t="shared" ref="M124" si="55">IF(M$4="","",M123/Market_Price)</f>
        <v>2.6724858562962382E-2</v>
      </c>
      <c r="N124" s="74">
        <f t="shared" ref="N124" si="56">IF(N$4="","",N123/Market_Price)</f>
        <v>2.0903137116349658E-2</v>
      </c>
      <c r="O124" s="74">
        <f t="shared" ref="O124" si="57">IF(O$4="","",O123/Market_Price)</f>
        <v>2.0798883890937314E-2</v>
      </c>
      <c r="P124" s="74">
        <f t="shared" ref="P124" si="58">IF(P$4="","",P123/Market_Price)</f>
        <v>2.1415948009628441E-2</v>
      </c>
      <c r="Q124" s="74" t="str">
        <f t="shared" ref="Q124" si="59">IF(Q$4="","",Q123/Market_Price)</f>
        <v/>
      </c>
    </row>
    <row r="125" spans="1:17" ht="15.75" customHeight="1">
      <c r="B125" s="2" t="s">
        <v>306</v>
      </c>
      <c r="C125" s="151"/>
      <c r="G125" s="22">
        <f>IF(G$4="","",(Data!C47*$C$3)/(Market_Price*Common_Shares))</f>
        <v>9.190856577756186E-2</v>
      </c>
      <c r="H125" s="22">
        <f>IF(H$4="","",(Data!D47*$C$3)/(Market_Price*Common_Shares))</f>
        <v>0.10922972101855689</v>
      </c>
      <c r="I125" s="22">
        <f>IF(I$4="","",(Data!E47*$C$3)/(Market_Price*Common_Shares))</f>
        <v>9.0357758295205037E-2</v>
      </c>
      <c r="J125" s="22">
        <f>IF(J$4="","",(Data!F47*$C$3)/(Market_Price*Common_Shares))</f>
        <v>7.0105181281424775E-2</v>
      </c>
      <c r="K125" s="22">
        <f>IF(K$4="","",(Data!G47*$C$3)/(Market_Price*Common_Shares))</f>
        <v>5.5767504267222698E-2</v>
      </c>
      <c r="L125" s="22">
        <f>IF(L$4="","",(Data!H47*$C$3)/(Market_Price*Common_Shares))</f>
        <v>4.4758210300556649E-2</v>
      </c>
      <c r="M125" s="22">
        <f>IF(M$4="","",(Data!I47*$C$3)/(Market_Price*Common_Shares))</f>
        <v>2.6489728863523774E-2</v>
      </c>
      <c r="N125" s="22">
        <f>IF(N$4="","",(Data!J47*$C$3)/(Market_Price*Common_Shares))</f>
        <v>2.2316068291109648E-2</v>
      </c>
      <c r="O125" s="22">
        <f>IF(O$4="","",(Data!K47*$C$3)/(Market_Price*Common_Shares))</f>
        <v>1.7308877956356581E-2</v>
      </c>
      <c r="P125" s="22">
        <f>IF(P$4="","",(Data!L47*$C$3)/(Market_Price*Common_Shares))</f>
        <v>1.5452432095272995E-2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9618596465.5680351</v>
      </c>
      <c r="C56" s="118">
        <v>9715497815.6140995</v>
      </c>
      <c r="D56" s="118">
        <v>9812399165.6601639</v>
      </c>
      <c r="E56" s="118">
        <v>9909300515.7062283</v>
      </c>
      <c r="F56" s="118">
        <v>10006201865.752293</v>
      </c>
      <c r="G56" s="299"/>
      <c r="H56" s="299"/>
      <c r="I56" s="299"/>
      <c r="J56" s="299"/>
      <c r="K56" s="299"/>
      <c r="L56" s="299"/>
    </row>
    <row r="57" spans="1:21" ht="13.15">
      <c r="A57" s="131">
        <v>2</v>
      </c>
      <c r="B57" s="118">
        <v>9618596465.5680351</v>
      </c>
      <c r="C57" s="118">
        <v>9806752233.8393002</v>
      </c>
      <c r="D57" s="118">
        <v>9996715020.2932377</v>
      </c>
      <c r="E57" s="118">
        <v>10188484824.929855</v>
      </c>
      <c r="F57" s="118">
        <v>10382061647.749149</v>
      </c>
      <c r="G57" s="299"/>
      <c r="H57" s="299"/>
      <c r="I57" s="299"/>
      <c r="J57" s="299"/>
      <c r="K57" s="299"/>
      <c r="L57" s="299"/>
    </row>
    <row r="58" spans="1:21" ht="13.15">
      <c r="A58" s="131">
        <v>3</v>
      </c>
      <c r="B58" s="118">
        <v>9618596465.5680351</v>
      </c>
      <c r="C58" s="118">
        <v>9892688795.5245686</v>
      </c>
      <c r="D58" s="118">
        <v>10172008420.503714</v>
      </c>
      <c r="E58" s="118">
        <v>10456605886.46863</v>
      </c>
      <c r="F58" s="118">
        <v>10746531739.382467</v>
      </c>
      <c r="G58" s="299"/>
      <c r="H58" s="299"/>
      <c r="I58" s="299"/>
      <c r="J58" s="299"/>
      <c r="K58" s="299"/>
      <c r="L58" s="299"/>
    </row>
    <row r="59" spans="1:21" ht="13.15">
      <c r="A59" s="131">
        <v>4</v>
      </c>
      <c r="B59" s="118">
        <v>9618596465.5680351</v>
      </c>
      <c r="C59" s="118">
        <v>9973617399.0696697</v>
      </c>
      <c r="D59" s="118">
        <v>10338721024.899689</v>
      </c>
      <c r="E59" s="118">
        <v>10714102104.076962</v>
      </c>
      <c r="F59" s="118">
        <v>11099957282.784466</v>
      </c>
      <c r="G59" s="299"/>
      <c r="H59" s="299"/>
      <c r="I59" s="299"/>
      <c r="J59" s="299"/>
      <c r="K59" s="299"/>
      <c r="L59" s="299"/>
    </row>
    <row r="60" spans="1:21" ht="13.15">
      <c r="A60" s="131">
        <v>5</v>
      </c>
      <c r="B60" s="118">
        <v>9618596465.5680351</v>
      </c>
      <c r="C60" s="118">
        <v>10049829883.527061</v>
      </c>
      <c r="D60" s="118">
        <v>10497272872.43712</v>
      </c>
      <c r="E60" s="118">
        <v>10961394508.86632</v>
      </c>
      <c r="F60" s="118">
        <v>11442672961.234894</v>
      </c>
      <c r="G60" s="299"/>
      <c r="H60" s="299"/>
      <c r="I60" s="299"/>
      <c r="J60" s="299"/>
      <c r="K60" s="299"/>
      <c r="L60" s="299"/>
    </row>
    <row r="61" spans="1:21" ht="13.15">
      <c r="A61" s="131">
        <v>6</v>
      </c>
      <c r="B61" s="118">
        <v>9618596465.5680351</v>
      </c>
      <c r="C61" s="118">
        <v>10121601081.011408</v>
      </c>
      <c r="D61" s="118">
        <v>10648063440.724468</v>
      </c>
      <c r="E61" s="118">
        <v>11198887447.731621</v>
      </c>
      <c r="F61" s="118">
        <v>11775003316.095913</v>
      </c>
      <c r="G61" s="299"/>
      <c r="H61" s="299"/>
      <c r="I61" s="299"/>
      <c r="J61" s="299"/>
      <c r="K61" s="299"/>
      <c r="L61" s="299"/>
    </row>
    <row r="62" spans="1:21" ht="13.15">
      <c r="A62" s="131">
        <v>7</v>
      </c>
      <c r="B62" s="118">
        <v>9618596465.5680351</v>
      </c>
      <c r="C62" s="118">
        <v>10189189807.779888</v>
      </c>
      <c r="D62" s="118">
        <v>10791472652.522228</v>
      </c>
      <c r="E62" s="118">
        <v>11426969244.497364</v>
      </c>
      <c r="F62" s="118">
        <v>12097263054.142963</v>
      </c>
      <c r="G62" s="299"/>
      <c r="H62" s="299"/>
      <c r="I62" s="299"/>
      <c r="J62" s="299"/>
      <c r="K62" s="299"/>
      <c r="L62" s="299"/>
    </row>
    <row r="63" spans="1:21" ht="13.15">
      <c r="A63" s="131">
        <v>8</v>
      </c>
      <c r="B63" s="118">
        <v>9618596465.5680351</v>
      </c>
      <c r="C63" s="118">
        <v>10252839797.557198</v>
      </c>
      <c r="D63" s="118">
        <v>10927861832.973242</v>
      </c>
      <c r="E63" s="118">
        <v>11646012834.864468</v>
      </c>
      <c r="F63" s="118">
        <v>12409757345.582527</v>
      </c>
      <c r="G63" s="299"/>
      <c r="H63" s="299"/>
      <c r="I63" s="299"/>
      <c r="J63" s="299"/>
      <c r="K63" s="299"/>
      <c r="L63" s="299"/>
    </row>
    <row r="64" spans="1:21" ht="13.15">
      <c r="A64" s="131">
        <v>9</v>
      </c>
      <c r="B64" s="118">
        <v>9618596465.5680351</v>
      </c>
      <c r="C64" s="118">
        <v>10312780580.471025</v>
      </c>
      <c r="D64" s="118">
        <v>11057574619.975605</v>
      </c>
      <c r="E64" s="118">
        <v>11856376376.196041</v>
      </c>
      <c r="F64" s="118">
        <v>12712782113.039074</v>
      </c>
      <c r="G64" s="299"/>
      <c r="H64" s="299"/>
      <c r="I64" s="299"/>
      <c r="J64" s="299"/>
      <c r="K64" s="299"/>
      <c r="L64" s="299"/>
    </row>
    <row r="65" spans="1:21" ht="13.15">
      <c r="A65" s="131">
        <v>10</v>
      </c>
      <c r="B65" s="118">
        <v>9618596465.5680351</v>
      </c>
      <c r="C65" s="118">
        <v>10369228310.767498</v>
      </c>
      <c r="D65" s="118">
        <v>11180937829.99184</v>
      </c>
      <c r="E65" s="118">
        <v>12058403833.139187</v>
      </c>
      <c r="F65" s="118">
        <v>13006624311.784817</v>
      </c>
      <c r="G65" s="299"/>
      <c r="H65" s="299"/>
      <c r="I65" s="299"/>
      <c r="J65" s="299"/>
      <c r="K65" s="299"/>
      <c r="L65" s="299"/>
    </row>
    <row r="66" spans="1:21" ht="13.15">
      <c r="A66" s="131">
        <v>15</v>
      </c>
      <c r="B66" s="118">
        <v>9618596465.5680351</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9618596465.5680351</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9618596465.5680332</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9618596465.5680351</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18.070892554366154</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18.070892554366154</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18.070892554366154</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18.070892554366154</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18.070892554366154</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18.070892554366154</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18.070892554366154</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18.070892554366154</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18.070892554366154</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18.070892554366154</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18.070892554366154</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18.070892554366154</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18.07089255436615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18.070892554366154</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v>
      </c>
      <c r="D94" s="133">
        <f>Scenarios!D30</f>
        <v>5</v>
      </c>
      <c r="E94" s="127">
        <f>INDEX(B$73:F$87, MATCH(D94, A$73:A$87, 0), MATCH(C94, B$72:F$72, 0))</f>
        <v>18.070892554366154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v>
      </c>
      <c r="D30" s="329">
        <f>C18</f>
        <v>5</v>
      </c>
      <c r="E30" s="330">
        <f>DCF!E94</f>
        <v>18.070892554366154</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16.010000000000002</v>
      </c>
      <c r="D34" t="str">
        <f>Market_currency</f>
        <v>CNY</v>
      </c>
      <c r="E34" s="97" t="s">
        <v>455</v>
      </c>
      <c r="F34" s="334">
        <f>RATE(Holding_Period,$C$33,-C34,$C$36)</f>
        <v>0.13201257822477411</v>
      </c>
    </row>
    <row r="35" spans="2:7">
      <c r="B35" s="97" t="s">
        <v>435</v>
      </c>
      <c r="C35" s="324">
        <f>DCF!C11</f>
        <v>18.070892554366154</v>
      </c>
      <c r="D35" s="97" t="str">
        <f>Market_currency</f>
        <v>CNY</v>
      </c>
      <c r="E35" s="97" t="s">
        <v>455</v>
      </c>
      <c r="F35" s="334">
        <f>RATE(Holding_Period,$C$33,-C35,$C$36)</f>
        <v>8.4708196220257326E-2</v>
      </c>
    </row>
    <row r="36" spans="2:7">
      <c r="B36" s="97" t="s">
        <v>436</v>
      </c>
      <c r="C36" s="325">
        <f>E22*G22+E23*G23+E24*G24+E30*G30+E29*G29</f>
        <v>19.606158406839043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0.10606541621610127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8.3430461305698067</v>
      </c>
      <c r="E62" s="336">
        <f>C62+D62</f>
        <v>10.191091106864292</v>
      </c>
      <c r="F62" s="305">
        <f>Thesis!E22</f>
        <v>0.32950289523458665</v>
      </c>
      <c r="G62" s="445">
        <f>(1-E62/C36)</f>
        <v>0.48020969251633594</v>
      </c>
    </row>
    <row r="63" spans="2:7" ht="13.15">
      <c r="B63" s="306" t="s">
        <v>312</v>
      </c>
      <c r="C63" s="119">
        <f>PV(F63, Holding_Period, -C58, 0)</f>
        <v>2.1443334287647504</v>
      </c>
      <c r="D63" s="119">
        <f>C36/(1+F63)^Holding_Period</f>
        <v>10.633848627438129</v>
      </c>
      <c r="E63" s="336">
        <f>C63+D63</f>
        <v>12.77818205620288</v>
      </c>
      <c r="F63" s="305">
        <f>Thesis!E23</f>
        <v>0.22621703288100403</v>
      </c>
      <c r="G63" s="445">
        <f>(1-E63/C36)</f>
        <v>0.3482567165352709</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15.265248374425582</v>
      </c>
      <c r="E66" s="336">
        <f>C66+D66</f>
        <v>17.962831836381895</v>
      </c>
      <c r="F66" s="305">
        <f>Thesis!E24</f>
        <v>8.6999999999999994E-2</v>
      </c>
      <c r="G66" s="445">
        <f>(1-E66/C36)</f>
        <v>8.3816856742518264E-2</v>
      </c>
    </row>
    <row r="67" spans="2:7" ht="13.15">
      <c r="B67" s="306" t="s">
        <v>313</v>
      </c>
      <c r="C67" s="119">
        <f>PV(F67, Holding_Period, -C58, 0)</f>
        <v>2.7691177408033969</v>
      </c>
      <c r="D67" s="119">
        <f>C36/(1+F67)^Holding_Period</f>
        <v>15.892806823989963</v>
      </c>
      <c r="E67" s="336">
        <f>C67+D67</f>
        <v>18.66192456479336</v>
      </c>
      <c r="F67" s="305">
        <f>Thesis!E25</f>
        <v>7.2499999999999995E-2</v>
      </c>
      <c r="G67" s="445">
        <f>(1-E67/C36)</f>
        <v>4.8160063917279894E-2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16.010000000000002</v>
      </c>
    </row>
    <row r="9" spans="1:10">
      <c r="B9" s="355" t="s">
        <v>359</v>
      </c>
      <c r="C9" s="357">
        <f>Common_Shares</f>
        <v>576457000</v>
      </c>
    </row>
    <row r="10" spans="1:10">
      <c r="B10" s="355" t="s">
        <v>365</v>
      </c>
      <c r="C10" s="361">
        <f>投资主题!C8*Common_Shares/1000000</f>
        <v>9229.0765699999993</v>
      </c>
      <c r="D10" s="347" t="s">
        <v>529</v>
      </c>
      <c r="E10" s="364">
        <f>Scenarios!F34</f>
        <v>0.13201257822477411</v>
      </c>
    </row>
    <row r="11" spans="1:10">
      <c r="D11" s="353"/>
      <c r="E11" s="353"/>
    </row>
    <row r="12" spans="1:10" ht="24.5" customHeight="1">
      <c r="B12" s="467" t="s">
        <v>498</v>
      </c>
      <c r="C12" s="467"/>
      <c r="D12" s="467"/>
      <c r="E12" s="467"/>
      <c r="F12" s="467"/>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19.606158406839043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10.191091106864292</v>
      </c>
      <c r="D22" s="369" t="s">
        <v>441</v>
      </c>
      <c r="E22" s="370">
        <f>Thesis!E22</f>
        <v>0.32950289523458665</v>
      </c>
    </row>
    <row r="23" spans="1:6">
      <c r="B23" s="347" t="s">
        <v>339</v>
      </c>
      <c r="C23" s="371">
        <f>E141</f>
        <v>12.77818205620288</v>
      </c>
      <c r="D23" s="369" t="s">
        <v>442</v>
      </c>
      <c r="E23" s="372">
        <f>Thesis!E23</f>
        <v>0.22621703288100403</v>
      </c>
    </row>
    <row r="24" spans="1:6">
      <c r="B24" s="347" t="s">
        <v>341</v>
      </c>
      <c r="C24" s="371">
        <f>E144</f>
        <v>17.962831836381895</v>
      </c>
      <c r="D24" s="369" t="s">
        <v>444</v>
      </c>
      <c r="E24" s="372">
        <f>Thesis!E24</f>
        <v>8.6999999999999994E-2</v>
      </c>
    </row>
    <row r="25" spans="1:6">
      <c r="B25" s="347" t="s">
        <v>340</v>
      </c>
      <c r="C25" s="371">
        <f>E145</f>
        <v>18.66192456479336</v>
      </c>
      <c r="D25" s="369" t="s">
        <v>443</v>
      </c>
      <c r="E25" s="372">
        <f>Thesis!E25</f>
        <v>7.2499999999999995E-2</v>
      </c>
    </row>
    <row r="27" spans="1:6" ht="13.9">
      <c r="A27" s="349" t="s">
        <v>343</v>
      </c>
      <c r="B27" s="349"/>
      <c r="C27" s="349"/>
      <c r="D27" s="349"/>
      <c r="E27" s="349"/>
      <c r="F27" s="349"/>
    </row>
    <row r="29" spans="1:6">
      <c r="B29" s="467" t="s">
        <v>499</v>
      </c>
      <c r="C29" s="467"/>
      <c r="D29" s="467"/>
      <c r="E29" s="467"/>
      <c r="F29" s="467"/>
    </row>
    <row r="30" spans="1:6" ht="24.5" customHeight="1">
      <c r="B30" s="468" t="s">
        <v>500</v>
      </c>
      <c r="C30" s="468"/>
      <c r="D30" s="468"/>
      <c r="E30" s="468"/>
      <c r="F30" s="468"/>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69"/>
      <c r="D54" s="469"/>
      <c r="E54" s="469"/>
      <c r="F54" s="469"/>
    </row>
    <row r="55" spans="2:6">
      <c r="B55" s="376" t="s">
        <v>207</v>
      </c>
      <c r="C55" s="377">
        <f>Normalized_FCF!C17</f>
        <v>0</v>
      </c>
      <c r="D55" s="347" t="str">
        <f>Reporting_currency</f>
        <v>CNY</v>
      </c>
    </row>
    <row r="57" spans="2:6">
      <c r="B57" s="467" t="s">
        <v>508</v>
      </c>
      <c r="C57" s="467"/>
      <c r="D57" s="467"/>
      <c r="E57" s="467"/>
      <c r="F57" s="467"/>
    </row>
    <row r="58" spans="2:6">
      <c r="B58" s="467" t="s">
        <v>509</v>
      </c>
      <c r="C58" s="467"/>
      <c r="D58" s="467"/>
      <c r="E58" s="467"/>
      <c r="F58" s="467"/>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7.5559915281283932E-2</v>
      </c>
      <c r="F62" s="383"/>
    </row>
    <row r="63" spans="2:6">
      <c r="B63" s="381" t="s">
        <v>330</v>
      </c>
      <c r="C63" s="382">
        <f>Normalized_FCF!C92</f>
        <v>6.6208619612742034E-2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67" t="s">
        <v>510</v>
      </c>
      <c r="C73" s="467"/>
      <c r="D73" s="467"/>
      <c r="E73" s="467"/>
      <c r="F73" s="467"/>
    </row>
    <row r="74" spans="1:6">
      <c r="B74" s="468" t="s">
        <v>480</v>
      </c>
      <c r="C74" s="468"/>
      <c r="D74" s="468"/>
      <c r="E74" s="468"/>
      <c r="F74" s="468"/>
    </row>
    <row r="76" spans="1:6">
      <c r="B76" s="373" t="s">
        <v>369</v>
      </c>
    </row>
    <row r="77" spans="1:6">
      <c r="B77" s="467" t="s">
        <v>511</v>
      </c>
      <c r="C77" s="467"/>
      <c r="D77" s="467"/>
      <c r="E77" s="467"/>
      <c r="F77" s="467"/>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67" t="s">
        <v>514</v>
      </c>
      <c r="C96" s="467"/>
      <c r="D96" s="467"/>
      <c r="E96" s="467"/>
      <c r="F96" s="467"/>
    </row>
    <row r="97" spans="1:6">
      <c r="A97" s="389"/>
      <c r="B97" s="468" t="s">
        <v>515</v>
      </c>
      <c r="C97" s="468"/>
      <c r="D97" s="468"/>
      <c r="E97" s="468"/>
      <c r="F97" s="468"/>
    </row>
    <row r="98" spans="1:6">
      <c r="A98" s="389"/>
      <c r="B98" s="468" t="s">
        <v>516</v>
      </c>
      <c r="C98" s="468"/>
      <c r="D98" s="468"/>
      <c r="E98" s="468"/>
      <c r="F98" s="468"/>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67" t="s">
        <v>517</v>
      </c>
      <c r="C107" s="467"/>
      <c r="D107" s="467"/>
      <c r="E107" s="467"/>
      <c r="F107" s="467"/>
    </row>
    <row r="108" spans="1:6">
      <c r="A108" s="389"/>
      <c r="B108" s="467" t="s">
        <v>536</v>
      </c>
      <c r="C108" s="467"/>
      <c r="D108" s="467"/>
      <c r="E108" s="467"/>
      <c r="F108" s="467"/>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67" t="s">
        <v>518</v>
      </c>
      <c r="C114" s="467"/>
      <c r="D114" s="467"/>
      <c r="E114" s="467"/>
      <c r="F114" s="467"/>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v>
      </c>
      <c r="D122" s="406">
        <f>DCF!D94</f>
        <v>5</v>
      </c>
      <c r="E122" s="402" t="str">
        <f>ROUND(DCF!E94,2)&amp;" "&amp;Market_currency</f>
        <v>18.07 CNY</v>
      </c>
      <c r="F122" s="407">
        <f>DCF!F94</f>
        <v>0.05</v>
      </c>
    </row>
    <row r="124" spans="1:6">
      <c r="B124" s="466" t="s">
        <v>519</v>
      </c>
      <c r="C124" s="466"/>
      <c r="D124" s="466"/>
      <c r="E124" s="466"/>
      <c r="F124" s="466"/>
    </row>
    <row r="125" spans="1:6">
      <c r="B125" s="376" t="s">
        <v>218</v>
      </c>
      <c r="C125" s="408">
        <f>Scenarios!C36</f>
        <v>19.606158406839043</v>
      </c>
      <c r="D125" s="347" t="str">
        <f>Market_currency</f>
        <v>CNY</v>
      </c>
    </row>
    <row r="127" spans="1:6">
      <c r="B127" s="471" t="s">
        <v>520</v>
      </c>
      <c r="C127" s="471"/>
      <c r="D127" s="471"/>
      <c r="E127" s="471"/>
      <c r="F127" s="471"/>
    </row>
    <row r="129" spans="1:6" ht="13.9">
      <c r="A129" s="349" t="s">
        <v>493</v>
      </c>
      <c r="B129" s="349"/>
      <c r="C129" s="349"/>
      <c r="D129" s="349"/>
      <c r="E129" s="349"/>
      <c r="F129" s="349"/>
    </row>
    <row r="131" spans="1:6">
      <c r="B131" s="472" t="s">
        <v>521</v>
      </c>
      <c r="C131" s="472"/>
      <c r="D131" s="472"/>
      <c r="E131" s="472"/>
      <c r="F131" s="472"/>
    </row>
    <row r="132" spans="1:6" ht="24.5" customHeight="1">
      <c r="B132" s="467" t="s">
        <v>522</v>
      </c>
      <c r="C132" s="467"/>
      <c r="D132" s="467"/>
      <c r="E132" s="467"/>
      <c r="F132" s="467"/>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8.3430461305698067</v>
      </c>
      <c r="E140" s="414">
        <f>Scenarios!E62</f>
        <v>10.191091106864292</v>
      </c>
      <c r="F140" s="415">
        <f>E22</f>
        <v>0.32950289523458665</v>
      </c>
    </row>
    <row r="141" spans="1:6">
      <c r="B141" s="412" t="s">
        <v>312</v>
      </c>
      <c r="C141" s="413">
        <f>Scenarios!C63</f>
        <v>2.1443334287647504</v>
      </c>
      <c r="D141" s="413">
        <f>Scenarios!D63</f>
        <v>10.633848627438129</v>
      </c>
      <c r="E141" s="414">
        <f>Scenarios!E63</f>
        <v>12.77818205620288</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15.265248374425582</v>
      </c>
      <c r="E144" s="414">
        <f>Scenarios!E66</f>
        <v>17.962831836381895</v>
      </c>
      <c r="F144" s="415">
        <f>E24</f>
        <v>8.6999999999999994E-2</v>
      </c>
    </row>
    <row r="145" spans="1:6">
      <c r="B145" s="412" t="s">
        <v>313</v>
      </c>
      <c r="C145" s="413">
        <f>Scenarios!C67</f>
        <v>2.7691177408033969</v>
      </c>
      <c r="D145" s="413">
        <f>Scenarios!D67</f>
        <v>15.892806823989963</v>
      </c>
      <c r="E145" s="414">
        <f>Scenarios!E67</f>
        <v>18.66192456479336</v>
      </c>
      <c r="F145" s="415">
        <f>Scenarios!F67</f>
        <v>7.2499999999999995E-2</v>
      </c>
    </row>
    <row r="147" spans="1:6" ht="13.9">
      <c r="A147" s="349" t="s">
        <v>476</v>
      </c>
      <c r="B147" s="349"/>
      <c r="C147" s="349"/>
      <c r="D147" s="349"/>
      <c r="E147" s="349"/>
      <c r="F147" s="349"/>
    </row>
    <row r="149" spans="1:6">
      <c r="B149" s="473" t="s">
        <v>523</v>
      </c>
      <c r="C149" s="467"/>
      <c r="D149" s="467"/>
      <c r="E149" s="467"/>
      <c r="F149" s="467"/>
    </row>
    <row r="151" spans="1:6">
      <c r="B151" s="373" t="s">
        <v>382</v>
      </c>
    </row>
    <row r="152" spans="1:6">
      <c r="B152" s="469" t="s">
        <v>524</v>
      </c>
      <c r="C152" s="469"/>
      <c r="D152" s="469"/>
      <c r="E152" s="469"/>
      <c r="F152" s="469"/>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70" t="s">
        <v>386</v>
      </c>
      <c r="C161" s="470"/>
      <c r="D161" s="470"/>
      <c r="E161" s="470"/>
      <c r="F161" s="470"/>
    </row>
    <row r="162" spans="2:6">
      <c r="B162" s="470" t="s">
        <v>387</v>
      </c>
      <c r="C162" s="470"/>
      <c r="D162" s="470"/>
      <c r="E162" s="470"/>
      <c r="F162" s="470"/>
    </row>
    <row r="164" spans="2:6">
      <c r="B164" s="347" t="s">
        <v>527</v>
      </c>
    </row>
    <row r="165" spans="2:6">
      <c r="B165" s="416" t="s">
        <v>388</v>
      </c>
    </row>
    <row r="166" spans="2:6">
      <c r="B166" s="416" t="s">
        <v>389</v>
      </c>
    </row>
    <row r="167" spans="2:6">
      <c r="B167" s="416"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