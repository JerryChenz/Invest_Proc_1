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A8969FC-2C94-4F33-8CE2-441650D61AC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31" i="2"/>
  <c r="C4" i="2"/>
  <c r="C19" i="3"/>
  <c r="G4" i="3"/>
  <c r="C4" i="3"/>
  <c r="C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<sst xmlns="http://schemas.openxmlformats.org/spreadsheetml/2006/main" count="766" uniqueCount="555">
  <si>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</si>
  <si>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</si>
  <si>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</si>
  <si>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</si>
  <si>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</si>
  <si>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</si>
  <si>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</si>
  <si>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</si>
  <si>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</si>
  <si>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</si>
  <si>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</si>
  <si>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</si>
  <si>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</si>
  <si>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</si>
  <si>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</si>
  <si>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</si>
  <si>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</si>
  <si>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</si>
  <si>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</si>
  <si>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</si>
  <si>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</si>
  <si>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</si>
  <si>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</si>
  <si>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</si>
  <si>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</si>
  <si>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</si>
  <si>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</si>
  <si>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</si>
  <si>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</si>
  <si>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</si>
  <si>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</si>
  <si>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</si>
  <si>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</si>
  <si>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</si>
  <si>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</si>
  <si>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</si>
  <si>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</si>
  <si>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</si>
  <si>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</si>
  <si>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</si>
  <si>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</si>
  <si>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</si>
  <si>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</si>
  <si>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</si>
  <si>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</si>
  <si>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</si>
  <si>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</si>
  <si>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</si>
  <si>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</si>
  <si>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</si>
  <si>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</si>
  <si>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</si>
  <si>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</si>
  <si>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</si>
  <si>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</si>
  <si>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</si>
  <si>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</si>
  <si>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</si>
  <si>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</si>
  <si>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</si>
  <si>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</si>
  <si>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</si>
  <si>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</si>
  <si>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</si>
  <si>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</si>
  <si>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</si>
  <si>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</si>
  <si>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</si>
  <si>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</si>
  <si>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</si>
  <si>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</si>
  <si>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</si>
  <si>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</si>
  <si>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</si>
  <si>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</si>
  <si>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</si>
  <si>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</si>
  <si>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</si>
  <si>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</si>
  <si>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</si>
  <si>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</si>
  <si>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</si>
  <si>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</si>
  <si>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</si>
  <si>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</si>
  <si>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</si>
  <si>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</si>
  <si>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</si>
  <si>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</si>
  <si>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</si>
  <si>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</si>
  <si>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</si>
  <si>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</si>
  <si>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</si>
  <si>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</si>
  <si>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</si>
  <si>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</si>
  <si>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</si>
  <si>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</si>
  <si>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</si>
  <si>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</si>
  <si>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</si>
  <si>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</si>
  <si>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</si>
  <si>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</si>
  <si>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</si>
  <si>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</si>
  <si>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</si>
  <si>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</si>
  <si>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</si>
  <si>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</si>
  <si>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</si>
  <si>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</si>
  <si>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</si>
  <si>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</si>
  <si>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</si>
  <si>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</si>
  <si>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</si>
  <si>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</si>
  <si>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</si>
  <si>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</si>
  <si>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</si>
  <si>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</si>
  <si>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</si>
  <si>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</si>
  <si>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</si>
  <si>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</si>
  <si>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</si>
  <si>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</si>
  <si>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</si>
  <si>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</si>
  <si>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</si>
  <si>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</si>
  <si>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</si>
  <si>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</si>
  <si>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</si>
  <si>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</si>
  <si>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</si>
  <si>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</si>
  <si>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</si>
  <si>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</si>
  <si>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</si>
  <si>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</si>
  <si>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</si>
  <si>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</si>
  <si>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</si>
  <si>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</si>
  <si>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</si>
  <si>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</si>
  <si>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</si>
  <si>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</si>
  <si>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</si>
  <si>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</si>
  <si>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</si>
  <si>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</si>
  <si>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</si>
  <si>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</si>
  <si>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</si>
  <si>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</si>
  <si>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</si>
  <si>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</si>
  <si>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</si>
  <si>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</si>
  <si>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</si>
  <si>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</si>
  <si>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</si>
  <si>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</si>
  <si>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</si>
  <si>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</si>
  <si>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</si>
  <si>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</si>
  <si>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</si>
  <si>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</si>
  <si>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</si>
  <si>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</si>
  <si>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</si>
  <si>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</si>
  <si>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</si>
  <si>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</si>
  <si>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</si>
  <si>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</si>
  <si>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</si>
  <si>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</si>
  <si>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</si>
  <si>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</si>
  <si>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</si>
  <si>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</si>
  <si>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</si>
  <si>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</si>
  <si>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</si>
  <si>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</si>
  <si>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</si>
  <si>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</si>
  <si>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</si>
  <si>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</si>
  <si>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</si>
  <si>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</si>
  <si>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</si>
  <si>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</si>
  <si>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</si>
  <si>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</si>
  <si>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</si>
  <si>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</si>
  <si>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</si>
  <si>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</si>
  <si>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</si>
  <si>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</si>
  <si>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</si>
  <si>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</si>
  <si>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</si>
  <si>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</si>
  <si>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</si>
  <si>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</si>
  <si>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</si>
  <si>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</si>
  <si>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</si>
  <si>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</si>
  <si>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</si>
  <si>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</si>
  <si>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</si>
  <si>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</si>
  <si>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</si>
  <si>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</si>
  <si>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</si>
  <si>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</si>
  <si>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</si>
  <si>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</si>
  <si>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</si>
  <si>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</si>
  <si>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</si>
  <si>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</si>
  <si>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</si>
  <si>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</si>
  <si>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</si>
  <si>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</si>
  <si>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</si>
  <si>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</si>
  <si>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</si>
  <si>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</si>
  <si>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</si>
  <si>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</si>
  <si>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</si>
  <si>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</si>
  <si>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</si>
  <si>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</si>
  <si>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</si>
  <si>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</si>
  <si>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</si>
  <si>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</si>
  <si>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</si>
  <si>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</si>
  <si>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</si>
  <si>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</si>
  <si>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</si>
  <si>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</si>
  <si>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</si>
  <si>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</si>
  <si>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</si>
  <si>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</si>
  <si>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</si>
  <si>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</si>
  <si>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</si>
  <si>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</si>
  <si>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</si>
  <si>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</si>
  <si>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</si>
  <si>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</si>
  <si>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</si>
  <si>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</si>
  <si>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</si>
  <si>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</si>
  <si>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</si>
  <si>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</si>
  <si>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</si>
  <si>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</si>
  <si>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</si>
  <si>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</si>
  <si>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</si>
  <si>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</si>
  <si>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</si>
  <si>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</si>
  <si>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</si>
  <si>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</si>
  <si>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</si>
  <si>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</si>
  <si>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</si>
  <si>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</si>
  <si>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</si>
  <si>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</si>
  <si>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</si>
  <si>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</si>
  <si>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</si>
  <si>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</si>
  <si>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</si>
  <si>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</si>
  <si>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</si>
  <si>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</si>
  <si>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</si>
  <si>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</si>
  <si>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</si>
  <si>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</si>
  <si>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</si>
  <si>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</si>
  <si>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</si>
  <si>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</si>
  <si>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</si>
  <si>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</si>
  <si>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</si>
  <si>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</si>
  <si>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</si>
  <si>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</si>
  <si>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</si>
  <si>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</si>
  <si>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</si>
  <si>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</si>
  <si>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</si>
  <si>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</si>
  <si>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</si>
  <si>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</si>
  <si>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</si>
  <si>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</si>
  <si>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</si>
  <si>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</si>
  <si>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</si>
  <si>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</si>
  <si>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</si>
  <si>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</si>
  <si>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</si>
  <si>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</si>
  <si>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</si>
  <si>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</si>
  <si>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</si>
  <si>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</si>
  <si>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</si>
  <si>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</si>
  <si>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</si>
  <si>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</si>
  <si>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</si>
  <si>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</si>
  <si>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</si>
  <si>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</si>
  <si>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</si>
  <si>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</si>
  <si>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</si>
  <si>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</si>
  <si>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</si>
  <si>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</si>
  <si>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</si>
  <si>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</si>
  <si>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</si>
  <si>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</si>
  <si>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</si>
  <si>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</si>
  <si>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</si>
  <si>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</si>
  <si>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</si>
  <si>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</si>
  <si>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</si>
  <si>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</si>
  <si>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</si>
  <si>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</si>
  <si>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</si>
  <si>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</si>
  <si>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</si>
  <si>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</si>
  <si>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</si>
  <si>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</si>
  <si>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</si>
  <si>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</si>
  <si>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</si>
  <si>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</si>
  <si>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</si>
  <si>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</si>
  <si>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</si>
  <si>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</si>
  <si>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</si>
  <si>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</si>
  <si>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</si>
  <si>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</si>
  <si>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</si>
  <si>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</si>
  <si>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</si>
  <si>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</si>
  <si>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</si>
  <si>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</si>
  <si>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</si>
  <si>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</si>
  <si>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</si>
  <si>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</si>
  <si>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</si>
  <si>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</si>
  <si>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</si>
  <si>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</si>
  <si>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</si>
  <si>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</si>
  <si>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</si>
  <si>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</si>
  <si>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</si>
  <si>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</si>
  <si>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</si>
  <si>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</si>
  <si>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</si>
  <si>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</si>
  <si>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</si>
  <si>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</si>
  <si>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</si>
  <si>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</si>
  <si>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</si>
  <si>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</si>
  <si>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</si>
  <si>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</si>
  <si>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</si>
  <si>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</si>
  <si>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</si>
  <si>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</si>
  <si>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</si>
  <si>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</si>
  <si>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</si>
  <si>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</si>
  <si>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</si>
  <si>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</si>
  <si>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</si>
  <si>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</si>
  <si>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</si>
  <si>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</si>
  <si>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</si>
  <si>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</si>
  <si>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</si>
  <si>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</si>
  <si>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</si>
  <si>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</si>
  <si>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</si>
  <si>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</si>
  <si>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</si>
  <si>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</si>
  <si>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</si>
  <si>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</si>
  <si>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</si>
  <si>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</si>
  <si>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</si>
  <si>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</si>
  <si>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</si>
  <si>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</si>
  <si>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</si>
  <si>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</si>
  <si>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</si>
  <si>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</si>
  <si>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</si>
  <si>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</si>
  <si>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</si>
  <si>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</si>
  <si>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</si>
  <si>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</si>
  <si>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</si>
  <si>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</si>
  <si>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</si>
  <si>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</si>
  <si>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</si>
  <si>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</si>
  <si>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</si>
  <si>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</si>
  <si>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</si>
  <si>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</si>
  <si>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</si>
  <si>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</si>
  <si>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</si>
  <si>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</si>
  <si>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</si>
  <si>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</si>
  <si>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</si>
  <si>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</si>
  <si>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</si>
  <si>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</si>
  <si>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</si>
  <si>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</si>
  <si>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</si>
  <si>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</si>
  <si>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</si>
  <si>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</si>
  <si>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</si>
  <si>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</si>
  <si>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</si>
  <si>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</si>
  <si>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</si>
  <si>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</si>
  <si>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</si>
  <si>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</si>
  <si>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</si>
  <si>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</si>
  <si>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</si>
  <si>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</si>
  <si>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</si>
  <si>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</si>
  <si>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</si>
  <si>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</si>
  <si>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</si>
  <si>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</si>
  <si>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</si>
  <si>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</si>
  <si>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</si>
  <si>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</si>
  <si>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</si>
  <si>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</si>
  <si>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</si>
  <si>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</si>
  <si>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</si>
  <si>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</si>
  <si>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</si>
  <si>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</si>
  <si>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</si>
  <si>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</si>
  <si>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</si>
  <si>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</si>
  <si>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</si>
  <si>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</si>
  <si>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</si>
  <si>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</si>
  <si>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</si>
  <si>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</si>
  <si>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</si>
  <si>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</si>
  <si>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</si>
  <si>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</si>
  <si>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</si>
  <si>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</si>
  <si>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</si>
  <si>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</si>
  <si>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</si>
  <si>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</si>
  <si>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</si>
  <si>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</si>
  <si>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</si>
  <si>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</si>
  <si>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</si>
  <si>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</si>
  <si>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</si>
  <si>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</si>
  <si>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</si>
  <si>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</si>
  <si>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</si>
  <si>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</si>
  <si>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</si>
  <si>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</si>
  <si>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</si>
  <si>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</si>
  <si>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</si>
  <si>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</si>
  <si>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</si>
  <si>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</si>
  <si>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</si>
  <si>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t>
  </si>
  <si>
    <t>景津装备</t>
  </si>
  <si>
    <t>603279.SS</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</si>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</sst>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6" sqref="C1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538</v>
      </c>
      <c r="F3" s="434">
        <v>45938</v>
      </c>
    </row>
    <row r="4" spans="1:9" ht="12.4">
      <c r="B4" s="426" t="s">
        <v>533</v>
      </c>
      <c r="C4" s="425" t="s">
        <v>551</v>
      </c>
      <c r="E4" s="435" t="s">
        <v>537</v>
      </c>
      <c r="F4" s="436" t="s">
        <v>550</v>
      </c>
    </row>
    <row r="5" spans="1:9">
      <c r="B5" s="1" t="s">
        <v>347</v>
      </c>
      <c r="C5" s="46" t="s">
        <v>552</v>
      </c>
      <c r="E5" s="438" t="s">
        <v>539</v>
      </c>
      <c r="F5" s="437" t="s">
        <v>547</v>
      </c>
    </row>
    <row r="6" spans="1:9">
      <c r="B6" s="2" t="s">
        <v>53</v>
      </c>
      <c r="C6" s="45" t="s">
        <v>553</v>
      </c>
      <c r="D6" s="45"/>
      <c r="E6" s="45"/>
    </row>
    <row r="7" spans="1:9">
      <c r="B7" s="1" t="s">
        <v>349</v>
      </c>
      <c r="C7" s="45" t="s">
        <v>554</v>
      </c>
      <c r="D7" s="45"/>
      <c r="E7" s="45"/>
    </row>
    <row r="8" spans="1:9">
      <c r="B8" s="4" t="s">
        <v>348</v>
      </c>
      <c r="C8" s="47">
        <v>15.29</v>
      </c>
      <c r="E8" s="32"/>
    </row>
    <row r="9" spans="1:9">
      <c r="B9" s="4" t="s">
        <v>344</v>
      </c>
      <c r="C9" s="48">
        <v>576457000</v>
      </c>
    </row>
    <row r="10" spans="1:9">
      <c r="B10" s="4" t="s">
        <v>350</v>
      </c>
      <c r="C10" s="33">
        <f>Thesis!C8*Common_Shares/1000000</f>
        <v>8814.0275299999994</v>
      </c>
      <c r="D10" s="1" t="s">
        <v>528</v>
      </c>
      <c r="E10" s="307">
        <f>Scenarios!F34</f>
        <v>0.1493362796876366</v>
      </c>
    </row>
    <row r="11" spans="1:9">
      <c r="D11" s="5"/>
      <c r="E11" s="5"/>
    </row>
    <row r="12" spans="1:9" ht="24.5" customHeight="1">
      <c r="B12" s="458" t="s">
        <v>353</v>
      </c>
      <c r="C12" s="458"/>
      <c r="D12" s="458"/>
      <c r="E12" s="458"/>
      <c r="F12" s="458"/>
    </row>
    <row r="14" spans="1:9">
      <c r="B14" s="42" t="str">
        <f>Scenarios!B39&amp;" Valuation Conclusion"</f>
        <v>1-stage DCF Valuation Conclusion</v>
      </c>
      <c r="C14" s="43"/>
    </row>
    <row r="15" spans="1:9">
      <c r="B15" s="1" t="s">
        <v>318</v>
      </c>
      <c r="C15" s="422" t="s">
        <v>547</v>
      </c>
      <c r="D15" s="4" t="s">
        <v>351</v>
      </c>
      <c r="E15" s="256" t="str">
        <f>IF(E17=C7,C7,E17&amp;"/"&amp;C7)</f>
        <v>CNY</v>
      </c>
    </row>
    <row r="16" spans="1:9">
      <c r="B16" s="1" t="s">
        <v>319</v>
      </c>
      <c r="C16" s="422" t="s">
        <v>547</v>
      </c>
      <c r="D16" s="4" t="s">
        <v>352</v>
      </c>
      <c r="E16" s="421">
        <v>1</v>
      </c>
    </row>
    <row r="17" spans="1:6">
      <c r="B17" s="1" t="s">
        <v>532</v>
      </c>
      <c r="C17" s="420">
        <v>0</v>
      </c>
      <c r="D17" s="4" t="s">
        <v>274</v>
      </c>
      <c r="E17" s="224" t="s">
        <v>554</v>
      </c>
    </row>
    <row r="18" spans="1:6">
      <c r="B18" s="1" t="str">
        <f>"Expected Equity Value ("&amp;C7&amp;") :"</f>
        <v>Expected Equity Value (CNY) :</v>
      </c>
      <c r="C18" s="255">
        <f>C125</f>
        <v>19.53540989503373</v>
      </c>
      <c r="D18" s="2" t="s">
        <v>345</v>
      </c>
      <c r="E18" s="423">
        <v>6</v>
      </c>
    </row>
    <row r="19" spans="1:6">
      <c r="B19" s="2" t="s">
        <v>275</v>
      </c>
      <c r="C19" s="31" t="str">
        <f>IF(Scenarios!C50="Y",Scenarios!B50,"")&amp;IF(Scenarios!C51="Y",Scenarios!B51,"")&amp;IF(Scenarios!C52="Y",Scenarios!B52,"")&amp;" "&amp;IF(Scenarios!C53="Y",Scenarios!B53,"")</f>
        <v xml:space="preserve">Low Growth </v>
      </c>
      <c r="D19" s="1" t="s">
        <v>346</v>
      </c>
      <c r="E19" s="424">
        <f>EOMONTH(EDATE(BS!C1,E18+2),0)</f>
        <v>46081</v>
      </c>
    </row>
    <row r="20" spans="1:6">
      <c r="D20" s="5"/>
      <c r="E20" s="5"/>
    </row>
    <row r="21" spans="1:6">
      <c r="B21" s="42" t="s">
        <v>404</v>
      </c>
      <c r="C21" s="257" t="str">
        <f>C138&amp;" ("&amp;Market_currency&amp;")"</f>
        <v xml:space="preserve"> (CNY)</v>
      </c>
      <c r="D21" s="31" t="s">
        <v>315</v>
      </c>
      <c r="E21" s="447">
        <v>3</v>
      </c>
    </row>
    <row r="22" spans="1:6">
      <c r="B22" s="1" t="s">
        <v>311</v>
      </c>
      <c r="C22" s="258">
        <f>E140</f>
        <v>10.160985357159904</v>
      </c>
      <c r="D22" s="38" t="s">
        <v>406</v>
      </c>
      <c r="E22" s="79">
        <v>0.32950289523458665</v>
      </c>
    </row>
    <row r="23" spans="1:6">
      <c r="B23" s="1" t="s">
        <v>312</v>
      </c>
      <c r="C23" s="259">
        <f>E141</f>
        <v>12.739809982003386</v>
      </c>
      <c r="D23" s="38" t="s">
        <v>407</v>
      </c>
      <c r="E23" s="448">
        <v>0.22621703288100403</v>
      </c>
    </row>
    <row r="24" spans="1:6">
      <c r="B24" s="1" t="s">
        <v>314</v>
      </c>
      <c r="C24" s="259">
        <f>E144</f>
        <v>17.90774742961446</v>
      </c>
      <c r="D24" s="38" t="s">
        <v>408</v>
      </c>
      <c r="E24" s="448">
        <v>8.6999999999999994E-2</v>
      </c>
    </row>
    <row r="25" spans="1:6">
      <c r="B25" s="1" t="s">
        <v>313</v>
      </c>
      <c r="C25" s="259">
        <f>E145</f>
        <v>18.604575623309014</v>
      </c>
      <c r="D25" s="38" t="s">
        <v>409</v>
      </c>
      <c r="E25" s="449">
        <v>7.2499999999999995E-2</v>
      </c>
    </row>
    <row r="26" spans="1:6">
      <c r="D26" s="5"/>
      <c r="E26" s="5"/>
    </row>
    <row r="27" spans="1:6" ht="13.9">
      <c r="A27" s="200" t="s">
        <v>280</v>
      </c>
      <c r="B27" s="34"/>
      <c r="C27" s="34"/>
      <c r="D27" s="34"/>
      <c r="E27" s="34"/>
      <c r="F27" s="34"/>
    </row>
    <row r="29" spans="1:6">
      <c r="B29" s="458" t="s">
        <v>354</v>
      </c>
      <c r="C29" s="458"/>
      <c r="D29" s="458"/>
      <c r="E29" s="458"/>
      <c r="F29" s="458"/>
    </row>
    <row r="30" spans="1:6" ht="24.5" customHeight="1">
      <c r="B30" s="462" t="s">
        <v>266</v>
      </c>
      <c r="C30" s="462"/>
      <c r="D30" s="462"/>
      <c r="E30" s="462"/>
      <c r="F30" s="462"/>
    </row>
    <row r="32" spans="1:6">
      <c r="B32" s="192" t="s">
        <v>195</v>
      </c>
      <c r="C32" s="105">
        <f>scaling_factor</f>
        <v>1</v>
      </c>
    </row>
    <row r="33" spans="2:6" ht="24.5" customHeight="1">
      <c r="B33" s="459" t="s">
        <v>196</v>
      </c>
      <c r="C33" s="459"/>
      <c r="D33" s="459"/>
      <c r="E33" s="459"/>
      <c r="F33" s="459"/>
    </row>
    <row r="34" spans="2:6">
      <c r="B34" s="44" t="s">
        <v>197</v>
      </c>
      <c r="C34" s="289">
        <f>Normalized_FCF!C8</f>
        <v>936713050.44528866</v>
      </c>
      <c r="D34" s="1" t="str">
        <f>Reporting_currency</f>
        <v>CNY</v>
      </c>
    </row>
    <row r="35" spans="2:6">
      <c r="B35" s="44"/>
      <c r="C35" s="73"/>
    </row>
    <row r="36" spans="2:6" ht="24.5" customHeight="1">
      <c r="B36" s="459" t="s">
        <v>198</v>
      </c>
      <c r="C36" s="459"/>
      <c r="D36" s="459"/>
      <c r="E36" s="459"/>
      <c r="F36" s="459"/>
    </row>
    <row r="37" spans="2:6">
      <c r="B37" s="44" t="s">
        <v>199</v>
      </c>
      <c r="C37" s="289">
        <f>Normalized_FCF!C15</f>
        <v>213321214.99999997</v>
      </c>
      <c r="D37" s="1" t="str">
        <f>Reporting_currency</f>
        <v>CNY</v>
      </c>
    </row>
    <row r="38" spans="2:6">
      <c r="B38" s="49" t="s">
        <v>200</v>
      </c>
      <c r="C38" s="289">
        <f>Normalized_FCF!C16</f>
        <v>-213321215</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5092607.8927547112</v>
      </c>
      <c r="D44" s="1" t="str">
        <f>Reporting_currency</f>
        <v>CNY</v>
      </c>
      <c r="E44" s="247"/>
      <c r="F44" s="247"/>
    </row>
    <row r="45" spans="2:6">
      <c r="B45" s="44" t="s">
        <v>268</v>
      </c>
      <c r="C45" s="290">
        <f>Normalized_FCF!C45</f>
        <v>-12007999.9998</v>
      </c>
      <c r="D45" s="1" t="str">
        <f>Reporting_currency</f>
        <v>CNY</v>
      </c>
      <c r="E45" s="247"/>
      <c r="F45" s="247"/>
    </row>
    <row r="46" spans="2:6">
      <c r="B46" s="44" t="s">
        <v>203</v>
      </c>
      <c r="C46" s="289">
        <f>Normalized_FCF!C10</f>
        <v>-6915392.1070452891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-232449414.58456084</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864325603.28727293</v>
      </c>
      <c r="D60" s="1" t="str">
        <f>Reporting_currency</f>
        <v>CNY</v>
      </c>
    </row>
    <row r="61" spans="2:6">
      <c r="B61" s="44" t="s">
        <v>213</v>
      </c>
      <c r="C61" s="289">
        <f>Normalized_FCF!C19</f>
        <v>697348243.75368249</v>
      </c>
      <c r="D61" s="1" t="str">
        <f>Reporting_currency</f>
        <v>CNY</v>
      </c>
    </row>
    <row r="62" spans="2:6">
      <c r="B62" s="204" t="s">
        <v>302</v>
      </c>
      <c r="C62" s="89">
        <f>Normalized_FCF!C124</f>
        <v>7.9118001546982064E-2</v>
      </c>
      <c r="F62" s="260"/>
    </row>
    <row r="63" spans="2:6">
      <c r="B63" s="204" t="s">
        <v>330</v>
      </c>
      <c r="C63" s="89">
        <f>Normalized_FCF!C92</f>
        <v>6.9326357096141281E-2</v>
      </c>
      <c r="E63" s="44" t="s">
        <v>321</v>
      </c>
      <c r="F63" s="261">
        <f>Normalized_FCF!C90</f>
        <v>0.87623999267693475</v>
      </c>
    </row>
    <row r="65" spans="1:6">
      <c r="B65" s="192" t="s">
        <v>323</v>
      </c>
      <c r="C65" s="267" t="s">
        <v>325</v>
      </c>
      <c r="D65" s="267" t="s">
        <v>326</v>
      </c>
    </row>
    <row r="66" spans="1:6">
      <c r="B66" s="44" t="s">
        <v>324</v>
      </c>
      <c r="C66" s="89">
        <f>Normalized_FCF!C119</f>
        <v>0.20154037903826943</v>
      </c>
      <c r="D66" s="89">
        <f>Normalized_FCF!G119</f>
        <v>0.24386051357303667</v>
      </c>
    </row>
    <row r="67" spans="1:6">
      <c r="B67" s="229" t="str">
        <f>Normalized_FCF!B116</f>
        <v>Pre-tax Profit/Sales</v>
      </c>
      <c r="C67" s="266">
        <f>Normalized_FCF!C116</f>
        <v>0.1716039508794045</v>
      </c>
      <c r="D67" s="266">
        <f>Normalized_FCF!G116</f>
        <v>0.18354626843871594</v>
      </c>
    </row>
    <row r="68" spans="1:6">
      <c r="B68" s="229" t="str">
        <f>Normalized_FCF!B117</f>
        <v>Sales/Total Assets</v>
      </c>
      <c r="C68" s="268">
        <f>Normalized_FCF!C117</f>
        <v>0.60365585063636729</v>
      </c>
      <c r="D68" s="268">
        <f>Normalized_FCF!G117</f>
        <v>0.68288968092621871</v>
      </c>
    </row>
    <row r="69" spans="1:6">
      <c r="B69" s="229" t="str">
        <f>Normalized_FCF!B118</f>
        <v>Total Assets/Equity</v>
      </c>
      <c r="C69" s="268">
        <f>Normalized_FCF!C118</f>
        <v>1.9455633401039498</v>
      </c>
      <c r="D69" s="268">
        <f>Normalized_FCF!G118</f>
        <v>1.9455633401039498</v>
      </c>
    </row>
    <row r="71" spans="1:6" ht="13.9">
      <c r="A71" s="200" t="s">
        <v>478</v>
      </c>
      <c r="B71" s="34"/>
      <c r="C71" s="34"/>
      <c r="D71" s="34"/>
      <c r="E71" s="34"/>
      <c r="F71" s="34"/>
    </row>
    <row r="72" spans="1:6">
      <c r="A72" s="191"/>
    </row>
    <row r="73" spans="1:6">
      <c r="A73" s="191"/>
      <c r="B73" s="458" t="s">
        <v>479</v>
      </c>
      <c r="C73" s="458"/>
      <c r="D73" s="458"/>
      <c r="E73" s="458"/>
      <c r="F73" s="458"/>
    </row>
    <row r="74" spans="1:6">
      <c r="A74" s="191"/>
      <c r="B74" s="1" t="s">
        <v>466</v>
      </c>
    </row>
    <row r="75" spans="1:6">
      <c r="A75" s="191"/>
    </row>
    <row r="76" spans="1:6">
      <c r="A76" s="191"/>
      <c r="B76" s="192" t="s">
        <v>195</v>
      </c>
    </row>
    <row r="77" spans="1:6">
      <c r="A77" s="191"/>
      <c r="B77" s="458" t="s">
        <v>271</v>
      </c>
      <c r="C77" s="458"/>
      <c r="D77" s="458"/>
      <c r="E77" s="458"/>
      <c r="F77" s="458"/>
    </row>
    <row r="78" spans="1:6">
      <c r="A78" s="191"/>
      <c r="B78" s="1" t="s">
        <v>215</v>
      </c>
      <c r="C78" s="289">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1">
        <f>IF(BS!G31/BS!G27&gt;300%,"nm",BS!G31/BS!G27)</f>
        <v>4.3380350010353987E-2</v>
      </c>
    </row>
    <row r="81" spans="1:6">
      <c r="A81" s="191"/>
      <c r="B81" s="229" t="s">
        <v>310</v>
      </c>
      <c r="C81" s="342">
        <f>IF(BS!C50&gt;30,"nm",BS!C50)</f>
        <v>0.21365490022249814</v>
      </c>
    </row>
    <row r="82" spans="1:6">
      <c r="A82" s="191"/>
    </row>
    <row r="83" spans="1:6">
      <c r="A83" s="191"/>
      <c r="B83" s="1" t="s">
        <v>467</v>
      </c>
    </row>
    <row r="84" spans="1:6">
      <c r="A84" s="191"/>
      <c r="B84" s="1" t="s">
        <v>224</v>
      </c>
      <c r="C84" s="289">
        <f>DCF!F5</f>
        <v>938309170.20421469</v>
      </c>
      <c r="D84" s="1" t="str">
        <f>Reporting_currency</f>
        <v>CNY</v>
      </c>
    </row>
    <row r="85" spans="1:6">
      <c r="A85" s="191"/>
      <c r="B85" s="229" t="s">
        <v>222</v>
      </c>
      <c r="C85" s="295">
        <f>BS!C66</f>
        <v>1787077152.3299999</v>
      </c>
      <c r="D85" s="343"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9">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470</v>
      </c>
      <c r="C92" s="216">
        <f>DCF!F8</f>
        <v>1.3851788488026247</v>
      </c>
      <c r="D92" s="44" t="str">
        <f>Market_currency</f>
        <v>CNY</v>
      </c>
    </row>
    <row r="94" spans="1:6" ht="13.9">
      <c r="A94" s="200" t="s">
        <v>471</v>
      </c>
      <c r="B94" s="34"/>
      <c r="C94" s="34"/>
      <c r="D94" s="34"/>
      <c r="E94" s="34"/>
      <c r="F94" s="34"/>
    </row>
    <row r="95" spans="1:6">
      <c r="A95" s="191"/>
    </row>
    <row r="96" spans="1:6" ht="11.75" customHeight="1">
      <c r="B96" s="458" t="s">
        <v>486</v>
      </c>
      <c r="C96" s="458"/>
      <c r="D96" s="458"/>
      <c r="E96" s="458"/>
      <c r="F96" s="458"/>
    </row>
    <row r="97" spans="2:6">
      <c r="B97" s="462" t="s">
        <v>485</v>
      </c>
      <c r="C97" s="462"/>
      <c r="D97" s="462"/>
      <c r="E97" s="462"/>
      <c r="F97" s="462"/>
    </row>
    <row r="98" spans="2:6">
      <c r="B98" s="462" t="s">
        <v>484</v>
      </c>
      <c r="C98" s="462"/>
      <c r="D98" s="462"/>
      <c r="E98" s="462"/>
      <c r="F98" s="462"/>
    </row>
    <row r="100" spans="2:6">
      <c r="B100" s="192" t="s">
        <v>195</v>
      </c>
    </row>
    <row r="101" spans="2:6">
      <c r="B101" s="49" t="s">
        <v>468</v>
      </c>
      <c r="C101" s="211">
        <f>E25+C103</f>
        <v>7.2499999999999995E-2</v>
      </c>
    </row>
    <row r="102" spans="2:6">
      <c r="B102" s="229" t="s">
        <v>317</v>
      </c>
      <c r="C102" s="266">
        <f>E25</f>
        <v>7.2499999999999995E-2</v>
      </c>
    </row>
    <row r="103" spans="2:6">
      <c r="B103" s="229" t="s">
        <v>316</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488</v>
      </c>
    </row>
    <row r="111" spans="2:6">
      <c r="B111" s="49" t="s">
        <v>469</v>
      </c>
      <c r="C111" s="216">
        <f>BS!D47</f>
        <v>-0.45026820353990077</v>
      </c>
      <c r="D111" s="1" t="str">
        <f>Market_currency</f>
        <v>CNY</v>
      </c>
    </row>
    <row r="112" spans="2:6">
      <c r="B112" s="44" t="s">
        <v>322</v>
      </c>
      <c r="C112" s="216">
        <f>DCF!C11</f>
        <v>18.070892554366154</v>
      </c>
      <c r="D112" s="1" t="str">
        <f>Market_currency</f>
        <v>CNY</v>
      </c>
    </row>
    <row r="114" spans="2:6" ht="24.5" customHeight="1">
      <c r="B114" s="458" t="s">
        <v>492</v>
      </c>
      <c r="C114" s="458"/>
      <c r="D114" s="458"/>
      <c r="E114" s="458"/>
      <c r="F114" s="458"/>
    </row>
    <row r="116" spans="2:6">
      <c r="B116" s="192" t="s">
        <v>489</v>
      </c>
    </row>
    <row r="117" spans="2:6" ht="12.4">
      <c r="B117" s="346" t="s">
        <v>101</v>
      </c>
      <c r="C117" s="346" t="s">
        <v>110</v>
      </c>
      <c r="D117" s="346" t="s">
        <v>219</v>
      </c>
      <c r="E117" s="346" t="s">
        <v>124</v>
      </c>
      <c r="F117" s="346" t="s">
        <v>546</v>
      </c>
    </row>
    <row r="118" spans="2:6">
      <c r="B118" s="205" t="str">
        <f>DCF!B90&amp;" ("&amp;DCF!D90&amp;"yrs)"</f>
        <v>Snowball Scenario (5yrs)</v>
      </c>
      <c r="C118" s="206">
        <f>DCF!C90</f>
        <v>0.04</v>
      </c>
      <c r="D118" s="207" t="str">
        <f>ROUND(DCF!E90,2)&amp;" "&amp;Market_currency</f>
        <v>21.24 CNY</v>
      </c>
      <c r="E118" s="208">
        <f>DCF!F90</f>
        <v>0.05</v>
      </c>
      <c r="F118" s="208">
        <f>RATE(Holding_Period,Scenarios!C$58,-DCF!E90,C$18)</f>
        <v>2.386214635368962E-2</v>
      </c>
    </row>
    <row r="119" spans="2:6">
      <c r="B119" s="205" t="str">
        <f>DCF!B91&amp;" ("&amp;DCF!D91&amp;"yrs)"</f>
        <v>Optimistic (5yrs)</v>
      </c>
      <c r="C119" s="198">
        <f>DCF!C91</f>
        <v>0.03</v>
      </c>
      <c r="D119" s="207" t="str">
        <f>ROUND(DCF!E91,2)&amp;" "&amp;Market_currency</f>
        <v>20.4 CNY</v>
      </c>
      <c r="E119" s="199">
        <f>DCF!F91</f>
        <v>0.18</v>
      </c>
      <c r="F119" s="208">
        <f>RATE(Holding_Period,Scenarios!C$58,-DCF!E91,C$18)</f>
        <v>3.8356652181144528E-2</v>
      </c>
    </row>
    <row r="120" spans="2:6">
      <c r="B120" s="205" t="str">
        <f>DCF!B92&amp;" ("&amp;DCF!D92&amp;"yrs)"</f>
        <v>Base (5yrs)</v>
      </c>
      <c r="C120" s="198">
        <f>DCF!C92</f>
        <v>0.02</v>
      </c>
      <c r="D120" s="207" t="str">
        <f>ROUND(DCF!E92,2)&amp;" "&amp;Market_currency</f>
        <v>19.6 CNY</v>
      </c>
      <c r="E120" s="199">
        <f>DCF!F92</f>
        <v>0.53999999999999992</v>
      </c>
      <c r="F120" s="208">
        <f>RATE(Holding_Period,Scenarios!C$58,-DCF!E92,C$18)</f>
        <v>5.3130663373627908E-2</v>
      </c>
    </row>
    <row r="121" spans="2:6">
      <c r="B121" s="205" t="str">
        <f>DCF!B93&amp;" ("&amp;DCF!D93&amp;"yrs)"</f>
        <v>Pessimistic (5yrs)</v>
      </c>
      <c r="C121" s="198">
        <f>DCF!C93</f>
        <v>0.01</v>
      </c>
      <c r="D121" s="207" t="str">
        <f>ROUND(DCF!E93,2)&amp;" "&amp;Market_currency</f>
        <v>18.82 CNY</v>
      </c>
      <c r="E121" s="199">
        <f>DCF!F93</f>
        <v>0.18</v>
      </c>
      <c r="F121" s="208">
        <f>RATE(Holding_Period,Scenarios!C$58,-DCF!E93,C$18)</f>
        <v>6.8188917317640596E-2</v>
      </c>
    </row>
    <row r="122" spans="2:6">
      <c r="B122" s="205" t="str">
        <f>DCF!B94&amp;" ("&amp;DCF!D94&amp;"yrs)"</f>
        <v>Devil's advocate (5yrs)</v>
      </c>
      <c r="C122" s="198">
        <f>DCF!C94</f>
        <v>-0.02</v>
      </c>
      <c r="D122" s="207" t="str">
        <f>ROUND(DCF!E94,2)&amp;" "&amp;Market_currency</f>
        <v>16.66 CNY</v>
      </c>
      <c r="E122" s="199">
        <f>DCF!F94</f>
        <v>0.05</v>
      </c>
      <c r="F122" s="208">
        <f>RATE(Holding_Period,Scenarios!C$58,-DCF!E94,C$18)</f>
        <v>0.11511511347228946</v>
      </c>
    </row>
    <row r="124" spans="2:6">
      <c r="B124" s="459" t="s">
        <v>355</v>
      </c>
      <c r="C124" s="459"/>
      <c r="D124" s="459"/>
      <c r="E124" s="459"/>
      <c r="F124" s="459"/>
    </row>
    <row r="125" spans="2:6">
      <c r="B125" s="193" t="s">
        <v>218</v>
      </c>
      <c r="C125" s="197">
        <f>Scenarios!C36</f>
        <v>19.53540989503373</v>
      </c>
      <c r="D125" s="194" t="str">
        <f>Market_currency</f>
        <v>CNY</v>
      </c>
    </row>
    <row r="127" spans="2:6" ht="24.5" customHeight="1">
      <c r="B127" s="461" t="s">
        <v>356</v>
      </c>
      <c r="C127" s="461"/>
      <c r="D127" s="461"/>
      <c r="E127" s="461"/>
      <c r="F127" s="461"/>
    </row>
    <row r="129" spans="1:6" ht="13.9">
      <c r="A129" s="200" t="s">
        <v>475</v>
      </c>
      <c r="B129" s="34"/>
      <c r="C129" s="34"/>
      <c r="D129" s="34"/>
      <c r="E129" s="34"/>
      <c r="F129" s="34"/>
    </row>
    <row r="131" spans="1:6">
      <c r="B131" s="463" t="s">
        <v>285</v>
      </c>
      <c r="C131" s="463"/>
      <c r="D131" s="463"/>
      <c r="E131" s="463"/>
      <c r="F131" s="463"/>
    </row>
    <row r="132" spans="1:6">
      <c r="B132" s="458" t="s">
        <v>357</v>
      </c>
      <c r="C132" s="458"/>
      <c r="D132" s="458"/>
      <c r="E132" s="458"/>
      <c r="F132" s="458"/>
    </row>
    <row r="134" spans="1:6">
      <c r="B134" s="192" t="s">
        <v>195</v>
      </c>
    </row>
    <row r="135" spans="1:6">
      <c r="B135" s="1" t="s">
        <v>221</v>
      </c>
      <c r="C135" s="202">
        <f>E21</f>
        <v>3</v>
      </c>
    </row>
    <row r="136" spans="1:6">
      <c r="B136" s="194" t="s">
        <v>220</v>
      </c>
      <c r="C136" s="195">
        <f>Scenarios!C58</f>
        <v>1.06</v>
      </c>
      <c r="D136" s="194" t="str">
        <f>Market_currency</f>
        <v>CNY</v>
      </c>
    </row>
    <row r="138" spans="1:6">
      <c r="B138" s="192" t="s">
        <v>495</v>
      </c>
      <c r="C138" s="214"/>
      <c r="D138" s="215"/>
    </row>
    <row r="139" spans="1:6" ht="12.4">
      <c r="B139" s="344" t="s">
        <v>463</v>
      </c>
      <c r="C139" s="344" t="str">
        <f>"PV("&amp;Holding_Period&amp;" yrs of Dividends)"</f>
        <v>PV(3 yrs of Dividends)</v>
      </c>
      <c r="D139" s="344" t="s">
        <v>472</v>
      </c>
      <c r="E139" s="345" t="str">
        <f>"Buy below ("&amp;Market_currency&amp;")"</f>
        <v>Buy below (CNY)</v>
      </c>
      <c r="F139" s="345" t="s">
        <v>473</v>
      </c>
    </row>
    <row r="140" spans="1:6">
      <c r="B140" s="340" t="s">
        <v>311</v>
      </c>
      <c r="C140" s="337">
        <f>Scenarios!C62</f>
        <v>1.8480449762944853</v>
      </c>
      <c r="D140" s="337">
        <f>Scenarios!D62</f>
        <v>8.3129403808654185</v>
      </c>
      <c r="E140" s="338">
        <f>Scenarios!E62</f>
        <v>10.160985357159904</v>
      </c>
      <c r="F140" s="339">
        <f>E22</f>
        <v>0.32950289523458665</v>
      </c>
    </row>
    <row r="141" spans="1:6">
      <c r="B141" s="340" t="s">
        <v>312</v>
      </c>
      <c r="C141" s="337">
        <f>Scenarios!C63</f>
        <v>2.1443334287647504</v>
      </c>
      <c r="D141" s="337">
        <f>Scenarios!D63</f>
        <v>10.595476553238637</v>
      </c>
      <c r="E141" s="338">
        <f>Scenarios!E63</f>
        <v>12.739809982003386</v>
      </c>
      <c r="F141" s="339">
        <f>Scenarios!F63</f>
        <v>0.22621703288100403</v>
      </c>
    </row>
    <row r="142" spans="1:6">
      <c r="B142" s="194"/>
      <c r="C142" s="194"/>
      <c r="D142" s="194"/>
      <c r="E142" s="194"/>
      <c r="F142" s="194"/>
    </row>
    <row r="143" spans="1:6" ht="12.4">
      <c r="B143" s="344" t="s">
        <v>464</v>
      </c>
      <c r="C143" s="344" t="str">
        <f>"PV("&amp;Holding_Period&amp;" yrs of Dividends)"</f>
        <v>PV(3 yrs of Dividends)</v>
      </c>
      <c r="D143" s="344" t="s">
        <v>472</v>
      </c>
      <c r="E143" s="345" t="str">
        <f>"Sell above ("&amp;Market_currency&amp;")"</f>
        <v>Sell above (CNY)</v>
      </c>
      <c r="F143" s="345" t="s">
        <v>473</v>
      </c>
    </row>
    <row r="144" spans="1:6">
      <c r="B144" s="340" t="s">
        <v>314</v>
      </c>
      <c r="C144" s="337">
        <f>Scenarios!C66</f>
        <v>2.6975834619563113</v>
      </c>
      <c r="D144" s="337">
        <f>Scenarios!D66</f>
        <v>15.210163967658147</v>
      </c>
      <c r="E144" s="338">
        <f>Scenarios!E66</f>
        <v>17.90774742961446</v>
      </c>
      <c r="F144" s="339">
        <f>E24</f>
        <v>8.6999999999999994E-2</v>
      </c>
    </row>
    <row r="145" spans="1:6">
      <c r="B145" s="340" t="s">
        <v>313</v>
      </c>
      <c r="C145" s="337">
        <f>Scenarios!C67</f>
        <v>2.7691177408033969</v>
      </c>
      <c r="D145" s="337">
        <f>Scenarios!D67</f>
        <v>15.835457882505617</v>
      </c>
      <c r="E145" s="338">
        <f>Scenarios!E67</f>
        <v>18.604575623309014</v>
      </c>
      <c r="F145" s="339">
        <f>Scenarios!F67</f>
        <v>7.2499999999999995E-2</v>
      </c>
    </row>
    <row r="147" spans="1:6" ht="13.9">
      <c r="A147" s="200" t="s">
        <v>476</v>
      </c>
      <c r="B147" s="34"/>
      <c r="C147" s="34"/>
      <c r="D147" s="34"/>
      <c r="E147" s="34"/>
      <c r="F147" s="34"/>
    </row>
    <row r="149" spans="1:6">
      <c r="B149" s="457" t="s">
        <v>358</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439</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6129461219</v>
      </c>
      <c r="D4" s="291">
        <v>6249319078</v>
      </c>
      <c r="E4" s="291">
        <v>5682141447</v>
      </c>
      <c r="F4" s="291">
        <v>4651100995</v>
      </c>
      <c r="G4" s="291">
        <v>3329297918</v>
      </c>
      <c r="H4" s="291">
        <v>3310864083</v>
      </c>
      <c r="I4" s="291">
        <v>2918572854</v>
      </c>
      <c r="J4" s="291">
        <v>2210529514</v>
      </c>
      <c r="K4" s="291">
        <v>1544300894</v>
      </c>
      <c r="L4" s="291">
        <v>1583235731</v>
      </c>
      <c r="M4" s="291"/>
    </row>
    <row r="5" spans="2:13">
      <c r="B5" s="38" t="s">
        <v>40</v>
      </c>
      <c r="C5" s="291">
        <v>4407422084</v>
      </c>
      <c r="D5" s="291">
        <v>4321480843</v>
      </c>
      <c r="E5" s="291">
        <v>3978855242</v>
      </c>
      <c r="F5" s="291">
        <v>3293652640</v>
      </c>
      <c r="G5" s="291">
        <v>2298160068</v>
      </c>
      <c r="H5" s="291">
        <v>2198164870</v>
      </c>
      <c r="I5" s="291">
        <v>2065727128</v>
      </c>
      <c r="J5" s="291">
        <v>1559929846</v>
      </c>
      <c r="K5" s="291">
        <v>993637032</v>
      </c>
      <c r="L5" s="291">
        <v>996799764</v>
      </c>
      <c r="M5" s="291"/>
    </row>
    <row r="6" spans="2:13">
      <c r="B6" s="38" t="s">
        <v>51</v>
      </c>
      <c r="C6" s="291">
        <v>456603351</v>
      </c>
      <c r="D6" s="291">
        <v>451772305</v>
      </c>
      <c r="E6" s="291">
        <v>471987592</v>
      </c>
      <c r="F6" s="291">
        <v>430231756</v>
      </c>
      <c r="G6" s="291">
        <v>315308507</v>
      </c>
      <c r="H6" s="291">
        <v>532728643</v>
      </c>
      <c r="I6" s="291">
        <v>471904599</v>
      </c>
      <c r="J6" s="291">
        <v>360354823</v>
      </c>
      <c r="K6" s="291">
        <v>268427406</v>
      </c>
      <c r="L6" s="291">
        <v>341642106</v>
      </c>
      <c r="M6" s="291"/>
    </row>
    <row r="7" spans="2:13">
      <c r="B7" s="66" t="s">
        <v>58</v>
      </c>
      <c r="C7" s="292">
        <v>304923157</v>
      </c>
      <c r="D7" s="292">
        <v>285858877</v>
      </c>
      <c r="E7" s="292">
        <v>267651684</v>
      </c>
      <c r="F7" s="292">
        <v>222391023</v>
      </c>
      <c r="G7" s="292">
        <v>172179694</v>
      </c>
      <c r="H7" s="292">
        <v>410723752</v>
      </c>
      <c r="I7" s="292">
        <v>343598742</v>
      </c>
      <c r="J7" s="292">
        <v>286174672</v>
      </c>
      <c r="K7" s="292">
        <v>197063391</v>
      </c>
      <c r="L7" s="292">
        <v>242768584</v>
      </c>
      <c r="M7" s="292"/>
    </row>
    <row r="8" spans="2:13">
      <c r="B8" s="38" t="s">
        <v>46</v>
      </c>
      <c r="C8" s="291">
        <v>151760727</v>
      </c>
      <c r="D8" s="291">
        <v>210426001</v>
      </c>
      <c r="E8" s="291">
        <v>184885909</v>
      </c>
      <c r="F8" s="291">
        <v>141554165</v>
      </c>
      <c r="G8" s="291">
        <v>61678851</v>
      </c>
      <c r="H8" s="291">
        <v>68644761</v>
      </c>
      <c r="I8" s="291">
        <v>48742254</v>
      </c>
      <c r="J8" s="291">
        <v>47311155</v>
      </c>
      <c r="K8" s="291">
        <v>47605907</v>
      </c>
      <c r="L8" s="291">
        <v>0</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6249607</v>
      </c>
      <c r="D12" s="291">
        <v>4610251</v>
      </c>
      <c r="E12" s="291">
        <v>1311423</v>
      </c>
      <c r="F12" s="291">
        <v>394228</v>
      </c>
      <c r="G12" s="291">
        <v>74051</v>
      </c>
      <c r="H12" s="291">
        <v>0</v>
      </c>
      <c r="I12" s="291">
        <v>0</v>
      </c>
      <c r="J12" s="291">
        <v>0</v>
      </c>
      <c r="K12" s="291">
        <v>0</v>
      </c>
      <c r="L12" s="291"/>
      <c r="M12" s="291"/>
    </row>
    <row r="13" spans="2:13">
      <c r="B13" s="38" t="s">
        <v>64</v>
      </c>
      <c r="C13" s="291">
        <v>37086796</v>
      </c>
      <c r="D13" s="291">
        <v>31023567</v>
      </c>
      <c r="E13" s="291">
        <v>31991799</v>
      </c>
      <c r="F13" s="291">
        <v>18258659</v>
      </c>
      <c r="G13" s="291">
        <v>12674421</v>
      </c>
      <c r="H13" s="291">
        <v>7073727</v>
      </c>
      <c r="I13" s="291">
        <v>0</v>
      </c>
      <c r="J13" s="291">
        <v>0</v>
      </c>
      <c r="K13" s="291">
        <v>0</v>
      </c>
      <c r="L13" s="291"/>
      <c r="M13" s="291"/>
    </row>
    <row r="14" spans="2:13">
      <c r="B14" s="38" t="s">
        <v>47</v>
      </c>
      <c r="C14" s="291">
        <v>260714131</v>
      </c>
      <c r="D14" s="291">
        <v>289376410</v>
      </c>
      <c r="E14" s="291">
        <v>224010347</v>
      </c>
      <c r="F14" s="291">
        <v>153720766</v>
      </c>
      <c r="G14" s="291">
        <v>137748165</v>
      </c>
      <c r="H14" s="291">
        <v>101545465</v>
      </c>
      <c r="I14" s="291">
        <v>85553107</v>
      </c>
      <c r="J14" s="291">
        <v>50017037</v>
      </c>
      <c r="K14" s="291">
        <v>42676057</v>
      </c>
      <c r="L14" s="291">
        <v>47144437</v>
      </c>
      <c r="M14" s="291"/>
    </row>
    <row r="15" spans="2:13">
      <c r="B15" s="41" t="s">
        <v>39</v>
      </c>
      <c r="C15" s="293">
        <v>848231191</v>
      </c>
      <c r="D15" s="293">
        <v>1008089459</v>
      </c>
      <c r="E15" s="293">
        <v>833918670</v>
      </c>
      <c r="F15" s="293">
        <v>647006086</v>
      </c>
      <c r="G15" s="293">
        <v>514682567</v>
      </c>
      <c r="H15" s="293">
        <v>413076950</v>
      </c>
      <c r="I15" s="293">
        <v>244475736</v>
      </c>
      <c r="J15" s="293">
        <v>205956703</v>
      </c>
      <c r="K15" s="293">
        <v>159744960</v>
      </c>
      <c r="L15" s="293">
        <v>142611679</v>
      </c>
      <c r="M15" s="293"/>
    </row>
    <row r="16" spans="2:13">
      <c r="B16" s="27" t="s">
        <v>41</v>
      </c>
      <c r="C16" s="291">
        <v>0</v>
      </c>
      <c r="D16" s="291">
        <v>0</v>
      </c>
      <c r="E16" s="291">
        <v>0</v>
      </c>
      <c r="F16" s="291">
        <v>0</v>
      </c>
      <c r="G16" s="291">
        <v>0</v>
      </c>
      <c r="H16" s="291">
        <v>0</v>
      </c>
      <c r="I16" s="291">
        <v>0</v>
      </c>
      <c r="J16" s="291">
        <v>0</v>
      </c>
      <c r="K16" s="291">
        <v>0</v>
      </c>
      <c r="L16" s="291">
        <v>0</v>
      </c>
      <c r="M16" s="291"/>
    </row>
    <row r="18" spans="2:13">
      <c r="B18" s="16" t="s">
        <v>48</v>
      </c>
      <c r="C18" s="9"/>
    </row>
    <row r="19" spans="2:13">
      <c r="B19" s="26" t="s">
        <v>44</v>
      </c>
      <c r="C19" s="291">
        <v>213321215</v>
      </c>
      <c r="D19" s="291">
        <v>173104850</v>
      </c>
      <c r="E19" s="291">
        <v>130450506</v>
      </c>
      <c r="F19" s="291">
        <v>105234144</v>
      </c>
      <c r="G19" s="291">
        <v>99116575</v>
      </c>
      <c r="H19" s="291">
        <v>95719410</v>
      </c>
      <c r="I19" s="291">
        <v>87904740</v>
      </c>
      <c r="J19" s="291">
        <v>78828048</v>
      </c>
      <c r="K19" s="291">
        <v>74835527</v>
      </c>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1040530375</v>
      </c>
      <c r="D22" s="291">
        <v>268029963</v>
      </c>
      <c r="E22" s="291">
        <v>1022817247</v>
      </c>
      <c r="F22" s="291">
        <v>577079594</v>
      </c>
      <c r="G22" s="291">
        <v>610942604</v>
      </c>
      <c r="H22" s="291">
        <v>443891507</v>
      </c>
      <c r="I22" s="291">
        <v>326910600</v>
      </c>
      <c r="J22" s="291">
        <v>29944782</v>
      </c>
      <c r="K22" s="291">
        <v>366836089</v>
      </c>
      <c r="L22" s="291">
        <v>298070452</v>
      </c>
      <c r="M22" s="291"/>
    </row>
    <row r="23" spans="2:13">
      <c r="B23" s="26" t="s">
        <v>288</v>
      </c>
      <c r="C23" s="291">
        <v>-241780101</v>
      </c>
      <c r="D23" s="291">
        <v>-44910807</v>
      </c>
      <c r="E23" s="291">
        <v>-310348060</v>
      </c>
      <c r="F23" s="291">
        <v>-333430153</v>
      </c>
      <c r="G23" s="291">
        <v>206352378</v>
      </c>
      <c r="H23" s="291">
        <v>-307940933</v>
      </c>
      <c r="I23" s="291">
        <v>-21315461</v>
      </c>
      <c r="J23" s="291">
        <v>-61592804</v>
      </c>
      <c r="K23" s="291">
        <v>-40659058</v>
      </c>
      <c r="L23" s="291">
        <v>-49353967</v>
      </c>
      <c r="M23" s="291"/>
    </row>
    <row r="24" spans="2:13">
      <c r="B24" s="26" t="s">
        <v>287</v>
      </c>
      <c r="C24" s="291">
        <v>-865081548</v>
      </c>
      <c r="D24" s="291">
        <v>-517389967</v>
      </c>
      <c r="E24" s="291">
        <v>-285534453</v>
      </c>
      <c r="F24" s="291">
        <v>-463128689</v>
      </c>
      <c r="G24" s="291">
        <v>-123908474</v>
      </c>
      <c r="H24" s="291">
        <v>261892739</v>
      </c>
      <c r="I24" s="291">
        <v>-5745476</v>
      </c>
      <c r="J24" s="291">
        <v>-109372169</v>
      </c>
      <c r="K24" s="291">
        <v>-375277495</v>
      </c>
      <c r="L24" s="291">
        <v>-28573770</v>
      </c>
      <c r="M24" s="291"/>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548</v>
      </c>
    </row>
    <row r="28" spans="2:13">
      <c r="B28" s="25" t="s">
        <v>22</v>
      </c>
      <c r="C28" s="274">
        <f>BS!C4</f>
        <v>1175281306.4799998</v>
      </c>
      <c r="D28" s="291">
        <v>851687201</v>
      </c>
      <c r="E28" s="291">
        <v>790890033</v>
      </c>
      <c r="F28" s="291">
        <v>567013771</v>
      </c>
      <c r="G28" s="291">
        <v>458930449</v>
      </c>
      <c r="H28" s="291">
        <v>595526269</v>
      </c>
      <c r="I28" s="291">
        <v>643156397</v>
      </c>
      <c r="J28" s="291">
        <v>642505610</v>
      </c>
      <c r="K28" s="291">
        <v>606387186</v>
      </c>
      <c r="L28" s="291">
        <v>754112914</v>
      </c>
      <c r="M28" s="291"/>
    </row>
    <row r="29" spans="2:13">
      <c r="B29" s="25" t="s">
        <v>30</v>
      </c>
      <c r="C29" s="274">
        <f>BS!C6</f>
        <v>2668382470.8800001</v>
      </c>
      <c r="D29" s="291">
        <v>2819492731</v>
      </c>
      <c r="E29" s="291">
        <v>2459595915</v>
      </c>
      <c r="F29" s="291">
        <v>1867069694</v>
      </c>
      <c r="G29" s="291">
        <v>1603890018</v>
      </c>
      <c r="H29" s="291">
        <v>1464309401</v>
      </c>
      <c r="I29" s="291">
        <v>1241320451</v>
      </c>
      <c r="J29" s="291">
        <v>957439830</v>
      </c>
      <c r="K29" s="291">
        <v>589826147</v>
      </c>
      <c r="L29" s="291">
        <v>412378412</v>
      </c>
      <c r="M29" s="291"/>
    </row>
    <row r="30" spans="2:13">
      <c r="B30" s="28" t="s">
        <v>38</v>
      </c>
      <c r="C30" s="275">
        <f>BS!C33+BS!C42</f>
        <v>4362314805.7700005</v>
      </c>
      <c r="D30" s="293">
        <v>4086723205</v>
      </c>
      <c r="E30" s="293">
        <v>3962039491</v>
      </c>
      <c r="F30" s="293">
        <v>2581011486</v>
      </c>
      <c r="G30" s="293">
        <v>2275269694</v>
      </c>
      <c r="H30" s="293">
        <v>2004846282</v>
      </c>
      <c r="I30" s="293">
        <v>1560581012</v>
      </c>
      <c r="J30" s="293">
        <v>1160274283</v>
      </c>
      <c r="K30" s="293">
        <v>894522509</v>
      </c>
      <c r="L30" s="293">
        <v>1020621379</v>
      </c>
      <c r="M30" s="293"/>
    </row>
    <row r="31" spans="2:13">
      <c r="B31" s="28" t="s">
        <v>28</v>
      </c>
      <c r="C31" s="275">
        <f>BS!G27</f>
        <v>4613455937.5900002</v>
      </c>
      <c r="D31" s="293">
        <v>4542064792</v>
      </c>
      <c r="E31" s="293">
        <v>4014575003</v>
      </c>
      <c r="F31" s="293">
        <v>3369724644</v>
      </c>
      <c r="G31" s="293">
        <v>2971650742</v>
      </c>
      <c r="H31" s="293">
        <v>2672345812</v>
      </c>
      <c r="I31" s="293">
        <v>2009953108</v>
      </c>
      <c r="J31" s="293">
        <v>1762034156</v>
      </c>
      <c r="K31" s="293">
        <v>1651561675</v>
      </c>
      <c r="L31" s="293">
        <v>1489799476</v>
      </c>
      <c r="M31" s="293"/>
    </row>
    <row r="32" spans="2:13">
      <c r="B32" s="25" t="s">
        <v>143</v>
      </c>
      <c r="C32" s="274">
        <f>BS!G28</f>
        <v>0</v>
      </c>
      <c r="D32" s="291">
        <v>0</v>
      </c>
      <c r="E32" s="291">
        <v>0</v>
      </c>
      <c r="F32" s="291">
        <v>0</v>
      </c>
      <c r="G32" s="291">
        <v>0</v>
      </c>
      <c r="H32" s="291">
        <v>0</v>
      </c>
      <c r="I32" s="291">
        <v>0</v>
      </c>
      <c r="J32" s="291">
        <v>0</v>
      </c>
      <c r="K32" s="291">
        <v>0</v>
      </c>
      <c r="L32" s="291">
        <v>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6129461219</v>
      </c>
      <c r="D36" s="274">
        <f t="shared" si="1"/>
        <v>6249319078</v>
      </c>
      <c r="E36" s="274">
        <f t="shared" si="1"/>
        <v>5682141447</v>
      </c>
      <c r="F36" s="274">
        <f t="shared" si="1"/>
        <v>4651100995</v>
      </c>
      <c r="G36" s="274">
        <f t="shared" si="1"/>
        <v>3329297918</v>
      </c>
      <c r="H36" s="274">
        <f t="shared" si="1"/>
        <v>3310864083</v>
      </c>
      <c r="I36" s="274">
        <f t="shared" si="1"/>
        <v>2918572854</v>
      </c>
      <c r="J36" s="274">
        <f t="shared" si="1"/>
        <v>2210529514</v>
      </c>
      <c r="K36" s="274">
        <f t="shared" si="1"/>
        <v>1544300894</v>
      </c>
      <c r="L36" s="274">
        <f t="shared" si="1"/>
        <v>1583235731</v>
      </c>
      <c r="M36" s="274" t="str">
        <f t="shared" si="1"/>
        <v/>
      </c>
    </row>
    <row r="37" spans="2:13">
      <c r="B37" s="38" t="s">
        <v>40</v>
      </c>
      <c r="C37" s="274">
        <f t="shared" ref="C37:M37" si="2">IF(C$4="","",-C5)</f>
        <v>-4407422084</v>
      </c>
      <c r="D37" s="274">
        <f t="shared" si="2"/>
        <v>-4321480843</v>
      </c>
      <c r="E37" s="274">
        <f t="shared" si="2"/>
        <v>-3978855242</v>
      </c>
      <c r="F37" s="274">
        <f t="shared" si="2"/>
        <v>-3293652640</v>
      </c>
      <c r="G37" s="274">
        <f t="shared" si="2"/>
        <v>-2298160068</v>
      </c>
      <c r="H37" s="274">
        <f t="shared" si="2"/>
        <v>-2198164870</v>
      </c>
      <c r="I37" s="274">
        <f t="shared" si="2"/>
        <v>-2065727128</v>
      </c>
      <c r="J37" s="274">
        <f t="shared" si="2"/>
        <v>-1559929846</v>
      </c>
      <c r="K37" s="274">
        <f t="shared" si="2"/>
        <v>-993637032</v>
      </c>
      <c r="L37" s="274">
        <f t="shared" si="2"/>
        <v>-996799764</v>
      </c>
      <c r="M37" s="274" t="str">
        <f t="shared" si="2"/>
        <v/>
      </c>
    </row>
    <row r="38" spans="2:13">
      <c r="B38" s="30" t="s">
        <v>55</v>
      </c>
      <c r="C38" s="271">
        <f>IF(C36="","",C36+C37)</f>
        <v>1722039135</v>
      </c>
      <c r="D38" s="271">
        <f t="shared" ref="D38" si="3">IF(D36="","",D36+D37)</f>
        <v>1927838235</v>
      </c>
      <c r="E38" s="271">
        <f t="shared" ref="E38" si="4">IF(E36="","",E36+E37)</f>
        <v>1703286205</v>
      </c>
      <c r="F38" s="271">
        <f t="shared" ref="F38" si="5">IF(F36="","",F36+F37)</f>
        <v>1357448355</v>
      </c>
      <c r="G38" s="271">
        <f t="shared" ref="G38" si="6">IF(G36="","",G36+G37)</f>
        <v>1031137850</v>
      </c>
      <c r="H38" s="271">
        <f t="shared" ref="H38" si="7">IF(H36="","",H36+H37)</f>
        <v>1112699213</v>
      </c>
      <c r="I38" s="271">
        <f t="shared" ref="I38" si="8">IF(I36="","",I36+I37)</f>
        <v>852845726</v>
      </c>
      <c r="J38" s="271">
        <f t="shared" ref="J38" si="9">IF(J36="","",J36+J37)</f>
        <v>650599668</v>
      </c>
      <c r="K38" s="271">
        <f t="shared" ref="K38" si="10">IF(K36="","",K36+K37)</f>
        <v>550663862</v>
      </c>
      <c r="L38" s="271">
        <f t="shared" ref="L38" si="11">IF(L36="","",L36+L37)</f>
        <v>586435967</v>
      </c>
      <c r="M38" s="271" t="str">
        <f t="shared" ref="M38" si="12">IF(M36="","",M36+M37)</f>
        <v/>
      </c>
    </row>
    <row r="39" spans="2:13">
      <c r="B39" s="38" t="s">
        <v>51</v>
      </c>
      <c r="C39" s="274">
        <f t="shared" ref="C39:M39" si="13">IF(C$4="","",-C6)</f>
        <v>-456603351</v>
      </c>
      <c r="D39" s="274">
        <f t="shared" si="13"/>
        <v>-451772305</v>
      </c>
      <c r="E39" s="274">
        <f t="shared" si="13"/>
        <v>-471987592</v>
      </c>
      <c r="F39" s="274">
        <f t="shared" si="13"/>
        <v>-430231756</v>
      </c>
      <c r="G39" s="274">
        <f t="shared" si="13"/>
        <v>-315308507</v>
      </c>
      <c r="H39" s="274">
        <f t="shared" si="13"/>
        <v>-532728643</v>
      </c>
      <c r="I39" s="274">
        <f t="shared" si="13"/>
        <v>-471904599</v>
      </c>
      <c r="J39" s="274">
        <f t="shared" si="13"/>
        <v>-360354823</v>
      </c>
      <c r="K39" s="274">
        <f t="shared" si="13"/>
        <v>-268427406</v>
      </c>
      <c r="L39" s="274">
        <f t="shared" si="13"/>
        <v>-341642106</v>
      </c>
      <c r="M39" s="274" t="str">
        <f t="shared" si="13"/>
        <v/>
      </c>
    </row>
    <row r="40" spans="2:13">
      <c r="B40" s="66" t="s">
        <v>58</v>
      </c>
      <c r="C40" s="286">
        <f t="shared" ref="C40:M40" si="14">IF(C$4="","",-C7)</f>
        <v>-304923157</v>
      </c>
      <c r="D40" s="286">
        <f t="shared" si="14"/>
        <v>-285858877</v>
      </c>
      <c r="E40" s="286">
        <f t="shared" si="14"/>
        <v>-267651684</v>
      </c>
      <c r="F40" s="286">
        <f t="shared" si="14"/>
        <v>-222391023</v>
      </c>
      <c r="G40" s="286">
        <f t="shared" si="14"/>
        <v>-172179694</v>
      </c>
      <c r="H40" s="286">
        <f t="shared" si="14"/>
        <v>-410723752</v>
      </c>
      <c r="I40" s="286">
        <f t="shared" si="14"/>
        <v>-343598742</v>
      </c>
      <c r="J40" s="286">
        <f t="shared" si="14"/>
        <v>-286174672</v>
      </c>
      <c r="K40" s="286">
        <f t="shared" si="14"/>
        <v>-197063391</v>
      </c>
      <c r="L40" s="286">
        <f t="shared" si="14"/>
        <v>-242768584</v>
      </c>
      <c r="M40" s="286" t="str">
        <f t="shared" si="14"/>
        <v/>
      </c>
    </row>
    <row r="41" spans="2:13">
      <c r="B41" s="66" t="s">
        <v>61</v>
      </c>
      <c r="C41" s="286">
        <f>IF(C$4="","",C39-C40)</f>
        <v>-151680194</v>
      </c>
      <c r="D41" s="286">
        <f t="shared" ref="D41:M41" si="15">IF(D$4="","",D39-D40)</f>
        <v>-165913428</v>
      </c>
      <c r="E41" s="286">
        <f t="shared" si="15"/>
        <v>-204335908</v>
      </c>
      <c r="F41" s="286">
        <f t="shared" si="15"/>
        <v>-207840733</v>
      </c>
      <c r="G41" s="286">
        <f t="shared" si="15"/>
        <v>-143128813</v>
      </c>
      <c r="H41" s="286">
        <f t="shared" si="15"/>
        <v>-122004891</v>
      </c>
      <c r="I41" s="286">
        <f t="shared" si="15"/>
        <v>-128305857</v>
      </c>
      <c r="J41" s="286">
        <f t="shared" si="15"/>
        <v>-74180151</v>
      </c>
      <c r="K41" s="286">
        <f t="shared" si="15"/>
        <v>-71364015</v>
      </c>
      <c r="L41" s="286">
        <f t="shared" si="15"/>
        <v>-98873522</v>
      </c>
      <c r="M41" s="286" t="str">
        <f t="shared" si="15"/>
        <v/>
      </c>
    </row>
    <row r="42" spans="2:13">
      <c r="B42" s="38" t="s">
        <v>46</v>
      </c>
      <c r="C42" s="274">
        <f t="shared" ref="C42:M42" si="16">IF(C$4="","",-C8)</f>
        <v>-151760727</v>
      </c>
      <c r="D42" s="274">
        <f t="shared" si="16"/>
        <v>-210426001</v>
      </c>
      <c r="E42" s="274">
        <f t="shared" si="16"/>
        <v>-184885909</v>
      </c>
      <c r="F42" s="274">
        <f t="shared" si="16"/>
        <v>-141554165</v>
      </c>
      <c r="G42" s="274">
        <f t="shared" si="16"/>
        <v>-61678851</v>
      </c>
      <c r="H42" s="274">
        <f t="shared" si="16"/>
        <v>-68644761</v>
      </c>
      <c r="I42" s="274">
        <f t="shared" si="16"/>
        <v>-48742254</v>
      </c>
      <c r="J42" s="274">
        <f t="shared" si="16"/>
        <v>-47311155</v>
      </c>
      <c r="K42" s="274">
        <f t="shared" si="16"/>
        <v>-47605907</v>
      </c>
      <c r="L42" s="274">
        <f t="shared" si="16"/>
        <v>0</v>
      </c>
      <c r="M42" s="274" t="str">
        <f t="shared" si="16"/>
        <v/>
      </c>
    </row>
    <row r="43" spans="2:13">
      <c r="B43" s="41" t="s">
        <v>127</v>
      </c>
      <c r="C43" s="275">
        <f>IF(C$4="","",C38+C39+C42)</f>
        <v>1113675057</v>
      </c>
      <c r="D43" s="275">
        <f t="shared" ref="D43:M43" si="17">IF(D$4="","",D38+D39+D42)</f>
        <v>1265639929</v>
      </c>
      <c r="E43" s="275">
        <f t="shared" si="17"/>
        <v>1046412704</v>
      </c>
      <c r="F43" s="275">
        <f t="shared" si="17"/>
        <v>785662434</v>
      </c>
      <c r="G43" s="275">
        <f t="shared" si="17"/>
        <v>654150492</v>
      </c>
      <c r="H43" s="275">
        <f t="shared" si="17"/>
        <v>511325809</v>
      </c>
      <c r="I43" s="275">
        <f t="shared" si="17"/>
        <v>332198873</v>
      </c>
      <c r="J43" s="275">
        <f t="shared" si="17"/>
        <v>242933690</v>
      </c>
      <c r="K43" s="275">
        <f t="shared" si="17"/>
        <v>234630549</v>
      </c>
      <c r="L43" s="275">
        <f t="shared" si="17"/>
        <v>244793861</v>
      </c>
      <c r="M43" s="275" t="str">
        <f t="shared" si="17"/>
        <v/>
      </c>
    </row>
    <row r="44" spans="2:13">
      <c r="B44" s="41" t="s">
        <v>139</v>
      </c>
      <c r="C44" s="294">
        <f t="shared" ref="C44:M44" si="18">IF(C$4="","",C47-C46-C45-C43)</f>
        <v>-35566924</v>
      </c>
      <c r="D44" s="294">
        <f t="shared" si="18"/>
        <v>5412624</v>
      </c>
      <c r="E44" s="294">
        <f t="shared" si="18"/>
        <v>-19164063</v>
      </c>
      <c r="F44" s="294">
        <f t="shared" si="18"/>
        <v>-2800013</v>
      </c>
      <c r="G44" s="294">
        <f t="shared" si="18"/>
        <v>-14320130</v>
      </c>
      <c r="H44" s="294">
        <f t="shared" si="18"/>
        <v>-3777121</v>
      </c>
      <c r="I44" s="294">
        <f t="shared" si="18"/>
        <v>-2170030</v>
      </c>
      <c r="J44" s="294">
        <f t="shared" si="18"/>
        <v>13040050</v>
      </c>
      <c r="K44" s="294">
        <f t="shared" si="18"/>
        <v>-32209532</v>
      </c>
      <c r="L44" s="294">
        <f t="shared" si="18"/>
        <v>-55037745</v>
      </c>
      <c r="M44" s="294" t="str">
        <f t="shared" si="18"/>
        <v/>
      </c>
    </row>
    <row r="45" spans="2:13">
      <c r="B45" s="38" t="s">
        <v>65</v>
      </c>
      <c r="C45" s="289">
        <f t="shared" ref="C45:M45" si="19">IF(C$4="","",C51+C52)</f>
        <v>30837189</v>
      </c>
      <c r="D45" s="289">
        <f t="shared" si="19"/>
        <v>26413316</v>
      </c>
      <c r="E45" s="289">
        <f t="shared" si="19"/>
        <v>30680376</v>
      </c>
      <c r="F45" s="289">
        <f t="shared" si="19"/>
        <v>17864431</v>
      </c>
      <c r="G45" s="289">
        <f t="shared" si="19"/>
        <v>12600370</v>
      </c>
      <c r="H45" s="289">
        <f t="shared" si="19"/>
        <v>7073727</v>
      </c>
      <c r="I45" s="289">
        <f t="shared" si="19"/>
        <v>0</v>
      </c>
      <c r="J45" s="289">
        <f t="shared" si="19"/>
        <v>0</v>
      </c>
      <c r="K45" s="289">
        <f t="shared" si="19"/>
        <v>0</v>
      </c>
      <c r="L45" s="289">
        <f t="shared" si="19"/>
        <v>0</v>
      </c>
      <c r="M45" s="289" t="str">
        <f t="shared" si="19"/>
        <v/>
      </c>
    </row>
    <row r="46" spans="2:13">
      <c r="B46" s="38" t="s">
        <v>47</v>
      </c>
      <c r="C46" s="274">
        <f>IF(C$4="","",-C14)</f>
        <v>-260714131</v>
      </c>
      <c r="D46" s="274">
        <f t="shared" ref="D46:M46" si="20">IF(D$4="","",-D14)</f>
        <v>-289376410</v>
      </c>
      <c r="E46" s="274">
        <f t="shared" si="20"/>
        <v>-224010347</v>
      </c>
      <c r="F46" s="274">
        <f t="shared" si="20"/>
        <v>-153720766</v>
      </c>
      <c r="G46" s="274">
        <f t="shared" si="20"/>
        <v>-137748165</v>
      </c>
      <c r="H46" s="274">
        <f t="shared" si="20"/>
        <v>-101545465</v>
      </c>
      <c r="I46" s="274">
        <f t="shared" si="20"/>
        <v>-85553107</v>
      </c>
      <c r="J46" s="274">
        <f t="shared" si="20"/>
        <v>-50017037</v>
      </c>
      <c r="K46" s="274">
        <f t="shared" si="20"/>
        <v>-42676057</v>
      </c>
      <c r="L46" s="274">
        <f t="shared" si="20"/>
        <v>-47144437</v>
      </c>
      <c r="M46" s="274" t="str">
        <f t="shared" si="20"/>
        <v/>
      </c>
    </row>
    <row r="47" spans="2:13">
      <c r="B47" s="41" t="s">
        <v>39</v>
      </c>
      <c r="C47" s="275">
        <f t="shared" ref="C47:M47" si="21">IF(C$4="","",C15)</f>
        <v>848231191</v>
      </c>
      <c r="D47" s="275">
        <f t="shared" si="21"/>
        <v>1008089459</v>
      </c>
      <c r="E47" s="275">
        <f t="shared" si="21"/>
        <v>833918670</v>
      </c>
      <c r="F47" s="275">
        <f t="shared" si="21"/>
        <v>647006086</v>
      </c>
      <c r="G47" s="275">
        <f t="shared" si="21"/>
        <v>514682567</v>
      </c>
      <c r="H47" s="275">
        <f t="shared" si="21"/>
        <v>413076950</v>
      </c>
      <c r="I47" s="275">
        <f t="shared" si="21"/>
        <v>244475736</v>
      </c>
      <c r="J47" s="275">
        <f t="shared" si="21"/>
        <v>205956703</v>
      </c>
      <c r="K47" s="275">
        <f t="shared" si="21"/>
        <v>159744960</v>
      </c>
      <c r="L47" s="275">
        <f t="shared" si="21"/>
        <v>142611679</v>
      </c>
      <c r="M47" s="275" t="str">
        <f t="shared" si="21"/>
        <v/>
      </c>
    </row>
    <row r="48" spans="2:13">
      <c r="B48" s="27" t="s">
        <v>41</v>
      </c>
      <c r="C48" s="274">
        <f t="shared" ref="C48:M48" si="22">IF(C$4="","",MIN(-C16,0))</f>
        <v>0</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-6249607</v>
      </c>
      <c r="D51" s="274">
        <f t="shared" si="23"/>
        <v>-4610251</v>
      </c>
      <c r="E51" s="274">
        <f t="shared" si="23"/>
        <v>-1311423</v>
      </c>
      <c r="F51" s="274">
        <f t="shared" si="23"/>
        <v>-394228</v>
      </c>
      <c r="G51" s="274">
        <f t="shared" si="23"/>
        <v>-74051</v>
      </c>
      <c r="H51" s="274">
        <f t="shared" si="23"/>
        <v>0</v>
      </c>
      <c r="I51" s="274">
        <f t="shared" si="23"/>
        <v>0</v>
      </c>
      <c r="J51" s="274">
        <f t="shared" si="23"/>
        <v>0</v>
      </c>
      <c r="K51" s="274">
        <f t="shared" si="23"/>
        <v>0</v>
      </c>
      <c r="L51" s="274">
        <f t="shared" si="23"/>
        <v>0</v>
      </c>
      <c r="M51" s="274" t="str">
        <f t="shared" si="23"/>
        <v/>
      </c>
    </row>
    <row r="52" spans="2:13">
      <c r="B52" s="38" t="s">
        <v>64</v>
      </c>
      <c r="C52" s="274">
        <f>IF(C$4="","",C13)</f>
        <v>37086796</v>
      </c>
      <c r="D52" s="274">
        <f t="shared" ref="D52:M52" si="24">IF(D$4="","",D13)</f>
        <v>31023567</v>
      </c>
      <c r="E52" s="274">
        <f t="shared" si="24"/>
        <v>31991799</v>
      </c>
      <c r="F52" s="274">
        <f t="shared" si="24"/>
        <v>18258659</v>
      </c>
      <c r="G52" s="274">
        <f t="shared" si="24"/>
        <v>12674421</v>
      </c>
      <c r="H52" s="274">
        <f t="shared" si="24"/>
        <v>7073727</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-35566924</v>
      </c>
      <c r="D58" s="289">
        <f t="shared" ref="D58:M58" si="28">IF(D$4="","",D44-D55-D56-D57)</f>
        <v>5412624</v>
      </c>
      <c r="E58" s="289">
        <f t="shared" si="28"/>
        <v>-19164063</v>
      </c>
      <c r="F58" s="289">
        <f t="shared" si="28"/>
        <v>-2800013</v>
      </c>
      <c r="G58" s="289">
        <f t="shared" si="28"/>
        <v>-14320130</v>
      </c>
      <c r="H58" s="289">
        <f t="shared" si="28"/>
        <v>-3777121</v>
      </c>
      <c r="I58" s="289">
        <f t="shared" si="28"/>
        <v>-2170030</v>
      </c>
      <c r="J58" s="289">
        <f t="shared" si="28"/>
        <v>13040050</v>
      </c>
      <c r="K58" s="289">
        <f t="shared" si="28"/>
        <v>-32209532</v>
      </c>
      <c r="L58" s="289">
        <f t="shared" si="28"/>
        <v>-55037745</v>
      </c>
      <c r="M58" s="289" t="str">
        <f t="shared" si="28"/>
        <v/>
      </c>
    </row>
    <row r="60" spans="2:13">
      <c r="B60" s="16" t="s">
        <v>48</v>
      </c>
      <c r="C60" s="9"/>
    </row>
    <row r="61" spans="2:13">
      <c r="B61" s="26" t="s">
        <v>44</v>
      </c>
      <c r="C61" s="274">
        <f>IF(C$4="","",-C19)</f>
        <v>-213321215</v>
      </c>
      <c r="D61" s="274">
        <f t="shared" ref="D61:M61" si="29">IF(D$4="","",-D19)</f>
        <v>-173104850</v>
      </c>
      <c r="E61" s="274">
        <f t="shared" si="29"/>
        <v>-130450506</v>
      </c>
      <c r="F61" s="274">
        <f t="shared" si="29"/>
        <v>-105234144</v>
      </c>
      <c r="G61" s="274">
        <f t="shared" si="29"/>
        <v>-99116575</v>
      </c>
      <c r="H61" s="274">
        <f t="shared" si="29"/>
        <v>-95719410</v>
      </c>
      <c r="I61" s="274">
        <f t="shared" si="29"/>
        <v>-87904740</v>
      </c>
      <c r="J61" s="274">
        <f t="shared" si="29"/>
        <v>-78828048</v>
      </c>
      <c r="K61" s="274">
        <f t="shared" si="29"/>
        <v>-74835527</v>
      </c>
      <c r="L61" s="274">
        <f t="shared" si="29"/>
        <v>0</v>
      </c>
      <c r="M61" s="274" t="str">
        <f t="shared" si="29"/>
        <v/>
      </c>
    </row>
    <row r="62" spans="2:13">
      <c r="B62" s="26" t="s">
        <v>50</v>
      </c>
      <c r="C62" s="274">
        <f>IF(C$4="","",IF(C20=0,C61,-C20))</f>
        <v>-213321215</v>
      </c>
      <c r="D62" s="274">
        <f t="shared" ref="D62:M62" si="30">IF(D$4="","",IF(D20=0,D61,-D20))</f>
        <v>-173104850</v>
      </c>
      <c r="E62" s="274">
        <f t="shared" si="30"/>
        <v>-130450506</v>
      </c>
      <c r="F62" s="274">
        <f t="shared" si="30"/>
        <v>-105234144</v>
      </c>
      <c r="G62" s="274">
        <f t="shared" si="30"/>
        <v>-99116575</v>
      </c>
      <c r="H62" s="274">
        <f t="shared" si="30"/>
        <v>-95719410</v>
      </c>
      <c r="I62" s="274">
        <f t="shared" si="30"/>
        <v>-87904740</v>
      </c>
      <c r="J62" s="274">
        <f t="shared" si="30"/>
        <v>-78828048</v>
      </c>
      <c r="K62" s="274">
        <f t="shared" si="30"/>
        <v>-74835527</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-66331274</v>
      </c>
      <c r="D64" s="274">
        <f t="shared" ref="D64:M64" si="32">IF(D$4="","",D22+D23+D24)</f>
        <v>-294270811</v>
      </c>
      <c r="E64" s="274">
        <f t="shared" si="32"/>
        <v>426934734</v>
      </c>
      <c r="F64" s="274">
        <f t="shared" si="32"/>
        <v>-219479248</v>
      </c>
      <c r="G64" s="274">
        <f t="shared" si="32"/>
        <v>693386508</v>
      </c>
      <c r="H64" s="274">
        <f t="shared" si="32"/>
        <v>397843313</v>
      </c>
      <c r="I64" s="274">
        <f t="shared" si="32"/>
        <v>299849663</v>
      </c>
      <c r="J64" s="274">
        <f t="shared" si="32"/>
        <v>-141020191</v>
      </c>
      <c r="K64" s="274">
        <f t="shared" si="32"/>
        <v>-49100464</v>
      </c>
      <c r="L64" s="274">
        <f t="shared" si="32"/>
        <v>220142715</v>
      </c>
      <c r="M64" s="274"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9">
        <f t="shared" ref="D76:M76" si="39">IF(D$4="","",D79+D80)</f>
        <v>8628787997</v>
      </c>
      <c r="E76" s="289">
        <f t="shared" si="39"/>
        <v>7976614494</v>
      </c>
      <c r="F76" s="289">
        <f t="shared" si="39"/>
        <v>5950736130</v>
      </c>
      <c r="G76" s="289">
        <f t="shared" si="39"/>
        <v>5246920436</v>
      </c>
      <c r="H76" s="289">
        <f t="shared" si="39"/>
        <v>4677192094</v>
      </c>
      <c r="I76" s="289">
        <f t="shared" si="39"/>
        <v>3570534120</v>
      </c>
      <c r="J76" s="289">
        <f t="shared" si="39"/>
        <v>2922308439</v>
      </c>
      <c r="K76" s="289">
        <f t="shared" si="39"/>
        <v>2546084184</v>
      </c>
      <c r="L76" s="289">
        <f t="shared" si="39"/>
        <v>2510420855</v>
      </c>
      <c r="M76" s="289" t="str">
        <f t="shared" si="39"/>
        <v/>
      </c>
    </row>
    <row r="77" spans="2:13">
      <c r="B77" s="90" t="s">
        <v>82</v>
      </c>
      <c r="C77" s="263">
        <f t="shared" ref="C77:H78" si="40">IF(C$4="","",C28)</f>
        <v>1175281306.4799998</v>
      </c>
      <c r="D77" s="286">
        <f t="shared" si="40"/>
        <v>851687201</v>
      </c>
      <c r="E77" s="286">
        <f t="shared" si="40"/>
        <v>790890033</v>
      </c>
      <c r="F77" s="286">
        <f t="shared" si="40"/>
        <v>567013771</v>
      </c>
      <c r="G77" s="286">
        <f t="shared" si="40"/>
        <v>458930449</v>
      </c>
      <c r="H77" s="286">
        <f t="shared" si="40"/>
        <v>595526269</v>
      </c>
      <c r="I77" s="295"/>
      <c r="J77" s="295"/>
      <c r="K77" s="295"/>
      <c r="L77" s="295"/>
      <c r="M77" s="295"/>
    </row>
    <row r="78" spans="2:13">
      <c r="B78" s="90" t="s">
        <v>83</v>
      </c>
      <c r="C78" s="263">
        <f t="shared" si="40"/>
        <v>2668382470.8800001</v>
      </c>
      <c r="D78" s="286">
        <f t="shared" si="40"/>
        <v>2819492731</v>
      </c>
      <c r="E78" s="286">
        <f t="shared" si="40"/>
        <v>2459595915</v>
      </c>
      <c r="F78" s="286">
        <f t="shared" si="40"/>
        <v>1867069694</v>
      </c>
      <c r="G78" s="286">
        <f t="shared" si="40"/>
        <v>1603890018</v>
      </c>
      <c r="H78" s="286">
        <f t="shared" si="40"/>
        <v>1464309401</v>
      </c>
      <c r="I78" s="295"/>
      <c r="J78" s="295"/>
      <c r="K78" s="295"/>
      <c r="L78" s="295"/>
      <c r="M78" s="295"/>
    </row>
    <row r="79" spans="2:13">
      <c r="B79" s="25" t="s">
        <v>38</v>
      </c>
      <c r="C79" s="262">
        <f t="shared" ref="C79:M79" si="41">IF(C$4="","",C30)</f>
        <v>4362314805.7700005</v>
      </c>
      <c r="D79" s="274">
        <f t="shared" si="41"/>
        <v>4086723205</v>
      </c>
      <c r="E79" s="274">
        <f t="shared" si="41"/>
        <v>3962039491</v>
      </c>
      <c r="F79" s="274">
        <f t="shared" si="41"/>
        <v>2581011486</v>
      </c>
      <c r="G79" s="274">
        <f t="shared" si="41"/>
        <v>2275269694</v>
      </c>
      <c r="H79" s="274">
        <f t="shared" si="41"/>
        <v>2004846282</v>
      </c>
      <c r="I79" s="274">
        <f t="shared" si="41"/>
        <v>1560581012</v>
      </c>
      <c r="J79" s="274">
        <f t="shared" si="41"/>
        <v>1160274283</v>
      </c>
      <c r="K79" s="274">
        <f t="shared" si="41"/>
        <v>894522509</v>
      </c>
      <c r="L79" s="274">
        <f t="shared" si="41"/>
        <v>1020621379</v>
      </c>
      <c r="M79" s="274" t="str">
        <f t="shared" si="41"/>
        <v/>
      </c>
    </row>
    <row r="80" spans="2:13">
      <c r="B80" s="25" t="s">
        <v>28</v>
      </c>
      <c r="C80" s="262">
        <f t="shared" ref="C80:M80" si="42">IF(C$4="","",C31)</f>
        <v>4613455937.5900002</v>
      </c>
      <c r="D80" s="274">
        <f t="shared" si="42"/>
        <v>4542064792</v>
      </c>
      <c r="E80" s="274">
        <f t="shared" si="42"/>
        <v>4014575003</v>
      </c>
      <c r="F80" s="274">
        <f t="shared" si="42"/>
        <v>3369724644</v>
      </c>
      <c r="G80" s="274">
        <f t="shared" si="42"/>
        <v>2971650742</v>
      </c>
      <c r="H80" s="274">
        <f t="shared" si="42"/>
        <v>2672345812</v>
      </c>
      <c r="I80" s="274">
        <f t="shared" si="42"/>
        <v>2009953108</v>
      </c>
      <c r="J80" s="274">
        <f t="shared" si="42"/>
        <v>1762034156</v>
      </c>
      <c r="K80" s="274">
        <f t="shared" si="42"/>
        <v>1651561675</v>
      </c>
      <c r="L80" s="274">
        <f t="shared" si="42"/>
        <v>1489799476</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1">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-468902548.5</v>
      </c>
      <c r="D73" s="289">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4"/>
      <c r="D75" s="265">
        <f>MAX(-D73*D76,G5)</f>
        <v>848767982.12578523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1198762710.3042147</v>
      </c>
      <c r="D89" s="216">
        <f>SUM(D86:D88)</f>
        <v>2.079535351820196</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8"/>
      <c r="F3" s="9"/>
      <c r="G3" s="16" t="s">
        <v>410</v>
      </c>
      <c r="H3" s="104">
        <f>scaling_factor</f>
        <v>1</v>
      </c>
    </row>
    <row r="4" spans="1:17" ht="15.75" customHeight="1">
      <c r="A4" s="10"/>
      <c r="B4" s="25" t="s">
        <v>0</v>
      </c>
      <c r="C4" s="269">
        <f>AVERAGE(G4:I4)*0.9</f>
        <v>5418276523.1999998</v>
      </c>
      <c r="D4" s="54"/>
      <c r="E4" s="236"/>
      <c r="F4" s="54"/>
      <c r="G4" s="274">
        <f>Data!C36</f>
        <v>6129461219</v>
      </c>
      <c r="H4" s="274">
        <f>Data!D36</f>
        <v>6249319078</v>
      </c>
      <c r="I4" s="274">
        <f>Data!E36</f>
        <v>5682141447</v>
      </c>
      <c r="J4" s="274">
        <f>Data!F36</f>
        <v>4651100995</v>
      </c>
      <c r="K4" s="274">
        <f>Data!G36</f>
        <v>3329297918</v>
      </c>
      <c r="L4" s="274">
        <f>Data!H36</f>
        <v>3310864083</v>
      </c>
      <c r="M4" s="274">
        <f>Data!I36</f>
        <v>2918572854</v>
      </c>
      <c r="N4" s="274">
        <f>Data!J36</f>
        <v>2210529514</v>
      </c>
      <c r="O4" s="274">
        <f>Data!K36</f>
        <v>1544300894</v>
      </c>
      <c r="P4" s="274">
        <f>Data!L36</f>
        <v>1583235731</v>
      </c>
      <c r="Q4" s="274" t="str">
        <f>Data!M36</f>
        <v/>
      </c>
    </row>
    <row r="5" spans="1:17" ht="15.75" customHeight="1">
      <c r="A5" s="10"/>
      <c r="B5" s="2" t="s">
        <v>43</v>
      </c>
      <c r="C5" s="270">
        <f>C26</f>
        <v>-4329883278.7547112</v>
      </c>
      <c r="E5" s="238"/>
      <c r="G5" s="274">
        <f t="shared" ref="G5:Q5" si="1">G26</f>
        <v>-4864105968</v>
      </c>
      <c r="H5" s="274">
        <f t="shared" si="1"/>
        <v>-4817765721</v>
      </c>
      <c r="I5" s="274">
        <f t="shared" si="1"/>
        <v>-4431392835</v>
      </c>
      <c r="J5" s="274">
        <f t="shared" si="1"/>
        <v>-3657597828</v>
      </c>
      <c r="K5" s="274">
        <f t="shared" si="1"/>
        <v>-2532018613</v>
      </c>
      <c r="L5" s="274">
        <f t="shared" si="1"/>
        <v>-2677533383</v>
      </c>
      <c r="M5" s="274">
        <f t="shared" si="1"/>
        <v>-2458068124</v>
      </c>
      <c r="N5" s="274">
        <f t="shared" si="1"/>
        <v>-1893415673</v>
      </c>
      <c r="O5" s="274">
        <f t="shared" si="1"/>
        <v>-1238306330</v>
      </c>
      <c r="P5" s="274">
        <f t="shared" si="1"/>
        <v>-1239568348</v>
      </c>
      <c r="Q5" s="274" t="str">
        <f t="shared" si="1"/>
        <v/>
      </c>
    </row>
    <row r="6" spans="1:17" ht="15.75" customHeight="1">
      <c r="A6" s="10"/>
      <c r="B6" s="30" t="s">
        <v>45</v>
      </c>
      <c r="C6" s="271">
        <f>C4+C5</f>
        <v>1088393244.4452887</v>
      </c>
      <c r="E6" s="238"/>
      <c r="G6" s="271">
        <f>IF(G4="","",G4+G5)</f>
        <v>1265355251</v>
      </c>
      <c r="H6" s="271">
        <f t="shared" ref="H6:Q6" si="2">IF(H4="","",H4+H5)</f>
        <v>1431553357</v>
      </c>
      <c r="I6" s="271">
        <f t="shared" si="2"/>
        <v>1250748612</v>
      </c>
      <c r="J6" s="271">
        <f t="shared" si="2"/>
        <v>993503167</v>
      </c>
      <c r="K6" s="271">
        <f t="shared" si="2"/>
        <v>797279305</v>
      </c>
      <c r="L6" s="271">
        <f t="shared" si="2"/>
        <v>633330700</v>
      </c>
      <c r="M6" s="271">
        <f t="shared" si="2"/>
        <v>460504730</v>
      </c>
      <c r="N6" s="271">
        <f t="shared" si="2"/>
        <v>317113841</v>
      </c>
      <c r="O6" s="271">
        <f t="shared" si="2"/>
        <v>305994564</v>
      </c>
      <c r="P6" s="271">
        <f t="shared" si="2"/>
        <v>343667383</v>
      </c>
      <c r="Q6" s="271" t="str">
        <f t="shared" si="2"/>
        <v/>
      </c>
    </row>
    <row r="7" spans="1:17" ht="15.75" customHeight="1">
      <c r="A7" s="10"/>
      <c r="B7" s="8" t="s">
        <v>42</v>
      </c>
      <c r="C7" s="270">
        <f>C35</f>
        <v>-151680194</v>
      </c>
      <c r="E7" s="238"/>
      <c r="G7" s="270">
        <f t="shared" ref="G7:Q7" si="3">G35</f>
        <v>-151680194</v>
      </c>
      <c r="H7" s="270">
        <f t="shared" si="3"/>
        <v>-165913428</v>
      </c>
      <c r="I7" s="270">
        <f t="shared" si="3"/>
        <v>-204335908</v>
      </c>
      <c r="J7" s="270">
        <f t="shared" si="3"/>
        <v>-207840733</v>
      </c>
      <c r="K7" s="270">
        <f t="shared" si="3"/>
        <v>-143128813</v>
      </c>
      <c r="L7" s="270">
        <f t="shared" si="3"/>
        <v>-122004891</v>
      </c>
      <c r="M7" s="270">
        <f t="shared" si="3"/>
        <v>-128305857</v>
      </c>
      <c r="N7" s="270">
        <f t="shared" si="3"/>
        <v>-74180151</v>
      </c>
      <c r="O7" s="270">
        <f t="shared" si="3"/>
        <v>-71364015</v>
      </c>
      <c r="P7" s="270">
        <f t="shared" si="3"/>
        <v>-98873522</v>
      </c>
      <c r="Q7" s="270" t="str">
        <f t="shared" si="3"/>
        <v/>
      </c>
    </row>
    <row r="8" spans="1:17" ht="15.75" customHeight="1">
      <c r="A8" s="10"/>
      <c r="B8" s="28" t="s">
        <v>127</v>
      </c>
      <c r="C8" s="272">
        <f>C6+C7</f>
        <v>936713050.44528866</v>
      </c>
      <c r="D8" s="56"/>
      <c r="E8" s="244"/>
      <c r="F8" s="56"/>
      <c r="G8" s="271">
        <f>IF(G$4="","",G6+G7)</f>
        <v>1113675057</v>
      </c>
      <c r="H8" s="271">
        <f t="shared" ref="H8:Q8" si="4">IF(H$4="","",H6+H7)</f>
        <v>1265639929</v>
      </c>
      <c r="I8" s="271">
        <f t="shared" si="4"/>
        <v>1046412704</v>
      </c>
      <c r="J8" s="271">
        <f t="shared" si="4"/>
        <v>785662434</v>
      </c>
      <c r="K8" s="271">
        <f t="shared" si="4"/>
        <v>654150492</v>
      </c>
      <c r="L8" s="271">
        <f t="shared" si="4"/>
        <v>511325809</v>
      </c>
      <c r="M8" s="271">
        <f t="shared" si="4"/>
        <v>332198873</v>
      </c>
      <c r="N8" s="271">
        <f t="shared" si="4"/>
        <v>242933690</v>
      </c>
      <c r="O8" s="271">
        <f t="shared" si="4"/>
        <v>234630549</v>
      </c>
      <c r="P8" s="271">
        <f t="shared" si="4"/>
        <v>244793861</v>
      </c>
      <c r="Q8" s="271" t="str">
        <f t="shared" si="4"/>
        <v/>
      </c>
    </row>
    <row r="9" spans="1:17" ht="15.75" customHeight="1">
      <c r="A9" s="10"/>
      <c r="B9" s="26" t="s">
        <v>415</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-6915392.1070452891</v>
      </c>
      <c r="E10" s="238"/>
      <c r="G10" s="270">
        <f>G48</f>
        <v>11364677.287272859</v>
      </c>
      <c r="H10" s="270">
        <f t="shared" ref="H10:Q10" si="6">H48</f>
        <v>10124317.301431507</v>
      </c>
      <c r="I10" s="270">
        <f t="shared" si="6"/>
        <v>13883004.75394487</v>
      </c>
      <c r="J10" s="270">
        <f t="shared" si="6"/>
        <v>8277678.0425271895</v>
      </c>
      <c r="K10" s="270">
        <f t="shared" si="6"/>
        <v>5945634.6765567223</v>
      </c>
      <c r="L10" s="270">
        <f t="shared" si="6"/>
        <v>3359649.5730868145</v>
      </c>
      <c r="M10" s="270">
        <f t="shared" si="6"/>
        <v>0</v>
      </c>
      <c r="N10" s="270">
        <f t="shared" si="6"/>
        <v>0</v>
      </c>
      <c r="O10" s="270">
        <f t="shared" si="6"/>
        <v>0</v>
      </c>
      <c r="P10" s="270">
        <f t="shared" si="6"/>
        <v>0</v>
      </c>
      <c r="Q10" s="270" t="str">
        <f t="shared" si="6"/>
        <v/>
      </c>
    </row>
    <row r="11" spans="1:17" ht="15.75" customHeight="1">
      <c r="A11" s="10"/>
      <c r="B11" s="67" t="s">
        <v>137</v>
      </c>
      <c r="C11" s="271">
        <f>SUM(C8:C10)</f>
        <v>929797658.33824337</v>
      </c>
      <c r="E11" s="238"/>
      <c r="G11" s="271">
        <f t="shared" ref="G11:Q11" si="7">IF(G$4="","",SUM(G8:G10))</f>
        <v>1125039734.2872729</v>
      </c>
      <c r="H11" s="271">
        <f t="shared" si="7"/>
        <v>1275764246.3014314</v>
      </c>
      <c r="I11" s="271">
        <f t="shared" si="7"/>
        <v>1060295708.7539449</v>
      </c>
      <c r="J11" s="271">
        <f t="shared" si="7"/>
        <v>793940112.0425272</v>
      </c>
      <c r="K11" s="271">
        <f t="shared" si="7"/>
        <v>660096126.67655671</v>
      </c>
      <c r="L11" s="271">
        <f t="shared" si="7"/>
        <v>514685458.5730868</v>
      </c>
      <c r="M11" s="271">
        <f t="shared" si="7"/>
        <v>332198873</v>
      </c>
      <c r="N11" s="271">
        <f t="shared" si="7"/>
        <v>242933690</v>
      </c>
      <c r="O11" s="271">
        <f t="shared" si="7"/>
        <v>234630549</v>
      </c>
      <c r="P11" s="271">
        <f t="shared" si="7"/>
        <v>244793861</v>
      </c>
      <c r="Q11" s="271" t="str">
        <f t="shared" si="7"/>
        <v/>
      </c>
    </row>
    <row r="12" spans="1:17" ht="15.75" customHeight="1">
      <c r="A12" s="10"/>
      <c r="B12" s="2" t="s">
        <v>60</v>
      </c>
      <c r="C12" s="270">
        <f>-C11*C41</f>
        <v>-232449414.58456084</v>
      </c>
      <c r="E12" s="238"/>
      <c r="G12" s="270">
        <f>Data!C46</f>
        <v>-260714131</v>
      </c>
      <c r="H12" s="270">
        <f>Data!D46</f>
        <v>-289376410</v>
      </c>
      <c r="I12" s="270">
        <f>Data!E46</f>
        <v>-224010347</v>
      </c>
      <c r="J12" s="270">
        <f>Data!F46</f>
        <v>-153720766</v>
      </c>
      <c r="K12" s="270">
        <f>Data!G46</f>
        <v>-137748165</v>
      </c>
      <c r="L12" s="270">
        <f>Data!H46</f>
        <v>-101545465</v>
      </c>
      <c r="M12" s="270">
        <f>Data!I46</f>
        <v>-85553107</v>
      </c>
      <c r="N12" s="270">
        <f>Data!J46</f>
        <v>-50017037</v>
      </c>
      <c r="O12" s="270">
        <f>Data!K46</f>
        <v>-42676057</v>
      </c>
      <c r="P12" s="270">
        <f>Data!L46</f>
        <v>-47144437</v>
      </c>
      <c r="Q12" s="270" t="str">
        <f>Data!M46</f>
        <v/>
      </c>
    </row>
    <row r="13" spans="1:17" ht="15.75" customHeight="1">
      <c r="A13" s="10"/>
      <c r="B13" s="38" t="s">
        <v>208</v>
      </c>
      <c r="C13" s="270">
        <f>-C4*C79</f>
        <v>0</v>
      </c>
      <c r="D13" s="57"/>
      <c r="E13" s="245"/>
      <c r="F13" s="57"/>
      <c r="G13" s="274">
        <f>Data!C48</f>
        <v>0</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697348243.75368249</v>
      </c>
      <c r="D14" s="58"/>
      <c r="E14" s="246"/>
      <c r="F14" s="58"/>
      <c r="G14" s="271">
        <f t="shared" ref="G14:Q14" si="8">IF(G$4="","",SUM(G11:G13))</f>
        <v>864325603.28727293</v>
      </c>
      <c r="H14" s="271">
        <f t="shared" si="8"/>
        <v>986387836.30143142</v>
      </c>
      <c r="I14" s="271">
        <f t="shared" si="8"/>
        <v>836285361.75394487</v>
      </c>
      <c r="J14" s="271">
        <f t="shared" si="8"/>
        <v>640219346.0425272</v>
      </c>
      <c r="K14" s="271">
        <f t="shared" si="8"/>
        <v>522347961.67655671</v>
      </c>
      <c r="L14" s="271">
        <f t="shared" si="8"/>
        <v>413139993.5730868</v>
      </c>
      <c r="M14" s="271">
        <f t="shared" si="8"/>
        <v>246645766</v>
      </c>
      <c r="N14" s="271">
        <f t="shared" si="8"/>
        <v>192916653</v>
      </c>
      <c r="O14" s="271">
        <f t="shared" si="8"/>
        <v>191954492</v>
      </c>
      <c r="P14" s="271">
        <f t="shared" si="8"/>
        <v>197649424</v>
      </c>
      <c r="Q14" s="271" t="str">
        <f t="shared" si="8"/>
        <v/>
      </c>
    </row>
    <row r="15" spans="1:17" ht="15.75" customHeight="1">
      <c r="A15" s="10"/>
      <c r="B15" s="2" t="s">
        <v>62</v>
      </c>
      <c r="C15" s="270">
        <f>BS!$G$39*BS!D58</f>
        <v>213321214.99999997</v>
      </c>
      <c r="E15" s="238"/>
      <c r="G15" s="270">
        <f>IF(Data!C61="","",-Data!C61)</f>
        <v>213321215</v>
      </c>
      <c r="H15" s="270">
        <f>IF(Data!D61="","",-Data!D61)</f>
        <v>173104850</v>
      </c>
      <c r="I15" s="270">
        <f>IF(Data!E61="","",-Data!E61)</f>
        <v>130450506</v>
      </c>
      <c r="J15" s="270">
        <f>IF(Data!F61="","",-Data!F61)</f>
        <v>105234144</v>
      </c>
      <c r="K15" s="270">
        <f>IF(Data!G61="","",-Data!G61)</f>
        <v>99116575</v>
      </c>
      <c r="L15" s="270">
        <f>IF(Data!H61="","",-Data!H61)</f>
        <v>95719410</v>
      </c>
      <c r="M15" s="270">
        <f>IF(Data!I61="","",-Data!I61)</f>
        <v>87904740</v>
      </c>
      <c r="N15" s="270">
        <f>IF(Data!J61="","",-Data!J61)</f>
        <v>78828048</v>
      </c>
      <c r="O15" s="270">
        <f>IF(Data!K61="","",-Data!K61)</f>
        <v>74835527</v>
      </c>
      <c r="P15" s="270">
        <f>IF(Data!L61="","",-Data!L61)</f>
        <v>0</v>
      </c>
      <c r="Q15" s="270" t="str">
        <f>IF(Data!M61="","",-Data!M61)</f>
        <v/>
      </c>
    </row>
    <row r="16" spans="1:17" ht="15.75" customHeight="1">
      <c r="A16" s="10"/>
      <c r="B16" s="2" t="s">
        <v>397</v>
      </c>
      <c r="C16" s="270">
        <f>-C4*C82</f>
        <v>-213321215</v>
      </c>
      <c r="E16" s="238"/>
      <c r="G16" s="270">
        <f>Data!C62</f>
        <v>-213321215</v>
      </c>
      <c r="H16" s="270">
        <f>Data!D62</f>
        <v>-173104850</v>
      </c>
      <c r="I16" s="270">
        <f>Data!E62</f>
        <v>-130450506</v>
      </c>
      <c r="J16" s="270">
        <f>Data!F62</f>
        <v>-105234144</v>
      </c>
      <c r="K16" s="270">
        <f>Data!G62</f>
        <v>-99116575</v>
      </c>
      <c r="L16" s="270">
        <f>Data!H62</f>
        <v>-95719410</v>
      </c>
      <c r="M16" s="270">
        <f>Data!I62</f>
        <v>-87904740</v>
      </c>
      <c r="N16" s="270">
        <f>Data!J62</f>
        <v>-78828048</v>
      </c>
      <c r="O16" s="270">
        <f>Data!K62</f>
        <v>-74835527</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697348243.75368249</v>
      </c>
      <c r="D19" s="26"/>
      <c r="E19" s="235"/>
      <c r="F19" s="26"/>
      <c r="G19" s="275">
        <f t="shared" ref="G19:Q19" si="9">IF(G$4="","",G14+G17)</f>
        <v>864325603.28727293</v>
      </c>
      <c r="H19" s="275">
        <f t="shared" si="9"/>
        <v>986387836.30143142</v>
      </c>
      <c r="I19" s="275">
        <f t="shared" si="9"/>
        <v>836285361.75394487</v>
      </c>
      <c r="J19" s="275">
        <f t="shared" si="9"/>
        <v>640219346.0425272</v>
      </c>
      <c r="K19" s="275">
        <f t="shared" si="9"/>
        <v>522347961.67655671</v>
      </c>
      <c r="L19" s="275">
        <f t="shared" si="9"/>
        <v>413139993.5730868</v>
      </c>
      <c r="M19" s="275">
        <f t="shared" si="9"/>
        <v>246645766</v>
      </c>
      <c r="N19" s="275">
        <f t="shared" si="9"/>
        <v>192916653</v>
      </c>
      <c r="O19" s="275">
        <f t="shared" si="9"/>
        <v>191954492</v>
      </c>
      <c r="P19" s="275">
        <f t="shared" si="9"/>
        <v>197649424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-3896040900.2255597</v>
      </c>
      <c r="D23" s="55"/>
      <c r="E23" s="237"/>
      <c r="F23" s="55"/>
      <c r="G23" s="274">
        <f>Data!C37</f>
        <v>-4407422084</v>
      </c>
      <c r="H23" s="274">
        <f>Data!D37</f>
        <v>-4321480843</v>
      </c>
      <c r="I23" s="274">
        <f>Data!E37</f>
        <v>-3978855242</v>
      </c>
      <c r="J23" s="274">
        <f>Data!F37</f>
        <v>-3293652640</v>
      </c>
      <c r="K23" s="274">
        <f>Data!G37</f>
        <v>-2298160068</v>
      </c>
      <c r="L23" s="274">
        <f>Data!H37</f>
        <v>-2198164870</v>
      </c>
      <c r="M23" s="274">
        <f>Data!I37</f>
        <v>-2065727128</v>
      </c>
      <c r="N23" s="274">
        <f>Data!J37</f>
        <v>-1559929846</v>
      </c>
      <c r="O23" s="274">
        <f>Data!K37</f>
        <v>-993637032</v>
      </c>
      <c r="P23" s="274">
        <f>Data!L37</f>
        <v>-996799764</v>
      </c>
      <c r="Q23" s="274" t="str">
        <f>Data!M37</f>
        <v/>
      </c>
    </row>
    <row r="24" spans="1:17" ht="15.75" customHeight="1">
      <c r="A24" s="10"/>
      <c r="B24" s="65" t="s">
        <v>59</v>
      </c>
      <c r="C24" s="270">
        <f>-C4*C30</f>
        <v>-269543753.3452037</v>
      </c>
      <c r="D24" s="26"/>
      <c r="E24" s="235"/>
      <c r="F24" s="26"/>
      <c r="G24" s="274">
        <f>Data!C40</f>
        <v>-304923157</v>
      </c>
      <c r="H24" s="274">
        <f>Data!D40</f>
        <v>-285858877</v>
      </c>
      <c r="I24" s="274">
        <f>Data!E40</f>
        <v>-267651684</v>
      </c>
      <c r="J24" s="274">
        <f>Data!F40</f>
        <v>-222391023</v>
      </c>
      <c r="K24" s="274">
        <f>Data!G40</f>
        <v>-172179694</v>
      </c>
      <c r="L24" s="274">
        <f>Data!H40</f>
        <v>-410723752</v>
      </c>
      <c r="M24" s="274">
        <f>Data!I40</f>
        <v>-343598742</v>
      </c>
      <c r="N24" s="274">
        <f>Data!J40</f>
        <v>-286174672</v>
      </c>
      <c r="O24" s="274">
        <f>Data!K40</f>
        <v>-197063391</v>
      </c>
      <c r="P24" s="274">
        <f>Data!L40</f>
        <v>-242768584</v>
      </c>
      <c r="Q24" s="274" t="str">
        <f>Data!M40</f>
        <v/>
      </c>
    </row>
    <row r="25" spans="1:17" ht="15.75" customHeight="1">
      <c r="A25" s="10"/>
      <c r="B25" s="26" t="s">
        <v>46</v>
      </c>
      <c r="C25" s="270">
        <f>-C4*C31</f>
        <v>-164298625.18394771</v>
      </c>
      <c r="D25" s="55"/>
      <c r="E25" s="236"/>
      <c r="F25" s="55"/>
      <c r="G25" s="274">
        <f>Data!C42</f>
        <v>-151760727</v>
      </c>
      <c r="H25" s="274">
        <f>Data!D42</f>
        <v>-210426001</v>
      </c>
      <c r="I25" s="274">
        <f>Data!E42</f>
        <v>-184885909</v>
      </c>
      <c r="J25" s="274">
        <f>Data!F42</f>
        <v>-141554165</v>
      </c>
      <c r="K25" s="274">
        <f>Data!G42</f>
        <v>-61678851</v>
      </c>
      <c r="L25" s="274">
        <f>Data!H42</f>
        <v>-68644761</v>
      </c>
      <c r="M25" s="274">
        <f>Data!I42</f>
        <v>-48742254</v>
      </c>
      <c r="N25" s="274">
        <f>Data!J42</f>
        <v>-47311155</v>
      </c>
      <c r="O25" s="274">
        <f>Data!K42</f>
        <v>-47605907</v>
      </c>
      <c r="P25" s="274">
        <f>Data!L42</f>
        <v>0</v>
      </c>
      <c r="Q25" s="274" t="str">
        <f>Data!M42</f>
        <v/>
      </c>
    </row>
    <row r="26" spans="1:17" ht="15.75" customHeight="1">
      <c r="A26" s="10"/>
      <c r="B26" s="67" t="s">
        <v>43</v>
      </c>
      <c r="C26" s="271">
        <f>SUM(C23:C25)</f>
        <v>-4329883278.7547112</v>
      </c>
      <c r="D26" s="9"/>
      <c r="E26" s="243"/>
      <c r="F26" s="9"/>
      <c r="G26" s="271">
        <f>IF(G$4="","",SUM(G23:G25))</f>
        <v>-4864105968</v>
      </c>
      <c r="H26" s="271">
        <f t="shared" ref="H26:Q26" si="10">IF(H$4="","",SUM(H23:H25))</f>
        <v>-4817765721</v>
      </c>
      <c r="I26" s="271">
        <f t="shared" si="10"/>
        <v>-4431392835</v>
      </c>
      <c r="J26" s="271">
        <f t="shared" si="10"/>
        <v>-3657597828</v>
      </c>
      <c r="K26" s="271">
        <f t="shared" si="10"/>
        <v>-2532018613</v>
      </c>
      <c r="L26" s="271">
        <f t="shared" si="10"/>
        <v>-2677533383</v>
      </c>
      <c r="M26" s="271">
        <f t="shared" si="10"/>
        <v>-2458068124</v>
      </c>
      <c r="N26" s="271">
        <f t="shared" si="10"/>
        <v>-1893415673</v>
      </c>
      <c r="O26" s="271">
        <f t="shared" si="10"/>
        <v>-1238306330</v>
      </c>
      <c r="P26" s="271">
        <f t="shared" si="10"/>
        <v>-1239568348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0.71905538293283389</v>
      </c>
      <c r="D29" s="25"/>
      <c r="E29" s="236"/>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6"/>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5"/>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8"/>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8"/>
    </row>
    <row r="34" spans="1:17" ht="15.75" customHeight="1">
      <c r="A34" s="10"/>
      <c r="B34" s="61" t="s">
        <v>42</v>
      </c>
      <c r="E34" s="238"/>
    </row>
    <row r="35" spans="1:17" ht="15.75" customHeight="1">
      <c r="A35" s="10"/>
      <c r="B35" s="302" t="s">
        <v>395</v>
      </c>
      <c r="C35" s="280">
        <f>G35</f>
        <v>-151680194</v>
      </c>
      <c r="D35" s="55"/>
      <c r="E35" s="237"/>
      <c r="F35" s="55"/>
      <c r="G35" s="271">
        <f>IF(G4="","",Data!C41)</f>
        <v>-151680194</v>
      </c>
      <c r="H35" s="271">
        <f>IF(H4="","",Data!D41)</f>
        <v>-165913428</v>
      </c>
      <c r="I35" s="271">
        <f>IF(I4="","",Data!E41)</f>
        <v>-204335908</v>
      </c>
      <c r="J35" s="271">
        <f>IF(J4="","",Data!F41)</f>
        <v>-207840733</v>
      </c>
      <c r="K35" s="271">
        <f>IF(K4="","",Data!G41)</f>
        <v>-143128813</v>
      </c>
      <c r="L35" s="271">
        <f>IF(L4="","",Data!H41)</f>
        <v>-122004891</v>
      </c>
      <c r="M35" s="271">
        <f>IF(M4="","",Data!I41)</f>
        <v>-128305857</v>
      </c>
      <c r="N35" s="271">
        <f>IF(N4="","",Data!J41)</f>
        <v>-74180151</v>
      </c>
      <c r="O35" s="271">
        <f>IF(O4="","",Data!K41)</f>
        <v>-71364015</v>
      </c>
      <c r="P35" s="271">
        <f>IF(P4="","",Data!L41)</f>
        <v>-98873522</v>
      </c>
      <c r="Q35" s="271" t="str">
        <f>IF(Q4="","",Data!M41)</f>
        <v/>
      </c>
    </row>
    <row r="36" spans="1:17" ht="15.75" customHeight="1">
      <c r="A36" s="10"/>
      <c r="E36" s="238"/>
    </row>
    <row r="37" spans="1:17" ht="15.75" customHeight="1">
      <c r="A37" s="10"/>
      <c r="B37" s="61" t="s">
        <v>176</v>
      </c>
      <c r="E37" s="238"/>
    </row>
    <row r="38" spans="1:17" ht="15.75" customHeight="1">
      <c r="A38" s="10"/>
      <c r="B38" s="302" t="s">
        <v>395</v>
      </c>
      <c r="C38" s="68">
        <f>ABS(C35/$C$4)</f>
        <v>2.7994177364432229E-2</v>
      </c>
      <c r="E38" s="238"/>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403</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-12007999.9998</v>
      </c>
      <c r="E45" s="238"/>
      <c r="G45" s="270">
        <f>Data!C51</f>
        <v>-6249607</v>
      </c>
      <c r="H45" s="270">
        <f>Data!D51</f>
        <v>-4610251</v>
      </c>
      <c r="I45" s="270">
        <f>Data!E51</f>
        <v>-1311423</v>
      </c>
      <c r="J45" s="270">
        <f>Data!F51</f>
        <v>-394228</v>
      </c>
      <c r="K45" s="270">
        <f>Data!G51</f>
        <v>-74051</v>
      </c>
      <c r="L45" s="270">
        <f>Data!H51</f>
        <v>0</v>
      </c>
      <c r="M45" s="270">
        <f>Data!I51</f>
        <v>0</v>
      </c>
      <c r="N45" s="270">
        <f>Data!J51</f>
        <v>0</v>
      </c>
      <c r="O45" s="270">
        <f>Data!K51</f>
        <v>0</v>
      </c>
      <c r="P45" s="270">
        <f>Data!L51</f>
        <v>0</v>
      </c>
      <c r="Q45" s="270" t="str">
        <f>Data!M51</f>
        <v/>
      </c>
    </row>
    <row r="46" spans="1:17" ht="15.75" customHeight="1">
      <c r="A46" s="10"/>
      <c r="B46" s="2" t="s">
        <v>272</v>
      </c>
      <c r="C46" s="270">
        <f>BS!D75*C51</f>
        <v>5092607.8927547112</v>
      </c>
      <c r="E46" s="238"/>
      <c r="G46" s="278">
        <f t="shared" ref="G46:Q46" si="17">IFERROR(IF(G$4="","",($C$46/$C$47)*G47),0)</f>
        <v>17614284.287272859</v>
      </c>
      <c r="H46" s="278">
        <f t="shared" si="17"/>
        <v>14734568.301431507</v>
      </c>
      <c r="I46" s="278">
        <f t="shared" si="17"/>
        <v>15194427.75394487</v>
      </c>
      <c r="J46" s="278">
        <f t="shared" si="17"/>
        <v>8671906.0425271895</v>
      </c>
      <c r="K46" s="278">
        <f t="shared" si="17"/>
        <v>6019685.6765567223</v>
      </c>
      <c r="L46" s="278">
        <f t="shared" si="17"/>
        <v>3359649.5730868145</v>
      </c>
      <c r="M46" s="278">
        <f t="shared" si="17"/>
        <v>0</v>
      </c>
      <c r="N46" s="278">
        <f t="shared" si="17"/>
        <v>0</v>
      </c>
      <c r="O46" s="278">
        <f t="shared" si="17"/>
        <v>0</v>
      </c>
      <c r="P46" s="278">
        <f t="shared" si="17"/>
        <v>0</v>
      </c>
      <c r="Q46" s="278" t="str">
        <f t="shared" si="17"/>
        <v/>
      </c>
    </row>
    <row r="47" spans="1:17" ht="15.75" customHeight="1">
      <c r="A47" s="10"/>
      <c r="B47" s="248" t="s">
        <v>269</v>
      </c>
      <c r="C47" s="282">
        <f>BS!$C$66*C51</f>
        <v>10722462.91398</v>
      </c>
      <c r="D47" s="249"/>
      <c r="E47" s="250"/>
      <c r="F47" s="249"/>
      <c r="G47" s="282">
        <f>Data!C52</f>
        <v>37086796</v>
      </c>
      <c r="H47" s="282">
        <f>Data!D52</f>
        <v>31023567</v>
      </c>
      <c r="I47" s="282">
        <f>Data!E52</f>
        <v>31991799</v>
      </c>
      <c r="J47" s="282">
        <f>Data!F52</f>
        <v>18258659</v>
      </c>
      <c r="K47" s="282">
        <f>Data!G52</f>
        <v>12674421</v>
      </c>
      <c r="L47" s="282">
        <f>Data!H52</f>
        <v>7073727</v>
      </c>
      <c r="M47" s="282">
        <f>Data!I52</f>
        <v>0</v>
      </c>
      <c r="N47" s="282">
        <f>Data!J52</f>
        <v>0</v>
      </c>
      <c r="O47" s="282">
        <f>Data!K52</f>
        <v>0</v>
      </c>
      <c r="P47" s="282">
        <f>Data!L52</f>
        <v>0</v>
      </c>
      <c r="Q47" s="282" t="str">
        <f>Data!M52</f>
        <v/>
      </c>
    </row>
    <row r="48" spans="1:17" ht="15.75" customHeight="1">
      <c r="A48" s="10"/>
      <c r="B48" s="67" t="s">
        <v>65</v>
      </c>
      <c r="C48" s="271">
        <f>C45+C46</f>
        <v>-6915392.1070452891</v>
      </c>
      <c r="E48" s="238"/>
      <c r="G48" s="271">
        <f>IF(G$4="","",(G45+G46))</f>
        <v>11364677.287272859</v>
      </c>
      <c r="H48" s="271">
        <f t="shared" ref="H48:Q48" si="18">IF(H$4="","",(H45+H46))</f>
        <v>10124317.301431507</v>
      </c>
      <c r="I48" s="271">
        <f t="shared" si="18"/>
        <v>13883004.75394487</v>
      </c>
      <c r="J48" s="271">
        <f t="shared" si="18"/>
        <v>8277678.0425271895</v>
      </c>
      <c r="K48" s="271">
        <f t="shared" si="18"/>
        <v>5945634.6765567223</v>
      </c>
      <c r="L48" s="271">
        <f t="shared" si="18"/>
        <v>3359649.5730868145</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5"/>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8"/>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-35566924</v>
      </c>
      <c r="H60" s="270">
        <f>Data!D58</f>
        <v>5412624</v>
      </c>
      <c r="I60" s="270">
        <f>Data!E58</f>
        <v>-19164063</v>
      </c>
      <c r="J60" s="270">
        <f>Data!F58</f>
        <v>-2800013</v>
      </c>
      <c r="K60" s="270">
        <f>Data!G58</f>
        <v>-14320130</v>
      </c>
      <c r="L60" s="270">
        <f>Data!H58</f>
        <v>-3777121</v>
      </c>
      <c r="M60" s="270">
        <f>Data!I58</f>
        <v>-2170030</v>
      </c>
      <c r="N60" s="270">
        <f>Data!J58</f>
        <v>13040050</v>
      </c>
      <c r="O60" s="270">
        <f>Data!K58</f>
        <v>-32209532</v>
      </c>
      <c r="P60" s="270">
        <f>Data!L58</f>
        <v>-55037745</v>
      </c>
      <c r="Q60" s="270" t="str">
        <f>Data!M58</f>
        <v/>
      </c>
    </row>
    <row r="61" spans="1:17" ht="15.75" customHeight="1">
      <c r="A61" s="10"/>
      <c r="B61" s="30" t="s">
        <v>164</v>
      </c>
      <c r="C61" s="271">
        <f>C59+C60</f>
        <v>0</v>
      </c>
      <c r="E61" s="238"/>
      <c r="G61" s="271">
        <f t="shared" ref="G61:Q61" si="21">IF(G4="","",G59+G60)</f>
        <v>-35566924</v>
      </c>
      <c r="H61" s="271">
        <f t="shared" si="21"/>
        <v>5412624</v>
      </c>
      <c r="I61" s="271">
        <f t="shared" si="21"/>
        <v>-19164063</v>
      </c>
      <c r="J61" s="271">
        <f t="shared" si="21"/>
        <v>-2800013</v>
      </c>
      <c r="K61" s="271">
        <f t="shared" si="21"/>
        <v>-14320130</v>
      </c>
      <c r="L61" s="271">
        <f t="shared" si="21"/>
        <v>-3777121</v>
      </c>
      <c r="M61" s="271">
        <f t="shared" si="21"/>
        <v>-2170030</v>
      </c>
      <c r="N61" s="271">
        <f t="shared" si="21"/>
        <v>13040050</v>
      </c>
      <c r="O61" s="271">
        <f t="shared" si="21"/>
        <v>-32209532</v>
      </c>
      <c r="P61" s="271">
        <f t="shared" si="21"/>
        <v>-55037745</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5"/>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5"/>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5"/>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5"/>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5"/>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5"/>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5"/>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5"/>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5"/>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6" t="s">
        <v>549</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5"/>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(CNY)</v>
      </c>
      <c r="C88" s="110">
        <f>G88</f>
        <v>1.06</v>
      </c>
      <c r="E88" s="238"/>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8"/>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8"/>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6">
        <v>0</v>
      </c>
      <c r="E91" s="238"/>
      <c r="G91" s="297"/>
      <c r="H91" s="297"/>
      <c r="I91" s="297"/>
      <c r="J91" s="297"/>
      <c r="K91" s="297"/>
      <c r="L91" s="297"/>
      <c r="M91" s="297"/>
      <c r="N91" s="297"/>
      <c r="O91" s="297"/>
      <c r="P91" s="297"/>
      <c r="Q91" s="297"/>
    </row>
    <row r="92" spans="1:17" ht="15.75" customHeight="1">
      <c r="A92" s="10"/>
      <c r="B92" s="2" t="s">
        <v>328</v>
      </c>
      <c r="C92" s="22">
        <f>(C88*(1-dividend_tax_rate))/Market_Price</f>
        <v>6.9326357096141281E-2</v>
      </c>
      <c r="E92" s="238"/>
      <c r="G92" s="22">
        <f t="shared" ref="G92:Q92" si="38">IF(G$4="","",(G88*(1-dividend_tax_rate))/Market_Price)</f>
        <v>6.9326357096141281E-2</v>
      </c>
      <c r="H92" s="22">
        <f t="shared" si="38"/>
        <v>6.9326357096141281E-2</v>
      </c>
      <c r="I92" s="22">
        <f t="shared" si="38"/>
        <v>6.540222367560497E-2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-0.11602727717657824</v>
      </c>
      <c r="D95" s="26"/>
      <c r="E95" s="235"/>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5"/>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8975770743.3600006</v>
      </c>
      <c r="D100" s="25"/>
      <c r="E100" s="239"/>
      <c r="F100" s="25"/>
      <c r="G100" s="274">
        <f t="shared" ref="G100:Q100" si="41">IF(G$4="","",G104+G103)</f>
        <v>8975770743.3600006</v>
      </c>
      <c r="H100" s="274">
        <f t="shared" si="41"/>
        <v>8628787997</v>
      </c>
      <c r="I100" s="274">
        <f t="shared" si="41"/>
        <v>7976614494</v>
      </c>
      <c r="J100" s="274">
        <f t="shared" si="41"/>
        <v>5950736130</v>
      </c>
      <c r="K100" s="274">
        <f t="shared" si="41"/>
        <v>5246920436</v>
      </c>
      <c r="L100" s="274">
        <f t="shared" si="41"/>
        <v>4677192094</v>
      </c>
      <c r="M100" s="274">
        <f t="shared" si="41"/>
        <v>3570534120</v>
      </c>
      <c r="N100" s="274">
        <f t="shared" si="41"/>
        <v>2922308439</v>
      </c>
      <c r="O100" s="274">
        <f t="shared" si="41"/>
        <v>2546084184</v>
      </c>
      <c r="P100" s="274">
        <f t="shared" si="41"/>
        <v>2510420855</v>
      </c>
      <c r="Q100" s="274" t="str">
        <f t="shared" si="41"/>
        <v/>
      </c>
    </row>
    <row r="101" spans="1:17" ht="15.75" customHeight="1">
      <c r="A101" s="10"/>
      <c r="B101" s="90" t="s">
        <v>179</v>
      </c>
      <c r="C101" s="285">
        <f>BS!C4</f>
        <v>1175281306.4799998</v>
      </c>
      <c r="D101" s="86"/>
      <c r="E101" s="240"/>
      <c r="F101" s="86"/>
      <c r="G101" s="286">
        <f>IF(G$4="","",Data!D77)</f>
        <v>851687201</v>
      </c>
      <c r="H101" s="286">
        <f>IF(H$4="","",Data!E77)</f>
        <v>790890033</v>
      </c>
      <c r="I101" s="286">
        <f>IF(I$4="","",Data!F77)</f>
        <v>567013771</v>
      </c>
      <c r="J101" s="286">
        <f>IF(J$4="","",Data!G77)</f>
        <v>458930449</v>
      </c>
      <c r="K101" s="286">
        <f>IF(K$4="","",Data!H77)</f>
        <v>595526269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2668382470.8800001</v>
      </c>
      <c r="D102" s="86"/>
      <c r="E102" s="240"/>
      <c r="F102" s="86"/>
      <c r="G102" s="286">
        <f>IF(G$4="","",Data!D78)</f>
        <v>2819492731</v>
      </c>
      <c r="H102" s="286">
        <f>IF(H$4="","",Data!E78)</f>
        <v>2459595915</v>
      </c>
      <c r="I102" s="286">
        <f>IF(I$4="","",Data!F78)</f>
        <v>1867069694</v>
      </c>
      <c r="J102" s="286">
        <f>IF(J$4="","",Data!G78)</f>
        <v>1603890018</v>
      </c>
      <c r="K102" s="286">
        <f>IF(K$4="","",Data!H78)</f>
        <v>1464309401</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4362314805.7700005</v>
      </c>
      <c r="D103" s="25"/>
      <c r="E103" s="239"/>
      <c r="F103" s="25"/>
      <c r="G103" s="274">
        <f>Data!C79</f>
        <v>4362314805.7700005</v>
      </c>
      <c r="H103" s="274">
        <f>Data!D79</f>
        <v>4086723205</v>
      </c>
      <c r="I103" s="274">
        <f>Data!E79</f>
        <v>3962039491</v>
      </c>
      <c r="J103" s="274">
        <f>Data!F79</f>
        <v>2581011486</v>
      </c>
      <c r="K103" s="274">
        <f>Data!G79</f>
        <v>2275269694</v>
      </c>
      <c r="L103" s="274">
        <f>Data!H79</f>
        <v>2004846282</v>
      </c>
      <c r="M103" s="274">
        <f>Data!I79</f>
        <v>1560581012</v>
      </c>
      <c r="N103" s="274">
        <f>Data!J79</f>
        <v>1160274283</v>
      </c>
      <c r="O103" s="274">
        <f>Data!K79</f>
        <v>894522509</v>
      </c>
      <c r="P103" s="274">
        <f>Data!L79</f>
        <v>1020621379</v>
      </c>
      <c r="Q103" s="274" t="str">
        <f>Data!M79</f>
        <v/>
      </c>
    </row>
    <row r="104" spans="1:17" ht="15.75" customHeight="1">
      <c r="A104" s="10"/>
      <c r="B104" s="25" t="s">
        <v>28</v>
      </c>
      <c r="C104" s="284">
        <f>BS!G27</f>
        <v>4613455937.5900002</v>
      </c>
      <c r="D104" s="25"/>
      <c r="E104" s="239"/>
      <c r="F104" s="25"/>
      <c r="G104" s="274">
        <f>Data!C80</f>
        <v>4613455937.5900002</v>
      </c>
      <c r="H104" s="274">
        <f>Data!D80</f>
        <v>4542064792</v>
      </c>
      <c r="I104" s="274">
        <f>Data!E80</f>
        <v>4014575003</v>
      </c>
      <c r="J104" s="274">
        <f>Data!F80</f>
        <v>3369724644</v>
      </c>
      <c r="K104" s="274">
        <f>Data!G80</f>
        <v>2971650742</v>
      </c>
      <c r="L104" s="274">
        <f>Data!H80</f>
        <v>2672345812</v>
      </c>
      <c r="M104" s="274">
        <f>Data!I80</f>
        <v>2009953108</v>
      </c>
      <c r="N104" s="274">
        <f>Data!J80</f>
        <v>1762034156</v>
      </c>
      <c r="O104" s="274">
        <f>Data!K80</f>
        <v>1651561675</v>
      </c>
      <c r="P104" s="274">
        <f>Data!L80</f>
        <v>1489799476</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9"/>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9"/>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1.2267060985735432</v>
      </c>
      <c r="H112" s="254">
        <f>IF(H$4="","",Data!D$22/Data!D15)</f>
        <v>0.26587914456111778</v>
      </c>
      <c r="I112" s="254">
        <f>IF(I$4="","",Data!E$22/Data!E15)</f>
        <v>1.2265191844187875</v>
      </c>
      <c r="J112" s="254">
        <f>IF(J$4="","",Data!F$22/Data!F15)</f>
        <v>0.89192297644013196</v>
      </c>
      <c r="K112" s="254">
        <f>IF(K$4="","",Data!G$22/Data!G15)</f>
        <v>1.1870279725250534</v>
      </c>
      <c r="L112" s="254">
        <f>IF(L$4="","",Data!H$22/Data!H15)</f>
        <v>1.0745976191603042</v>
      </c>
      <c r="M112" s="254">
        <f>IF(M$4="","",Data!I$22/Data!I15)</f>
        <v>1.3371903704995902</v>
      </c>
      <c r="N112" s="254">
        <f>IF(N$4="","",Data!J$22/Data!J15)</f>
        <v>0.14539357818327475</v>
      </c>
      <c r="O112" s="254">
        <f>IF(O$4="","",Data!K$22/Data!K15)</f>
        <v>2.2963859955268697</v>
      </c>
      <c r="P112" s="254">
        <f>IF(P$4="","",Data!L$22/Data!L15)</f>
        <v>2.0900844453279315</v>
      </c>
      <c r="Q112" s="254" t="str">
        <f>IF(Q$4="","",Data!M$22/Data!M15)</f>
        <v/>
      </c>
    </row>
    <row r="113" spans="1:17" ht="15.75" customHeight="1">
      <c r="A113" s="10"/>
      <c r="B113" s="2" t="s">
        <v>304</v>
      </c>
      <c r="C113" s="151"/>
      <c r="E113" s="238"/>
      <c r="G113" s="254">
        <f>IF(G$4="","",Data!C$22/G19)</f>
        <v>1.2038638807442137</v>
      </c>
      <c r="H113" s="254">
        <f>IF(H$4="","",Data!D$22/H19)</f>
        <v>0.27172877962993497</v>
      </c>
      <c r="I113" s="254">
        <f>IF(I$4="","",Data!E$22/I19)</f>
        <v>1.2230481289961133</v>
      </c>
      <c r="J113" s="254">
        <f>IF(J$4="","",Data!F$22/J19)</f>
        <v>0.90137793799449939</v>
      </c>
      <c r="K113" s="254">
        <f>IF(K$4="","",Data!G$22/K19)</f>
        <v>1.1696084771520598</v>
      </c>
      <c r="L113" s="254">
        <f>IF(L$4="","",Data!H$22/L19)</f>
        <v>1.0744336396991134</v>
      </c>
      <c r="M113" s="254">
        <f>IF(M$4="","",Data!I$22/M19)</f>
        <v>1.3254255497740837</v>
      </c>
      <c r="N113" s="254">
        <f>IF(N$4="","",Data!J$22/N19)</f>
        <v>0.1552213431776675</v>
      </c>
      <c r="O113" s="254">
        <f>IF(O$4="","",Data!K$22/O19)</f>
        <v>1.9110575906710221</v>
      </c>
      <c r="P113" s="254">
        <f>IF(P$4="","",Data!L$22/P19)</f>
        <v>1.5080765021607145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38"/>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38"/>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2"/>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1"/>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5"/>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7.9118001546982064E-2</v>
      </c>
      <c r="D124" s="26"/>
      <c r="E124" s="235"/>
      <c r="F124" s="26"/>
      <c r="G124" s="74">
        <f t="shared" ref="G124" si="49">IF(G$4="","",G123/Market_Price)</f>
        <v>9.8062503247850985E-2</v>
      </c>
      <c r="H124" s="74">
        <f t="shared" ref="H124" si="50">IF(H$4="","",H123/Market_Price)</f>
        <v>0.11191113630449841</v>
      </c>
      <c r="I124" s="74">
        <f t="shared" ref="I124" si="51">IF(I$4="","",I123/Market_Price)</f>
        <v>9.488118330780218E-2</v>
      </c>
      <c r="J124" s="74">
        <f t="shared" ref="J124" si="52">IF(J$4="","",J123/Market_Price)</f>
        <v>7.2636413247341783E-2</v>
      </c>
      <c r="K124" s="74">
        <f t="shared" ref="K124" si="53">IF(K$4="","",K123/Market_Price)</f>
        <v>5.9263255066841929E-2</v>
      </c>
      <c r="L124" s="74">
        <f t="shared" ref="L124" si="54">IF(L$4="","",L123/Market_Price)</f>
        <v>4.6873009207980862E-2</v>
      </c>
      <c r="M124" s="74">
        <f t="shared" ref="M124" si="55">IF(M$4="","",M123/Market_Price)</f>
        <v>2.7983321490714703E-2</v>
      </c>
      <c r="N124" s="74">
        <f t="shared" ref="N124" si="56">IF(N$4="","",N123/Market_Price)</f>
        <v>2.1887457503777505E-2</v>
      </c>
      <c r="O124" s="74">
        <f t="shared" ref="O124" si="57">IF(O$4="","",O123/Market_Price)</f>
        <v>2.177829503557269E-2</v>
      </c>
      <c r="P124" s="74">
        <f t="shared" ref="P124" si="58">IF(P$4="","",P123/Market_Price)</f>
        <v>2.2424416457433056E-2</v>
      </c>
      <c r="Q124" s="74" t="str">
        <f t="shared" ref="Q124" si="59">IF(Q$4="","",Q123/Market_Price)</f>
        <v/>
      </c>
    </row>
    <row r="125" spans="1:17" ht="15.75" customHeight="1">
      <c r="B125" s="2" t="s">
        <v>306</v>
      </c>
      <c r="C125" s="151"/>
      <c r="G125" s="22">
        <f>IF(G$4="","",(Data!C47*$C$3)/(Market_Price*Common_Shares))</f>
        <v>9.6236503472777332E-2</v>
      </c>
      <c r="H125" s="22">
        <f>IF(H$4="","",(Data!D47*$C$3)/(Market_Price*Common_Shares))</f>
        <v>0.1143733050037342</v>
      </c>
      <c r="I125" s="22">
        <f>IF(I$4="","",(Data!E47*$C$3)/(Market_Price*Common_Shares))</f>
        <v>9.4612669084776502E-2</v>
      </c>
      <c r="J125" s="22">
        <f>IF(J$4="","",(Data!F47*$C$3)/(Market_Price*Common_Shares))</f>
        <v>7.3406406299255114E-2</v>
      </c>
      <c r="K125" s="22">
        <f>IF(K$4="","",(Data!G47*$C$3)/(Market_Price*Common_Shares))</f>
        <v>5.8393573794521605E-2</v>
      </c>
      <c r="L125" s="22">
        <f>IF(L$4="","",(Data!H47*$C$3)/(Market_Price*Common_Shares))</f>
        <v>4.6865856567162321E-2</v>
      </c>
      <c r="M125" s="22">
        <f>IF(M$4="","",(Data!I47*$C$3)/(Market_Price*Common_Shares))</f>
        <v>2.7737119627535358E-2</v>
      </c>
      <c r="N125" s="22">
        <f>IF(N$4="","",(Data!J47*$C$3)/(Market_Price*Common_Shares))</f>
        <v>2.3366923043863015E-2</v>
      </c>
      <c r="O125" s="22">
        <f>IF(O$4="","",(Data!K47*$C$3)/(Market_Price*Common_Shares))</f>
        <v>1.8123946113882856E-2</v>
      </c>
      <c r="P125" s="22">
        <f>IF(P$4="","",(Data!L47*$C$3)/(Market_Price*Common_Shares))</f>
        <v>1.6180080957836535E-2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425</v>
      </c>
      <c r="H3" s="106" t="s">
        <v>414</v>
      </c>
    </row>
    <row r="4" spans="2:15">
      <c r="B4" s="97" t="s">
        <v>391</v>
      </c>
      <c r="C4" s="279">
        <f>Normalized_FCF!C19</f>
        <v>697348243.75368249</v>
      </c>
      <c r="D4" t="str">
        <f>Reporting_currency</f>
        <v>CNY</v>
      </c>
      <c r="E4" s="135" t="s">
        <v>432</v>
      </c>
      <c r="F4" s="279">
        <f>-BS!G31</f>
        <v>-200133333.33000001</v>
      </c>
      <c r="G4" t="str">
        <f>Reporting_currency</f>
        <v>CNY</v>
      </c>
      <c r="H4" s="312" t="s">
        <v>392</v>
      </c>
      <c r="I4" s="309">
        <f>Normalized_FCF!C4</f>
        <v>5418276523.1999998</v>
      </c>
      <c r="J4" s="309"/>
    </row>
    <row r="5" spans="2:15">
      <c r="B5" s="187" t="s">
        <v>105</v>
      </c>
      <c r="C5" s="188">
        <f>Equity_Cost</f>
        <v>7.2499999999999995E-2</v>
      </c>
      <c r="E5" s="135" t="s">
        <v>433</v>
      </c>
      <c r="F5" s="279">
        <f>BS!D66</f>
        <v>938309170.20421469</v>
      </c>
      <c r="G5" t="str">
        <f>Reporting_currency</f>
        <v>CNY</v>
      </c>
      <c r="H5" s="312" t="s">
        <v>394</v>
      </c>
      <c r="I5" s="309">
        <f>Normalized_FCF!C7</f>
        <v>-151680194</v>
      </c>
      <c r="J5" s="309"/>
    </row>
    <row r="6" spans="2:15" ht="13.25" customHeight="1">
      <c r="B6" s="136" t="s">
        <v>194</v>
      </c>
      <c r="C6" s="287">
        <f>(C4*(1+Terminal_Growth))/(Equity_Cost-Terminal_Growth)</f>
        <v>9618596465.5680351</v>
      </c>
      <c r="D6" t="str">
        <f>Reporting_currency</f>
        <v>CNY</v>
      </c>
      <c r="E6" s="187" t="s">
        <v>434</v>
      </c>
      <c r="F6" s="288">
        <f>BS!H42</f>
        <v>60320206.770000003</v>
      </c>
      <c r="G6" t="str">
        <f>Reporting_currency</f>
        <v>CNY</v>
      </c>
      <c r="H6" s="312" t="s">
        <v>416</v>
      </c>
      <c r="I6" s="309">
        <f>I7+I8</f>
        <v>-6915392.1070452891</v>
      </c>
      <c r="J6" s="309"/>
      <c r="N6" s="135"/>
    </row>
    <row r="7" spans="2:15" ht="12.75" customHeight="1">
      <c r="B7" s="322" t="s">
        <v>431</v>
      </c>
      <c r="C7" s="279">
        <f>F7</f>
        <v>798496043.64421463</v>
      </c>
      <c r="E7" s="140" t="s">
        <v>425</v>
      </c>
      <c r="F7" s="287">
        <f>SUM(F4:F6)</f>
        <v>798496043.64421463</v>
      </c>
      <c r="G7" t="str">
        <f>Reporting_currency</f>
        <v>CNY</v>
      </c>
      <c r="H7" s="316" t="s">
        <v>417</v>
      </c>
      <c r="I7" s="317">
        <f>Normalized_FCF!C9</f>
        <v>0</v>
      </c>
      <c r="J7" s="317"/>
      <c r="N7" s="308"/>
      <c r="O7" s="308"/>
    </row>
    <row r="8" spans="2:15" ht="13.15">
      <c r="B8" s="136" t="s">
        <v>427</v>
      </c>
      <c r="C8" s="287">
        <f>C6+C7</f>
        <v>10417092509.21225</v>
      </c>
      <c r="D8" t="str">
        <f>Reporting_currency</f>
        <v>CNY</v>
      </c>
      <c r="E8" s="140" t="s">
        <v>465</v>
      </c>
      <c r="F8" s="108">
        <f>FV_adjustments*scaling_factor/Common_Shares*Exchange_Rate</f>
        <v>1.3851788488026247</v>
      </c>
      <c r="G8" s="298" t="str">
        <f>Market_currency</f>
        <v>CNY</v>
      </c>
      <c r="H8" s="318" t="str">
        <f>Normalized_FCF!B10</f>
        <v>Net Interest Income</v>
      </c>
      <c r="I8" s="317">
        <f>Normalized_FCF!C10</f>
        <v>-6915392.1070452891</v>
      </c>
      <c r="J8" s="317"/>
      <c r="N8" s="308"/>
      <c r="O8" s="308"/>
    </row>
    <row r="9" spans="2:15" ht="13.15" thickBot="1">
      <c r="B9" s="189" t="str">
        <f>"*"&amp;Thesis!E15</f>
        <v>*CNY</v>
      </c>
      <c r="C9" s="190">
        <f>Exchange_Rate</f>
        <v>1</v>
      </c>
      <c r="D9" t="str">
        <f>Thesis!E15</f>
        <v>CNY</v>
      </c>
      <c r="F9" s="326"/>
      <c r="H9" s="312" t="str">
        <f>Normalized_FCF!B79</f>
        <v>NCI’s Share of Profits</v>
      </c>
      <c r="I9" s="144">
        <f>Normalized_FCF!C79</f>
        <v>0</v>
      </c>
      <c r="J9" s="310"/>
      <c r="N9" s="308"/>
      <c r="O9" s="308"/>
    </row>
    <row r="10" spans="2:15" ht="13.5" thickTop="1">
      <c r="B10" s="107" t="s">
        <v>428</v>
      </c>
      <c r="C10" s="287">
        <f>C8*Exchange_Rate</f>
        <v>10417092509.21225</v>
      </c>
      <c r="D10" t="str">
        <f>Market_currency</f>
        <v>CNY</v>
      </c>
      <c r="H10" s="312" t="s">
        <v>396</v>
      </c>
      <c r="I10" s="310">
        <f>Normalized_FCF!C41</f>
        <v>0.25</v>
      </c>
      <c r="N10" s="308"/>
      <c r="O10" s="308"/>
    </row>
    <row r="11" spans="2:15" ht="13.15">
      <c r="B11" s="136" t="s">
        <v>426</v>
      </c>
      <c r="C11" s="108">
        <f>(C10*scaling_factor)/Common_Shares</f>
        <v>18.070892554366154</v>
      </c>
      <c r="D11" t="str">
        <f>Market_currency</f>
        <v>CNY</v>
      </c>
      <c r="E11" s="311"/>
      <c r="I11" s="311"/>
      <c r="J11" s="311"/>
    </row>
    <row r="13" spans="2:15" ht="13.9">
      <c r="B13" s="34" t="s">
        <v>429</v>
      </c>
      <c r="C13" s="35"/>
      <c r="D13" s="35"/>
      <c r="E13" s="35"/>
      <c r="F13" s="35"/>
      <c r="G13" s="35"/>
      <c r="H13" s="35"/>
      <c r="I13" s="35"/>
      <c r="J13" s="35"/>
      <c r="K13" s="35"/>
      <c r="L13" s="35"/>
    </row>
    <row r="14" spans="2:15" ht="13.15">
      <c r="B14" s="106" t="s">
        <v>398</v>
      </c>
      <c r="C14" s="313" t="s">
        <v>405</v>
      </c>
      <c r="E14" s="106" t="s">
        <v>398</v>
      </c>
      <c r="F14" s="313" t="str">
        <f>IF(F17=C17,"I","II")</f>
        <v>I</v>
      </c>
      <c r="H14" s="106" t="s">
        <v>413</v>
      </c>
    </row>
    <row r="15" spans="2:15">
      <c r="B15" s="139" t="s">
        <v>422</v>
      </c>
      <c r="C15" s="148">
        <f>Scenarios!C45</f>
        <v>5</v>
      </c>
      <c r="E15" s="312" t="str">
        <f>IF(F14="II","Change year","Terminal Year")</f>
        <v>Terminal Year</v>
      </c>
      <c r="F15" s="314">
        <f>IF(F14="II",_xlfn.CEILING.MATH(C15/2),C15+1)</f>
        <v>6</v>
      </c>
      <c r="H15" s="97" t="s">
        <v>430</v>
      </c>
      <c r="I15" s="126">
        <f>Terminal_Growth</f>
        <v>0</v>
      </c>
      <c r="J15" s="126"/>
    </row>
    <row r="16" spans="2:15" ht="13.25" customHeight="1">
      <c r="B16" s="114" t="s">
        <v>423</v>
      </c>
      <c r="C16" s="147">
        <f>Scenarios!C46</f>
        <v>1.8613012126595999E-2</v>
      </c>
      <c r="E16" s="312" t="s">
        <v>399</v>
      </c>
      <c r="F16" s="315">
        <f>Scenarios!C41</f>
        <v>1.8613012126595999E-2</v>
      </c>
    </row>
    <row r="17" spans="1:21" ht="13.25" customHeight="1">
      <c r="B17" s="312" t="s">
        <v>393</v>
      </c>
      <c r="C17" s="310">
        <f>Normalized_FCF!C32</f>
        <v>0.79912556330689255</v>
      </c>
      <c r="E17" s="312" t="s">
        <v>400</v>
      </c>
      <c r="F17" s="315">
        <f>Scenarios!C40</f>
        <v>0.79912556330689255</v>
      </c>
      <c r="H17" s="106" t="s">
        <v>412</v>
      </c>
    </row>
    <row r="18" spans="1:21" ht="13.25" customHeight="1">
      <c r="B18" s="312" t="s">
        <v>424</v>
      </c>
      <c r="C18" s="310">
        <f>Normalized_FCF!C81-Normalized_FCF!C82</f>
        <v>0</v>
      </c>
      <c r="E18" s="312" t="s">
        <v>424</v>
      </c>
      <c r="F18" s="144">
        <f>IF(F14="II",C18/2,C18)</f>
        <v>0</v>
      </c>
      <c r="H18" s="140" t="s">
        <v>97</v>
      </c>
      <c r="I18" s="129">
        <f>(L52+FV_adjustments)*Exchange_Rate/Common_Shares*scaling_factor</f>
        <v>19.485796197906723</v>
      </c>
      <c r="J18" t="str">
        <f>Market_currency</f>
        <v>CNY</v>
      </c>
    </row>
    <row r="19" spans="1:21">
      <c r="L19" s="279"/>
    </row>
    <row r="20" spans="1:21" ht="13.15">
      <c r="A20" s="121" t="s">
        <v>398</v>
      </c>
      <c r="B20" s="121" t="s">
        <v>98</v>
      </c>
      <c r="C20" s="121" t="s">
        <v>392</v>
      </c>
      <c r="D20" s="121" t="s">
        <v>102</v>
      </c>
      <c r="E20" s="121" t="s">
        <v>393</v>
      </c>
      <c r="F20" s="121" t="s">
        <v>394</v>
      </c>
      <c r="G20" s="121" t="s">
        <v>543</v>
      </c>
      <c r="H20" s="121" t="str">
        <f>B18</f>
        <v>D&amp;A - maint. Capx</v>
      </c>
      <c r="I20" s="121" t="s">
        <v>419</v>
      </c>
      <c r="J20" s="121" t="s">
        <v>530</v>
      </c>
      <c r="K20" s="121" t="s">
        <v>531</v>
      </c>
      <c r="L20" s="122" t="s">
        <v>420</v>
      </c>
    </row>
    <row r="21" spans="1:21">
      <c r="A21" s="306" t="str">
        <f t="shared" ref="A21:A50" si="0">IF($C$15&lt;B21,"",IF(B21&gt;=$F$15,"II","I"))</f>
        <v>I</v>
      </c>
      <c r="B21" s="117">
        <v>1</v>
      </c>
      <c r="C21" s="281">
        <f>I4*(1+D21)</f>
        <v>5519126969.8315716</v>
      </c>
      <c r="D21" s="303">
        <f t="shared" ref="D21:D50" si="1">IF(A21="",0,IF(A21="I",$C$16,$F$16))</f>
        <v>1.8613012126595999E-2</v>
      </c>
      <c r="E21" s="303">
        <f>$C$17</f>
        <v>0.79912556330689255</v>
      </c>
      <c r="F21" s="281">
        <f>I5*(1+D21)</f>
        <v>-154503419.29028642</v>
      </c>
      <c r="G21" s="281">
        <f>C21*(1-E21)+F21+$I$6</f>
        <v>947232709.70532227</v>
      </c>
      <c r="H21" s="303">
        <f t="shared" ref="H21:H50" si="2">IF(A21="",0%,IF(A21="I",$C$18,$F$18))</f>
        <v>0</v>
      </c>
      <c r="I21" s="281">
        <f>(G21*(1-$I$10)+C21*(H21-$I$9))</f>
        <v>710424532.2789917</v>
      </c>
      <c r="J21" s="303">
        <f>I21/C4-1</f>
        <v>1.875144684515484E-2</v>
      </c>
      <c r="K21" s="119">
        <f t="shared" ref="K21:K50" si="3">IF($C$15&lt;B21,0,1/(1+Equity_Cost)^B21)</f>
        <v>0.93240093240093236</v>
      </c>
      <c r="L21" s="281">
        <f t="shared" ref="L21:L50" si="4">I21*K21</f>
        <v>662400496.29742813</v>
      </c>
    </row>
    <row r="22" spans="1:21">
      <c r="A22" s="306" t="str">
        <f t="shared" si="0"/>
        <v>I</v>
      </c>
      <c r="B22" s="117">
        <v>2</v>
      </c>
      <c r="C22" s="281">
        <f t="shared" ref="C22:C50" si="5">IF(A22="",0,C21*(1+D22))</f>
        <v>5621854547.0492697</v>
      </c>
      <c r="D22" s="303">
        <f t="shared" si="1"/>
        <v>1.8613012126595999E-2</v>
      </c>
      <c r="E22" s="303">
        <f t="shared" ref="E22:E50" si="6">IF($C$15&lt;B22,0,IF(B22&gt;=$F$15,$F$17,$C$17))</f>
        <v>0.79912556330689255</v>
      </c>
      <c r="F22" s="281">
        <f t="shared" ref="F22:F50" si="7">IF(A22="",0,F21*(1+D22))</f>
        <v>-157379193.30713707</v>
      </c>
      <c r="G22" s="281">
        <f t="shared" ref="G22:G50" si="8">IF(A22="", 0,C22*(1-E22)+F22+$I$6)</f>
        <v>964992279.89492452</v>
      </c>
      <c r="H22" s="303">
        <f t="shared" si="2"/>
        <v>0</v>
      </c>
      <c r="I22" s="281">
        <f>IF(A22="", 0,G22*(1-$I$10)+C22*(H22-$I$9))</f>
        <v>723744209.92119336</v>
      </c>
      <c r="J22" s="303">
        <f>IF(A22="", 0,I22/I21-1)</f>
        <v>1.8748898773910616E-2</v>
      </c>
      <c r="K22" s="119">
        <f t="shared" si="3"/>
        <v>0.86937149874212816</v>
      </c>
      <c r="L22" s="281">
        <f t="shared" si="4"/>
        <v>629202588.4851253</v>
      </c>
    </row>
    <row r="23" spans="1:21">
      <c r="A23" s="306" t="str">
        <f t="shared" si="0"/>
        <v>I</v>
      </c>
      <c r="B23" s="117">
        <v>3</v>
      </c>
      <c r="C23" s="281">
        <f t="shared" si="5"/>
        <v>5726494193.9074564</v>
      </c>
      <c r="D23" s="303">
        <f t="shared" si="1"/>
        <v>1.8613012126595999E-2</v>
      </c>
      <c r="E23" s="303">
        <f t="shared" si="6"/>
        <v>0.79912556330689255</v>
      </c>
      <c r="F23" s="281">
        <f t="shared" si="7"/>
        <v>-160308494.14063671</v>
      </c>
      <c r="G23" s="281">
        <f t="shared" si="8"/>
        <v>983082409.17982876</v>
      </c>
      <c r="H23" s="303">
        <f t="shared" si="2"/>
        <v>0</v>
      </c>
      <c r="I23" s="281">
        <f t="shared" ref="I23:I50" si="9">IF(A23="", 0,G23*(1-$I$10)+C23*(H23-$I$9))</f>
        <v>737311806.8848716</v>
      </c>
      <c r="J23" s="303">
        <f t="shared" ref="J23:J50" si="10">IF(A23="", 0,I23/I22-1)</f>
        <v>1.8746397936856063E-2</v>
      </c>
      <c r="K23" s="119">
        <f t="shared" si="3"/>
        <v>0.81060279602995633</v>
      </c>
      <c r="L23" s="281">
        <f t="shared" si="4"/>
        <v>597667012.20677614</v>
      </c>
      <c r="N23" s="279"/>
      <c r="O23" s="279"/>
      <c r="P23" s="279"/>
      <c r="Q23" s="279"/>
      <c r="R23" s="279"/>
      <c r="S23" s="279"/>
      <c r="T23" s="279"/>
      <c r="U23" s="279"/>
    </row>
    <row r="24" spans="1:21">
      <c r="A24" s="306" t="str">
        <f t="shared" si="0"/>
        <v>I</v>
      </c>
      <c r="B24" s="117">
        <v>4</v>
      </c>
      <c r="C24" s="281">
        <f t="shared" si="5"/>
        <v>5833081499.7815371</v>
      </c>
      <c r="D24" s="303">
        <f t="shared" si="1"/>
        <v>1.8613012126595999E-2</v>
      </c>
      <c r="E24" s="303">
        <f t="shared" si="6"/>
        <v>0.79912556330689255</v>
      </c>
      <c r="F24" s="281">
        <f t="shared" si="7"/>
        <v>-163292318.08607271</v>
      </c>
      <c r="G24" s="281">
        <f t="shared" si="8"/>
        <v>1001509250.2604846</v>
      </c>
      <c r="H24" s="303">
        <f t="shared" si="2"/>
        <v>0</v>
      </c>
      <c r="I24" s="281">
        <f t="shared" si="9"/>
        <v>751131937.6953634</v>
      </c>
      <c r="J24" s="303">
        <f t="shared" si="10"/>
        <v>1.8743943446235534E-2</v>
      </c>
      <c r="K24" s="119">
        <f t="shared" si="3"/>
        <v>0.75580680282513402</v>
      </c>
      <c r="L24" s="281">
        <f t="shared" si="4"/>
        <v>567710628.32938039</v>
      </c>
      <c r="N24" s="279"/>
      <c r="O24" s="279"/>
      <c r="P24" s="279"/>
      <c r="Q24" s="279"/>
      <c r="R24" s="279"/>
      <c r="S24" s="279"/>
      <c r="T24" s="279"/>
      <c r="U24" s="279"/>
    </row>
    <row r="25" spans="1:21">
      <c r="A25" s="306" t="str">
        <f t="shared" si="0"/>
        <v>I</v>
      </c>
      <c r="B25" s="117">
        <v>5</v>
      </c>
      <c r="C25" s="281">
        <f t="shared" si="5"/>
        <v>5941652716.472393</v>
      </c>
      <c r="D25" s="303">
        <f t="shared" si="1"/>
        <v>1.8613012126595999E-2</v>
      </c>
      <c r="E25" s="303">
        <f t="shared" si="6"/>
        <v>0.79912556330689255</v>
      </c>
      <c r="F25" s="281">
        <f t="shared" si="7"/>
        <v>-166331679.98278874</v>
      </c>
      <c r="G25" s="281">
        <f t="shared" si="8"/>
        <v>1020279070.3576294</v>
      </c>
      <c r="H25" s="303">
        <f t="shared" si="2"/>
        <v>0</v>
      </c>
      <c r="I25" s="281">
        <f t="shared" si="9"/>
        <v>765209302.76822209</v>
      </c>
      <c r="J25" s="303">
        <f t="shared" si="10"/>
        <v>1.8741534431422346E-2</v>
      </c>
      <c r="K25" s="119">
        <f t="shared" si="3"/>
        <v>0.70471496766912267</v>
      </c>
      <c r="L25" s="281">
        <f t="shared" si="4"/>
        <v>539254449.06041956</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418</v>
      </c>
      <c r="B51" s="320">
        <f>C15+1</f>
        <v>6</v>
      </c>
      <c r="C51" s="281">
        <f>VLOOKUP(C15,B21:C50,2,FALSE)*(1+Terminal_Growth)</f>
        <v>5941652716.472393</v>
      </c>
      <c r="D51" s="305">
        <f>Terminal_Growth</f>
        <v>0</v>
      </c>
      <c r="E51" s="305">
        <f>F17</f>
        <v>0.79912556330689255</v>
      </c>
      <c r="F51" s="281">
        <f>VLOOKUP(C15,B21:F50,5,FALSE)*(1+Terminal_Growth)</f>
        <v>-166331679.98278874</v>
      </c>
      <c r="G51" s="281">
        <f>C51*(1-E51)+F51+$I$6</f>
        <v>1020279070.3576294</v>
      </c>
      <c r="H51" s="303">
        <f>F18</f>
        <v>0</v>
      </c>
      <c r="I51" s="281">
        <f>(G51*(1-$I$10)+C51*(H51-$I$9))/Equity_Cost</f>
        <v>10554611072.665133</v>
      </c>
      <c r="J51" s="419">
        <f>(G51*(1-$I$10)+C51*(H51-$I$9))/VLOOKUP(C15,B21:I50,8,FALSE)-1</f>
        <v>0</v>
      </c>
      <c r="K51" s="119">
        <f>1/(1+Equity_Cost)^C15</f>
        <v>0.70471496766912267</v>
      </c>
      <c r="L51" s="281">
        <f>I51*K51</f>
        <v>7437992400.8333731</v>
      </c>
    </row>
    <row r="52" spans="1:21" ht="13.15">
      <c r="G52" s="111"/>
      <c r="H52" s="111"/>
      <c r="I52" s="111"/>
      <c r="J52" s="464" t="s">
        <v>421</v>
      </c>
      <c r="K52" s="464"/>
      <c r="L52" s="321">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9424793765.4759083</v>
      </c>
      <c r="C56" s="118">
        <v>9715497815.6140995</v>
      </c>
      <c r="D56" s="118">
        <v>9812399165.6601639</v>
      </c>
      <c r="E56" s="118">
        <v>9909300515.7062283</v>
      </c>
      <c r="F56" s="118">
        <v>10006201865.752293</v>
      </c>
      <c r="G56" s="299"/>
      <c r="H56" s="299"/>
      <c r="I56" s="299"/>
      <c r="J56" s="299"/>
      <c r="K56" s="299"/>
      <c r="L56" s="299"/>
    </row>
    <row r="57" spans="1:21" ht="13.15">
      <c r="A57" s="131">
        <v>2</v>
      </c>
      <c r="B57" s="118">
        <v>9247705983.5735435</v>
      </c>
      <c r="C57" s="118">
        <v>9806752233.8393002</v>
      </c>
      <c r="D57" s="118">
        <v>9996715020.2932377</v>
      </c>
      <c r="E57" s="118">
        <v>10188484824.929855</v>
      </c>
      <c r="F57" s="118">
        <v>10382061647.749149</v>
      </c>
      <c r="G57" s="299"/>
      <c r="H57" s="299"/>
      <c r="I57" s="299"/>
      <c r="J57" s="299"/>
      <c r="K57" s="299"/>
      <c r="L57" s="299"/>
    </row>
    <row r="58" spans="1:21" ht="13.15">
      <c r="A58" s="131">
        <v>3</v>
      </c>
      <c r="B58" s="118">
        <v>9085891506.8702183</v>
      </c>
      <c r="C58" s="118">
        <v>9892688795.5245686</v>
      </c>
      <c r="D58" s="118">
        <v>10172008420.503714</v>
      </c>
      <c r="E58" s="118">
        <v>10456605886.46863</v>
      </c>
      <c r="F58" s="118">
        <v>10746531739.382467</v>
      </c>
      <c r="G58" s="299"/>
      <c r="H58" s="299"/>
      <c r="I58" s="299"/>
      <c r="J58" s="299"/>
      <c r="K58" s="299"/>
      <c r="L58" s="299"/>
    </row>
    <row r="59" spans="1:21" ht="13.15">
      <c r="A59" s="131">
        <v>4</v>
      </c>
      <c r="B59" s="118">
        <v>8938033057.2951488</v>
      </c>
      <c r="C59" s="118">
        <v>9973617399.0696697</v>
      </c>
      <c r="D59" s="118">
        <v>10338721024.899689</v>
      </c>
      <c r="E59" s="118">
        <v>10714102104.076962</v>
      </c>
      <c r="F59" s="118">
        <v>11099957282.784466</v>
      </c>
      <c r="G59" s="299"/>
      <c r="H59" s="299"/>
      <c r="I59" s="299"/>
      <c r="J59" s="299"/>
      <c r="K59" s="299"/>
      <c r="L59" s="299"/>
    </row>
    <row r="60" spans="1:21" ht="13.15">
      <c r="A60" s="131">
        <v>5</v>
      </c>
      <c r="B60" s="118">
        <v>8802926968.1729431</v>
      </c>
      <c r="C60" s="118">
        <v>10049829883.527061</v>
      </c>
      <c r="D60" s="118">
        <v>10497272872.43712</v>
      </c>
      <c r="E60" s="118">
        <v>10961394508.86632</v>
      </c>
      <c r="F60" s="118">
        <v>11442672961.234894</v>
      </c>
      <c r="G60" s="299"/>
      <c r="H60" s="299"/>
      <c r="I60" s="299"/>
      <c r="J60" s="299"/>
      <c r="K60" s="299"/>
      <c r="L60" s="299"/>
    </row>
    <row r="61" spans="1:21" ht="13.15">
      <c r="A61" s="131">
        <v>6</v>
      </c>
      <c r="B61" s="118">
        <v>8679473385.5717659</v>
      </c>
      <c r="C61" s="118">
        <v>10121601081.011408</v>
      </c>
      <c r="D61" s="118">
        <v>10648063440.724468</v>
      </c>
      <c r="E61" s="118">
        <v>11198887447.731621</v>
      </c>
      <c r="F61" s="118">
        <v>11775003316.095913</v>
      </c>
      <c r="G61" s="299"/>
      <c r="H61" s="299"/>
      <c r="I61" s="299"/>
      <c r="J61" s="299"/>
      <c r="K61" s="299"/>
      <c r="L61" s="299"/>
    </row>
    <row r="62" spans="1:21" ht="13.15">
      <c r="A62" s="131">
        <v>7</v>
      </c>
      <c r="B62" s="118">
        <v>8566667314.7567062</v>
      </c>
      <c r="C62" s="118">
        <v>10189189807.779888</v>
      </c>
      <c r="D62" s="118">
        <v>10791472652.522228</v>
      </c>
      <c r="E62" s="118">
        <v>11426969244.497364</v>
      </c>
      <c r="F62" s="118">
        <v>12097263054.142963</v>
      </c>
      <c r="G62" s="299"/>
      <c r="H62" s="299"/>
      <c r="I62" s="299"/>
      <c r="J62" s="299"/>
      <c r="K62" s="299"/>
      <c r="L62" s="299"/>
    </row>
    <row r="63" spans="1:21" ht="13.15">
      <c r="A63" s="131">
        <v>8</v>
      </c>
      <c r="B63" s="118">
        <v>8463590438.8604259</v>
      </c>
      <c r="C63" s="118">
        <v>10252839797.557198</v>
      </c>
      <c r="D63" s="118">
        <v>10927861832.973242</v>
      </c>
      <c r="E63" s="118">
        <v>11646012834.864468</v>
      </c>
      <c r="F63" s="118">
        <v>12409757345.582527</v>
      </c>
      <c r="G63" s="299"/>
      <c r="H63" s="299"/>
      <c r="I63" s="299"/>
      <c r="J63" s="299"/>
      <c r="K63" s="299"/>
      <c r="L63" s="299"/>
    </row>
    <row r="64" spans="1:21" ht="13.15">
      <c r="A64" s="131">
        <v>9</v>
      </c>
      <c r="B64" s="118">
        <v>8369403643.1696529</v>
      </c>
      <c r="C64" s="118">
        <v>10312780580.471025</v>
      </c>
      <c r="D64" s="118">
        <v>11057574619.975605</v>
      </c>
      <c r="E64" s="118">
        <v>11856376376.196041</v>
      </c>
      <c r="F64" s="118">
        <v>12712782113.039074</v>
      </c>
      <c r="G64" s="299"/>
      <c r="H64" s="299"/>
      <c r="I64" s="299"/>
      <c r="J64" s="299"/>
      <c r="K64" s="299"/>
      <c r="L64" s="299"/>
    </row>
    <row r="65" spans="1:21" ht="13.15">
      <c r="A65" s="131">
        <v>10</v>
      </c>
      <c r="B65" s="118">
        <v>8283340184.1701574</v>
      </c>
      <c r="C65" s="118">
        <v>10369228310.767498</v>
      </c>
      <c r="D65" s="118">
        <v>11180937829.99184</v>
      </c>
      <c r="E65" s="118">
        <v>12058403833.139187</v>
      </c>
      <c r="F65" s="118">
        <v>13006624311.784817</v>
      </c>
      <c r="G65" s="299"/>
      <c r="H65" s="299"/>
      <c r="I65" s="299"/>
      <c r="J65" s="299"/>
      <c r="K65" s="299"/>
      <c r="L65" s="299"/>
    </row>
    <row r="66" spans="1:21" ht="13.15">
      <c r="A66" s="131">
        <v>15</v>
      </c>
      <c r="B66" s="118">
        <v>7952360017.604497</v>
      </c>
      <c r="C66" s="281">
        <v>10605794752.687729</v>
      </c>
      <c r="D66" s="118">
        <v>11712871737.098476</v>
      </c>
      <c r="E66" s="118">
        <v>12954614148.270161</v>
      </c>
      <c r="F66" s="118">
        <v>14347546050.920933</v>
      </c>
      <c r="G66" s="299"/>
      <c r="H66" s="299"/>
      <c r="I66" s="299"/>
      <c r="J66" s="299"/>
      <c r="K66" s="299"/>
      <c r="L66" s="299"/>
      <c r="M66" s="279"/>
      <c r="N66" s="279"/>
      <c r="O66" s="279"/>
      <c r="P66" s="279"/>
      <c r="Q66" s="279"/>
      <c r="R66" s="279"/>
      <c r="S66" s="279"/>
      <c r="T66" s="279"/>
      <c r="U66" s="279"/>
    </row>
    <row r="67" spans="1:21" ht="13.15">
      <c r="A67" s="132">
        <v>20</v>
      </c>
      <c r="B67" s="118">
        <v>7741523495.1358166</v>
      </c>
      <c r="C67" s="281">
        <v>10781010648.164474</v>
      </c>
      <c r="D67" s="118">
        <v>12126749439.038588</v>
      </c>
      <c r="E67" s="118">
        <v>13686780148.29896</v>
      </c>
      <c r="F67" s="118">
        <v>15497243648.519215</v>
      </c>
      <c r="G67" s="299"/>
      <c r="H67" s="299"/>
      <c r="I67" s="299"/>
      <c r="J67" s="299"/>
      <c r="K67" s="299"/>
      <c r="L67" s="299"/>
      <c r="M67" s="279"/>
      <c r="N67" s="279"/>
      <c r="O67" s="279"/>
      <c r="P67" s="279"/>
      <c r="Q67" s="279"/>
      <c r="R67" s="279"/>
      <c r="S67" s="279"/>
      <c r="T67" s="279"/>
      <c r="U67" s="279"/>
    </row>
    <row r="68" spans="1:21" ht="13.15">
      <c r="A68" s="132">
        <v>25</v>
      </c>
      <c r="B68" s="118">
        <v>7607219256.7038498</v>
      </c>
      <c r="C68" s="281">
        <v>10910786493.709253</v>
      </c>
      <c r="D68" s="118">
        <v>12448772062.290709</v>
      </c>
      <c r="E68" s="118">
        <v>14284928866.906185</v>
      </c>
      <c r="F68" s="118">
        <v>16482986908.058601</v>
      </c>
      <c r="G68" s="299"/>
      <c r="H68" s="299"/>
      <c r="I68" s="299"/>
      <c r="J68" s="299"/>
      <c r="K68" s="299"/>
      <c r="L68" s="299"/>
      <c r="M68" s="279"/>
      <c r="N68" s="279"/>
      <c r="O68" s="279"/>
      <c r="P68" s="279"/>
      <c r="Q68" s="279"/>
      <c r="R68" s="279"/>
      <c r="S68" s="279"/>
      <c r="T68" s="279"/>
      <c r="U68" s="279"/>
    </row>
    <row r="69" spans="1:21" ht="13.15">
      <c r="A69" s="132">
        <v>30</v>
      </c>
      <c r="B69" s="118">
        <v>7521666581.8181705</v>
      </c>
      <c r="C69" s="281">
        <v>11006906597.658941</v>
      </c>
      <c r="D69" s="118">
        <v>12699325714.734594</v>
      </c>
      <c r="E69" s="118">
        <v>14773591123.221552</v>
      </c>
      <c r="F69" s="118">
        <v>17328156782.082165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18.070892554366154</v>
      </c>
      <c r="C73" s="119">
        <f>C11</f>
        <v>18.070892554366154</v>
      </c>
      <c r="D73" s="119">
        <f>C11</f>
        <v>18.070892554366154</v>
      </c>
      <c r="E73" s="119">
        <f>C11</f>
        <v>18.070892554366154</v>
      </c>
      <c r="F73" s="119">
        <f>C11</f>
        <v>18.070892554366154</v>
      </c>
      <c r="G73" s="300"/>
      <c r="H73" s="300"/>
      <c r="I73" s="300"/>
      <c r="J73" s="300"/>
      <c r="K73" s="300"/>
      <c r="L73" s="300"/>
    </row>
    <row r="74" spans="1:21" ht="13.15">
      <c r="A74" s="131">
        <v>1</v>
      </c>
      <c r="B74" s="119">
        <f t="shared" ref="B74:F87" si="11">(B56+FV_adjustments)/Common_Shares*scaling_factor*Exchange_Rate</f>
        <v>17.734696272436839</v>
      </c>
      <c r="C74" s="119">
        <f t="shared" si="11"/>
        <v>18.238990695330813</v>
      </c>
      <c r="D74" s="119">
        <f t="shared" si="11"/>
        <v>18.407088836295472</v>
      </c>
      <c r="E74" s="119">
        <f t="shared" si="11"/>
        <v>18.575186977260131</v>
      </c>
      <c r="F74" s="119">
        <f t="shared" si="11"/>
        <v>18.74328511822479</v>
      </c>
      <c r="G74" s="300"/>
      <c r="H74" s="300"/>
      <c r="I74" s="300"/>
      <c r="J74" s="300"/>
      <c r="K74" s="300"/>
      <c r="L74" s="300"/>
    </row>
    <row r="75" spans="1:21" ht="13.15">
      <c r="A75" s="131">
        <v>2</v>
      </c>
      <c r="B75" s="119">
        <f t="shared" si="11"/>
        <v>17.427495940231029</v>
      </c>
      <c r="C75" s="119">
        <f t="shared" si="11"/>
        <v>18.39729290733483</v>
      </c>
      <c r="D75" s="119">
        <f t="shared" si="11"/>
        <v>18.726827957570908</v>
      </c>
      <c r="E75" s="119">
        <f t="shared" si="11"/>
        <v>19.059497705074396</v>
      </c>
      <c r="F75" s="119">
        <f t="shared" si="11"/>
        <v>19.395302149845286</v>
      </c>
      <c r="G75" s="300"/>
      <c r="H75" s="300"/>
      <c r="I75" s="300"/>
      <c r="J75" s="300"/>
      <c r="K75" s="300"/>
      <c r="L75" s="300"/>
    </row>
    <row r="76" spans="1:21" ht="13.15">
      <c r="A76" s="131">
        <v>3</v>
      </c>
      <c r="B76" s="119">
        <f t="shared" si="11"/>
        <v>17.146790741572108</v>
      </c>
      <c r="C76" s="119">
        <f t="shared" si="11"/>
        <v>18.546370048709242</v>
      </c>
      <c r="D76" s="119">
        <f t="shared" si="11"/>
        <v>19.030915513469225</v>
      </c>
      <c r="E76" s="119">
        <f t="shared" si="11"/>
        <v>19.52461663248576</v>
      </c>
      <c r="F76" s="119">
        <f t="shared" si="11"/>
        <v>20.0275610895985</v>
      </c>
      <c r="G76" s="300"/>
      <c r="H76" s="300"/>
      <c r="I76" s="300"/>
      <c r="J76" s="300"/>
      <c r="K76" s="300"/>
      <c r="L76" s="300"/>
    </row>
    <row r="77" spans="1:21" ht="13.15">
      <c r="A77" s="131">
        <v>4</v>
      </c>
      <c r="B77" s="119">
        <f t="shared" si="11"/>
        <v>16.890295548391926</v>
      </c>
      <c r="C77" s="119">
        <f t="shared" si="11"/>
        <v>18.686759710982578</v>
      </c>
      <c r="D77" s="119">
        <f t="shared" si="11"/>
        <v>19.320117664533353</v>
      </c>
      <c r="E77" s="119">
        <f t="shared" si="11"/>
        <v>19.971304273729309</v>
      </c>
      <c r="F77" s="119">
        <f t="shared" si="11"/>
        <v>20.640660667540995</v>
      </c>
      <c r="G77" s="300"/>
      <c r="H77" s="300"/>
      <c r="I77" s="300"/>
      <c r="J77" s="300"/>
      <c r="K77" s="300"/>
      <c r="L77" s="300"/>
    </row>
    <row r="78" spans="1:21" ht="13.15">
      <c r="A78" s="131">
        <v>5</v>
      </c>
      <c r="B78" s="119">
        <f t="shared" si="11"/>
        <v>16.655922318259918</v>
      </c>
      <c r="C78" s="119">
        <f t="shared" si="11"/>
        <v>18.818968157505722</v>
      </c>
      <c r="D78" s="119">
        <f t="shared" si="11"/>
        <v>19.595163066943996</v>
      </c>
      <c r="E78" s="119">
        <f t="shared" si="11"/>
        <v>20.400291006112397</v>
      </c>
      <c r="F78" s="119">
        <f t="shared" si="11"/>
        <v>21.235181470394338</v>
      </c>
      <c r="G78" s="300"/>
      <c r="H78" s="300"/>
      <c r="I78" s="300"/>
      <c r="J78" s="300"/>
      <c r="K78" s="300"/>
      <c r="L78" s="300"/>
    </row>
    <row r="79" spans="1:21" ht="13.15">
      <c r="A79" s="131">
        <v>6</v>
      </c>
      <c r="B79" s="119">
        <f t="shared" si="11"/>
        <v>16.441763096321115</v>
      </c>
      <c r="C79" s="119">
        <f t="shared" si="11"/>
        <v>18.943472149103268</v>
      </c>
      <c r="D79" s="119">
        <f t="shared" si="11"/>
        <v>19.856744708397475</v>
      </c>
      <c r="E79" s="119">
        <f t="shared" si="11"/>
        <v>20.812278264251862</v>
      </c>
      <c r="F79" s="119">
        <f t="shared" si="11"/>
        <v>21.811686491343028</v>
      </c>
      <c r="G79" s="300"/>
      <c r="H79" s="300"/>
      <c r="I79" s="300"/>
      <c r="J79" s="300"/>
      <c r="K79" s="300"/>
      <c r="L79" s="300"/>
    </row>
    <row r="80" spans="1:21" ht="13.15">
      <c r="A80" s="131">
        <f t="shared" ref="A80" si="12">A62</f>
        <v>7</v>
      </c>
      <c r="B80" s="119">
        <f t="shared" si="11"/>
        <v>16.246074483267478</v>
      </c>
      <c r="C80" s="119">
        <f t="shared" si="11"/>
        <v>19.060720663334997</v>
      </c>
      <c r="D80" s="119">
        <f t="shared" si="11"/>
        <v>20.105521654115471</v>
      </c>
      <c r="E80" s="119">
        <f t="shared" si="11"/>
        <v>21.207939686987196</v>
      </c>
      <c r="F80" s="119">
        <f t="shared" si="11"/>
        <v>22.370721663172063</v>
      </c>
      <c r="G80" s="300"/>
      <c r="H80" s="300"/>
      <c r="I80" s="300"/>
      <c r="J80" s="300"/>
      <c r="K80" s="300"/>
      <c r="L80" s="300"/>
    </row>
    <row r="81" spans="1:12" ht="13.15">
      <c r="A81" s="131">
        <v>8</v>
      </c>
      <c r="B81" s="119">
        <f t="shared" si="11"/>
        <v>16.067263442901449</v>
      </c>
      <c r="C81" s="119">
        <f t="shared" si="11"/>
        <v>19.171136513567209</v>
      </c>
      <c r="D81" s="119">
        <f t="shared" si="11"/>
        <v>20.342120707385732</v>
      </c>
      <c r="E81" s="119">
        <f t="shared" si="11"/>
        <v>21.587922218844913</v>
      </c>
      <c r="F81" s="119">
        <f t="shared" si="11"/>
        <v>22.912816375248703</v>
      </c>
      <c r="G81" s="300"/>
      <c r="H81" s="300"/>
      <c r="I81" s="300"/>
      <c r="J81" s="300"/>
      <c r="K81" s="300"/>
      <c r="L81" s="300"/>
    </row>
    <row r="82" spans="1:12" ht="13.15">
      <c r="A82" s="131">
        <f t="shared" ref="A82" si="13">A64</f>
        <v>9</v>
      </c>
      <c r="B82" s="119">
        <f t="shared" si="11"/>
        <v>15.9038743337558</v>
      </c>
      <c r="C82" s="119">
        <f t="shared" si="11"/>
        <v>19.275117873692643</v>
      </c>
      <c r="D82" s="119">
        <f t="shared" si="11"/>
        <v>20.567137988817588</v>
      </c>
      <c r="E82" s="119">
        <f t="shared" si="11"/>
        <v>21.952847167855115</v>
      </c>
      <c r="F82" s="119">
        <f t="shared" si="11"/>
        <v>23.438483974838174</v>
      </c>
      <c r="G82" s="300"/>
      <c r="H82" s="300"/>
      <c r="I82" s="300"/>
      <c r="J82" s="300"/>
      <c r="K82" s="300"/>
      <c r="L82" s="300"/>
    </row>
    <row r="83" spans="1:12" ht="13.15">
      <c r="A83" s="131">
        <f t="shared" ref="A83:A87" si="14">A65</f>
        <v>10</v>
      </c>
      <c r="B83" s="119">
        <f t="shared" si="11"/>
        <v>15.754577059198471</v>
      </c>
      <c r="C83" s="119">
        <f t="shared" si="11"/>
        <v>19.373039713997251</v>
      </c>
      <c r="D83" s="119">
        <f t="shared" si="11"/>
        <v>20.781140438291242</v>
      </c>
      <c r="E83" s="119">
        <f t="shared" si="11"/>
        <v>22.303311221449999</v>
      </c>
      <c r="F83" s="119">
        <f t="shared" si="11"/>
        <v>23.948222253227961</v>
      </c>
      <c r="G83" s="300"/>
      <c r="H83" s="300"/>
      <c r="I83" s="300"/>
      <c r="J83" s="300"/>
      <c r="K83" s="300"/>
      <c r="L83" s="300"/>
    </row>
    <row r="84" spans="1:12" ht="13.15">
      <c r="A84" s="131">
        <f t="shared" si="14"/>
        <v>15</v>
      </c>
      <c r="B84" s="119">
        <f t="shared" si="11"/>
        <v>15.180414256828715</v>
      </c>
      <c r="C84" s="119">
        <f t="shared" si="11"/>
        <v>19.783419745673907</v>
      </c>
      <c r="D84" s="119">
        <f t="shared" si="11"/>
        <v>21.703904681082356</v>
      </c>
      <c r="E84" s="119">
        <f t="shared" si="11"/>
        <v>23.857998414303886</v>
      </c>
      <c r="F84" s="119">
        <f t="shared" si="11"/>
        <v>26.27436581490926</v>
      </c>
      <c r="G84" s="300"/>
      <c r="H84" s="300"/>
      <c r="I84" s="300"/>
      <c r="J84" s="300"/>
      <c r="K84" s="300"/>
      <c r="L84" s="300"/>
    </row>
    <row r="85" spans="1:12" ht="13.15">
      <c r="A85" s="132">
        <f t="shared" si="14"/>
        <v>20</v>
      </c>
      <c r="B85" s="119">
        <f t="shared" si="11"/>
        <v>14.814668810995498</v>
      </c>
      <c r="C85" s="119">
        <f t="shared" si="11"/>
        <v>20.087372851415957</v>
      </c>
      <c r="D85" s="119">
        <f t="shared" si="11"/>
        <v>22.421872720225103</v>
      </c>
      <c r="E85" s="119">
        <f t="shared" si="11"/>
        <v>25.128112230301955</v>
      </c>
      <c r="F85" s="119">
        <f t="shared" si="11"/>
        <v>28.268786209835998</v>
      </c>
      <c r="G85" s="300"/>
      <c r="H85" s="300"/>
      <c r="I85" s="300"/>
      <c r="J85" s="300"/>
      <c r="K85" s="300"/>
      <c r="L85" s="300"/>
    </row>
    <row r="86" spans="1:12" ht="13.15">
      <c r="A86" s="132">
        <f t="shared" si="14"/>
        <v>25</v>
      </c>
      <c r="B86" s="119">
        <f t="shared" si="11"/>
        <v>14.581686579134375</v>
      </c>
      <c r="C86" s="119">
        <f t="shared" si="11"/>
        <v>20.312499522693745</v>
      </c>
      <c r="D86" s="119">
        <f t="shared" si="11"/>
        <v>22.980496560775432</v>
      </c>
      <c r="E86" s="119">
        <f t="shared" si="11"/>
        <v>26.165741608741676</v>
      </c>
      <c r="F86" s="119">
        <f t="shared" si="11"/>
        <v>29.97878931421219</v>
      </c>
      <c r="G86" s="300"/>
      <c r="H86" s="300"/>
      <c r="I86" s="300"/>
      <c r="J86" s="300"/>
      <c r="K86" s="300"/>
      <c r="L86" s="300"/>
    </row>
    <row r="87" spans="1:12" ht="13.15">
      <c r="A87" s="132">
        <f t="shared" si="14"/>
        <v>30</v>
      </c>
      <c r="B87" s="119">
        <f t="shared" si="11"/>
        <v>14.433275379538085</v>
      </c>
      <c r="C87" s="119">
        <f t="shared" si="11"/>
        <v>20.479242408892869</v>
      </c>
      <c r="D87" s="119">
        <f t="shared" si="11"/>
        <v>23.415140692851001</v>
      </c>
      <c r="E87" s="119">
        <f t="shared" si="11"/>
        <v>27.013441014448201</v>
      </c>
      <c r="F87" s="119">
        <f t="shared" si="11"/>
        <v>31.444934879316897</v>
      </c>
      <c r="G87" s="300"/>
      <c r="H87" s="300"/>
      <c r="I87" s="300"/>
      <c r="J87" s="300"/>
      <c r="K87" s="300"/>
      <c r="L87" s="300"/>
    </row>
    <row r="89" spans="1:12" ht="13.15">
      <c r="B89" s="153" t="s">
        <v>101</v>
      </c>
      <c r="C89" s="153" t="s">
        <v>110</v>
      </c>
      <c r="D89" s="153" t="s">
        <v>99</v>
      </c>
      <c r="E89" s="154" t="s">
        <v>100</v>
      </c>
      <c r="F89" s="154" t="s">
        <v>458</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21.235181470394338</v>
      </c>
      <c r="F90" s="130">
        <f>Scenarios!F29</f>
        <v>0.05</v>
      </c>
      <c r="G90" s="301"/>
      <c r="H90" s="301"/>
      <c r="I90" s="301"/>
      <c r="J90" s="301"/>
      <c r="K90" s="301"/>
      <c r="L90" s="301"/>
    </row>
    <row r="91" spans="1:12">
      <c r="B91" s="120" t="str">
        <f>Scenarios!B22</f>
        <v>Optimistic</v>
      </c>
      <c r="C91" s="130">
        <f>Scenarios!C22</f>
        <v>0.03</v>
      </c>
      <c r="D91" s="133">
        <f>Scenarios!D22</f>
        <v>5</v>
      </c>
      <c r="E91" s="127">
        <f>INDEX(B$73:F$87, MATCH(D91, A$73:A$87, 0), MATCH(C91, B$72:F$72, 0))</f>
        <v>20.400291006112397</v>
      </c>
      <c r="F91" s="130">
        <f>Scenarios!F22*(1-F$90-F$94)</f>
        <v>0.18</v>
      </c>
      <c r="G91" s="301"/>
      <c r="H91" s="301"/>
      <c r="I91" s="301"/>
      <c r="J91" s="301"/>
      <c r="K91" s="301"/>
      <c r="L91" s="301"/>
    </row>
    <row r="92" spans="1:12">
      <c r="B92" s="120" t="str">
        <f>Scenarios!B23</f>
        <v>Base</v>
      </c>
      <c r="C92" s="130">
        <f>Scenarios!C23</f>
        <v>0.02</v>
      </c>
      <c r="D92" s="133">
        <f>Scenarios!D23</f>
        <v>5</v>
      </c>
      <c r="E92" s="127">
        <f>INDEX(B$73:F$87, MATCH(D92, A$73:A$87, 0), MATCH(C92, B$72:F$72, 0))</f>
        <v>19.595163066943996</v>
      </c>
      <c r="F92" s="130">
        <f>Scenarios!F23*(1-F$90-F$94)</f>
        <v>0.53999999999999992</v>
      </c>
      <c r="G92" s="301"/>
      <c r="H92" s="301"/>
      <c r="I92" s="301"/>
      <c r="J92" s="301"/>
      <c r="K92" s="301"/>
      <c r="L92" s="301"/>
    </row>
    <row r="93" spans="1:12">
      <c r="B93" s="120" t="str">
        <f>Scenarios!B24</f>
        <v>Pessimistic</v>
      </c>
      <c r="C93" s="130">
        <f>Scenarios!C24</f>
        <v>0.01</v>
      </c>
      <c r="D93" s="133">
        <f>Scenarios!D24</f>
        <v>5</v>
      </c>
      <c r="E93" s="127">
        <f>INDEX(B$73:F$87, MATCH(D93, A$73:A$87, 0), MATCH(C93, B$72:F$72, 0))</f>
        <v>18.818968157505722</v>
      </c>
      <c r="F93" s="130">
        <f>Scenarios!F24*(1-F$90-F$94)</f>
        <v>0.18</v>
      </c>
      <c r="G93" s="301"/>
      <c r="H93" s="301"/>
      <c r="I93" s="301"/>
      <c r="J93" s="301"/>
      <c r="K93" s="301"/>
      <c r="L93" s="301"/>
    </row>
    <row r="94" spans="1:12">
      <c r="B94" s="120" t="str">
        <f>Scenarios!B30</f>
        <v>Devil's advocate</v>
      </c>
      <c r="C94" s="130">
        <f>Scenarios!C30</f>
        <v>-0.02</v>
      </c>
      <c r="D94" s="133">
        <f>Scenarios!D30</f>
        <v>5</v>
      </c>
      <c r="E94" s="127">
        <f>INDEX(B$73:F$87, MATCH(D94, A$73:A$87, 0), MATCH(C94, B$72:F$72, 0))</f>
        <v>16.655922318259918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29" sqref="D2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1113675057</v>
      </c>
      <c r="D7" s="465"/>
      <c r="E7" s="465"/>
      <c r="F7" s="465"/>
      <c r="G7" s="465"/>
    </row>
    <row r="8" spans="2:7">
      <c r="B8" s="97" t="s">
        <v>63</v>
      </c>
      <c r="C8" s="452">
        <f>Normalized_FCF!G19</f>
        <v>864325603.28727293</v>
      </c>
      <c r="D8" s="465"/>
      <c r="E8" s="465"/>
      <c r="F8" s="465"/>
      <c r="G8" s="465"/>
    </row>
    <row r="9" spans="2:7">
      <c r="B9" s="97" t="s">
        <v>54</v>
      </c>
      <c r="C9" s="452">
        <f>Normalized_FCF!C19</f>
        <v>697348243.75368249</v>
      </c>
      <c r="D9" s="465"/>
      <c r="E9" s="465"/>
      <c r="F9" s="465"/>
      <c r="G9" s="465"/>
    </row>
    <row r="10" spans="2:7">
      <c r="C10" s="453"/>
      <c r="D10" s="465"/>
      <c r="E10" s="465"/>
      <c r="F10" s="465"/>
      <c r="G10" s="465"/>
    </row>
    <row r="11" spans="2:7" ht="13.15">
      <c r="B11" s="145" t="s">
        <v>320</v>
      </c>
      <c r="C11" s="453"/>
      <c r="D11" s="465"/>
      <c r="E11" s="465"/>
      <c r="F11" s="465"/>
      <c r="G11" s="465"/>
    </row>
    <row r="12" spans="2:7">
      <c r="B12" s="114" t="s">
        <v>121</v>
      </c>
      <c r="C12" s="252">
        <f ca="1">(Normalized_FCF!G4/OFFSET(Normalized_FCF!G4, 0, $C$4))^(1/$C$4) - 1</f>
        <v>3.8616291470131348E-2</v>
      </c>
      <c r="D12" s="465"/>
      <c r="E12" s="465"/>
      <c r="F12" s="465"/>
      <c r="G12" s="465"/>
    </row>
    <row r="13" spans="2:7">
      <c r="B13" s="135" t="s">
        <v>127</v>
      </c>
      <c r="C13" s="252">
        <f ca="1">(Normalized_FCF!G8/OFFSET(Normalized_FCF!G8, 0, $C$4))^(1/$C$4) - 1</f>
        <v>3.1638982981769814E-2</v>
      </c>
      <c r="D13" s="465"/>
      <c r="E13" s="465"/>
      <c r="F13" s="465"/>
      <c r="G13" s="465"/>
    </row>
    <row r="14" spans="2:7">
      <c r="B14" s="97" t="s">
        <v>63</v>
      </c>
      <c r="C14" s="252">
        <f ca="1">(Normalized_FCF!G19/OFFSET(Normalized_FCF!G19, 0, $C$4))^(1/$C$4) - 1</f>
        <v>1.6626536023421679E-2</v>
      </c>
      <c r="D14" s="465"/>
      <c r="E14" s="465"/>
      <c r="F14" s="465"/>
      <c r="G14" s="465"/>
    </row>
    <row r="16" spans="2:7" ht="13.9">
      <c r="B16" s="34" t="s">
        <v>454</v>
      </c>
      <c r="C16" s="35"/>
      <c r="D16" s="35"/>
      <c r="E16" s="35"/>
      <c r="F16" s="35"/>
      <c r="G16" s="35"/>
    </row>
    <row r="17" spans="2:7" ht="13.15">
      <c r="B17" s="106" t="s">
        <v>126</v>
      </c>
      <c r="E17" s="222" t="s">
        <v>251</v>
      </c>
    </row>
    <row r="18" spans="2:7" ht="12.75" customHeight="1">
      <c r="B18" s="139" t="s">
        <v>111</v>
      </c>
      <c r="C18" s="137">
        <v>5</v>
      </c>
      <c r="E18" s="455" t="s">
        <v>545</v>
      </c>
      <c r="F18" s="323"/>
    </row>
    <row r="19" spans="2:7">
      <c r="E19" s="323"/>
      <c r="F19" s="323"/>
    </row>
    <row r="20" spans="2:7" ht="13.15">
      <c r="B20" s="106" t="s">
        <v>451</v>
      </c>
      <c r="E20" s="323"/>
      <c r="F20" s="323"/>
    </row>
    <row r="21" spans="2:7" ht="13.15">
      <c r="B21" s="153" t="s">
        <v>437</v>
      </c>
      <c r="C21" s="153" t="s">
        <v>377</v>
      </c>
      <c r="D21" s="153" t="s">
        <v>449</v>
      </c>
      <c r="E21" s="154" t="str">
        <f>"Value per share ("&amp;Market_currency&amp;")"</f>
        <v>Value per share (CNY)</v>
      </c>
      <c r="F21" s="154" t="s">
        <v>450</v>
      </c>
      <c r="G21" s="154" t="s">
        <v>458</v>
      </c>
    </row>
    <row r="22" spans="2:7">
      <c r="B22" s="306" t="s">
        <v>446</v>
      </c>
      <c r="C22" s="328">
        <v>0.03</v>
      </c>
      <c r="D22" s="329">
        <f>C18</f>
        <v>5</v>
      </c>
      <c r="E22" s="330">
        <f>DCF!E91</f>
        <v>20.400291006112397</v>
      </c>
      <c r="F22" s="332">
        <f>1-F23-F24</f>
        <v>0.2</v>
      </c>
      <c r="G22" s="332">
        <f>F22*(1-F$29-F$30)</f>
        <v>0.18</v>
      </c>
    </row>
    <row r="23" spans="2:7">
      <c r="B23" s="306" t="s">
        <v>438</v>
      </c>
      <c r="C23" s="328">
        <v>0.02</v>
      </c>
      <c r="D23" s="329">
        <f>C18</f>
        <v>5</v>
      </c>
      <c r="E23" s="330">
        <f>DCF!E92</f>
        <v>19.595163066943996</v>
      </c>
      <c r="F23" s="331">
        <v>0.6</v>
      </c>
      <c r="G23" s="332">
        <f t="shared" ref="G23:G24" si="0">F23*(1-F$29-F$30)</f>
        <v>0.53999999999999992</v>
      </c>
    </row>
    <row r="24" spans="2:7">
      <c r="B24" s="306" t="s">
        <v>447</v>
      </c>
      <c r="C24" s="328">
        <v>0.01</v>
      </c>
      <c r="D24" s="329">
        <f>C18</f>
        <v>5</v>
      </c>
      <c r="E24" s="330">
        <f>DCF!E93</f>
        <v>18.818968157505722</v>
      </c>
      <c r="F24" s="331">
        <v>0.2</v>
      </c>
      <c r="G24" s="332">
        <f t="shared" si="0"/>
        <v>0.18</v>
      </c>
    </row>
    <row r="25" spans="2:7">
      <c r="B25" s="141" t="s">
        <v>452</v>
      </c>
      <c r="C25" s="446">
        <f>E23*F23+E24*F24+E22*F22</f>
        <v>19.600949672890021</v>
      </c>
      <c r="D25" s="141" t="str">
        <f>Market_currency</f>
        <v>CNY</v>
      </c>
      <c r="G25" s="149"/>
    </row>
    <row r="27" spans="2:7" ht="13.15">
      <c r="B27" s="106" t="s">
        <v>453</v>
      </c>
    </row>
    <row r="28" spans="2:7" ht="13.15">
      <c r="B28" s="153" t="s">
        <v>437</v>
      </c>
      <c r="C28" s="153" t="s">
        <v>377</v>
      </c>
      <c r="D28" s="153" t="s">
        <v>449</v>
      </c>
      <c r="E28" s="154" t="str">
        <f>"Value per share ("&amp;Market_currency&amp;")"</f>
        <v>Value per share (CNY)</v>
      </c>
      <c r="F28" s="154" t="s">
        <v>450</v>
      </c>
      <c r="G28" s="154" t="s">
        <v>458</v>
      </c>
    </row>
    <row r="29" spans="2:7">
      <c r="B29" s="306" t="s">
        <v>445</v>
      </c>
      <c r="C29" s="328">
        <v>0.04</v>
      </c>
      <c r="D29" s="329">
        <f>C18</f>
        <v>5</v>
      </c>
      <c r="E29" s="330">
        <f>DCF!E90</f>
        <v>21.235181470394338</v>
      </c>
      <c r="F29" s="331">
        <v>0.05</v>
      </c>
      <c r="G29" s="332">
        <f>F29</f>
        <v>0.05</v>
      </c>
    </row>
    <row r="30" spans="2:7">
      <c r="B30" s="319" t="s">
        <v>448</v>
      </c>
      <c r="C30" s="328">
        <v>-0.02</v>
      </c>
      <c r="D30" s="329">
        <f>C18</f>
        <v>5</v>
      </c>
      <c r="E30" s="330">
        <f>DCF!E94</f>
        <v>16.655922318259918</v>
      </c>
      <c r="F30" s="331">
        <v>0.05</v>
      </c>
      <c r="G30" s="332">
        <f>F30</f>
        <v>0.05</v>
      </c>
    </row>
    <row r="31" spans="2:7">
      <c r="E31" s="333"/>
      <c r="F31" s="333"/>
    </row>
    <row r="32" spans="2:7" ht="13.15">
      <c r="B32" s="145" t="s">
        <v>457</v>
      </c>
    </row>
    <row r="33" spans="2:7">
      <c r="B33" s="97" t="s">
        <v>459</v>
      </c>
      <c r="C33" s="155">
        <f>Normalized_FCF!C88*(1-dividend_tax_rate)</f>
        <v>1.06</v>
      </c>
      <c r="D33" t="str">
        <f>Market_currency</f>
        <v>CNY</v>
      </c>
      <c r="E33" s="97" t="s">
        <v>456</v>
      </c>
      <c r="F33" s="219">
        <f>Holding_Period</f>
        <v>3</v>
      </c>
    </row>
    <row r="34" spans="2:7">
      <c r="B34" s="97" t="s">
        <v>233</v>
      </c>
      <c r="C34" s="146">
        <f>Market_Price</f>
        <v>15.29</v>
      </c>
      <c r="D34" t="str">
        <f>Market_currency</f>
        <v>CNY</v>
      </c>
      <c r="E34" s="97" t="s">
        <v>455</v>
      </c>
      <c r="F34" s="334">
        <f>RATE(Holding_Period,$C$33,-C34,$C$36)</f>
        <v>0.1493362796876366</v>
      </c>
    </row>
    <row r="35" spans="2:7">
      <c r="B35" s="97" t="s">
        <v>435</v>
      </c>
      <c r="C35" s="324">
        <f>DCF!C11</f>
        <v>18.070892554366154</v>
      </c>
      <c r="D35" s="97" t="str">
        <f>Market_currency</f>
        <v>CNY</v>
      </c>
      <c r="E35" s="97" t="s">
        <v>455</v>
      </c>
      <c r="F35" s="334">
        <f>RATE(Holding_Period,$C$33,-C35,$C$36)</f>
        <v>8.3536066714380686E-2</v>
      </c>
    </row>
    <row r="36" spans="2:7">
      <c r="B36" s="97" t="s">
        <v>436</v>
      </c>
      <c r="C36" s="325">
        <f>E22*G22+E23*G23+E24*G24+E30*G30+E29*G29</f>
        <v>19.53540989503373</v>
      </c>
      <c r="D36" t="str">
        <f>Market_currency</f>
        <v>CNY</v>
      </c>
      <c r="E36" s="97" t="s">
        <v>461</v>
      </c>
      <c r="F36" s="335" t="s">
        <v>460</v>
      </c>
    </row>
    <row r="38" spans="2:7" ht="13.9">
      <c r="B38" s="34" t="s">
        <v>411</v>
      </c>
      <c r="C38" s="35"/>
      <c r="D38" s="35"/>
      <c r="E38" s="35"/>
      <c r="F38" s="35"/>
      <c r="G38" s="35"/>
    </row>
    <row r="39" spans="2:7" ht="13.15">
      <c r="B39" s="418" t="str">
        <f>IF(DCF!F14="II","2","1")&amp;"-stage DCF"</f>
        <v>1-stage DCF</v>
      </c>
      <c r="E39" s="222" t="s">
        <v>251</v>
      </c>
    </row>
    <row r="40" spans="2:7">
      <c r="B40" t="s">
        <v>400</v>
      </c>
      <c r="C40" s="138">
        <f>DCF!C17</f>
        <v>0.79912556330689255</v>
      </c>
      <c r="E40" s="97" t="s">
        <v>401</v>
      </c>
    </row>
    <row r="41" spans="2:7">
      <c r="B41" s="97" t="s">
        <v>399</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19.485796197906723</v>
      </c>
      <c r="D47" s="146" t="str">
        <f>Market_currency</f>
        <v>CNY</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0.10644953768535223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474</v>
      </c>
      <c r="E60" s="417"/>
    </row>
    <row r="61" spans="2:7" ht="13.15">
      <c r="B61" s="153" t="s">
        <v>463</v>
      </c>
      <c r="C61" s="153" t="s">
        <v>103</v>
      </c>
      <c r="D61" s="153" t="s">
        <v>104</v>
      </c>
      <c r="E61" s="154" t="str">
        <f>"Buy below ("&amp;Market_currency&amp;")"</f>
        <v>Buy below (CNY)</v>
      </c>
      <c r="F61" s="154" t="s">
        <v>455</v>
      </c>
      <c r="G61" s="154" t="s">
        <v>462</v>
      </c>
    </row>
    <row r="62" spans="2:7" ht="13.15">
      <c r="B62" s="306" t="s">
        <v>311</v>
      </c>
      <c r="C62" s="119">
        <f>PV(F62, Holding_Period, -C58, 0)</f>
        <v>1.8480449762944853</v>
      </c>
      <c r="D62" s="119">
        <f>C36/(1+F62)^Holding_Period</f>
        <v>8.3129403808654185</v>
      </c>
      <c r="E62" s="336">
        <f>C62+D62</f>
        <v>10.160985357159904</v>
      </c>
      <c r="F62" s="305">
        <f>Thesis!E22</f>
        <v>0.32950289523458665</v>
      </c>
      <c r="G62" s="445">
        <f>(1-E62/C36)</f>
        <v>0.47986833080256908</v>
      </c>
    </row>
    <row r="63" spans="2:7" ht="13.15">
      <c r="B63" s="306" t="s">
        <v>312</v>
      </c>
      <c r="C63" s="119">
        <f>PV(F63, Holding_Period, -C58, 0)</f>
        <v>2.1443334287647504</v>
      </c>
      <c r="D63" s="119">
        <f>C36/(1+F63)^Holding_Period</f>
        <v>10.595476553238637</v>
      </c>
      <c r="E63" s="336">
        <f>C63+D63</f>
        <v>12.739809982003386</v>
      </c>
      <c r="F63" s="305">
        <f>Thesis!E23</f>
        <v>0.22621703288100403</v>
      </c>
      <c r="G63" s="445">
        <f>(1-E63/C36)</f>
        <v>0.3478606258862228</v>
      </c>
    </row>
    <row r="65" spans="2:7" ht="13.15">
      <c r="B65" s="153" t="s">
        <v>464</v>
      </c>
      <c r="C65" s="153" t="s">
        <v>103</v>
      </c>
      <c r="D65" s="153" t="s">
        <v>104</v>
      </c>
      <c r="E65" s="154" t="str">
        <f>"Sell above ("&amp;Market_currency&amp;")"</f>
        <v>Sell above (CNY)</v>
      </c>
      <c r="F65" s="154" t="s">
        <v>455</v>
      </c>
      <c r="G65" s="154" t="s">
        <v>462</v>
      </c>
    </row>
    <row r="66" spans="2:7" ht="13.15">
      <c r="B66" s="306" t="s">
        <v>314</v>
      </c>
      <c r="C66" s="119">
        <f>PV(F66, Holding_Period, -C58, 0)</f>
        <v>2.6975834619563113</v>
      </c>
      <c r="D66" s="119">
        <f>C36/(1+F66)^Holding_Period</f>
        <v>15.210163967658147</v>
      </c>
      <c r="E66" s="336">
        <f>C66+D66</f>
        <v>17.90774742961446</v>
      </c>
      <c r="F66" s="305">
        <f>Thesis!E24</f>
        <v>8.6999999999999994E-2</v>
      </c>
      <c r="G66" s="445">
        <f>(1-E66/C36)</f>
        <v>8.3318572487852016E-2</v>
      </c>
    </row>
    <row r="67" spans="2:7" ht="13.15">
      <c r="B67" s="306" t="s">
        <v>313</v>
      </c>
      <c r="C67" s="119">
        <f>PV(F67, Holding_Period, -C58, 0)</f>
        <v>2.7691177408033969</v>
      </c>
      <c r="D67" s="119">
        <f>C36/(1+F67)^Holding_Period</f>
        <v>15.835457882505617</v>
      </c>
      <c r="E67" s="336">
        <f>C67+D67</f>
        <v>18.604575623309014</v>
      </c>
      <c r="F67" s="305">
        <f>Thesis!E25</f>
        <v>7.2499999999999995E-2</v>
      </c>
      <c r="G67" s="445">
        <f>(1-E67/C36)</f>
        <v>4.7648566204968712E-2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332</v>
      </c>
      <c r="B2" s="349"/>
      <c r="C2" s="349"/>
      <c r="D2" s="349"/>
      <c r="E2" s="349"/>
      <c r="F2" s="349"/>
      <c r="G2" s="350"/>
      <c r="H2" s="350"/>
      <c r="I2" s="350"/>
      <c r="J2" s="350"/>
    </row>
    <row r="3" spans="1:10">
      <c r="E3" s="440" t="s">
        <v>542</v>
      </c>
      <c r="F3" s="441">
        <f>Thesis!F3</f>
        <v>45938</v>
      </c>
    </row>
    <row r="4" spans="1:10">
      <c r="B4" s="427" t="s">
        <v>534</v>
      </c>
      <c r="C4" s="428" t="str">
        <f>Thesis!C4</f>
        <v>景津装备</v>
      </c>
      <c r="D4" s="353"/>
      <c r="E4" s="439" t="s">
        <v>540</v>
      </c>
      <c r="F4" s="442" t="str">
        <f>Thesis!F4</f>
        <v>CN</v>
      </c>
    </row>
    <row r="5" spans="1:10">
      <c r="B5" s="347" t="s">
        <v>362</v>
      </c>
      <c r="C5" s="359" t="str">
        <f>Thesis!C5</f>
        <v>603279.SS</v>
      </c>
      <c r="E5" s="443" t="s">
        <v>541</v>
      </c>
      <c r="F5" s="444" t="str">
        <f>Thesis!F5</f>
        <v>N</v>
      </c>
    </row>
    <row r="6" spans="1:10">
      <c r="B6" s="354" t="s">
        <v>334</v>
      </c>
      <c r="C6" s="356" t="str">
        <f>Thesis!C6</f>
        <v>CNS_01</v>
      </c>
      <c r="E6" s="358"/>
    </row>
    <row r="7" spans="1:10">
      <c r="B7" s="347" t="s">
        <v>364</v>
      </c>
      <c r="C7" s="356" t="str">
        <f>Market_currency</f>
        <v>CNY</v>
      </c>
      <c r="D7" s="358"/>
      <c r="E7" s="358"/>
    </row>
    <row r="8" spans="1:10">
      <c r="B8" s="355" t="s">
        <v>363</v>
      </c>
      <c r="C8" s="360">
        <f>Market_Price</f>
        <v>15.29</v>
      </c>
    </row>
    <row r="9" spans="1:10">
      <c r="B9" s="355" t="s">
        <v>359</v>
      </c>
      <c r="C9" s="357">
        <f>Common_Shares</f>
        <v>576457000</v>
      </c>
    </row>
    <row r="10" spans="1:10">
      <c r="B10" s="355" t="s">
        <v>365</v>
      </c>
      <c r="C10" s="361">
        <f>投资主题!C8*Common_Shares/1000000</f>
        <v>8814.0275299999994</v>
      </c>
      <c r="D10" s="347" t="s">
        <v>529</v>
      </c>
      <c r="E10" s="364">
        <f>Scenarios!F34</f>
        <v>0.1493362796876366</v>
      </c>
    </row>
    <row r="11" spans="1:10">
      <c r="D11" s="353"/>
      <c r="E11" s="353"/>
    </row>
    <row r="12" spans="1:10" ht="24.5" customHeight="1">
      <c r="B12" s="470" t="s">
        <v>498</v>
      </c>
      <c r="C12" s="470"/>
      <c r="D12" s="470"/>
      <c r="E12" s="470"/>
      <c r="F12" s="470"/>
    </row>
    <row r="14" spans="1:10">
      <c r="B14" s="351" t="s">
        <v>368</v>
      </c>
      <c r="C14" s="352"/>
      <c r="D14" s="353"/>
    </row>
    <row r="15" spans="1:10">
      <c r="B15" s="347" t="s">
        <v>335</v>
      </c>
      <c r="C15" s="362" t="str">
        <f>Thesis!C15</f>
        <v>N</v>
      </c>
      <c r="D15" s="355" t="s">
        <v>366</v>
      </c>
      <c r="E15" s="348" t="str">
        <f>IF(E17=C7,C7,E17&amp;"/"&amp;C7)</f>
        <v>CNY</v>
      </c>
    </row>
    <row r="16" spans="1:10">
      <c r="B16" s="347" t="s">
        <v>336</v>
      </c>
      <c r="C16" s="362" t="str">
        <f>Thesis!C16</f>
        <v>N</v>
      </c>
      <c r="D16" s="355" t="s">
        <v>367</v>
      </c>
      <c r="E16" s="430">
        <f>Exchange_Rate</f>
        <v>1</v>
      </c>
    </row>
    <row r="17" spans="1:6">
      <c r="B17" s="347" t="s">
        <v>535</v>
      </c>
      <c r="C17" s="429">
        <f>Terminal_Growth</f>
        <v>0</v>
      </c>
      <c r="D17" s="355" t="s">
        <v>337</v>
      </c>
      <c r="E17" s="348" t="str">
        <f>Reporting_currency</f>
        <v>CNY</v>
      </c>
    </row>
    <row r="18" spans="1:6">
      <c r="B18" s="347" t="str">
        <f>"预期股权价值 ("&amp;C7&amp;") :"</f>
        <v>预期股权价值 (CNY) :</v>
      </c>
      <c r="C18" s="363">
        <f>C125</f>
        <v>19.53540989503373</v>
      </c>
      <c r="D18" s="354" t="s">
        <v>360</v>
      </c>
      <c r="E18" s="431">
        <f>Thesis!E18</f>
        <v>6</v>
      </c>
    </row>
    <row r="19" spans="1:6">
      <c r="B19" s="354" t="s">
        <v>333</v>
      </c>
      <c r="C19" s="356" t="str">
        <f>IF(Scenarios!C50="Y",Scenarios!B50,"")&amp;IF(Scenarios!C51="Y",Scenarios!B51,"")&amp;IF(Scenarios!C52="Y",Scenarios!B52,"")&amp;" "&amp;IF(Scenarios!C53="Y",Scenarios!B53,"")</f>
        <v xml:space="preserve">Low Growth </v>
      </c>
      <c r="D19" s="347" t="s">
        <v>361</v>
      </c>
      <c r="E19" s="432">
        <f>EOMONTH(EDATE(BS!C1,E18+2),0)</f>
        <v>46081</v>
      </c>
    </row>
    <row r="20" spans="1:6">
      <c r="D20" s="353"/>
      <c r="E20" s="353"/>
    </row>
    <row r="21" spans="1:6">
      <c r="B21" s="351" t="s">
        <v>494</v>
      </c>
      <c r="C21" s="365" t="str">
        <f>C138&amp;" ("&amp;Market_currency&amp;")"</f>
        <v xml:space="preserve"> (CNY)</v>
      </c>
      <c r="D21" s="366" t="s">
        <v>342</v>
      </c>
      <c r="E21" s="367">
        <f>Holding_Period</f>
        <v>3</v>
      </c>
    </row>
    <row r="22" spans="1:6">
      <c r="B22" s="347" t="s">
        <v>338</v>
      </c>
      <c r="C22" s="368">
        <f>E140</f>
        <v>10.160985357159904</v>
      </c>
      <c r="D22" s="369" t="s">
        <v>441</v>
      </c>
      <c r="E22" s="370">
        <f>Thesis!E22</f>
        <v>0.32950289523458665</v>
      </c>
    </row>
    <row r="23" spans="1:6">
      <c r="B23" s="347" t="s">
        <v>339</v>
      </c>
      <c r="C23" s="371">
        <f>E141</f>
        <v>12.739809982003386</v>
      </c>
      <c r="D23" s="369" t="s">
        <v>442</v>
      </c>
      <c r="E23" s="372">
        <f>Thesis!E23</f>
        <v>0.22621703288100403</v>
      </c>
    </row>
    <row r="24" spans="1:6">
      <c r="B24" s="347" t="s">
        <v>341</v>
      </c>
      <c r="C24" s="371">
        <f>E144</f>
        <v>17.90774742961446</v>
      </c>
      <c r="D24" s="369" t="s">
        <v>444</v>
      </c>
      <c r="E24" s="372">
        <f>Thesis!E24</f>
        <v>8.6999999999999994E-2</v>
      </c>
    </row>
    <row r="25" spans="1:6">
      <c r="B25" s="347" t="s">
        <v>340</v>
      </c>
      <c r="C25" s="371">
        <f>E145</f>
        <v>18.604575623309014</v>
      </c>
      <c r="D25" s="369" t="s">
        <v>443</v>
      </c>
      <c r="E25" s="372">
        <f>Thesis!E25</f>
        <v>7.2499999999999995E-2</v>
      </c>
    </row>
    <row r="27" spans="1:6" ht="13.9">
      <c r="A27" s="349" t="s">
        <v>343</v>
      </c>
      <c r="B27" s="349"/>
      <c r="C27" s="349"/>
      <c r="D27" s="349"/>
      <c r="E27" s="349"/>
      <c r="F27" s="349"/>
    </row>
    <row r="29" spans="1:6">
      <c r="B29" s="470" t="s">
        <v>499</v>
      </c>
      <c r="C29" s="470"/>
      <c r="D29" s="470"/>
      <c r="E29" s="470"/>
      <c r="F29" s="470"/>
    </row>
    <row r="30" spans="1:6" ht="24.5" customHeight="1">
      <c r="B30" s="473" t="s">
        <v>500</v>
      </c>
      <c r="C30" s="473"/>
      <c r="D30" s="473"/>
      <c r="E30" s="473"/>
      <c r="F30" s="473"/>
    </row>
    <row r="32" spans="1:6">
      <c r="B32" s="373" t="s">
        <v>369</v>
      </c>
      <c r="C32" s="374">
        <f>scaling_factor</f>
        <v>1</v>
      </c>
    </row>
    <row r="33" spans="2:6">
      <c r="B33" s="466" t="s">
        <v>501</v>
      </c>
      <c r="C33" s="466"/>
      <c r="D33" s="466"/>
      <c r="E33" s="466"/>
      <c r="F33" s="466"/>
    </row>
    <row r="34" spans="2:6">
      <c r="B34" s="376" t="s">
        <v>197</v>
      </c>
      <c r="C34" s="377">
        <f>Normalized_FCF!C8</f>
        <v>936713050.44528866</v>
      </c>
      <c r="D34" s="347" t="str">
        <f>Reporting_currency</f>
        <v>CNY</v>
      </c>
    </row>
    <row r="35" spans="2:6">
      <c r="B35" s="376"/>
      <c r="C35" s="378"/>
    </row>
    <row r="36" spans="2:6" ht="24.5" customHeight="1">
      <c r="B36" s="466" t="s">
        <v>502</v>
      </c>
      <c r="C36" s="466"/>
      <c r="D36" s="466"/>
      <c r="E36" s="466"/>
      <c r="F36" s="466"/>
    </row>
    <row r="37" spans="2:6">
      <c r="B37" s="376" t="s">
        <v>199</v>
      </c>
      <c r="C37" s="377">
        <f>Normalized_FCF!C15</f>
        <v>213321214.99999997</v>
      </c>
      <c r="D37" s="347" t="str">
        <f>Reporting_currency</f>
        <v>CNY</v>
      </c>
    </row>
    <row r="38" spans="2:6">
      <c r="B38" s="379" t="s">
        <v>200</v>
      </c>
      <c r="C38" s="377">
        <f>Normalized_FCF!C16</f>
        <v>-213321215</v>
      </c>
      <c r="D38" s="347" t="str">
        <f>Reporting_currency</f>
        <v>CNY</v>
      </c>
    </row>
    <row r="40" spans="2:6">
      <c r="B40" s="466" t="s">
        <v>503</v>
      </c>
      <c r="C40" s="466"/>
      <c r="D40" s="466"/>
      <c r="E40" s="466"/>
      <c r="F40" s="466"/>
    </row>
    <row r="41" spans="2:6">
      <c r="B41" s="376" t="s">
        <v>202</v>
      </c>
      <c r="C41" s="377">
        <f>Normalized_FCF!C9</f>
        <v>0</v>
      </c>
      <c r="D41" s="347" t="str">
        <f>Reporting_currency</f>
        <v>CNY</v>
      </c>
    </row>
    <row r="43" spans="2:6">
      <c r="B43" s="466" t="s">
        <v>504</v>
      </c>
      <c r="C43" s="466"/>
      <c r="D43" s="466"/>
      <c r="E43" s="466"/>
      <c r="F43" s="466"/>
    </row>
    <row r="44" spans="2:6">
      <c r="B44" s="376" t="s">
        <v>267</v>
      </c>
      <c r="C44" s="380">
        <f>Normalized_FCF!C46</f>
        <v>5092607.8927547112</v>
      </c>
      <c r="D44" s="347" t="str">
        <f>Reporting_currency</f>
        <v>CNY</v>
      </c>
      <c r="E44" s="375"/>
      <c r="F44" s="375"/>
    </row>
    <row r="45" spans="2:6">
      <c r="B45" s="376" t="s">
        <v>268</v>
      </c>
      <c r="C45" s="380">
        <f>Normalized_FCF!C45</f>
        <v>-12007999.9998</v>
      </c>
      <c r="D45" s="347" t="str">
        <f>Reporting_currency</f>
        <v>CNY</v>
      </c>
      <c r="E45" s="375"/>
      <c r="F45" s="375"/>
    </row>
    <row r="46" spans="2:6">
      <c r="B46" s="376" t="s">
        <v>203</v>
      </c>
      <c r="C46" s="377">
        <f>Normalized_FCF!C10</f>
        <v>-6915392.1070452891</v>
      </c>
      <c r="D46" s="347" t="str">
        <f>Reporting_currency</f>
        <v>CNY</v>
      </c>
    </row>
    <row r="48" spans="2:6">
      <c r="B48" s="347" t="s">
        <v>505</v>
      </c>
    </row>
    <row r="49" spans="2:6">
      <c r="B49" s="376" t="s">
        <v>223</v>
      </c>
      <c r="C49" s="377">
        <f>Normalized_FCF!C13</f>
        <v>0</v>
      </c>
      <c r="D49" s="347" t="str">
        <f>Reporting_currency</f>
        <v>CNY</v>
      </c>
    </row>
    <row r="51" spans="2:6">
      <c r="B51" s="466" t="s">
        <v>506</v>
      </c>
      <c r="C51" s="466"/>
      <c r="D51" s="466"/>
      <c r="E51" s="466"/>
      <c r="F51" s="466"/>
    </row>
    <row r="52" spans="2:6">
      <c r="B52" s="376" t="s">
        <v>497</v>
      </c>
      <c r="C52" s="377">
        <f>Normalized_FCF!C12</f>
        <v>-232449414.58456084</v>
      </c>
      <c r="D52" s="347" t="str">
        <f>Reporting_currency</f>
        <v>CNY</v>
      </c>
    </row>
    <row r="54" spans="2:6">
      <c r="B54" s="466" t="s">
        <v>507</v>
      </c>
      <c r="C54" s="472"/>
      <c r="D54" s="472"/>
      <c r="E54" s="472"/>
      <c r="F54" s="472"/>
    </row>
    <row r="55" spans="2:6">
      <c r="B55" s="376" t="s">
        <v>207</v>
      </c>
      <c r="C55" s="377">
        <f>Normalized_FCF!C17</f>
        <v>0</v>
      </c>
      <c r="D55" s="347" t="str">
        <f>Reporting_currency</f>
        <v>CNY</v>
      </c>
    </row>
    <row r="57" spans="2:6">
      <c r="B57" s="470" t="s">
        <v>508</v>
      </c>
      <c r="C57" s="470"/>
      <c r="D57" s="470"/>
      <c r="E57" s="470"/>
      <c r="F57" s="470"/>
    </row>
    <row r="58" spans="2:6">
      <c r="B58" s="470" t="s">
        <v>509</v>
      </c>
      <c r="C58" s="470"/>
      <c r="D58" s="470"/>
      <c r="E58" s="470"/>
      <c r="F58" s="470"/>
    </row>
    <row r="60" spans="2:6">
      <c r="B60" s="376" t="s">
        <v>370</v>
      </c>
      <c r="C60" s="377">
        <f>Normalized_FCF!G19</f>
        <v>864325603.28727293</v>
      </c>
      <c r="D60" s="347" t="str">
        <f>Reporting_currency</f>
        <v>CNY</v>
      </c>
    </row>
    <row r="61" spans="2:6">
      <c r="B61" s="376" t="s">
        <v>213</v>
      </c>
      <c r="C61" s="377">
        <f>Normalized_FCF!C19</f>
        <v>697348243.75368249</v>
      </c>
      <c r="D61" s="347" t="str">
        <f>Reporting_currency</f>
        <v>CNY</v>
      </c>
    </row>
    <row r="62" spans="2:6">
      <c r="B62" s="381" t="s">
        <v>302</v>
      </c>
      <c r="C62" s="382">
        <f>Normalized_FCF!C124</f>
        <v>7.9118001546982064E-2</v>
      </c>
      <c r="F62" s="383"/>
    </row>
    <row r="63" spans="2:6">
      <c r="B63" s="381" t="s">
        <v>330</v>
      </c>
      <c r="C63" s="382">
        <f>Normalized_FCF!C92</f>
        <v>6.9326357096141281E-2</v>
      </c>
      <c r="E63" s="376" t="s">
        <v>371</v>
      </c>
      <c r="F63" s="384">
        <f>Normalized_FCF!C90</f>
        <v>0.87623999267693475</v>
      </c>
    </row>
    <row r="65" spans="1:6">
      <c r="B65" s="373" t="s">
        <v>374</v>
      </c>
      <c r="C65" s="385" t="s">
        <v>325</v>
      </c>
      <c r="D65" s="385" t="s">
        <v>372</v>
      </c>
    </row>
    <row r="66" spans="1:6">
      <c r="B66" s="376" t="s">
        <v>324</v>
      </c>
      <c r="C66" s="382">
        <f>Normalized_FCF!C119</f>
        <v>0.20154037903826943</v>
      </c>
      <c r="D66" s="382">
        <f>Normalized_FCF!G119</f>
        <v>0.24386051357303667</v>
      </c>
    </row>
    <row r="67" spans="1:6">
      <c r="B67" s="386" t="str">
        <f>Normalized_FCF!B116</f>
        <v>Pre-tax Profit/Sales</v>
      </c>
      <c r="C67" s="387">
        <f>Normalized_FCF!C116</f>
        <v>0.1716039508794045</v>
      </c>
      <c r="D67" s="387">
        <f>Normalized_FCF!G116</f>
        <v>0.18354626843871594</v>
      </c>
    </row>
    <row r="68" spans="1:6">
      <c r="B68" s="386" t="str">
        <f>Normalized_FCF!B117</f>
        <v>Sales/Total Assets</v>
      </c>
      <c r="C68" s="388">
        <f>Normalized_FCF!C117</f>
        <v>0.60365585063636729</v>
      </c>
      <c r="D68" s="388">
        <f>Normalized_FCF!G117</f>
        <v>0.68288968092621871</v>
      </c>
    </row>
    <row r="69" spans="1:6">
      <c r="B69" s="386" t="str">
        <f>Normalized_FCF!B118</f>
        <v>Total Assets/Equity</v>
      </c>
      <c r="C69" s="388">
        <f>Normalized_FCF!C118</f>
        <v>1.9455633401039498</v>
      </c>
      <c r="D69" s="388">
        <f>Normalized_FCF!G118</f>
        <v>1.9455633401039498</v>
      </c>
    </row>
    <row r="71" spans="1:6" ht="13.9">
      <c r="A71" s="349" t="s">
        <v>477</v>
      </c>
      <c r="B71" s="349"/>
      <c r="C71" s="349"/>
      <c r="D71" s="349"/>
      <c r="E71" s="349"/>
      <c r="F71" s="349"/>
    </row>
    <row r="72" spans="1:6">
      <c r="A72" s="389"/>
    </row>
    <row r="73" spans="1:6">
      <c r="A73" s="390"/>
      <c r="B73" s="470" t="s">
        <v>510</v>
      </c>
      <c r="C73" s="470"/>
      <c r="D73" s="470"/>
      <c r="E73" s="470"/>
      <c r="F73" s="470"/>
    </row>
    <row r="74" spans="1:6">
      <c r="B74" s="473" t="s">
        <v>480</v>
      </c>
      <c r="C74" s="473"/>
      <c r="D74" s="473"/>
      <c r="E74" s="473"/>
      <c r="F74" s="473"/>
    </row>
    <row r="76" spans="1:6">
      <c r="B76" s="373" t="s">
        <v>369</v>
      </c>
    </row>
    <row r="77" spans="1:6">
      <c r="B77" s="470" t="s">
        <v>511</v>
      </c>
      <c r="C77" s="470"/>
      <c r="D77" s="470"/>
      <c r="E77" s="470"/>
      <c r="F77" s="470"/>
    </row>
    <row r="78" spans="1:6">
      <c r="B78" s="347" t="s">
        <v>215</v>
      </c>
      <c r="C78" s="377">
        <f>DCF!F4</f>
        <v>-200133333.33000001</v>
      </c>
      <c r="D78" s="347" t="str">
        <f>Reporting_currency</f>
        <v>CNY</v>
      </c>
    </row>
    <row r="79" spans="1:6">
      <c r="B79" s="376" t="s">
        <v>234</v>
      </c>
      <c r="C79" s="391">
        <f>C78*scaling_factor*Exchange_Rate/Common_Shares</f>
        <v>-0.34717825150878556</v>
      </c>
      <c r="D79" s="347" t="str">
        <f>Market_currency</f>
        <v>CNY</v>
      </c>
    </row>
    <row r="80" spans="1:6">
      <c r="B80" s="386" t="s">
        <v>308</v>
      </c>
      <c r="C80" s="392">
        <f>IF(BS!G31/BS!G27&gt;300%,"nm",BS!G31/BS!G27)</f>
        <v>4.3380350010353987E-2</v>
      </c>
    </row>
    <row r="81" spans="1:6">
      <c r="B81" s="386" t="s">
        <v>310</v>
      </c>
      <c r="C81" s="393">
        <f>IF(BS!C50&gt;30,"nm",BS!C50)</f>
        <v>0.21365490022249814</v>
      </c>
    </row>
    <row r="83" spans="1:6">
      <c r="B83" s="347" t="s">
        <v>512</v>
      </c>
    </row>
    <row r="84" spans="1:6">
      <c r="B84" s="347" t="s">
        <v>224</v>
      </c>
      <c r="C84" s="377">
        <f>DCF!F5</f>
        <v>938309170.20421469</v>
      </c>
      <c r="D84" s="347" t="str">
        <f>Reporting_currency</f>
        <v>CNY</v>
      </c>
    </row>
    <row r="85" spans="1:6">
      <c r="B85" s="386" t="s">
        <v>482</v>
      </c>
      <c r="C85" s="394">
        <f>BS!C66</f>
        <v>1787077152.3299999</v>
      </c>
      <c r="D85" s="395" t="str">
        <f>Reporting_currency</f>
        <v>CNY</v>
      </c>
    </row>
    <row r="86" spans="1:6">
      <c r="B86" s="376" t="s">
        <v>235</v>
      </c>
      <c r="C86" s="391">
        <f>C84*scaling_factor*Exchange_Rate/Common_Shares</f>
        <v>1.6277175404309683</v>
      </c>
      <c r="D86" s="347" t="str">
        <f>Market_currency</f>
        <v>CNY</v>
      </c>
    </row>
    <row r="88" spans="1:6">
      <c r="B88" s="347" t="s">
        <v>513</v>
      </c>
    </row>
    <row r="89" spans="1:6">
      <c r="B89" s="347" t="s">
        <v>217</v>
      </c>
      <c r="C89" s="377">
        <f>DCF!F6</f>
        <v>60320206.770000003</v>
      </c>
      <c r="D89" s="347" t="str">
        <f>Reporting_currency</f>
        <v>CNY</v>
      </c>
    </row>
    <row r="90" spans="1:6">
      <c r="B90" s="376" t="s">
        <v>236</v>
      </c>
      <c r="C90" s="391">
        <f>C89*scaling_factor*Exchange_Rate/Common_Shares</f>
        <v>0.10463955988044209</v>
      </c>
      <c r="D90" s="347" t="str">
        <f>Market_currency</f>
        <v>CNY</v>
      </c>
    </row>
    <row r="92" spans="1:6">
      <c r="B92" s="376" t="s">
        <v>481</v>
      </c>
      <c r="C92" s="391">
        <f>DCF!F8</f>
        <v>1.3851788488026247</v>
      </c>
      <c r="D92" s="347" t="str">
        <f>Market_currency</f>
        <v>CNY</v>
      </c>
    </row>
    <row r="94" spans="1:6" ht="13.9">
      <c r="A94" s="349" t="s">
        <v>483</v>
      </c>
      <c r="B94" s="349"/>
      <c r="C94" s="349"/>
      <c r="D94" s="349"/>
      <c r="E94" s="349"/>
      <c r="F94" s="349"/>
    </row>
    <row r="95" spans="1:6">
      <c r="A95" s="389"/>
    </row>
    <row r="96" spans="1:6">
      <c r="A96" s="389"/>
      <c r="B96" s="470" t="s">
        <v>514</v>
      </c>
      <c r="C96" s="470"/>
      <c r="D96" s="470"/>
      <c r="E96" s="470"/>
      <c r="F96" s="470"/>
    </row>
    <row r="97" spans="1:6">
      <c r="A97" s="389"/>
      <c r="B97" s="473" t="s">
        <v>515</v>
      </c>
      <c r="C97" s="473"/>
      <c r="D97" s="473"/>
      <c r="E97" s="473"/>
      <c r="F97" s="473"/>
    </row>
    <row r="98" spans="1:6">
      <c r="A98" s="389"/>
      <c r="B98" s="473" t="s">
        <v>516</v>
      </c>
      <c r="C98" s="473"/>
      <c r="D98" s="473"/>
      <c r="E98" s="473"/>
      <c r="F98" s="473"/>
    </row>
    <row r="99" spans="1:6">
      <c r="A99" s="389"/>
    </row>
    <row r="100" spans="1:6">
      <c r="A100" s="389"/>
      <c r="B100" s="373" t="s">
        <v>369</v>
      </c>
    </row>
    <row r="101" spans="1:6">
      <c r="A101" s="389"/>
      <c r="B101" s="376" t="s">
        <v>212</v>
      </c>
      <c r="C101" s="372">
        <f>E25+C103</f>
        <v>7.2499999999999995E-2</v>
      </c>
    </row>
    <row r="102" spans="1:6">
      <c r="A102" s="389"/>
      <c r="B102" s="386" t="s">
        <v>317</v>
      </c>
      <c r="C102" s="387">
        <f>E25</f>
        <v>7.2499999999999995E-2</v>
      </c>
    </row>
    <row r="103" spans="1:6">
      <c r="A103" s="389"/>
      <c r="B103" s="386" t="s">
        <v>316</v>
      </c>
      <c r="C103" s="387">
        <f>IF(C15="Y",1%,0)+IF(C16="Y",1%,0)</f>
        <v>0</v>
      </c>
    </row>
    <row r="104" spans="1:6">
      <c r="A104" s="389"/>
      <c r="B104" s="376" t="s">
        <v>535</v>
      </c>
      <c r="C104" s="372">
        <v>0</v>
      </c>
    </row>
    <row r="105" spans="1:6">
      <c r="A105" s="389"/>
      <c r="C105" s="396"/>
    </row>
    <row r="106" spans="1:6">
      <c r="A106" s="389"/>
      <c r="B106" s="397" t="s">
        <v>373</v>
      </c>
      <c r="C106" s="396"/>
    </row>
    <row r="107" spans="1:6">
      <c r="A107" s="389"/>
      <c r="B107" s="470" t="s">
        <v>517</v>
      </c>
      <c r="C107" s="470"/>
      <c r="D107" s="470"/>
      <c r="E107" s="470"/>
      <c r="F107" s="470"/>
    </row>
    <row r="108" spans="1:6">
      <c r="A108" s="389"/>
      <c r="B108" s="470" t="s">
        <v>536</v>
      </c>
      <c r="C108" s="470"/>
      <c r="D108" s="470"/>
      <c r="E108" s="470"/>
      <c r="F108" s="470"/>
    </row>
    <row r="109" spans="1:6">
      <c r="A109" s="389"/>
    </row>
    <row r="110" spans="1:6">
      <c r="A110" s="389"/>
      <c r="B110" s="373" t="s">
        <v>490</v>
      </c>
    </row>
    <row r="111" spans="1:6">
      <c r="A111" s="389"/>
      <c r="B111" s="379" t="s">
        <v>487</v>
      </c>
      <c r="C111" s="398">
        <f>BS!D47</f>
        <v>-0.45026820353990077</v>
      </c>
      <c r="D111" s="347" t="str">
        <f>Market_currency</f>
        <v>CNY</v>
      </c>
    </row>
    <row r="112" spans="1:6">
      <c r="A112" s="389"/>
      <c r="B112" s="376" t="s">
        <v>375</v>
      </c>
      <c r="C112" s="398">
        <f>DCF!C11</f>
        <v>18.070892554366154</v>
      </c>
      <c r="D112" s="347" t="str">
        <f>Market_currency</f>
        <v>CNY</v>
      </c>
    </row>
    <row r="113" spans="1:6">
      <c r="A113" s="389"/>
    </row>
    <row r="114" spans="1:6">
      <c r="A114" s="389"/>
      <c r="B114" s="470" t="s">
        <v>518</v>
      </c>
      <c r="C114" s="470"/>
      <c r="D114" s="470"/>
      <c r="E114" s="470"/>
      <c r="F114" s="470"/>
    </row>
    <row r="115" spans="1:6">
      <c r="A115" s="389"/>
    </row>
    <row r="116" spans="1:6">
      <c r="A116" s="389"/>
      <c r="B116" s="373" t="s">
        <v>491</v>
      </c>
    </row>
    <row r="117" spans="1:6">
      <c r="A117" s="389"/>
      <c r="B117" s="346" t="s">
        <v>376</v>
      </c>
      <c r="C117" s="346" t="s">
        <v>377</v>
      </c>
      <c r="D117" s="346" t="s">
        <v>99</v>
      </c>
      <c r="E117" s="346" t="s">
        <v>378</v>
      </c>
      <c r="F117" s="346" t="s">
        <v>379</v>
      </c>
    </row>
    <row r="118" spans="1:6">
      <c r="A118" s="389"/>
      <c r="B118" s="399" t="str">
        <f>DCF!B90</f>
        <v>Snowball Scenario</v>
      </c>
      <c r="C118" s="400">
        <f>DCF!C90</f>
        <v>0.04</v>
      </c>
      <c r="D118" s="401">
        <f>DCF!D90</f>
        <v>5</v>
      </c>
      <c r="E118" s="402" t="str">
        <f>ROUND(DCF!E90,2)&amp;" "&amp;Market_currency</f>
        <v>21.24 CNY</v>
      </c>
      <c r="F118" s="403">
        <f>DCF!F90</f>
        <v>0.05</v>
      </c>
    </row>
    <row r="119" spans="1:6">
      <c r="A119" s="389"/>
      <c r="B119" s="404" t="str">
        <f>DCF!B91</f>
        <v>Optimistic</v>
      </c>
      <c r="C119" s="405">
        <f>DCF!C91</f>
        <v>0.03</v>
      </c>
      <c r="D119" s="406">
        <f>DCF!D91</f>
        <v>5</v>
      </c>
      <c r="E119" s="402" t="str">
        <f>ROUND(DCF!E91,2)&amp;" "&amp;Market_currency</f>
        <v>20.4 CNY</v>
      </c>
      <c r="F119" s="407">
        <f>DCF!F91</f>
        <v>0.18</v>
      </c>
    </row>
    <row r="120" spans="1:6">
      <c r="B120" s="404" t="str">
        <f>DCF!B92</f>
        <v>Base</v>
      </c>
      <c r="C120" s="405">
        <f>DCF!C92</f>
        <v>0.02</v>
      </c>
      <c r="D120" s="406">
        <f>DCF!D92</f>
        <v>5</v>
      </c>
      <c r="E120" s="402" t="str">
        <f>ROUND(DCF!E92,2)&amp;" "&amp;Market_currency</f>
        <v>19.6 CNY</v>
      </c>
      <c r="F120" s="407">
        <f>DCF!F92</f>
        <v>0.53999999999999992</v>
      </c>
    </row>
    <row r="121" spans="1:6">
      <c r="B121" s="404" t="str">
        <f>DCF!B93</f>
        <v>Pessimistic</v>
      </c>
      <c r="C121" s="405">
        <f>DCF!C93</f>
        <v>0.01</v>
      </c>
      <c r="D121" s="406">
        <f>DCF!D93</f>
        <v>5</v>
      </c>
      <c r="E121" s="402" t="str">
        <f>ROUND(DCF!E93,2)&amp;" "&amp;Market_currency</f>
        <v>18.82 CNY</v>
      </c>
      <c r="F121" s="407">
        <f>DCF!F93</f>
        <v>0.18</v>
      </c>
    </row>
    <row r="122" spans="1:6">
      <c r="B122" s="404" t="str">
        <f>DCF!B94</f>
        <v>Devil's advocate</v>
      </c>
      <c r="C122" s="405">
        <f>DCF!C94</f>
        <v>-0.02</v>
      </c>
      <c r="D122" s="406">
        <f>DCF!D94</f>
        <v>5</v>
      </c>
      <c r="E122" s="402" t="str">
        <f>ROUND(DCF!E94,2)&amp;" "&amp;Market_currency</f>
        <v>16.66 CNY</v>
      </c>
      <c r="F122" s="407">
        <f>DCF!F94</f>
        <v>0.05</v>
      </c>
    </row>
    <row r="124" spans="1:6">
      <c r="B124" s="466" t="s">
        <v>519</v>
      </c>
      <c r="C124" s="466"/>
      <c r="D124" s="466"/>
      <c r="E124" s="466"/>
      <c r="F124" s="466"/>
    </row>
    <row r="125" spans="1:6">
      <c r="B125" s="376" t="s">
        <v>218</v>
      </c>
      <c r="C125" s="408">
        <f>Scenarios!C36</f>
        <v>19.53540989503373</v>
      </c>
      <c r="D125" s="347" t="str">
        <f>Market_currency</f>
        <v>CNY</v>
      </c>
    </row>
    <row r="127" spans="1:6">
      <c r="B127" s="468" t="s">
        <v>520</v>
      </c>
      <c r="C127" s="468"/>
      <c r="D127" s="468"/>
      <c r="E127" s="468"/>
      <c r="F127" s="468"/>
    </row>
    <row r="129" spans="1:6" ht="13.9">
      <c r="A129" s="349" t="s">
        <v>493</v>
      </c>
      <c r="B129" s="349"/>
      <c r="C129" s="349"/>
      <c r="D129" s="349"/>
      <c r="E129" s="349"/>
      <c r="F129" s="349"/>
    </row>
    <row r="131" spans="1:6">
      <c r="B131" s="469" t="s">
        <v>521</v>
      </c>
      <c r="C131" s="469"/>
      <c r="D131" s="469"/>
      <c r="E131" s="469"/>
      <c r="F131" s="469"/>
    </row>
    <row r="132" spans="1:6" ht="24.5" customHeight="1">
      <c r="B132" s="470" t="s">
        <v>522</v>
      </c>
      <c r="C132" s="470"/>
      <c r="D132" s="470"/>
      <c r="E132" s="470"/>
      <c r="F132" s="470"/>
    </row>
    <row r="134" spans="1:6">
      <c r="B134" s="373" t="s">
        <v>369</v>
      </c>
    </row>
    <row r="135" spans="1:6">
      <c r="B135" s="347" t="s">
        <v>380</v>
      </c>
      <c r="C135" s="409">
        <f>E21</f>
        <v>3</v>
      </c>
    </row>
    <row r="136" spans="1:6">
      <c r="B136" s="347" t="s">
        <v>381</v>
      </c>
      <c r="C136" s="410">
        <f>Scenarios!C58</f>
        <v>1.06</v>
      </c>
      <c r="D136" s="347" t="str">
        <f>Market_currency</f>
        <v>CNY</v>
      </c>
    </row>
    <row r="138" spans="1:6">
      <c r="B138" s="373" t="s">
        <v>494</v>
      </c>
      <c r="C138" s="411"/>
      <c r="D138" s="411"/>
    </row>
    <row r="139" spans="1:6">
      <c r="B139" s="344" t="s">
        <v>463</v>
      </c>
      <c r="C139" s="344" t="str">
        <f>"PV("&amp;Holding_Period&amp;" yrs of Dividends)"</f>
        <v>PV(3 yrs of Dividends)</v>
      </c>
      <c r="D139" s="344" t="s">
        <v>472</v>
      </c>
      <c r="E139" s="345" t="str">
        <f>"Buy below ("&amp;Market_currency&amp;")"</f>
        <v>Buy below (CNY)</v>
      </c>
      <c r="F139" s="345" t="s">
        <v>496</v>
      </c>
    </row>
    <row r="140" spans="1:6">
      <c r="B140" s="412" t="s">
        <v>311</v>
      </c>
      <c r="C140" s="413">
        <f>Scenarios!C62</f>
        <v>1.8480449762944853</v>
      </c>
      <c r="D140" s="413">
        <f>Scenarios!D62</f>
        <v>8.3129403808654185</v>
      </c>
      <c r="E140" s="414">
        <f>Scenarios!E62</f>
        <v>10.160985357159904</v>
      </c>
      <c r="F140" s="415">
        <f>E22</f>
        <v>0.32950289523458665</v>
      </c>
    </row>
    <row r="141" spans="1:6">
      <c r="B141" s="412" t="s">
        <v>312</v>
      </c>
      <c r="C141" s="413">
        <f>Scenarios!C63</f>
        <v>2.1443334287647504</v>
      </c>
      <c r="D141" s="413">
        <f>Scenarios!D63</f>
        <v>10.595476553238637</v>
      </c>
      <c r="E141" s="414">
        <f>Scenarios!E63</f>
        <v>12.739809982003386</v>
      </c>
      <c r="F141" s="415">
        <f>Scenarios!F63</f>
        <v>0.22621703288100403</v>
      </c>
    </row>
    <row r="143" spans="1:6">
      <c r="B143" s="344" t="s">
        <v>464</v>
      </c>
      <c r="C143" s="344" t="str">
        <f>"PV("&amp;Holding_Period&amp;" yrs of Dividends)"</f>
        <v>PV(3 yrs of Dividends)</v>
      </c>
      <c r="D143" s="344" t="s">
        <v>472</v>
      </c>
      <c r="E143" s="345" t="str">
        <f>"Sell above ("&amp;Market_currency&amp;")"</f>
        <v>Sell above (CNY)</v>
      </c>
      <c r="F143" s="345" t="s">
        <v>496</v>
      </c>
    </row>
    <row r="144" spans="1:6">
      <c r="B144" s="412" t="s">
        <v>314</v>
      </c>
      <c r="C144" s="413">
        <f>Scenarios!C66</f>
        <v>2.6975834619563113</v>
      </c>
      <c r="D144" s="413">
        <f>Scenarios!D66</f>
        <v>15.210163967658147</v>
      </c>
      <c r="E144" s="414">
        <f>Scenarios!E66</f>
        <v>17.90774742961446</v>
      </c>
      <c r="F144" s="415">
        <f>E24</f>
        <v>8.6999999999999994E-2</v>
      </c>
    </row>
    <row r="145" spans="1:6">
      <c r="B145" s="412" t="s">
        <v>313</v>
      </c>
      <c r="C145" s="413">
        <f>Scenarios!C67</f>
        <v>2.7691177408033969</v>
      </c>
      <c r="D145" s="413">
        <f>Scenarios!D67</f>
        <v>15.835457882505617</v>
      </c>
      <c r="E145" s="414">
        <f>Scenarios!E67</f>
        <v>18.604575623309014</v>
      </c>
      <c r="F145" s="415">
        <f>Scenarios!F67</f>
        <v>7.2499999999999995E-2</v>
      </c>
    </row>
    <row r="147" spans="1:6" ht="13.9">
      <c r="A147" s="349" t="s">
        <v>476</v>
      </c>
      <c r="B147" s="349"/>
      <c r="C147" s="349"/>
      <c r="D147" s="349"/>
      <c r="E147" s="349"/>
      <c r="F147" s="349"/>
    </row>
    <row r="149" spans="1:6">
      <c r="B149" s="471" t="s">
        <v>523</v>
      </c>
      <c r="C149" s="470"/>
      <c r="D149" s="470"/>
      <c r="E149" s="470"/>
      <c r="F149" s="470"/>
    </row>
    <row r="151" spans="1:6">
      <c r="B151" s="373" t="s">
        <v>382</v>
      </c>
    </row>
    <row r="152" spans="1:6">
      <c r="B152" s="472" t="s">
        <v>524</v>
      </c>
      <c r="C152" s="472"/>
      <c r="D152" s="472"/>
      <c r="E152" s="472"/>
      <c r="F152" s="472"/>
    </row>
    <row r="153" spans="1:6">
      <c r="B153" s="416" t="s">
        <v>383</v>
      </c>
    </row>
    <row r="154" spans="1:6">
      <c r="B154" s="416" t="s">
        <v>384</v>
      </c>
    </row>
    <row r="155" spans="1:6">
      <c r="B155" s="416" t="s">
        <v>385</v>
      </c>
    </row>
    <row r="157" spans="1:6">
      <c r="B157" s="347" t="s">
        <v>525</v>
      </c>
    </row>
    <row r="158" spans="1:6" ht="24.5" customHeight="1">
      <c r="B158" s="466" t="s">
        <v>440</v>
      </c>
      <c r="C158" s="466"/>
      <c r="D158" s="466"/>
      <c r="E158" s="466"/>
      <c r="F158" s="466"/>
    </row>
    <row r="160" spans="1:6">
      <c r="B160" s="347" t="s">
        <v>526</v>
      </c>
    </row>
    <row r="161" spans="2:6">
      <c r="B161" s="467" t="s">
        <v>386</v>
      </c>
      <c r="C161" s="467"/>
      <c r="D161" s="467"/>
      <c r="E161" s="467"/>
      <c r="F161" s="467"/>
    </row>
    <row r="162" spans="2:6">
      <c r="B162" s="467" t="s">
        <v>387</v>
      </c>
      <c r="C162" s="467"/>
      <c r="D162" s="467"/>
      <c r="E162" s="467"/>
      <c r="F162" s="467"/>
    </row>
    <row r="164" spans="2:6">
      <c r="B164" s="347" t="s">
        <v>527</v>
      </c>
    </row>
    <row r="165" spans="2:6">
      <c r="B165" s="416" t="s">
        <v>388</v>
      </c>
    </row>
    <row r="166" spans="2:6">
      <c r="B166" s="416" t="s">
        <v>389</v>
      </c>
    </row>
    <row r="167" spans="2:6">
      <c r="B167" s="416"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2025-12-11T08:16:20Z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