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179E37A-4F5B-4F57-BA64-851A1AB5A23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<sst xmlns="http://schemas.openxmlformats.org/spreadsheetml/2006/main" count="768" uniqueCount="557">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</sst>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17.66</v>
      </c>
      <c r="E8" s="32"/>
    </row>
    <row r="9" spans="1:9">
      <c r="B9" s="4" t="s">
        <v>344</v>
      </c>
      <c r="C9" s="48">
        <v>576457000</v>
      </c>
    </row>
    <row r="10" spans="1:9">
      <c r="B10" s="4" t="s">
        <v>350</v>
      </c>
      <c r="C10" s="33">
        <f>Thesis!C8*Common_Shares/1000000</f>
        <v>10180.23062</v>
      </c>
      <c r="D10" s="1" t="s">
        <v>525</v>
      </c>
      <c r="E10" s="303">
        <f>Scenarios!F34</f>
        <v>0.13447044185038079</v>
      </c>
    </row>
    <row r="11" spans="1:9">
      <c r="D11" s="5"/>
      <c r="E11" s="5"/>
    </row>
    <row r="12" spans="1:9" ht="24.5" customHeight="1">
      <c r="B12" s="463" t="s">
        <v>353</v>
      </c>
      <c r="C12" s="463"/>
      <c r="D12" s="463"/>
      <c r="E12" s="463"/>
      <c r="F12" s="463"/>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12.010833823982884</v>
      </c>
      <c r="D22" s="38" t="s">
        <v>404</v>
      </c>
      <c r="E22" s="79">
        <v>0.3</v>
      </c>
    </row>
    <row r="23" spans="1:6">
      <c r="B23" s="1" t="s">
        <v>312</v>
      </c>
      <c r="C23" s="256">
        <f>E141</f>
        <v>15.056019624589352</v>
      </c>
      <c r="D23" s="38" t="s">
        <v>405</v>
      </c>
      <c r="E23" s="443">
        <v>0.2</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3" t="s">
        <v>354</v>
      </c>
      <c r="C29" s="463"/>
      <c r="D29" s="463"/>
      <c r="E29" s="463"/>
      <c r="F29" s="463"/>
    </row>
    <row r="30" spans="1:6" ht="24.5" customHeight="1">
      <c r="B30" s="467" t="s">
        <v>266</v>
      </c>
      <c r="C30" s="467"/>
      <c r="D30" s="467"/>
      <c r="E30" s="467"/>
      <c r="F30" s="467"/>
    </row>
    <row r="32" spans="1:6">
      <c r="B32" s="192" t="s">
        <v>195</v>
      </c>
      <c r="C32" s="105">
        <f>scaling_factor</f>
        <v>1</v>
      </c>
    </row>
    <row r="33" spans="2:6" ht="24.5" customHeight="1">
      <c r="B33" s="464" t="s">
        <v>196</v>
      </c>
      <c r="C33" s="464"/>
      <c r="D33" s="464"/>
      <c r="E33" s="464"/>
      <c r="F33" s="464"/>
    </row>
    <row r="34" spans="2:6">
      <c r="B34" s="44" t="s">
        <v>197</v>
      </c>
      <c r="C34" s="285">
        <f>Normalized_FCF!C8</f>
        <v>1079571875.5988722</v>
      </c>
      <c r="D34" s="1" t="str">
        <f>Reporting_currency</f>
        <v>CNY</v>
      </c>
    </row>
    <row r="35" spans="2:6">
      <c r="B35" s="44"/>
      <c r="C35" s="73"/>
    </row>
    <row r="36" spans="2:6" ht="24.5" customHeight="1">
      <c r="B36" s="464" t="s">
        <v>198</v>
      </c>
      <c r="C36" s="464"/>
      <c r="D36" s="464"/>
      <c r="E36" s="464"/>
      <c r="F36" s="464"/>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4" t="s">
        <v>206</v>
      </c>
      <c r="C51" s="464"/>
      <c r="D51" s="464"/>
      <c r="E51" s="464"/>
      <c r="F51" s="464"/>
    </row>
    <row r="52" spans="2:6">
      <c r="B52" s="44" t="s">
        <v>204</v>
      </c>
      <c r="C52" s="285">
        <f>Normalized_FCF!C12</f>
        <v>-268306202.34061834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7.9066834246418569E-2</v>
      </c>
      <c r="F62" s="257"/>
    </row>
    <row r="63" spans="2:6">
      <c r="B63" s="204" t="s">
        <v>330</v>
      </c>
      <c r="C63" s="89">
        <f>Normalized_FCF!C92</f>
        <v>6.0022650056625146E-2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3" t="s">
        <v>476</v>
      </c>
      <c r="C73" s="463"/>
      <c r="D73" s="463"/>
      <c r="E73" s="463"/>
      <c r="F73" s="463"/>
    </row>
    <row r="74" spans="1:6">
      <c r="A74" s="191"/>
      <c r="B74" s="1" t="s">
        <v>463</v>
      </c>
    </row>
    <row r="75" spans="1:6">
      <c r="A75" s="191"/>
    </row>
    <row r="76" spans="1:6">
      <c r="A76" s="191"/>
      <c r="B76" s="192" t="s">
        <v>195</v>
      </c>
    </row>
    <row r="77" spans="1:6">
      <c r="A77" s="191"/>
      <c r="B77" s="463" t="s">
        <v>271</v>
      </c>
      <c r="C77" s="463"/>
      <c r="D77" s="463"/>
      <c r="E77" s="463"/>
      <c r="F77" s="463"/>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3" t="s">
        <v>483</v>
      </c>
      <c r="C96" s="463"/>
      <c r="D96" s="463"/>
      <c r="E96" s="463"/>
      <c r="F96" s="463"/>
    </row>
    <row r="97" spans="2:6">
      <c r="B97" s="467" t="s">
        <v>482</v>
      </c>
      <c r="C97" s="467"/>
      <c r="D97" s="467"/>
      <c r="E97" s="467"/>
      <c r="F97" s="467"/>
    </row>
    <row r="98" spans="2:6">
      <c r="B98" s="467" t="s">
        <v>481</v>
      </c>
      <c r="C98" s="467"/>
      <c r="D98" s="467"/>
      <c r="E98" s="467"/>
      <c r="F98" s="467"/>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3" t="s">
        <v>489</v>
      </c>
      <c r="C114" s="463"/>
      <c r="D114" s="463"/>
      <c r="E114" s="463"/>
      <c r="F114" s="463"/>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4" t="s">
        <v>355</v>
      </c>
      <c r="C124" s="464"/>
      <c r="D124" s="464"/>
      <c r="E124" s="464"/>
      <c r="F124" s="464"/>
    </row>
    <row r="125" spans="2:6">
      <c r="B125" s="193" t="s">
        <v>218</v>
      </c>
      <c r="C125" s="197">
        <f>Scenarios!C36</f>
        <v>22.158401911290397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8" t="s">
        <v>285</v>
      </c>
      <c r="C131" s="468"/>
      <c r="D131" s="468"/>
      <c r="E131" s="468"/>
      <c r="F131" s="468"/>
    </row>
    <row r="132" spans="1:6">
      <c r="B132" s="463" t="s">
        <v>357</v>
      </c>
      <c r="C132" s="463"/>
      <c r="D132" s="463"/>
      <c r="E132" s="463"/>
      <c r="F132" s="463"/>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1.9250796540737376</v>
      </c>
      <c r="D140" s="333">
        <f>Scenarios!D62</f>
        <v>10.085754169909146</v>
      </c>
      <c r="E140" s="334">
        <f>Scenarios!E62</f>
        <v>12.010833823982884</v>
      </c>
      <c r="F140" s="335">
        <f>E22</f>
        <v>0.3</v>
      </c>
    </row>
    <row r="141" spans="1:6">
      <c r="B141" s="336" t="s">
        <v>312</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2" t="s">
        <v>358</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436</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6.0022650056625146E-2</v>
      </c>
      <c r="E92" s="237"/>
      <c r="G92" s="22">
        <f t="shared" ref="G92:Q92" si="38">IF(G$4="","",(G88*(1-dividend_tax_rate))/Market_Price)</f>
        <v>6.0022650056625146E-2</v>
      </c>
      <c r="H92" s="22">
        <f t="shared" si="38"/>
        <v>6.0022650056625146E-2</v>
      </c>
      <c r="I92" s="22">
        <f t="shared" si="38"/>
        <v>5.6625141562853906E-2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7.9066834246418569E-2</v>
      </c>
      <c r="D124" s="26"/>
      <c r="E124" s="234"/>
      <c r="F124" s="26"/>
      <c r="G124" s="74">
        <f t="shared" ref="G124" si="49">IF(G$4="","",G123/Market_Price)</f>
        <v>8.509545196294846E-2</v>
      </c>
      <c r="H124" s="74">
        <f t="shared" ref="H124" si="50">IF(H$4="","",H123/Market_Price)</f>
        <v>9.7054008349326398E-2</v>
      </c>
      <c r="I124" s="74">
        <f t="shared" ref="I124" si="51">IF(I$4="","",I123/Market_Price)</f>
        <v>8.2314543138601301E-2</v>
      </c>
      <c r="J124" s="74">
        <f t="shared" ref="J124" si="52">IF(J$4="","",J123/Market_Price)</f>
        <v>6.2983554997450342E-2</v>
      </c>
      <c r="K124" s="74">
        <f t="shared" ref="K124" si="53">IF(K$4="","",K123/Market_Price)</f>
        <v>5.1376021554067695E-2</v>
      </c>
      <c r="L124" s="74">
        <f t="shared" ref="L124" si="54">IF(L$4="","",L123/Market_Price)</f>
        <v>4.0619406362306071E-2</v>
      </c>
      <c r="M124" s="74">
        <f t="shared" ref="M124" si="55">IF(M$4="","",M123/Market_Price)</f>
        <v>2.4227915378993645E-2</v>
      </c>
      <c r="N124" s="74">
        <f t="shared" ref="N124" si="56">IF(N$4="","",N123/Market_Price)</f>
        <v>1.8950126004119935E-2</v>
      </c>
      <c r="O124" s="74">
        <f t="shared" ref="O124" si="57">IF(O$4="","",O123/Market_Price)</f>
        <v>1.8855613312225732E-2</v>
      </c>
      <c r="P124" s="74">
        <f t="shared" ref="P124" si="58">IF(P$4="","",P123/Market_Price)</f>
        <v>1.9415024214844361E-2</v>
      </c>
      <c r="Q124" s="74" t="str">
        <f t="shared" ref="Q124" si="59">IF(Q$4="","",Q123/Market_Price)</f>
        <v/>
      </c>
    </row>
    <row r="125" spans="1:17" ht="15.75" customHeight="1">
      <c r="B125" s="2" t="s">
        <v>306</v>
      </c>
      <c r="C125" s="151"/>
      <c r="G125" s="22">
        <f>IF(G$4="","",(Data!C47*$C$3)/(Market_Price*Common_Shares))</f>
        <v>8.3321412123372893E-2</v>
      </c>
      <c r="H125" s="22">
        <f>IF(H$4="","",(Data!D47*$C$3)/(Market_Price*Common_Shares))</f>
        <v>9.9024226132904639E-2</v>
      </c>
      <c r="I125" s="22">
        <f>IF(I$4="","",(Data!E47*$C$3)/(Market_Price*Common_Shares))</f>
        <v>8.1915498884837637E-2</v>
      </c>
      <c r="J125" s="22">
        <f>IF(J$4="","",(Data!F47*$C$3)/(Market_Price*Common_Shares))</f>
        <v>6.355515018774692E-2</v>
      </c>
      <c r="K125" s="22">
        <f>IF(K$4="","",(Data!G47*$C$3)/(Market_Price*Common_Shares))</f>
        <v>5.0557063608054099E-2</v>
      </c>
      <c r="L125" s="22">
        <f>IF(L$4="","",(Data!H47*$C$3)/(Market_Price*Common_Shares))</f>
        <v>4.0576384309847786E-2</v>
      </c>
      <c r="M125" s="22">
        <f>IF(M$4="","",(Data!I47*$C$3)/(Market_Price*Common_Shares))</f>
        <v>2.4014754196207001E-2</v>
      </c>
      <c r="N125" s="22">
        <f>IF(N$4="","",(Data!J47*$C$3)/(Market_Price*Common_Shares))</f>
        <v>2.0231044923027491E-2</v>
      </c>
      <c r="O125" s="22">
        <f>IF(O$4="","",(Data!K47*$C$3)/(Market_Price*Common_Shares))</f>
        <v>1.5691683809811372E-2</v>
      </c>
      <c r="P125" s="22">
        <f>IF(P$4="","",(Data!L47*$C$3)/(Market_Price*Common_Shares))</f>
        <v>1.4008688439712381E-2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0" t="s">
        <v>418</v>
      </c>
      <c r="K52" s="460"/>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17.66</v>
      </c>
      <c r="D34" t="str">
        <f>Market_currency</f>
        <v>CNY</v>
      </c>
      <c r="E34" s="97" t="s">
        <v>452</v>
      </c>
      <c r="F34" s="330">
        <f>RATE(Holding_Period,$C$33,-C34,$C$36)</f>
        <v>0.13447044185038079</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312</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17.66</v>
      </c>
    </row>
    <row r="9" spans="1:10">
      <c r="B9" s="351" t="s">
        <v>359</v>
      </c>
      <c r="C9" s="353">
        <f>Common_Shares</f>
        <v>576457000</v>
      </c>
    </row>
    <row r="10" spans="1:10">
      <c r="B10" s="351" t="s">
        <v>365</v>
      </c>
      <c r="C10" s="357">
        <f>投资主题!C8*Common_Shares/1000000</f>
        <v>10180.23062</v>
      </c>
      <c r="D10" s="343" t="s">
        <v>526</v>
      </c>
      <c r="E10" s="360">
        <f>Scenarios!F34</f>
        <v>0.13447044185038079</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12.010833823982884</v>
      </c>
      <c r="D22" s="365" t="s">
        <v>438</v>
      </c>
      <c r="E22" s="366">
        <f>Thesis!E22</f>
        <v>0.3</v>
      </c>
    </row>
    <row r="23" spans="1:6">
      <c r="B23" s="343" t="s">
        <v>339</v>
      </c>
      <c r="C23" s="367">
        <f>E141</f>
        <v>15.056019624589352</v>
      </c>
      <c r="D23" s="365" t="s">
        <v>439</v>
      </c>
      <c r="E23" s="368">
        <f>Thesis!E23</f>
        <v>0.2</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7.9066834246418569E-2</v>
      </c>
      <c r="F62" s="379"/>
    </row>
    <row r="63" spans="2:6">
      <c r="B63" s="377" t="s">
        <v>330</v>
      </c>
      <c r="C63" s="378">
        <f>Normalized_FCF!C92</f>
        <v>6.0022650056625146E-2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1.9250796540737376</v>
      </c>
      <c r="D140" s="409">
        <f>Scenarios!D62</f>
        <v>10.085754169909146</v>
      </c>
      <c r="E140" s="410">
        <f>Scenarios!E62</f>
        <v>12.010833823982884</v>
      </c>
      <c r="F140" s="411">
        <f>E22</f>
        <v>0.3</v>
      </c>
    </row>
    <row r="141" spans="1:6">
      <c r="B141" s="408" t="s">
        <v>312</v>
      </c>
      <c r="C141" s="409">
        <f>Scenarios!C63</f>
        <v>2.2328703703703705</v>
      </c>
      <c r="D141" s="409">
        <f>Scenarios!D63</f>
        <v>12.823149254218981</v>
      </c>
      <c r="E141" s="410">
        <f>Scenarios!E63</f>
        <v>15.056019624589352</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