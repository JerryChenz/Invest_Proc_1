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634D444-76A5-4AB4-98C7-765A3D13B583}"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G4" i="3"/>
  <c r="C4" i="3"/>
  <c r="C9"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<sst xmlns="http://schemas.openxmlformats.org/spreadsheetml/2006/main" count="768" uniqueCount="557">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</sst>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45938</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17.79</v>
      </c>
      <c r="E8" s="32"/>
    </row>
    <row r="9" spans="1:9">
      <c r="B9" s="4" t="s">
        <v>343</v>
      </c>
      <c r="C9" s="48">
        <v>576457000</v>
      </c>
    </row>
    <row r="10" spans="1:9">
      <c r="B10" s="4" t="s">
        <v>349</v>
      </c>
      <c r="C10" s="33">
        <f>Thesis!C8*Common_Shares/1000000</f>
        <v>10255.170029999999</v>
      </c>
      <c r="D10" s="1" t="s">
        <v>524</v>
      </c>
      <c r="E10" s="303">
        <f>Scenarios!F34</f>
        <v>0.13155250343933422</v>
      </c>
    </row>
    <row r="11" spans="1:9">
      <c r="D11" s="5"/>
      <c r="E11" s="5"/>
    </row>
    <row r="12" spans="1:9" ht="24.5" customHeight="1">
      <c r="B12" s="462" t="s">
        <v>352</v>
      </c>
      <c r="C12" s="462"/>
      <c r="D12" s="462"/>
      <c r="E12" s="462"/>
      <c r="F12" s="462"/>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v>
      </c>
      <c r="D17" s="4" t="s">
        <v>273</v>
      </c>
      <c r="E17" s="224" t="s">
        <v>556</v>
      </c>
    </row>
    <row r="18" spans="1:6">
      <c r="B18" s="1" t="str">
        <f>"Expected Equity Value ("&amp;C7&amp;") :"</f>
        <v>Expected Equity Value (CNY) :</v>
      </c>
      <c r="C18" s="252">
        <f>C125</f>
        <v>22.158401911290397</v>
      </c>
      <c r="D18" s="2" t="s">
        <v>344</v>
      </c>
      <c r="E18" s="418">
        <v>6</v>
      </c>
    </row>
    <row r="19" spans="1:6">
      <c r="B19" s="2" t="s">
        <v>274</v>
      </c>
      <c r="C19" s="31" t="str">
        <f>IF(Terminal_Growth&lt;2%, "Lower than Inflation rate", IF(Terminal_Growth&lt;5%, "Low growth", IF(Terminal_Growth&lt;8%, "Medium growth", "High growth")))</f>
        <v>Lower than Inflation rate</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12.010833823982884</v>
      </c>
      <c r="D22" s="38" t="s">
        <v>403</v>
      </c>
      <c r="E22" s="79">
        <v>0.3</v>
      </c>
    </row>
    <row r="23" spans="1:6">
      <c r="B23" s="1" t="s">
        <v>311</v>
      </c>
      <c r="C23" s="256">
        <f>E141</f>
        <v>15.056019624589352</v>
      </c>
      <c r="D23" s="38" t="s">
        <v>404</v>
      </c>
      <c r="E23" s="443">
        <v>0.2</v>
      </c>
    </row>
    <row r="24" spans="1:6">
      <c r="B24" s="1" t="s">
        <v>313</v>
      </c>
      <c r="C24" s="256">
        <f>E144</f>
        <v>19.949994757287094</v>
      </c>
      <c r="D24" s="38" t="s">
        <v>405</v>
      </c>
      <c r="E24" s="443">
        <v>8.6999999999999994E-2</v>
      </c>
    </row>
    <row r="25" spans="1:6">
      <c r="B25" s="1" t="s">
        <v>312</v>
      </c>
      <c r="C25" s="256">
        <f>E145</f>
        <v>20.730780285650923</v>
      </c>
      <c r="D25" s="38" t="s">
        <v>406</v>
      </c>
      <c r="E25" s="444">
        <v>7.2499999999999995E-2</v>
      </c>
    </row>
    <row r="26" spans="1:6">
      <c r="D26" s="5"/>
      <c r="E26" s="5"/>
    </row>
    <row r="27" spans="1:6" ht="13.9">
      <c r="A27" s="200" t="s">
        <v>279</v>
      </c>
      <c r="B27" s="34"/>
      <c r="C27" s="34"/>
      <c r="D27" s="34"/>
      <c r="E27" s="34"/>
      <c r="F27" s="34"/>
    </row>
    <row r="29" spans="1:6">
      <c r="B29" s="462" t="s">
        <v>353</v>
      </c>
      <c r="C29" s="462"/>
      <c r="D29" s="462"/>
      <c r="E29" s="462"/>
      <c r="F29" s="462"/>
    </row>
    <row r="30" spans="1:6" ht="24.5" customHeight="1">
      <c r="B30" s="466" t="s">
        <v>265</v>
      </c>
      <c r="C30" s="466"/>
      <c r="D30" s="466"/>
      <c r="E30" s="466"/>
      <c r="F30" s="466"/>
    </row>
    <row r="32" spans="1:6">
      <c r="B32" s="192" t="s">
        <v>194</v>
      </c>
      <c r="C32" s="105">
        <f>scaling_factor</f>
        <v>1</v>
      </c>
    </row>
    <row r="33" spans="2:6" ht="24.5" customHeight="1">
      <c r="B33" s="463" t="s">
        <v>195</v>
      </c>
      <c r="C33" s="463"/>
      <c r="D33" s="463"/>
      <c r="E33" s="463"/>
      <c r="F33" s="463"/>
    </row>
    <row r="34" spans="2:6">
      <c r="B34" s="44" t="s">
        <v>196</v>
      </c>
      <c r="C34" s="285">
        <f>Normalized_FCF!C8</f>
        <v>1079571875.5988722</v>
      </c>
      <c r="D34" s="1" t="str">
        <f>Reporting_currency</f>
        <v>CNY</v>
      </c>
    </row>
    <row r="35" spans="2:6">
      <c r="B35" s="44"/>
      <c r="C35" s="73"/>
    </row>
    <row r="36" spans="2:6" ht="24.5" customHeight="1">
      <c r="B36" s="463" t="s">
        <v>197</v>
      </c>
      <c r="C36" s="463"/>
      <c r="D36" s="463"/>
      <c r="E36" s="463"/>
      <c r="F36" s="463"/>
    </row>
    <row r="37" spans="2:6">
      <c r="B37" s="44" t="s">
        <v>198</v>
      </c>
      <c r="C37" s="285">
        <f>Normalized_FCF!C15</f>
        <v>213321214.99999997</v>
      </c>
      <c r="D37" s="1" t="str">
        <f>Reporting_currency</f>
        <v>CNY</v>
      </c>
    </row>
    <row r="38" spans="2:6">
      <c r="B38" s="49" t="s">
        <v>199</v>
      </c>
      <c r="C38" s="285">
        <f>Normalized_FCF!C16</f>
        <v>-213321214.99999994</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5660933.7634011274</v>
      </c>
      <c r="D44" s="1" t="str">
        <f>Reporting_currency</f>
        <v>CNY</v>
      </c>
      <c r="E44" s="244"/>
      <c r="F44" s="244"/>
    </row>
    <row r="45" spans="2:6">
      <c r="B45" s="44" t="s">
        <v>267</v>
      </c>
      <c r="C45" s="286">
        <f>Normalized_FCF!C45</f>
        <v>-12007999.9998</v>
      </c>
      <c r="D45" s="1" t="str">
        <f>Reporting_currency</f>
        <v>CNY</v>
      </c>
      <c r="E45" s="244"/>
      <c r="F45" s="244"/>
    </row>
    <row r="46" spans="2:6">
      <c r="B46" s="44" t="s">
        <v>202</v>
      </c>
      <c r="C46" s="285">
        <f>Normalized_FCF!C10</f>
        <v>-6347066.2363988729</v>
      </c>
      <c r="D46" s="1" t="str">
        <f>Reporting_currency</f>
        <v>CNY</v>
      </c>
    </row>
    <row r="48" spans="2:6">
      <c r="B48" s="1" t="s">
        <v>210</v>
      </c>
    </row>
    <row r="49" spans="2:6">
      <c r="B49" s="44" t="s">
        <v>222</v>
      </c>
      <c r="C49" s="285">
        <f>Normalized_FCF!C13</f>
        <v>0</v>
      </c>
      <c r="D49" s="1" t="str">
        <f>Reporting_currency</f>
        <v>CNY</v>
      </c>
    </row>
    <row r="51" spans="2:6">
      <c r="B51" s="463" t="s">
        <v>205</v>
      </c>
      <c r="C51" s="463"/>
      <c r="D51" s="463"/>
      <c r="E51" s="463"/>
      <c r="F51" s="463"/>
    </row>
    <row r="52" spans="2:6">
      <c r="B52" s="44" t="s">
        <v>203</v>
      </c>
      <c r="C52" s="285">
        <f>Normalized_FCF!C12</f>
        <v>-268306202.34061834</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866291325.69594693</v>
      </c>
      <c r="D60" s="1" t="str">
        <f>Reporting_currency</f>
        <v>CNY</v>
      </c>
    </row>
    <row r="61" spans="2:6">
      <c r="B61" s="44" t="s">
        <v>212</v>
      </c>
      <c r="C61" s="285">
        <f>Normalized_FCF!C19</f>
        <v>804918607.021855</v>
      </c>
      <c r="D61" s="1" t="str">
        <f>Reporting_currency</f>
        <v>CNY</v>
      </c>
    </row>
    <row r="62" spans="2:6">
      <c r="B62" s="204" t="s">
        <v>301</v>
      </c>
      <c r="C62" s="89">
        <f>Normalized_FCF!C124</f>
        <v>7.8489055244055764E-2</v>
      </c>
      <c r="F62" s="257"/>
    </row>
    <row r="63" spans="2:6">
      <c r="B63" s="204" t="s">
        <v>329</v>
      </c>
      <c r="C63" s="89">
        <f>Normalized_FCF!C92</f>
        <v>5.9584035975267007E-2</v>
      </c>
      <c r="E63" s="44" t="s">
        <v>320</v>
      </c>
      <c r="F63" s="258">
        <f>Normalized_FCF!C90</f>
        <v>0.75913814722313788</v>
      </c>
    </row>
    <row r="65" spans="1:6">
      <c r="B65" s="192" t="s">
        <v>322</v>
      </c>
      <c r="C65" s="264" t="s">
        <v>324</v>
      </c>
      <c r="D65" s="264" t="s">
        <v>325</v>
      </c>
    </row>
    <row r="66" spans="1:6">
      <c r="B66" s="44" t="s">
        <v>323</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474</v>
      </c>
      <c r="B71" s="34"/>
      <c r="C71" s="34"/>
      <c r="D71" s="34"/>
      <c r="E71" s="34"/>
      <c r="F71" s="34"/>
    </row>
    <row r="72" spans="1:6">
      <c r="A72" s="191"/>
    </row>
    <row r="73" spans="1:6">
      <c r="A73" s="191"/>
      <c r="B73" s="462" t="s">
        <v>475</v>
      </c>
      <c r="C73" s="462"/>
      <c r="D73" s="462"/>
      <c r="E73" s="462"/>
      <c r="F73" s="462"/>
    </row>
    <row r="74" spans="1:6">
      <c r="A74" s="191"/>
      <c r="B74" s="1" t="s">
        <v>462</v>
      </c>
    </row>
    <row r="75" spans="1:6">
      <c r="A75" s="191"/>
    </row>
    <row r="76" spans="1:6">
      <c r="A76" s="191"/>
      <c r="B76" s="192" t="s">
        <v>194</v>
      </c>
    </row>
    <row r="77" spans="1:6">
      <c r="A77" s="191"/>
      <c r="B77" s="462" t="s">
        <v>270</v>
      </c>
      <c r="C77" s="462"/>
      <c r="D77" s="462"/>
      <c r="E77" s="462"/>
      <c r="F77" s="462"/>
    </row>
    <row r="78" spans="1:6">
      <c r="A78" s="191"/>
      <c r="B78" s="1" t="s">
        <v>214</v>
      </c>
      <c r="C78" s="285">
        <f>DCF!F4</f>
        <v>-200133333.33000001</v>
      </c>
      <c r="D78" s="1" t="str">
        <f>Reporting_currency</f>
        <v>CNY</v>
      </c>
    </row>
    <row r="79" spans="1:6">
      <c r="A79" s="191"/>
      <c r="B79" s="44" t="s">
        <v>233</v>
      </c>
      <c r="C79" s="201">
        <f>C78*scaling_factor*Exchange_Rate/Common_Shares</f>
        <v>-0.34717825150878556</v>
      </c>
      <c r="D79" s="1" t="str">
        <f>Market_currency</f>
        <v>CNY</v>
      </c>
    </row>
    <row r="80" spans="1:6">
      <c r="A80" s="191"/>
      <c r="B80" s="229" t="s">
        <v>307</v>
      </c>
      <c r="C80" s="337">
        <f>IF(BS!G31/BS!G27&gt;300%,"nm",BS!G31/BS!G27)</f>
        <v>4.3380350010353987E-2</v>
      </c>
    </row>
    <row r="81" spans="1:6">
      <c r="A81" s="191"/>
      <c r="B81" s="229" t="s">
        <v>309</v>
      </c>
      <c r="C81" s="338">
        <f>IF(BS!C50&gt;30,"nm",BS!C50)</f>
        <v>0.18538212957704164</v>
      </c>
    </row>
    <row r="82" spans="1:6">
      <c r="A82" s="191"/>
    </row>
    <row r="83" spans="1:6">
      <c r="A83" s="191"/>
      <c r="B83" s="1" t="s">
        <v>463</v>
      </c>
    </row>
    <row r="84" spans="1:6">
      <c r="A84" s="191"/>
      <c r="B84" s="1" t="s">
        <v>223</v>
      </c>
      <c r="C84" s="285">
        <f>DCF!F5</f>
        <v>843588191.76314533</v>
      </c>
      <c r="D84" s="1" t="str">
        <f>Reporting_currency</f>
        <v>CNY</v>
      </c>
    </row>
    <row r="85" spans="1:6">
      <c r="A85" s="191"/>
      <c r="B85" s="229" t="s">
        <v>221</v>
      </c>
      <c r="C85" s="291">
        <f>BS!C66</f>
        <v>1787077152.3299999</v>
      </c>
      <c r="D85" s="339" t="str">
        <f>Reporting_currency</f>
        <v>CNY</v>
      </c>
    </row>
    <row r="86" spans="1:6">
      <c r="A86" s="191"/>
      <c r="B86" s="44" t="s">
        <v>234</v>
      </c>
      <c r="C86" s="201">
        <f>C84*scaling_factor*Exchange_Rate/Common_Shares</f>
        <v>1.4634017658960605</v>
      </c>
      <c r="D86" s="1" t="str">
        <f>Market_currency</f>
        <v>CNY</v>
      </c>
    </row>
    <row r="87" spans="1:6">
      <c r="A87" s="191"/>
    </row>
    <row r="88" spans="1:6">
      <c r="A88" s="191"/>
      <c r="B88" s="1" t="s">
        <v>215</v>
      </c>
    </row>
    <row r="89" spans="1:6">
      <c r="A89" s="191"/>
      <c r="B89" s="1" t="s">
        <v>216</v>
      </c>
      <c r="C89" s="285">
        <f>DCF!F6</f>
        <v>60320206.770000003</v>
      </c>
      <c r="D89" s="1" t="str">
        <f>Reporting_currency</f>
        <v>CNY</v>
      </c>
    </row>
    <row r="90" spans="1:6">
      <c r="A90" s="191"/>
      <c r="B90" s="44" t="s">
        <v>235</v>
      </c>
      <c r="C90" s="201">
        <f>C89*scaling_factor*Exchange_Rate/Common_Shares</f>
        <v>0.10463955988044209</v>
      </c>
      <c r="D90" s="1" t="str">
        <f>Market_currency</f>
        <v>CNY</v>
      </c>
    </row>
    <row r="91" spans="1:6">
      <c r="A91" s="191"/>
    </row>
    <row r="92" spans="1:6">
      <c r="A92" s="191"/>
      <c r="B92" s="44" t="s">
        <v>466</v>
      </c>
      <c r="C92" s="216">
        <f>DCF!F8</f>
        <v>1.2208630742677169</v>
      </c>
      <c r="D92" s="44" t="str">
        <f>Market_currency</f>
        <v>CNY</v>
      </c>
    </row>
    <row r="94" spans="1:6" ht="13.9">
      <c r="A94" s="200" t="s">
        <v>467</v>
      </c>
      <c r="B94" s="34"/>
      <c r="C94" s="34"/>
      <c r="D94" s="34"/>
      <c r="E94" s="34"/>
      <c r="F94" s="34"/>
    </row>
    <row r="95" spans="1:6">
      <c r="A95" s="191"/>
    </row>
    <row r="96" spans="1:6" ht="11.75" customHeight="1">
      <c r="B96" s="462" t="s">
        <v>482</v>
      </c>
      <c r="C96" s="462"/>
      <c r="D96" s="462"/>
      <c r="E96" s="462"/>
      <c r="F96" s="462"/>
    </row>
    <row r="97" spans="2:6">
      <c r="B97" s="466" t="s">
        <v>481</v>
      </c>
      <c r="C97" s="466"/>
      <c r="D97" s="466"/>
      <c r="E97" s="466"/>
      <c r="F97" s="466"/>
    </row>
    <row r="98" spans="2:6">
      <c r="B98" s="466" t="s">
        <v>480</v>
      </c>
      <c r="C98" s="466"/>
      <c r="D98" s="466"/>
      <c r="E98" s="466"/>
      <c r="F98" s="466"/>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484</v>
      </c>
    </row>
    <row r="111" spans="2:6">
      <c r="B111" s="49" t="s">
        <v>465</v>
      </c>
      <c r="C111" s="216">
        <f>BS!D47</f>
        <v>-0.45026820353990077</v>
      </c>
      <c r="D111" s="1" t="str">
        <f>Market_currency</f>
        <v>CNY</v>
      </c>
    </row>
    <row r="112" spans="2:6">
      <c r="B112" s="44" t="s">
        <v>321</v>
      </c>
      <c r="C112" s="216">
        <f>DCF!C11</f>
        <v>20.480453319671195</v>
      </c>
      <c r="D112" s="1" t="str">
        <f>Market_currency</f>
        <v>CNY</v>
      </c>
    </row>
    <row r="114" spans="2:6" ht="24.5" customHeight="1">
      <c r="B114" s="462" t="s">
        <v>488</v>
      </c>
      <c r="C114" s="462"/>
      <c r="D114" s="462"/>
      <c r="E114" s="462"/>
      <c r="F114" s="462"/>
    </row>
    <row r="116" spans="2:6">
      <c r="B116" s="192" t="s">
        <v>485</v>
      </c>
    </row>
    <row r="117" spans="2:6" ht="12.4">
      <c r="B117" s="342" t="s">
        <v>100</v>
      </c>
      <c r="C117" s="342" t="s">
        <v>109</v>
      </c>
      <c r="D117" s="342" t="s">
        <v>218</v>
      </c>
      <c r="E117" s="342" t="s">
        <v>123</v>
      </c>
      <c r="F117" s="342" t="s">
        <v>541</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3" t="s">
        <v>354</v>
      </c>
      <c r="C124" s="463"/>
      <c r="D124" s="463"/>
      <c r="E124" s="463"/>
      <c r="F124" s="463"/>
    </row>
    <row r="125" spans="2:6">
      <c r="B125" s="193" t="s">
        <v>217</v>
      </c>
      <c r="C125" s="197">
        <f>Scenarios!C36</f>
        <v>22.158401911290397</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7" t="s">
        <v>284</v>
      </c>
      <c r="C131" s="467"/>
      <c r="D131" s="467"/>
      <c r="E131" s="467"/>
      <c r="F131" s="467"/>
    </row>
    <row r="132" spans="1:6">
      <c r="B132" s="462" t="s">
        <v>356</v>
      </c>
      <c r="C132" s="462"/>
      <c r="D132" s="462"/>
      <c r="E132" s="462"/>
      <c r="F132" s="462"/>
    </row>
    <row r="134" spans="1:6">
      <c r="B134" s="192" t="s">
        <v>194</v>
      </c>
    </row>
    <row r="135" spans="1:6">
      <c r="B135" s="1" t="s">
        <v>220</v>
      </c>
      <c r="C135" s="202">
        <f>E21</f>
        <v>3</v>
      </c>
    </row>
    <row r="136" spans="1:6">
      <c r="B136" s="194" t="s">
        <v>219</v>
      </c>
      <c r="C136" s="195">
        <f>Scenarios!C58</f>
        <v>1.06</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1.9250796540737376</v>
      </c>
      <c r="D140" s="333">
        <f>Scenarios!D62</f>
        <v>10.085754169909146</v>
      </c>
      <c r="E140" s="334">
        <f>Scenarios!E62</f>
        <v>12.010833823982884</v>
      </c>
      <c r="F140" s="335">
        <f>E22</f>
        <v>0.3</v>
      </c>
    </row>
    <row r="141" spans="1:6">
      <c r="B141" s="336" t="s">
        <v>311</v>
      </c>
      <c r="C141" s="333">
        <f>Scenarios!C63</f>
        <v>2.2328703703703705</v>
      </c>
      <c r="D141" s="333">
        <f>Scenarios!D63</f>
        <v>12.823149254218981</v>
      </c>
      <c r="E141" s="334">
        <f>Scenarios!E63</f>
        <v>15.056019624589352</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2.6975834619563113</v>
      </c>
      <c r="D144" s="333">
        <f>Scenarios!D66</f>
        <v>17.252411295330781</v>
      </c>
      <c r="E144" s="334">
        <f>Scenarios!E66</f>
        <v>19.949994757287094</v>
      </c>
      <c r="F144" s="335">
        <f>E24</f>
        <v>8.6999999999999994E-2</v>
      </c>
    </row>
    <row r="145" spans="1:6">
      <c r="B145" s="336" t="s">
        <v>312</v>
      </c>
      <c r="C145" s="333">
        <f>Scenarios!C67</f>
        <v>2.7691177408033969</v>
      </c>
      <c r="D145" s="333">
        <f>Scenarios!D67</f>
        <v>17.961662544847524</v>
      </c>
      <c r="E145" s="334">
        <f>Scenarios!E67</f>
        <v>20.730780285650923</v>
      </c>
      <c r="F145" s="335">
        <f>Scenarios!F67</f>
        <v>7.2499999999999995E-2</v>
      </c>
    </row>
    <row r="147" spans="1:6" ht="13.9">
      <c r="A147" s="200" t="s">
        <v>472</v>
      </c>
      <c r="B147" s="34"/>
      <c r="C147" s="34"/>
      <c r="D147" s="34"/>
      <c r="E147" s="34"/>
      <c r="F147" s="34"/>
    </row>
    <row r="149" spans="1:6">
      <c r="B149" s="461" t="s">
        <v>357</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435</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39</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50</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57</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45</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6249607</v>
      </c>
      <c r="D12" s="287">
        <v>4610251</v>
      </c>
      <c r="E12" s="287">
        <v>1311423</v>
      </c>
      <c r="F12" s="287">
        <v>394228</v>
      </c>
      <c r="G12" s="287">
        <v>74051</v>
      </c>
      <c r="H12" s="287">
        <v>0</v>
      </c>
      <c r="I12" s="287">
        <v>0</v>
      </c>
      <c r="J12" s="287">
        <v>0</v>
      </c>
      <c r="K12" s="287">
        <v>0</v>
      </c>
      <c r="L12" s="287"/>
      <c r="M12" s="287"/>
    </row>
    <row r="13" spans="2:13">
      <c r="B13" s="38" t="s">
        <v>63</v>
      </c>
      <c r="C13" s="287">
        <v>37086796</v>
      </c>
      <c r="D13" s="287">
        <v>31023567</v>
      </c>
      <c r="E13" s="287">
        <v>31991799</v>
      </c>
      <c r="F13" s="287">
        <v>18258659</v>
      </c>
      <c r="G13" s="287">
        <v>12674421</v>
      </c>
      <c r="H13" s="287">
        <v>7073727</v>
      </c>
      <c r="I13" s="287">
        <v>0</v>
      </c>
      <c r="J13" s="287">
        <v>0</v>
      </c>
      <c r="K13" s="287">
        <v>0</v>
      </c>
      <c r="L13" s="287"/>
      <c r="M13" s="287"/>
    </row>
    <row r="14" spans="2:13">
      <c r="B14" s="38" t="s">
        <v>46</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38</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40</v>
      </c>
      <c r="C16" s="287">
        <v>0</v>
      </c>
      <c r="D16" s="287">
        <v>0</v>
      </c>
      <c r="E16" s="287">
        <v>0</v>
      </c>
      <c r="F16" s="287">
        <v>0</v>
      </c>
      <c r="G16" s="287">
        <v>0</v>
      </c>
      <c r="H16" s="287">
        <v>0</v>
      </c>
      <c r="I16" s="287">
        <v>0</v>
      </c>
      <c r="J16" s="287">
        <v>0</v>
      </c>
      <c r="K16" s="287">
        <v>0</v>
      </c>
      <c r="L16" s="287">
        <v>0</v>
      </c>
      <c r="M16" s="287"/>
    </row>
    <row r="18" spans="2:13">
      <c r="B18" s="16" t="s">
        <v>47</v>
      </c>
      <c r="C18" s="9"/>
    </row>
    <row r="19" spans="2:13">
      <c r="B19" s="26" t="s">
        <v>43</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287</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286</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25</v>
      </c>
      <c r="C27" s="94" t="s">
        <v>543</v>
      </c>
    </row>
    <row r="28" spans="2:13">
      <c r="B28" s="25" t="s">
        <v>21</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29</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37</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27</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142</v>
      </c>
      <c r="C32" s="270">
        <f>BS!G28</f>
        <v>0</v>
      </c>
      <c r="D32" s="287">
        <v>0</v>
      </c>
      <c r="E32" s="287">
        <v>0</v>
      </c>
      <c r="F32" s="287">
        <v>0</v>
      </c>
      <c r="G32" s="287">
        <v>0</v>
      </c>
      <c r="H32" s="287">
        <v>0</v>
      </c>
      <c r="I32" s="287">
        <v>0</v>
      </c>
      <c r="J32" s="287">
        <v>0</v>
      </c>
      <c r="K32" s="287">
        <v>0</v>
      </c>
      <c r="L32" s="287">
        <v>0</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39</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54</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50</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57</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60</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45</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126</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138</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64</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46</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38</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40</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63</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47</v>
      </c>
      <c r="C60" s="9"/>
    </row>
    <row r="61" spans="2:13">
      <c r="B61" s="26" t="s">
        <v>43</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49</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33</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54</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138</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81</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82</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37</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27</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137858131.29+873257349.31+118164871.09+46000954.79</f>
        <v>1175281306.4799998</v>
      </c>
      <c r="D4" s="231">
        <v>0.6</v>
      </c>
      <c r="E4" s="24"/>
      <c r="F4" s="4" t="s">
        <v>73</v>
      </c>
      <c r="G4" s="18">
        <f>1787077152.33</f>
        <v>1787077152.3299999</v>
      </c>
      <c r="H4" s="231">
        <v>0.9</v>
      </c>
    </row>
    <row r="5" spans="2:8" ht="15" customHeight="1">
      <c r="B5" s="1" t="s">
        <v>30</v>
      </c>
      <c r="C5" s="18">
        <v>0</v>
      </c>
      <c r="D5" s="231">
        <v>0.6</v>
      </c>
      <c r="E5" s="24"/>
      <c r="F5" s="1" t="s">
        <v>26</v>
      </c>
      <c r="G5" s="18">
        <v>0</v>
      </c>
      <c r="H5" s="231">
        <v>0.7</v>
      </c>
    </row>
    <row r="6" spans="2:8" ht="15" customHeight="1">
      <c r="B6" s="4" t="s">
        <v>8</v>
      </c>
      <c r="C6" s="18">
        <v>2668382470.8800001</v>
      </c>
      <c r="D6" s="231">
        <v>0.5</v>
      </c>
      <c r="E6" s="24"/>
      <c r="F6" s="4" t="s">
        <v>146</v>
      </c>
      <c r="G6" s="18">
        <v>0</v>
      </c>
      <c r="H6" s="231">
        <v>0.6</v>
      </c>
    </row>
    <row r="7" spans="2:8" ht="15" customHeight="1">
      <c r="B7" s="1" t="s">
        <v>65</v>
      </c>
      <c r="C7" s="18">
        <v>0</v>
      </c>
      <c r="D7" s="231">
        <v>0.6</v>
      </c>
      <c r="E7" s="24"/>
      <c r="F7" s="4" t="s">
        <v>147</v>
      </c>
      <c r="G7" s="18">
        <v>100533677.95</v>
      </c>
      <c r="H7" s="231">
        <v>0.6</v>
      </c>
    </row>
    <row r="8" spans="2:8" ht="15" customHeight="1">
      <c r="B8" s="1" t="s">
        <v>143</v>
      </c>
      <c r="C8" s="18">
        <v>0</v>
      </c>
      <c r="D8" s="231">
        <v>0.6</v>
      </c>
      <c r="E8" s="24"/>
      <c r="F8" s="1" t="s">
        <v>148</v>
      </c>
      <c r="G8" s="18">
        <v>0</v>
      </c>
      <c r="H8" s="231">
        <v>0.6</v>
      </c>
    </row>
    <row r="9" spans="2:8" ht="15" customHeight="1">
      <c r="B9" s="4" t="s">
        <v>22</v>
      </c>
      <c r="C9" s="18">
        <f>99101872.15+101413642.79</f>
        <v>200515514.94</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67792309.400000006</v>
      </c>
      <c r="D11" s="231">
        <v>0.05</v>
      </c>
      <c r="H11" s="232"/>
    </row>
    <row r="12" spans="2:8" ht="15" customHeight="1">
      <c r="B12" s="77" t="s">
        <v>68</v>
      </c>
      <c r="C12" s="78">
        <f>SUM(C4:C11)</f>
        <v>4111971601.6999998</v>
      </c>
      <c r="D12" s="19">
        <f>C4*D4+C5*D5+C9*D9+C6*D6+C8*D8+C7*D7+C10*D10+C11*D11</f>
        <v>2062801186.2920001</v>
      </c>
      <c r="F12" s="77" t="s">
        <v>66</v>
      </c>
      <c r="G12" s="78">
        <f>SUM(G4:G10)</f>
        <v>1887610830.28</v>
      </c>
      <c r="H12" s="19">
        <f>G4*H4+G5*H5+G6*H6+G7*H7+G8*H8+G9*H9+G10*H10</f>
        <v>1668689643.8669999</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2231119024.42+138347899.78+702433.09</f>
        <v>2370169357.2900004</v>
      </c>
      <c r="D19" s="231">
        <v>0.1</v>
      </c>
      <c r="F19" s="4" t="s">
        <v>151</v>
      </c>
      <c r="G19" s="18">
        <v>0</v>
      </c>
      <c r="H19" s="231">
        <v>0.1</v>
      </c>
    </row>
    <row r="20" spans="2:8" ht="15" customHeight="1">
      <c r="B20" s="4" t="s">
        <v>552</v>
      </c>
      <c r="C20" s="18">
        <v>0</v>
      </c>
      <c r="D20" s="231">
        <v>0.05</v>
      </c>
      <c r="F20" s="4" t="s">
        <v>148</v>
      </c>
      <c r="G20" s="18">
        <v>0</v>
      </c>
      <c r="H20" s="231">
        <v>0.2</v>
      </c>
    </row>
    <row r="21" spans="2:8" ht="15" customHeight="1">
      <c r="B21" s="4" t="s">
        <v>16</v>
      </c>
      <c r="C21" s="18">
        <v>350577950.81999999</v>
      </c>
      <c r="D21" s="231">
        <v>0.05</v>
      </c>
      <c r="F21" s="1" t="s">
        <v>149</v>
      </c>
      <c r="G21" s="18">
        <v>0</v>
      </c>
      <c r="H21" s="231">
        <v>0.1</v>
      </c>
    </row>
    <row r="22" spans="2:8" ht="15" customHeight="1">
      <c r="B22" s="4" t="s">
        <v>17</v>
      </c>
      <c r="C22" s="18">
        <v>129686538.37</v>
      </c>
      <c r="D22" s="231">
        <v>0.9</v>
      </c>
      <c r="H22" s="232"/>
    </row>
    <row r="23" spans="2:8" ht="15" customHeight="1">
      <c r="B23" s="4" t="s">
        <v>18</v>
      </c>
      <c r="C23" s="18">
        <v>125754464.90000001</v>
      </c>
      <c r="D23" s="231">
        <v>0</v>
      </c>
      <c r="H23" s="232"/>
    </row>
    <row r="24" spans="2:8" ht="15" customHeight="1">
      <c r="B24" s="77" t="s">
        <v>69</v>
      </c>
      <c r="C24" s="78">
        <f>SUM(C15:C23)</f>
        <v>2976188311.3800006</v>
      </c>
      <c r="D24" s="19">
        <f>C15*D15+C16*D16+C18*D18+C17*D17+C19*D19+C20*D20+C21*D21+C22*D22+C23*D23</f>
        <v>371263717.80300009</v>
      </c>
      <c r="F24" s="77" t="s">
        <v>67</v>
      </c>
      <c r="G24" s="78">
        <f>SUM(G15:G21)</f>
        <v>0</v>
      </c>
      <c r="H24" s="19">
        <f>G15*H15+G16*H16+G17*H17+G18*H18+G19*H19+G20*H20+G21*H21</f>
        <v>0</v>
      </c>
    </row>
    <row r="26" spans="2:8" ht="15" customHeight="1">
      <c r="B26" s="16" t="s">
        <v>168</v>
      </c>
      <c r="C26" s="164" t="s">
        <v>112</v>
      </c>
      <c r="F26" s="166" t="s">
        <v>164</v>
      </c>
      <c r="G26" s="167" t="s">
        <v>112</v>
      </c>
      <c r="H26" s="168" t="s">
        <v>32</v>
      </c>
    </row>
    <row r="27" spans="2:8" ht="15" customHeight="1">
      <c r="B27" s="4" t="s">
        <v>3</v>
      </c>
      <c r="C27" s="18">
        <v>200133333.33000001</v>
      </c>
      <c r="F27" s="169" t="s">
        <v>27</v>
      </c>
      <c r="G27" s="82">
        <f>G32-G30</f>
        <v>4613455937.5900002</v>
      </c>
      <c r="H27" s="170">
        <f>H32-G30</f>
        <v>-259560257.80800056</v>
      </c>
    </row>
    <row r="28" spans="2:8" ht="15" customHeight="1">
      <c r="B28" s="4" t="s">
        <v>4</v>
      </c>
      <c r="C28" s="18">
        <v>0</v>
      </c>
      <c r="F28" s="171" t="s">
        <v>208</v>
      </c>
      <c r="G28" s="287">
        <v>0</v>
      </c>
      <c r="H28" s="170"/>
    </row>
    <row r="29" spans="2:8" ht="15" customHeight="1">
      <c r="B29" s="4" t="s">
        <v>5</v>
      </c>
      <c r="C29" s="18">
        <v>0</v>
      </c>
      <c r="F29" s="172" t="s">
        <v>71</v>
      </c>
      <c r="G29" s="14">
        <f>G27-G28</f>
        <v>4613455937.5900002</v>
      </c>
      <c r="H29" s="170">
        <f>H27-G28</f>
        <v>-259560257.80800056</v>
      </c>
    </row>
    <row r="30" spans="2:8" ht="15" customHeight="1">
      <c r="B30" s="2" t="s">
        <v>6</v>
      </c>
      <c r="C30" s="18">
        <v>0</v>
      </c>
      <c r="F30" s="169" t="s">
        <v>20</v>
      </c>
      <c r="G30" s="82">
        <f>C33+C42</f>
        <v>4362314805.7700005</v>
      </c>
      <c r="H30" s="170"/>
    </row>
    <row r="31" spans="2:8" ht="15" customHeight="1">
      <c r="B31" s="77" t="s">
        <v>171</v>
      </c>
      <c r="C31" s="78">
        <f>SUM(C27:C30)</f>
        <v>200133333.33000001</v>
      </c>
      <c r="F31" s="172" t="s">
        <v>72</v>
      </c>
      <c r="G31" s="173">
        <f>C31+C40</f>
        <v>200133333.33000001</v>
      </c>
      <c r="H31" s="170"/>
    </row>
    <row r="32" spans="2:8" ht="15" customHeight="1">
      <c r="B32" s="4" t="s">
        <v>7</v>
      </c>
      <c r="C32" s="20">
        <f>C33-C31</f>
        <v>4023288853.8400002</v>
      </c>
      <c r="F32" s="174" t="s">
        <v>70</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7088159913.0799999</v>
      </c>
      <c r="H35" s="182">
        <f>D12+D24</f>
        <v>2434064904.0950003</v>
      </c>
    </row>
    <row r="36" spans="2:8" ht="15" customHeight="1">
      <c r="B36" s="4" t="s">
        <v>11</v>
      </c>
      <c r="C36" s="18">
        <v>0</v>
      </c>
      <c r="F36" s="172" t="s">
        <v>165</v>
      </c>
      <c r="G36" s="173">
        <f>C4+C15</f>
        <v>1175281306.4799998</v>
      </c>
      <c r="H36" s="177"/>
    </row>
    <row r="37" spans="2:8" ht="15" customHeight="1">
      <c r="B37" s="4" t="s">
        <v>12</v>
      </c>
      <c r="C37" s="18">
        <v>0</v>
      </c>
      <c r="F37" s="172" t="s">
        <v>166</v>
      </c>
      <c r="G37" s="173">
        <f>C6</f>
        <v>2668382470.8800001</v>
      </c>
      <c r="H37" s="177"/>
    </row>
    <row r="38" spans="2:8" ht="15" customHeight="1">
      <c r="B38" s="4" t="s">
        <v>13</v>
      </c>
      <c r="C38" s="18">
        <v>0</v>
      </c>
      <c r="F38" s="172" t="s">
        <v>167</v>
      </c>
      <c r="G38" s="173">
        <f>C7+C17</f>
        <v>0</v>
      </c>
      <c r="H38" s="177"/>
    </row>
    <row r="39" spans="2:8" ht="15" customHeight="1">
      <c r="B39" s="2" t="s">
        <v>14</v>
      </c>
      <c r="C39" s="18">
        <v>0</v>
      </c>
      <c r="F39" s="172" t="s">
        <v>75</v>
      </c>
      <c r="G39" s="173">
        <f>C7+C17+C19+C20</f>
        <v>2370169357.2900004</v>
      </c>
      <c r="H39" s="170">
        <f>C7*D7+C17*D17+C19*D19+C20*D20</f>
        <v>237016935.72900006</v>
      </c>
    </row>
    <row r="40" spans="2:8" ht="15" customHeight="1">
      <c r="B40" s="77" t="s">
        <v>172</v>
      </c>
      <c r="C40" s="78">
        <f>SUM(C36:C39)</f>
        <v>0</v>
      </c>
      <c r="F40" s="181" t="s">
        <v>114</v>
      </c>
      <c r="G40" s="175">
        <f>G12+G24</f>
        <v>1887610830.28</v>
      </c>
      <c r="H40" s="182">
        <f>H12+H24</f>
        <v>1668689643.8669999</v>
      </c>
    </row>
    <row r="41" spans="2:8" ht="15" customHeight="1">
      <c r="B41" s="4" t="s">
        <v>15</v>
      </c>
      <c r="C41" s="20">
        <f>C42-C40</f>
        <v>138892618.59999999</v>
      </c>
      <c r="F41" s="172" t="s">
        <v>159</v>
      </c>
      <c r="G41" s="173">
        <f>C70</f>
        <v>1787077152.3299999</v>
      </c>
      <c r="H41" s="182">
        <f>H40-H42</f>
        <v>1608369437.0969999</v>
      </c>
    </row>
    <row r="42" spans="2:8" ht="15" customHeight="1">
      <c r="B42" s="80" t="s">
        <v>19</v>
      </c>
      <c r="C42" s="81">
        <v>138892618.59999999</v>
      </c>
      <c r="F42" s="183" t="s">
        <v>160</v>
      </c>
      <c r="G42" s="184">
        <f>C82</f>
        <v>100533677.95</v>
      </c>
      <c r="H42" s="185">
        <f>D82</f>
        <v>60320206.770000003</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0.18538212957704164</v>
      </c>
      <c r="D50" s="92">
        <f>G31/Normalized_FCF!G8</f>
        <v>0.17970532075048531</v>
      </c>
      <c r="F50" s="223"/>
    </row>
    <row r="51" spans="2:8" ht="15" customHeight="1">
      <c r="B51" s="1" t="s">
        <v>145</v>
      </c>
      <c r="C51" s="163"/>
      <c r="D51" s="89">
        <f>G29/G32</f>
        <v>0.51398994799448205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0.15230636566292824</v>
      </c>
      <c r="D54" s="89">
        <f>Normalized_FCF!G8/G35</f>
        <v>0.15711765403950623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9.0002520007222933E-2</v>
      </c>
      <c r="F58" s="5"/>
    </row>
    <row r="59" spans="2:8" ht="15" customHeight="1">
      <c r="B59" s="1" t="s">
        <v>88</v>
      </c>
      <c r="C59" s="95"/>
      <c r="D59" s="89">
        <f>G39/G32</f>
        <v>0.26406304539845549</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1787077152.3299999</v>
      </c>
      <c r="D66" s="73">
        <f>C66-D75</f>
        <v>843588191.76314533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1787077152.3299999</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-468902548.5</v>
      </c>
      <c r="D73" s="285">
        <f>(Normalized_FCF!C26+Normalized_FCF!C35-Normalized_FCF!C89)/12</f>
        <v>-471744480.2834273</v>
      </c>
      <c r="F73" s="1" t="s">
        <v>277</v>
      </c>
    </row>
    <row r="74" spans="2:6" ht="15" customHeight="1">
      <c r="B74" s="227" t="s">
        <v>258</v>
      </c>
      <c r="C74" s="228">
        <f>-$C$66/C73</f>
        <v>3.8111909565149227</v>
      </c>
      <c r="D74" s="228">
        <f>-$C$66/D73</f>
        <v>3.7882311866294902</v>
      </c>
      <c r="F74" s="223" t="s">
        <v>256</v>
      </c>
    </row>
    <row r="75" spans="2:6" ht="15" customHeight="1">
      <c r="B75" s="77" t="s">
        <v>257</v>
      </c>
      <c r="C75" s="261"/>
      <c r="D75" s="262">
        <f>MAX(-D73*D76,G5)</f>
        <v>943488960.5668546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100533677.95</v>
      </c>
      <c r="D79" s="73">
        <f>G7*H7+G17*H17</f>
        <v>60320206.770000003</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100533677.95</v>
      </c>
      <c r="D82" s="78">
        <f>SUM(D79:D81)</f>
        <v>60320206.770000003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-200133333.33000001</v>
      </c>
      <c r="D86" s="201">
        <f>C86*scaling_factor/Common_Shares</f>
        <v>-0.34717825150878556</v>
      </c>
      <c r="E86" s="214" t="str">
        <f>Market_currency</f>
        <v>CNY</v>
      </c>
    </row>
    <row r="87" spans="2:8" ht="15" customHeight="1">
      <c r="B87" s="212" t="s">
        <v>239</v>
      </c>
      <c r="C87" s="73">
        <f>DCF!F5*Exchange_Rate</f>
        <v>843588191.76314533</v>
      </c>
      <c r="D87" s="201">
        <f>C87*scaling_factor/Common_Shares</f>
        <v>1.4634017658960605</v>
      </c>
      <c r="E87" s="214" t="str">
        <f>Market_currency</f>
        <v>CNY</v>
      </c>
    </row>
    <row r="88" spans="2:8" ht="15" customHeight="1">
      <c r="B88" s="213" t="s">
        <v>158</v>
      </c>
      <c r="C88" s="73">
        <f>DCF!F6*Exchange_Rate</f>
        <v>60320206.770000003</v>
      </c>
      <c r="D88" s="201">
        <f>C88*scaling_factor/Common_Shares</f>
        <v>0.10463955988044209</v>
      </c>
      <c r="E88" s="214" t="str">
        <f>Market_currency</f>
        <v>CNY</v>
      </c>
    </row>
    <row r="89" spans="2:8" ht="15" customHeight="1">
      <c r="B89" s="77" t="s">
        <v>243</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42</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44</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41</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126</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412</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136</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59</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207</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61</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395</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58</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45</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42</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42</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271</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268</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64</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83</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86</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163</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44</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41</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126</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136</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59</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61</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76</v>
      </c>
      <c r="C82" s="85">
        <f>MAX(AVERAGE(G82:J82),C81)</f>
        <v>3.4802604564778135E-2</v>
      </c>
      <c r="D82" s="26"/>
      <c r="E82" s="235" t="s">
        <v>544</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328</v>
      </c>
      <c r="C91" s="292">
        <v>0</v>
      </c>
      <c r="E91" s="237"/>
      <c r="G91" s="293"/>
      <c r="H91" s="293"/>
      <c r="I91" s="293"/>
      <c r="J91" s="293"/>
      <c r="K91" s="293"/>
      <c r="L91" s="293"/>
      <c r="M91" s="293"/>
      <c r="N91" s="293"/>
      <c r="O91" s="293"/>
      <c r="P91" s="293"/>
      <c r="Q91" s="293"/>
    </row>
    <row r="92" spans="1:17" ht="15.75" customHeight="1">
      <c r="A92" s="10"/>
      <c r="B92" s="2" t="s">
        <v>327</v>
      </c>
      <c r="C92" s="22">
        <f>(C88*(1-dividend_tax_rate))/Market_Price</f>
        <v>5.9584035975267007E-2</v>
      </c>
      <c r="E92" s="237"/>
      <c r="G92" s="22">
        <f t="shared" ref="G92:Q92" si="38">IF(G$4="","",(G88*(1-dividend_tax_rate))/Market_Price)</f>
        <v>5.9584035975267007E-2</v>
      </c>
      <c r="H92" s="22">
        <f t="shared" si="38"/>
        <v>5.9584035975267007E-2</v>
      </c>
      <c r="I92" s="22">
        <f t="shared" si="38"/>
        <v>5.6211354693648116E-2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136</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178</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27</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303</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35</v>
      </c>
      <c r="C115" s="451" t="s">
        <v>324</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79</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87</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190</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225</v>
      </c>
      <c r="C124" s="74">
        <f>C19*Exchange_Rate*$C$3/(Market_Price*Common_Shares)</f>
        <v>7.8489055244055764E-2</v>
      </c>
      <c r="D124" s="26"/>
      <c r="E124" s="234"/>
      <c r="F124" s="26"/>
      <c r="G124" s="74">
        <f t="shared" ref="G124" si="49">IF(G$4="","",G123/Market_Price)</f>
        <v>8.4473618980644732E-2</v>
      </c>
      <c r="H124" s="74">
        <f t="shared" ref="H124" si="50">IF(H$4="","",H123/Market_Price)</f>
        <v>9.6344788501917036E-2</v>
      </c>
      <c r="I124" s="74">
        <f t="shared" ref="I124" si="51">IF(I$4="","",I123/Market_Price)</f>
        <v>8.1713031581096079E-2</v>
      </c>
      <c r="J124" s="74">
        <f t="shared" ref="J124" si="52">IF(J$4="","",J123/Market_Price)</f>
        <v>6.252330417397263E-2</v>
      </c>
      <c r="K124" s="74">
        <f t="shared" ref="K124" si="53">IF(K$4="","",K123/Market_Price)</f>
        <v>5.1000592503925551E-2</v>
      </c>
      <c r="L124" s="74">
        <f t="shared" ref="L124" si="54">IF(L$4="","",L123/Market_Price)</f>
        <v>4.032258102070406E-2</v>
      </c>
      <c r="M124" s="74">
        <f t="shared" ref="M124" si="55">IF(M$4="","",M123/Market_Price)</f>
        <v>2.4050870466162326E-2</v>
      </c>
      <c r="N124" s="74">
        <f t="shared" ref="N124" si="56">IF(N$4="","",N123/Market_Price)</f>
        <v>1.8811648411060037E-2</v>
      </c>
      <c r="O124" s="74">
        <f t="shared" ref="O124" si="57">IF(O$4="","",O123/Market_Price)</f>
        <v>1.871782636840396E-2</v>
      </c>
      <c r="P124" s="74">
        <f t="shared" ref="P124" si="58">IF(P$4="","",P123/Market_Price)</f>
        <v>1.927314938921593E-2</v>
      </c>
      <c r="Q124" s="74" t="str">
        <f t="shared" ref="Q124" si="59">IF(Q$4="","",Q123/Market_Price)</f>
        <v/>
      </c>
    </row>
    <row r="125" spans="1:17" ht="15.75" customHeight="1">
      <c r="B125" s="2" t="s">
        <v>305</v>
      </c>
      <c r="C125" s="151"/>
      <c r="G125" s="22">
        <f>IF(G$4="","",(Data!C47*$C$3)/(Market_Price*Common_Shares))</f>
        <v>8.2712542894815361E-2</v>
      </c>
      <c r="H125" s="22">
        <f>IF(H$4="","",(Data!D47*$C$3)/(Market_Price*Common_Shares))</f>
        <v>9.830060896610994E-2</v>
      </c>
      <c r="I125" s="22">
        <f>IF(I$4="","",(Data!E47*$C$3)/(Market_Price*Common_Shares))</f>
        <v>8.1316903333683688E-2</v>
      </c>
      <c r="J125" s="22">
        <f>IF(J$4="","",(Data!F47*$C$3)/(Market_Price*Common_Shares))</f>
        <v>6.3090722446071432E-2</v>
      </c>
      <c r="K125" s="22">
        <f>IF(K$4="","",(Data!G47*$C$3)/(Market_Price*Common_Shares))</f>
        <v>5.0187619073537679E-2</v>
      </c>
      <c r="L125" s="22">
        <f>IF(L$4="","",(Data!H47*$C$3)/(Market_Price*Common_Shares))</f>
        <v>4.0279873350866323E-2</v>
      </c>
      <c r="M125" s="22">
        <f>IF(M$4="","",(Data!I47*$C$3)/(Market_Price*Common_Shares))</f>
        <v>2.3839266953626512E-2</v>
      </c>
      <c r="N125" s="22">
        <f>IF(N$4="","",(Data!J47*$C$3)/(Market_Price*Common_Shares))</f>
        <v>2.0083207045568603E-2</v>
      </c>
      <c r="O125" s="22">
        <f>IF(O$4="","",(Data!K47*$C$3)/(Market_Price*Common_Shares))</f>
        <v>1.5577017205242769E-2</v>
      </c>
      <c r="P125" s="22">
        <f>IF(P$4="","",(Data!L47*$C$3)/(Market_Price*Common_Shares))</f>
        <v>1.3906320283604308E-2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804918607.021855</v>
      </c>
      <c r="D4" t="str">
        <f>Reporting_currency</f>
        <v>CNY</v>
      </c>
      <c r="E4" s="135" t="s">
        <v>428</v>
      </c>
      <c r="F4" s="275">
        <f>-BS!G31</f>
        <v>-200133333.33000001</v>
      </c>
      <c r="G4" t="str">
        <f>Reporting_currency</f>
        <v>CNY</v>
      </c>
      <c r="H4" s="308" t="s">
        <v>391</v>
      </c>
      <c r="I4" s="305">
        <f>Normalized_FCF!C4</f>
        <v>6129461219</v>
      </c>
      <c r="J4" s="305"/>
    </row>
    <row r="5" spans="2:15">
      <c r="B5" s="187" t="s">
        <v>104</v>
      </c>
      <c r="C5" s="188">
        <f>Equity_Cost</f>
        <v>7.2499999999999995E-2</v>
      </c>
      <c r="E5" s="135" t="s">
        <v>429</v>
      </c>
      <c r="F5" s="275">
        <f>BS!D66</f>
        <v>843588191.76314533</v>
      </c>
      <c r="G5" t="str">
        <f>Reporting_currency</f>
        <v>CNY</v>
      </c>
      <c r="H5" s="308" t="s">
        <v>392</v>
      </c>
      <c r="I5" s="305">
        <f>Normalized_FCF!C7</f>
        <v>-151680194</v>
      </c>
      <c r="J5" s="305"/>
    </row>
    <row r="6" spans="2:15" ht="13.25" customHeight="1">
      <c r="B6" s="136" t="s">
        <v>193</v>
      </c>
      <c r="C6" s="283">
        <f>(C4*(1+Terminal_Growth))/(Equity_Cost-Terminal_Growth)</f>
        <v>11102325614.094553</v>
      </c>
      <c r="D6" t="str">
        <f>Reporting_currency</f>
        <v>CNY</v>
      </c>
      <c r="E6" s="187" t="s">
        <v>430</v>
      </c>
      <c r="F6" s="284">
        <f>BS!H42</f>
        <v>60320206.770000003</v>
      </c>
      <c r="G6" t="str">
        <f>Reporting_currency</f>
        <v>CNY</v>
      </c>
      <c r="H6" s="308" t="s">
        <v>413</v>
      </c>
      <c r="I6" s="305">
        <f>I7+I8</f>
        <v>-6347066.2363988729</v>
      </c>
      <c r="J6" s="305"/>
      <c r="N6" s="135"/>
    </row>
    <row r="7" spans="2:15" ht="12.75" customHeight="1">
      <c r="B7" s="318" t="s">
        <v>427</v>
      </c>
      <c r="C7" s="275">
        <f>F7</f>
        <v>703775065.20314527</v>
      </c>
      <c r="E7" s="140" t="s">
        <v>421</v>
      </c>
      <c r="F7" s="283">
        <f>SUM(F4:F6)</f>
        <v>703775065.20314527</v>
      </c>
      <c r="G7" t="str">
        <f>Reporting_currency</f>
        <v>CNY</v>
      </c>
      <c r="H7" s="312" t="s">
        <v>414</v>
      </c>
      <c r="I7" s="313">
        <f>Normalized_FCF!C9</f>
        <v>0</v>
      </c>
      <c r="J7" s="313"/>
      <c r="N7" s="304"/>
      <c r="O7" s="304"/>
    </row>
    <row r="8" spans="2:15" ht="13.15">
      <c r="B8" s="136" t="s">
        <v>423</v>
      </c>
      <c r="C8" s="283">
        <f>C6+C7</f>
        <v>11806100679.297699</v>
      </c>
      <c r="D8" t="str">
        <f>Reporting_currency</f>
        <v>CNY</v>
      </c>
      <c r="E8" s="140" t="s">
        <v>461</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424</v>
      </c>
      <c r="C10" s="283">
        <f>C8*Exchange_Rate</f>
        <v>11806100679.297699</v>
      </c>
      <c r="D10" t="str">
        <f>Market_currency</f>
        <v>CNY</v>
      </c>
      <c r="H10" s="308" t="s">
        <v>394</v>
      </c>
      <c r="I10" s="306">
        <f>Normalized_FCF!C41</f>
        <v>0.25</v>
      </c>
      <c r="N10" s="304"/>
      <c r="O10" s="304"/>
    </row>
    <row r="11" spans="2:15" ht="13.15">
      <c r="B11" s="136" t="s">
        <v>422</v>
      </c>
      <c r="C11" s="108">
        <f>(C10*scaling_factor)/Common_Shares</f>
        <v>20.480453319671195</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5</v>
      </c>
      <c r="E15" s="308" t="str">
        <f>IF(F14="II","Change year","Terminal Year")</f>
        <v>Terminal Year</v>
      </c>
      <c r="F15" s="310">
        <f>IF(F14="II",_xlfn.CEILING.MATH(C15/2),C15+1)</f>
        <v>6</v>
      </c>
      <c r="H15" s="97" t="s">
        <v>426</v>
      </c>
      <c r="I15" s="126">
        <f>Terminal_Growth</f>
        <v>0</v>
      </c>
      <c r="J15" s="126"/>
    </row>
    <row r="16" spans="2:15" ht="13.25" customHeight="1">
      <c r="B16" s="114" t="s">
        <v>419</v>
      </c>
      <c r="C16" s="147">
        <f>Scenarios!C46</f>
        <v>1.8613012126595999E-2</v>
      </c>
      <c r="E16" s="308" t="s">
        <v>397</v>
      </c>
      <c r="F16" s="311">
        <f>Scenarios!C41</f>
        <v>1.8613012126595999E-2</v>
      </c>
    </row>
    <row r="17" spans="1:21" ht="13.25" customHeight="1">
      <c r="B17" s="308" t="s">
        <v>546</v>
      </c>
      <c r="C17" s="306">
        <f>Normalized_FCF!C77</f>
        <v>0.17509284601323674</v>
      </c>
      <c r="E17" s="308" t="s">
        <v>547</v>
      </c>
      <c r="F17" s="311">
        <f>Scenarios!C40</f>
        <v>0.17509284601323677</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22.101557768235505</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417</v>
      </c>
      <c r="K52" s="468"/>
      <c r="L52" s="317">
        <f>SUM(L21:L51)</f>
        <v>12036822621.200588</v>
      </c>
    </row>
    <row r="53" spans="1:21">
      <c r="C53" s="111"/>
    </row>
    <row r="54" spans="1:21" ht="13.15">
      <c r="B54" s="115" t="s">
        <v>107</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1113675057</v>
      </c>
      <c r="D7" s="469"/>
      <c r="E7" s="469"/>
      <c r="F7" s="469"/>
      <c r="G7" s="469"/>
    </row>
    <row r="8" spans="2:7">
      <c r="B8" s="97" t="s">
        <v>62</v>
      </c>
      <c r="C8" s="447">
        <f>Normalized_FCF!G19</f>
        <v>866291325.69594693</v>
      </c>
      <c r="D8" s="469"/>
      <c r="E8" s="469"/>
      <c r="F8" s="469"/>
      <c r="G8" s="469"/>
    </row>
    <row r="9" spans="2:7">
      <c r="B9" s="97" t="s">
        <v>53</v>
      </c>
      <c r="C9" s="447">
        <f>Normalized_FCF!C19</f>
        <v>804918607.021855</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f ca="1">(Normalized_FCF!G4/OFFSET(Normalized_FCF!G4, 0, $C$4))^(1/$C$4) - 1</f>
        <v>3.8616291470131348E-2</v>
      </c>
      <c r="D12" s="469"/>
      <c r="E12" s="469"/>
      <c r="F12" s="469"/>
      <c r="G12" s="469"/>
    </row>
    <row r="13" spans="2:7">
      <c r="B13" s="135" t="s">
        <v>126</v>
      </c>
      <c r="C13" s="249">
        <f ca="1">(Normalized_FCF!G8/OFFSET(Normalized_FCF!G8, 0, $C$4))^(1/$C$4) - 1</f>
        <v>3.1638982981769814E-2</v>
      </c>
      <c r="D13" s="469"/>
      <c r="E13" s="469"/>
      <c r="F13" s="469"/>
      <c r="G13" s="469"/>
    </row>
    <row r="14" spans="2:7">
      <c r="B14" s="97" t="s">
        <v>62</v>
      </c>
      <c r="C14" s="249">
        <f ca="1">(Normalized_FCF!G19/OFFSET(Normalized_FCF!G19, 0, $C$4))^(1/$C$4) - 1</f>
        <v>1.6751656374703661E-2</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0.03</v>
      </c>
      <c r="D22" s="325">
        <f>C18</f>
        <v>5</v>
      </c>
      <c r="E22" s="326">
        <f>DCF!E91</f>
        <v>23.149326362612335</v>
      </c>
      <c r="F22" s="328">
        <f>1-F23-F24</f>
        <v>0.2</v>
      </c>
      <c r="G22" s="328">
        <f>F22*(1-F$29-F$30)</f>
        <v>0.18</v>
      </c>
    </row>
    <row r="23" spans="2:7">
      <c r="B23" s="302" t="s">
        <v>434</v>
      </c>
      <c r="C23" s="324">
        <v>0.02</v>
      </c>
      <c r="D23" s="325">
        <f>C18</f>
        <v>5</v>
      </c>
      <c r="E23" s="326">
        <f>DCF!E92</f>
        <v>22.226863204214329</v>
      </c>
      <c r="F23" s="327">
        <v>0.6</v>
      </c>
      <c r="G23" s="328">
        <f t="shared" ref="G23:G24" si="0">F23*(1-F$29-F$30)</f>
        <v>0.53999999999999992</v>
      </c>
    </row>
    <row r="24" spans="2:7">
      <c r="B24" s="302" t="s">
        <v>443</v>
      </c>
      <c r="C24" s="324">
        <v>0.01</v>
      </c>
      <c r="D24" s="325">
        <f>C18</f>
        <v>5</v>
      </c>
      <c r="E24" s="326">
        <f>DCF!E93</f>
        <v>21.337549627005146</v>
      </c>
      <c r="F24" s="327">
        <v>0.2</v>
      </c>
      <c r="G24" s="328">
        <f t="shared" si="0"/>
        <v>0.18</v>
      </c>
    </row>
    <row r="25" spans="2:7">
      <c r="B25" s="141" t="s">
        <v>448</v>
      </c>
      <c r="C25" s="441">
        <f>E23*F23+E24*F24+E22*F22</f>
        <v>22.233493120452096</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0.04</v>
      </c>
      <c r="D29" s="325">
        <f>C18</f>
        <v>5</v>
      </c>
      <c r="E29" s="326">
        <f>DCF!E90</f>
        <v>24.105889483988296</v>
      </c>
      <c r="F29" s="327">
        <v>0.05</v>
      </c>
      <c r="G29" s="328">
        <f>F29</f>
        <v>0.05</v>
      </c>
    </row>
    <row r="30" spans="2:7">
      <c r="B30" s="315" t="s">
        <v>444</v>
      </c>
      <c r="C30" s="324">
        <v>-0.02</v>
      </c>
      <c r="D30" s="325">
        <f>C18</f>
        <v>5</v>
      </c>
      <c r="E30" s="326">
        <f>DCF!E94</f>
        <v>18.85927257368202</v>
      </c>
      <c r="F30" s="327">
        <v>0.05</v>
      </c>
      <c r="G30" s="328">
        <f>F30</f>
        <v>0.05</v>
      </c>
    </row>
    <row r="31" spans="2:7">
      <c r="E31" s="329"/>
      <c r="F31" s="329"/>
    </row>
    <row r="32" spans="2:7" ht="13.15">
      <c r="B32" s="145" t="s">
        <v>453</v>
      </c>
    </row>
    <row r="33" spans="2:7">
      <c r="B33" s="97" t="s">
        <v>455</v>
      </c>
      <c r="C33" s="155">
        <f>Normalized_FCF!C88*(1-dividend_tax_rate)</f>
        <v>1.06</v>
      </c>
      <c r="D33" t="str">
        <f>Market_currency</f>
        <v>CNY</v>
      </c>
      <c r="E33" s="97" t="s">
        <v>452</v>
      </c>
      <c r="F33" s="219">
        <f>Holding_Period</f>
        <v>3</v>
      </c>
    </row>
    <row r="34" spans="2:7">
      <c r="B34" s="97" t="s">
        <v>232</v>
      </c>
      <c r="C34" s="146">
        <f>Market_Price</f>
        <v>17.79</v>
      </c>
      <c r="D34" t="str">
        <f>Market_currency</f>
        <v>CNY</v>
      </c>
      <c r="E34" s="97" t="s">
        <v>451</v>
      </c>
      <c r="F34" s="330">
        <f>RATE(Holding_Period,$C$33,-C34,$C$36)</f>
        <v>0.13155250343933422</v>
      </c>
    </row>
    <row r="35" spans="2:7">
      <c r="B35" s="97" t="s">
        <v>431</v>
      </c>
      <c r="C35" s="320">
        <f>DCF!C11</f>
        <v>20.480453319671195</v>
      </c>
      <c r="D35" s="97" t="str">
        <f>Market_currency</f>
        <v>CNY</v>
      </c>
      <c r="E35" s="97" t="s">
        <v>451</v>
      </c>
      <c r="F35" s="330">
        <f>RATE(Holding_Period,$C$33,-C35,$C$36)</f>
        <v>7.7065845382676482E-2</v>
      </c>
    </row>
    <row r="36" spans="2:7">
      <c r="B36" s="97" t="s">
        <v>432</v>
      </c>
      <c r="C36" s="321">
        <f>E22*G22+E23*G23+E24*G24+E30*G30+E29*G29</f>
        <v>22.158401911290397</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0.17509284601323677</v>
      </c>
      <c r="E40" s="97" t="s">
        <v>398</v>
      </c>
    </row>
    <row r="41" spans="2:7">
      <c r="B41" s="97" t="s">
        <v>397</v>
      </c>
      <c r="C41" s="455">
        <f>DCF!C16</f>
        <v>1.8613012126595999E-2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1.8613012126595999E-2</v>
      </c>
      <c r="D46" s="138"/>
      <c r="E46" s="221" t="s">
        <v>251</v>
      </c>
    </row>
    <row r="47" spans="2:7">
      <c r="B47" s="97" t="s">
        <v>95</v>
      </c>
      <c r="C47" s="146">
        <f>DCF!I18</f>
        <v>22.101557768235505</v>
      </c>
      <c r="D47" s="146" t="str">
        <f>Market_currency</f>
        <v>CNY</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5.5097072395173467E-2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1.06</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1.9250796540737376</v>
      </c>
      <c r="D62" s="119">
        <f>C36/(1+F62)^Holding_Period</f>
        <v>10.085754169909146</v>
      </c>
      <c r="E62" s="332">
        <f>C62+D62</f>
        <v>12.010833823982884</v>
      </c>
      <c r="F62" s="301">
        <f>Thesis!E22</f>
        <v>0.3</v>
      </c>
      <c r="G62" s="440">
        <f>(1-E62/C36)</f>
        <v>0.4579557735225035</v>
      </c>
    </row>
    <row r="63" spans="2:7" ht="13.15">
      <c r="B63" s="302" t="s">
        <v>311</v>
      </c>
      <c r="C63" s="119">
        <f>PV(F63, Holding_Period, -C58, 0)</f>
        <v>2.2328703703703705</v>
      </c>
      <c r="D63" s="119">
        <f>C36/(1+F63)^Holding_Period</f>
        <v>12.823149254218981</v>
      </c>
      <c r="E63" s="332">
        <f>C63+D63</f>
        <v>15.056019624589352</v>
      </c>
      <c r="F63" s="301">
        <f>Thesis!E23</f>
        <v>0.2</v>
      </c>
      <c r="G63" s="440">
        <f>(1-E63/C36)</f>
        <v>0.32052773097694198</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312</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45938</v>
      </c>
    </row>
    <row r="4" spans="1:10">
      <c r="B4" s="422" t="s">
        <v>530</v>
      </c>
      <c r="C4" s="423" t="str">
        <f>Thesis!C4</f>
        <v>景津装备</v>
      </c>
      <c r="D4" s="349"/>
      <c r="E4" s="434" t="s">
        <v>536</v>
      </c>
      <c r="F4" s="437" t="str">
        <f>Thesis!F4</f>
        <v>CN</v>
      </c>
    </row>
    <row r="5" spans="1:10">
      <c r="B5" s="343" t="s">
        <v>361</v>
      </c>
      <c r="C5" s="355" t="str">
        <f>Thesis!C5</f>
        <v>603279.SS</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17.79</v>
      </c>
    </row>
    <row r="9" spans="1:10">
      <c r="B9" s="351" t="s">
        <v>358</v>
      </c>
      <c r="C9" s="353">
        <f>Common_Shares</f>
        <v>576457000</v>
      </c>
    </row>
    <row r="10" spans="1:10">
      <c r="B10" s="351" t="s">
        <v>364</v>
      </c>
      <c r="C10" s="357">
        <f>投资主题!C8*Common_Shares/1000000</f>
        <v>10255.170029999999</v>
      </c>
      <c r="D10" s="343" t="s">
        <v>525</v>
      </c>
      <c r="E10" s="360">
        <f>Scenarios!F34</f>
        <v>0.13155250343933422</v>
      </c>
    </row>
    <row r="11" spans="1:10">
      <c r="D11" s="349"/>
      <c r="E11" s="349"/>
    </row>
    <row r="12" spans="1:10" ht="24.5" customHeight="1">
      <c r="B12" s="474" t="s">
        <v>494</v>
      </c>
      <c r="C12" s="474"/>
      <c r="D12" s="474"/>
      <c r="E12" s="474"/>
      <c r="F12" s="474"/>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v>
      </c>
      <c r="D17" s="351" t="s">
        <v>336</v>
      </c>
      <c r="E17" s="344" t="str">
        <f>Reporting_currency</f>
        <v>CNY</v>
      </c>
    </row>
    <row r="18" spans="1:6">
      <c r="B18" s="343" t="str">
        <f>"预期股权价值 ("&amp;C7&amp;") :"</f>
        <v>预期股权价值 (CNY) :</v>
      </c>
      <c r="C18" s="359">
        <f>C125</f>
        <v>22.158401911290397</v>
      </c>
      <c r="D18" s="350" t="s">
        <v>359</v>
      </c>
      <c r="E18" s="426">
        <f>Thesis!E18</f>
        <v>6</v>
      </c>
    </row>
    <row r="19" spans="1:6">
      <c r="B19" s="350" t="s">
        <v>332</v>
      </c>
      <c r="C19" s="352" t="str">
        <f>IF(Scenarios!C50="Y",Scenarios!B50,"")&amp;IF(Scenarios!C51="Y",Scenarios!B51,"")&amp;IF(Scenarios!C52="Y",Scenarios!B52,"")&amp;" "&amp;IF(Scenarios!C53="Y",Scenarios!B53,"")</f>
        <v xml:space="preserve">Low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12.010833823982884</v>
      </c>
      <c r="D22" s="365" t="s">
        <v>437</v>
      </c>
      <c r="E22" s="366">
        <f>Thesis!E22</f>
        <v>0.3</v>
      </c>
    </row>
    <row r="23" spans="1:6">
      <c r="B23" s="343" t="s">
        <v>338</v>
      </c>
      <c r="C23" s="367">
        <f>E141</f>
        <v>15.056019624589352</v>
      </c>
      <c r="D23" s="365" t="s">
        <v>438</v>
      </c>
      <c r="E23" s="368">
        <f>Thesis!E23</f>
        <v>0.2</v>
      </c>
    </row>
    <row r="24" spans="1:6">
      <c r="B24" s="343" t="s">
        <v>340</v>
      </c>
      <c r="C24" s="367">
        <f>E144</f>
        <v>19.949994757287094</v>
      </c>
      <c r="D24" s="365" t="s">
        <v>440</v>
      </c>
      <c r="E24" s="368">
        <f>Thesis!E24</f>
        <v>8.6999999999999994E-2</v>
      </c>
    </row>
    <row r="25" spans="1:6">
      <c r="B25" s="343" t="s">
        <v>339</v>
      </c>
      <c r="C25" s="367">
        <f>E145</f>
        <v>20.730780285650923</v>
      </c>
      <c r="D25" s="365" t="s">
        <v>439</v>
      </c>
      <c r="E25" s="368">
        <f>Thesis!E25</f>
        <v>7.2499999999999995E-2</v>
      </c>
    </row>
    <row r="27" spans="1:6" ht="13.9">
      <c r="A27" s="345" t="s">
        <v>342</v>
      </c>
      <c r="B27" s="345"/>
      <c r="C27" s="345"/>
      <c r="D27" s="345"/>
      <c r="E27" s="345"/>
      <c r="F27" s="345"/>
    </row>
    <row r="29" spans="1:6">
      <c r="B29" s="474" t="s">
        <v>495</v>
      </c>
      <c r="C29" s="474"/>
      <c r="D29" s="474"/>
      <c r="E29" s="474"/>
      <c r="F29" s="474"/>
    </row>
    <row r="30" spans="1:6" ht="24.5" customHeight="1">
      <c r="B30" s="477" t="s">
        <v>496</v>
      </c>
      <c r="C30" s="477"/>
      <c r="D30" s="477"/>
      <c r="E30" s="477"/>
      <c r="F30" s="477"/>
    </row>
    <row r="32" spans="1:6">
      <c r="B32" s="369" t="s">
        <v>368</v>
      </c>
      <c r="C32" s="370">
        <f>scaling_factor</f>
        <v>1</v>
      </c>
    </row>
    <row r="33" spans="2:6">
      <c r="B33" s="470" t="s">
        <v>497</v>
      </c>
      <c r="C33" s="470"/>
      <c r="D33" s="470"/>
      <c r="E33" s="470"/>
      <c r="F33" s="470"/>
    </row>
    <row r="34" spans="2:6">
      <c r="B34" s="372" t="s">
        <v>196</v>
      </c>
      <c r="C34" s="373">
        <f>Normalized_FCF!C8</f>
        <v>1079571875.5988722</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213321214.99999997</v>
      </c>
      <c r="D37" s="343" t="str">
        <f>Reporting_currency</f>
        <v>CNY</v>
      </c>
    </row>
    <row r="38" spans="2:6">
      <c r="B38" s="375" t="s">
        <v>199</v>
      </c>
      <c r="C38" s="373">
        <f>Normalized_FCF!C16</f>
        <v>-213321214.99999994</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5660933.7634011274</v>
      </c>
      <c r="D44" s="343" t="str">
        <f>Reporting_currency</f>
        <v>CNY</v>
      </c>
      <c r="E44" s="371"/>
      <c r="F44" s="371"/>
    </row>
    <row r="45" spans="2:6">
      <c r="B45" s="372" t="s">
        <v>267</v>
      </c>
      <c r="C45" s="376">
        <f>Normalized_FCF!C45</f>
        <v>-12007999.9998</v>
      </c>
      <c r="D45" s="343" t="str">
        <f>Reporting_currency</f>
        <v>CNY</v>
      </c>
      <c r="E45" s="371"/>
      <c r="F45" s="371"/>
    </row>
    <row r="46" spans="2:6">
      <c r="B46" s="372" t="s">
        <v>202</v>
      </c>
      <c r="C46" s="373">
        <f>Normalized_FCF!C10</f>
        <v>-6347066.2363988729</v>
      </c>
      <c r="D46" s="343" t="str">
        <f>Reporting_currency</f>
        <v>CNY</v>
      </c>
    </row>
    <row r="48" spans="2:6">
      <c r="B48" s="343" t="s">
        <v>501</v>
      </c>
    </row>
    <row r="49" spans="2:6">
      <c r="B49" s="372" t="s">
        <v>222</v>
      </c>
      <c r="C49" s="373">
        <f>Normalized_FCF!C13</f>
        <v>0</v>
      </c>
      <c r="D49" s="343" t="str">
        <f>Reporting_currency</f>
        <v>CNY</v>
      </c>
    </row>
    <row r="51" spans="2:6">
      <c r="B51" s="470" t="s">
        <v>502</v>
      </c>
      <c r="C51" s="470"/>
      <c r="D51" s="470"/>
      <c r="E51" s="470"/>
      <c r="F51" s="470"/>
    </row>
    <row r="52" spans="2:6">
      <c r="B52" s="372" t="s">
        <v>493</v>
      </c>
      <c r="C52" s="373">
        <f>Normalized_FCF!C12</f>
        <v>-268306202.34061834</v>
      </c>
      <c r="D52" s="343" t="str">
        <f>Reporting_currency</f>
        <v>CNY</v>
      </c>
    </row>
    <row r="54" spans="2:6">
      <c r="B54" s="470" t="s">
        <v>503</v>
      </c>
      <c r="C54" s="476"/>
      <c r="D54" s="476"/>
      <c r="E54" s="476"/>
      <c r="F54" s="476"/>
    </row>
    <row r="55" spans="2:6">
      <c r="B55" s="372" t="s">
        <v>206</v>
      </c>
      <c r="C55" s="373">
        <f>Normalized_FCF!C17</f>
        <v>0</v>
      </c>
      <c r="D55" s="343" t="str">
        <f>Reporting_currency</f>
        <v>CNY</v>
      </c>
    </row>
    <row r="57" spans="2:6">
      <c r="B57" s="474" t="s">
        <v>504</v>
      </c>
      <c r="C57" s="474"/>
      <c r="D57" s="474"/>
      <c r="E57" s="474"/>
      <c r="F57" s="474"/>
    </row>
    <row r="58" spans="2:6">
      <c r="B58" s="474" t="s">
        <v>505</v>
      </c>
      <c r="C58" s="474"/>
      <c r="D58" s="474"/>
      <c r="E58" s="474"/>
      <c r="F58" s="474"/>
    </row>
    <row r="60" spans="2:6">
      <c r="B60" s="372" t="s">
        <v>369</v>
      </c>
      <c r="C60" s="373">
        <f>Normalized_FCF!G19</f>
        <v>866291325.69594693</v>
      </c>
      <c r="D60" s="343" t="str">
        <f>Reporting_currency</f>
        <v>CNY</v>
      </c>
    </row>
    <row r="61" spans="2:6">
      <c r="B61" s="372" t="s">
        <v>212</v>
      </c>
      <c r="C61" s="373">
        <f>Normalized_FCF!C19</f>
        <v>804918607.021855</v>
      </c>
      <c r="D61" s="343" t="str">
        <f>Reporting_currency</f>
        <v>CNY</v>
      </c>
    </row>
    <row r="62" spans="2:6">
      <c r="B62" s="377" t="s">
        <v>301</v>
      </c>
      <c r="C62" s="378">
        <f>Normalized_FCF!C124</f>
        <v>7.8489055244055764E-2</v>
      </c>
      <c r="F62" s="379"/>
    </row>
    <row r="63" spans="2:6">
      <c r="B63" s="377" t="s">
        <v>329</v>
      </c>
      <c r="C63" s="378">
        <f>Normalized_FCF!C92</f>
        <v>5.9584035975267007E-2</v>
      </c>
      <c r="E63" s="372" t="s">
        <v>370</v>
      </c>
      <c r="F63" s="380">
        <f>Normalized_FCF!C90</f>
        <v>0.75913814722313788</v>
      </c>
    </row>
    <row r="65" spans="1:6">
      <c r="B65" s="369" t="s">
        <v>373</v>
      </c>
      <c r="C65" s="381" t="s">
        <v>324</v>
      </c>
      <c r="D65" s="381" t="s">
        <v>371</v>
      </c>
    </row>
    <row r="66" spans="1:6">
      <c r="B66" s="372" t="s">
        <v>323</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473</v>
      </c>
      <c r="B71" s="345"/>
      <c r="C71" s="345"/>
      <c r="D71" s="345"/>
      <c r="E71" s="345"/>
      <c r="F71" s="345"/>
    </row>
    <row r="72" spans="1:6">
      <c r="A72" s="385"/>
    </row>
    <row r="73" spans="1:6">
      <c r="A73" s="386"/>
      <c r="B73" s="474" t="s">
        <v>506</v>
      </c>
      <c r="C73" s="474"/>
      <c r="D73" s="474"/>
      <c r="E73" s="474"/>
      <c r="F73" s="474"/>
    </row>
    <row r="74" spans="1:6">
      <c r="B74" s="477" t="s">
        <v>476</v>
      </c>
      <c r="C74" s="477"/>
      <c r="D74" s="477"/>
      <c r="E74" s="477"/>
      <c r="F74" s="477"/>
    </row>
    <row r="76" spans="1:6">
      <c r="B76" s="369" t="s">
        <v>368</v>
      </c>
    </row>
    <row r="77" spans="1:6">
      <c r="B77" s="474" t="s">
        <v>507</v>
      </c>
      <c r="C77" s="474"/>
      <c r="D77" s="474"/>
      <c r="E77" s="474"/>
      <c r="F77" s="474"/>
    </row>
    <row r="78" spans="1:6">
      <c r="B78" s="343" t="s">
        <v>214</v>
      </c>
      <c r="C78" s="373">
        <f>DCF!F4</f>
        <v>-200133333.33000001</v>
      </c>
      <c r="D78" s="343" t="str">
        <f>Reporting_currency</f>
        <v>CNY</v>
      </c>
    </row>
    <row r="79" spans="1:6">
      <c r="B79" s="372" t="s">
        <v>233</v>
      </c>
      <c r="C79" s="387">
        <f>C78*scaling_factor*Exchange_Rate/Common_Shares</f>
        <v>-0.34717825150878556</v>
      </c>
      <c r="D79" s="343" t="str">
        <f>Market_currency</f>
        <v>CNY</v>
      </c>
    </row>
    <row r="80" spans="1:6">
      <c r="B80" s="382" t="s">
        <v>307</v>
      </c>
      <c r="C80" s="388">
        <f>IF(BS!G31/BS!G27&gt;300%,"nm",BS!G31/BS!G27)</f>
        <v>4.3380350010353987E-2</v>
      </c>
    </row>
    <row r="81" spans="1:6">
      <c r="B81" s="382" t="s">
        <v>309</v>
      </c>
      <c r="C81" s="389">
        <f>IF(BS!C50&gt;30,"nm",BS!C50)</f>
        <v>0.18538212957704164</v>
      </c>
    </row>
    <row r="83" spans="1:6">
      <c r="B83" s="343" t="s">
        <v>508</v>
      </c>
    </row>
    <row r="84" spans="1:6">
      <c r="B84" s="343" t="s">
        <v>223</v>
      </c>
      <c r="C84" s="373">
        <f>DCF!F5</f>
        <v>843588191.76314533</v>
      </c>
      <c r="D84" s="343" t="str">
        <f>Reporting_currency</f>
        <v>CNY</v>
      </c>
    </row>
    <row r="85" spans="1:6">
      <c r="B85" s="382" t="s">
        <v>478</v>
      </c>
      <c r="C85" s="390">
        <f>BS!C66</f>
        <v>1787077152.3299999</v>
      </c>
      <c r="D85" s="391" t="str">
        <f>Reporting_currency</f>
        <v>CNY</v>
      </c>
    </row>
    <row r="86" spans="1:6">
      <c r="B86" s="372" t="s">
        <v>234</v>
      </c>
      <c r="C86" s="387">
        <f>C84*scaling_factor*Exchange_Rate/Common_Shares</f>
        <v>1.4634017658960605</v>
      </c>
      <c r="D86" s="343" t="str">
        <f>Market_currency</f>
        <v>CNY</v>
      </c>
    </row>
    <row r="88" spans="1:6">
      <c r="B88" s="343" t="s">
        <v>509</v>
      </c>
    </row>
    <row r="89" spans="1:6">
      <c r="B89" s="343" t="s">
        <v>216</v>
      </c>
      <c r="C89" s="373">
        <f>DCF!F6</f>
        <v>60320206.770000003</v>
      </c>
      <c r="D89" s="343" t="str">
        <f>Reporting_currency</f>
        <v>CNY</v>
      </c>
    </row>
    <row r="90" spans="1:6">
      <c r="B90" s="372" t="s">
        <v>235</v>
      </c>
      <c r="C90" s="387">
        <f>C89*scaling_factor*Exchange_Rate/Common_Shares</f>
        <v>0.10463955988044209</v>
      </c>
      <c r="D90" s="343" t="str">
        <f>Market_currency</f>
        <v>CNY</v>
      </c>
    </row>
    <row r="92" spans="1:6">
      <c r="B92" s="372" t="s">
        <v>477</v>
      </c>
      <c r="C92" s="387">
        <f>DCF!F8</f>
        <v>1.2208630742677169</v>
      </c>
      <c r="D92" s="343" t="str">
        <f>Market_currency</f>
        <v>CNY</v>
      </c>
    </row>
    <row r="94" spans="1:6" ht="13.9">
      <c r="A94" s="345" t="s">
        <v>479</v>
      </c>
      <c r="B94" s="345"/>
      <c r="C94" s="345"/>
      <c r="D94" s="345"/>
      <c r="E94" s="345"/>
      <c r="F94" s="345"/>
    </row>
    <row r="95" spans="1:6">
      <c r="A95" s="385"/>
    </row>
    <row r="96" spans="1:6">
      <c r="A96" s="385"/>
      <c r="B96" s="474" t="s">
        <v>510</v>
      </c>
      <c r="C96" s="474"/>
      <c r="D96" s="474"/>
      <c r="E96" s="474"/>
      <c r="F96" s="474"/>
    </row>
    <row r="97" spans="1:6">
      <c r="A97" s="385"/>
      <c r="B97" s="477" t="s">
        <v>511</v>
      </c>
      <c r="C97" s="477"/>
      <c r="D97" s="477"/>
      <c r="E97" s="477"/>
      <c r="F97" s="477"/>
    </row>
    <row r="98" spans="1:6">
      <c r="A98" s="385"/>
      <c r="B98" s="477" t="s">
        <v>512</v>
      </c>
      <c r="C98" s="477"/>
      <c r="D98" s="477"/>
      <c r="E98" s="477"/>
      <c r="F98" s="477"/>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4" t="s">
        <v>513</v>
      </c>
      <c r="C107" s="474"/>
      <c r="D107" s="474"/>
      <c r="E107" s="474"/>
      <c r="F107" s="474"/>
    </row>
    <row r="108" spans="1:6">
      <c r="A108" s="385"/>
      <c r="B108" s="474" t="s">
        <v>532</v>
      </c>
      <c r="C108" s="474"/>
      <c r="D108" s="474"/>
      <c r="E108" s="474"/>
      <c r="F108" s="474"/>
    </row>
    <row r="109" spans="1:6">
      <c r="A109" s="385"/>
    </row>
    <row r="110" spans="1:6">
      <c r="A110" s="385"/>
      <c r="B110" s="369" t="s">
        <v>486</v>
      </c>
    </row>
    <row r="111" spans="1:6">
      <c r="A111" s="385"/>
      <c r="B111" s="375" t="s">
        <v>483</v>
      </c>
      <c r="C111" s="394">
        <f>BS!D47</f>
        <v>-0.45026820353990077</v>
      </c>
      <c r="D111" s="343" t="str">
        <f>Market_currency</f>
        <v>CNY</v>
      </c>
    </row>
    <row r="112" spans="1:6">
      <c r="A112" s="385"/>
      <c r="B112" s="372" t="s">
        <v>374</v>
      </c>
      <c r="C112" s="394">
        <f>DCF!C11</f>
        <v>20.480453319671195</v>
      </c>
      <c r="D112" s="343" t="str">
        <f>Market_currency</f>
        <v>CNY</v>
      </c>
    </row>
    <row r="113" spans="1:6">
      <c r="A113" s="385"/>
    </row>
    <row r="114" spans="1:6">
      <c r="A114" s="385"/>
      <c r="B114" s="474" t="s">
        <v>514</v>
      </c>
      <c r="C114" s="474"/>
      <c r="D114" s="474"/>
      <c r="E114" s="474"/>
      <c r="F114" s="474"/>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515</v>
      </c>
      <c r="C124" s="470"/>
      <c r="D124" s="470"/>
      <c r="E124" s="470"/>
      <c r="F124" s="470"/>
    </row>
    <row r="125" spans="1:6">
      <c r="B125" s="372" t="s">
        <v>217</v>
      </c>
      <c r="C125" s="404">
        <f>Scenarios!C36</f>
        <v>22.158401911290397</v>
      </c>
      <c r="D125" s="343" t="str">
        <f>Market_currency</f>
        <v>CNY</v>
      </c>
    </row>
    <row r="127" spans="1:6">
      <c r="B127" s="472" t="s">
        <v>516</v>
      </c>
      <c r="C127" s="472"/>
      <c r="D127" s="472"/>
      <c r="E127" s="472"/>
      <c r="F127" s="472"/>
    </row>
    <row r="129" spans="1:6" ht="13.9">
      <c r="A129" s="345" t="s">
        <v>489</v>
      </c>
      <c r="B129" s="345"/>
      <c r="C129" s="345"/>
      <c r="D129" s="345"/>
      <c r="E129" s="345"/>
      <c r="F129" s="345"/>
    </row>
    <row r="131" spans="1:6">
      <c r="B131" s="473" t="s">
        <v>517</v>
      </c>
      <c r="C131" s="473"/>
      <c r="D131" s="473"/>
      <c r="E131" s="473"/>
      <c r="F131" s="473"/>
    </row>
    <row r="132" spans="1:6" ht="24.5" customHeight="1">
      <c r="B132" s="474" t="s">
        <v>518</v>
      </c>
      <c r="C132" s="474"/>
      <c r="D132" s="474"/>
      <c r="E132" s="474"/>
      <c r="F132" s="474"/>
    </row>
    <row r="134" spans="1:6">
      <c r="B134" s="369" t="s">
        <v>368</v>
      </c>
    </row>
    <row r="135" spans="1:6">
      <c r="B135" s="343" t="s">
        <v>379</v>
      </c>
      <c r="C135" s="405">
        <f>E21</f>
        <v>3</v>
      </c>
    </row>
    <row r="136" spans="1:6">
      <c r="B136" s="343" t="s">
        <v>380</v>
      </c>
      <c r="C136" s="406">
        <f>Scenarios!C58</f>
        <v>1.06</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1.9250796540737376</v>
      </c>
      <c r="D140" s="409">
        <f>Scenarios!D62</f>
        <v>10.085754169909146</v>
      </c>
      <c r="E140" s="410">
        <f>Scenarios!E62</f>
        <v>12.010833823982884</v>
      </c>
      <c r="F140" s="411">
        <f>E22</f>
        <v>0.3</v>
      </c>
    </row>
    <row r="141" spans="1:6">
      <c r="B141" s="408" t="s">
        <v>311</v>
      </c>
      <c r="C141" s="409">
        <f>Scenarios!C63</f>
        <v>2.2328703703703705</v>
      </c>
      <c r="D141" s="409">
        <f>Scenarios!D63</f>
        <v>12.823149254218981</v>
      </c>
      <c r="E141" s="410">
        <f>Scenarios!E63</f>
        <v>15.056019624589352</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2.6975834619563113</v>
      </c>
      <c r="D144" s="409">
        <f>Scenarios!D66</f>
        <v>17.252411295330781</v>
      </c>
      <c r="E144" s="410">
        <f>Scenarios!E66</f>
        <v>19.949994757287094</v>
      </c>
      <c r="F144" s="411">
        <f>E24</f>
        <v>8.6999999999999994E-2</v>
      </c>
    </row>
    <row r="145" spans="1:6">
      <c r="B145" s="408" t="s">
        <v>312</v>
      </c>
      <c r="C145" s="409">
        <f>Scenarios!C67</f>
        <v>2.7691177408033969</v>
      </c>
      <c r="D145" s="409">
        <f>Scenarios!D67</f>
        <v>17.961662544847524</v>
      </c>
      <c r="E145" s="410">
        <f>Scenarios!E67</f>
        <v>20.730780285650923</v>
      </c>
      <c r="F145" s="411">
        <f>Scenarios!F67</f>
        <v>7.2499999999999995E-2</v>
      </c>
    </row>
    <row r="147" spans="1:6" ht="13.9">
      <c r="A147" s="345" t="s">
        <v>472</v>
      </c>
      <c r="B147" s="345"/>
      <c r="C147" s="345"/>
      <c r="D147" s="345"/>
      <c r="E147" s="345"/>
      <c r="F147" s="345"/>
    </row>
    <row r="149" spans="1:6">
      <c r="B149" s="475" t="s">
        <v>519</v>
      </c>
      <c r="C149" s="474"/>
      <c r="D149" s="474"/>
      <c r="E149" s="474"/>
      <c r="F149" s="474"/>
    </row>
    <row r="151" spans="1:6">
      <c r="B151" s="369" t="s">
        <v>381</v>
      </c>
    </row>
    <row r="152" spans="1:6">
      <c r="B152" s="476" t="s">
        <v>520</v>
      </c>
      <c r="C152" s="476"/>
      <c r="D152" s="476"/>
      <c r="E152" s="476"/>
      <c r="F152" s="476"/>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1" t="s">
        <v>385</v>
      </c>
      <c r="C161" s="471"/>
      <c r="D161" s="471"/>
      <c r="E161" s="471"/>
      <c r="F161" s="471"/>
    </row>
    <row r="162" spans="2:6">
      <c r="B162" s="471" t="s">
        <v>386</v>
      </c>
      <c r="C162" s="471"/>
      <c r="D162" s="471"/>
      <c r="E162" s="471"/>
      <c r="F162" s="471"/>
    </row>
    <row r="164" spans="2:6">
      <c r="B164" s="343" t="s">
        <v>523</v>
      </c>
    </row>
    <row r="165" spans="2:6">
      <c r="B165" s="412" t="s">
        <v>387</v>
      </c>
    </row>
    <row r="166" spans="2:6">
      <c r="B166" s="412" t="s">
        <v>388</v>
      </c>
    </row>
    <row r="167" spans="2:6">
      <c r="B167" s="412" t="s">
        <v>389</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2026-04-24T09:22:40Z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