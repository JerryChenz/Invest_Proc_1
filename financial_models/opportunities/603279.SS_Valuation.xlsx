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714926C-7E7D-4BF3-9783-81D4BD39A4A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<sst xmlns="http://schemas.openxmlformats.org/spreadsheetml/2006/main" count="766" uniqueCount="555">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</sst>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6" sqref="C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16.61</v>
      </c>
      <c r="E8" s="32"/>
    </row>
    <row r="9" spans="1:9">
      <c r="B9" s="4" t="s">
        <v>344</v>
      </c>
      <c r="C9" s="48">
        <v>576457000</v>
      </c>
    </row>
    <row r="10" spans="1:9">
      <c r="B10" s="4" t="s">
        <v>350</v>
      </c>
      <c r="C10" s="33">
        <f>Thesis!C8*Common_Shares/1000000</f>
        <v>9574.9507699999995</v>
      </c>
      <c r="D10" s="1" t="s">
        <v>528</v>
      </c>
      <c r="E10" s="307">
        <f>Scenarios!F34</f>
        <v>0.11620179142650214</v>
      </c>
    </row>
    <row r="11" spans="1:9">
      <c r="D11" s="5"/>
      <c r="E11" s="5"/>
    </row>
    <row r="12" spans="1:9" ht="24.5" customHeight="1">
      <c r="B12" s="458" t="s">
        <v>353</v>
      </c>
      <c r="C12" s="458"/>
      <c r="D12" s="458"/>
      <c r="E12" s="458"/>
      <c r="F12" s="458"/>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8" t="s">
        <v>354</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936713050.44528866</v>
      </c>
      <c r="D34" s="1" t="str">
        <f>Reporting_currency</f>
        <v>CNY</v>
      </c>
    </row>
    <row r="35" spans="2:6">
      <c r="B35" s="44"/>
      <c r="C35" s="73"/>
    </row>
    <row r="36" spans="2:6" ht="24.5" customHeight="1">
      <c r="B36" s="459" t="s">
        <v>198</v>
      </c>
      <c r="C36" s="459"/>
      <c r="D36" s="459"/>
      <c r="E36" s="459"/>
      <c r="F36" s="459"/>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-232449414.58456084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7.2830478245235142E-2</v>
      </c>
      <c r="F62" s="260"/>
    </row>
    <row r="63" spans="2:6">
      <c r="B63" s="204" t="s">
        <v>330</v>
      </c>
      <c r="C63" s="89">
        <f>Normalized_FCF!C92</f>
        <v>6.3816977724262494E-2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8" t="s">
        <v>479</v>
      </c>
      <c r="C73" s="458"/>
      <c r="D73" s="458"/>
      <c r="E73" s="458"/>
      <c r="F73" s="458"/>
    </row>
    <row r="74" spans="1:6">
      <c r="A74" s="191"/>
      <c r="B74" s="1" t="s">
        <v>466</v>
      </c>
    </row>
    <row r="75" spans="1:6">
      <c r="A75" s="191"/>
    </row>
    <row r="76" spans="1:6">
      <c r="A76" s="191"/>
      <c r="B76" s="192" t="s">
        <v>195</v>
      </c>
    </row>
    <row r="77" spans="1:6">
      <c r="A77" s="191"/>
      <c r="B77" s="458" t="s">
        <v>271</v>
      </c>
      <c r="C77" s="458"/>
      <c r="D77" s="458"/>
      <c r="E77" s="458"/>
      <c r="F77" s="458"/>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8" t="s">
        <v>486</v>
      </c>
      <c r="C96" s="458"/>
      <c r="D96" s="458"/>
      <c r="E96" s="458"/>
      <c r="F96" s="458"/>
    </row>
    <row r="97" spans="2:6">
      <c r="B97" s="462" t="s">
        <v>485</v>
      </c>
      <c r="C97" s="462"/>
      <c r="D97" s="462"/>
      <c r="E97" s="462"/>
      <c r="F97" s="462"/>
    </row>
    <row r="98" spans="2:6">
      <c r="B98" s="462" t="s">
        <v>484</v>
      </c>
      <c r="C98" s="462"/>
      <c r="D98" s="462"/>
      <c r="E98" s="462"/>
      <c r="F98" s="462"/>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8" t="s">
        <v>492</v>
      </c>
      <c r="C114" s="458"/>
      <c r="D114" s="458"/>
      <c r="E114" s="458"/>
      <c r="F114" s="458"/>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9" t="s">
        <v>355</v>
      </c>
      <c r="C124" s="459"/>
      <c r="D124" s="459"/>
      <c r="E124" s="459"/>
      <c r="F124" s="459"/>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63" t="s">
        <v>285</v>
      </c>
      <c r="C131" s="463"/>
      <c r="D131" s="463"/>
      <c r="E131" s="463"/>
      <c r="F131" s="463"/>
    </row>
    <row r="132" spans="1:6">
      <c r="B132" s="458" t="s">
        <v>357</v>
      </c>
      <c r="C132" s="458"/>
      <c r="D132" s="458"/>
      <c r="E132" s="458"/>
      <c r="F132" s="458"/>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57" t="s">
        <v>358</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439</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6.3816977724262494E-2</v>
      </c>
      <c r="E92" s="238"/>
      <c r="G92" s="22">
        <f t="shared" ref="G92:Q92" si="38">IF(G$4="","",(G88*(1-dividend_tax_rate))/Market_Price)</f>
        <v>6.3816977724262494E-2</v>
      </c>
      <c r="H92" s="22">
        <f t="shared" si="38"/>
        <v>6.3816977724262494E-2</v>
      </c>
      <c r="I92" s="22">
        <f t="shared" si="38"/>
        <v>6.0204695966285374E-2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7.2830478245235142E-2</v>
      </c>
      <c r="D124" s="26"/>
      <c r="E124" s="235"/>
      <c r="F124" s="26"/>
      <c r="G124" s="74">
        <f t="shared" ref="G124" si="49">IF(G$4="","",G123/Market_Price)</f>
        <v>9.0269456632127723E-2</v>
      </c>
      <c r="H124" s="74">
        <f t="shared" ref="H124" si="50">IF(H$4="","",H123/Market_Price)</f>
        <v>0.10301753606837934</v>
      </c>
      <c r="I124" s="74">
        <f t="shared" ref="I124" si="51">IF(I$4="","",I123/Market_Price)</f>
        <v>8.734095681976492E-2</v>
      </c>
      <c r="J124" s="74">
        <f t="shared" ref="J124" si="52">IF(J$4="","",J123/Market_Price)</f>
        <v>6.6863983055500051E-2</v>
      </c>
      <c r="K124" s="74">
        <f t="shared" ref="K124" si="53">IF(K$4="","",K123/Market_Price)</f>
        <v>5.4553592412523361E-2</v>
      </c>
      <c r="L124" s="74">
        <f t="shared" ref="L124" si="54">IF(L$4="","",L123/Market_Price)</f>
        <v>4.3148001853704238E-2</v>
      </c>
      <c r="M124" s="74">
        <f t="shared" ref="M124" si="55">IF(M$4="","",M123/Market_Price)</f>
        <v>2.5759481372247307E-2</v>
      </c>
      <c r="N124" s="74">
        <f t="shared" ref="N124" si="56">IF(N$4="","",N123/Market_Price)</f>
        <v>2.0148056907450817E-2</v>
      </c>
      <c r="O124" s="74">
        <f t="shared" ref="O124" si="57">IF(O$4="","",O123/Market_Price)</f>
        <v>2.0047569602282145E-2</v>
      </c>
      <c r="P124" s="74">
        <f t="shared" ref="P124" si="58">IF(P$4="","",P123/Market_Price)</f>
        <v>2.0642343626378772E-2</v>
      </c>
      <c r="Q124" s="74" t="str">
        <f t="shared" ref="Q124" si="59">IF(Q$4="","",Q123/Market_Price)</f>
        <v/>
      </c>
    </row>
    <row r="125" spans="1:17" ht="15.75" customHeight="1">
      <c r="B125" s="2" t="s">
        <v>306</v>
      </c>
      <c r="C125" s="151"/>
      <c r="G125" s="22">
        <f>IF(G$4="","",(Data!C47*$C$3)/(Market_Price*Common_Shares))</f>
        <v>8.8588569421960583E-2</v>
      </c>
      <c r="H125" s="22">
        <f>IF(H$4="","",(Data!D47*$C$3)/(Market_Price*Common_Shares))</f>
        <v>0.10528403573191426</v>
      </c>
      <c r="I125" s="22">
        <f>IF(I$4="","",(Data!E47*$C$3)/(Market_Price*Common_Shares))</f>
        <v>8.7093781475390292E-2</v>
      </c>
      <c r="J125" s="22">
        <f>IF(J$4="","",(Data!F47*$C$3)/(Market_Price*Common_Shares))</f>
        <v>6.7572784606599073E-2</v>
      </c>
      <c r="K125" s="22">
        <f>IF(K$4="","",(Data!G47*$C$3)/(Market_Price*Common_Shares))</f>
        <v>5.3753024883698694E-2</v>
      </c>
      <c r="L125" s="22">
        <f>IF(L$4="","",(Data!H47*$C$3)/(Market_Price*Common_Shares))</f>
        <v>4.3141417634672601E-2</v>
      </c>
      <c r="M125" s="22">
        <f>IF(M$4="","",(Data!I47*$C$3)/(Market_Price*Common_Shares))</f>
        <v>2.5532845220049106E-2</v>
      </c>
      <c r="N125" s="22">
        <f>IF(N$4="","",(Data!J47*$C$3)/(Market_Price*Common_Shares))</f>
        <v>2.1509949027132179E-2</v>
      </c>
      <c r="O125" s="22">
        <f>IF(O$4="","",(Data!K47*$C$3)/(Market_Price*Common_Shares))</f>
        <v>1.6683632515428589E-2</v>
      </c>
      <c r="P125" s="22">
        <f>IF(P$4="","",(Data!L47*$C$3)/(Market_Price*Common_Shares))</f>
        <v>1.4894246709531645E-2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29" sqref="D2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16.61</v>
      </c>
      <c r="D34" t="str">
        <f>Market_currency</f>
        <v>CNY</v>
      </c>
      <c r="E34" s="97" t="s">
        <v>455</v>
      </c>
      <c r="F34" s="334">
        <f>RATE(Holding_Period,$C$33,-C34,$C$36)</f>
        <v>0.11620179142650214</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0.10644953768535223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16.61</v>
      </c>
    </row>
    <row r="9" spans="1:10">
      <c r="B9" s="355" t="s">
        <v>359</v>
      </c>
      <c r="C9" s="357">
        <f>Common_Shares</f>
        <v>576457000</v>
      </c>
    </row>
    <row r="10" spans="1:10">
      <c r="B10" s="355" t="s">
        <v>365</v>
      </c>
      <c r="C10" s="361">
        <f>投资主题!C8*Common_Shares/1000000</f>
        <v>9574.9507699999995</v>
      </c>
      <c r="D10" s="347" t="s">
        <v>529</v>
      </c>
      <c r="E10" s="364">
        <f>Scenarios!F34</f>
        <v>0.11620179142650214</v>
      </c>
    </row>
    <row r="11" spans="1:10">
      <c r="D11" s="353"/>
      <c r="E11" s="353"/>
    </row>
    <row r="12" spans="1:10" ht="24.5" customHeight="1">
      <c r="B12" s="470" t="s">
        <v>498</v>
      </c>
      <c r="C12" s="470"/>
      <c r="D12" s="470"/>
      <c r="E12" s="470"/>
      <c r="F12" s="470"/>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70" t="s">
        <v>499</v>
      </c>
      <c r="C29" s="470"/>
      <c r="D29" s="470"/>
      <c r="E29" s="470"/>
      <c r="F29" s="470"/>
    </row>
    <row r="30" spans="1:6" ht="24.5" customHeight="1">
      <c r="B30" s="473" t="s">
        <v>500</v>
      </c>
      <c r="C30" s="473"/>
      <c r="D30" s="473"/>
      <c r="E30" s="473"/>
      <c r="F30" s="473"/>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72"/>
      <c r="D54" s="472"/>
      <c r="E54" s="472"/>
      <c r="F54" s="472"/>
    </row>
    <row r="55" spans="2:6">
      <c r="B55" s="376" t="s">
        <v>207</v>
      </c>
      <c r="C55" s="377">
        <f>Normalized_FCF!C17</f>
        <v>0</v>
      </c>
      <c r="D55" s="347" t="str">
        <f>Reporting_currency</f>
        <v>CNY</v>
      </c>
    </row>
    <row r="57" spans="2:6">
      <c r="B57" s="470" t="s">
        <v>508</v>
      </c>
      <c r="C57" s="470"/>
      <c r="D57" s="470"/>
      <c r="E57" s="470"/>
      <c r="F57" s="470"/>
    </row>
    <row r="58" spans="2:6">
      <c r="B58" s="470" t="s">
        <v>509</v>
      </c>
      <c r="C58" s="470"/>
      <c r="D58" s="470"/>
      <c r="E58" s="470"/>
      <c r="F58" s="470"/>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7.2830478245235142E-2</v>
      </c>
      <c r="F62" s="383"/>
    </row>
    <row r="63" spans="2:6">
      <c r="B63" s="381" t="s">
        <v>330</v>
      </c>
      <c r="C63" s="382">
        <f>Normalized_FCF!C92</f>
        <v>6.3816977724262494E-2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70" t="s">
        <v>510</v>
      </c>
      <c r="C73" s="470"/>
      <c r="D73" s="470"/>
      <c r="E73" s="470"/>
      <c r="F73" s="470"/>
    </row>
    <row r="74" spans="1:6">
      <c r="B74" s="473" t="s">
        <v>480</v>
      </c>
      <c r="C74" s="473"/>
      <c r="D74" s="473"/>
      <c r="E74" s="473"/>
      <c r="F74" s="473"/>
    </row>
    <row r="76" spans="1:6">
      <c r="B76" s="373" t="s">
        <v>369</v>
      </c>
    </row>
    <row r="77" spans="1:6">
      <c r="B77" s="470" t="s">
        <v>511</v>
      </c>
      <c r="C77" s="470"/>
      <c r="D77" s="470"/>
      <c r="E77" s="470"/>
      <c r="F77" s="470"/>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70" t="s">
        <v>514</v>
      </c>
      <c r="C96" s="470"/>
      <c r="D96" s="470"/>
      <c r="E96" s="470"/>
      <c r="F96" s="470"/>
    </row>
    <row r="97" spans="1:6">
      <c r="A97" s="389"/>
      <c r="B97" s="473" t="s">
        <v>515</v>
      </c>
      <c r="C97" s="473"/>
      <c r="D97" s="473"/>
      <c r="E97" s="473"/>
      <c r="F97" s="473"/>
    </row>
    <row r="98" spans="1:6">
      <c r="A98" s="389"/>
      <c r="B98" s="473" t="s">
        <v>516</v>
      </c>
      <c r="C98" s="473"/>
      <c r="D98" s="473"/>
      <c r="E98" s="473"/>
      <c r="F98" s="473"/>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70" t="s">
        <v>517</v>
      </c>
      <c r="C107" s="470"/>
      <c r="D107" s="470"/>
      <c r="E107" s="470"/>
      <c r="F107" s="470"/>
    </row>
    <row r="108" spans="1:6">
      <c r="A108" s="389"/>
      <c r="B108" s="470" t="s">
        <v>536</v>
      </c>
      <c r="C108" s="470"/>
      <c r="D108" s="470"/>
      <c r="E108" s="470"/>
      <c r="F108" s="470"/>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70" t="s">
        <v>518</v>
      </c>
      <c r="C114" s="470"/>
      <c r="D114" s="470"/>
      <c r="E114" s="470"/>
      <c r="F114" s="470"/>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68" t="s">
        <v>520</v>
      </c>
      <c r="C127" s="468"/>
      <c r="D127" s="468"/>
      <c r="E127" s="468"/>
      <c r="F127" s="468"/>
    </row>
    <row r="129" spans="1:6" ht="13.9">
      <c r="A129" s="349" t="s">
        <v>493</v>
      </c>
      <c r="B129" s="349"/>
      <c r="C129" s="349"/>
      <c r="D129" s="349"/>
      <c r="E129" s="349"/>
      <c r="F129" s="349"/>
    </row>
    <row r="131" spans="1:6">
      <c r="B131" s="469" t="s">
        <v>521</v>
      </c>
      <c r="C131" s="469"/>
      <c r="D131" s="469"/>
      <c r="E131" s="469"/>
      <c r="F131" s="469"/>
    </row>
    <row r="132" spans="1:6" ht="24.5" customHeight="1">
      <c r="B132" s="470" t="s">
        <v>522</v>
      </c>
      <c r="C132" s="470"/>
      <c r="D132" s="470"/>
      <c r="E132" s="470"/>
      <c r="F132" s="470"/>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1" t="s">
        <v>523</v>
      </c>
      <c r="C149" s="470"/>
      <c r="D149" s="470"/>
      <c r="E149" s="470"/>
      <c r="F149" s="470"/>
    </row>
    <row r="151" spans="1:6">
      <c r="B151" s="373" t="s">
        <v>382</v>
      </c>
    </row>
    <row r="152" spans="1:6">
      <c r="B152" s="472" t="s">
        <v>524</v>
      </c>
      <c r="C152" s="472"/>
      <c r="D152" s="472"/>
      <c r="E152" s="472"/>
      <c r="F152" s="472"/>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67" t="s">
        <v>386</v>
      </c>
      <c r="C161" s="467"/>
      <c r="D161" s="467"/>
      <c r="E161" s="467"/>
      <c r="F161" s="467"/>
    </row>
    <row r="162" spans="2:6">
      <c r="B162" s="467" t="s">
        <v>387</v>
      </c>
      <c r="C162" s="467"/>
      <c r="D162" s="467"/>
      <c r="E162" s="467"/>
      <c r="F162" s="467"/>
    </row>
    <row r="164" spans="2:6">
      <c r="B164" s="347" t="s">
        <v>527</v>
      </c>
    </row>
    <row r="165" spans="2:6">
      <c r="B165" s="416" t="s">
        <v>388</v>
      </c>
    </row>
    <row r="166" spans="2:6">
      <c r="B166" s="416" t="s">
        <v>389</v>
      </c>
    </row>
    <row r="167" spans="2:6">
      <c r="B167" s="416"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2025-11-10T02:55:23Z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