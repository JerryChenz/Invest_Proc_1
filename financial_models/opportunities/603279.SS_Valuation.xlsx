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D346785-C700-40F1-A4DB-8403DF5D56D0}"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28" i="4" s="1"/>
  <c r="C9" i="3"/>
  <c r="C25" i="4"/>
  <c r="D25" i="4"/>
  <c r="E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<sst xmlns="http://schemas.openxmlformats.org/spreadsheetml/2006/main" count="687" uniqueCount="467">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</sst>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387460B-B4E6-4B1C-A60A-A789B5B2569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14.93</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14.94</v>
      </c>
      <c r="D12" s="50"/>
      <c r="E12" s="48"/>
    </row>
    <row r="13" spans="1:10">
      <c r="B13" s="1" t="s">
        <v>413</v>
      </c>
      <c r="C13" s="48" t="s">
        <v>411</v>
      </c>
      <c r="D13" s="48"/>
      <c r="E13" s="5"/>
    </row>
    <row r="14" spans="1:10">
      <c r="B14" s="4" t="s">
        <v>417</v>
      </c>
      <c r="C14" s="35">
        <f>Thesis!C12*Common_Shares/1000000</f>
        <v>8612.2675799999997</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17.692199895960851</v>
      </c>
      <c r="D26" s="1" t="s">
        <v>396</v>
      </c>
      <c r="E26" s="301">
        <f ca="1">Scenarios!C87</f>
        <v>0.11852527700395354</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7.2279420709207756</v>
      </c>
      <c r="D29" s="310" t="str">
        <f>D149</f>
        <v/>
      </c>
      <c r="E29" s="306" t="s">
        <v>421</v>
      </c>
      <c r="F29" s="302">
        <v>0.45</v>
      </c>
    </row>
    <row r="30" spans="2:6">
      <c r="B30" s="1" t="s">
        <v>423</v>
      </c>
      <c r="C30" s="311">
        <f>C157</f>
        <v>9.7854619462725747</v>
      </c>
      <c r="D30" s="311" t="str">
        <f>D157</f>
        <v/>
      </c>
      <c r="E30" s="307" t="s">
        <v>434</v>
      </c>
      <c r="F30" s="312">
        <v>0.3</v>
      </c>
    </row>
    <row r="31" spans="2:6">
      <c r="B31" s="1" t="s">
        <v>424</v>
      </c>
      <c r="C31" s="311">
        <f>C165</f>
        <v>16.722424859968235</v>
      </c>
      <c r="D31" s="311" t="str">
        <f>D165</f>
        <v/>
      </c>
      <c r="E31" s="307" t="s">
        <v>433</v>
      </c>
      <c r="F31" s="312">
        <v>7.4999999999999997E-2</v>
      </c>
    </row>
    <row r="32" spans="2:6">
      <c r="B32" s="1" t="s">
        <v>425</v>
      </c>
      <c r="C32" s="311">
        <f>C173</f>
        <v>16.202875796143875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v>
      </c>
    </row>
    <row r="40" spans="1:6" ht="24.6" customHeight="1">
      <c r="B40" s="362" t="s">
        <v>230</v>
      </c>
      <c r="C40" s="362"/>
      <c r="D40" s="362"/>
      <c r="E40" s="362"/>
      <c r="F40" s="362"/>
    </row>
    <row r="41" spans="1:6">
      <c r="B41" s="47" t="s">
        <v>231</v>
      </c>
      <c r="C41" s="349">
        <f>Normalized_FCF!C8</f>
        <v>898092603.37923622</v>
      </c>
      <c r="D41" s="1" t="str">
        <f>Reporting_currency</f>
        <v>CNY</v>
      </c>
    </row>
    <row r="42" spans="1:6">
      <c r="B42" s="47"/>
      <c r="C42" s="76"/>
    </row>
    <row r="43" spans="1:6" ht="24.6" customHeight="1">
      <c r="B43" s="362" t="s">
        <v>232</v>
      </c>
      <c r="C43" s="362"/>
      <c r="D43" s="362"/>
      <c r="E43" s="362"/>
      <c r="F43" s="362"/>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62" t="s">
        <v>240</v>
      </c>
      <c r="C58" s="362"/>
      <c r="D58" s="362"/>
      <c r="E58" s="362"/>
      <c r="F58" s="362"/>
    </row>
    <row r="59" spans="2:6">
      <c r="B59" s="47" t="s">
        <v>238</v>
      </c>
      <c r="C59" s="349">
        <f>Normalized_FCF!C14</f>
        <v>-226167766.80719703</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7.8783351088307807E-2</v>
      </c>
      <c r="F69" s="314"/>
    </row>
    <row r="70" spans="1:6">
      <c r="B70" s="227" t="s">
        <v>454</v>
      </c>
      <c r="C70" s="92">
        <f>Normalized_FCF!C94</f>
        <v>6.3855421686746988E-2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15.693643536790917</v>
      </c>
      <c r="D93" s="1" t="str">
        <f>Market_currency</f>
        <v>CNY</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61" t="s">
        <v>363</v>
      </c>
      <c r="C116" s="361"/>
      <c r="D116" s="361"/>
      <c r="E116" s="361"/>
      <c r="F116" s="361"/>
    </row>
    <row r="118" spans="1:6">
      <c r="B118" s="47" t="s">
        <v>446</v>
      </c>
      <c r="C118" s="223">
        <f>IF(valuation_method="DCF",DCF!C12,DDM!C7)</f>
        <v>16.782566586060053</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257</v>
      </c>
      <c r="C132" s="217">
        <f>Scenarios!C60</f>
        <v>17.692199895960851</v>
      </c>
      <c r="D132" s="212" t="str">
        <f>Market_currency</f>
        <v>CNY</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0.45</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259</v>
      </c>
      <c r="C149" s="215">
        <f>Scenarios!C83</f>
        <v>7.2279420709207756</v>
      </c>
      <c r="D149" s="300" t="str">
        <f>IF($D$11="","",C149*$E$25)</f>
        <v/>
      </c>
    </row>
    <row r="150" spans="2:4">
      <c r="B150" s="259" t="s">
        <v>413</v>
      </c>
      <c r="C150" s="298" t="str">
        <f>Market_currency</f>
        <v>CNY</v>
      </c>
      <c r="D150" s="298" t="str">
        <f>IF($D$11="","",D$13)</f>
        <v/>
      </c>
    </row>
    <row r="151" spans="2:4">
      <c r="B151" s="214" t="s">
        <v>261</v>
      </c>
      <c r="C151" s="92">
        <f>Scenarios!F83</f>
        <v>0.59146165465997691</v>
      </c>
    </row>
    <row r="153" spans="2:4">
      <c r="B153" s="210" t="s">
        <v>408</v>
      </c>
    </row>
    <row r="154" spans="2:4">
      <c r="B154" s="1" t="s">
        <v>407</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259</v>
      </c>
      <c r="C157" s="215">
        <f>Scenarios!C93</f>
        <v>9.7854619462725747</v>
      </c>
      <c r="D157" s="300" t="str">
        <f>IF($D$11="","",C157*$E$25)</f>
        <v/>
      </c>
    </row>
    <row r="158" spans="2:4">
      <c r="B158" s="259" t="s">
        <v>413</v>
      </c>
      <c r="C158" s="298" t="str">
        <f>Market_currency</f>
        <v>CNY</v>
      </c>
      <c r="D158" s="298" t="str">
        <f>IF($D$11="","",D$13)</f>
        <v/>
      </c>
    </row>
    <row r="159" spans="2:4">
      <c r="B159" s="214" t="s">
        <v>261</v>
      </c>
      <c r="C159" s="92">
        <f>Scenarios!F93</f>
        <v>0.44690530268615114</v>
      </c>
    </row>
    <row r="161" spans="2:4">
      <c r="B161" s="210" t="s">
        <v>397</v>
      </c>
    </row>
    <row r="162" spans="2:4">
      <c r="B162" s="1" t="s">
        <v>406</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398</v>
      </c>
      <c r="C165" s="215">
        <f>Scenarios!C99</f>
        <v>16.722424859968235</v>
      </c>
      <c r="D165" s="300" t="str">
        <f>IF($D$11="","",C165*$E$25)</f>
        <v/>
      </c>
    </row>
    <row r="166" spans="2:4">
      <c r="B166" s="259" t="s">
        <v>413</v>
      </c>
      <c r="C166" s="298" t="str">
        <f>Market_currency</f>
        <v>CNY</v>
      </c>
      <c r="D166" s="298" t="str">
        <f>IF($D$11="","",D$13)</f>
        <v/>
      </c>
    </row>
    <row r="167" spans="2:4">
      <c r="B167" s="214" t="s">
        <v>261</v>
      </c>
      <c r="C167" s="92">
        <f>Scenarios!F99</f>
        <v>5.481370557055576E-2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398</v>
      </c>
      <c r="C173" s="215">
        <f>Scenarios!C105</f>
        <v>16.202875796143875</v>
      </c>
      <c r="D173" s="300" t="str">
        <f>IF($D$11="","",C173*$E$25)</f>
        <v/>
      </c>
    </row>
    <row r="174" spans="2:4">
      <c r="B174" s="259" t="s">
        <v>413</v>
      </c>
      <c r="C174" s="298" t="str">
        <f>Market_currency</f>
        <v>CNY</v>
      </c>
      <c r="D174" s="298" t="str">
        <f>IF($D$11="","",D$13)</f>
        <v/>
      </c>
    </row>
    <row r="175" spans="2:4">
      <c r="B175" s="214" t="s">
        <v>261</v>
      </c>
      <c r="C175" s="92">
        <f>Scenarios!F105</f>
        <v>8.3913949117474296E-2</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465</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466</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6.3855421686746988E-2</v>
      </c>
      <c r="E94" s="268"/>
      <c r="G94" s="23">
        <f t="shared" ref="G94:Q94" si="39">IF(G$4="","",(G90*(1-dividend_tax_rate))/Market_Price)</f>
        <v>6.3855421686746988E-2</v>
      </c>
      <c r="H94" s="23">
        <f t="shared" si="39"/>
        <v>6.3855421686746988E-2</v>
      </c>
      <c r="I94" s="23">
        <f t="shared" si="39"/>
        <v>6.0240963855421693E-2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7.8783351088307807E-2</v>
      </c>
      <c r="D126" s="27"/>
      <c r="E126" s="265"/>
      <c r="F126" s="27"/>
      <c r="G126" s="77">
        <f t="shared" ref="G126" si="50">IF(G$4="","",G125/Market_Price)</f>
        <v>0.10045190868676689</v>
      </c>
      <c r="H126" s="77">
        <f t="shared" ref="H126" si="51">IF(H$4="","",H125/Market_Price)</f>
        <v>0.11460991849650883</v>
      </c>
      <c r="I126" s="77">
        <f t="shared" ref="I126" si="52">IF(I$4="","",I125/Market_Price)</f>
        <v>9.7183408324150108E-2</v>
      </c>
      <c r="J126" s="77">
        <f t="shared" ref="J126" si="53">IF(J$4="","",J125/Market_Price)</f>
        <v>7.4383408025562328E-2</v>
      </c>
      <c r="K126" s="77">
        <f t="shared" ref="K126" si="54">IF(K$4="","",K125/Market_Price)</f>
        <v>6.0683089959110106E-2</v>
      </c>
      <c r="L126" s="77">
        <f t="shared" ref="L126" si="55">IF(L$4="","",L125/Market_Price)</f>
        <v>4.7988670079760654E-2</v>
      </c>
      <c r="M126" s="77">
        <f t="shared" ref="M126" si="56">IF(M$4="","",M125/Market_Price)</f>
        <v>2.8638887924566786E-2</v>
      </c>
      <c r="N126" s="77">
        <f t="shared" ref="N126" si="57">IF(N$4="","",N125/Market_Price)</f>
        <v>2.2400215879033337E-2</v>
      </c>
      <c r="O126" s="77">
        <f t="shared" ref="O126" si="58">IF(O$4="","",O125/Market_Price)</f>
        <v>2.2288496057155716E-2</v>
      </c>
      <c r="P126" s="77">
        <f t="shared" ref="P126" si="59">IF(P$4="","",P125/Market_Price)</f>
        <v>2.2949754192379612E-2</v>
      </c>
      <c r="Q126" s="77" t="str">
        <f t="shared" ref="Q126" si="60">IF(Q$4="","",Q125/Market_Price)</f>
        <v/>
      </c>
    </row>
    <row r="127" spans="1:17" ht="15.75" customHeight="1">
      <c r="B127" s="2" t="s">
        <v>391</v>
      </c>
      <c r="C127" s="169"/>
      <c r="G127" s="23">
        <f>IF(G$4="","",(Data!C47*$C$3)/(Market_Price*Common_Shares))</f>
        <v>9.8491040033384561E-2</v>
      </c>
      <c r="H127" s="23">
        <f>IF(H$4="","",(Data!D47*$C$3)/(Market_Price*Common_Shares))</f>
        <v>0.11705273316647229</v>
      </c>
      <c r="I127" s="23">
        <f>IF(I$4="","",(Data!E47*$C$3)/(Market_Price*Common_Shares))</f>
        <v>9.6829164009787999E-2</v>
      </c>
      <c r="J127" s="23">
        <f>IF(J$4="","",(Data!F47*$C$3)/(Market_Price*Common_Shares))</f>
        <v>7.5126101225944486E-2</v>
      </c>
      <c r="K127" s="23">
        <f>IF(K$4="","",(Data!G47*$C$3)/(Market_Price*Common_Shares))</f>
        <v>5.9761562471100094E-2</v>
      </c>
      <c r="L127" s="23">
        <f>IF(L$4="","",(Data!H47*$C$3)/(Market_Price*Common_Shares))</f>
        <v>4.7963784933862913E-2</v>
      </c>
      <c r="M127" s="23">
        <f>IF(M$4="","",(Data!I47*$C$3)/(Market_Price*Common_Shares))</f>
        <v>2.8386918280121527E-2</v>
      </c>
      <c r="N127" s="23">
        <f>IF(N$4="","",(Data!J47*$C$3)/(Market_Price*Common_Shares))</f>
        <v>2.3914340919723259E-2</v>
      </c>
      <c r="O127" s="23">
        <f>IF(O$4="","",(Data!K47*$C$3)/(Market_Price*Common_Shares))</f>
        <v>1.8548536551624421E-2</v>
      </c>
      <c r="P127" s="23">
        <f>IF(P$4="","",(Data!L47*$C$3)/(Market_Price*Common_Shares))</f>
        <v>1.6559132385898304E-2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9046710672.2878819</v>
      </c>
      <c r="D6" t="str">
        <f>Reporting_currency</f>
        <v>CNY</v>
      </c>
      <c r="E6" s="369" t="s">
        <v>248</v>
      </c>
      <c r="F6" s="369"/>
      <c r="H6" s="120"/>
    </row>
    <row r="7" spans="2:8">
      <c r="B7" s="148" t="s">
        <v>223</v>
      </c>
      <c r="C7" s="338">
        <f>BS!G31</f>
        <v>270317959.52999997</v>
      </c>
      <c r="D7" t="str">
        <f>Reporting_currency</f>
        <v>CNY</v>
      </c>
      <c r="E7" s="369"/>
      <c r="F7" s="369"/>
      <c r="H7" s="120"/>
    </row>
    <row r="8" spans="2:8">
      <c r="B8" s="148" t="s">
        <v>224</v>
      </c>
      <c r="C8" s="338">
        <f>BS!D66</f>
        <v>867841842.9465394</v>
      </c>
      <c r="D8" t="str">
        <f>Reporting_currency</f>
        <v>CNY</v>
      </c>
      <c r="E8" s="369"/>
      <c r="F8" s="369"/>
      <c r="H8" s="120"/>
    </row>
    <row r="9" spans="2:8">
      <c r="B9" s="205" t="s">
        <v>189</v>
      </c>
      <c r="C9" s="348">
        <f>BS!H42</f>
        <v>30193430.795999996</v>
      </c>
      <c r="D9" t="str">
        <f>Reporting_currency</f>
        <v>CNY</v>
      </c>
      <c r="E9" s="369"/>
      <c r="F9" s="369"/>
      <c r="H9" s="120"/>
    </row>
    <row r="10" spans="2:8" ht="13.15">
      <c r="B10" s="149" t="s">
        <v>226</v>
      </c>
      <c r="C10" s="347">
        <f>C6-C7+C8+C9</f>
        <v>9674427986.5004196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16.782566586060053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3.5934836391919099E-2</v>
      </c>
      <c r="H16" s="120"/>
    </row>
    <row r="17" spans="2:17" ht="13.35" customHeight="1">
      <c r="B17" s="118" t="s">
        <v>133</v>
      </c>
      <c r="C17" s="162">
        <f>Scenarios!C64</f>
        <v>5</v>
      </c>
      <c r="H17" s="120"/>
    </row>
    <row r="18" spans="2:17" ht="13.35" customHeight="1">
      <c r="B18" s="153" t="s">
        <v>106</v>
      </c>
      <c r="C18" s="140">
        <f>(F52-C7+C8+C9)*Exchange_Rate/Common_Shares*scaling_factor</f>
        <v>17.687067476395459</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9371802740.1815758</v>
      </c>
      <c r="D51" s="139">
        <f>Terminal_Growth</f>
        <v>0</v>
      </c>
      <c r="E51" s="124">
        <f>1/(1+Equity_Cost)^C17</f>
        <v>0.69655863235011617</v>
      </c>
      <c r="F51" s="125">
        <f t="shared" si="1"/>
        <v>6528010099.3559494</v>
      </c>
      <c r="H51" s="120"/>
    </row>
    <row r="52" spans="1:17">
      <c r="C52" s="114"/>
      <c r="E52" s="127" t="s">
        <v>100</v>
      </c>
      <c r="F52" s="137">
        <f>SUM(F21:F51)</f>
        <v>9568116542.0279598</v>
      </c>
      <c r="H52" s="120"/>
    </row>
    <row r="53" spans="1:17">
      <c r="C53" s="114"/>
      <c r="H53" s="120"/>
    </row>
    <row r="54" spans="1:17" ht="13.15">
      <c r="B54" s="119" t="s">
        <v>128</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7332533040</v>
      </c>
      <c r="D6" t="str">
        <f>Reporting_currency</f>
        <v>CNY</v>
      </c>
      <c r="E6" s="369"/>
      <c r="F6" s="369"/>
      <c r="H6" s="120"/>
    </row>
    <row r="7" spans="2:8" ht="13.15">
      <c r="B7" s="149" t="s">
        <v>441</v>
      </c>
      <c r="C7" s="111">
        <f>(C6*scaling_factor)/Common_Shares*Exchange_Rate</f>
        <v>12.72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3.5934836391919099E-2</v>
      </c>
      <c r="H11" s="120"/>
    </row>
    <row r="12" spans="2:8" ht="13.35" customHeight="1">
      <c r="B12" s="118" t="s">
        <v>133</v>
      </c>
      <c r="C12" s="162">
        <f>Scenarios!C64</f>
        <v>5</v>
      </c>
      <c r="H12" s="120"/>
    </row>
    <row r="13" spans="2:8" ht="13.35" customHeight="1">
      <c r="B13" s="153" t="s">
        <v>106</v>
      </c>
      <c r="C13" s="140">
        <f>F47/Common_Shares*scaling_factor</f>
        <v>13.453115372354064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7596026415.130743</v>
      </c>
      <c r="D46" s="139">
        <f>Terminal_Growth</f>
        <v>0</v>
      </c>
      <c r="E46" s="124">
        <f>1/(1+Equity_Cost)^C12</f>
        <v>0.69655863235011617</v>
      </c>
      <c r="F46" s="125">
        <f t="shared" si="1"/>
        <v>5291077771.0188265</v>
      </c>
      <c r="H46" s="120"/>
    </row>
    <row r="47" spans="2:8">
      <c r="C47" s="114"/>
      <c r="E47" s="127" t="s">
        <v>100</v>
      </c>
      <c r="F47" s="137">
        <f>SUM(F16:F46)</f>
        <v>7755142528.201107</v>
      </c>
      <c r="H47" s="120"/>
    </row>
    <row r="48" spans="2:8">
      <c r="C48" s="114"/>
      <c r="H48" s="120"/>
    </row>
    <row r="49" spans="1:8" ht="13.15">
      <c r="B49" s="119" t="s">
        <v>128</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-14.94</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18.646199895960851</v>
      </c>
    </row>
    <row r="7" spans="2:9" ht="12.75" customHeight="1">
      <c r="B7" s="100" t="s">
        <v>274</v>
      </c>
      <c r="C7" s="338">
        <f>Normalized_FCF!G8</f>
        <v>1113675057</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71"/>
      <c r="H7" s="247">
        <v>4</v>
      </c>
      <c r="I7" s="124" t="str">
        <f t="shared" si="0"/>
        <v/>
      </c>
    </row>
    <row r="8" spans="2:9">
      <c r="B8" s="100" t="s">
        <v>66</v>
      </c>
      <c r="C8" s="338">
        <f>Normalized_FCF!G19</f>
        <v>865118716.5321629</v>
      </c>
      <c r="D8" t="str">
        <f>Reporting_currency</f>
        <v>CNY</v>
      </c>
      <c r="E8" s="371"/>
      <c r="F8" s="371"/>
      <c r="H8" s="247">
        <v>5</v>
      </c>
      <c r="I8" s="124" t="str">
        <f t="shared" si="0"/>
        <v/>
      </c>
    </row>
    <row r="9" spans="2:9">
      <c r="B9" s="100" t="s">
        <v>57</v>
      </c>
      <c r="C9" s="338">
        <f>Normalized_FCF!C19</f>
        <v>678503300.42159104</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9.6365877843450409E-2</v>
      </c>
      <c r="D12" s="158"/>
      <c r="E12" s="371"/>
      <c r="F12" s="371"/>
      <c r="H12" s="247">
        <v>9</v>
      </c>
      <c r="I12" s="124" t="str">
        <f t="shared" si="0"/>
        <v/>
      </c>
    </row>
    <row r="13" spans="2:9">
      <c r="B13" s="148" t="s">
        <v>151</v>
      </c>
      <c r="C13" s="158">
        <f ca="1">(Normalized_FCF!G8/OFFSET(Normalized_FCF!G8, 0, $C$4))^(1/$C$4) - 1</f>
        <v>0.12333037284725878</v>
      </c>
      <c r="E13" s="371"/>
      <c r="F13" s="371"/>
      <c r="H13" s="247">
        <v>10</v>
      </c>
      <c r="I13" s="124" t="str">
        <f t="shared" si="0"/>
        <v/>
      </c>
    </row>
    <row r="14" spans="2:9">
      <c r="B14" s="100" t="s">
        <v>66</v>
      </c>
      <c r="C14" s="158">
        <f ca="1">(Normalized_FCF!G19/OFFSET(Normalized_FCF!G19, 0, $C$4))^(1/$C$4) - 1</f>
        <v>0.10533530085337128</v>
      </c>
      <c r="E14" s="371"/>
      <c r="F14" s="371"/>
    </row>
    <row r="16" spans="2:9" ht="13.9">
      <c r="B16" s="36" t="s">
        <v>161</v>
      </c>
      <c r="C16" s="37"/>
      <c r="D16" s="37"/>
      <c r="E16" s="37"/>
      <c r="F16" s="37"/>
    </row>
    <row r="17" spans="2:6" ht="13.15">
      <c r="B17" s="109" t="s">
        <v>150</v>
      </c>
      <c r="E17" s="159" t="s">
        <v>326</v>
      </c>
    </row>
    <row r="18" spans="2:6">
      <c r="B18" s="152" t="s">
        <v>132</v>
      </c>
      <c r="C18" s="150">
        <v>5</v>
      </c>
      <c r="E18" s="371" t="s">
        <v>327</v>
      </c>
      <c r="F18" s="372"/>
    </row>
    <row r="19" spans="2:6">
      <c r="E19" s="372"/>
      <c r="F19" s="372"/>
    </row>
    <row r="20" spans="2:6" ht="13.15">
      <c r="B20" s="159" t="s">
        <v>302</v>
      </c>
      <c r="E20" s="372"/>
      <c r="F20" s="372"/>
    </row>
    <row r="21" spans="2:6">
      <c r="B21" s="100" t="s">
        <v>276</v>
      </c>
      <c r="C21" s="160">
        <f>Market_Price</f>
        <v>14.94</v>
      </c>
      <c r="D21" t="str">
        <f>Market_currency</f>
        <v>CNY</v>
      </c>
      <c r="E21" s="372"/>
      <c r="F21" s="372"/>
    </row>
    <row r="22" spans="2:6">
      <c r="B22" s="100" t="s">
        <v>277</v>
      </c>
      <c r="C22" s="160">
        <f>IF(valuation_method="DCF",DCF!C12,DDM!C7)</f>
        <v>16.782566586060053</v>
      </c>
      <c r="D22" t="str">
        <f>Market_currency</f>
        <v>CNY</v>
      </c>
      <c r="E22" s="372"/>
      <c r="F22" s="372"/>
    </row>
    <row r="24" spans="2:6" ht="13.15">
      <c r="B24" s="159" t="s">
        <v>114</v>
      </c>
      <c r="E24" s="159" t="s">
        <v>148</v>
      </c>
      <c r="F24" s="159"/>
    </row>
    <row r="25" spans="2:6">
      <c r="B25" s="152" t="s">
        <v>132</v>
      </c>
      <c r="C25" s="166">
        <f>C18</f>
        <v>5</v>
      </c>
      <c r="D25" s="163"/>
      <c r="E25" s="370"/>
      <c r="F25" s="370"/>
    </row>
    <row r="26" spans="2:6">
      <c r="B26" s="118" t="s">
        <v>133</v>
      </c>
      <c r="C26" s="164">
        <v>0.03</v>
      </c>
      <c r="D26" s="164"/>
      <c r="E26" s="370"/>
      <c r="F26" s="370"/>
    </row>
    <row r="27" spans="2:6">
      <c r="B27" s="100" t="s">
        <v>112</v>
      </c>
      <c r="C27" s="160">
        <f>IF(valuation_method="DCF",DCF!E76,DDM!E71)</f>
        <v>17.534443821077375</v>
      </c>
      <c r="D27" s="160" t="str">
        <f>Market_currency</f>
        <v>CNY</v>
      </c>
      <c r="E27" s="370"/>
      <c r="F27" s="370"/>
    </row>
    <row r="28" spans="2:6">
      <c r="B28" s="100" t="s">
        <v>146</v>
      </c>
      <c r="C28" s="165">
        <v>0.6</v>
      </c>
      <c r="D28" s="165"/>
      <c r="E28" s="370"/>
      <c r="F28" s="370"/>
    </row>
    <row r="30" spans="2:6" ht="13.15">
      <c r="B30" s="159" t="s">
        <v>115</v>
      </c>
      <c r="E30" s="159" t="s">
        <v>148</v>
      </c>
      <c r="F30" s="159"/>
    </row>
    <row r="31" spans="2:6">
      <c r="B31" s="152" t="s">
        <v>132</v>
      </c>
      <c r="C31" s="166">
        <f>C18</f>
        <v>5</v>
      </c>
      <c r="D31" s="163"/>
      <c r="E31" s="370"/>
      <c r="F31" s="370"/>
    </row>
    <row r="32" spans="2:6">
      <c r="B32" s="118" t="s">
        <v>133</v>
      </c>
      <c r="C32" s="164">
        <v>0.01</v>
      </c>
      <c r="D32" s="164"/>
      <c r="E32" s="370"/>
      <c r="F32" s="370"/>
    </row>
    <row r="33" spans="2:6">
      <c r="B33" s="100" t="s">
        <v>112</v>
      </c>
      <c r="C33" s="160">
        <f>IF(valuation_method="DCF",DCF!E77,DDM!E72)</f>
        <v>17.029620121313162</v>
      </c>
      <c r="D33" t="str">
        <f>Market_currency</f>
        <v>CNY</v>
      </c>
      <c r="E33" s="370"/>
      <c r="F33" s="370"/>
    </row>
    <row r="34" spans="2:6">
      <c r="B34" s="100" t="s">
        <v>146</v>
      </c>
      <c r="C34" s="165">
        <v>0.2</v>
      </c>
      <c r="D34" s="165"/>
      <c r="E34" s="370"/>
      <c r="F34" s="370"/>
    </row>
    <row r="36" spans="2:6" ht="13.15">
      <c r="B36" s="159" t="s">
        <v>113</v>
      </c>
      <c r="E36" s="159" t="s">
        <v>148</v>
      </c>
      <c r="F36" s="159"/>
    </row>
    <row r="37" spans="2:6">
      <c r="B37" s="152" t="s">
        <v>132</v>
      </c>
      <c r="C37" s="166">
        <f>C18</f>
        <v>5</v>
      </c>
      <c r="D37" s="163"/>
      <c r="E37" s="370"/>
      <c r="F37" s="370"/>
    </row>
    <row r="38" spans="2:6">
      <c r="B38" s="118" t="s">
        <v>133</v>
      </c>
      <c r="C38" s="164">
        <v>0.05</v>
      </c>
      <c r="D38" s="164"/>
      <c r="E38" s="370"/>
      <c r="F38" s="370"/>
    </row>
    <row r="39" spans="2:6">
      <c r="B39" s="100" t="s">
        <v>112</v>
      </c>
      <c r="C39" s="160">
        <f>IF(valuation_method="DCF",DCF!E75,DDM!E70)</f>
        <v>18.054081342006516</v>
      </c>
      <c r="D39" t="str">
        <f>Market_currency</f>
        <v>CNY</v>
      </c>
      <c r="E39" s="370"/>
      <c r="F39" s="370"/>
    </row>
    <row r="40" spans="2:6">
      <c r="B40" s="100" t="s">
        <v>146</v>
      </c>
      <c r="C40" s="167">
        <f>1-C28-C34</f>
        <v>0.2</v>
      </c>
      <c r="D40" s="165"/>
      <c r="E40" s="370"/>
      <c r="F40" s="370"/>
    </row>
    <row r="42" spans="2:6" ht="13.15">
      <c r="B42" s="100" t="s">
        <v>119</v>
      </c>
      <c r="C42" s="154">
        <f>C27*C28+C33*C34+C39*C40</f>
        <v>17.537406585310361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70"/>
      <c r="F49" s="370"/>
    </row>
    <row r="50" spans="2:6">
      <c r="B50" s="118" t="s">
        <v>133</v>
      </c>
      <c r="C50" s="164">
        <v>0</v>
      </c>
      <c r="D50" s="164"/>
      <c r="E50" s="370"/>
      <c r="F50" s="370"/>
    </row>
    <row r="51" spans="2:6">
      <c r="B51" s="100" t="s">
        <v>112</v>
      </c>
      <c r="C51" s="160">
        <f>IF(valuation_method="DCF",DCF!E78,DDM!E73)</f>
        <v>16.782566586060057</v>
      </c>
      <c r="D51" t="str">
        <f>Market_currency</f>
        <v>CNY</v>
      </c>
      <c r="E51" s="370"/>
      <c r="F51" s="370"/>
    </row>
    <row r="52" spans="2:6">
      <c r="B52" s="100" t="s">
        <v>146</v>
      </c>
      <c r="C52" s="165">
        <v>0.05</v>
      </c>
      <c r="D52" s="165"/>
      <c r="E52" s="370"/>
      <c r="F52" s="370"/>
    </row>
    <row r="54" spans="2:6" ht="13.15">
      <c r="B54" s="159" t="s">
        <v>313</v>
      </c>
      <c r="E54" s="159" t="s">
        <v>148</v>
      </c>
      <c r="F54" s="159"/>
    </row>
    <row r="55" spans="2:6">
      <c r="B55" s="152" t="s">
        <v>132</v>
      </c>
      <c r="C55" s="166">
        <f>C46</f>
        <v>10</v>
      </c>
      <c r="D55" s="163"/>
      <c r="E55" s="370"/>
      <c r="F55" s="370"/>
    </row>
    <row r="56" spans="2:6">
      <c r="B56" s="118" t="s">
        <v>133</v>
      </c>
      <c r="C56" s="164">
        <v>0.08</v>
      </c>
      <c r="D56" s="164"/>
      <c r="E56" s="370"/>
      <c r="F56" s="370"/>
    </row>
    <row r="57" spans="2:6">
      <c r="B57" s="100" t="s">
        <v>112</v>
      </c>
      <c r="C57" s="160">
        <f>IF(valuation_method="DCF",DCF!E74,DDM!E69)</f>
        <v>21.388112797570475</v>
      </c>
      <c r="D57" t="str">
        <f>Market_currency</f>
        <v>CNY</v>
      </c>
      <c r="E57" s="370"/>
      <c r="F57" s="370"/>
    </row>
    <row r="58" spans="2:6">
      <c r="B58" s="100" t="s">
        <v>146</v>
      </c>
      <c r="C58" s="165">
        <v>0.05</v>
      </c>
      <c r="D58" s="165"/>
      <c r="E58" s="370"/>
      <c r="F58" s="370"/>
    </row>
    <row r="60" spans="2:6" ht="13.15">
      <c r="B60" s="100" t="s">
        <v>119</v>
      </c>
      <c r="C60" s="154">
        <f>C51*C52+C57*C58+C42*(1-C52-C58)</f>
        <v>17.692199895960851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3.5934836391919099E-2</v>
      </c>
      <c r="D65" s="151"/>
      <c r="E65" s="251" t="s">
        <v>309</v>
      </c>
    </row>
    <row r="66" spans="2:6">
      <c r="B66" s="100" t="s">
        <v>102</v>
      </c>
      <c r="C66" s="160">
        <f>IF(valuation_method="DCF",DCF!C18,DDM!C13)</f>
        <v>17.687067476395459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6.1548199527054877E-2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0.45</v>
      </c>
    </row>
    <row r="81" spans="2:8">
      <c r="B81" s="100" t="s">
        <v>120</v>
      </c>
      <c r="C81" s="116">
        <f>PV(C80, C76, -C77, 0)</f>
        <v>1.4246045348312761</v>
      </c>
      <c r="D81" s="116"/>
      <c r="E81" s="100"/>
      <c r="F81" s="100"/>
    </row>
    <row r="82" spans="2:8">
      <c r="B82" s="100" t="s">
        <v>121</v>
      </c>
      <c r="C82" s="116">
        <f>C60/(1+C80)^C76</f>
        <v>5.8033375360894999</v>
      </c>
      <c r="D82" s="116"/>
    </row>
    <row r="83" spans="2:8" ht="13.15">
      <c r="B83" s="110" t="s">
        <v>101</v>
      </c>
      <c r="C83" s="111">
        <f>C81+C82</f>
        <v>7.2279420709207756</v>
      </c>
      <c r="D83" t="str">
        <f>Market_currency</f>
        <v>CNY</v>
      </c>
      <c r="E83" s="146" t="s">
        <v>125</v>
      </c>
      <c r="F83" s="291">
        <f>(1-C83/C60)</f>
        <v>0.59146165465997691</v>
      </c>
    </row>
    <row r="84" spans="2:8">
      <c r="E84" s="120"/>
    </row>
    <row r="85" spans="2:8" ht="13.15">
      <c r="B85" s="109" t="s">
        <v>301</v>
      </c>
    </row>
    <row r="86" spans="2:8">
      <c r="B86" s="148" t="s">
        <v>299</v>
      </c>
      <c r="C86" s="116">
        <f>Market_Price</f>
        <v>14.94</v>
      </c>
      <c r="D86" t="str">
        <f>Market_currency</f>
        <v>CNY</v>
      </c>
    </row>
    <row r="87" spans="2:8" ht="13.15">
      <c r="B87" s="100" t="s">
        <v>297</v>
      </c>
      <c r="C87" s="237">
        <f ca="1">IRR(OFFSET($I$3, 0, 0, $C$76 + 1, 1))</f>
        <v>0.11852527700395354</v>
      </c>
    </row>
    <row r="88" spans="2:8">
      <c r="B88" s="100"/>
    </row>
    <row r="89" spans="2:8" ht="13.15">
      <c r="B89" s="109" t="s">
        <v>409</v>
      </c>
    </row>
    <row r="90" spans="2:8">
      <c r="B90" s="148" t="s">
        <v>410</v>
      </c>
      <c r="C90" s="167">
        <f>Thesis!F30</f>
        <v>0.3</v>
      </c>
    </row>
    <row r="91" spans="2:8">
      <c r="B91" s="100" t="s">
        <v>120</v>
      </c>
      <c r="C91" s="116">
        <f>PV(C90, C76, -C77, 0)</f>
        <v>1.7325716886663638</v>
      </c>
      <c r="D91" s="116"/>
      <c r="E91" s="100"/>
      <c r="F91" s="100"/>
    </row>
    <row r="92" spans="2:8">
      <c r="B92" s="100" t="s">
        <v>121</v>
      </c>
      <c r="C92" s="116">
        <f>C60/(1+C90)^C76</f>
        <v>8.0528902576062116</v>
      </c>
      <c r="D92" s="116"/>
    </row>
    <row r="93" spans="2:8" ht="13.15">
      <c r="B93" s="110" t="s">
        <v>101</v>
      </c>
      <c r="C93" s="111">
        <f>C91+C92</f>
        <v>9.7854619462725747</v>
      </c>
      <c r="D93" t="str">
        <f>Market_currency</f>
        <v>CNY</v>
      </c>
      <c r="E93" s="146" t="s">
        <v>125</v>
      </c>
      <c r="F93" s="291">
        <f>(1-C93/C60)</f>
        <v>0.44690530268615114</v>
      </c>
    </row>
    <row r="95" spans="2:8" ht="13.15">
      <c r="B95" s="109" t="s">
        <v>394</v>
      </c>
      <c r="G95" s="2"/>
      <c r="H95" s="281"/>
    </row>
    <row r="96" spans="2:8">
      <c r="B96" s="148" t="s">
        <v>400</v>
      </c>
      <c r="C96" s="134">
        <f>Thesis!F31</f>
        <v>7.4999999999999997E-2</v>
      </c>
      <c r="G96" s="2"/>
      <c r="H96" s="281"/>
    </row>
    <row r="97" spans="2:8">
      <c r="B97" s="100" t="s">
        <v>120</v>
      </c>
      <c r="C97" s="116">
        <f>PV(C96, C76, -C77, 0)</f>
        <v>2.4809015558378498</v>
      </c>
      <c r="D97" s="116"/>
      <c r="G97" s="2"/>
      <c r="H97" s="281"/>
    </row>
    <row r="98" spans="2:8">
      <c r="B98" s="100" t="s">
        <v>121</v>
      </c>
      <c r="C98" s="116">
        <f>C60/(1+C96)^C76</f>
        <v>14.241523304130386</v>
      </c>
      <c r="D98" s="116"/>
      <c r="G98" s="2"/>
      <c r="H98" s="281"/>
    </row>
    <row r="99" spans="2:8" ht="13.15">
      <c r="B99" s="110" t="s">
        <v>395</v>
      </c>
      <c r="C99" s="111">
        <f>C97+C98</f>
        <v>16.722424859968235</v>
      </c>
      <c r="D99" t="s">
        <v>393</v>
      </c>
      <c r="E99" s="146" t="s">
        <v>125</v>
      </c>
      <c r="F99" s="291">
        <f>(1-C99/C60)</f>
        <v>5.481370557055576E-2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13.775050680383194</v>
      </c>
      <c r="D104" s="116"/>
    </row>
    <row r="105" spans="2:8" ht="13.15">
      <c r="B105" s="110" t="s">
        <v>395</v>
      </c>
      <c r="C105" s="111">
        <f>C103+C104</f>
        <v>16.202875796143875</v>
      </c>
      <c r="D105" t="s">
        <v>393</v>
      </c>
      <c r="E105" s="146" t="s">
        <v>125</v>
      </c>
      <c r="F105" s="291">
        <f>(1-C105/C66)</f>
        <v>8.3913949117474296E-2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0F0AA-52FB-4191-8409-8BDDA69B8C32}">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