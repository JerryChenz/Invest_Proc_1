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1D40CF-1DBD-47D0-88F3-D6F4CA3BFA09}"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Q120" i="2"/>
  <c r="Q118" i="2"/>
  <c r="Q117" i="2"/>
  <c r="N118" i="2"/>
  <c r="P118" i="2"/>
  <c r="K118" i="2"/>
  <c r="I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<sst xmlns="http://schemas.openxmlformats.org/spreadsheetml/2006/main" count="685" uniqueCount="466">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</sst>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576457000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16.52</v>
      </c>
      <c r="D12" s="50"/>
      <c r="E12" s="48"/>
    </row>
    <row r="13" spans="1:10">
      <c r="B13" s="1" t="s">
        <v>417</v>
      </c>
      <c r="C13" s="48" t="s">
        <v>415</v>
      </c>
      <c r="D13" s="48"/>
      <c r="E13" s="5"/>
    </row>
    <row r="14" spans="1:10">
      <c r="B14" s="4" t="s">
        <v>421</v>
      </c>
      <c r="C14" s="35">
        <f>Thesis!C12*Common_Shares/1000000</f>
        <v>9523.0696399999997</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25.584938697660867</v>
      </c>
      <c r="D26" s="1" t="s">
        <v>400</v>
      </c>
      <c r="E26" s="301">
        <f ca="1">Scenarios!C87</f>
        <v>0.21308600349914264</v>
      </c>
    </row>
    <row r="27" spans="2:6">
      <c r="D27" s="5"/>
      <c r="E27" s="5"/>
    </row>
    <row r="28" spans="2:6">
      <c r="B28" s="45" t="s">
        <v>434</v>
      </c>
      <c r="C28" s="309" t="str">
        <f>C145&amp;" ("&amp;Market_currency&amp;")"</f>
        <v>603279.SS (CNY)</v>
      </c>
      <c r="D28" s="309" t="str">
        <f>IF(D11="","",D145&amp;" ("&amp;D13&amp;")")</f>
        <v/>
      </c>
      <c r="E28" s="305" t="s">
        <v>430</v>
      </c>
      <c r="F28" s="303">
        <v>3</v>
      </c>
    </row>
    <row r="29" spans="2:6">
      <c r="B29" s="1" t="s">
        <v>426</v>
      </c>
      <c r="C29" s="310">
        <f>C149</f>
        <v>12.534408209968158</v>
      </c>
      <c r="D29" s="310" t="str">
        <f>D149</f>
        <v/>
      </c>
      <c r="E29" s="306" t="s">
        <v>425</v>
      </c>
      <c r="F29" s="302">
        <v>0.33700000000000002</v>
      </c>
    </row>
    <row r="30" spans="2:6">
      <c r="B30" s="1" t="s">
        <v>427</v>
      </c>
      <c r="C30" s="311">
        <f>C157</f>
        <v>17.577047192866189</v>
      </c>
      <c r="D30" s="311" t="str">
        <f>D157</f>
        <v/>
      </c>
      <c r="E30" s="307" t="s">
        <v>438</v>
      </c>
      <c r="F30" s="312">
        <v>0.187</v>
      </c>
    </row>
    <row r="31" spans="2:6">
      <c r="B31" s="1" t="s">
        <v>428</v>
      </c>
      <c r="C31" s="311">
        <f>C165</f>
        <v>24.315000552184742</v>
      </c>
      <c r="D31" s="311" t="str">
        <f>D165</f>
        <v/>
      </c>
      <c r="E31" s="307" t="s">
        <v>437</v>
      </c>
      <c r="F31" s="312">
        <v>0.06</v>
      </c>
    </row>
    <row r="32" spans="2:6">
      <c r="B32" s="1" t="s">
        <v>429</v>
      </c>
      <c r="C32" s="311">
        <f>C173</f>
        <v>22.61787767563613</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1037280588.8935957</v>
      </c>
      <c r="D41" s="1" t="str">
        <f>Reporting_currency</f>
        <v>CNY</v>
      </c>
    </row>
    <row r="42" spans="1:6">
      <c r="B42" s="47"/>
      <c r="C42" s="76"/>
    </row>
    <row r="43" spans="1:6" ht="24.5" customHeight="1">
      <c r="B43" s="351" t="s">
        <v>234</v>
      </c>
      <c r="C43" s="351"/>
      <c r="D43" s="351"/>
      <c r="E43" s="351"/>
      <c r="F43" s="351"/>
    </row>
    <row r="44" spans="1:6">
      <c r="B44" s="47" t="s">
        <v>235</v>
      </c>
      <c r="C44" s="76">
        <f>Normalized_FCF!C9</f>
        <v>213321214.99999997</v>
      </c>
      <c r="D44" s="1" t="str">
        <f>Reporting_currency</f>
        <v>CNY</v>
      </c>
    </row>
    <row r="45" spans="1:6">
      <c r="B45" s="52" t="s">
        <v>236</v>
      </c>
      <c r="C45" s="76">
        <f>Normalized_FCF!C10</f>
        <v>-213321214.99999997</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13985177.697766012</v>
      </c>
      <c r="D51" s="1" t="str">
        <f>Reporting_currency</f>
        <v>CNY</v>
      </c>
      <c r="E51" s="286"/>
      <c r="F51" s="286"/>
    </row>
    <row r="52" spans="2:6">
      <c r="B52" s="47" t="s">
        <v>342</v>
      </c>
      <c r="C52" s="340">
        <f>Normalized_FCF!C47</f>
        <v>-6249607</v>
      </c>
      <c r="D52" s="1" t="str">
        <f>Reporting_currency</f>
        <v>CNY</v>
      </c>
      <c r="E52" s="286"/>
      <c r="F52" s="286"/>
    </row>
    <row r="53" spans="2:6">
      <c r="B53" s="47" t="s">
        <v>239</v>
      </c>
      <c r="C53" s="76">
        <f>Normalized_FCF!C12</f>
        <v>7735570.6977660116</v>
      </c>
      <c r="D53" s="1" t="str">
        <f>Reporting_currency</f>
        <v>CNY</v>
      </c>
    </row>
    <row r="55" spans="2:6">
      <c r="B55" s="1" t="s">
        <v>247</v>
      </c>
    </row>
    <row r="56" spans="2:6">
      <c r="B56" s="47" t="s">
        <v>266</v>
      </c>
      <c r="C56" s="76">
        <f>Normalized_FCF!C15</f>
        <v>0</v>
      </c>
      <c r="D56" s="1" t="str">
        <f>Reporting_currency</f>
        <v>CNY</v>
      </c>
    </row>
    <row r="58" spans="2:6">
      <c r="B58" s="351" t="s">
        <v>242</v>
      </c>
      <c r="C58" s="351"/>
      <c r="D58" s="351"/>
      <c r="E58" s="351"/>
      <c r="F58" s="351"/>
    </row>
    <row r="59" spans="2:6">
      <c r="B59" s="47" t="s">
        <v>240</v>
      </c>
      <c r="C59" s="76">
        <f>Normalized_FCF!C14</f>
        <v>-261254039.89784044</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866779085.10917377</v>
      </c>
      <c r="D67" s="1" t="str">
        <f>Reporting_currency</f>
        <v>CNY</v>
      </c>
    </row>
    <row r="68" spans="1:6">
      <c r="B68" s="47" t="s">
        <v>249</v>
      </c>
      <c r="C68" s="76">
        <f>Normalized_FCF!C19</f>
        <v>783762119.69352126</v>
      </c>
      <c r="D68" s="1" t="str">
        <f>Reporting_currency</f>
        <v>CNY</v>
      </c>
    </row>
    <row r="69" spans="1:6">
      <c r="B69" s="227" t="s">
        <v>391</v>
      </c>
      <c r="C69" s="92">
        <f>Normalized_FCF!C125</f>
        <v>8.230141638379547E-2</v>
      </c>
      <c r="F69" s="314"/>
    </row>
    <row r="70" spans="1:6">
      <c r="B70" s="227" t="s">
        <v>309</v>
      </c>
      <c r="C70" s="92">
        <f>Normalized_FCF!C93</f>
        <v>6.4164648910411626E-2</v>
      </c>
      <c r="E70" s="47" t="s">
        <v>449</v>
      </c>
      <c r="F70" s="315">
        <f>Normalized_FCF!C92</f>
        <v>0.7796299472076299</v>
      </c>
    </row>
    <row r="72" spans="1:6">
      <c r="B72" s="210" t="s">
        <v>451</v>
      </c>
      <c r="C72" s="344" t="s">
        <v>453</v>
      </c>
      <c r="D72" s="344" t="s">
        <v>454</v>
      </c>
    </row>
    <row r="73" spans="1:6">
      <c r="B73" s="47" t="s">
        <v>452</v>
      </c>
      <c r="C73" s="92">
        <f>Normalized_FCF!C120</f>
        <v>0.23409392300550072</v>
      </c>
      <c r="D73" s="92">
        <f>Normalized_FCF!G120</f>
        <v>0.25256959684173202</v>
      </c>
    </row>
    <row r="74" spans="1:6">
      <c r="B74" s="259" t="str">
        <f>Normalized_FCF!B117</f>
        <v>Pre-tax Profit/Sales</v>
      </c>
      <c r="C74" s="343">
        <f>Normalized_FCF!C117</f>
        <v>0.173581864935303</v>
      </c>
      <c r="D74" s="343">
        <f>Normalized_FCF!G117</f>
        <v>0.18394654535282634</v>
      </c>
    </row>
    <row r="75" spans="1:6">
      <c r="B75" s="259" t="str">
        <f>Normalized_FCF!B118</f>
        <v>Sales/Total Assets</v>
      </c>
      <c r="C75" s="345">
        <f>Normalized_FCF!C118</f>
        <v>0.69418106703013427</v>
      </c>
      <c r="D75" s="345">
        <f>Normalized_FCF!G118</f>
        <v>0.70676723862204571</v>
      </c>
    </row>
    <row r="76" spans="1:6">
      <c r="B76" s="259" t="str">
        <f>Normalized_FCF!B119</f>
        <v>Total Assets/Equity</v>
      </c>
      <c r="C76" s="345">
        <f>Normalized_FCF!C119</f>
        <v>1.9427325871638936</v>
      </c>
      <c r="D76" s="345">
        <f>Normalized_FCF!G119</f>
        <v>1.9427325871638936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22.660323311005019</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270317959.52999997</v>
      </c>
      <c r="D102" s="1" t="str">
        <f>Reporting_currency</f>
        <v>CNY</v>
      </c>
    </row>
    <row r="103" spans="2:6">
      <c r="B103" s="47" t="s">
        <v>282</v>
      </c>
      <c r="C103" s="223">
        <f>C102*scaling_factor*Exchange_Rate/Common_Shares</f>
        <v>0.46892996273789717</v>
      </c>
      <c r="D103" s="1" t="str">
        <f>Market_currency</f>
        <v>CNY</v>
      </c>
    </row>
    <row r="104" spans="2:6">
      <c r="B104" s="296" t="s">
        <v>405</v>
      </c>
      <c r="C104" s="346">
        <f>IF(BS!G31/BS!G27&gt;300%,"nm",BS!G31/BS!G27)</f>
        <v>6.0553888114002474E-2</v>
      </c>
    </row>
    <row r="105" spans="2:6">
      <c r="B105" s="296" t="s">
        <v>407</v>
      </c>
      <c r="C105" s="347">
        <f>IF(BS!C50&gt;30,"nm",BS!C50)</f>
        <v>0.26060254325045429</v>
      </c>
    </row>
    <row r="107" spans="2:6">
      <c r="B107" s="1" t="s">
        <v>255</v>
      </c>
    </row>
    <row r="108" spans="2:6">
      <c r="B108" s="47" t="s">
        <v>265</v>
      </c>
      <c r="C108" s="76">
        <f>BS!C66</f>
        <v>1723046566.25</v>
      </c>
      <c r="D108" s="1" t="str">
        <f>Reporting_currency</f>
        <v>CNY</v>
      </c>
    </row>
    <row r="109" spans="2:6">
      <c r="B109" s="47" t="s">
        <v>267</v>
      </c>
      <c r="C109" s="76">
        <f>DCF!C8</f>
        <v>790701386.39893258</v>
      </c>
      <c r="D109" s="1" t="str">
        <f>Reporting_currency</f>
        <v>CNY</v>
      </c>
    </row>
    <row r="110" spans="2:6">
      <c r="B110" s="47" t="s">
        <v>283</v>
      </c>
      <c r="C110" s="223">
        <f>C109*scaling_factor*Exchange_Rate/Common_Shares</f>
        <v>1.3716571858767135</v>
      </c>
      <c r="D110" s="1" t="str">
        <f>Market_currency</f>
        <v>CNY</v>
      </c>
    </row>
    <row r="112" spans="2:6">
      <c r="B112" s="1" t="s">
        <v>257</v>
      </c>
    </row>
    <row r="113" spans="1:6">
      <c r="B113" s="47" t="s">
        <v>258</v>
      </c>
      <c r="C113" s="76">
        <f>DCF!C9</f>
        <v>30193430.795999996</v>
      </c>
      <c r="D113" s="1" t="str">
        <f>Reporting_currency</f>
        <v>CNY</v>
      </c>
    </row>
    <row r="114" spans="1:6">
      <c r="B114" s="47" t="s">
        <v>284</v>
      </c>
      <c r="C114" s="223">
        <f>C113*scaling_factor*Exchange_Rate/Common_Shares</f>
        <v>5.2377594158801083E-2</v>
      </c>
      <c r="D114" s="1" t="str">
        <f>Market_currency</f>
        <v>CNY</v>
      </c>
    </row>
    <row r="116" spans="1:6" ht="24.5" customHeight="1">
      <c r="B116" s="350" t="s">
        <v>367</v>
      </c>
      <c r="C116" s="350"/>
      <c r="D116" s="350"/>
      <c r="E116" s="350"/>
      <c r="F116" s="350"/>
    </row>
    <row r="118" spans="1:6">
      <c r="B118" s="47" t="s">
        <v>450</v>
      </c>
      <c r="C118" s="223">
        <f>IF(valuation_method="DCF",DCF!C12,DDM!C7)</f>
        <v>23.615428128302636</v>
      </c>
      <c r="D118" s="1" t="str">
        <f>Market_currency</f>
        <v>CNY</v>
      </c>
    </row>
    <row r="119" spans="1:6">
      <c r="B119" s="296" t="s">
        <v>406</v>
      </c>
      <c r="C119" s="223">
        <f>BS!D47</f>
        <v>-0.43338518935931036</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259</v>
      </c>
      <c r="C132" s="217">
        <f>Scenarios!C60</f>
        <v>25.584938697660867</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603279.SS</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10.705085959638616</v>
      </c>
    </row>
    <row r="149" spans="2:4">
      <c r="B149" s="80" t="s">
        <v>261</v>
      </c>
      <c r="C149" s="215">
        <f>Scenarios!C83</f>
        <v>12.534408209968158</v>
      </c>
      <c r="D149" s="300" t="str">
        <f>IF($D$11="","",C149*$E$25)</f>
        <v/>
      </c>
    </row>
    <row r="150" spans="2:4">
      <c r="B150" s="259" t="s">
        <v>417</v>
      </c>
      <c r="C150" s="298" t="str">
        <f>Market_currency</f>
        <v>CNY</v>
      </c>
      <c r="D150" s="298" t="str">
        <f>IF($D$11="","",D$13)</f>
        <v/>
      </c>
    </row>
    <row r="151" spans="2:4">
      <c r="B151" s="214" t="s">
        <v>263</v>
      </c>
      <c r="C151" s="92">
        <f>Scenarios!F83</f>
        <v>0.51008644741782672</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261</v>
      </c>
      <c r="C157" s="215">
        <f>Scenarios!C93</f>
        <v>17.577047192866189</v>
      </c>
      <c r="D157" s="300" t="str">
        <f>IF($D$11="","",C157*$E$25)</f>
        <v/>
      </c>
    </row>
    <row r="158" spans="2:4">
      <c r="B158" s="259" t="s">
        <v>417</v>
      </c>
      <c r="C158" s="298" t="str">
        <f>Market_currency</f>
        <v>CNY</v>
      </c>
      <c r="D158" s="298" t="str">
        <f>IF($D$11="","",D$13)</f>
        <v/>
      </c>
    </row>
    <row r="159" spans="2:4">
      <c r="B159" s="214" t="s">
        <v>263</v>
      </c>
      <c r="C159" s="92">
        <f>Scenarios!F93</f>
        <v>0.31299240539227124</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402</v>
      </c>
      <c r="C165" s="215">
        <f>Scenarios!C99</f>
        <v>24.315000552184742</v>
      </c>
      <c r="D165" s="300" t="str">
        <f>IF($D$11="","",C165*$E$25)</f>
        <v/>
      </c>
    </row>
    <row r="166" spans="2:4">
      <c r="B166" s="259" t="s">
        <v>417</v>
      </c>
      <c r="C166" s="298" t="str">
        <f>Market_currency</f>
        <v>CNY</v>
      </c>
      <c r="D166" s="298" t="str">
        <f>IF($D$11="","",D$13)</f>
        <v/>
      </c>
    </row>
    <row r="167" spans="2:4">
      <c r="B167" s="214" t="s">
        <v>263</v>
      </c>
      <c r="C167" s="92">
        <f>Scenarios!F99</f>
        <v>4.9636161355830488E-2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402</v>
      </c>
      <c r="C173" s="215">
        <f>Scenarios!C105</f>
        <v>22.61787767563613</v>
      </c>
      <c r="D173" s="300" t="str">
        <f>IF($D$11="","",C173*$E$25)</f>
        <v/>
      </c>
    </row>
    <row r="174" spans="2:4">
      <c r="B174" s="259" t="s">
        <v>417</v>
      </c>
      <c r="C174" s="298" t="str">
        <f>Market_currency</f>
        <v>CNY</v>
      </c>
      <c r="D174" s="298" t="str">
        <f>IF($D$11="","",D$13)</f>
        <v/>
      </c>
    </row>
    <row r="175" spans="2:4">
      <c r="B175" s="214" t="s">
        <v>263</v>
      </c>
      <c r="C175" s="92">
        <f>Scenarios!F105</f>
        <v>0.11580559118887601</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6129461219</v>
      </c>
      <c r="D4" s="334">
        <v>6249319078</v>
      </c>
      <c r="E4" s="334">
        <v>5682141447</v>
      </c>
      <c r="F4" s="334">
        <v>4651100995</v>
      </c>
      <c r="G4" s="334">
        <v>3329297918</v>
      </c>
      <c r="H4" s="334">
        <v>3310864083</v>
      </c>
      <c r="I4" s="334">
        <v>2918572854</v>
      </c>
      <c r="J4" s="334">
        <v>2210529514</v>
      </c>
      <c r="K4" s="334">
        <v>1544300894</v>
      </c>
      <c r="L4" s="334">
        <v>1583235731</v>
      </c>
      <c r="M4" s="334"/>
    </row>
    <row r="5" spans="2:13">
      <c r="B5" s="40" t="s">
        <v>43</v>
      </c>
      <c r="C5" s="334">
        <v>4407422084</v>
      </c>
      <c r="D5" s="334">
        <v>4321480843</v>
      </c>
      <c r="E5" s="334">
        <v>3978855242</v>
      </c>
      <c r="F5" s="334">
        <v>3293652640</v>
      </c>
      <c r="G5" s="334">
        <v>2298160068</v>
      </c>
      <c r="H5" s="334">
        <v>2198164870</v>
      </c>
      <c r="I5" s="334">
        <v>2065727128</v>
      </c>
      <c r="J5" s="334">
        <v>1559929846</v>
      </c>
      <c r="K5" s="334">
        <v>993637032</v>
      </c>
      <c r="L5" s="334">
        <v>996799764</v>
      </c>
      <c r="M5" s="334"/>
    </row>
    <row r="6" spans="2:13">
      <c r="B6" s="40" t="s">
        <v>54</v>
      </c>
      <c r="C6" s="334">
        <v>456603351</v>
      </c>
      <c r="D6" s="334">
        <v>451772305</v>
      </c>
      <c r="E6" s="334">
        <v>471987592</v>
      </c>
      <c r="F6" s="334">
        <v>430231756</v>
      </c>
      <c r="G6" s="334">
        <v>315308507</v>
      </c>
      <c r="H6" s="334">
        <v>532728643</v>
      </c>
      <c r="I6" s="334">
        <v>471904599</v>
      </c>
      <c r="J6" s="334">
        <v>360354823</v>
      </c>
      <c r="K6" s="334">
        <v>268427406</v>
      </c>
      <c r="L6" s="334">
        <v>341642106</v>
      </c>
      <c r="M6" s="334"/>
    </row>
    <row r="7" spans="2:13">
      <c r="B7" s="69" t="s">
        <v>61</v>
      </c>
      <c r="C7" s="335">
        <v>304923157</v>
      </c>
      <c r="D7" s="335">
        <v>285858877</v>
      </c>
      <c r="E7" s="335">
        <v>267651684</v>
      </c>
      <c r="F7" s="335">
        <v>222391023</v>
      </c>
      <c r="G7" s="335">
        <v>172179694</v>
      </c>
      <c r="H7" s="335">
        <v>410723752</v>
      </c>
      <c r="I7" s="335">
        <v>343598742</v>
      </c>
      <c r="J7" s="335">
        <v>286174672</v>
      </c>
      <c r="K7" s="335">
        <v>197063391</v>
      </c>
      <c r="L7" s="335">
        <v>242768584</v>
      </c>
      <c r="M7" s="335"/>
    </row>
    <row r="8" spans="2:13">
      <c r="B8" s="40" t="s">
        <v>49</v>
      </c>
      <c r="C8" s="334">
        <v>151760727</v>
      </c>
      <c r="D8" s="334">
        <v>210426001</v>
      </c>
      <c r="E8" s="334">
        <v>184885909</v>
      </c>
      <c r="F8" s="334">
        <v>141554165</v>
      </c>
      <c r="G8" s="334">
        <v>61678851</v>
      </c>
      <c r="H8" s="334">
        <v>68644761</v>
      </c>
      <c r="I8" s="334">
        <v>48742254</v>
      </c>
      <c r="J8" s="334">
        <v>47311155</v>
      </c>
      <c r="K8" s="334">
        <v>47605907</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6249607</v>
      </c>
      <c r="D12" s="334">
        <v>4610251</v>
      </c>
      <c r="E12" s="334">
        <v>1311423</v>
      </c>
      <c r="F12" s="334">
        <v>394228</v>
      </c>
      <c r="G12" s="334">
        <v>74051</v>
      </c>
      <c r="H12" s="334">
        <v>0</v>
      </c>
      <c r="I12" s="334">
        <v>0</v>
      </c>
      <c r="J12" s="334">
        <v>0</v>
      </c>
      <c r="K12" s="334">
        <v>0</v>
      </c>
      <c r="L12" s="334"/>
      <c r="M12" s="334"/>
    </row>
    <row r="13" spans="2:13">
      <c r="B13" s="40" t="s">
        <v>67</v>
      </c>
      <c r="C13" s="334">
        <v>37086796</v>
      </c>
      <c r="D13" s="334">
        <v>31023567</v>
      </c>
      <c r="E13" s="334">
        <v>31991799</v>
      </c>
      <c r="F13" s="334">
        <v>18258659</v>
      </c>
      <c r="G13" s="334">
        <v>12674421</v>
      </c>
      <c r="H13" s="334">
        <v>7073727</v>
      </c>
      <c r="I13" s="334">
        <v>0</v>
      </c>
      <c r="J13" s="334">
        <v>0</v>
      </c>
      <c r="K13" s="334">
        <v>0</v>
      </c>
      <c r="L13" s="334"/>
      <c r="M13" s="334"/>
    </row>
    <row r="14" spans="2:13">
      <c r="B14" s="40" t="s">
        <v>50</v>
      </c>
      <c r="C14" s="334">
        <v>260714131</v>
      </c>
      <c r="D14" s="334">
        <v>289376410</v>
      </c>
      <c r="E14" s="334">
        <v>224010347</v>
      </c>
      <c r="F14" s="334">
        <v>153720766</v>
      </c>
      <c r="G14" s="334">
        <v>137748165</v>
      </c>
      <c r="H14" s="334">
        <v>101545465</v>
      </c>
      <c r="I14" s="334">
        <v>85553107</v>
      </c>
      <c r="J14" s="334">
        <v>50017037</v>
      </c>
      <c r="K14" s="334">
        <v>42676057</v>
      </c>
      <c r="L14" s="334">
        <v>47144437</v>
      </c>
      <c r="M14" s="334"/>
    </row>
    <row r="15" spans="2:13">
      <c r="B15" s="43" t="s">
        <v>42</v>
      </c>
      <c r="C15" s="336">
        <v>848231191</v>
      </c>
      <c r="D15" s="336">
        <v>1008089459</v>
      </c>
      <c r="E15" s="336">
        <v>833918670</v>
      </c>
      <c r="F15" s="336">
        <v>647006086</v>
      </c>
      <c r="G15" s="336">
        <v>514682567</v>
      </c>
      <c r="H15" s="336">
        <v>413076950</v>
      </c>
      <c r="I15" s="336">
        <v>244475736</v>
      </c>
      <c r="J15" s="336">
        <v>205956703</v>
      </c>
      <c r="K15" s="336">
        <v>159744960</v>
      </c>
      <c r="L15" s="336">
        <v>142611679</v>
      </c>
      <c r="M15" s="336"/>
    </row>
    <row r="16" spans="2:13">
      <c r="B16" s="28" t="s">
        <v>44</v>
      </c>
      <c r="C16" s="334">
        <v>0</v>
      </c>
      <c r="D16" s="334">
        <v>0</v>
      </c>
      <c r="E16" s="334">
        <v>0</v>
      </c>
      <c r="F16" s="334">
        <v>0</v>
      </c>
      <c r="G16" s="334">
        <v>0</v>
      </c>
      <c r="H16" s="334">
        <v>0</v>
      </c>
      <c r="I16" s="334">
        <v>0</v>
      </c>
      <c r="J16" s="334">
        <v>0</v>
      </c>
      <c r="K16" s="334">
        <v>0</v>
      </c>
      <c r="L16" s="334">
        <v>0</v>
      </c>
      <c r="M16" s="334"/>
    </row>
    <row r="18" spans="2:13">
      <c r="B18" s="16" t="s">
        <v>51</v>
      </c>
      <c r="C18" s="9"/>
    </row>
    <row r="19" spans="2:13">
      <c r="B19" s="27" t="s">
        <v>47</v>
      </c>
      <c r="C19" s="334">
        <v>213321215</v>
      </c>
      <c r="D19" s="334">
        <v>173104850</v>
      </c>
      <c r="E19" s="334">
        <v>130450506</v>
      </c>
      <c r="F19" s="334">
        <v>105234144</v>
      </c>
      <c r="G19" s="334">
        <v>99116575</v>
      </c>
      <c r="H19" s="334">
        <v>95719410</v>
      </c>
      <c r="I19" s="334">
        <v>87904740</v>
      </c>
      <c r="J19" s="334">
        <v>78828048</v>
      </c>
      <c r="K19" s="334">
        <v>74835527</v>
      </c>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1040530375</v>
      </c>
      <c r="D22" s="334">
        <v>268029963</v>
      </c>
      <c r="E22" s="334">
        <v>1022817247</v>
      </c>
      <c r="F22" s="334">
        <v>577079594</v>
      </c>
      <c r="G22" s="334">
        <v>610942604</v>
      </c>
      <c r="H22" s="334">
        <v>443891507</v>
      </c>
      <c r="I22" s="334">
        <v>326910600</v>
      </c>
      <c r="J22" s="334">
        <v>29944782</v>
      </c>
      <c r="K22" s="334">
        <v>366836089</v>
      </c>
      <c r="L22" s="334">
        <v>298070452</v>
      </c>
      <c r="M22" s="334"/>
    </row>
    <row r="23" spans="2:13">
      <c r="B23" s="27" t="s">
        <v>374</v>
      </c>
      <c r="C23" s="334">
        <v>-241780101</v>
      </c>
      <c r="D23" s="334">
        <v>-44910807</v>
      </c>
      <c r="E23" s="334">
        <v>-310348060</v>
      </c>
      <c r="F23" s="334">
        <v>-333430153</v>
      </c>
      <c r="G23" s="334">
        <v>206352378</v>
      </c>
      <c r="H23" s="334">
        <v>-307940933</v>
      </c>
      <c r="I23" s="334">
        <v>-21315461</v>
      </c>
      <c r="J23" s="334">
        <v>-61592804</v>
      </c>
      <c r="K23" s="334">
        <v>-40659058</v>
      </c>
      <c r="L23" s="334">
        <v>-49353967</v>
      </c>
      <c r="M23" s="334"/>
    </row>
    <row r="24" spans="2:13">
      <c r="B24" s="27" t="s">
        <v>373</v>
      </c>
      <c r="C24" s="334">
        <v>-865081548</v>
      </c>
      <c r="D24" s="334">
        <v>-517389967</v>
      </c>
      <c r="E24" s="334">
        <v>-285534453</v>
      </c>
      <c r="F24" s="334">
        <v>-463128689</v>
      </c>
      <c r="G24" s="334">
        <v>-123908474</v>
      </c>
      <c r="H24" s="334">
        <v>261892739</v>
      </c>
      <c r="I24" s="334">
        <v>-5745476</v>
      </c>
      <c r="J24" s="334">
        <v>-109372169</v>
      </c>
      <c r="K24" s="334">
        <v>-375277495</v>
      </c>
      <c r="L24" s="334">
        <v>-28573770</v>
      </c>
      <c r="M24" s="334"/>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23">
        <f>BS!C4</f>
        <v>1180157900.1600001</v>
      </c>
      <c r="D28" s="334">
        <v>851687201</v>
      </c>
      <c r="E28" s="334">
        <v>790890033</v>
      </c>
      <c r="F28" s="334">
        <v>567013771</v>
      </c>
      <c r="G28" s="334">
        <v>458930449</v>
      </c>
      <c r="H28" s="334">
        <v>595526269</v>
      </c>
      <c r="I28" s="334">
        <v>643156397</v>
      </c>
      <c r="J28" s="334">
        <v>642505610</v>
      </c>
      <c r="K28" s="334">
        <v>606387186</v>
      </c>
      <c r="L28" s="334">
        <v>754112914</v>
      </c>
      <c r="M28" s="334"/>
    </row>
    <row r="29" spans="2:13">
      <c r="B29" s="26" t="s">
        <v>32</v>
      </c>
      <c r="C29" s="323">
        <f>BS!C6</f>
        <v>2566018245.5700002</v>
      </c>
      <c r="D29" s="334">
        <v>2819492731</v>
      </c>
      <c r="E29" s="334">
        <v>2459595915</v>
      </c>
      <c r="F29" s="334">
        <v>1867069694</v>
      </c>
      <c r="G29" s="334">
        <v>1603890018</v>
      </c>
      <c r="H29" s="334">
        <v>1464309401</v>
      </c>
      <c r="I29" s="334">
        <v>1241320451</v>
      </c>
      <c r="J29" s="334">
        <v>957439830</v>
      </c>
      <c r="K29" s="334">
        <v>589826147</v>
      </c>
      <c r="L29" s="334">
        <v>412378412</v>
      </c>
      <c r="M29" s="334"/>
    </row>
    <row r="30" spans="2:13">
      <c r="B30" s="29" t="s">
        <v>40</v>
      </c>
      <c r="C30" s="324">
        <f>BS!C33+BS!C42</f>
        <v>4208442385.48</v>
      </c>
      <c r="D30" s="336">
        <v>4086723205</v>
      </c>
      <c r="E30" s="336">
        <v>3962039491</v>
      </c>
      <c r="F30" s="336">
        <v>2581011486</v>
      </c>
      <c r="G30" s="336">
        <v>2275269694</v>
      </c>
      <c r="H30" s="336">
        <v>2004846282</v>
      </c>
      <c r="I30" s="336">
        <v>1560581012</v>
      </c>
      <c r="J30" s="336">
        <v>1160274283</v>
      </c>
      <c r="K30" s="336">
        <v>894522509</v>
      </c>
      <c r="L30" s="336">
        <v>1020621379</v>
      </c>
      <c r="M30" s="336"/>
    </row>
    <row r="31" spans="2:13">
      <c r="B31" s="29" t="s">
        <v>30</v>
      </c>
      <c r="C31" s="324">
        <f>BS!G27</f>
        <v>4464089226.1300011</v>
      </c>
      <c r="D31" s="336">
        <v>4542064792</v>
      </c>
      <c r="E31" s="336">
        <v>4014575003</v>
      </c>
      <c r="F31" s="336">
        <v>3369724644</v>
      </c>
      <c r="G31" s="336">
        <v>2971650742</v>
      </c>
      <c r="H31" s="336">
        <v>2672345812</v>
      </c>
      <c r="I31" s="336">
        <v>2009953108</v>
      </c>
      <c r="J31" s="336">
        <v>1762034156</v>
      </c>
      <c r="K31" s="336">
        <v>1651561675</v>
      </c>
      <c r="L31" s="336">
        <v>1489799476</v>
      </c>
      <c r="M31" s="336"/>
    </row>
    <row r="32" spans="2:13">
      <c r="B32" s="26" t="s">
        <v>173</v>
      </c>
      <c r="C32" s="323">
        <f>BS!G28</f>
        <v>0</v>
      </c>
      <c r="D32" s="334">
        <v>0</v>
      </c>
      <c r="E32" s="334">
        <v>0</v>
      </c>
      <c r="F32" s="334">
        <v>0</v>
      </c>
      <c r="G32" s="334">
        <v>0</v>
      </c>
      <c r="H32" s="334">
        <v>0</v>
      </c>
      <c r="I32" s="334">
        <v>0</v>
      </c>
      <c r="J32" s="334">
        <v>0</v>
      </c>
      <c r="K32" s="334">
        <v>0</v>
      </c>
      <c r="L32" s="334">
        <v>0</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6129461219</v>
      </c>
      <c r="D36" s="323">
        <f t="shared" si="1"/>
        <v>6249319078</v>
      </c>
      <c r="E36" s="323">
        <f t="shared" si="1"/>
        <v>5682141447</v>
      </c>
      <c r="F36" s="323">
        <f t="shared" si="1"/>
        <v>4651100995</v>
      </c>
      <c r="G36" s="323">
        <f t="shared" si="1"/>
        <v>3329297918</v>
      </c>
      <c r="H36" s="323">
        <f t="shared" si="1"/>
        <v>3310864083</v>
      </c>
      <c r="I36" s="323">
        <f t="shared" si="1"/>
        <v>2918572854</v>
      </c>
      <c r="J36" s="323">
        <f t="shared" si="1"/>
        <v>2210529514</v>
      </c>
      <c r="K36" s="323">
        <f t="shared" si="1"/>
        <v>1544300894</v>
      </c>
      <c r="L36" s="323">
        <f t="shared" si="1"/>
        <v>1583235731</v>
      </c>
      <c r="M36" s="323" t="str">
        <f t="shared" si="1"/>
        <v/>
      </c>
    </row>
    <row r="37" spans="2:13">
      <c r="B37" s="40" t="s">
        <v>43</v>
      </c>
      <c r="C37" s="323">
        <f t="shared" ref="C37:M37" si="2">IF(C$4="","",-C5)</f>
        <v>-4407422084</v>
      </c>
      <c r="D37" s="323">
        <f t="shared" si="2"/>
        <v>-4321480843</v>
      </c>
      <c r="E37" s="323">
        <f t="shared" si="2"/>
        <v>-3978855242</v>
      </c>
      <c r="F37" s="323">
        <f t="shared" si="2"/>
        <v>-3293652640</v>
      </c>
      <c r="G37" s="323">
        <f t="shared" si="2"/>
        <v>-2298160068</v>
      </c>
      <c r="H37" s="323">
        <f t="shared" si="2"/>
        <v>-2198164870</v>
      </c>
      <c r="I37" s="323">
        <f t="shared" si="2"/>
        <v>-2065727128</v>
      </c>
      <c r="J37" s="323">
        <f t="shared" si="2"/>
        <v>-1559929846</v>
      </c>
      <c r="K37" s="323">
        <f t="shared" si="2"/>
        <v>-993637032</v>
      </c>
      <c r="L37" s="323">
        <f t="shared" si="2"/>
        <v>-996799764</v>
      </c>
      <c r="M37" s="323" t="str">
        <f t="shared" si="2"/>
        <v/>
      </c>
    </row>
    <row r="38" spans="2:13">
      <c r="B38" s="31" t="s">
        <v>58</v>
      </c>
      <c r="C38" s="319">
        <f>IF(C36="","",C36+C37)</f>
        <v>1722039135</v>
      </c>
      <c r="D38" s="319">
        <f t="shared" ref="D38" si="3">IF(D36="","",D36+D37)</f>
        <v>1927838235</v>
      </c>
      <c r="E38" s="319">
        <f t="shared" ref="E38" si="4">IF(E36="","",E36+E37)</f>
        <v>1703286205</v>
      </c>
      <c r="F38" s="319">
        <f t="shared" ref="F38" si="5">IF(F36="","",F36+F37)</f>
        <v>1357448355</v>
      </c>
      <c r="G38" s="319">
        <f t="shared" ref="G38" si="6">IF(G36="","",G36+G37)</f>
        <v>1031137850</v>
      </c>
      <c r="H38" s="319">
        <f t="shared" ref="H38" si="7">IF(H36="","",H36+H37)</f>
        <v>1112699213</v>
      </c>
      <c r="I38" s="319">
        <f t="shared" ref="I38" si="8">IF(I36="","",I36+I37)</f>
        <v>852845726</v>
      </c>
      <c r="J38" s="319">
        <f t="shared" ref="J38" si="9">IF(J36="","",J36+J37)</f>
        <v>650599668</v>
      </c>
      <c r="K38" s="319">
        <f t="shared" ref="K38" si="10">IF(K36="","",K36+K37)</f>
        <v>550663862</v>
      </c>
      <c r="L38" s="319">
        <f t="shared" ref="L38" si="11">IF(L36="","",L36+L37)</f>
        <v>586435967</v>
      </c>
      <c r="M38" s="319" t="str">
        <f t="shared" ref="M38" si="12">IF(M36="","",M36+M37)</f>
        <v/>
      </c>
    </row>
    <row r="39" spans="2:13">
      <c r="B39" s="40" t="s">
        <v>54</v>
      </c>
      <c r="C39" s="323">
        <f t="shared" ref="C39:M39" si="13">IF(C$4="","",-C6)</f>
        <v>-456603351</v>
      </c>
      <c r="D39" s="323">
        <f t="shared" si="13"/>
        <v>-451772305</v>
      </c>
      <c r="E39" s="323">
        <f t="shared" si="13"/>
        <v>-471987592</v>
      </c>
      <c r="F39" s="323">
        <f t="shared" si="13"/>
        <v>-430231756</v>
      </c>
      <c r="G39" s="323">
        <f t="shared" si="13"/>
        <v>-315308507</v>
      </c>
      <c r="H39" s="323">
        <f t="shared" si="13"/>
        <v>-532728643</v>
      </c>
      <c r="I39" s="323">
        <f t="shared" si="13"/>
        <v>-471904599</v>
      </c>
      <c r="J39" s="323">
        <f t="shared" si="13"/>
        <v>-360354823</v>
      </c>
      <c r="K39" s="323">
        <f t="shared" si="13"/>
        <v>-268427406</v>
      </c>
      <c r="L39" s="323">
        <f t="shared" si="13"/>
        <v>-341642106</v>
      </c>
      <c r="M39" s="323" t="str">
        <f t="shared" si="13"/>
        <v/>
      </c>
    </row>
    <row r="40" spans="2:13">
      <c r="B40" s="69" t="s">
        <v>61</v>
      </c>
      <c r="C40" s="333">
        <f t="shared" ref="C40:M40" si="14">IF(C$4="","",-C7)</f>
        <v>-304923157</v>
      </c>
      <c r="D40" s="333">
        <f t="shared" si="14"/>
        <v>-285858877</v>
      </c>
      <c r="E40" s="333">
        <f t="shared" si="14"/>
        <v>-267651684</v>
      </c>
      <c r="F40" s="333">
        <f t="shared" si="14"/>
        <v>-222391023</v>
      </c>
      <c r="G40" s="333">
        <f t="shared" si="14"/>
        <v>-172179694</v>
      </c>
      <c r="H40" s="333">
        <f t="shared" si="14"/>
        <v>-410723752</v>
      </c>
      <c r="I40" s="333">
        <f t="shared" si="14"/>
        <v>-343598742</v>
      </c>
      <c r="J40" s="333">
        <f t="shared" si="14"/>
        <v>-286174672</v>
      </c>
      <c r="K40" s="333">
        <f t="shared" si="14"/>
        <v>-197063391</v>
      </c>
      <c r="L40" s="333">
        <f t="shared" si="14"/>
        <v>-242768584</v>
      </c>
      <c r="M40" s="333" t="str">
        <f t="shared" si="14"/>
        <v/>
      </c>
    </row>
    <row r="41" spans="2:13">
      <c r="B41" s="69" t="s">
        <v>64</v>
      </c>
      <c r="C41" s="333">
        <f>IF(C$4="","",C39-C40)</f>
        <v>-151680194</v>
      </c>
      <c r="D41" s="333">
        <f t="shared" ref="D41:M41" si="15">IF(D$4="","",D39-D40)</f>
        <v>-165913428</v>
      </c>
      <c r="E41" s="333">
        <f t="shared" si="15"/>
        <v>-204335908</v>
      </c>
      <c r="F41" s="333">
        <f t="shared" si="15"/>
        <v>-207840733</v>
      </c>
      <c r="G41" s="333">
        <f t="shared" si="15"/>
        <v>-143128813</v>
      </c>
      <c r="H41" s="333">
        <f t="shared" si="15"/>
        <v>-122004891</v>
      </c>
      <c r="I41" s="333">
        <f t="shared" si="15"/>
        <v>-128305857</v>
      </c>
      <c r="J41" s="333">
        <f t="shared" si="15"/>
        <v>-74180151</v>
      </c>
      <c r="K41" s="333">
        <f t="shared" si="15"/>
        <v>-71364015</v>
      </c>
      <c r="L41" s="333">
        <f t="shared" si="15"/>
        <v>-98873522</v>
      </c>
      <c r="M41" s="333" t="str">
        <f t="shared" si="15"/>
        <v/>
      </c>
    </row>
    <row r="42" spans="2:13">
      <c r="B42" s="40" t="s">
        <v>49</v>
      </c>
      <c r="C42" s="323">
        <f t="shared" ref="C42:M42" si="16">IF(C$4="","",-C8)</f>
        <v>-151760727</v>
      </c>
      <c r="D42" s="323">
        <f t="shared" si="16"/>
        <v>-210426001</v>
      </c>
      <c r="E42" s="323">
        <f t="shared" si="16"/>
        <v>-184885909</v>
      </c>
      <c r="F42" s="323">
        <f t="shared" si="16"/>
        <v>-141554165</v>
      </c>
      <c r="G42" s="323">
        <f t="shared" si="16"/>
        <v>-61678851</v>
      </c>
      <c r="H42" s="323">
        <f t="shared" si="16"/>
        <v>-68644761</v>
      </c>
      <c r="I42" s="323">
        <f t="shared" si="16"/>
        <v>-48742254</v>
      </c>
      <c r="J42" s="323">
        <f t="shared" si="16"/>
        <v>-47311155</v>
      </c>
      <c r="K42" s="323">
        <f t="shared" si="16"/>
        <v>-47605907</v>
      </c>
      <c r="L42" s="323">
        <f t="shared" si="16"/>
        <v>0</v>
      </c>
      <c r="M42" s="323" t="str">
        <f t="shared" si="16"/>
        <v/>
      </c>
    </row>
    <row r="43" spans="2:13">
      <c r="B43" s="43" t="s">
        <v>153</v>
      </c>
      <c r="C43" s="324">
        <f>IF(C$4="","",C38+C39+C42)</f>
        <v>1113675057</v>
      </c>
      <c r="D43" s="324">
        <f t="shared" ref="D43:M43" si="17">IF(D$4="","",D38+D39+D42)</f>
        <v>1265639929</v>
      </c>
      <c r="E43" s="324">
        <f t="shared" si="17"/>
        <v>1046412704</v>
      </c>
      <c r="F43" s="324">
        <f t="shared" si="17"/>
        <v>785662434</v>
      </c>
      <c r="G43" s="324">
        <f t="shared" si="17"/>
        <v>654150492</v>
      </c>
      <c r="H43" s="324">
        <f t="shared" si="17"/>
        <v>511325809</v>
      </c>
      <c r="I43" s="324">
        <f t="shared" si="17"/>
        <v>332198873</v>
      </c>
      <c r="J43" s="324">
        <f t="shared" si="17"/>
        <v>242933690</v>
      </c>
      <c r="K43" s="324">
        <f t="shared" si="17"/>
        <v>234630549</v>
      </c>
      <c r="L43" s="324">
        <f t="shared" si="17"/>
        <v>244793861</v>
      </c>
      <c r="M43" s="324" t="str">
        <f t="shared" si="17"/>
        <v/>
      </c>
    </row>
    <row r="44" spans="2:13">
      <c r="B44" s="43" t="s">
        <v>169</v>
      </c>
      <c r="C44" s="180">
        <f t="shared" ref="C44:M44" si="18">IF(C$4="","",C47-C46-C45-C43)</f>
        <v>-35566924</v>
      </c>
      <c r="D44" s="180">
        <f t="shared" si="18"/>
        <v>5412624</v>
      </c>
      <c r="E44" s="180">
        <f t="shared" si="18"/>
        <v>-19164063</v>
      </c>
      <c r="F44" s="180">
        <f t="shared" si="18"/>
        <v>-2800013</v>
      </c>
      <c r="G44" s="180">
        <f t="shared" si="18"/>
        <v>-14320130</v>
      </c>
      <c r="H44" s="180">
        <f t="shared" si="18"/>
        <v>-3777121</v>
      </c>
      <c r="I44" s="180">
        <f t="shared" si="18"/>
        <v>-2170030</v>
      </c>
      <c r="J44" s="180">
        <f t="shared" si="18"/>
        <v>13040050</v>
      </c>
      <c r="K44" s="180">
        <f t="shared" si="18"/>
        <v>-32209532</v>
      </c>
      <c r="L44" s="180">
        <f t="shared" si="18"/>
        <v>-55037745</v>
      </c>
      <c r="M44" s="180" t="str">
        <f t="shared" si="18"/>
        <v/>
      </c>
    </row>
    <row r="45" spans="2:13">
      <c r="B45" s="40" t="s">
        <v>68</v>
      </c>
      <c r="C45" s="76">
        <f t="shared" ref="C45:M45" si="19">IF(C$4="","",C51+C52)</f>
        <v>30837189</v>
      </c>
      <c r="D45" s="76">
        <f t="shared" si="19"/>
        <v>26413316</v>
      </c>
      <c r="E45" s="76">
        <f t="shared" si="19"/>
        <v>30680376</v>
      </c>
      <c r="F45" s="76">
        <f t="shared" si="19"/>
        <v>17864431</v>
      </c>
      <c r="G45" s="76">
        <f t="shared" si="19"/>
        <v>12600370</v>
      </c>
      <c r="H45" s="76">
        <f t="shared" si="19"/>
        <v>7073727</v>
      </c>
      <c r="I45" s="76">
        <f t="shared" si="19"/>
        <v>0</v>
      </c>
      <c r="J45" s="76">
        <f t="shared" si="19"/>
        <v>0</v>
      </c>
      <c r="K45" s="76">
        <f t="shared" si="19"/>
        <v>0</v>
      </c>
      <c r="L45" s="76">
        <f t="shared" si="19"/>
        <v>0</v>
      </c>
      <c r="M45" s="76" t="str">
        <f t="shared" si="19"/>
        <v/>
      </c>
    </row>
    <row r="46" spans="2:13">
      <c r="B46" s="40" t="s">
        <v>50</v>
      </c>
      <c r="C46" s="323">
        <f t="shared" ref="C46:M46" si="20">IF(C$4="","",-C14)</f>
        <v>-260714131</v>
      </c>
      <c r="D46" s="323">
        <f t="shared" si="20"/>
        <v>-289376410</v>
      </c>
      <c r="E46" s="323">
        <f t="shared" si="20"/>
        <v>-224010347</v>
      </c>
      <c r="F46" s="323">
        <f t="shared" si="20"/>
        <v>-153720766</v>
      </c>
      <c r="G46" s="323">
        <f t="shared" si="20"/>
        <v>-137748165</v>
      </c>
      <c r="H46" s="323">
        <f t="shared" si="20"/>
        <v>-101545465</v>
      </c>
      <c r="I46" s="323">
        <f t="shared" si="20"/>
        <v>-85553107</v>
      </c>
      <c r="J46" s="323">
        <f t="shared" si="20"/>
        <v>-50017037</v>
      </c>
      <c r="K46" s="323">
        <f t="shared" si="20"/>
        <v>-42676057</v>
      </c>
      <c r="L46" s="323">
        <f t="shared" si="20"/>
        <v>-47144437</v>
      </c>
      <c r="M46" s="323" t="str">
        <f t="shared" si="20"/>
        <v/>
      </c>
    </row>
    <row r="47" spans="2:13">
      <c r="B47" s="43" t="s">
        <v>42</v>
      </c>
      <c r="C47" s="324">
        <f t="shared" ref="C47:M47" si="21">IF(C$4="","",C15)</f>
        <v>848231191</v>
      </c>
      <c r="D47" s="324">
        <f t="shared" si="21"/>
        <v>1008089459</v>
      </c>
      <c r="E47" s="324">
        <f t="shared" si="21"/>
        <v>833918670</v>
      </c>
      <c r="F47" s="324">
        <f t="shared" si="21"/>
        <v>647006086</v>
      </c>
      <c r="G47" s="324">
        <f t="shared" si="21"/>
        <v>514682567</v>
      </c>
      <c r="H47" s="324">
        <f t="shared" si="21"/>
        <v>413076950</v>
      </c>
      <c r="I47" s="324">
        <f t="shared" si="21"/>
        <v>244475736</v>
      </c>
      <c r="J47" s="324">
        <f t="shared" si="21"/>
        <v>205956703</v>
      </c>
      <c r="K47" s="324">
        <f t="shared" si="21"/>
        <v>159744960</v>
      </c>
      <c r="L47" s="324">
        <f t="shared" si="21"/>
        <v>142611679</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-6249607</v>
      </c>
      <c r="D51" s="323">
        <f t="shared" si="23"/>
        <v>-4610251</v>
      </c>
      <c r="E51" s="323">
        <f t="shared" si="23"/>
        <v>-1311423</v>
      </c>
      <c r="F51" s="323">
        <f t="shared" si="23"/>
        <v>-394228</v>
      </c>
      <c r="G51" s="323">
        <f t="shared" si="23"/>
        <v>-74051</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37086796</v>
      </c>
      <c r="D52" s="323">
        <f t="shared" si="24"/>
        <v>31023567</v>
      </c>
      <c r="E52" s="323">
        <f t="shared" si="24"/>
        <v>31991799</v>
      </c>
      <c r="F52" s="323">
        <f t="shared" si="24"/>
        <v>18258659</v>
      </c>
      <c r="G52" s="323">
        <f t="shared" si="24"/>
        <v>12674421</v>
      </c>
      <c r="H52" s="323">
        <f t="shared" si="24"/>
        <v>7073727</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-35566924</v>
      </c>
      <c r="D58" s="76">
        <f t="shared" ref="D58:M58" si="28">IF(D$4="","",D44-D55-D56-D57)</f>
        <v>5412624</v>
      </c>
      <c r="E58" s="76">
        <f t="shared" si="28"/>
        <v>-19164063</v>
      </c>
      <c r="F58" s="76">
        <f t="shared" si="28"/>
        <v>-2800013</v>
      </c>
      <c r="G58" s="76">
        <f t="shared" si="28"/>
        <v>-14320130</v>
      </c>
      <c r="H58" s="76">
        <f t="shared" si="28"/>
        <v>-3777121</v>
      </c>
      <c r="I58" s="76">
        <f t="shared" si="28"/>
        <v>-2170030</v>
      </c>
      <c r="J58" s="76">
        <f t="shared" si="28"/>
        <v>13040050</v>
      </c>
      <c r="K58" s="76">
        <f t="shared" si="28"/>
        <v>-32209532</v>
      </c>
      <c r="L58" s="76">
        <f t="shared" si="28"/>
        <v>-55037745</v>
      </c>
      <c r="M58" s="76" t="str">
        <f t="shared" si="28"/>
        <v/>
      </c>
    </row>
    <row r="60" spans="2:13">
      <c r="B60" s="16" t="s">
        <v>51</v>
      </c>
      <c r="C60" s="9"/>
    </row>
    <row r="61" spans="2:13">
      <c r="B61" s="27" t="s">
        <v>47</v>
      </c>
      <c r="C61" s="323">
        <f>IF(C$4="","",-C19)</f>
        <v>-213321215</v>
      </c>
      <c r="D61" s="323">
        <f t="shared" ref="D61:M61" si="29">IF(D$4="","",-D19)</f>
        <v>-173104850</v>
      </c>
      <c r="E61" s="323">
        <f t="shared" si="29"/>
        <v>-130450506</v>
      </c>
      <c r="F61" s="323">
        <f t="shared" si="29"/>
        <v>-105234144</v>
      </c>
      <c r="G61" s="323">
        <f t="shared" si="29"/>
        <v>-99116575</v>
      </c>
      <c r="H61" s="323">
        <f t="shared" si="29"/>
        <v>-95719410</v>
      </c>
      <c r="I61" s="323">
        <f t="shared" si="29"/>
        <v>-87904740</v>
      </c>
      <c r="J61" s="323">
        <f t="shared" si="29"/>
        <v>-78828048</v>
      </c>
      <c r="K61" s="323">
        <f t="shared" si="29"/>
        <v>-74835527</v>
      </c>
      <c r="L61" s="323">
        <f t="shared" si="29"/>
        <v>0</v>
      </c>
      <c r="M61" s="323" t="str">
        <f t="shared" si="29"/>
        <v/>
      </c>
    </row>
    <row r="62" spans="2:13">
      <c r="B62" s="27" t="s">
        <v>53</v>
      </c>
      <c r="C62" s="323">
        <f>IF(C$4="","",IF(C20=0,C61,-C20))</f>
        <v>-213321215</v>
      </c>
      <c r="D62" s="323">
        <f t="shared" ref="D62:M62" si="30">IF(D$4="","",IF(D20=0,D61,-D20))</f>
        <v>-173104850</v>
      </c>
      <c r="E62" s="323">
        <f t="shared" si="30"/>
        <v>-130450506</v>
      </c>
      <c r="F62" s="323">
        <f t="shared" si="30"/>
        <v>-105234144</v>
      </c>
      <c r="G62" s="323">
        <f t="shared" si="30"/>
        <v>-99116575</v>
      </c>
      <c r="H62" s="323">
        <f t="shared" si="30"/>
        <v>-95719410</v>
      </c>
      <c r="I62" s="323">
        <f t="shared" si="30"/>
        <v>-87904740</v>
      </c>
      <c r="J62" s="323">
        <f t="shared" si="30"/>
        <v>-78828048</v>
      </c>
      <c r="K62" s="323">
        <f t="shared" si="30"/>
        <v>-74835527</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-66331274</v>
      </c>
      <c r="D64" s="323">
        <f t="shared" ref="D64:M64" si="32">IF(D$4="","",D22+D23+D24)</f>
        <v>-294270811</v>
      </c>
      <c r="E64" s="323">
        <f t="shared" si="32"/>
        <v>426934734</v>
      </c>
      <c r="F64" s="323">
        <f t="shared" si="32"/>
        <v>-219479248</v>
      </c>
      <c r="G64" s="323">
        <f t="shared" si="32"/>
        <v>693386508</v>
      </c>
      <c r="H64" s="323">
        <f t="shared" si="32"/>
        <v>397843313</v>
      </c>
      <c r="I64" s="323">
        <f t="shared" si="32"/>
        <v>299849663</v>
      </c>
      <c r="J64" s="323">
        <f t="shared" si="32"/>
        <v>-141020191</v>
      </c>
      <c r="K64" s="323">
        <f t="shared" si="32"/>
        <v>-49100464</v>
      </c>
      <c r="L64" s="323">
        <f t="shared" si="32"/>
        <v>220142715</v>
      </c>
      <c r="M64" s="32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8672531611.6100006</v>
      </c>
      <c r="D76" s="76">
        <f t="shared" ref="D76:M76" si="39">IF(D$4="","",D79+D80)</f>
        <v>8628787997</v>
      </c>
      <c r="E76" s="76">
        <f t="shared" si="39"/>
        <v>7976614494</v>
      </c>
      <c r="F76" s="76">
        <f t="shared" si="39"/>
        <v>5950736130</v>
      </c>
      <c r="G76" s="76">
        <f t="shared" si="39"/>
        <v>5246920436</v>
      </c>
      <c r="H76" s="76">
        <f t="shared" si="39"/>
        <v>4677192094</v>
      </c>
      <c r="I76" s="76">
        <f t="shared" si="39"/>
        <v>3570534120</v>
      </c>
      <c r="J76" s="76">
        <f t="shared" si="39"/>
        <v>2922308439</v>
      </c>
      <c r="K76" s="76">
        <f t="shared" si="39"/>
        <v>2546084184</v>
      </c>
      <c r="L76" s="76">
        <f t="shared" si="39"/>
        <v>2510420855</v>
      </c>
      <c r="M76" s="76" t="str">
        <f t="shared" si="39"/>
        <v/>
      </c>
    </row>
    <row r="77" spans="2:13">
      <c r="B77" s="93" t="s">
        <v>86</v>
      </c>
      <c r="C77" s="333">
        <f t="shared" ref="C77:H78" si="40">IF(C$4="","",C28)</f>
        <v>1180157900.1600001</v>
      </c>
      <c r="D77" s="333">
        <f t="shared" si="40"/>
        <v>851687201</v>
      </c>
      <c r="E77" s="333">
        <f t="shared" si="40"/>
        <v>790890033</v>
      </c>
      <c r="F77" s="333">
        <f t="shared" si="40"/>
        <v>567013771</v>
      </c>
      <c r="G77" s="333">
        <f t="shared" si="40"/>
        <v>458930449</v>
      </c>
      <c r="H77" s="333">
        <f t="shared" si="40"/>
        <v>595526269</v>
      </c>
      <c r="I77" s="337"/>
      <c r="J77" s="337"/>
      <c r="K77" s="337"/>
      <c r="L77" s="337"/>
      <c r="M77" s="337"/>
    </row>
    <row r="78" spans="2:13">
      <c r="B78" s="93" t="s">
        <v>87</v>
      </c>
      <c r="C78" s="333">
        <f t="shared" si="40"/>
        <v>2566018245.5700002</v>
      </c>
      <c r="D78" s="333">
        <f t="shared" si="40"/>
        <v>2819492731</v>
      </c>
      <c r="E78" s="333">
        <f t="shared" si="40"/>
        <v>2459595915</v>
      </c>
      <c r="F78" s="333">
        <f t="shared" si="40"/>
        <v>1867069694</v>
      </c>
      <c r="G78" s="333">
        <f t="shared" si="40"/>
        <v>1603890018</v>
      </c>
      <c r="H78" s="333">
        <f t="shared" si="40"/>
        <v>1464309401</v>
      </c>
      <c r="I78" s="337"/>
      <c r="J78" s="337"/>
      <c r="K78" s="337"/>
      <c r="L78" s="337"/>
      <c r="M78" s="337"/>
    </row>
    <row r="79" spans="2:13">
      <c r="B79" s="26" t="s">
        <v>40</v>
      </c>
      <c r="C79" s="323">
        <f t="shared" ref="C79:M79" si="41">IF(C$4="","",C30)</f>
        <v>4208442385.48</v>
      </c>
      <c r="D79" s="323">
        <f t="shared" si="41"/>
        <v>4086723205</v>
      </c>
      <c r="E79" s="323">
        <f t="shared" si="41"/>
        <v>3962039491</v>
      </c>
      <c r="F79" s="323">
        <f t="shared" si="41"/>
        <v>2581011486</v>
      </c>
      <c r="G79" s="323">
        <f t="shared" si="41"/>
        <v>2275269694</v>
      </c>
      <c r="H79" s="323">
        <f t="shared" si="41"/>
        <v>2004846282</v>
      </c>
      <c r="I79" s="323">
        <f t="shared" si="41"/>
        <v>1560581012</v>
      </c>
      <c r="J79" s="323">
        <f t="shared" si="41"/>
        <v>1160274283</v>
      </c>
      <c r="K79" s="323">
        <f t="shared" si="41"/>
        <v>894522509</v>
      </c>
      <c r="L79" s="323">
        <f t="shared" si="41"/>
        <v>1020621379</v>
      </c>
      <c r="M79" s="323" t="str">
        <f t="shared" si="41"/>
        <v/>
      </c>
    </row>
    <row r="80" spans="2:13">
      <c r="B80" s="26" t="s">
        <v>30</v>
      </c>
      <c r="C80" s="323">
        <f t="shared" ref="C80:M80" si="42">IF(C$4="","",C31)</f>
        <v>4464089226.1300011</v>
      </c>
      <c r="D80" s="323">
        <f t="shared" si="42"/>
        <v>4542064792</v>
      </c>
      <c r="E80" s="323">
        <f t="shared" si="42"/>
        <v>4014575003</v>
      </c>
      <c r="F80" s="323">
        <f t="shared" si="42"/>
        <v>3369724644</v>
      </c>
      <c r="G80" s="323">
        <f t="shared" si="42"/>
        <v>2971650742</v>
      </c>
      <c r="H80" s="323">
        <f t="shared" si="42"/>
        <v>2672345812</v>
      </c>
      <c r="I80" s="323">
        <f t="shared" si="42"/>
        <v>2009953108</v>
      </c>
      <c r="J80" s="323">
        <f t="shared" si="42"/>
        <v>1762034156</v>
      </c>
      <c r="K80" s="323">
        <f t="shared" si="42"/>
        <v>1651561675</v>
      </c>
      <c r="L80" s="323">
        <f t="shared" si="42"/>
        <v>1489799476</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-468902548.5</v>
      </c>
      <c r="D73" s="76">
        <f>(Normalized_FCF!C25+Normalized_FCF!C35-Normalized_FCF!C91)/12</f>
        <v>-466172589.92553371</v>
      </c>
      <c r="F73" s="1" t="s">
        <v>352</v>
      </c>
    </row>
    <row r="74" spans="2:6" ht="15" customHeight="1">
      <c r="B74" s="257" t="s">
        <v>322</v>
      </c>
      <c r="C74" s="258">
        <f>-$C$66/C73</f>
        <v>3.674636812621205</v>
      </c>
      <c r="D74" s="258">
        <f>-$C$66/D73</f>
        <v>3.6961558948054818</v>
      </c>
      <c r="F74" s="253" t="s">
        <v>320</v>
      </c>
    </row>
    <row r="75" spans="2:6" ht="15" customHeight="1">
      <c r="B75" s="80" t="s">
        <v>321</v>
      </c>
      <c r="C75" s="341"/>
      <c r="D75" s="342">
        <f>MAX(-D73*D76,G5)</f>
        <v>932345179.85106742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-270317959.52999997</v>
      </c>
      <c r="D86" s="223">
        <f>C86*scaling_factor/Common_Shares</f>
        <v>-0.46892996273789717</v>
      </c>
      <c r="E86" s="240" t="str">
        <f>Market_currency</f>
        <v>CNY</v>
      </c>
    </row>
    <row r="87" spans="2:8" ht="15" customHeight="1">
      <c r="B87" s="238" t="s">
        <v>288</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292</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AVERAGE(G4:I4)</f>
        <v>6020307248</v>
      </c>
      <c r="D4" s="57"/>
      <c r="E4" s="266"/>
      <c r="F4" s="57"/>
      <c r="G4" s="323">
        <f>Data!C36</f>
        <v>6129461219</v>
      </c>
      <c r="H4" s="323">
        <f>Data!D36</f>
        <v>6249319078</v>
      </c>
      <c r="I4" s="323">
        <f>Data!E36</f>
        <v>5682141447</v>
      </c>
      <c r="J4" s="323">
        <f>Data!F36</f>
        <v>4651100995</v>
      </c>
      <c r="K4" s="323">
        <f>Data!G36</f>
        <v>3329297918</v>
      </c>
      <c r="L4" s="323">
        <f>Data!H36</f>
        <v>3310864083</v>
      </c>
      <c r="M4" s="323">
        <f>Data!I36</f>
        <v>2918572854</v>
      </c>
      <c r="N4" s="323">
        <f>Data!J36</f>
        <v>2210529514</v>
      </c>
      <c r="O4" s="323">
        <f>Data!K36</f>
        <v>1544300894</v>
      </c>
      <c r="P4" s="323">
        <f>Data!L36</f>
        <v>1583235731</v>
      </c>
      <c r="Q4" s="323" t="str">
        <f>Data!M36</f>
        <v/>
      </c>
    </row>
    <row r="5" spans="1:17" ht="15.75" customHeight="1">
      <c r="A5" s="10"/>
      <c r="B5" s="2" t="s">
        <v>46</v>
      </c>
      <c r="C5" s="318">
        <f>C25</f>
        <v>-4628427392.8564043</v>
      </c>
      <c r="E5" s="268"/>
      <c r="G5" s="323">
        <f t="shared" ref="G5:Q5" si="1">G25</f>
        <v>-4712345241</v>
      </c>
      <c r="H5" s="323">
        <f t="shared" si="1"/>
        <v>-4607339720</v>
      </c>
      <c r="I5" s="323">
        <f t="shared" si="1"/>
        <v>-4246506926</v>
      </c>
      <c r="J5" s="323">
        <f t="shared" si="1"/>
        <v>-3516043663</v>
      </c>
      <c r="K5" s="323">
        <f t="shared" si="1"/>
        <v>-2470339762</v>
      </c>
      <c r="L5" s="323">
        <f t="shared" si="1"/>
        <v>-2608888622</v>
      </c>
      <c r="M5" s="323">
        <f t="shared" si="1"/>
        <v>-2409325870</v>
      </c>
      <c r="N5" s="323">
        <f t="shared" si="1"/>
        <v>-1846104518</v>
      </c>
      <c r="O5" s="323">
        <f t="shared" si="1"/>
        <v>-1190700423</v>
      </c>
      <c r="P5" s="323">
        <f t="shared" si="1"/>
        <v>-1239568348</v>
      </c>
      <c r="Q5" s="323" t="str">
        <f t="shared" si="1"/>
        <v/>
      </c>
    </row>
    <row r="6" spans="1:17" ht="15.75" customHeight="1">
      <c r="A6" s="10"/>
      <c r="B6" s="31" t="s">
        <v>48</v>
      </c>
      <c r="C6" s="319">
        <f>C4+C5</f>
        <v>1391879855.1435957</v>
      </c>
      <c r="E6" s="268"/>
      <c r="G6" s="319">
        <f>IF(G4="","",G4+G5)</f>
        <v>1417115978</v>
      </c>
      <c r="H6" s="319">
        <f t="shared" ref="H6:Q6" si="2">IF(H4="","",H4+H5)</f>
        <v>1641979358</v>
      </c>
      <c r="I6" s="319">
        <f t="shared" si="2"/>
        <v>1435634521</v>
      </c>
      <c r="J6" s="319">
        <f t="shared" si="2"/>
        <v>1135057332</v>
      </c>
      <c r="K6" s="319">
        <f t="shared" si="2"/>
        <v>858958156</v>
      </c>
      <c r="L6" s="319">
        <f t="shared" si="2"/>
        <v>701975461</v>
      </c>
      <c r="M6" s="319">
        <f t="shared" si="2"/>
        <v>509246984</v>
      </c>
      <c r="N6" s="319">
        <f t="shared" si="2"/>
        <v>364424996</v>
      </c>
      <c r="O6" s="319">
        <f t="shared" si="2"/>
        <v>353600471</v>
      </c>
      <c r="P6" s="319">
        <f t="shared" si="2"/>
        <v>343667383</v>
      </c>
      <c r="Q6" s="319" t="str">
        <f t="shared" si="2"/>
        <v/>
      </c>
    </row>
    <row r="7" spans="1:17" ht="15.75" customHeight="1">
      <c r="A7" s="10"/>
      <c r="B7" s="8" t="s">
        <v>45</v>
      </c>
      <c r="C7" s="318">
        <f>C35</f>
        <v>-354599266.25</v>
      </c>
      <c r="E7" s="268"/>
      <c r="G7" s="318">
        <f t="shared" ref="G7:Q7" si="3">G35</f>
        <v>-303440921</v>
      </c>
      <c r="H7" s="318">
        <f t="shared" si="3"/>
        <v>-376339429</v>
      </c>
      <c r="I7" s="318">
        <f t="shared" si="3"/>
        <v>-389221817</v>
      </c>
      <c r="J7" s="318">
        <f t="shared" si="3"/>
        <v>-349394898</v>
      </c>
      <c r="K7" s="318">
        <f t="shared" si="3"/>
        <v>-204807664</v>
      </c>
      <c r="L7" s="318">
        <f t="shared" si="3"/>
        <v>-190649652</v>
      </c>
      <c r="M7" s="318">
        <f t="shared" si="3"/>
        <v>-177048111</v>
      </c>
      <c r="N7" s="318">
        <f t="shared" si="3"/>
        <v>-121491306</v>
      </c>
      <c r="O7" s="318">
        <f t="shared" si="3"/>
        <v>-118969922</v>
      </c>
      <c r="P7" s="318">
        <f t="shared" si="3"/>
        <v>-98873522</v>
      </c>
      <c r="Q7" s="318" t="str">
        <f t="shared" si="3"/>
        <v/>
      </c>
    </row>
    <row r="8" spans="1:17" ht="15.75" customHeight="1">
      <c r="A8" s="10"/>
      <c r="B8" s="29" t="s">
        <v>153</v>
      </c>
      <c r="C8" s="320">
        <f>C6+C7</f>
        <v>1037280588.8935957</v>
      </c>
      <c r="D8" s="59"/>
      <c r="E8" s="274"/>
      <c r="F8" s="59"/>
      <c r="G8" s="319">
        <f>IF(G$4="","",G6+G7)</f>
        <v>1113675057</v>
      </c>
      <c r="H8" s="319">
        <f t="shared" ref="H8:Q8" si="4">IF(H$4="","",H6+H7)</f>
        <v>1265639929</v>
      </c>
      <c r="I8" s="319">
        <f t="shared" si="4"/>
        <v>1046412704</v>
      </c>
      <c r="J8" s="319">
        <f t="shared" si="4"/>
        <v>785662434</v>
      </c>
      <c r="K8" s="319">
        <f t="shared" si="4"/>
        <v>654150492</v>
      </c>
      <c r="L8" s="319">
        <f t="shared" si="4"/>
        <v>511325809</v>
      </c>
      <c r="M8" s="319">
        <f t="shared" si="4"/>
        <v>332198873</v>
      </c>
      <c r="N8" s="319">
        <f t="shared" si="4"/>
        <v>242933690</v>
      </c>
      <c r="O8" s="319">
        <f t="shared" si="4"/>
        <v>234630549</v>
      </c>
      <c r="P8" s="319">
        <f t="shared" si="4"/>
        <v>244793861</v>
      </c>
      <c r="Q8" s="319" t="str">
        <f t="shared" si="4"/>
        <v/>
      </c>
    </row>
    <row r="9" spans="1:17" ht="15.75" customHeight="1">
      <c r="A9" s="10"/>
      <c r="B9" s="2" t="s">
        <v>65</v>
      </c>
      <c r="C9" s="318">
        <f>BS!$G$39*BS!D58</f>
        <v>213321214.99999997</v>
      </c>
      <c r="E9" s="268"/>
      <c r="G9" s="318">
        <f>IF(Data!C61="","",-Data!C61)</f>
        <v>213321215</v>
      </c>
      <c r="H9" s="318">
        <f>IF(Data!D61="","",-Data!D61)</f>
        <v>173104850</v>
      </c>
      <c r="I9" s="318">
        <f>IF(Data!E61="","",-Data!E61)</f>
        <v>130450506</v>
      </c>
      <c r="J9" s="318">
        <f>IF(Data!F61="","",-Data!F61)</f>
        <v>105234144</v>
      </c>
      <c r="K9" s="318">
        <f>IF(Data!G61="","",-Data!G61)</f>
        <v>99116575</v>
      </c>
      <c r="L9" s="318">
        <f>IF(Data!H61="","",-Data!H61)</f>
        <v>95719410</v>
      </c>
      <c r="M9" s="318">
        <f>IF(Data!I61="","",-Data!I61)</f>
        <v>87904740</v>
      </c>
      <c r="N9" s="318">
        <f>IF(Data!J61="","",-Data!J61)</f>
        <v>78828048</v>
      </c>
      <c r="O9" s="318">
        <f>IF(Data!K61="","",-Data!K61)</f>
        <v>74835527</v>
      </c>
      <c r="P9" s="318">
        <f>IF(Data!L61="","",-Data!L61)</f>
        <v>0</v>
      </c>
      <c r="Q9" s="318" t="str">
        <f>IF(Data!M61="","",-Data!M61)</f>
        <v/>
      </c>
    </row>
    <row r="10" spans="1:17" ht="15.75" customHeight="1">
      <c r="A10" s="10"/>
      <c r="B10" s="2" t="s">
        <v>81</v>
      </c>
      <c r="C10" s="318">
        <f>-C4*C78</f>
        <v>-213321214.99999997</v>
      </c>
      <c r="E10" s="268"/>
      <c r="G10" s="318">
        <f>Data!C62</f>
        <v>-213321215</v>
      </c>
      <c r="H10" s="318">
        <f>Data!D62</f>
        <v>-173104850</v>
      </c>
      <c r="I10" s="318">
        <f>Data!E62</f>
        <v>-130450506</v>
      </c>
      <c r="J10" s="318">
        <f>Data!F62</f>
        <v>-105234144</v>
      </c>
      <c r="K10" s="318">
        <f>Data!G62</f>
        <v>-99116575</v>
      </c>
      <c r="L10" s="318">
        <f>Data!H62</f>
        <v>-95719410</v>
      </c>
      <c r="M10" s="318">
        <f>Data!I62</f>
        <v>-87904740</v>
      </c>
      <c r="N10" s="318">
        <f>Data!J62</f>
        <v>-78828048</v>
      </c>
      <c r="O10" s="318">
        <f>Data!K62</f>
        <v>-74835527</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7735570.6977660116</v>
      </c>
      <c r="E12" s="268"/>
      <c r="G12" s="318">
        <f>G50</f>
        <v>13818159.109173693</v>
      </c>
      <c r="H12" s="318">
        <f t="shared" ref="H12:Q12" si="6">H50</f>
        <v>12176685.418780401</v>
      </c>
      <c r="I12" s="318">
        <f t="shared" si="6"/>
        <v>15999426.385417301</v>
      </c>
      <c r="J12" s="318">
        <f t="shared" si="6"/>
        <v>9485582.0078302585</v>
      </c>
      <c r="K12" s="318">
        <f t="shared" si="6"/>
        <v>6784112.6493268209</v>
      </c>
      <c r="L12" s="318">
        <f t="shared" si="6"/>
        <v>3827612.9044996742</v>
      </c>
      <c r="M12" s="318">
        <f t="shared" si="6"/>
        <v>0</v>
      </c>
      <c r="N12" s="318">
        <f t="shared" si="6"/>
        <v>0</v>
      </c>
      <c r="O12" s="318">
        <f t="shared" si="6"/>
        <v>0</v>
      </c>
      <c r="P12" s="318">
        <f t="shared" si="6"/>
        <v>0</v>
      </c>
      <c r="Q12" s="318" t="str">
        <f t="shared" si="6"/>
        <v/>
      </c>
    </row>
    <row r="13" spans="1:17" ht="15.75" customHeight="1">
      <c r="A13" s="10"/>
      <c r="B13" s="70" t="s">
        <v>165</v>
      </c>
      <c r="C13" s="319">
        <f>SUM(C8:C12)</f>
        <v>1045016159.5913618</v>
      </c>
      <c r="E13" s="268"/>
      <c r="G13" s="319">
        <f>IF(G$4="","",SUM(G8:G12))</f>
        <v>1127493216.1091738</v>
      </c>
      <c r="H13" s="319">
        <f t="shared" ref="H13:Q13" si="7">IF(H$4="","",SUM(H8:H12))</f>
        <v>1277816614.4187803</v>
      </c>
      <c r="I13" s="319">
        <f t="shared" si="7"/>
        <v>1062412130.3854173</v>
      </c>
      <c r="J13" s="319">
        <f t="shared" si="7"/>
        <v>795148016.00783026</v>
      </c>
      <c r="K13" s="319">
        <f t="shared" si="7"/>
        <v>660934604.6493268</v>
      </c>
      <c r="L13" s="319">
        <f t="shared" si="7"/>
        <v>515153421.90449965</v>
      </c>
      <c r="M13" s="319">
        <f t="shared" si="7"/>
        <v>332198873</v>
      </c>
      <c r="N13" s="319">
        <f t="shared" si="7"/>
        <v>242933690</v>
      </c>
      <c r="O13" s="319">
        <f t="shared" si="7"/>
        <v>234630549</v>
      </c>
      <c r="P13" s="319">
        <f t="shared" si="7"/>
        <v>244793861</v>
      </c>
      <c r="Q13" s="319" t="str">
        <f t="shared" si="7"/>
        <v/>
      </c>
    </row>
    <row r="14" spans="1:17" ht="15.75" customHeight="1">
      <c r="A14" s="10"/>
      <c r="B14" s="2" t="s">
        <v>63</v>
      </c>
      <c r="C14" s="318">
        <f>-SUM(C8+C11,C12)*C43</f>
        <v>-261254039.89784044</v>
      </c>
      <c r="E14" s="268"/>
      <c r="G14" s="318">
        <f>Data!C46</f>
        <v>-260714131</v>
      </c>
      <c r="H14" s="318">
        <f>Data!D46</f>
        <v>-289376410</v>
      </c>
      <c r="I14" s="318">
        <f>Data!E46</f>
        <v>-224010347</v>
      </c>
      <c r="J14" s="318">
        <f>Data!F46</f>
        <v>-153720766</v>
      </c>
      <c r="K14" s="318">
        <f>Data!G46</f>
        <v>-137748165</v>
      </c>
      <c r="L14" s="318">
        <f>Data!H46</f>
        <v>-101545465</v>
      </c>
      <c r="M14" s="318">
        <f>Data!I46</f>
        <v>-85553107</v>
      </c>
      <c r="N14" s="318">
        <f>Data!J46</f>
        <v>-50017037</v>
      </c>
      <c r="O14" s="318">
        <f>Data!K46</f>
        <v>-42676057</v>
      </c>
      <c r="P14" s="318">
        <f>Data!L46</f>
        <v>-47144437</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783762119.69352126</v>
      </c>
      <c r="D16" s="61"/>
      <c r="E16" s="276"/>
      <c r="F16" s="61"/>
      <c r="G16" s="319">
        <f>IF(G$4="","",SUM(G13:G15))</f>
        <v>866779085.10917377</v>
      </c>
      <c r="H16" s="319">
        <f t="shared" ref="H16:Q16" si="8">IF(H$4="","",SUM(H13:H15))</f>
        <v>988440204.41878033</v>
      </c>
      <c r="I16" s="319">
        <f t="shared" si="8"/>
        <v>838401783.38541734</v>
      </c>
      <c r="J16" s="319">
        <f t="shared" si="8"/>
        <v>641427250.00783026</v>
      </c>
      <c r="K16" s="319">
        <f t="shared" si="8"/>
        <v>523186439.6493268</v>
      </c>
      <c r="L16" s="319">
        <f t="shared" si="8"/>
        <v>413607956.90449965</v>
      </c>
      <c r="M16" s="319">
        <f t="shared" si="8"/>
        <v>246645766</v>
      </c>
      <c r="N16" s="319">
        <f t="shared" si="8"/>
        <v>192916653</v>
      </c>
      <c r="O16" s="319">
        <f t="shared" si="8"/>
        <v>191954492</v>
      </c>
      <c r="P16" s="319">
        <f t="shared" si="8"/>
        <v>197649424</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783762119.69352126</v>
      </c>
      <c r="D19" s="27"/>
      <c r="E19" s="265"/>
      <c r="F19" s="27"/>
      <c r="G19" s="324">
        <f>IF(G$4="","",G16+G17)</f>
        <v>866779085.10917377</v>
      </c>
      <c r="H19" s="324">
        <f t="shared" ref="H19:Q19" si="9">IF(H$4="","",H16+H17)</f>
        <v>988440204.41878033</v>
      </c>
      <c r="I19" s="324">
        <f t="shared" si="9"/>
        <v>838401783.38541734</v>
      </c>
      <c r="J19" s="324">
        <f t="shared" si="9"/>
        <v>641427250.00783026</v>
      </c>
      <c r="K19" s="324">
        <f t="shared" si="9"/>
        <v>523186439.6493268</v>
      </c>
      <c r="L19" s="324">
        <f t="shared" si="9"/>
        <v>413607956.90449965</v>
      </c>
      <c r="M19" s="324">
        <f t="shared" si="9"/>
        <v>246645766</v>
      </c>
      <c r="N19" s="324">
        <f t="shared" si="9"/>
        <v>192916653</v>
      </c>
      <c r="O19" s="324">
        <f t="shared" si="9"/>
        <v>191954492</v>
      </c>
      <c r="P19" s="324">
        <f t="shared" si="9"/>
        <v>197649424</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-4328934333.5839558</v>
      </c>
      <c r="D23" s="58"/>
      <c r="E23" s="267"/>
      <c r="F23" s="58"/>
      <c r="G23" s="323">
        <f>Data!C37</f>
        <v>-4407422084</v>
      </c>
      <c r="H23" s="323">
        <f>Data!D37</f>
        <v>-4321480843</v>
      </c>
      <c r="I23" s="323">
        <f>Data!E37</f>
        <v>-3978855242</v>
      </c>
      <c r="J23" s="323">
        <f>Data!F37</f>
        <v>-3293652640</v>
      </c>
      <c r="K23" s="323">
        <f>Data!G37</f>
        <v>-2298160068</v>
      </c>
      <c r="L23" s="323">
        <f>Data!H37</f>
        <v>-2198164870</v>
      </c>
      <c r="M23" s="323">
        <f>Data!I37</f>
        <v>-2065727128</v>
      </c>
      <c r="N23" s="323">
        <f>Data!J37</f>
        <v>-1559929846</v>
      </c>
      <c r="O23" s="323">
        <f>Data!K37</f>
        <v>-993637032</v>
      </c>
      <c r="P23" s="323">
        <f>Data!L37</f>
        <v>-996799764</v>
      </c>
      <c r="Q23" s="323" t="str">
        <f>Data!M37</f>
        <v/>
      </c>
    </row>
    <row r="24" spans="1:17" ht="15.75" customHeight="1">
      <c r="A24" s="10"/>
      <c r="B24" s="68" t="s">
        <v>62</v>
      </c>
      <c r="C24" s="318">
        <f>-C4*C29</f>
        <v>-299493059.2724486</v>
      </c>
      <c r="D24" s="27"/>
      <c r="E24" s="265"/>
      <c r="F24" s="27"/>
      <c r="G24" s="323">
        <f>Data!C40</f>
        <v>-304923157</v>
      </c>
      <c r="H24" s="323">
        <f>Data!D40</f>
        <v>-285858877</v>
      </c>
      <c r="I24" s="323">
        <f>Data!E40</f>
        <v>-267651684</v>
      </c>
      <c r="J24" s="323">
        <f>Data!F40</f>
        <v>-222391023</v>
      </c>
      <c r="K24" s="323">
        <f>Data!G40</f>
        <v>-172179694</v>
      </c>
      <c r="L24" s="323">
        <f>Data!H40</f>
        <v>-410723752</v>
      </c>
      <c r="M24" s="323">
        <f>Data!I40</f>
        <v>-343598742</v>
      </c>
      <c r="N24" s="323">
        <f>Data!J40</f>
        <v>-286174672</v>
      </c>
      <c r="O24" s="323">
        <f>Data!K40</f>
        <v>-197063391</v>
      </c>
      <c r="P24" s="323">
        <f>Data!L40</f>
        <v>-242768584</v>
      </c>
      <c r="Q24" s="323" t="str">
        <f>Data!M40</f>
        <v/>
      </c>
    </row>
    <row r="25" spans="1:17" ht="15.75" customHeight="1">
      <c r="A25" s="10"/>
      <c r="B25" s="70" t="s">
        <v>46</v>
      </c>
      <c r="C25" s="319">
        <f>C23+C24</f>
        <v>-4628427392.8564043</v>
      </c>
      <c r="D25" s="9"/>
      <c r="E25" s="273"/>
      <c r="F25" s="9"/>
      <c r="G25" s="319">
        <f t="shared" ref="G25:Q25" si="10">IF(G$4="","",G23+G24)</f>
        <v>-4712345241</v>
      </c>
      <c r="H25" s="319">
        <f t="shared" si="10"/>
        <v>-4607339720</v>
      </c>
      <c r="I25" s="319">
        <f t="shared" si="10"/>
        <v>-4246506926</v>
      </c>
      <c r="J25" s="319">
        <f t="shared" si="10"/>
        <v>-3516043663</v>
      </c>
      <c r="K25" s="319">
        <f t="shared" si="10"/>
        <v>-2470339762</v>
      </c>
      <c r="L25" s="319">
        <f t="shared" si="10"/>
        <v>-2608888622</v>
      </c>
      <c r="M25" s="319">
        <f t="shared" si="10"/>
        <v>-2409325870</v>
      </c>
      <c r="N25" s="319">
        <f t="shared" si="10"/>
        <v>-1846104518</v>
      </c>
      <c r="O25" s="319">
        <f t="shared" si="10"/>
        <v>-1190700423</v>
      </c>
      <c r="P25" s="319">
        <f t="shared" si="10"/>
        <v>-1239568348</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-182442565.75</v>
      </c>
      <c r="E33" s="266" t="s">
        <v>334</v>
      </c>
      <c r="G33" s="318">
        <f>Data!C41</f>
        <v>-151680194</v>
      </c>
      <c r="H33" s="318">
        <f>Data!D41</f>
        <v>-165913428</v>
      </c>
      <c r="I33" s="318">
        <f>Data!E41</f>
        <v>-204335908</v>
      </c>
      <c r="J33" s="318">
        <f>Data!F41</f>
        <v>-207840733</v>
      </c>
      <c r="K33" s="318">
        <f>Data!G41</f>
        <v>-143128813</v>
      </c>
      <c r="L33" s="318">
        <f>Data!H41</f>
        <v>-122004891</v>
      </c>
      <c r="M33" s="318">
        <f>Data!I41</f>
        <v>-128305857</v>
      </c>
      <c r="N33" s="318">
        <f>Data!J41</f>
        <v>-74180151</v>
      </c>
      <c r="O33" s="318">
        <f>Data!K41</f>
        <v>-71364015</v>
      </c>
      <c r="P33" s="318">
        <f>Data!L41</f>
        <v>-98873522</v>
      </c>
      <c r="Q33" s="318" t="str">
        <f>Data!M41</f>
        <v/>
      </c>
    </row>
    <row r="34" spans="1:17" ht="15.75" customHeight="1">
      <c r="A34" s="10"/>
      <c r="B34" s="27" t="s">
        <v>49</v>
      </c>
      <c r="C34" s="328">
        <f>AVERAGE(G34:J34)</f>
        <v>-172156700.5</v>
      </c>
      <c r="D34" s="58"/>
      <c r="E34" s="266" t="s">
        <v>334</v>
      </c>
      <c r="F34" s="58"/>
      <c r="G34" s="323">
        <f>Data!C42</f>
        <v>-151760727</v>
      </c>
      <c r="H34" s="323">
        <f>Data!D42</f>
        <v>-210426001</v>
      </c>
      <c r="I34" s="323">
        <f>Data!E42</f>
        <v>-184885909</v>
      </c>
      <c r="J34" s="323">
        <f>Data!F42</f>
        <v>-141554165</v>
      </c>
      <c r="K34" s="323">
        <f>Data!G42</f>
        <v>-61678851</v>
      </c>
      <c r="L34" s="323">
        <f>Data!H42</f>
        <v>-68644761</v>
      </c>
      <c r="M34" s="323">
        <f>Data!I42</f>
        <v>-48742254</v>
      </c>
      <c r="N34" s="323">
        <f>Data!J42</f>
        <v>-47311155</v>
      </c>
      <c r="O34" s="323">
        <f>Data!K42</f>
        <v>-47605907</v>
      </c>
      <c r="P34" s="323">
        <f>Data!L42</f>
        <v>0</v>
      </c>
      <c r="Q34" s="323" t="str">
        <f>Data!M42</f>
        <v/>
      </c>
    </row>
    <row r="35" spans="1:17" ht="15.75" customHeight="1">
      <c r="A35" s="10"/>
      <c r="B35" s="70" t="s">
        <v>45</v>
      </c>
      <c r="C35" s="319">
        <f>C33+C34</f>
        <v>-354599266.25</v>
      </c>
      <c r="D35" s="58"/>
      <c r="E35" s="267"/>
      <c r="F35" s="58"/>
      <c r="G35" s="319">
        <f t="shared" ref="G35:Q35" si="14">IF(G4="","",G33+G34)</f>
        <v>-303440921</v>
      </c>
      <c r="H35" s="319">
        <f t="shared" si="14"/>
        <v>-376339429</v>
      </c>
      <c r="I35" s="319">
        <f t="shared" si="14"/>
        <v>-389221817</v>
      </c>
      <c r="J35" s="319">
        <f t="shared" si="14"/>
        <v>-349394898</v>
      </c>
      <c r="K35" s="319">
        <f t="shared" si="14"/>
        <v>-204807664</v>
      </c>
      <c r="L35" s="319">
        <f t="shared" si="14"/>
        <v>-190649652</v>
      </c>
      <c r="M35" s="319">
        <f t="shared" si="14"/>
        <v>-177048111</v>
      </c>
      <c r="N35" s="319">
        <f t="shared" si="14"/>
        <v>-121491306</v>
      </c>
      <c r="O35" s="319">
        <f t="shared" si="14"/>
        <v>-118969922</v>
      </c>
      <c r="P35" s="319">
        <f t="shared" si="14"/>
        <v>-98873522</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-6249607</v>
      </c>
      <c r="E47" s="268"/>
      <c r="G47" s="318">
        <f>Data!C51</f>
        <v>-6249607</v>
      </c>
      <c r="H47" s="318">
        <f>Data!D51</f>
        <v>-4610251</v>
      </c>
      <c r="I47" s="318">
        <f>Data!E51</f>
        <v>-1311423</v>
      </c>
      <c r="J47" s="318">
        <f>Data!F51</f>
        <v>-394228</v>
      </c>
      <c r="K47" s="318">
        <f>Data!G51</f>
        <v>-74051</v>
      </c>
      <c r="L47" s="318">
        <f>Data!H51</f>
        <v>0</v>
      </c>
      <c r="M47" s="318">
        <f>Data!I51</f>
        <v>0</v>
      </c>
      <c r="N47" s="318">
        <f>Data!J51</f>
        <v>0</v>
      </c>
      <c r="O47" s="318">
        <f>Data!K51</f>
        <v>0</v>
      </c>
      <c r="P47" s="318">
        <f>Data!L51</f>
        <v>0</v>
      </c>
      <c r="Q47" s="318" t="str">
        <f>Data!M51</f>
        <v/>
      </c>
    </row>
    <row r="48" spans="1:17" ht="15.75" customHeight="1">
      <c r="A48" s="10"/>
      <c r="B48" s="2" t="s">
        <v>346</v>
      </c>
      <c r="C48" s="318">
        <f>BS!D75*C53</f>
        <v>13985177.697766012</v>
      </c>
      <c r="E48" s="268"/>
      <c r="G48" s="327">
        <f>IFERROR(IF(G$4="","",($C$48/$C$49)*G49),0)</f>
        <v>20067766.109173693</v>
      </c>
      <c r="H48" s="327">
        <f t="shared" ref="H48:Q48" si="19">IFERROR(IF(H$4="","",($C$48/$C$49)*H49),0)</f>
        <v>16786936.418780401</v>
      </c>
      <c r="I48" s="327">
        <f t="shared" si="19"/>
        <v>17310849.385417301</v>
      </c>
      <c r="J48" s="327">
        <f t="shared" si="19"/>
        <v>9879810.0078302585</v>
      </c>
      <c r="K48" s="327">
        <f t="shared" si="19"/>
        <v>6858163.6493268209</v>
      </c>
      <c r="L48" s="327">
        <f t="shared" si="19"/>
        <v>3827612.9044996742</v>
      </c>
      <c r="M48" s="327">
        <f t="shared" si="19"/>
        <v>0</v>
      </c>
      <c r="N48" s="327">
        <f t="shared" si="19"/>
        <v>0</v>
      </c>
      <c r="O48" s="327">
        <f t="shared" si="19"/>
        <v>0</v>
      </c>
      <c r="P48" s="327">
        <f t="shared" si="19"/>
        <v>0</v>
      </c>
      <c r="Q48" s="327" t="str">
        <f t="shared" si="19"/>
        <v/>
      </c>
    </row>
    <row r="49" spans="1:17" ht="15.75" customHeight="1">
      <c r="A49" s="10"/>
      <c r="B49" s="287" t="s">
        <v>343</v>
      </c>
      <c r="C49" s="329">
        <f>BS!$C$66*C53</f>
        <v>25845698.493749999</v>
      </c>
      <c r="D49" s="288"/>
      <c r="E49" s="289"/>
      <c r="F49" s="288"/>
      <c r="G49" s="329">
        <f>Data!C52</f>
        <v>37086796</v>
      </c>
      <c r="H49" s="329">
        <f>Data!D52</f>
        <v>31023567</v>
      </c>
      <c r="I49" s="329">
        <f>Data!E52</f>
        <v>31991799</v>
      </c>
      <c r="J49" s="329">
        <f>Data!F52</f>
        <v>18258659</v>
      </c>
      <c r="K49" s="329">
        <f>Data!G52</f>
        <v>12674421</v>
      </c>
      <c r="L49" s="329">
        <f>Data!H52</f>
        <v>7073727</v>
      </c>
      <c r="M49" s="329">
        <f>Data!I52</f>
        <v>0</v>
      </c>
      <c r="N49" s="329">
        <f>Data!J52</f>
        <v>0</v>
      </c>
      <c r="O49" s="329">
        <f>Data!K52</f>
        <v>0</v>
      </c>
      <c r="P49" s="329">
        <f>Data!L52</f>
        <v>0</v>
      </c>
      <c r="Q49" s="329" t="str">
        <f>Data!M52</f>
        <v/>
      </c>
    </row>
    <row r="50" spans="1:17" ht="15.75" customHeight="1">
      <c r="A50" s="10"/>
      <c r="B50" s="70" t="s">
        <v>68</v>
      </c>
      <c r="C50" s="319">
        <f>C47+C48</f>
        <v>7735570.6977660116</v>
      </c>
      <c r="E50" s="268"/>
      <c r="G50" s="319">
        <f>IF(G$4="","",(G47+G48))</f>
        <v>13818159.109173693</v>
      </c>
      <c r="H50" s="319">
        <f t="shared" ref="H50:Q50" si="20">IF(H$4="","",(H47+H48))</f>
        <v>12176685.418780401</v>
      </c>
      <c r="I50" s="319">
        <f t="shared" si="20"/>
        <v>15999426.385417301</v>
      </c>
      <c r="J50" s="319">
        <f t="shared" si="20"/>
        <v>9485582.0078302585</v>
      </c>
      <c r="K50" s="319">
        <f t="shared" si="20"/>
        <v>6784112.6493268209</v>
      </c>
      <c r="L50" s="319">
        <f t="shared" si="20"/>
        <v>3827612.9044996742</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337</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-35566924</v>
      </c>
      <c r="H62" s="318">
        <f>Data!D58</f>
        <v>5412624</v>
      </c>
      <c r="I62" s="318">
        <f>Data!E58</f>
        <v>-19164063</v>
      </c>
      <c r="J62" s="318">
        <f>Data!F58</f>
        <v>-2800013</v>
      </c>
      <c r="K62" s="318">
        <f>Data!G58</f>
        <v>-14320130</v>
      </c>
      <c r="L62" s="318">
        <f>Data!H58</f>
        <v>-3777121</v>
      </c>
      <c r="M62" s="318">
        <f>Data!I58</f>
        <v>-2170030</v>
      </c>
      <c r="N62" s="318">
        <f>Data!J58</f>
        <v>13040050</v>
      </c>
      <c r="O62" s="318">
        <f>Data!K58</f>
        <v>-32209532</v>
      </c>
      <c r="P62" s="318">
        <f>Data!L58</f>
        <v>-55037745</v>
      </c>
      <c r="Q62" s="318" t="str">
        <f>Data!M58</f>
        <v/>
      </c>
    </row>
    <row r="63" spans="1:17" ht="15.75" customHeight="1">
      <c r="A63" s="10"/>
      <c r="B63" s="31" t="s">
        <v>196</v>
      </c>
      <c r="C63" s="319">
        <f>C61+C62</f>
        <v>0</v>
      </c>
      <c r="E63" s="268"/>
      <c r="G63" s="319">
        <f t="shared" ref="G63:Q63" si="23">IF(G4="","",G61+G62)</f>
        <v>-35566924</v>
      </c>
      <c r="H63" s="319">
        <f t="shared" si="23"/>
        <v>5412624</v>
      </c>
      <c r="I63" s="319">
        <f t="shared" si="23"/>
        <v>-19164063</v>
      </c>
      <c r="J63" s="319">
        <f t="shared" si="23"/>
        <v>-2800013</v>
      </c>
      <c r="K63" s="319">
        <f t="shared" si="23"/>
        <v>-14320130</v>
      </c>
      <c r="L63" s="319">
        <f t="shared" si="23"/>
        <v>-3777121</v>
      </c>
      <c r="M63" s="319">
        <f t="shared" si="23"/>
        <v>-2170030</v>
      </c>
      <c r="N63" s="319">
        <f t="shared" si="23"/>
        <v>13040050</v>
      </c>
      <c r="O63" s="319">
        <f t="shared" si="23"/>
        <v>-32209532</v>
      </c>
      <c r="P63" s="319">
        <f t="shared" si="23"/>
        <v>-55037745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6.4164648910411626E-2</v>
      </c>
      <c r="E93" s="268"/>
      <c r="G93" s="23">
        <f t="shared" ref="G93:Q93" si="39">IF(G$4="","",G90/Market_Price)</f>
        <v>6.4164648910411626E-2</v>
      </c>
      <c r="H93" s="23">
        <f t="shared" si="39"/>
        <v>6.4164648910411626E-2</v>
      </c>
      <c r="I93" s="23">
        <f t="shared" si="39"/>
        <v>6.0532687651331719E-2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8672531611.6100006</v>
      </c>
      <c r="D101" s="26"/>
      <c r="E101" s="269"/>
      <c r="F101" s="26"/>
      <c r="G101" s="323">
        <f t="shared" ref="G101:Q101" si="42">IF(G$4="","",G105+G104)</f>
        <v>8672531611.6100006</v>
      </c>
      <c r="H101" s="323">
        <f t="shared" si="42"/>
        <v>8628787997</v>
      </c>
      <c r="I101" s="323">
        <f t="shared" si="42"/>
        <v>7976614494</v>
      </c>
      <c r="J101" s="323">
        <f t="shared" si="42"/>
        <v>5950736130</v>
      </c>
      <c r="K101" s="323">
        <f t="shared" si="42"/>
        <v>5246920436</v>
      </c>
      <c r="L101" s="323">
        <f t="shared" si="42"/>
        <v>4677192094</v>
      </c>
      <c r="M101" s="323">
        <f t="shared" si="42"/>
        <v>3570534120</v>
      </c>
      <c r="N101" s="323">
        <f t="shared" si="42"/>
        <v>2922308439</v>
      </c>
      <c r="O101" s="323">
        <f t="shared" si="42"/>
        <v>2546084184</v>
      </c>
      <c r="P101" s="323">
        <f t="shared" si="42"/>
        <v>2510420855</v>
      </c>
      <c r="Q101" s="323" t="str">
        <f t="shared" si="42"/>
        <v/>
      </c>
    </row>
    <row r="102" spans="1:17" ht="15.75" customHeight="1">
      <c r="A102" s="10"/>
      <c r="B102" s="93" t="s">
        <v>211</v>
      </c>
      <c r="C102" s="332">
        <f>BS!C4</f>
        <v>1180157900.1600001</v>
      </c>
      <c r="D102" s="89"/>
      <c r="E102" s="270"/>
      <c r="F102" s="89"/>
      <c r="G102" s="333">
        <f>IF(G$4="","",Data!D77)</f>
        <v>851687201</v>
      </c>
      <c r="H102" s="333">
        <f>IF(H$4="","",Data!E77)</f>
        <v>790890033</v>
      </c>
      <c r="I102" s="333">
        <f>IF(I$4="","",Data!F77)</f>
        <v>567013771</v>
      </c>
      <c r="J102" s="333">
        <f>IF(J$4="","",Data!G77)</f>
        <v>458930449</v>
      </c>
      <c r="K102" s="333">
        <f>IF(K$4="","",Data!H77)</f>
        <v>595526269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2566018245.5700002</v>
      </c>
      <c r="D103" s="89"/>
      <c r="E103" s="270"/>
      <c r="F103" s="89"/>
      <c r="G103" s="333">
        <f>IF(G$4="","",Data!D78)</f>
        <v>2819492731</v>
      </c>
      <c r="H103" s="333">
        <f>IF(H$4="","",Data!E78)</f>
        <v>2459595915</v>
      </c>
      <c r="I103" s="333">
        <f>IF(I$4="","",Data!F78)</f>
        <v>1867069694</v>
      </c>
      <c r="J103" s="333">
        <f>IF(J$4="","",Data!G78)</f>
        <v>1603890018</v>
      </c>
      <c r="K103" s="333">
        <f>IF(K$4="","",Data!H78)</f>
        <v>1464309401</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4208442385.48</v>
      </c>
      <c r="D104" s="26"/>
      <c r="E104" s="269"/>
      <c r="F104" s="26"/>
      <c r="G104" s="323">
        <f>Data!C79</f>
        <v>4208442385.48</v>
      </c>
      <c r="H104" s="323">
        <f>Data!D79</f>
        <v>4086723205</v>
      </c>
      <c r="I104" s="323">
        <f>Data!E79</f>
        <v>3962039491</v>
      </c>
      <c r="J104" s="323">
        <f>Data!F79</f>
        <v>2581011486</v>
      </c>
      <c r="K104" s="323">
        <f>Data!G79</f>
        <v>2275269694</v>
      </c>
      <c r="L104" s="323">
        <f>Data!H79</f>
        <v>2004846282</v>
      </c>
      <c r="M104" s="323">
        <f>Data!I79</f>
        <v>1560581012</v>
      </c>
      <c r="N104" s="323">
        <f>Data!J79</f>
        <v>1160274283</v>
      </c>
      <c r="O104" s="323">
        <f>Data!K79</f>
        <v>894522509</v>
      </c>
      <c r="P104" s="323">
        <f>Data!L79</f>
        <v>1020621379</v>
      </c>
      <c r="Q104" s="323" t="str">
        <f>Data!M79</f>
        <v/>
      </c>
    </row>
    <row r="105" spans="1:17" ht="15.75" customHeight="1">
      <c r="A105" s="10"/>
      <c r="B105" s="26" t="s">
        <v>30</v>
      </c>
      <c r="C105" s="331">
        <f>BS!G27</f>
        <v>4464089226.1300011</v>
      </c>
      <c r="D105" s="26"/>
      <c r="E105" s="269"/>
      <c r="F105" s="26"/>
      <c r="G105" s="323">
        <f>Data!C80</f>
        <v>4464089226.1300011</v>
      </c>
      <c r="H105" s="323">
        <f>Data!D80</f>
        <v>4542064792</v>
      </c>
      <c r="I105" s="323">
        <f>Data!E80</f>
        <v>4014575003</v>
      </c>
      <c r="J105" s="323">
        <f>Data!F80</f>
        <v>3369724644</v>
      </c>
      <c r="K105" s="323">
        <f>Data!G80</f>
        <v>2971650742</v>
      </c>
      <c r="L105" s="323">
        <f>Data!H80</f>
        <v>2672345812</v>
      </c>
      <c r="M105" s="323">
        <f>Data!I80</f>
        <v>2009953108</v>
      </c>
      <c r="N105" s="323">
        <f>Data!J80</f>
        <v>1762034156</v>
      </c>
      <c r="O105" s="323">
        <f>Data!K80</f>
        <v>1651561675</v>
      </c>
      <c r="P105" s="323">
        <f>Data!L80</f>
        <v>1489799476</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393</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8.230141638379547E-2</v>
      </c>
      <c r="D125" s="27"/>
      <c r="E125" s="265"/>
      <c r="F125" s="27"/>
      <c r="G125" s="77">
        <f t="shared" ref="G125" si="50">IF(G$4="","",G124/Market_Price)</f>
        <v>9.1018874992619903E-2</v>
      </c>
      <c r="H125" s="77">
        <f t="shared" ref="H125" si="51">IF(H$4="","",H124/Market_Price)</f>
        <v>0.10379428501362722</v>
      </c>
      <c r="I125" s="77">
        <f t="shared" ref="I125" si="52">IF(I$4="","",I124/Market_Price)</f>
        <v>8.8039026813776122E-2</v>
      </c>
      <c r="J125" s="77">
        <f t="shared" ref="J125" si="53">IF(J$4="","",J124/Market_Price)</f>
        <v>6.7355093919887615E-2</v>
      </c>
      <c r="K125" s="77">
        <f t="shared" ref="K125" si="54">IF(K$4="","",K124/Market_Price)</f>
        <v>5.4938844241122956E-2</v>
      </c>
      <c r="L125" s="77">
        <f t="shared" ref="L125" si="55">IF(L$4="","",L124/Market_Price)</f>
        <v>4.3432209627787585E-2</v>
      </c>
      <c r="M125" s="77">
        <f t="shared" ref="M125" si="56">IF(M$4="","",M124/Market_Price)</f>
        <v>2.5899817529844295E-2</v>
      </c>
      <c r="N125" s="77">
        <f t="shared" ref="N125" si="57">IF(N$4="","",N124/Market_Price)</f>
        <v>2.0257822350651215E-2</v>
      </c>
      <c r="O125" s="77">
        <f t="shared" ref="O125" si="58">IF(O$4="","",O124/Market_Price)</f>
        <v>2.0156787596483438E-2</v>
      </c>
      <c r="P125" s="77">
        <f t="shared" ref="P125" si="59">IF(P$4="","",P124/Market_Price)</f>
        <v>2.0754801914900207E-2</v>
      </c>
      <c r="Q125" s="77" t="str">
        <f t="shared" ref="Q125" si="60">IF(Q$4="","",Q124/Market_Price)</f>
        <v/>
      </c>
    </row>
    <row r="126" spans="1:17" ht="15.75" customHeight="1">
      <c r="B126" s="2" t="s">
        <v>395</v>
      </c>
      <c r="C126" s="169"/>
      <c r="G126" s="23">
        <f>IF(G$4="","",(Data!C47*$C$3)/(Market_Price*Common_Shares))</f>
        <v>8.9071194800167397E-2</v>
      </c>
      <c r="H126" s="23">
        <f>IF(H$4="","",(Data!D47*$C$3)/(Market_Price*Common_Shares))</f>
        <v>0.10585761704038112</v>
      </c>
      <c r="I126" s="23">
        <f>IF(I$4="","",(Data!E47*$C$3)/(Market_Price*Common_Shares))</f>
        <v>8.7568263335728369E-2</v>
      </c>
      <c r="J126" s="23">
        <f>IF(J$4="","",(Data!F47*$C$3)/(Market_Price*Common_Shares))</f>
        <v>6.7940917210388058E-2</v>
      </c>
      <c r="K126" s="23">
        <f>IF(K$4="","",(Data!G47*$C$3)/(Market_Price*Common_Shares))</f>
        <v>5.4045868239602626E-2</v>
      </c>
      <c r="L126" s="23">
        <f>IF(L$4="","",(Data!H47*$C$3)/(Market_Price*Common_Shares))</f>
        <v>4.3376449570938974E-2</v>
      </c>
      <c r="M126" s="23">
        <f>IF(M$4="","",(Data!I47*$C$3)/(Market_Price*Common_Shares))</f>
        <v>2.5671946677059059E-2</v>
      </c>
      <c r="N126" s="23">
        <f>IF(N$4="","",(Data!J47*$C$3)/(Market_Price*Common_Shares))</f>
        <v>2.162713397945917E-2</v>
      </c>
      <c r="O126" s="23">
        <f>IF(O$4="","",(Data!K47*$C$3)/(Market_Price*Common_Shares))</f>
        <v>1.6774523975863733E-2</v>
      </c>
      <c r="P126" s="23">
        <f>IF(P$4="","",(Data!L47*$C$3)/(Market_Price*Common_Shares))</f>
        <v>1.4975389700079942E-2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13062701994.892021</v>
      </c>
      <c r="D6" t="str">
        <f>Reporting_currency</f>
        <v>CNY</v>
      </c>
      <c r="E6" s="356" t="s">
        <v>250</v>
      </c>
      <c r="F6" s="356"/>
      <c r="H6" s="120"/>
    </row>
    <row r="7" spans="2:8">
      <c r="B7" s="148" t="s">
        <v>225</v>
      </c>
      <c r="C7" s="114">
        <f>BS!G31</f>
        <v>270317959.52999997</v>
      </c>
      <c r="D7" t="str">
        <f>Reporting_currency</f>
        <v>CNY</v>
      </c>
      <c r="E7" s="356"/>
      <c r="F7" s="356"/>
      <c r="H7" s="120"/>
    </row>
    <row r="8" spans="2:8">
      <c r="B8" s="148" t="s">
        <v>226</v>
      </c>
      <c r="C8" s="114">
        <f>BS!D66</f>
        <v>790701386.39893258</v>
      </c>
      <c r="D8" t="str">
        <f>Reporting_currency</f>
        <v>CNY</v>
      </c>
      <c r="E8" s="356"/>
      <c r="F8" s="356"/>
      <c r="H8" s="120"/>
    </row>
    <row r="9" spans="2:8">
      <c r="B9" s="205" t="s">
        <v>191</v>
      </c>
      <c r="C9" s="339">
        <f>BS!H42</f>
        <v>30193430.795999996</v>
      </c>
      <c r="D9" t="str">
        <f>Reporting_currency</f>
        <v>CNY</v>
      </c>
      <c r="E9" s="356"/>
      <c r="F9" s="356"/>
      <c r="H9" s="120"/>
    </row>
    <row r="10" spans="2:8" ht="13.15">
      <c r="B10" s="149" t="s">
        <v>228</v>
      </c>
      <c r="C10" s="338">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5.6617154223326201E-2</v>
      </c>
      <c r="H16" s="120"/>
    </row>
    <row r="17" spans="2:8" ht="13.25" customHeight="1">
      <c r="B17" s="118" t="s">
        <v>135</v>
      </c>
      <c r="C17" s="162">
        <f>Scenarios!C64</f>
        <v>5</v>
      </c>
      <c r="H17" s="120"/>
    </row>
    <row r="18" spans="2:8" ht="13.25" customHeight="1">
      <c r="B18" s="153" t="s">
        <v>107</v>
      </c>
      <c r="C18" s="140">
        <f>(F52-C7+C8+C9)*Exchange_Rate/Common_Shares*scaling_factor</f>
        <v>25.580208888730507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8">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8">
      <c r="B23" s="122">
        <v>3</v>
      </c>
      <c r="C23" s="123">
        <f t="shared" si="2"/>
        <v>924564557.76678765</v>
      </c>
      <c r="D23" s="138">
        <f>IF($C$17&lt;B23,0,DCF!$C$16)</f>
        <v>5.6617154223326201E-2</v>
      </c>
      <c r="E23" s="124">
        <f t="shared" si="0"/>
        <v>0.8396192830323016</v>
      </c>
      <c r="F23" s="125">
        <f t="shared" si="1"/>
        <v>776282231.1092273</v>
      </c>
      <c r="H23" s="120"/>
    </row>
    <row r="24" spans="2:8">
      <c r="B24" s="122">
        <v>4</v>
      </c>
      <c r="C24" s="123">
        <f t="shared" si="2"/>
        <v>976910771.92329133</v>
      </c>
      <c r="D24" s="138">
        <f>IF($C$17&lt;B24,0,DCF!$C$16)</f>
        <v>5.6617154223326201E-2</v>
      </c>
      <c r="E24" s="124">
        <f t="shared" si="0"/>
        <v>0.79209366323802044</v>
      </c>
      <c r="F24" s="125">
        <f t="shared" si="1"/>
        <v>773804831.98940206</v>
      </c>
      <c r="H24" s="120"/>
    </row>
    <row r="25" spans="2:8">
      <c r="B25" s="122">
        <v>5</v>
      </c>
      <c r="C25" s="123">
        <f t="shared" si="2"/>
        <v>1032220679.7597009</v>
      </c>
      <c r="D25" s="138">
        <f>IF($C$17&lt;B25,0,DCF!$C$16)</f>
        <v>5.6617154223326201E-2</v>
      </c>
      <c r="E25" s="124">
        <f t="shared" si="0"/>
        <v>0.74725817286605689</v>
      </c>
      <c r="F25" s="125">
        <f t="shared" si="1"/>
        <v>771335339.15179336</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13802275008.310175</v>
      </c>
      <c r="D51" s="139">
        <f>Terminal_Growth</f>
        <v>0</v>
      </c>
      <c r="E51" s="124">
        <f>1/(1+Equity_Cost)^C17</f>
        <v>0.74725817286605689</v>
      </c>
      <c r="F51" s="125">
        <f t="shared" si="1"/>
        <v>10313862804.104702</v>
      </c>
      <c r="H51" s="120"/>
    </row>
    <row r="52" spans="1:8">
      <c r="C52" s="114"/>
      <c r="E52" s="127" t="s">
        <v>101</v>
      </c>
      <c r="F52" s="137">
        <f>SUM(F21:F51)</f>
        <v>14195313617.70599</v>
      </c>
      <c r="H52" s="120"/>
    </row>
    <row r="53" spans="1:8">
      <c r="C53" s="114"/>
      <c r="H53" s="120"/>
    </row>
    <row r="54" spans="1:8" ht="13.15">
      <c r="B54" s="119" t="s">
        <v>130</v>
      </c>
      <c r="C54" s="136"/>
      <c r="D54" s="136"/>
      <c r="E54" s="117"/>
      <c r="F54" s="117"/>
      <c r="H54" s="120"/>
    </row>
    <row r="55" spans="1:8" ht="13.15">
      <c r="A55" s="133">
        <f>F52</f>
        <v>14195313617.70599</v>
      </c>
      <c r="B55" s="131">
        <f>C78</f>
        <v>0</v>
      </c>
      <c r="C55" s="131">
        <f>C77</f>
        <v>0.01</v>
      </c>
      <c r="D55" s="131">
        <f>C76</f>
        <v>0.05</v>
      </c>
      <c r="E55" s="131">
        <f>C75</f>
        <v>0.09</v>
      </c>
      <c r="F55" s="131">
        <f>C74</f>
        <v>0.1</v>
      </c>
      <c r="H55" s="120"/>
    </row>
    <row r="56" spans="1:8" ht="13.15">
      <c r="A56" s="143">
        <v>5</v>
      </c>
      <c r="B56" s="123">
        <f t="dataTable" ref="B56:F61" dt2D="1" dtr="1" r1="C16" r2="C17"/>
        <v>13062701994.892017</v>
      </c>
      <c r="C56" s="123">
        <v>13256751368.951902</v>
      </c>
      <c r="D56" s="123">
        <v>14058557488.471428</v>
      </c>
      <c r="E56" s="123">
        <v>14904084965.24864</v>
      </c>
      <c r="F56" s="123">
        <v>15122744232.940859</v>
      </c>
      <c r="H56" s="120"/>
    </row>
    <row r="57" spans="1:8" ht="13.15">
      <c r="A57" s="143">
        <v>10</v>
      </c>
      <c r="B57" s="123">
        <v>13062701994.892015</v>
      </c>
      <c r="C57" s="123">
        <v>13433665379.410797</v>
      </c>
      <c r="D57" s="123">
        <v>15101099148.808468</v>
      </c>
      <c r="E57" s="123">
        <v>17117933714.683388</v>
      </c>
      <c r="F57" s="123">
        <v>17686669309.945793</v>
      </c>
      <c r="H57" s="120"/>
    </row>
    <row r="58" spans="1:8" ht="13.15">
      <c r="A58" s="143">
        <v>15</v>
      </c>
      <c r="B58" s="123">
        <v>13062701994.892014</v>
      </c>
      <c r="C58" s="123">
        <v>13667588593.43734</v>
      </c>
      <c r="D58" s="123">
        <v>16630185052.083202</v>
      </c>
      <c r="E58" s="123">
        <v>20745644672.990433</v>
      </c>
      <c r="F58" s="123">
        <v>22010314408.807312</v>
      </c>
      <c r="H58" s="120"/>
    </row>
    <row r="59" spans="1:8" ht="13.15">
      <c r="A59" s="144">
        <v>20</v>
      </c>
      <c r="B59" s="123">
        <v>13062701994.892012</v>
      </c>
      <c r="C59" s="123">
        <v>13922280236.862001</v>
      </c>
      <c r="D59" s="123">
        <v>18488127223.865643</v>
      </c>
      <c r="E59" s="123">
        <v>25725390200.092201</v>
      </c>
      <c r="F59" s="123">
        <v>28138817927.979591</v>
      </c>
      <c r="H59" s="120"/>
    </row>
    <row r="60" spans="1:8" ht="13.15">
      <c r="A60" s="144">
        <v>25</v>
      </c>
      <c r="B60" s="123">
        <v>13062701994.892012</v>
      </c>
      <c r="C60" s="123">
        <v>14175344804.62105</v>
      </c>
      <c r="D60" s="123">
        <v>20558699064.309685</v>
      </c>
      <c r="E60" s="123">
        <v>32055222180.304966</v>
      </c>
      <c r="F60" s="123">
        <v>36205586897.343864</v>
      </c>
      <c r="H60" s="120"/>
    </row>
    <row r="61" spans="1:8" ht="13.15">
      <c r="A61" s="144">
        <v>30</v>
      </c>
      <c r="B61" s="123">
        <v>13062701994.892008</v>
      </c>
      <c r="C61" s="123">
        <v>14413727115.698677</v>
      </c>
      <c r="D61" s="123">
        <v>22756581938.206429</v>
      </c>
      <c r="E61" s="123">
        <v>39784564832.854187</v>
      </c>
      <c r="F61" s="123">
        <v>46430268757.777794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10184073666.666668</v>
      </c>
      <c r="D6" t="str">
        <f>Reporting_currency</f>
        <v>CNY</v>
      </c>
      <c r="E6" s="356"/>
      <c r="F6" s="356"/>
      <c r="H6" s="120"/>
    </row>
    <row r="7" spans="2:8" ht="13.15">
      <c r="B7" s="149" t="s">
        <v>445</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5.6617154223326201E-2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-16.52</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114">
        <f>Normalized_FCF!G8</f>
        <v>1113675057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8"/>
      <c r="H7" s="247">
        <v>4</v>
      </c>
      <c r="I7" s="124" t="str">
        <f t="shared" si="0"/>
        <v/>
      </c>
    </row>
    <row r="8" spans="2:9">
      <c r="B8" s="100" t="s">
        <v>66</v>
      </c>
      <c r="C8" s="114">
        <f>Normalized_FCF!G19</f>
        <v>866779085.10917377</v>
      </c>
      <c r="D8" t="str">
        <f>Reporting_currency</f>
        <v>CNY</v>
      </c>
      <c r="E8" s="358"/>
      <c r="F8" s="358"/>
      <c r="H8" s="247">
        <v>5</v>
      </c>
      <c r="I8" s="124" t="str">
        <f t="shared" si="0"/>
        <v/>
      </c>
    </row>
    <row r="9" spans="2:9">
      <c r="B9" s="100" t="s">
        <v>57</v>
      </c>
      <c r="C9" s="114">
        <f>Normalized_FCF!C19</f>
        <v>783762119.69352126</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9.6365877843450409E-2</v>
      </c>
      <c r="D12" s="158"/>
      <c r="E12" s="358"/>
      <c r="F12" s="358"/>
      <c r="H12" s="247">
        <v>9</v>
      </c>
      <c r="I12" s="124" t="str">
        <f t="shared" si="0"/>
        <v/>
      </c>
    </row>
    <row r="13" spans="2:9">
      <c r="B13" s="148" t="s">
        <v>153</v>
      </c>
      <c r="C13" s="158">
        <f ca="1">(Normalized_FCF!G8/OFFSET(Normalized_FCF!G8, 0, $C$4))^(1/$C$4) - 1</f>
        <v>0.12333037284725878</v>
      </c>
      <c r="E13" s="358"/>
      <c r="F13" s="358"/>
      <c r="H13" s="247">
        <v>10</v>
      </c>
      <c r="I13" s="124" t="str">
        <f t="shared" si="0"/>
        <v/>
      </c>
    </row>
    <row r="14" spans="2:9">
      <c r="B14" s="100" t="s">
        <v>66</v>
      </c>
      <c r="C14" s="158">
        <f ca="1">(Normalized_FCF!G19/OFFSET(Normalized_FCF!G19, 0, $C$4))^(1/$C$4) - 1</f>
        <v>0.10557193538775511</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16.52</v>
      </c>
      <c r="D21" t="str">
        <f>Market_currency</f>
        <v>CNY</v>
      </c>
      <c r="E21" s="359"/>
      <c r="F21" s="359"/>
    </row>
    <row r="22" spans="2:6">
      <c r="B22" s="100" t="s">
        <v>279</v>
      </c>
      <c r="C22" s="160">
        <f>IF(valuation_method="DCF",DCF!C12,DDM!C7)</f>
        <v>23.615428128302636</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0.05</v>
      </c>
      <c r="D26" s="164"/>
      <c r="E26" s="357"/>
      <c r="F26" s="357"/>
    </row>
    <row r="27" spans="2:6">
      <c r="B27" s="100" t="s">
        <v>114</v>
      </c>
      <c r="C27" s="160">
        <f>IF(valuation_method="DCF",DCF!E76,DDM!E71)</f>
        <v>25.342973276647452</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0.01</v>
      </c>
      <c r="D32" s="164"/>
      <c r="E32" s="357"/>
      <c r="F32" s="357"/>
    </row>
    <row r="33" spans="2:6">
      <c r="B33" s="100" t="s">
        <v>114</v>
      </c>
      <c r="C33" s="160">
        <f>IF(valuation_method="DCF",DCF!E77,DDM!E72)</f>
        <v>23.952052324140109</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0.09</v>
      </c>
      <c r="D38" s="164"/>
      <c r="E38" s="357"/>
      <c r="F38" s="357"/>
    </row>
    <row r="39" spans="2:6">
      <c r="B39" s="100" t="s">
        <v>114</v>
      </c>
      <c r="C39" s="160">
        <f>IF(valuation_method="DCF",DCF!E75,DDM!E70)</f>
        <v>26.809739187681949</v>
      </c>
      <c r="D39" t="str">
        <f>Market_currency</f>
        <v>CNY</v>
      </c>
      <c r="E39" s="357"/>
      <c r="F39" s="357"/>
    </row>
    <row r="40" spans="2:6">
      <c r="B40" s="100" t="s">
        <v>148</v>
      </c>
      <c r="C40" s="167">
        <f>1-C28-C34</f>
        <v>0.2</v>
      </c>
      <c r="D40" s="165"/>
      <c r="E40" s="357"/>
      <c r="F40" s="357"/>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23.615428128302629</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0.1</v>
      </c>
      <c r="D56" s="164"/>
      <c r="E56" s="357"/>
      <c r="F56" s="357"/>
    </row>
    <row r="57" spans="2:6">
      <c r="B57" s="100" t="s">
        <v>114</v>
      </c>
      <c r="C57" s="160">
        <f>IF(valuation_method="DCF",DCF!E74,DDM!E69)</f>
        <v>31.63678499456287</v>
      </c>
      <c r="D57" t="str">
        <f>Market_currency</f>
        <v>CNY</v>
      </c>
      <c r="E57" s="357"/>
      <c r="F57" s="357"/>
    </row>
    <row r="58" spans="2:6">
      <c r="B58" s="100" t="s">
        <v>148</v>
      </c>
      <c r="C58" s="165">
        <v>0.05</v>
      </c>
      <c r="D58" s="165"/>
      <c r="E58" s="357"/>
      <c r="F58" s="357"/>
    </row>
    <row r="60" spans="2:6" ht="13.15">
      <c r="B60" s="100" t="s">
        <v>121</v>
      </c>
      <c r="C60" s="154">
        <f>C51*C52+C57*C58+C42*(1-C52-C58)</f>
        <v>25.584938697660867</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5.6617154223326201E-2</v>
      </c>
      <c r="D65" s="151"/>
      <c r="E65" s="251" t="s">
        <v>313</v>
      </c>
    </row>
    <row r="66" spans="2:6">
      <c r="B66" s="100" t="s">
        <v>103</v>
      </c>
      <c r="C66" s="160">
        <f>IF(valuation_method="DCF",DCF!C18,DDM!C13)</f>
        <v>25.580208888730507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3.7330744802016626E-2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10.705085959638616</v>
      </c>
      <c r="D82" s="116"/>
    </row>
    <row r="83" spans="2:8" ht="13.15">
      <c r="B83" s="110" t="s">
        <v>102</v>
      </c>
      <c r="C83" s="111">
        <f>C81+C82</f>
        <v>12.534408209968158</v>
      </c>
      <c r="D83" t="str">
        <f>Market_currency</f>
        <v>CNY</v>
      </c>
      <c r="E83" s="146" t="s">
        <v>127</v>
      </c>
      <c r="F83" s="291">
        <f>(1-C83/C60)</f>
        <v>0.51008644741782672</v>
      </c>
    </row>
    <row r="84" spans="2:8">
      <c r="E84" s="120"/>
    </row>
    <row r="85" spans="2:8" ht="13.15">
      <c r="B85" s="109" t="s">
        <v>303</v>
      </c>
    </row>
    <row r="86" spans="2:8">
      <c r="B86" s="148" t="s">
        <v>301</v>
      </c>
      <c r="C86" s="116">
        <f>Market_Price</f>
        <v>16.52</v>
      </c>
      <c r="D86" t="str">
        <f>Market_currency</f>
        <v>CNY</v>
      </c>
    </row>
    <row r="87" spans="2:8" ht="13.15">
      <c r="B87" s="100" t="s">
        <v>299</v>
      </c>
      <c r="C87" s="237">
        <f ca="1">IRR(OFFSET($I$3, 0, 0, $C$76 + 1, 1))</f>
        <v>0.21308600349914264</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15.297914307657322</v>
      </c>
      <c r="D92" s="116"/>
    </row>
    <row r="93" spans="2:8" ht="13.15">
      <c r="B93" s="110" t="s">
        <v>102</v>
      </c>
      <c r="C93" s="111">
        <f>C91+C92</f>
        <v>17.577047192866189</v>
      </c>
      <c r="D93" t="str">
        <f>Market_currency</f>
        <v>CNY</v>
      </c>
      <c r="E93" s="146" t="s">
        <v>127</v>
      </c>
      <c r="F93" s="291">
        <f>(1-C93/C60)</f>
        <v>0.31299240539227124</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399</v>
      </c>
      <c r="C99" s="111">
        <f>C97+C98</f>
        <v>24.315000552184742</v>
      </c>
      <c r="D99" t="s">
        <v>397</v>
      </c>
      <c r="E99" s="146" t="s">
        <v>127</v>
      </c>
      <c r="F99" s="291">
        <f>(1-C99/C60)</f>
        <v>4.9636161355830488E-2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19.920294213679817</v>
      </c>
      <c r="D104" s="116"/>
    </row>
    <row r="105" spans="2:8" ht="13.15">
      <c r="B105" s="110" t="s">
        <v>399</v>
      </c>
      <c r="C105" s="111">
        <f>C103+C104</f>
        <v>22.61787767563613</v>
      </c>
      <c r="D105" t="s">
        <v>397</v>
      </c>
      <c r="E105" s="146" t="s">
        <v>127</v>
      </c>
      <c r="F105" s="291">
        <f>(1-C105/C66)</f>
        <v>0.11580559118887601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