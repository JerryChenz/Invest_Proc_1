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FA36AE0-C477-4EDE-B3F9-0D7C6FEDDA54}" xr6:coauthVersionLast="47" xr6:coauthVersionMax="47" xr10:uidLastSave="{00000000-0000-0000-0000-000000000000}"/>
  <bookViews>
    <workbookView xWindow="2205" yWindow="2205"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4" i="3"/>
  <c r="C9"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P94" i="2"/>
  <c r="O94" i="2"/>
  <c r="Q92" i="2"/>
  <c r="Q94" i="2"/>
  <c r="J94" i="2"/>
  <c r="K94" i="2"/>
  <c r="L94" i="2"/>
  <c r="N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<sst xmlns="http://schemas.openxmlformats.org/spreadsheetml/2006/main" count="836" uniqueCount="561">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</sst>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0F7CDBB-44D8-4143-B469-38A121901CE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279.SS_Valuation_backup.xlsx" TargetMode="External"/><Relationship Id="rId1" Type="http://schemas.openxmlformats.org/officeDocument/2006/relationships/externalLinkPath" Target="603279.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576457000</v>
          </cell>
        </row>
        <row r="12">
          <cell r="C12">
            <v>14.94</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景津装备</v>
      </c>
    </row>
    <row r="6" spans="1:10">
      <c r="B6" s="4" t="s">
        <v>480</v>
      </c>
      <c r="C6" s="34">
        <f>Common_Shares</f>
        <v>576457000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603279.SS</v>
      </c>
      <c r="D11" s="49"/>
      <c r="E11" s="34"/>
    </row>
    <row r="12" spans="1:10">
      <c r="B12" s="4" t="s">
        <v>484</v>
      </c>
      <c r="C12" s="366">
        <f>Market_Price</f>
        <v>15.32</v>
      </c>
      <c r="D12" s="50"/>
      <c r="E12" s="48"/>
    </row>
    <row r="13" spans="1:10">
      <c r="B13" s="1" t="s">
        <v>485</v>
      </c>
      <c r="C13" s="32" t="str">
        <f>Market_currency</f>
        <v>CNY</v>
      </c>
      <c r="D13" s="48"/>
      <c r="E13" s="5"/>
    </row>
    <row r="14" spans="1:10">
      <c r="B14" s="4" t="s">
        <v>486</v>
      </c>
      <c r="C14" s="35">
        <f>投资主题!C12*Common_Shares/1000000</f>
        <v>8831.3212399999993</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17.692199895960851</v>
      </c>
      <c r="D26" s="1" t="s">
        <v>446</v>
      </c>
      <c r="E26" s="301">
        <f ca="1">Scenarios!C87</f>
        <v>0.10866244857430996</v>
      </c>
    </row>
    <row r="27" spans="2:6">
      <c r="D27" s="5"/>
      <c r="E27" s="5"/>
    </row>
    <row r="28" spans="2:6">
      <c r="B28" s="45" t="s">
        <v>448</v>
      </c>
      <c r="C28" s="309" t="str">
        <f>C145&amp;" ("&amp;Market_currency&amp;")"</f>
        <v>603279.SS (CNY)</v>
      </c>
      <c r="D28" s="309" t="str">
        <f>IF(D11="","",D145&amp;" ("&amp;D13&amp;")")</f>
        <v/>
      </c>
      <c r="E28" s="305" t="s">
        <v>453</v>
      </c>
      <c r="F28" s="361">
        <f>Thesis!F28</f>
        <v>3</v>
      </c>
    </row>
    <row r="29" spans="2:6">
      <c r="B29" s="1" t="s">
        <v>449</v>
      </c>
      <c r="C29" s="310">
        <f>C149</f>
        <v>7.2279420709207756</v>
      </c>
      <c r="D29" s="310" t="str">
        <f>D149</f>
        <v/>
      </c>
      <c r="E29" s="306" t="s">
        <v>455</v>
      </c>
      <c r="F29" s="362">
        <f>Thesis!F29</f>
        <v>0.45</v>
      </c>
    </row>
    <row r="30" spans="2:6">
      <c r="B30" s="1" t="s">
        <v>450</v>
      </c>
      <c r="C30" s="311">
        <f>C157</f>
        <v>9.7854619462725747</v>
      </c>
      <c r="D30" s="311" t="str">
        <f>D157</f>
        <v/>
      </c>
      <c r="E30" s="307" t="s">
        <v>454</v>
      </c>
      <c r="F30" s="224">
        <f>Thesis!F30</f>
        <v>0.3</v>
      </c>
    </row>
    <row r="31" spans="2:6">
      <c r="B31" s="1" t="s">
        <v>451</v>
      </c>
      <c r="C31" s="311">
        <f>C165</f>
        <v>16.722424859968235</v>
      </c>
      <c r="D31" s="311" t="str">
        <f>D165</f>
        <v/>
      </c>
      <c r="E31" s="307" t="s">
        <v>491</v>
      </c>
      <c r="F31" s="224">
        <f>Thesis!F31</f>
        <v>7.4999999999999997E-2</v>
      </c>
    </row>
    <row r="32" spans="2:6">
      <c r="B32" s="1" t="s">
        <v>452</v>
      </c>
      <c r="C32" s="311">
        <f>C173</f>
        <v>16.202875796143875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898092603.37923622</v>
      </c>
      <c r="D41" s="1" t="str">
        <f>Reporting_currency</f>
        <v>CNY</v>
      </c>
    </row>
    <row r="42" spans="1:6">
      <c r="B42" s="47"/>
      <c r="C42" s="76"/>
    </row>
    <row r="43" spans="1:6" ht="24.6" customHeight="1">
      <c r="B43" s="370" t="s">
        <v>495</v>
      </c>
      <c r="C43" s="370"/>
      <c r="D43" s="370"/>
      <c r="E43" s="370"/>
      <c r="F43" s="370"/>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498</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-226167766.80719703</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7.6829194860268846E-2</v>
      </c>
      <c r="F69" s="314"/>
    </row>
    <row r="70" spans="1:6">
      <c r="B70" s="227" t="s">
        <v>434</v>
      </c>
      <c r="C70" s="92">
        <f>Normalized_FCF!C94</f>
        <v>6.2271540469973893E-2</v>
      </c>
      <c r="E70" s="47" t="s">
        <v>503</v>
      </c>
      <c r="F70" s="315">
        <f>Normalized_FCF!C92</f>
        <v>0.90057693104856651</v>
      </c>
    </row>
    <row r="72" spans="1:6">
      <c r="B72" s="210" t="s">
        <v>513</v>
      </c>
      <c r="C72" s="323" t="s">
        <v>429</v>
      </c>
      <c r="D72" s="323" t="s">
        <v>504</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15.693643536790917</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514</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515</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c r="B116" s="374" t="s">
        <v>516</v>
      </c>
      <c r="C116" s="374"/>
      <c r="D116" s="374"/>
      <c r="E116" s="374"/>
      <c r="F116" s="374"/>
    </row>
    <row r="118" spans="1:6">
      <c r="B118" s="47" t="s">
        <v>517</v>
      </c>
      <c r="C118" s="223">
        <f>IF(valuation_method="DCF",DCF!C12,DDM!C7)</f>
        <v>16.782566586060053</v>
      </c>
      <c r="D118" s="1" t="str">
        <f>Market_currency</f>
        <v>CNY</v>
      </c>
    </row>
    <row r="119" spans="1:6">
      <c r="B119" s="296" t="s">
        <v>550</v>
      </c>
      <c r="C119" s="223">
        <f>BS!D47</f>
        <v>-0.43338518935931036</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532</v>
      </c>
      <c r="C150" s="298" t="str">
        <f>Market_currency</f>
        <v>CNY</v>
      </c>
      <c r="D150" s="298" t="str">
        <f>IF($D$11="","",D$13)</f>
        <v/>
      </c>
    </row>
    <row r="151" spans="2:4">
      <c r="B151" s="214" t="s">
        <v>533</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532</v>
      </c>
      <c r="C158" s="298" t="str">
        <f>Market_currency</f>
        <v>CNY</v>
      </c>
      <c r="D158" s="298" t="str">
        <f>IF($D$11="","",D$13)</f>
        <v/>
      </c>
    </row>
    <row r="159" spans="2:4">
      <c r="B159" s="214" t="s">
        <v>533</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532</v>
      </c>
      <c r="C166" s="298" t="str">
        <f>Market_currency</f>
        <v>CNY</v>
      </c>
      <c r="D166" s="298" t="str">
        <f>IF($D$11="","",D$13)</f>
        <v/>
      </c>
    </row>
    <row r="167" spans="2:4">
      <c r="B167" s="214" t="s">
        <v>533</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532</v>
      </c>
      <c r="C174" s="298" t="str">
        <f>Market_currency</f>
        <v>CNY</v>
      </c>
      <c r="D174" s="298" t="str">
        <f>IF($D$11="","",D$13)</f>
        <v/>
      </c>
    </row>
    <row r="175" spans="2:4">
      <c r="B175" s="214" t="s">
        <v>533</v>
      </c>
      <c r="C175" s="92">
        <f>Scenarios!F105</f>
        <v>8.3913949117474296E-2</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576457000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15.32</v>
      </c>
      <c r="D12" s="50"/>
      <c r="E12" s="48"/>
    </row>
    <row r="13" spans="1:10">
      <c r="B13" s="1" t="s">
        <v>464</v>
      </c>
      <c r="C13" s="48" t="s">
        <v>394</v>
      </c>
      <c r="D13" s="48"/>
      <c r="E13" s="5"/>
    </row>
    <row r="14" spans="1:10">
      <c r="B14" s="4" t="s">
        <v>465</v>
      </c>
      <c r="C14" s="35">
        <f>Thesis!C12*Common_Shares/1000000</f>
        <v>8831.3212399999993</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17.692199895960851</v>
      </c>
      <c r="D26" s="1" t="s">
        <v>380</v>
      </c>
      <c r="E26" s="301">
        <f ca="1">Scenarios!C87</f>
        <v>0.10866244857430996</v>
      </c>
    </row>
    <row r="27" spans="2:6">
      <c r="D27" s="5"/>
      <c r="E27" s="5"/>
    </row>
    <row r="28" spans="2:6">
      <c r="B28" s="45" t="s">
        <v>410</v>
      </c>
      <c r="C28" s="309" t="str">
        <f>C145&amp;" ("&amp;Market_currency&amp;")"</f>
        <v>603279.SS (CNY)</v>
      </c>
      <c r="D28" s="309" t="str">
        <f>IF(D11="","",D145&amp;" ("&amp;D13&amp;")")</f>
        <v/>
      </c>
      <c r="E28" s="305" t="s">
        <v>406</v>
      </c>
      <c r="F28" s="303">
        <v>3</v>
      </c>
    </row>
    <row r="29" spans="2:6">
      <c r="B29" s="1" t="s">
        <v>402</v>
      </c>
      <c r="C29" s="310">
        <f>C149</f>
        <v>7.2279420709207756</v>
      </c>
      <c r="D29" s="310" t="str">
        <f>D149</f>
        <v/>
      </c>
      <c r="E29" s="306" t="s">
        <v>401</v>
      </c>
      <c r="F29" s="302">
        <v>0.45</v>
      </c>
    </row>
    <row r="30" spans="2:6">
      <c r="B30" s="1" t="s">
        <v>403</v>
      </c>
      <c r="C30" s="311">
        <f>C157</f>
        <v>9.7854619462725747</v>
      </c>
      <c r="D30" s="311" t="str">
        <f>D157</f>
        <v/>
      </c>
      <c r="E30" s="307" t="s">
        <v>414</v>
      </c>
      <c r="F30" s="312">
        <v>0.3</v>
      </c>
    </row>
    <row r="31" spans="2:6">
      <c r="B31" s="1" t="s">
        <v>404</v>
      </c>
      <c r="C31" s="311">
        <f>C165</f>
        <v>16.722424859968235</v>
      </c>
      <c r="D31" s="311" t="str">
        <f>D165</f>
        <v/>
      </c>
      <c r="E31" s="307" t="s">
        <v>413</v>
      </c>
      <c r="F31" s="312">
        <v>7.4999999999999997E-2</v>
      </c>
    </row>
    <row r="32" spans="2:6">
      <c r="B32" s="1" t="s">
        <v>405</v>
      </c>
      <c r="C32" s="311">
        <f>C173</f>
        <v>16.202875796143875</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898092603.37923622</v>
      </c>
      <c r="D41" s="1" t="str">
        <f>Reporting_currency</f>
        <v>CNY</v>
      </c>
    </row>
    <row r="42" spans="1:6">
      <c r="B42" s="47"/>
      <c r="C42" s="76"/>
    </row>
    <row r="43" spans="1:6" ht="24.6" customHeight="1">
      <c r="B43" s="370" t="s">
        <v>229</v>
      </c>
      <c r="C43" s="370"/>
      <c r="D43" s="370"/>
      <c r="E43" s="370"/>
      <c r="F43" s="370"/>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-226167766.80719703</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7.6829194860268846E-2</v>
      </c>
      <c r="F69" s="314"/>
    </row>
    <row r="70" spans="1:6">
      <c r="B70" s="227" t="s">
        <v>434</v>
      </c>
      <c r="C70" s="92">
        <f>Normalized_FCF!C94</f>
        <v>6.2271540469973893E-2</v>
      </c>
      <c r="E70" s="47" t="s">
        <v>425</v>
      </c>
      <c r="F70" s="315">
        <f>Normalized_FCF!C92</f>
        <v>0.90057693104856651</v>
      </c>
    </row>
    <row r="72" spans="1:6">
      <c r="B72" s="210" t="s">
        <v>427</v>
      </c>
      <c r="C72" s="323" t="s">
        <v>429</v>
      </c>
      <c r="D72" s="323" t="s">
        <v>430</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15.693643536790917</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250</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252</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ht="24.6" customHeight="1">
      <c r="B116" s="374" t="s">
        <v>352</v>
      </c>
      <c r="C116" s="374"/>
      <c r="D116" s="374"/>
      <c r="E116" s="374"/>
      <c r="F116" s="374"/>
    </row>
    <row r="118" spans="1:6">
      <c r="B118" s="47" t="s">
        <v>426</v>
      </c>
      <c r="C118" s="223">
        <f>IF(valuation_method="DCF",DCF!C12,DDM!C7)</f>
        <v>16.782566586060053</v>
      </c>
      <c r="D118" s="1" t="str">
        <f>Market_currency</f>
        <v>CNY</v>
      </c>
    </row>
    <row r="119" spans="1:6">
      <c r="B119" s="296" t="s">
        <v>549</v>
      </c>
      <c r="C119" s="223">
        <f>BS!D47</f>
        <v>-0.43338518935931036</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396</v>
      </c>
      <c r="C150" s="298" t="str">
        <f>Market_currency</f>
        <v>CNY</v>
      </c>
      <c r="D150" s="298" t="str">
        <f>IF($D$11="","",D$13)</f>
        <v/>
      </c>
    </row>
    <row r="151" spans="2:4">
      <c r="B151" s="214" t="s">
        <v>258</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396</v>
      </c>
      <c r="C158" s="298" t="str">
        <f>Market_currency</f>
        <v>CNY</v>
      </c>
      <c r="D158" s="298" t="str">
        <f>IF($D$11="","",D$13)</f>
        <v/>
      </c>
    </row>
    <row r="159" spans="2:4">
      <c r="B159" s="214" t="s">
        <v>258</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396</v>
      </c>
      <c r="C166" s="298" t="str">
        <f>Market_currency</f>
        <v>CNY</v>
      </c>
      <c r="D166" s="298" t="str">
        <f>IF($D$11="","",D$13)</f>
        <v/>
      </c>
    </row>
    <row r="167" spans="2:4">
      <c r="B167" s="214" t="s">
        <v>258</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396</v>
      </c>
      <c r="C174" s="298" t="str">
        <f>Market_currency</f>
        <v>CNY</v>
      </c>
      <c r="D174" s="298" t="str">
        <f>IF($D$11="","",D$13)</f>
        <v/>
      </c>
    </row>
    <row r="175" spans="2:4">
      <c r="B175" s="214" t="s">
        <v>258</v>
      </c>
      <c r="C175" s="92">
        <f>Scenarios!F105</f>
        <v>8.3913949117474296E-2</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41</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52</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59</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47</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6249607</v>
      </c>
      <c r="D12" s="351">
        <v>4610251</v>
      </c>
      <c r="E12" s="351">
        <v>1311423</v>
      </c>
      <c r="F12" s="351">
        <v>394228</v>
      </c>
      <c r="G12" s="351">
        <v>74051</v>
      </c>
      <c r="H12" s="351">
        <v>0</v>
      </c>
      <c r="I12" s="351">
        <v>0</v>
      </c>
      <c r="J12" s="351">
        <v>0</v>
      </c>
      <c r="K12" s="351">
        <v>0</v>
      </c>
      <c r="L12" s="351"/>
      <c r="M12" s="351"/>
    </row>
    <row r="13" spans="2:13">
      <c r="B13" s="40" t="s">
        <v>65</v>
      </c>
      <c r="C13" s="351">
        <v>37086796</v>
      </c>
      <c r="D13" s="351">
        <v>31023567</v>
      </c>
      <c r="E13" s="351">
        <v>31991799</v>
      </c>
      <c r="F13" s="351">
        <v>18258659</v>
      </c>
      <c r="G13" s="351">
        <v>12674421</v>
      </c>
      <c r="H13" s="351">
        <v>7073727</v>
      </c>
      <c r="I13" s="351">
        <v>0</v>
      </c>
      <c r="J13" s="351">
        <v>0</v>
      </c>
      <c r="K13" s="351">
        <v>0</v>
      </c>
      <c r="L13" s="351"/>
      <c r="M13" s="351"/>
    </row>
    <row r="14" spans="2:13">
      <c r="B14" s="40" t="s">
        <v>48</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40</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42</v>
      </c>
      <c r="C16" s="351">
        <v>0</v>
      </c>
      <c r="D16" s="351">
        <v>0</v>
      </c>
      <c r="E16" s="351">
        <v>0</v>
      </c>
      <c r="F16" s="351">
        <v>0</v>
      </c>
      <c r="G16" s="351">
        <v>0</v>
      </c>
      <c r="H16" s="351">
        <v>0</v>
      </c>
      <c r="I16" s="351">
        <v>0</v>
      </c>
      <c r="J16" s="351">
        <v>0</v>
      </c>
      <c r="K16" s="351">
        <v>0</v>
      </c>
      <c r="L16" s="351">
        <v>0</v>
      </c>
      <c r="M16" s="351"/>
    </row>
    <row r="18" spans="2:13">
      <c r="B18" s="16" t="s">
        <v>49</v>
      </c>
      <c r="C18" s="9"/>
    </row>
    <row r="19" spans="2:13">
      <c r="B19" s="27" t="s">
        <v>45</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356</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355</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26</v>
      </c>
      <c r="C27" s="97" t="s">
        <v>559</v>
      </c>
    </row>
    <row r="28" spans="2:13">
      <c r="B28" s="26" t="s">
        <v>22</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30</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38</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28</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168</v>
      </c>
      <c r="C32" s="333">
        <f>BS!G28</f>
        <v>0</v>
      </c>
      <c r="D32" s="351">
        <v>0</v>
      </c>
      <c r="E32" s="351">
        <v>0</v>
      </c>
      <c r="F32" s="351">
        <v>0</v>
      </c>
      <c r="G32" s="351">
        <v>0</v>
      </c>
      <c r="H32" s="351">
        <v>0</v>
      </c>
      <c r="I32" s="351">
        <v>0</v>
      </c>
      <c r="J32" s="351">
        <v>0</v>
      </c>
      <c r="K32" s="351">
        <v>0</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41</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56</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52</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59</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62</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47</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148</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164</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66</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48</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40</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49</v>
      </c>
      <c r="C60" s="9"/>
    </row>
    <row r="61" spans="2:13">
      <c r="B61" s="27" t="s">
        <v>45</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51</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34</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56</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164</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83</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84</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38</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28</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162848038.15+872554672.94+94302275.67+50452913.4</f>
        <v>1180157900.1600001</v>
      </c>
      <c r="D4" s="261">
        <v>0.6</v>
      </c>
      <c r="E4" s="25"/>
      <c r="F4" s="4" t="s">
        <v>75</v>
      </c>
      <c r="G4" s="19">
        <v>1723046566.25</v>
      </c>
      <c r="H4" s="261">
        <v>0.9</v>
      </c>
    </row>
    <row r="5" spans="2:8" ht="15" customHeight="1">
      <c r="B5" s="1" t="s">
        <v>31</v>
      </c>
      <c r="C5" s="19">
        <v>0</v>
      </c>
      <c r="D5" s="261">
        <v>0.6</v>
      </c>
      <c r="E5" s="25"/>
      <c r="F5" s="1" t="s">
        <v>27</v>
      </c>
      <c r="G5" s="19">
        <v>0</v>
      </c>
      <c r="H5" s="261">
        <v>0.7</v>
      </c>
    </row>
    <row r="6" spans="2:8" ht="15" customHeight="1">
      <c r="B6" s="4" t="s">
        <v>8</v>
      </c>
      <c r="C6" s="19">
        <v>2566018245.5700002</v>
      </c>
      <c r="D6" s="261">
        <v>0.5</v>
      </c>
      <c r="E6" s="25"/>
      <c r="F6" s="4" t="s">
        <v>173</v>
      </c>
      <c r="G6" s="19">
        <v>0</v>
      </c>
      <c r="H6" s="261">
        <v>0.6</v>
      </c>
    </row>
    <row r="7" spans="2:8" ht="15" customHeight="1">
      <c r="B7" s="1" t="s">
        <v>67</v>
      </c>
      <c r="C7" s="19">
        <v>0</v>
      </c>
      <c r="D7" s="261">
        <v>0.6</v>
      </c>
      <c r="E7" s="25"/>
      <c r="F7" s="4" t="s">
        <v>174</v>
      </c>
      <c r="G7" s="19">
        <v>50322384.659999996</v>
      </c>
      <c r="H7" s="261">
        <v>0.6</v>
      </c>
    </row>
    <row r="8" spans="2:8" ht="15" customHeight="1">
      <c r="B8" s="1" t="s">
        <v>169</v>
      </c>
      <c r="C8" s="19">
        <v>0</v>
      </c>
      <c r="D8" s="261">
        <v>0.6</v>
      </c>
      <c r="E8" s="25"/>
      <c r="F8" s="1" t="s">
        <v>175</v>
      </c>
      <c r="G8" s="19">
        <v>0</v>
      </c>
      <c r="H8" s="261">
        <v>0.6</v>
      </c>
    </row>
    <row r="9" spans="2:8" ht="15" customHeight="1">
      <c r="B9" s="4" t="s">
        <v>23</v>
      </c>
      <c r="C9" s="19">
        <f>21769366.3+88430040.42</f>
        <v>110199406.72</v>
      </c>
      <c r="D9" s="261">
        <v>0.1</v>
      </c>
      <c r="E9" s="25"/>
      <c r="F9" s="4" t="s">
        <v>176</v>
      </c>
      <c r="G9" s="19">
        <v>0</v>
      </c>
      <c r="H9" s="261">
        <v>0.6</v>
      </c>
    </row>
    <row r="10" spans="2:8" ht="15" customHeight="1">
      <c r="B10" s="4" t="s">
        <v>9</v>
      </c>
      <c r="C10" s="19">
        <v>0</v>
      </c>
      <c r="D10" s="261">
        <v>0.9</v>
      </c>
      <c r="H10" s="262"/>
    </row>
    <row r="11" spans="2:8" ht="15" customHeight="1">
      <c r="B11" s="4" t="s">
        <v>10</v>
      </c>
      <c r="C11" s="19">
        <v>66428111.5</v>
      </c>
      <c r="D11" s="261">
        <v>0.05</v>
      </c>
      <c r="H11" s="262"/>
    </row>
    <row r="12" spans="2:8" ht="15" customHeight="1">
      <c r="B12" s="80" t="s">
        <v>70</v>
      </c>
      <c r="C12" s="81">
        <f>SUM(C4:C11)</f>
        <v>3922803663.9500003</v>
      </c>
      <c r="D12" s="20">
        <f>C4*D4+C5*D5+C9*D9+C6*D6+C8*D8+C7*D7+C10*D10+C11*D11</f>
        <v>2005445209.1280003</v>
      </c>
      <c r="F12" s="80" t="s">
        <v>68</v>
      </c>
      <c r="G12" s="81">
        <f>SUM(G4:G9)</f>
        <v>1773368950.9100001</v>
      </c>
      <c r="H12" s="20">
        <f>G4*H4+G5*H5+G6*H6+G7*H7+G8*H8+G9*H9</f>
        <v>1580935340.421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2276113969.89+136330644.02+1116002.95</f>
        <v>2413560616.8599997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308495762.44999999</v>
      </c>
      <c r="D21" s="261">
        <v>0.05</v>
      </c>
      <c r="F21" s="1" t="s">
        <v>176</v>
      </c>
      <c r="G21" s="19">
        <v>0</v>
      </c>
      <c r="H21" s="261">
        <v>0.1</v>
      </c>
    </row>
    <row r="22" spans="2:8" ht="15" customHeight="1">
      <c r="B22" s="4" t="s">
        <v>18</v>
      </c>
      <c r="C22" s="19">
        <v>128281177.8</v>
      </c>
      <c r="D22" s="261">
        <v>0.9</v>
      </c>
      <c r="H22" s="262"/>
    </row>
    <row r="23" spans="2:8" ht="15" customHeight="1">
      <c r="B23" s="4" t="s">
        <v>19</v>
      </c>
      <c r="C23" s="19">
        <v>126021439.64</v>
      </c>
      <c r="D23" s="261">
        <v>0</v>
      </c>
      <c r="H23" s="262"/>
    </row>
    <row r="24" spans="2:8" ht="15" customHeight="1">
      <c r="B24" s="80" t="s">
        <v>71</v>
      </c>
      <c r="C24" s="81">
        <f>SUM(C15:C23)</f>
        <v>2976358996.7499995</v>
      </c>
      <c r="D24" s="20">
        <f>C15*D15+C16*D16+C18*D18+C17*D17+C19*D19+C20*D20+C21*D21+C22*D22+C23*D23</f>
        <v>372233909.82849997</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200146666.66999999</v>
      </c>
      <c r="F27" s="187" t="s">
        <v>28</v>
      </c>
      <c r="G27" s="85">
        <f>G32-G30</f>
        <v>4464089226.1300011</v>
      </c>
      <c r="H27" s="188">
        <f>H32-G30</f>
        <v>-249827926.10249996</v>
      </c>
    </row>
    <row r="28" spans="2:8" ht="15" customHeight="1">
      <c r="B28" s="4" t="s">
        <v>4</v>
      </c>
      <c r="C28" s="19">
        <v>0</v>
      </c>
      <c r="F28" s="189" t="s">
        <v>240</v>
      </c>
      <c r="G28" s="12">
        <v>0</v>
      </c>
      <c r="H28" s="188"/>
    </row>
    <row r="29" spans="2:8" ht="15" customHeight="1">
      <c r="B29" s="4" t="s">
        <v>5</v>
      </c>
      <c r="C29" s="19">
        <v>0</v>
      </c>
      <c r="F29" s="190" t="s">
        <v>73</v>
      </c>
      <c r="G29" s="14">
        <f>G27-G28</f>
        <v>4464089226.1300011</v>
      </c>
      <c r="H29" s="188">
        <f>H27-G28</f>
        <v>-249827926.10249996</v>
      </c>
    </row>
    <row r="30" spans="2:8" ht="15" customHeight="1">
      <c r="B30" s="2" t="s">
        <v>6</v>
      </c>
      <c r="C30" s="19">
        <v>0</v>
      </c>
      <c r="F30" s="187" t="s">
        <v>21</v>
      </c>
      <c r="G30" s="85">
        <f>C33+C42</f>
        <v>4208442385.48</v>
      </c>
      <c r="H30" s="188"/>
    </row>
    <row r="31" spans="2:8" ht="15" customHeight="1">
      <c r="B31" s="80" t="s">
        <v>199</v>
      </c>
      <c r="C31" s="81">
        <f>SUM(C27:C30)</f>
        <v>200146666.66999999</v>
      </c>
      <c r="F31" s="190" t="s">
        <v>74</v>
      </c>
      <c r="G31" s="191">
        <f>C31+C40</f>
        <v>270317959.52999997</v>
      </c>
      <c r="H31" s="188"/>
    </row>
    <row r="32" spans="2:8" ht="15" customHeight="1">
      <c r="B32" s="4" t="s">
        <v>7</v>
      </c>
      <c r="C32" s="21">
        <f>C33-C31</f>
        <v>3801371953.8299999</v>
      </c>
      <c r="F32" s="192" t="s">
        <v>72</v>
      </c>
      <c r="G32" s="193">
        <f>G35+G40</f>
        <v>8672531611.6100006</v>
      </c>
      <c r="H32" s="188">
        <f>H35+H40</f>
        <v>3958614459.3775001</v>
      </c>
    </row>
    <row r="33" spans="2:8" ht="15" customHeight="1">
      <c r="B33" s="83" t="s">
        <v>2</v>
      </c>
      <c r="C33" s="84">
        <v>4001518620.5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6899162660.6999998</v>
      </c>
      <c r="H35" s="200">
        <f>D12+D24</f>
        <v>2377679118.9565001</v>
      </c>
    </row>
    <row r="36" spans="2:8" ht="15" customHeight="1">
      <c r="B36" s="4" t="s">
        <v>11</v>
      </c>
      <c r="C36" s="19">
        <v>70000000</v>
      </c>
      <c r="F36" s="190" t="s">
        <v>193</v>
      </c>
      <c r="G36" s="191">
        <f>C4+C15</f>
        <v>1180157900.1600001</v>
      </c>
      <c r="H36" s="195"/>
    </row>
    <row r="37" spans="2:8" ht="15" customHeight="1">
      <c r="B37" s="4" t="s">
        <v>12</v>
      </c>
      <c r="C37" s="19">
        <v>171292.86</v>
      </c>
      <c r="F37" s="190" t="s">
        <v>194</v>
      </c>
      <c r="G37" s="191">
        <f>C6</f>
        <v>2566018245.5700002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2413560616.8599997</v>
      </c>
      <c r="H39" s="188">
        <f>C7*D7+C17*D17+C19*D19+C20*D20</f>
        <v>241356061.68599999</v>
      </c>
    </row>
    <row r="40" spans="2:8" ht="15" customHeight="1">
      <c r="B40" s="80" t="s">
        <v>200</v>
      </c>
      <c r="C40" s="81">
        <f>SUM(C36:C39)</f>
        <v>70171292.859999999</v>
      </c>
      <c r="F40" s="199" t="s">
        <v>134</v>
      </c>
      <c r="G40" s="193">
        <f>G12+G24</f>
        <v>1773368950.9100001</v>
      </c>
      <c r="H40" s="200">
        <f>H12+H24</f>
        <v>1580935340.421</v>
      </c>
    </row>
    <row r="41" spans="2:8" ht="15" customHeight="1">
      <c r="B41" s="4" t="s">
        <v>15</v>
      </c>
      <c r="C41" s="21">
        <f>C42-C40</f>
        <v>136752472.12</v>
      </c>
      <c r="F41" s="190" t="s">
        <v>187</v>
      </c>
      <c r="G41" s="191">
        <f>C70</f>
        <v>1723046566.25</v>
      </c>
      <c r="H41" s="200">
        <f>H40-H42</f>
        <v>1550741909.625</v>
      </c>
    </row>
    <row r="42" spans="2:8" ht="15" customHeight="1">
      <c r="B42" s="83" t="s">
        <v>20</v>
      </c>
      <c r="C42" s="84">
        <v>206923764.97999999</v>
      </c>
      <c r="F42" s="201" t="s">
        <v>188</v>
      </c>
      <c r="G42" s="202">
        <f>C82</f>
        <v>50322384.659999996</v>
      </c>
      <c r="H42" s="203">
        <f>D82</f>
        <v>30193430.795999996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0.30099118789407647</v>
      </c>
      <c r="D50" s="95">
        <f>G31/Normalized_FCF!G8</f>
        <v>0.24272606073999553</v>
      </c>
      <c r="F50" s="253"/>
    </row>
    <row r="51" spans="2:8" ht="15" customHeight="1">
      <c r="B51" s="1" t="s">
        <v>172</v>
      </c>
      <c r="C51" s="181"/>
      <c r="D51" s="92">
        <f>G29/G32</f>
        <v>0.51473888203000406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0.13017414540681585</v>
      </c>
      <c r="D54" s="92">
        <f>Normalized_FCF!G8/G35</f>
        <v>0.16142177127434257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8.8384444753464353E-2</v>
      </c>
      <c r="F58" s="5"/>
    </row>
    <row r="59" spans="2:8" ht="15" customHeight="1">
      <c r="B59" s="1" t="s">
        <v>90</v>
      </c>
      <c r="C59" s="98"/>
      <c r="D59" s="92">
        <f>G39/G32</f>
        <v>0.27829943146346597</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1723046566.25</v>
      </c>
      <c r="D66" s="76">
        <f>C66-D75</f>
        <v>867841842.9465394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1723046566.25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-468902548.5</v>
      </c>
      <c r="D73" s="349">
        <f>(Normalized_FCF!C25+Normalized_FCF!C35-Normalized_FCF!C91)/12</f>
        <v>-427602361.6517303</v>
      </c>
      <c r="F73" s="1" t="s">
        <v>342</v>
      </c>
    </row>
    <row r="74" spans="2:6" ht="15" customHeight="1">
      <c r="B74" s="257" t="s">
        <v>312</v>
      </c>
      <c r="C74" s="258">
        <f>-$C$66/C73</f>
        <v>3.674636812621205</v>
      </c>
      <c r="D74" s="258">
        <f>-$C$66/D73</f>
        <v>4.0295534374372126</v>
      </c>
      <c r="F74" s="253" t="s">
        <v>310</v>
      </c>
    </row>
    <row r="75" spans="2:6" ht="15" customHeight="1">
      <c r="B75" s="80" t="s">
        <v>311</v>
      </c>
      <c r="C75" s="320"/>
      <c r="D75" s="321">
        <f>MAX(-D73*D76,G5)</f>
        <v>855204723.3034606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50322384.659999996</v>
      </c>
      <c r="D79" s="76">
        <f>G7*H7+G17*H17</f>
        <v>30193430.795999996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50322384.659999996</v>
      </c>
      <c r="D82" s="81">
        <f>SUM(D79:D81)</f>
        <v>30193430.795999996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-270317959.52999997</v>
      </c>
      <c r="D86" s="223">
        <f>C86*scaling_factor/Common_Shares</f>
        <v>-0.46892996273789717</v>
      </c>
      <c r="E86" s="240" t="str">
        <f>Market_currency</f>
        <v>CNY</v>
      </c>
    </row>
    <row r="87" spans="2:8" ht="15" customHeight="1">
      <c r="B87" s="238" t="s">
        <v>282</v>
      </c>
      <c r="C87" s="76">
        <f>DCF!C8*Exchange_Rate</f>
        <v>867841842.9465394</v>
      </c>
      <c r="D87" s="223">
        <f>C87*scaling_factor/Common_Shares</f>
        <v>1.5054754178482339</v>
      </c>
      <c r="E87" s="240" t="str">
        <f>Market_currency</f>
        <v>CNY</v>
      </c>
    </row>
    <row r="88" spans="2:8" ht="15" customHeight="1">
      <c r="B88" s="239" t="s">
        <v>185</v>
      </c>
      <c r="C88" s="76">
        <f>DCF!C9*Exchange_Rate</f>
        <v>30193430.795999996</v>
      </c>
      <c r="D88" s="223">
        <f>C88*scaling_factor/Common_Shares</f>
        <v>5.2377594158801083E-2</v>
      </c>
      <c r="E88" s="240" t="str">
        <f>Market_currency</f>
        <v>CNY</v>
      </c>
    </row>
    <row r="89" spans="2:8" ht="15" customHeight="1">
      <c r="B89" s="80" t="s">
        <v>286</v>
      </c>
      <c r="C89" s="180">
        <f>SUM(C86:C88)</f>
        <v>627717314.21253943</v>
      </c>
      <c r="D89" s="242">
        <f>SUM(D86:D88)</f>
        <v>1.088923049269138</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AVERAGE(G4:I4)*0.9</f>
        <v>5418276523.1999998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44</v>
      </c>
      <c r="C5" s="328">
        <f>C25</f>
        <v>-4165584653.5707636</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46</v>
      </c>
      <c r="C6" s="329">
        <f>C4+C5</f>
        <v>1252691869.6292362</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43</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148</v>
      </c>
      <c r="C8" s="330">
        <f>C6+C7</f>
        <v>898092603.37923622</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63</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78</v>
      </c>
      <c r="C10" s="328">
        <f>-C4*C78</f>
        <v>-213321215</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6578463.8495519087</v>
      </c>
      <c r="E12" s="268"/>
      <c r="G12" s="328">
        <f>G50</f>
        <v>12157790.53216283</v>
      </c>
      <c r="H12" s="328">
        <f t="shared" ref="H12:Q12" si="6">H50</f>
        <v>10787766.413925113</v>
      </c>
      <c r="I12" s="328">
        <f t="shared" si="6"/>
        <v>14567159.823979978</v>
      </c>
      <c r="J12" s="328">
        <f t="shared" si="6"/>
        <v>8668145.4284623209</v>
      </c>
      <c r="K12" s="328">
        <f t="shared" si="6"/>
        <v>6216681.3090674309</v>
      </c>
      <c r="L12" s="328">
        <f t="shared" si="6"/>
        <v>3510923.5352386222</v>
      </c>
      <c r="M12" s="328">
        <f t="shared" si="6"/>
        <v>0</v>
      </c>
      <c r="N12" s="328">
        <f t="shared" si="6"/>
        <v>0</v>
      </c>
      <c r="O12" s="328">
        <f t="shared" si="6"/>
        <v>0</v>
      </c>
      <c r="P12" s="328">
        <f t="shared" si="6"/>
        <v>0</v>
      </c>
      <c r="Q12" s="328" t="str">
        <f t="shared" si="6"/>
        <v/>
      </c>
    </row>
    <row r="13" spans="1:17" ht="15.75" customHeight="1">
      <c r="A13" s="10"/>
      <c r="B13" s="70" t="s">
        <v>160</v>
      </c>
      <c r="C13" s="329">
        <f>SUM(C8:C12)</f>
        <v>904671067.22878814</v>
      </c>
      <c r="E13" s="268"/>
      <c r="G13" s="329">
        <f>IF(G$4="","",SUM(G8:G12))</f>
        <v>1125832847.5321629</v>
      </c>
      <c r="H13" s="329">
        <f t="shared" ref="H13:Q13" si="7">IF(H$4="","",SUM(H8:H12))</f>
        <v>1276427695.4139252</v>
      </c>
      <c r="I13" s="329">
        <f t="shared" si="7"/>
        <v>1060979863.82398</v>
      </c>
      <c r="J13" s="329">
        <f t="shared" si="7"/>
        <v>794330579.42846227</v>
      </c>
      <c r="K13" s="329">
        <f t="shared" si="7"/>
        <v>660367173.30906749</v>
      </c>
      <c r="L13" s="329">
        <f t="shared" si="7"/>
        <v>514836732.53523862</v>
      </c>
      <c r="M13" s="329">
        <f t="shared" si="7"/>
        <v>332198873</v>
      </c>
      <c r="N13" s="329">
        <f t="shared" si="7"/>
        <v>242933690</v>
      </c>
      <c r="O13" s="329">
        <f t="shared" si="7"/>
        <v>234630549</v>
      </c>
      <c r="P13" s="329">
        <f t="shared" si="7"/>
        <v>244793861</v>
      </c>
      <c r="Q13" s="329" t="str">
        <f t="shared" si="7"/>
        <v/>
      </c>
    </row>
    <row r="14" spans="1:17" ht="15.75" customHeight="1">
      <c r="A14" s="10"/>
      <c r="B14" s="2" t="s">
        <v>61</v>
      </c>
      <c r="C14" s="328">
        <f>-SUM(C8+C11,C12)*C43</f>
        <v>-226167766.80719703</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678503300.42159104</v>
      </c>
      <c r="D16" s="61"/>
      <c r="E16" s="276"/>
      <c r="F16" s="61"/>
      <c r="G16" s="329">
        <f>IF(G$4="","",SUM(G13:G15))</f>
        <v>865118716.5321629</v>
      </c>
      <c r="H16" s="329">
        <f t="shared" ref="H16:Q16" si="8">IF(H$4="","",SUM(H13:H15))</f>
        <v>987051285.41392517</v>
      </c>
      <c r="I16" s="329">
        <f t="shared" si="8"/>
        <v>836969516.82397997</v>
      </c>
      <c r="J16" s="329">
        <f t="shared" si="8"/>
        <v>640609813.42846227</v>
      </c>
      <c r="K16" s="329">
        <f t="shared" si="8"/>
        <v>522619008.30906749</v>
      </c>
      <c r="L16" s="329">
        <f t="shared" si="8"/>
        <v>413291267.53523862</v>
      </c>
      <c r="M16" s="329">
        <f t="shared" si="8"/>
        <v>246645766</v>
      </c>
      <c r="N16" s="329">
        <f t="shared" si="8"/>
        <v>192916653</v>
      </c>
      <c r="O16" s="329">
        <f t="shared" si="8"/>
        <v>191954492</v>
      </c>
      <c r="P16" s="329">
        <f t="shared" si="8"/>
        <v>197649424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678503300.42159104</v>
      </c>
      <c r="D19" s="27"/>
      <c r="E19" s="265"/>
      <c r="F19" s="27"/>
      <c r="G19" s="334">
        <f>IF(G$4="","",G16+G17)</f>
        <v>865118716.5321629</v>
      </c>
      <c r="H19" s="334">
        <f t="shared" ref="H19:Q19" si="9">IF(H$4="","",H16+H17)</f>
        <v>987051285.41392517</v>
      </c>
      <c r="I19" s="334">
        <f t="shared" si="9"/>
        <v>836969516.82397997</v>
      </c>
      <c r="J19" s="334">
        <f t="shared" si="9"/>
        <v>640609813.42846227</v>
      </c>
      <c r="K19" s="334">
        <f t="shared" si="9"/>
        <v>522619008.30906749</v>
      </c>
      <c r="L19" s="334">
        <f t="shared" si="9"/>
        <v>413291267.53523862</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-3896040900.2255597</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60</v>
      </c>
      <c r="C24" s="328">
        <f>-C4*C29</f>
        <v>-269543753.3452037</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44</v>
      </c>
      <c r="C25" s="329">
        <f>C23+C24</f>
        <v>-4165584653.5707636</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0.71905538293283389</v>
      </c>
      <c r="D28" s="26"/>
      <c r="E28" s="266" t="s">
        <v>324</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324</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44</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-182442565.75</v>
      </c>
      <c r="E33" s="266" t="s">
        <v>324</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47</v>
      </c>
      <c r="C34" s="340">
        <f>AVERAGE(G34:J34)</f>
        <v>-172156700.5</v>
      </c>
      <c r="D34" s="58"/>
      <c r="E34" s="266" t="s">
        <v>324</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43</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3.3671697073565113E-2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3.1773332306473966E-2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43</v>
      </c>
      <c r="C40" s="71">
        <f>ABS(C35/$C$4)</f>
        <v>6.5445029380039085E-2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0.23157445758621098</v>
      </c>
      <c r="H43" s="6">
        <f t="shared" si="18"/>
        <v>0.22670803135947301</v>
      </c>
      <c r="I43" s="6">
        <f t="shared" si="18"/>
        <v>0.21113534256213184</v>
      </c>
      <c r="J43" s="6">
        <f t="shared" si="18"/>
        <v>0.19352240739693713</v>
      </c>
      <c r="K43" s="6">
        <f t="shared" si="18"/>
        <v>0.20859329562029971</v>
      </c>
      <c r="L43" s="6">
        <f t="shared" si="18"/>
        <v>0.19723818947407681</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336</v>
      </c>
      <c r="C48" s="328">
        <f>BS!D75*C53</f>
        <v>12828070.849551909</v>
      </c>
      <c r="E48" s="268"/>
      <c r="G48" s="337">
        <f>IFERROR(IF(G$4="","",($C$48/$C$49)*G49),0)</f>
        <v>18407397.53216283</v>
      </c>
      <c r="H48" s="337">
        <f t="shared" ref="H48:Q48" si="19">IFERROR(IF(H$4="","",($C$48/$C$49)*H49),0)</f>
        <v>15398017.413925113</v>
      </c>
      <c r="I48" s="337">
        <f t="shared" si="19"/>
        <v>15878582.823979978</v>
      </c>
      <c r="J48" s="337">
        <f t="shared" si="19"/>
        <v>9062373.4284623209</v>
      </c>
      <c r="K48" s="337">
        <f t="shared" si="19"/>
        <v>6290732.3090674309</v>
      </c>
      <c r="L48" s="337">
        <f t="shared" si="19"/>
        <v>3510923.5352386222</v>
      </c>
      <c r="M48" s="337">
        <f t="shared" si="19"/>
        <v>0</v>
      </c>
      <c r="N48" s="337">
        <f t="shared" si="19"/>
        <v>0</v>
      </c>
      <c r="O48" s="337">
        <f t="shared" si="19"/>
        <v>0</v>
      </c>
      <c r="P48" s="337">
        <f t="shared" si="19"/>
        <v>0</v>
      </c>
      <c r="Q48" s="337" t="str">
        <f t="shared" si="19"/>
        <v/>
      </c>
    </row>
    <row r="49" spans="1:17" ht="15.75" customHeight="1">
      <c r="A49" s="10"/>
      <c r="B49" s="287" t="s">
        <v>333</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66</v>
      </c>
      <c r="C50" s="329">
        <f>C47+C48</f>
        <v>6578463.8495519087</v>
      </c>
      <c r="E50" s="268"/>
      <c r="G50" s="329">
        <f>IF(G$4="","",(G47+G48))</f>
        <v>12157790.53216283</v>
      </c>
      <c r="H50" s="329">
        <f t="shared" ref="H50:Q50" si="20">IF(H$4="","",(H47+H48))</f>
        <v>10787766.413925113</v>
      </c>
      <c r="I50" s="329">
        <f t="shared" si="20"/>
        <v>14567159.823979978</v>
      </c>
      <c r="J50" s="329">
        <f t="shared" si="20"/>
        <v>8668145.4284623209</v>
      </c>
      <c r="K50" s="329">
        <f t="shared" si="20"/>
        <v>6216681.3090674309</v>
      </c>
      <c r="L50" s="329">
        <f t="shared" si="20"/>
        <v>3510923.5352386222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2.1523966169245717E-2</v>
      </c>
      <c r="H53" s="169"/>
      <c r="I53" s="169"/>
      <c r="J53" s="169"/>
      <c r="K53" s="169"/>
      <c r="L53" s="169"/>
      <c r="M53" s="169"/>
      <c r="N53" s="169"/>
      <c r="O53" s="169"/>
      <c r="P53" s="169"/>
      <c r="Q53" s="169"/>
    </row>
    <row r="54" spans="1:17" ht="15.75" customHeight="1">
      <c r="A54" s="10"/>
      <c r="B54" s="8" t="s">
        <v>85</v>
      </c>
      <c r="C54" s="82">
        <f>G54</f>
        <v>2.3119466464108229E-2</v>
      </c>
      <c r="E54" s="265" t="s">
        <v>327</v>
      </c>
      <c r="G54" s="23">
        <f>IFERROR(ABS(Normalized_FCF!G47/BS!$G$31),0)</f>
        <v>2.3119466464108229E-2</v>
      </c>
      <c r="H54" s="169"/>
      <c r="I54" s="169"/>
      <c r="J54" s="169"/>
      <c r="K54" s="169"/>
      <c r="L54" s="169"/>
      <c r="M54" s="169"/>
      <c r="N54" s="169"/>
      <c r="O54" s="169"/>
      <c r="P54" s="169"/>
      <c r="Q54" s="169"/>
    </row>
    <row r="55" spans="1:17" ht="15.75" customHeight="1">
      <c r="A55" s="10"/>
      <c r="B55" s="26" t="s">
        <v>88</v>
      </c>
      <c r="C55" s="42">
        <f>-C8/C47</f>
        <v>143.70385263893172</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191</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46</v>
      </c>
      <c r="C74" s="78">
        <f>ABS(C6/C$4)</f>
        <v>0.23119747843533914</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43</v>
      </c>
      <c r="C75" s="77">
        <f>ABS(C7/C$4)</f>
        <v>6.5445029380039085E-2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148</v>
      </c>
      <c r="C76" s="78">
        <f>ABS(C8/C$4)</f>
        <v>0.16575244905530004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63</v>
      </c>
      <c r="C77" s="77">
        <f>ABS(C9/C$4)</f>
        <v>3.9370677020008168E-2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78</v>
      </c>
      <c r="C78" s="88">
        <f>MAX(AVERAGE(G78:J78),C77)</f>
        <v>3.9370677020008168E-2</v>
      </c>
      <c r="D78" s="27"/>
      <c r="E78" s="266" t="s">
        <v>560</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1.2141247906754507E-3</v>
      </c>
      <c r="D80" s="27"/>
      <c r="E80" s="265"/>
      <c r="F80" s="27"/>
      <c r="G80" s="6">
        <f t="shared" ref="G80:Q80" si="31">IF(G$4="","",ABS(G12/G$4))</f>
        <v>1.9835006859128691E-3</v>
      </c>
      <c r="H80" s="6">
        <f t="shared" si="31"/>
        <v>1.7262306947811623E-3</v>
      </c>
      <c r="I80" s="6">
        <f t="shared" si="31"/>
        <v>2.5636742696137915E-3</v>
      </c>
      <c r="J80" s="6">
        <f t="shared" si="31"/>
        <v>1.8636760280588834E-3</v>
      </c>
      <c r="K80" s="6">
        <f t="shared" si="31"/>
        <v>1.8672649496029364E-3</v>
      </c>
      <c r="L80" s="6">
        <f t="shared" si="31"/>
        <v>1.0604251480046704E-3</v>
      </c>
      <c r="M80" s="6">
        <f t="shared" si="31"/>
        <v>0</v>
      </c>
      <c r="N80" s="6">
        <f t="shared" si="31"/>
        <v>0</v>
      </c>
      <c r="O80" s="6">
        <f t="shared" si="31"/>
        <v>0</v>
      </c>
      <c r="P80" s="6">
        <f t="shared" si="31"/>
        <v>0</v>
      </c>
      <c r="Q80" s="6" t="str">
        <f t="shared" si="31"/>
        <v/>
      </c>
    </row>
    <row r="81" spans="1:17" ht="15.75" customHeight="1">
      <c r="A81" s="10"/>
      <c r="B81" s="70" t="s">
        <v>160</v>
      </c>
      <c r="C81" s="78">
        <f>C13/C4</f>
        <v>0.16696657384597549</v>
      </c>
      <c r="D81" s="27"/>
      <c r="E81" s="265"/>
      <c r="F81" s="27"/>
      <c r="G81" s="65">
        <f t="shared" ref="G81:Q81" si="32">IF(G$4="","",G13/G$4)</f>
        <v>0.18367566206999161</v>
      </c>
      <c r="H81" s="65">
        <f t="shared" si="32"/>
        <v>0.20425068387169415</v>
      </c>
      <c r="I81" s="65">
        <f t="shared" si="32"/>
        <v>0.18672183255560199</v>
      </c>
      <c r="J81" s="65">
        <f t="shared" si="32"/>
        <v>0.17078334361743144</v>
      </c>
      <c r="K81" s="65">
        <f t="shared" si="32"/>
        <v>0.19835027972076708</v>
      </c>
      <c r="L81" s="65">
        <f t="shared" si="32"/>
        <v>0.15549920492922834</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61</v>
      </c>
      <c r="C82" s="77">
        <f>ABS(C14/C$4)</f>
        <v>4.1741643461493873E-2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0.12522493038448163</v>
      </c>
      <c r="D84" s="27"/>
      <c r="E84" s="265"/>
      <c r="F84" s="27"/>
      <c r="G84" s="65">
        <f t="shared" ref="G84:Q84" si="35">IF(G$4="","",ABS(G16/G$4))</f>
        <v>0.14114107025434514</v>
      </c>
      <c r="H84" s="65">
        <f t="shared" si="35"/>
        <v>0.1579454134273163</v>
      </c>
      <c r="I84" s="65">
        <f t="shared" si="35"/>
        <v>0.14729825447514594</v>
      </c>
      <c r="J84" s="65">
        <f t="shared" si="35"/>
        <v>0.13773293981728776</v>
      </c>
      <c r="K84" s="65">
        <f t="shared" si="35"/>
        <v>0.15697574118660398</v>
      </c>
      <c r="L84" s="65">
        <f t="shared" si="35"/>
        <v>0.12482882328432889</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0.12522493038448163</v>
      </c>
      <c r="D87" s="75"/>
      <c r="E87" s="265"/>
      <c r="F87" s="75"/>
      <c r="G87" s="65">
        <f t="shared" ref="G87:Q87" si="36">IF(G$4="","",ABS(G19/G$4))</f>
        <v>0.14114107025434514</v>
      </c>
      <c r="H87" s="65">
        <f t="shared" si="36"/>
        <v>0.1579454134273163</v>
      </c>
      <c r="I87" s="65">
        <f t="shared" si="36"/>
        <v>0.14729825447514594</v>
      </c>
      <c r="J87" s="65">
        <f t="shared" si="36"/>
        <v>0.13773293981728776</v>
      </c>
      <c r="K87" s="65">
        <f t="shared" si="36"/>
        <v>0.15697574118660398</v>
      </c>
      <c r="L87" s="65">
        <f t="shared" si="36"/>
        <v>0.12482882328432889</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0.90057693104856651</v>
      </c>
      <c r="E92" s="268"/>
      <c r="G92" s="170">
        <f t="shared" ref="G92:Q92" si="38">IF(G$4="","",G90/(G19*scaling_factor/Common_Shares))</f>
        <v>0.70631279652505707</v>
      </c>
      <c r="H92" s="170">
        <f t="shared" si="38"/>
        <v>0.61906045717143798</v>
      </c>
      <c r="I92" s="170">
        <f t="shared" si="38"/>
        <v>0.68874312434634644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6.2271540469973893E-2</v>
      </c>
      <c r="E94" s="268"/>
      <c r="G94" s="23">
        <f t="shared" ref="G94:Q94" si="39">IF(G$4="","",(G90*(1-dividend_tax_rate))/Market_Price)</f>
        <v>6.2271540469973893E-2</v>
      </c>
      <c r="H94" s="23">
        <f t="shared" si="39"/>
        <v>6.2271540469973893E-2</v>
      </c>
      <c r="I94" s="23">
        <f t="shared" si="39"/>
        <v>5.87467362924282E-2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-0.11602727717657824</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160</v>
      </c>
      <c r="C98" s="77">
        <f>C13/G13-1</f>
        <v>-0.19644282078655251</v>
      </c>
      <c r="D98" s="27"/>
      <c r="E98" s="265"/>
      <c r="F98" s="27"/>
      <c r="G98" s="6">
        <f t="shared" ref="G98:Q98" si="41">IF(H5="","",G13/H13-1)</f>
        <v>-0.11798149509199329</v>
      </c>
      <c r="H98" s="6">
        <f t="shared" si="41"/>
        <v>0.20306495809772374</v>
      </c>
      <c r="I98" s="6">
        <f t="shared" si="41"/>
        <v>0.33569056926824792</v>
      </c>
      <c r="J98" s="6">
        <f t="shared" si="41"/>
        <v>0.20286200092004991</v>
      </c>
      <c r="K98" s="6">
        <f t="shared" si="41"/>
        <v>0.282672994324211</v>
      </c>
      <c r="L98" s="6">
        <f t="shared" si="41"/>
        <v>0.54978470542625413</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206</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28</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0.21781057041049767</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0.47358569363944647</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373</v>
      </c>
      <c r="C115" s="169"/>
      <c r="E115" s="268"/>
      <c r="G115" s="295">
        <f>IF(G$4="","",Data!C$22/G19)</f>
        <v>1.2027602167376248</v>
      </c>
      <c r="H115" s="295">
        <f>IF(H$4="","",Data!D$22/H19)</f>
        <v>0.27154613641742054</v>
      </c>
      <c r="I115" s="295">
        <f>IF(I$4="","",Data!E$22/I19)</f>
        <v>1.2220483858017317</v>
      </c>
      <c r="J115" s="295">
        <f>IF(J$4="","",Data!F$22/J19)</f>
        <v>0.90082852604386965</v>
      </c>
      <c r="K115" s="295">
        <f>IF(K$4="","",Data!G$22/K19)</f>
        <v>1.1690018814598866</v>
      </c>
      <c r="L115" s="295">
        <f>IF(L$4="","",Data!H$22/L19)</f>
        <v>1.0740403726583754</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0.16696657384597549</v>
      </c>
      <c r="E118" s="268"/>
      <c r="G118" s="23">
        <f t="shared" ref="G118:Q118" si="45">IF(G4="","",IF(valuation_method="DDM",G13/(G4+G12),G81))</f>
        <v>0.18367566206999161</v>
      </c>
      <c r="H118" s="23">
        <f t="shared" si="45"/>
        <v>0.20425068387169415</v>
      </c>
      <c r="I118" s="23">
        <f t="shared" si="45"/>
        <v>0.18672183255560199</v>
      </c>
      <c r="J118" s="23">
        <f t="shared" si="45"/>
        <v>0.17078334361743144</v>
      </c>
      <c r="K118" s="23">
        <f t="shared" si="45"/>
        <v>0.19835027972076708</v>
      </c>
      <c r="L118" s="23">
        <f t="shared" si="45"/>
        <v>0.15549920492922834</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81</v>
      </c>
      <c r="C119" s="42">
        <f>IF(valuation_method="DDM",(C4+C12)/C102,C4/C102)</f>
        <v>0.62476296032712075</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89</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218</v>
      </c>
      <c r="C121" s="102">
        <f>C13/C106</f>
        <v>0.2026552385945618</v>
      </c>
      <c r="D121" s="103"/>
      <c r="E121" s="271"/>
      <c r="F121" s="103"/>
      <c r="G121" s="102">
        <f t="shared" ref="G121:Q121" si="48">IF(G$4="","",G13/G106)</f>
        <v>0.25219765791020438</v>
      </c>
      <c r="H121" s="102">
        <f t="shared" si="48"/>
        <v>0.2810236651978445</v>
      </c>
      <c r="I121" s="102">
        <f t="shared" si="48"/>
        <v>0.26428198826304999</v>
      </c>
      <c r="J121" s="102">
        <f t="shared" si="48"/>
        <v>0.23572566406659257</v>
      </c>
      <c r="K121" s="102">
        <f t="shared" si="48"/>
        <v>0.22222233722682458</v>
      </c>
      <c r="L121" s="102">
        <f t="shared" si="48"/>
        <v>0.1926534845241199</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1.1770232652593187</v>
      </c>
      <c r="D125" s="27"/>
      <c r="E125" s="265"/>
      <c r="F125" s="27"/>
      <c r="G125" s="177">
        <f t="shared" ref="G125:Q125" si="49">IF(G$4="","",G16*$C$3/Common_Shares*Exchange_Rate)</f>
        <v>1.5007515157802973</v>
      </c>
      <c r="H125" s="177">
        <f t="shared" si="49"/>
        <v>1.7122721823378417</v>
      </c>
      <c r="I125" s="177">
        <f t="shared" si="49"/>
        <v>1.4519201203628025</v>
      </c>
      <c r="J125" s="177">
        <f t="shared" si="49"/>
        <v>1.1112881159019012</v>
      </c>
      <c r="K125" s="177">
        <f t="shared" si="49"/>
        <v>0.90660536398910496</v>
      </c>
      <c r="L125" s="177">
        <f t="shared" si="49"/>
        <v>0.7169507309916241</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264</v>
      </c>
      <c r="C126" s="77">
        <f>C19*Exchange_Rate*$C$3/(Market_Price*Common_Shares)</f>
        <v>7.6829194860268846E-2</v>
      </c>
      <c r="D126" s="27"/>
      <c r="E126" s="265"/>
      <c r="F126" s="27"/>
      <c r="G126" s="77">
        <f t="shared" ref="G126" si="50">IF(G$4="","",G125/Market_Price)</f>
        <v>9.7960281708896688E-2</v>
      </c>
      <c r="H126" s="77">
        <f t="shared" ref="H126" si="51">IF(H$4="","",H125/Market_Price)</f>
        <v>0.11176711372962413</v>
      </c>
      <c r="I126" s="77">
        <f t="shared" ref="I126" si="52">IF(I$4="","",I125/Market_Price)</f>
        <v>9.4772853809582405E-2</v>
      </c>
      <c r="J126" s="77">
        <f t="shared" ref="J126" si="53">IF(J$4="","",J125/Market_Price)</f>
        <v>7.2538388766442641E-2</v>
      </c>
      <c r="K126" s="77">
        <f t="shared" ref="K126" si="54">IF(K$4="","",K125/Market_Price)</f>
        <v>5.917789582174314E-2</v>
      </c>
      <c r="L126" s="77">
        <f t="shared" ref="L126" si="55">IF(L$4="","",L125/Market_Price)</f>
        <v>4.6798350586920633E-2</v>
      </c>
      <c r="M126" s="77">
        <f t="shared" ref="M126" si="56">IF(M$4="","",M125/Market_Price)</f>
        <v>2.792852386377466E-2</v>
      </c>
      <c r="N126" s="77">
        <f t="shared" ref="N126" si="57">IF(N$4="","",N125/Market_Price)</f>
        <v>2.1844596947307966E-2</v>
      </c>
      <c r="O126" s="77">
        <f t="shared" ref="O126" si="58">IF(O$4="","",O125/Market_Price)</f>
        <v>2.1735648243727573E-2</v>
      </c>
      <c r="P126" s="77">
        <f t="shared" ref="P126" si="59">IF(P$4="","",P125/Market_Price)</f>
        <v>2.2380504414761842E-2</v>
      </c>
      <c r="Q126" s="77" t="str">
        <f t="shared" ref="Q126" si="60">IF(Q$4="","",Q125/Market_Price)</f>
        <v/>
      </c>
    </row>
    <row r="127" spans="1:17" ht="15.75" customHeight="1">
      <c r="B127" s="2" t="s">
        <v>375</v>
      </c>
      <c r="C127" s="169"/>
      <c r="G127" s="23">
        <f>IF(G$4="","",(Data!C47*$C$3)/(Market_Price*Common_Shares))</f>
        <v>9.6048050789736647E-2</v>
      </c>
      <c r="H127" s="23">
        <f>IF(H$4="","",(Data!D47*$C$3)/(Market_Price*Common_Shares))</f>
        <v>0.1141493363908026</v>
      </c>
      <c r="I127" s="23">
        <f>IF(I$4="","",(Data!E47*$C$3)/(Market_Price*Common_Shares))</f>
        <v>9.4427396234088301E-2</v>
      </c>
      <c r="J127" s="23">
        <f>IF(J$4="","",(Data!F47*$C$3)/(Market_Price*Common_Shares))</f>
        <v>7.3262660072820548E-2</v>
      </c>
      <c r="K127" s="23">
        <f>IF(K$4="","",(Data!G47*$C$3)/(Market_Price*Common_Shares))</f>
        <v>5.8279226065158965E-2</v>
      </c>
      <c r="L127" s="23">
        <f>IF(L$4="","",(Data!H47*$C$3)/(Market_Price*Common_Shares))</f>
        <v>4.6774082696599995E-2</v>
      </c>
      <c r="M127" s="23">
        <f>IF(M$4="","",(Data!I47*$C$3)/(Market_Price*Common_Shares))</f>
        <v>2.7682804119126346E-2</v>
      </c>
      <c r="N127" s="23">
        <f>IF(N$4="","",(Data!J47*$C$3)/(Market_Price*Common_Shares))</f>
        <v>2.3321165361662236E-2</v>
      </c>
      <c r="O127" s="23">
        <f>IF(O$4="","",(Data!K47*$C$3)/(Market_Price*Common_Shares))</f>
        <v>1.8088455357785173E-2</v>
      </c>
      <c r="P127" s="23">
        <f>IF(P$4="","",(Data!L47*$C$3)/(Market_Price*Common_Shares))</f>
        <v>1.6148396726195863E-2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678503300.42159104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9046710672.2878819</v>
      </c>
      <c r="D6" t="str">
        <f>Reporting_currency</f>
        <v>CNY</v>
      </c>
      <c r="E6" s="378" t="s">
        <v>245</v>
      </c>
      <c r="F6" s="378"/>
      <c r="H6" s="120"/>
    </row>
    <row r="7" spans="2:8">
      <c r="B7" s="148" t="s">
        <v>220</v>
      </c>
      <c r="C7" s="338">
        <f>BS!G31</f>
        <v>270317959.52999997</v>
      </c>
      <c r="D7" t="str">
        <f>Reporting_currency</f>
        <v>CNY</v>
      </c>
      <c r="E7" s="378"/>
      <c r="F7" s="378"/>
      <c r="H7" s="120"/>
    </row>
    <row r="8" spans="2:8">
      <c r="B8" s="148" t="s">
        <v>221</v>
      </c>
      <c r="C8" s="338">
        <f>BS!D66</f>
        <v>867841842.9465394</v>
      </c>
      <c r="D8" t="str">
        <f>Reporting_currency</f>
        <v>CNY</v>
      </c>
      <c r="E8" s="378"/>
      <c r="F8" s="378"/>
      <c r="H8" s="120"/>
    </row>
    <row r="9" spans="2:8">
      <c r="B9" s="205" t="s">
        <v>186</v>
      </c>
      <c r="C9" s="348">
        <f>BS!H42</f>
        <v>30193430.795999996</v>
      </c>
      <c r="D9" t="str">
        <f>Reporting_currency</f>
        <v>CNY</v>
      </c>
      <c r="E9" s="378"/>
      <c r="F9" s="378"/>
      <c r="H9" s="120"/>
    </row>
    <row r="10" spans="2:8" ht="13.15">
      <c r="B10" s="149" t="s">
        <v>223</v>
      </c>
      <c r="C10" s="347">
        <f>C6-C7+C8+C9</f>
        <v>9674427986.5004196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16.782566586060053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3.5934836391919099E-2</v>
      </c>
      <c r="H16" s="120"/>
    </row>
    <row r="17" spans="2:17" ht="13.35" customHeight="1">
      <c r="B17" s="118" t="s">
        <v>130</v>
      </c>
      <c r="C17" s="162">
        <f>Scenarios!C64</f>
        <v>5</v>
      </c>
      <c r="H17" s="120"/>
    </row>
    <row r="18" spans="2:17" ht="13.35" customHeight="1">
      <c r="B18" s="153" t="s">
        <v>103</v>
      </c>
      <c r="C18" s="140">
        <f>(F52-C7+C8+C9)*Exchange_Rate/Common_Shares*scaling_factor</f>
        <v>17.687067476395459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702885205.51361811</v>
      </c>
      <c r="D21" s="138">
        <f>IF($C$17&lt;B21,0,DCF!$C$16)</f>
        <v>3.5934836391919099E-2</v>
      </c>
      <c r="E21" s="124">
        <f t="shared" ref="E21:E50" si="0">IF($C$17&lt;B21,0,1/(1+Equity_Cost)^B21)</f>
        <v>0.93023255813953487</v>
      </c>
      <c r="F21" s="125">
        <f t="shared" ref="F21:F51" si="1">C21*E21</f>
        <v>653846702.80336571</v>
      </c>
      <c r="H21" s="120"/>
    </row>
    <row r="22" spans="2:17">
      <c r="B22" s="122">
        <v>2</v>
      </c>
      <c r="C22" s="123">
        <f t="shared" ref="C22:C50" si="2">IF(ROW()-ROW($C$21)&lt;$C$17, $C$21*(1+D22)^(ROW()-ROW($C$21)), 0)</f>
        <v>728143270.37605047</v>
      </c>
      <c r="D22" s="138">
        <f>IF($C$17&lt;B22,0,DCF!$C$16)</f>
        <v>3.5934836391919099E-2</v>
      </c>
      <c r="E22" s="124">
        <f t="shared" si="0"/>
        <v>0.86533261222282321</v>
      </c>
      <c r="F22" s="125">
        <f t="shared" si="1"/>
        <v>630086118.22697723</v>
      </c>
      <c r="H22" s="120"/>
    </row>
    <row r="23" spans="2:17">
      <c r="B23" s="122">
        <v>3</v>
      </c>
      <c r="C23" s="123">
        <f t="shared" si="2"/>
        <v>754308979.66689074</v>
      </c>
      <c r="D23" s="138">
        <f>IF($C$17&lt;B23,0,DCF!$C$16)</f>
        <v>3.5934836391919099E-2</v>
      </c>
      <c r="E23" s="124">
        <f t="shared" si="0"/>
        <v>0.80496056950960304</v>
      </c>
      <c r="F23" s="125">
        <f t="shared" si="1"/>
        <v>607188985.858868</v>
      </c>
      <c r="G23" s="338"/>
      <c r="H23" s="339"/>
      <c r="I23" s="338"/>
      <c r="J23" s="338"/>
      <c r="K23" s="338"/>
      <c r="L23" s="338"/>
      <c r="M23" s="338"/>
      <c r="N23" s="338"/>
      <c r="O23" s="338"/>
      <c r="P23" s="338"/>
      <c r="Q23" s="338"/>
    </row>
    <row r="24" spans="2:17">
      <c r="B24" s="122">
        <v>4</v>
      </c>
      <c r="C24" s="123">
        <f t="shared" si="2"/>
        <v>781414949.44017601</v>
      </c>
      <c r="D24" s="138">
        <f>IF($C$17&lt;B24,0,DCF!$C$16)</f>
        <v>3.5934836391919099E-2</v>
      </c>
      <c r="E24" s="124">
        <f t="shared" si="0"/>
        <v>0.7488005297763749</v>
      </c>
      <c r="F24" s="125">
        <f t="shared" si="1"/>
        <v>585123928.11598301</v>
      </c>
      <c r="G24" s="338"/>
      <c r="H24" s="339"/>
      <c r="I24" s="338"/>
      <c r="J24" s="338"/>
      <c r="K24" s="338"/>
      <c r="L24" s="338"/>
      <c r="M24" s="338"/>
      <c r="N24" s="338"/>
      <c r="O24" s="338"/>
      <c r="P24" s="338"/>
      <c r="Q24" s="338"/>
    </row>
    <row r="25" spans="2:17">
      <c r="B25" s="122">
        <v>5</v>
      </c>
      <c r="C25" s="123">
        <f t="shared" si="2"/>
        <v>809494967.80250847</v>
      </c>
      <c r="D25" s="138">
        <f>IF($C$17&lt;B25,0,DCF!$C$16)</f>
        <v>3.5934836391919099E-2</v>
      </c>
      <c r="E25" s="124">
        <f t="shared" si="0"/>
        <v>0.69655863235011617</v>
      </c>
      <c r="F25" s="125">
        <f t="shared" si="1"/>
        <v>563860707.66681659</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9371802740.1815758</v>
      </c>
      <c r="D51" s="139">
        <f>Terminal_Growth</f>
        <v>0</v>
      </c>
      <c r="E51" s="124">
        <f>1/(1+Equity_Cost)^C17</f>
        <v>0.69655863235011617</v>
      </c>
      <c r="F51" s="125">
        <f t="shared" si="1"/>
        <v>6528010099.3559494</v>
      </c>
      <c r="H51" s="120"/>
    </row>
    <row r="52" spans="1:17">
      <c r="C52" s="114"/>
      <c r="E52" s="127" t="s">
        <v>97</v>
      </c>
      <c r="F52" s="137">
        <f>SUM(F21:F51)</f>
        <v>9568116542.0279598</v>
      </c>
      <c r="H52" s="120"/>
    </row>
    <row r="53" spans="1:17">
      <c r="C53" s="114"/>
      <c r="H53" s="120"/>
    </row>
    <row r="54" spans="1:17" ht="13.15">
      <c r="B54" s="119" t="s">
        <v>125</v>
      </c>
      <c r="C54" s="136"/>
      <c r="D54" s="136"/>
      <c r="E54" s="117"/>
      <c r="F54" s="117"/>
      <c r="H54" s="120"/>
    </row>
    <row r="55" spans="1:17" ht="13.15">
      <c r="A55" s="133">
        <f>F52</f>
        <v>9568116542.0279598</v>
      </c>
      <c r="B55" s="131">
        <f>C78</f>
        <v>0</v>
      </c>
      <c r="C55" s="131">
        <f>C77</f>
        <v>0.01</v>
      </c>
      <c r="D55" s="131">
        <f>C76</f>
        <v>0.03</v>
      </c>
      <c r="E55" s="131">
        <f>C75</f>
        <v>0.05</v>
      </c>
      <c r="F55" s="131">
        <f>C74</f>
        <v>0.08</v>
      </c>
      <c r="H55" s="120"/>
    </row>
    <row r="56" spans="1:17" ht="13.15">
      <c r="A56" s="143">
        <v>5</v>
      </c>
      <c r="B56" s="123">
        <f t="dataTable" ref="B56:F61" dt2D="1" dtr="1" r1="C16" r2="C17"/>
        <v>9046710672.2878819</v>
      </c>
      <c r="C56" s="123">
        <v>9189126412.0592842</v>
      </c>
      <c r="D56" s="123">
        <v>9480135567.5542622</v>
      </c>
      <c r="E56" s="123">
        <v>9779684253.9565125</v>
      </c>
      <c r="F56" s="123">
        <v>10245838099.369934</v>
      </c>
      <c r="H56" s="120"/>
    </row>
    <row r="57" spans="1:17" ht="13.15">
      <c r="A57" s="143">
        <v>10</v>
      </c>
      <c r="B57" s="123">
        <v>9046710672.2878838</v>
      </c>
      <c r="C57" s="123">
        <v>9325672023.4796867</v>
      </c>
      <c r="D57" s="123">
        <v>9924663459.6226807</v>
      </c>
      <c r="E57" s="123">
        <v>10583880788.585932</v>
      </c>
      <c r="F57" s="123">
        <v>11701610024.736546</v>
      </c>
      <c r="H57" s="120"/>
    </row>
    <row r="58" spans="1:17" ht="13.15">
      <c r="A58" s="143">
        <v>15</v>
      </c>
      <c r="B58" s="123">
        <v>9046710672.2878838</v>
      </c>
      <c r="C58" s="341">
        <v>9494256863.4140472</v>
      </c>
      <c r="D58" s="123">
        <v>10502126679.177025</v>
      </c>
      <c r="E58" s="123">
        <v>11685202072.98748</v>
      </c>
      <c r="F58" s="123">
        <v>13866673764.9659</v>
      </c>
      <c r="G58" s="338"/>
      <c r="H58" s="339"/>
      <c r="I58" s="338"/>
      <c r="J58" s="338"/>
      <c r="K58" s="338"/>
      <c r="L58" s="338"/>
      <c r="M58" s="338"/>
      <c r="N58" s="338"/>
      <c r="O58" s="338"/>
      <c r="P58" s="338"/>
      <c r="Q58" s="338"/>
    </row>
    <row r="59" spans="1:17" ht="13.15">
      <c r="A59" s="144">
        <v>20</v>
      </c>
      <c r="B59" s="123">
        <v>9046710672.2878838</v>
      </c>
      <c r="C59" s="341">
        <v>9665474811.5622597</v>
      </c>
      <c r="D59" s="123">
        <v>11120631761.98378</v>
      </c>
      <c r="E59" s="123">
        <v>12933423051.518507</v>
      </c>
      <c r="F59" s="123">
        <v>16552819224.067139</v>
      </c>
      <c r="G59" s="338"/>
      <c r="H59" s="339"/>
      <c r="I59" s="338"/>
      <c r="J59" s="338"/>
      <c r="K59" s="338"/>
      <c r="L59" s="338"/>
      <c r="M59" s="338"/>
      <c r="N59" s="338"/>
      <c r="O59" s="338"/>
      <c r="P59" s="338"/>
      <c r="Q59" s="338"/>
    </row>
    <row r="60" spans="1:17" ht="13.15">
      <c r="A60" s="144">
        <v>25</v>
      </c>
      <c r="B60" s="123">
        <v>9046710672.2878838</v>
      </c>
      <c r="C60" s="341">
        <v>9824116343.9132061</v>
      </c>
      <c r="D60" s="123">
        <v>11726093812.342928</v>
      </c>
      <c r="E60" s="123">
        <v>14230570095.96228</v>
      </c>
      <c r="F60" s="123">
        <v>19629581241.677238</v>
      </c>
      <c r="G60" s="338"/>
      <c r="H60" s="339"/>
      <c r="I60" s="338"/>
      <c r="J60" s="338"/>
      <c r="K60" s="338"/>
      <c r="L60" s="338"/>
      <c r="M60" s="338"/>
      <c r="N60" s="338"/>
      <c r="O60" s="338"/>
      <c r="P60" s="338"/>
      <c r="Q60" s="338"/>
    </row>
    <row r="61" spans="1:17" ht="13.15">
      <c r="A61" s="144">
        <v>30</v>
      </c>
      <c r="B61" s="123">
        <v>9046710672.2878838</v>
      </c>
      <c r="C61" s="341">
        <v>9963447858.5559425</v>
      </c>
      <c r="D61" s="123">
        <v>12288853416.963266</v>
      </c>
      <c r="E61" s="123">
        <v>15514325764.510073</v>
      </c>
      <c r="F61" s="123">
        <v>23006732277.651726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16.782566586060053</v>
      </c>
      <c r="C65" s="124">
        <f>C12</f>
        <v>16.782566586060053</v>
      </c>
      <c r="D65" s="124">
        <f>C12</f>
        <v>16.782566586060053</v>
      </c>
      <c r="E65" s="141">
        <f>C12</f>
        <v>16.782566586060053</v>
      </c>
      <c r="F65" s="124">
        <f>C12</f>
        <v>16.782566586060053</v>
      </c>
      <c r="H65" s="120"/>
    </row>
    <row r="66" spans="1:8" ht="13.15">
      <c r="A66" s="143">
        <f t="shared" ref="A66:A71" si="3">A56</f>
        <v>5</v>
      </c>
      <c r="B66" s="124">
        <f t="shared" ref="B66:F71" si="4">(B56-$C$7+$C$8+$C$9)/Common_Shares*$C$3*Exchange_Rate</f>
        <v>16.782566586060053</v>
      </c>
      <c r="C66" s="124">
        <f t="shared" si="4"/>
        <v>17.029620121313162</v>
      </c>
      <c r="D66" s="124">
        <f t="shared" si="4"/>
        <v>17.534443821077375</v>
      </c>
      <c r="E66" s="124">
        <f t="shared" si="4"/>
        <v>18.054081342006516</v>
      </c>
      <c r="F66" s="124">
        <f t="shared" si="4"/>
        <v>18.862734624755138</v>
      </c>
      <c r="H66" s="120"/>
    </row>
    <row r="67" spans="1:8" ht="13.15">
      <c r="A67" s="143">
        <f t="shared" si="3"/>
        <v>10</v>
      </c>
      <c r="B67" s="124">
        <f t="shared" si="4"/>
        <v>16.782566586060057</v>
      </c>
      <c r="C67" s="124">
        <f t="shared" si="4"/>
        <v>17.266490540824769</v>
      </c>
      <c r="D67" s="124">
        <f t="shared" si="4"/>
        <v>18.305581810673161</v>
      </c>
      <c r="E67" s="124">
        <f t="shared" si="4"/>
        <v>19.449149030714295</v>
      </c>
      <c r="F67" s="124">
        <f t="shared" si="4"/>
        <v>21.388112797570475</v>
      </c>
      <c r="H67" s="120"/>
    </row>
    <row r="68" spans="1:8" ht="13.15">
      <c r="A68" s="143">
        <f t="shared" si="3"/>
        <v>15</v>
      </c>
      <c r="B68" s="124">
        <f t="shared" si="4"/>
        <v>16.782566586060057</v>
      </c>
      <c r="C68" s="124">
        <f t="shared" si="4"/>
        <v>17.558940523970712</v>
      </c>
      <c r="D68" s="124">
        <f t="shared" si="4"/>
        <v>19.30732733471805</v>
      </c>
      <c r="E68" s="124">
        <f t="shared" si="4"/>
        <v>21.359649353204173</v>
      </c>
      <c r="F68" s="124">
        <f t="shared" si="4"/>
        <v>25.143924142092885</v>
      </c>
      <c r="H68" s="120"/>
    </row>
    <row r="69" spans="1:8" ht="13.15">
      <c r="A69" s="144">
        <f t="shared" si="3"/>
        <v>20</v>
      </c>
      <c r="B69" s="124">
        <f t="shared" si="4"/>
        <v>16.782566586060057</v>
      </c>
      <c r="C69" s="124">
        <f t="shared" si="4"/>
        <v>17.855958251482413</v>
      </c>
      <c r="D69" s="124">
        <f t="shared" si="4"/>
        <v>20.380269605879221</v>
      </c>
      <c r="E69" s="124">
        <f t="shared" si="4"/>
        <v>23.524981682469022</v>
      </c>
      <c r="F69" s="124">
        <f t="shared" si="4"/>
        <v>29.803674061169659</v>
      </c>
      <c r="H69" s="120"/>
    </row>
    <row r="70" spans="1:8" ht="13.15">
      <c r="A70" s="144">
        <f t="shared" si="3"/>
        <v>25</v>
      </c>
      <c r="B70" s="124">
        <f t="shared" si="4"/>
        <v>16.782566586060057</v>
      </c>
      <c r="C70" s="124">
        <f t="shared" si="4"/>
        <v>18.131159233257197</v>
      </c>
      <c r="D70" s="124">
        <f t="shared" si="4"/>
        <v>21.430585675176928</v>
      </c>
      <c r="E70" s="124">
        <f t="shared" si="4"/>
        <v>25.775187759320847</v>
      </c>
      <c r="F70" s="124">
        <f t="shared" si="4"/>
        <v>35.141040105141897</v>
      </c>
    </row>
    <row r="71" spans="1:8" ht="13.15">
      <c r="A71" s="144">
        <f t="shared" si="3"/>
        <v>30</v>
      </c>
      <c r="B71" s="124">
        <f t="shared" si="4"/>
        <v>16.782566586060057</v>
      </c>
      <c r="C71" s="124">
        <f t="shared" si="4"/>
        <v>18.372862455948113</v>
      </c>
      <c r="D71" s="124">
        <f t="shared" si="4"/>
        <v>22.406824327184516</v>
      </c>
      <c r="E71" s="124">
        <f t="shared" si="4"/>
        <v>28.002163350818204</v>
      </c>
      <c r="F71" s="124">
        <f t="shared" si="4"/>
        <v>40.999501423114417</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21.388112797570475</v>
      </c>
      <c r="F74" s="142">
        <f>Scenarios!C58</f>
        <v>0.05</v>
      </c>
    </row>
    <row r="75" spans="1:8">
      <c r="B75" s="127" t="str">
        <f>Scenarios!B36</f>
        <v>Optimistic</v>
      </c>
      <c r="C75" s="142">
        <f>Scenarios!C38</f>
        <v>0.05</v>
      </c>
      <c r="D75" s="145">
        <f>Scenarios!C37</f>
        <v>5</v>
      </c>
      <c r="E75" s="135">
        <f>INDEX(B$65:F$71, MATCH(D75, A$65:A$71, 0), MATCH(C75, B$64:F$64, 0))</f>
        <v>18.054081342006516</v>
      </c>
      <c r="F75" s="142">
        <f>Scenarios!C40*(1-F$74-F$78)</f>
        <v>0.18</v>
      </c>
      <c r="H75" s="120"/>
    </row>
    <row r="76" spans="1:8">
      <c r="B76" s="127" t="str">
        <f>Scenarios!B24</f>
        <v>Base</v>
      </c>
      <c r="C76" s="142">
        <f>Scenarios!C26</f>
        <v>0.03</v>
      </c>
      <c r="D76" s="145">
        <f>Scenarios!C25</f>
        <v>5</v>
      </c>
      <c r="E76" s="135">
        <f>INDEX(B$65:F$71, MATCH(D76, A$65:A$71, 0), MATCH(C76, B$64:F$64, 0))</f>
        <v>17.534443821077375</v>
      </c>
      <c r="F76" s="142">
        <f>Scenarios!C28*(1-F$74-F$78)</f>
        <v>0.53999999999999992</v>
      </c>
      <c r="H76" s="120"/>
    </row>
    <row r="77" spans="1:8">
      <c r="B77" s="127" t="str">
        <f>Scenarios!B30</f>
        <v>Pessimistic</v>
      </c>
      <c r="C77" s="142">
        <f>Scenarios!C32</f>
        <v>0.01</v>
      </c>
      <c r="D77" s="145">
        <f>Scenarios!C31</f>
        <v>5</v>
      </c>
      <c r="E77" s="135">
        <f>INDEX(B$65:F$71, MATCH(D77, A$65:A$71, 0), MATCH(C77, B$64:F$64, 0))</f>
        <v>17.029620121313162</v>
      </c>
      <c r="F77" s="142">
        <f>Scenarios!C34*(1-F$74-F$78)</f>
        <v>0.18</v>
      </c>
      <c r="H77" s="120"/>
    </row>
    <row r="78" spans="1:8">
      <c r="B78" s="127" t="str">
        <f>Scenarios!B48</f>
        <v>Devil's advocate</v>
      </c>
      <c r="C78" s="142">
        <f>Scenarios!C50</f>
        <v>0</v>
      </c>
      <c r="D78" s="145">
        <f>Scenarios!C49</f>
        <v>10</v>
      </c>
      <c r="E78" s="135">
        <f>INDEX(B$65:F$71, MATCH(D78, A$65:A$71, 0), MATCH(C78, B$64:F$64, 0))</f>
        <v>16.782566586060057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549939978</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7332533040</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3.5934836391919099E-2</v>
      </c>
      <c r="H11" s="120"/>
    </row>
    <row r="12" spans="2:8" ht="13.35" customHeight="1">
      <c r="B12" s="118" t="s">
        <v>130</v>
      </c>
      <c r="C12" s="162">
        <f>Scenarios!C64</f>
        <v>5</v>
      </c>
      <c r="H12" s="120"/>
    </row>
    <row r="13" spans="2:8" ht="13.35" customHeight="1">
      <c r="B13" s="153" t="s">
        <v>103</v>
      </c>
      <c r="C13" s="140">
        <f>F47/Common_Shares*scaling_factor</f>
        <v>13.453115372354064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569701981.13480568</v>
      </c>
      <c r="D16" s="138">
        <f>IF($C$12&lt;B16,0,DDM!$C$11)</f>
        <v>3.5934836391919099E-2</v>
      </c>
      <c r="E16" s="124">
        <f t="shared" ref="E16:E45" si="0">IF($C$12&lt;B16,0,1/(1+Equity_Cost)^B16)</f>
        <v>0.93023255813953487</v>
      </c>
      <c r="F16" s="125">
        <f t="shared" ref="F16:F46" si="1">C16*E16</f>
        <v>529955331.28819132</v>
      </c>
      <c r="H16" s="120"/>
    </row>
    <row r="17" spans="2:8">
      <c r="B17" s="122">
        <v>2</v>
      </c>
      <c r="C17" s="123">
        <f t="shared" ref="C17:C45" si="2">IF(ROW()-ROW($C$16)&lt;$C$12, $C$16*(1+D17)^(ROW()-ROW($C$16)), 0)</f>
        <v>590174128.61903715</v>
      </c>
      <c r="D17" s="138">
        <f>IF($C$12&lt;B17,0,DDM!$C$11)</f>
        <v>3.5934836391919099E-2</v>
      </c>
      <c r="E17" s="124">
        <f t="shared" si="0"/>
        <v>0.86533261222282321</v>
      </c>
      <c r="F17" s="125">
        <f t="shared" si="1"/>
        <v>510696920.38423985</v>
      </c>
      <c r="H17" s="120"/>
    </row>
    <row r="18" spans="2:8">
      <c r="B18" s="122">
        <v>3</v>
      </c>
      <c r="C18" s="123">
        <f t="shared" si="2"/>
        <v>611381939.37370574</v>
      </c>
      <c r="D18" s="138">
        <f>IF($C$12&lt;B18,0,DDM!$C$11)</f>
        <v>3.5934836391919099E-2</v>
      </c>
      <c r="E18" s="124">
        <f t="shared" si="0"/>
        <v>0.80496056950960304</v>
      </c>
      <c r="F18" s="125">
        <f t="shared" si="1"/>
        <v>492138354.10614377</v>
      </c>
      <c r="H18" s="120"/>
    </row>
    <row r="19" spans="2:8">
      <c r="B19" s="122">
        <v>4</v>
      </c>
      <c r="C19" s="123">
        <f t="shared" si="2"/>
        <v>633351849.33807409</v>
      </c>
      <c r="D19" s="138">
        <f>IF($C$12&lt;B19,0,DDM!$C$11)</f>
        <v>3.5934836391919099E-2</v>
      </c>
      <c r="E19" s="124">
        <f t="shared" si="0"/>
        <v>0.7488005297763749</v>
      </c>
      <c r="F19" s="125">
        <f t="shared" si="1"/>
        <v>474254200.31919664</v>
      </c>
      <c r="H19" s="120"/>
    </row>
    <row r="20" spans="2:8">
      <c r="B20" s="122">
        <v>5</v>
      </c>
      <c r="C20" s="123">
        <f t="shared" si="2"/>
        <v>656111244.42255723</v>
      </c>
      <c r="D20" s="138">
        <f>IF($C$12&lt;B20,0,DDM!$C$11)</f>
        <v>3.5934836391919099E-2</v>
      </c>
      <c r="E20" s="124">
        <f t="shared" si="0"/>
        <v>0.69655863235011617</v>
      </c>
      <c r="F20" s="125">
        <f t="shared" si="1"/>
        <v>457019951.08450925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7596026415.130743</v>
      </c>
      <c r="D46" s="139">
        <f>Terminal_Growth</f>
        <v>0</v>
      </c>
      <c r="E46" s="124">
        <f>1/(1+Equity_Cost)^C12</f>
        <v>0.69655863235011617</v>
      </c>
      <c r="F46" s="125">
        <f t="shared" si="1"/>
        <v>5291077771.0188265</v>
      </c>
      <c r="H46" s="120"/>
    </row>
    <row r="47" spans="2:8">
      <c r="C47" s="114"/>
      <c r="E47" s="127" t="s">
        <v>97</v>
      </c>
      <c r="F47" s="137">
        <f>SUM(F16:F46)</f>
        <v>7755142528.201107</v>
      </c>
      <c r="H47" s="120"/>
    </row>
    <row r="48" spans="2:8">
      <c r="C48" s="114"/>
      <c r="H48" s="120"/>
    </row>
    <row r="49" spans="1:8" ht="13.15">
      <c r="B49" s="119" t="s">
        <v>125</v>
      </c>
      <c r="C49" s="136"/>
      <c r="D49" s="136"/>
      <c r="E49" s="117"/>
      <c r="F49" s="117"/>
      <c r="H49" s="120"/>
    </row>
    <row r="50" spans="1:8" ht="13.15">
      <c r="A50" s="133">
        <f>F47</f>
        <v>7755142528.201107</v>
      </c>
      <c r="B50" s="131">
        <f>C73</f>
        <v>0</v>
      </c>
      <c r="C50" s="131">
        <f>C72</f>
        <v>0.01</v>
      </c>
      <c r="D50" s="131">
        <f>C71</f>
        <v>0.03</v>
      </c>
      <c r="E50" s="131">
        <f>C70</f>
        <v>0.05</v>
      </c>
      <c r="F50" s="131">
        <f>C69</f>
        <v>0.08</v>
      </c>
      <c r="H50" s="120"/>
    </row>
    <row r="51" spans="1:8" ht="13.15">
      <c r="A51" s="143">
        <v>5</v>
      </c>
      <c r="B51" s="123">
        <f t="dataTable" ref="B51:F56" dt2D="1" dtr="1" r1="C11" r2="C12"/>
        <v>7332533040</v>
      </c>
      <c r="C51" s="123">
        <v>7447963736.8707056</v>
      </c>
      <c r="D51" s="123">
        <v>7683832255.8171406</v>
      </c>
      <c r="E51" s="123">
        <v>7926622228.8469315</v>
      </c>
      <c r="F51" s="123">
        <v>8304448888.3959465</v>
      </c>
      <c r="H51" s="120"/>
    </row>
    <row r="52" spans="1:8" ht="13.15">
      <c r="A52" s="143">
        <v>10</v>
      </c>
      <c r="B52" s="123">
        <v>7332533040.0000019</v>
      </c>
      <c r="C52" s="123">
        <v>7558636581.7837286</v>
      </c>
      <c r="D52" s="123">
        <v>8044130664.1411581</v>
      </c>
      <c r="E52" s="123">
        <v>8578438991.2517395</v>
      </c>
      <c r="F52" s="123">
        <v>9484380039.9639416</v>
      </c>
      <c r="H52" s="120"/>
    </row>
    <row r="53" spans="1:8" ht="13.15">
      <c r="A53" s="143">
        <v>15</v>
      </c>
      <c r="B53" s="123">
        <v>7332533040.0000038</v>
      </c>
      <c r="C53" s="123">
        <v>7695277837.7761898</v>
      </c>
      <c r="D53" s="123">
        <v>8512175712.7948647</v>
      </c>
      <c r="E53" s="123">
        <v>9471081079.4160709</v>
      </c>
      <c r="F53" s="123">
        <v>11239205852.794197</v>
      </c>
      <c r="H53" s="120"/>
    </row>
    <row r="54" spans="1:8" ht="13.15">
      <c r="A54" s="144">
        <v>20</v>
      </c>
      <c r="B54" s="123">
        <v>7332533040.0000029</v>
      </c>
      <c r="C54" s="123">
        <v>7834053278.6315641</v>
      </c>
      <c r="D54" s="123">
        <v>9013485981.1757069</v>
      </c>
      <c r="E54" s="123">
        <v>10482788195.720387</v>
      </c>
      <c r="F54" s="123">
        <v>13416378423.31089</v>
      </c>
      <c r="H54" s="120"/>
    </row>
    <row r="55" spans="1:8" ht="13.15">
      <c r="A55" s="144">
        <v>25</v>
      </c>
      <c r="B55" s="123">
        <v>7332533040.0000019</v>
      </c>
      <c r="C55" s="123">
        <v>7962635292.5388746</v>
      </c>
      <c r="D55" s="123">
        <v>9504224620.8366394</v>
      </c>
      <c r="E55" s="123">
        <v>11534150829.683891</v>
      </c>
      <c r="F55" s="123">
        <v>15910153229.158379</v>
      </c>
      <c r="H55" s="120"/>
    </row>
    <row r="56" spans="1:8" ht="13.15">
      <c r="A56" s="144">
        <v>30</v>
      </c>
      <c r="B56" s="123">
        <v>7332533040.0000019</v>
      </c>
      <c r="C56" s="123">
        <v>8075566165.6086483</v>
      </c>
      <c r="D56" s="123">
        <v>9960352106.7190208</v>
      </c>
      <c r="E56" s="123">
        <v>12574659495.861166</v>
      </c>
      <c r="F56" s="123">
        <v>18647399113.257225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v>
      </c>
      <c r="C61" s="124">
        <f t="shared" si="4"/>
        <v>12.920241643124649</v>
      </c>
      <c r="D61" s="124">
        <f t="shared" si="4"/>
        <v>13.329410963553466</v>
      </c>
      <c r="E61" s="124">
        <f t="shared" si="4"/>
        <v>13.750587171023913</v>
      </c>
      <c r="F61" s="124">
        <f t="shared" si="4"/>
        <v>14.406016213518001</v>
      </c>
      <c r="H61" s="120"/>
    </row>
    <row r="62" spans="1:8" ht="13.15">
      <c r="A62" s="143">
        <f t="shared" si="3"/>
        <v>10</v>
      </c>
      <c r="B62" s="124">
        <f t="shared" si="4"/>
        <v>12.720000000000004</v>
      </c>
      <c r="C62" s="124">
        <f t="shared" si="4"/>
        <v>13.112229675038604</v>
      </c>
      <c r="D62" s="124">
        <f t="shared" si="4"/>
        <v>13.954433139230087</v>
      </c>
      <c r="E62" s="124">
        <f t="shared" si="4"/>
        <v>14.881316370955231</v>
      </c>
      <c r="F62" s="124">
        <f t="shared" si="4"/>
        <v>16.45288380566797</v>
      </c>
      <c r="H62" s="120"/>
    </row>
    <row r="63" spans="1:8" ht="13.15">
      <c r="A63" s="143">
        <f t="shared" si="3"/>
        <v>15</v>
      </c>
      <c r="B63" s="124">
        <f t="shared" si="4"/>
        <v>12.720000000000006</v>
      </c>
      <c r="C63" s="124">
        <f t="shared" si="4"/>
        <v>13.349266012514706</v>
      </c>
      <c r="D63" s="124">
        <f t="shared" si="4"/>
        <v>14.76636715799247</v>
      </c>
      <c r="E63" s="124">
        <f t="shared" si="4"/>
        <v>16.429813636430939</v>
      </c>
      <c r="F63" s="124">
        <f t="shared" si="4"/>
        <v>19.497041154490617</v>
      </c>
      <c r="H63" s="120"/>
    </row>
    <row r="64" spans="1:8" ht="13.15">
      <c r="A64" s="144">
        <f t="shared" si="3"/>
        <v>20</v>
      </c>
      <c r="B64" s="124">
        <f t="shared" si="4"/>
        <v>12.720000000000004</v>
      </c>
      <c r="C64" s="124">
        <f t="shared" si="4"/>
        <v>13.59000459467326</v>
      </c>
      <c r="D64" s="124">
        <f t="shared" si="4"/>
        <v>15.636007509971614</v>
      </c>
      <c r="E64" s="124">
        <f t="shared" si="4"/>
        <v>18.184857145841558</v>
      </c>
      <c r="F64" s="124">
        <f t="shared" si="4"/>
        <v>23.273858107908985</v>
      </c>
      <c r="H64" s="120"/>
    </row>
    <row r="65" spans="1:8" ht="13.15">
      <c r="A65" s="144">
        <f t="shared" si="3"/>
        <v>25</v>
      </c>
      <c r="B65" s="124">
        <f t="shared" si="4"/>
        <v>12.720000000000004</v>
      </c>
      <c r="C65" s="124">
        <f t="shared" si="4"/>
        <v>13.813060284702718</v>
      </c>
      <c r="D65" s="124">
        <f t="shared" si="4"/>
        <v>16.487308890058824</v>
      </c>
      <c r="E65" s="124">
        <f t="shared" si="4"/>
        <v>20.00869246046781</v>
      </c>
      <c r="F65" s="124">
        <f t="shared" si="4"/>
        <v>27.599895966495989</v>
      </c>
    </row>
    <row r="66" spans="1:8" ht="13.15">
      <c r="A66" s="144">
        <f t="shared" si="3"/>
        <v>30</v>
      </c>
      <c r="B66" s="124">
        <f t="shared" si="4"/>
        <v>12.720000000000004</v>
      </c>
      <c r="C66" s="124">
        <f t="shared" si="4"/>
        <v>14.008965396566698</v>
      </c>
      <c r="D66" s="124">
        <f t="shared" si="4"/>
        <v>17.278569098335211</v>
      </c>
      <c r="E66" s="124">
        <f t="shared" si="4"/>
        <v>21.81369901980749</v>
      </c>
      <c r="F66" s="124">
        <f t="shared" si="4"/>
        <v>32.348291569461772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v>
      </c>
      <c r="F69" s="142">
        <f>Scenarios!C58</f>
        <v>0.05</v>
      </c>
    </row>
    <row r="70" spans="1:8">
      <c r="B70" s="127" t="str">
        <f>Scenarios!B36</f>
        <v>Optimistic</v>
      </c>
      <c r="C70" s="142">
        <f>Scenarios!C38</f>
        <v>0.05</v>
      </c>
      <c r="D70" s="145">
        <f>Scenarios!C37</f>
        <v>5</v>
      </c>
      <c r="E70" s="135">
        <f>INDEX(B$60:F$66, MATCH(D70, A$60:A$66, 0), MATCH(C70, B$59:F$59, 0))</f>
        <v>13.750587171023913</v>
      </c>
      <c r="F70" s="142">
        <f>Scenarios!C40*(1-F$69-F$73)</f>
        <v>0.18</v>
      </c>
      <c r="H70" s="120"/>
    </row>
    <row r="71" spans="1:8">
      <c r="B71" s="127" t="str">
        <f>Scenarios!B24</f>
        <v>Base</v>
      </c>
      <c r="C71" s="142">
        <f>Scenarios!C26</f>
        <v>0.03</v>
      </c>
      <c r="D71" s="145">
        <f>Scenarios!C25</f>
        <v>5</v>
      </c>
      <c r="E71" s="135">
        <f>INDEX(B$60:F$66, MATCH(D71, A$60:A$66, 0), MATCH(C71, B$59:F$59, 0))</f>
        <v>13.329410963553466</v>
      </c>
      <c r="F71" s="142">
        <f>Scenarios!C28*(1-F$69-F$73)</f>
        <v>0.53999999999999992</v>
      </c>
      <c r="H71" s="120"/>
    </row>
    <row r="72" spans="1:8">
      <c r="B72" s="127" t="str">
        <f>Scenarios!B30</f>
        <v>Pessimistic</v>
      </c>
      <c r="C72" s="142">
        <f>Scenarios!C32</f>
        <v>0.01</v>
      </c>
      <c r="D72" s="145">
        <f>Scenarios!C31</f>
        <v>5</v>
      </c>
      <c r="E72" s="135">
        <f>INDEX(B$60:F$66, MATCH(D72, A$60:A$66, 0), MATCH(C72, B$59:F$59, 0))</f>
        <v>12.920241643124649</v>
      </c>
      <c r="F72" s="142">
        <f>Scenarios!C34*(1-F$69-F$73)</f>
        <v>0.18</v>
      </c>
      <c r="H72" s="120"/>
    </row>
    <row r="73" spans="1:8">
      <c r="B73" s="127" t="str">
        <f>Scenarios!B48</f>
        <v>Devil's advocate</v>
      </c>
      <c r="C73" s="142">
        <f>Scenarios!C50</f>
        <v>0</v>
      </c>
      <c r="D73" s="145">
        <f>Scenarios!C49</f>
        <v>10</v>
      </c>
      <c r="E73" s="135">
        <f>INDEX(B$60:F$66, MATCH(D73, A$60:A$66, 0), MATCH(C73, B$59:F$59, 0))</f>
        <v>12.720000000000004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-15.32</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18.646199895960851</v>
      </c>
    </row>
    <row r="7" spans="2:9" ht="12.75" customHeight="1">
      <c r="B7" s="100" t="s">
        <v>270</v>
      </c>
      <c r="C7" s="338">
        <f>Normalized_FCF!G8</f>
        <v>1113675057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80"/>
      <c r="H7" s="247">
        <v>4</v>
      </c>
      <c r="I7" s="124" t="str">
        <f t="shared" si="0"/>
        <v/>
      </c>
    </row>
    <row r="8" spans="2:9">
      <c r="B8" s="100" t="s">
        <v>64</v>
      </c>
      <c r="C8" s="338">
        <f>Normalized_FCF!G19</f>
        <v>865118716.5321629</v>
      </c>
      <c r="D8" t="str">
        <f>Reporting_currency</f>
        <v>CNY</v>
      </c>
      <c r="E8" s="380"/>
      <c r="F8" s="380"/>
      <c r="H8" s="247">
        <v>5</v>
      </c>
      <c r="I8" s="124" t="str">
        <f t="shared" si="0"/>
        <v/>
      </c>
    </row>
    <row r="9" spans="2:9">
      <c r="B9" s="100" t="s">
        <v>55</v>
      </c>
      <c r="C9" s="338">
        <f>Normalized_FCF!C19</f>
        <v>678503300.42159104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9.6365877843450409E-2</v>
      </c>
      <c r="D12" s="158"/>
      <c r="E12" s="380"/>
      <c r="F12" s="380"/>
      <c r="H12" s="247">
        <v>9</v>
      </c>
      <c r="I12" s="124" t="str">
        <f t="shared" si="0"/>
        <v/>
      </c>
    </row>
    <row r="13" spans="2:9">
      <c r="B13" s="148" t="s">
        <v>148</v>
      </c>
      <c r="C13" s="158">
        <f ca="1">(Normalized_FCF!G8/OFFSET(Normalized_FCF!G8, 0, $C$4))^(1/$C$4) - 1</f>
        <v>0.12333037284725878</v>
      </c>
      <c r="E13" s="380"/>
      <c r="F13" s="380"/>
      <c r="H13" s="247">
        <v>10</v>
      </c>
      <c r="I13" s="124" t="str">
        <f t="shared" si="0"/>
        <v/>
      </c>
    </row>
    <row r="14" spans="2:9">
      <c r="B14" s="100" t="s">
        <v>64</v>
      </c>
      <c r="C14" s="158">
        <f ca="1">(Normalized_FCF!G19/OFFSET(Normalized_FCF!G19, 0, $C$4))^(1/$C$4) - 1</f>
        <v>0.10533530085337128</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15.32</v>
      </c>
      <c r="D21" t="str">
        <f>Market_currency</f>
        <v>CNY</v>
      </c>
      <c r="E21" s="381"/>
      <c r="F21" s="381"/>
    </row>
    <row r="22" spans="2:6">
      <c r="B22" s="100" t="s">
        <v>273</v>
      </c>
      <c r="C22" s="160">
        <f>IF(valuation_method="DCF",DCF!C12,DDM!C7)</f>
        <v>16.782566586060053</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17.534443821077375</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17.029620121313162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18.054081342006516</v>
      </c>
      <c r="D39" t="str">
        <f>Market_currency</f>
        <v>CNY</v>
      </c>
      <c r="E39" s="379"/>
      <c r="F39" s="379"/>
    </row>
    <row r="40" spans="2:6">
      <c r="B40" s="100" t="s">
        <v>143</v>
      </c>
      <c r="C40" s="167">
        <f>1-C28-C34</f>
        <v>0.2</v>
      </c>
      <c r="D40" s="165"/>
      <c r="E40" s="379"/>
      <c r="F40" s="379"/>
    </row>
    <row r="42" spans="2:6" ht="13.15">
      <c r="B42" s="100" t="s">
        <v>116</v>
      </c>
      <c r="C42" s="154">
        <f>C27*C28+C33*C34+C39*C40</f>
        <v>17.537406585310361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16.782566586060057</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21.388112797570475</v>
      </c>
      <c r="D57" t="str">
        <f>Market_currency</f>
        <v>CNY</v>
      </c>
      <c r="E57" s="379"/>
      <c r="F57" s="379"/>
    </row>
    <row r="58" spans="2:6">
      <c r="B58" s="100" t="s">
        <v>143</v>
      </c>
      <c r="C58" s="165">
        <v>0.05</v>
      </c>
      <c r="D58" s="165"/>
      <c r="E58" s="379"/>
      <c r="F58" s="379"/>
    </row>
    <row r="60" spans="2:6" ht="13.15">
      <c r="B60" s="100" t="s">
        <v>116</v>
      </c>
      <c r="C60" s="154">
        <f>C51*C52+C57*C58+C42*(1-C52-C58)</f>
        <v>17.692199895960851</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3.5934836391919099E-2</v>
      </c>
      <c r="D65" s="151"/>
      <c r="E65" s="251" t="s">
        <v>304</v>
      </c>
    </row>
    <row r="66" spans="2:6">
      <c r="B66" s="100" t="s">
        <v>99</v>
      </c>
      <c r="C66" s="160">
        <f>IF(valuation_method="DCF",DCF!C18,DDM!C13)</f>
        <v>17.687067476395459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6.1548199527054877E-2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5.8033375360894999</v>
      </c>
      <c r="D82" s="116"/>
    </row>
    <row r="83" spans="2:8" ht="13.15">
      <c r="B83" s="110" t="s">
        <v>98</v>
      </c>
      <c r="C83" s="111">
        <f>C81+C82</f>
        <v>7.2279420709207756</v>
      </c>
      <c r="D83" t="str">
        <f>Market_currency</f>
        <v>CNY</v>
      </c>
      <c r="E83" s="146" t="s">
        <v>122</v>
      </c>
      <c r="F83" s="291">
        <f>(1-C83/C60)</f>
        <v>0.59146165465997691</v>
      </c>
    </row>
    <row r="84" spans="2:8">
      <c r="E84" s="120"/>
    </row>
    <row r="85" spans="2:8" ht="13.15">
      <c r="B85" s="109" t="s">
        <v>297</v>
      </c>
    </row>
    <row r="86" spans="2:8">
      <c r="B86" s="148" t="s">
        <v>295</v>
      </c>
      <c r="C86" s="116">
        <f>Market_Price</f>
        <v>15.32</v>
      </c>
      <c r="D86" t="str">
        <f>Market_currency</f>
        <v>CNY</v>
      </c>
    </row>
    <row r="87" spans="2:8" ht="13.15">
      <c r="B87" s="100" t="s">
        <v>293</v>
      </c>
      <c r="C87" s="237">
        <f ca="1">IRR(OFFSET($I$3, 0, 0, $C$76 + 1, 1))</f>
        <v>0.10866244857430996</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8.0528902576062116</v>
      </c>
      <c r="D92" s="116"/>
    </row>
    <row r="93" spans="2:8" ht="13.15">
      <c r="B93" s="110" t="s">
        <v>98</v>
      </c>
      <c r="C93" s="111">
        <f>C91+C92</f>
        <v>9.7854619462725747</v>
      </c>
      <c r="D93" t="str">
        <f>Market_currency</f>
        <v>CNY</v>
      </c>
      <c r="E93" s="146" t="s">
        <v>122</v>
      </c>
      <c r="F93" s="291">
        <f>(1-C93/C60)</f>
        <v>0.44690530268615114</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14.241523304130386</v>
      </c>
      <c r="D98" s="116"/>
      <c r="G98" s="2"/>
      <c r="H98" s="281"/>
    </row>
    <row r="99" spans="2:8" ht="13.15">
      <c r="B99" s="110" t="s">
        <v>379</v>
      </c>
      <c r="C99" s="111">
        <f>C97+C98</f>
        <v>16.722424859968235</v>
      </c>
      <c r="D99" t="s">
        <v>377</v>
      </c>
      <c r="E99" s="146" t="s">
        <v>122</v>
      </c>
      <c r="F99" s="291">
        <f>(1-C99/C60)</f>
        <v>5.481370557055576E-2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13.775050680383194</v>
      </c>
      <c r="D104" s="116"/>
    </row>
    <row r="105" spans="2:8" ht="13.15">
      <c r="B105" s="110" t="s">
        <v>379</v>
      </c>
      <c r="C105" s="111">
        <f>C103+C104</f>
        <v>16.202875796143875</v>
      </c>
      <c r="D105" t="s">
        <v>377</v>
      </c>
      <c r="E105" s="146" t="s">
        <v>122</v>
      </c>
      <c r="F105" s="291">
        <f>(1-C105/C66)</f>
        <v>8.3913949117474296E-2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86B1-3154-40D5-AEA0-A4D315097B86}">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2025-07-14T10:13:47Z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