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831AC5-2E4A-4436-9379-E405BF330E7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4" i="2"/>
  <c r="G4" i="3"/>
  <c r="C19" i="3"/>
  <c r="C25" i="4"/>
  <c r="D36" i="4"/>
  <c r="D37" i="4"/>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E36" i="4"/>
  <c r="F36" i="4"/>
  <c r="E37" i="4"/>
  <c r="F37" i="4"/>
  <c r="F38" i="4" l="1"/>
  <c r="E38" i="4"/>
  <c r="D38" i="4"/>
  <c r="B18" i="6"/>
  <c r="F62" i="9"/>
  <c r="C102" i="6"/>
  <c r="C103" i="6"/>
  <c r="C101" i="6" s="1"/>
  <c r="F144" i="6"/>
  <c r="F66" i="9"/>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D56" i="4"/>
  <c r="H56" i="2" s="1"/>
  <c r="E56" i="4"/>
  <c r="I56" i="2" s="1"/>
  <c r="F56" i="4"/>
  <c r="J56" i="2" s="1"/>
  <c r="G56" i="4"/>
  <c r="K56" i="2" s="1"/>
  <c r="H56" i="4"/>
  <c r="L56" i="2" s="1"/>
  <c r="I56" i="4"/>
  <c r="M56" i="2" s="1"/>
  <c r="J56" i="4"/>
  <c r="N56" i="2" s="1"/>
  <c r="K56" i="4"/>
  <c r="O56" i="2" s="1"/>
  <c r="L56" i="4"/>
  <c r="P56" i="2" s="1"/>
  <c r="M56" i="4"/>
  <c r="Q56" i="2" s="1"/>
  <c r="C56" i="4"/>
  <c r="G56" i="2" s="1"/>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M76" i="4" l="1"/>
  <c r="B9" i="8"/>
  <c r="D9" i="8"/>
  <c r="K76" i="4"/>
  <c r="L76" i="4"/>
  <c r="J76" i="4"/>
  <c r="I76" i="4"/>
  <c r="H76" i="4"/>
  <c r="F76" i="4"/>
  <c r="E76" i="4"/>
  <c r="G76" i="4"/>
  <c r="C46" i="4" l="1"/>
  <c r="G12" i="2" s="1"/>
  <c r="C47" i="4"/>
  <c r="C48" i="4"/>
  <c r="G13" i="2" s="1"/>
  <c r="C66" i="3"/>
  <c r="C85" i="12" s="1"/>
  <c r="C24" i="3"/>
  <c r="G24" i="3"/>
  <c r="C12" i="3"/>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D65" i="4"/>
  <c r="H88" i="2" s="1"/>
  <c r="E65" i="4"/>
  <c r="I88" i="2" s="1"/>
  <c r="F65" i="4"/>
  <c r="J88" i="2" s="1"/>
  <c r="G65" i="4"/>
  <c r="K88" i="2" s="1"/>
  <c r="H65" i="4"/>
  <c r="L88" i="2" s="1"/>
  <c r="C65" i="4"/>
  <c r="G88" i="2" s="1"/>
  <c r="G103" i="2"/>
  <c r="E77" i="4"/>
  <c r="F77" i="4"/>
  <c r="G77" i="4"/>
  <c r="H77" i="4"/>
  <c r="E78" i="4"/>
  <c r="F78" i="4"/>
  <c r="G78" i="4"/>
  <c r="H78" i="4"/>
  <c r="D78" i="4"/>
  <c r="D80" i="4"/>
  <c r="H104" i="2" s="1"/>
  <c r="D77" i="4"/>
  <c r="M45" i="4" l="1"/>
  <c r="Q15" i="2"/>
  <c r="M62" i="4"/>
  <c r="Q16" i="2" s="1"/>
  <c r="C88" i="2"/>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89" i="2"/>
  <c r="G72" i="4"/>
  <c r="I72" i="4"/>
  <c r="F72" i="4"/>
  <c r="E72" i="4"/>
  <c r="D72" i="4"/>
  <c r="J72" i="4"/>
  <c r="H72" i="4"/>
  <c r="L72"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M43" i="4" s="1"/>
  <c r="M44" i="4" s="1"/>
  <c r="M58" i="4" s="1"/>
  <c r="Q60" i="2" s="1"/>
  <c r="C63" i="6" l="1"/>
  <c r="L69" i="4"/>
  <c r="L71" i="4"/>
  <c r="L70" i="4"/>
  <c r="I35" i="2"/>
  <c r="I38" i="2" s="1"/>
  <c r="I26" i="2"/>
  <c r="I32" i="2" s="1"/>
  <c r="G35" i="2"/>
  <c r="C35" i="2" s="1"/>
  <c r="G26" i="2"/>
  <c r="K35" i="2"/>
  <c r="K26" i="2"/>
  <c r="K32" i="2" s="1"/>
  <c r="Q35" i="2"/>
  <c r="Q26" i="2"/>
  <c r="Q5"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2" i="2"/>
  <c r="G92" i="2"/>
  <c r="C25" i="2"/>
  <c r="F71" i="4"/>
  <c r="M92" i="2"/>
  <c r="N92" i="2"/>
  <c r="P92" i="2"/>
  <c r="O92" i="2"/>
  <c r="L92" i="2"/>
  <c r="J92" i="2"/>
  <c r="I92" i="2"/>
  <c r="K92" i="2"/>
  <c r="C37" i="6"/>
  <c r="C37" i="12"/>
  <c r="H92" i="2"/>
  <c r="C140" i="6"/>
  <c r="C140" i="12"/>
  <c r="C145" i="6"/>
  <c r="C145" i="12"/>
  <c r="C144" i="6"/>
  <c r="C144" i="12"/>
  <c r="C141" i="6"/>
  <c r="C141" i="12"/>
  <c r="G89" i="2"/>
  <c r="Q125"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C12" i="9"/>
  <c r="H100" i="2"/>
  <c r="H117" i="2" s="1"/>
  <c r="P100" i="2"/>
  <c r="P118" i="2" s="1"/>
  <c r="M100" i="2"/>
  <c r="M117" i="2" s="1"/>
  <c r="N100" i="2"/>
  <c r="N117" i="2" s="1"/>
  <c r="Q100" i="2"/>
  <c r="Q117" i="2" s="1"/>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I78" i="2"/>
  <c r="Q78" i="2"/>
  <c r="Q71" i="2"/>
  <c r="Q30"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Q53" i="2" l="1"/>
  <c r="C29" i="2"/>
  <c r="C23" i="2" s="1"/>
  <c r="Q74" i="2"/>
  <c r="G38"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F22" i="8" l="1"/>
  <c r="F23" i="8" s="1"/>
  <c r="F24" i="8" s="1"/>
  <c r="F25" i="8" s="1"/>
  <c r="F26" i="8" s="1"/>
  <c r="F27" i="8" s="1"/>
  <c r="F28" i="8" s="1"/>
  <c r="F29" i="8" s="1"/>
  <c r="F30" i="8" s="1"/>
  <c r="C24" i="8"/>
  <c r="C46" i="2"/>
  <c r="D66" i="3"/>
  <c r="C71" i="2"/>
  <c r="C41" i="3"/>
  <c r="C44" i="12" l="1"/>
  <c r="Q46" i="2"/>
  <c r="Q48" i="2" s="1"/>
  <c r="Q10" i="2" s="1"/>
  <c r="F31" i="8"/>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Q76" i="2" l="1"/>
  <c r="Q41" i="2"/>
  <c r="Q11" i="2"/>
  <c r="C26" i="8"/>
  <c r="I76" i="2"/>
  <c r="H76" i="2"/>
  <c r="J76" i="2"/>
  <c r="C84" i="6"/>
  <c r="C86" i="6" s="1"/>
  <c r="C84" i="12"/>
  <c r="C86" i="12" s="1"/>
  <c r="G41" i="2"/>
  <c r="C87" i="3"/>
  <c r="D87" i="3" s="1"/>
  <c r="O76" i="2"/>
  <c r="O11" i="2"/>
  <c r="O119" i="2" s="1"/>
  <c r="O115" i="2" s="1"/>
  <c r="O41" i="2"/>
  <c r="L76" i="2"/>
  <c r="L41" i="2"/>
  <c r="K76" i="2"/>
  <c r="P76" i="2"/>
  <c r="P11" i="2"/>
  <c r="P41" i="2"/>
  <c r="M76" i="2"/>
  <c r="M41" i="2"/>
  <c r="J41" i="2"/>
  <c r="H41" i="2"/>
  <c r="I41" i="2"/>
  <c r="N76" i="2"/>
  <c r="N41" i="2"/>
  <c r="G76" i="2"/>
  <c r="C34" i="6"/>
  <c r="C72" i="2"/>
  <c r="C32" i="3"/>
  <c r="G31" i="3"/>
  <c r="F4" i="8" s="1"/>
  <c r="F7" i="8" s="1"/>
  <c r="B1" i="2"/>
  <c r="P119" i="2" l="1"/>
  <c r="P115" i="2" s="1"/>
  <c r="P96" i="2"/>
  <c r="Q14" i="2"/>
  <c r="Q119" i="2"/>
  <c r="Q115" i="2" s="1"/>
  <c r="Q77" i="2"/>
  <c r="Q116" i="2" s="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Q19" i="2" l="1"/>
  <c r="Q80" i="2"/>
  <c r="Q123" i="2"/>
  <c r="Q124" i="2" s="1"/>
  <c r="C92" i="6"/>
  <c r="C92" i="12"/>
  <c r="C28" i="8"/>
  <c r="C7" i="8"/>
  <c r="C86" i="3"/>
  <c r="D86" i="3" s="1"/>
  <c r="D89" i="3" s="1"/>
  <c r="C78" i="12"/>
  <c r="C79" i="12" s="1"/>
  <c r="C78" i="6"/>
  <c r="C79" i="6" s="1"/>
  <c r="O80" i="2"/>
  <c r="O19" i="2"/>
  <c r="O90" i="2" s="1"/>
  <c r="O123" i="2"/>
  <c r="O124" i="2" s="1"/>
  <c r="P80" i="2"/>
  <c r="P19" i="2"/>
  <c r="P90" i="2" s="1"/>
  <c r="P123" i="2"/>
  <c r="P124" i="2" s="1"/>
  <c r="C45" i="2"/>
  <c r="C45" i="12" s="1"/>
  <c r="Q85" i="2" l="1"/>
  <c r="Q90" i="2"/>
  <c r="Q113" i="2"/>
  <c r="C29" i="8"/>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<sst xmlns="http://schemas.openxmlformats.org/spreadsheetml/2006/main" count="766" uniqueCount="556">
  <si>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</si>
  <si>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</si>
  <si>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</si>
  <si>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</si>
  <si>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</si>
  <si>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</si>
  <si>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</si>
  <si>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</si>
  <si>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</si>
  <si>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</si>
  <si>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</si>
  <si>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</si>
  <si>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</si>
  <si>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</si>
  <si>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</si>
  <si>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</si>
  <si>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</si>
  <si>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</si>
  <si>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</si>
  <si>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</si>
  <si>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</si>
  <si>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</si>
  <si>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</si>
  <si>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</si>
  <si>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</si>
  <si>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</si>
  <si>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</si>
  <si>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</si>
  <si>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</si>
  <si>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</si>
  <si>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</si>
  <si>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</si>
  <si>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</si>
  <si>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</si>
  <si>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</si>
  <si>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</si>
  <si>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</si>
  <si>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</si>
  <si>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</si>
  <si>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</si>
  <si>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</si>
  <si>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</si>
  <si>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</si>
  <si>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</si>
  <si>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</si>
  <si>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</si>
  <si>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</si>
  <si>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</si>
  <si>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</si>
  <si>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</si>
  <si>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</si>
  <si>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</si>
  <si>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</si>
  <si>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</si>
  <si>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</si>
  <si>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</si>
  <si>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</si>
  <si>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</si>
  <si>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</si>
  <si>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</si>
  <si>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</si>
  <si>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</si>
  <si>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</si>
  <si>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</si>
  <si>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</si>
  <si>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</si>
  <si>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</si>
  <si>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</si>
  <si>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</si>
  <si>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</si>
  <si>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</si>
  <si>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</si>
  <si>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</si>
  <si>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</si>
  <si>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</si>
  <si>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</si>
  <si>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</si>
  <si>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</si>
  <si>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</si>
  <si>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</si>
  <si>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</si>
  <si>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</si>
  <si>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</si>
  <si>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</si>
  <si>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</si>
  <si>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</si>
  <si>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</si>
  <si>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</si>
  <si>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</si>
  <si>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</si>
  <si>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</si>
  <si>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</si>
  <si>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</si>
  <si>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</si>
  <si>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</si>
  <si>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</si>
  <si>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</si>
  <si>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</si>
  <si>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</si>
  <si>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</si>
  <si>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</si>
  <si>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</si>
  <si>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</si>
  <si>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</si>
  <si>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</si>
  <si>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</si>
  <si>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</si>
  <si>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</si>
  <si>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</si>
  <si>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</si>
  <si>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</si>
  <si>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</si>
  <si>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</si>
  <si>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</si>
  <si>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</si>
  <si>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</si>
  <si>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</si>
  <si>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</si>
  <si>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</si>
  <si>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</si>
  <si>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</si>
  <si>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</si>
  <si>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</si>
  <si>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</si>
  <si>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</si>
  <si>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</si>
  <si>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</si>
  <si>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</si>
  <si>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</si>
  <si>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</si>
  <si>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</si>
  <si>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</si>
  <si>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</si>
  <si>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</si>
  <si>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</si>
  <si>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</si>
  <si>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</si>
  <si>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</si>
  <si>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</si>
  <si>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</si>
  <si>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</si>
  <si>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</si>
  <si>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</si>
  <si>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</si>
  <si>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</si>
  <si>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</si>
  <si>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</si>
  <si>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</si>
  <si>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</si>
  <si>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</si>
  <si>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</si>
  <si>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</si>
  <si>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</si>
  <si>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</si>
  <si>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</si>
  <si>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</si>
  <si>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</si>
  <si>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</si>
  <si>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</si>
  <si>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</si>
  <si>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</si>
  <si>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</si>
  <si>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</si>
  <si>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</si>
  <si>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</si>
  <si>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</si>
  <si>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</si>
  <si>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</si>
  <si>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</si>
  <si>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</si>
  <si>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</si>
  <si>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</si>
  <si>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</si>
  <si>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</si>
  <si>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</si>
  <si>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</si>
  <si>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</si>
  <si>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</si>
  <si>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</si>
  <si>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</si>
  <si>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</si>
  <si>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</si>
  <si>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</si>
  <si>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</si>
  <si>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</si>
  <si>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</si>
  <si>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</si>
  <si>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</si>
  <si>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</si>
  <si>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</si>
  <si>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</si>
  <si>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</si>
  <si>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</si>
  <si>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</si>
  <si>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</si>
  <si>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</si>
  <si>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</si>
  <si>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</si>
  <si>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</si>
  <si>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</si>
  <si>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</si>
  <si>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</si>
  <si>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</si>
  <si>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</si>
  <si>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</si>
  <si>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</si>
  <si>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</si>
  <si>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</si>
  <si>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</si>
  <si>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</si>
  <si>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</si>
  <si>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</si>
  <si>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</si>
  <si>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</si>
  <si>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</si>
  <si>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</si>
  <si>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</si>
  <si>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</si>
  <si>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</si>
  <si>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</si>
  <si>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</si>
  <si>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</si>
  <si>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</si>
  <si>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</si>
  <si>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</si>
  <si>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</si>
  <si>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</si>
  <si>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</si>
  <si>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</si>
  <si>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</si>
  <si>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</si>
  <si>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</si>
  <si>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</si>
  <si>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</si>
  <si>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</si>
  <si>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</si>
  <si>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</si>
  <si>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</si>
  <si>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</si>
  <si>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</si>
  <si>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</si>
  <si>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</si>
  <si>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</si>
  <si>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</si>
  <si>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</si>
  <si>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</si>
  <si>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</si>
  <si>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</si>
  <si>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</si>
  <si>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</si>
  <si>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</si>
  <si>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</si>
  <si>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</si>
  <si>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</si>
  <si>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</si>
  <si>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</si>
  <si>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</si>
  <si>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</si>
  <si>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</si>
  <si>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</si>
  <si>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</si>
  <si>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</si>
  <si>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</si>
  <si>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</si>
  <si>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</si>
  <si>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</si>
  <si>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</si>
  <si>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</si>
  <si>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</si>
  <si>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</si>
  <si>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</si>
  <si>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</si>
  <si>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</si>
  <si>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</si>
  <si>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</si>
  <si>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</si>
  <si>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</si>
  <si>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</si>
  <si>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</si>
  <si>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</si>
  <si>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</si>
  <si>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</si>
  <si>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</si>
  <si>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</si>
  <si>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</si>
  <si>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</si>
  <si>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</si>
  <si>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</si>
  <si>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</si>
  <si>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</si>
  <si>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</si>
  <si>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</si>
  <si>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</si>
  <si>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</si>
  <si>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</si>
  <si>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</si>
  <si>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</si>
  <si>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</si>
  <si>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</si>
  <si>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</si>
  <si>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</si>
  <si>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</si>
  <si>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</si>
  <si>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</si>
  <si>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</si>
  <si>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</si>
  <si>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</si>
  <si>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</si>
  <si>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</si>
  <si>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</si>
  <si>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</si>
  <si>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</si>
  <si>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</si>
  <si>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</si>
  <si>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</si>
  <si>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</si>
  <si>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</si>
  <si>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</si>
  <si>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</si>
  <si>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</si>
  <si>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</si>
  <si>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</si>
  <si>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</si>
  <si>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</si>
  <si>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</si>
  <si>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</si>
  <si>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</si>
  <si>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</si>
  <si>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</si>
  <si>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</si>
  <si>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</si>
  <si>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</si>
  <si>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</si>
  <si>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</si>
  <si>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</si>
  <si>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</si>
  <si>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</si>
  <si>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</si>
  <si>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</si>
  <si>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</si>
  <si>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</si>
  <si>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</si>
  <si>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</si>
  <si>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</si>
  <si>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</si>
  <si>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</si>
  <si>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</si>
  <si>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</si>
  <si>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</si>
  <si>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</si>
  <si>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</si>
  <si>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</si>
  <si>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</si>
  <si>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</si>
  <si>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</si>
  <si>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</si>
  <si>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</si>
  <si>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</si>
  <si>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</si>
  <si>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</si>
  <si>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</si>
  <si>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</si>
  <si>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</si>
  <si>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</si>
  <si>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</si>
  <si>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</si>
  <si>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</si>
  <si>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</si>
  <si>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</si>
  <si>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</si>
  <si>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</si>
  <si>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</si>
  <si>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</si>
  <si>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</si>
  <si>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</si>
  <si>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</si>
  <si>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</si>
  <si>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</si>
  <si>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</si>
  <si>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</si>
  <si>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</si>
  <si>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</si>
  <si>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</si>
  <si>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</si>
  <si>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</si>
  <si>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</si>
  <si>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</si>
  <si>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</si>
  <si>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</si>
  <si>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</si>
  <si>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</si>
  <si>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</si>
  <si>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</si>
  <si>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</si>
  <si>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</si>
  <si>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</si>
  <si>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</si>
  <si>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</si>
  <si>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</si>
  <si>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</si>
  <si>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</si>
  <si>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</si>
  <si>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</si>
  <si>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</si>
  <si>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</si>
  <si>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</si>
  <si>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</si>
  <si>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</si>
  <si>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</si>
  <si>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</si>
  <si>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</si>
  <si>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</si>
  <si>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</si>
  <si>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</si>
  <si>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</si>
  <si>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</si>
  <si>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</si>
  <si>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</si>
  <si>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</si>
  <si>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</si>
  <si>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</si>
  <si>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</si>
  <si>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</si>
  <si>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</si>
  <si>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</si>
  <si>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</si>
  <si>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</si>
  <si>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</si>
  <si>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</si>
  <si>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</si>
  <si>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</si>
  <si>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</si>
  <si>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</si>
  <si>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</si>
  <si>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</si>
  <si>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</si>
  <si>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</si>
  <si>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</si>
  <si>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</si>
  <si>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</si>
  <si>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</si>
  <si>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</si>
  <si>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</si>
  <si>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</si>
  <si>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</si>
  <si>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</si>
  <si>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</si>
  <si>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</si>
  <si>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</si>
  <si>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</si>
  <si>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</si>
  <si>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</si>
  <si>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</si>
  <si>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</si>
  <si>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</si>
  <si>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</si>
  <si>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</si>
  <si>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</si>
  <si>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</si>
  <si>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</si>
  <si>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</si>
  <si>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</si>
  <si>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</si>
  <si>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</si>
  <si>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</si>
  <si>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</si>
  <si>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</si>
  <si>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</si>
  <si>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</si>
  <si>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</si>
  <si>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</si>
  <si>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</si>
  <si>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</si>
  <si>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</si>
  <si>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</si>
  <si>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</si>
  <si>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</si>
  <si>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</si>
  <si>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</si>
  <si>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</si>
  <si>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</si>
  <si>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</si>
  <si>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</si>
  <si>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</si>
  <si>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</si>
  <si>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</si>
  <si>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</si>
  <si>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</si>
  <si>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</si>
  <si>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</si>
  <si>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</si>
  <si>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</si>
  <si>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</si>
  <si>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</si>
  <si>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</si>
  <si>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</si>
  <si>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</si>
  <si>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</si>
  <si>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</si>
  <si>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</si>
  <si>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</si>
  <si>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</si>
  <si>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</si>
  <si>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</si>
  <si>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</si>
  <si>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</si>
  <si>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</si>
  <si>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</si>
  <si>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</si>
  <si>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</si>
  <si>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</si>
  <si>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</si>
  <si>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</si>
  <si>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</si>
  <si>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</si>
  <si>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</si>
  <si>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</si>
  <si>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</si>
  <si>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</si>
  <si>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</si>
  <si>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</si>
  <si>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</si>
  <si>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</si>
  <si>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</si>
  <si>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</si>
  <si>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</si>
  <si>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</si>
  <si>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</si>
  <si>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</si>
  <si>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</si>
  <si>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</si>
  <si>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</si>
  <si>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</si>
  <si>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</si>
  <si>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</si>
  <si>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</si>
  <si>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</si>
  <si>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</si>
  <si>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</si>
  <si>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</si>
  <si>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</si>
  <si>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</si>
  <si>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</si>
  <si>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</si>
  <si>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</si>
  <si>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</si>
  <si>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</si>
  <si>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</si>
  <si>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</si>
  <si>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</si>
  <si>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</si>
  <si>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</si>
  <si>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3813.HK</t>
  </si>
  <si>
    <t>寶勝國際</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</si>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</sst>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553</v>
      </c>
      <c r="E4" s="435" t="s">
        <v>539</v>
      </c>
      <c r="F4" s="436" t="s">
        <v>324</v>
      </c>
    </row>
    <row r="5" spans="1:9">
      <c r="B5" s="1" t="s">
        <v>349</v>
      </c>
      <c r="C5" s="46" t="s">
        <v>552</v>
      </c>
      <c r="E5" s="438" t="s">
        <v>541</v>
      </c>
      <c r="F5" s="437" t="s">
        <v>549</v>
      </c>
    </row>
    <row r="6" spans="1:9">
      <c r="B6" s="2" t="s">
        <v>53</v>
      </c>
      <c r="C6" s="45" t="s">
        <v>554</v>
      </c>
      <c r="D6" s="45"/>
      <c r="E6" s="45"/>
    </row>
    <row r="7" spans="1:9">
      <c r="B7" s="1" t="s">
        <v>351</v>
      </c>
      <c r="C7" s="45" t="s">
        <v>308</v>
      </c>
      <c r="D7" s="45"/>
      <c r="E7" s="45"/>
    </row>
    <row r="8" spans="1:9">
      <c r="B8" s="4" t="s">
        <v>350</v>
      </c>
      <c r="C8" s="47">
        <v>0.45</v>
      </c>
      <c r="E8" s="32"/>
    </row>
    <row r="9" spans="1:9">
      <c r="B9" s="4" t="s">
        <v>346</v>
      </c>
      <c r="C9" s="48">
        <v>5183714855</v>
      </c>
    </row>
    <row r="10" spans="1:9">
      <c r="B10" s="4" t="s">
        <v>352</v>
      </c>
      <c r="C10" s="33">
        <f>Thesis!C8*Common_Shares/1000000</f>
        <v>2332.6716847500002</v>
      </c>
      <c r="D10" s="1" t="s">
        <v>530</v>
      </c>
      <c r="E10" s="307">
        <f>Scenarios!F34</f>
        <v>0.17996939953838226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1.1013227999999999</v>
      </c>
    </row>
    <row r="17" spans="1:6">
      <c r="B17" s="1" t="s">
        <v>534</v>
      </c>
      <c r="C17" s="420">
        <v>0</v>
      </c>
      <c r="D17" s="4" t="s">
        <v>274</v>
      </c>
      <c r="E17" s="224" t="s">
        <v>555</v>
      </c>
    </row>
    <row r="18" spans="1:6">
      <c r="B18" s="1" t="str">
        <f>"Expected Equity Value ("&amp;C7&amp;") :"</f>
        <v>Expected Equity Value (HKD) :</v>
      </c>
      <c r="C18" s="255">
        <f>C125</f>
        <v>0.64285485662853192</v>
      </c>
      <c r="D18" s="2" t="s">
        <v>347</v>
      </c>
      <c r="E18" s="423">
        <v>6</v>
      </c>
    </row>
    <row r="19" spans="1:6">
      <c r="B19" s="2" t="s">
        <v>275</v>
      </c>
      <c r="C19" s="31" t="str">
        <f>IF(Scenarios!C50="Y",Scenarios!B50,"")&amp;IF(Scenarios!C51="Y",Scenarios!B51,"")&amp;IF(Scenarios!C52="Y",Scenarios!B52,"")&amp;" "&amp;IF(Scenarios!C53="Y",Scenarios!B53,"")</f>
        <v>Negative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0.34565247026397422</v>
      </c>
      <c r="D22" s="38" t="s">
        <v>408</v>
      </c>
      <c r="E22" s="79">
        <v>0.29465259038036606</v>
      </c>
    </row>
    <row r="23" spans="1:6">
      <c r="B23" s="1" t="s">
        <v>313</v>
      </c>
      <c r="C23" s="259">
        <f>E141</f>
        <v>0.42813221148805264</v>
      </c>
      <c r="D23" s="38" t="s">
        <v>409</v>
      </c>
      <c r="E23" s="448">
        <v>0.20075184365903009</v>
      </c>
    </row>
    <row r="24" spans="1:6">
      <c r="B24" s="1" t="s">
        <v>315</v>
      </c>
      <c r="C24" s="259">
        <f>E144</f>
        <v>0.52591318408888466</v>
      </c>
      <c r="D24" s="38" t="s">
        <v>410</v>
      </c>
      <c r="E24" s="448">
        <v>0.1174</v>
      </c>
    </row>
    <row r="25" spans="1:6">
      <c r="B25" s="1" t="s">
        <v>314</v>
      </c>
      <c r="C25" s="259">
        <f>E145</f>
        <v>0.59163407535819612</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410704.412090078</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9" t="s">
        <v>206</v>
      </c>
      <c r="C51" s="459"/>
      <c r="D51" s="459"/>
      <c r="E51" s="459"/>
      <c r="F51" s="459"/>
    </row>
    <row r="52" spans="2:6">
      <c r="B52" s="44" t="s">
        <v>204</v>
      </c>
      <c r="C52" s="289">
        <f>Normalized_FCF!C12</f>
        <v>-88244.267612844487</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0.11783600222796822</v>
      </c>
      <c r="F62" s="260"/>
    </row>
    <row r="63" spans="2:6">
      <c r="B63" s="204" t="s">
        <v>332</v>
      </c>
      <c r="C63" s="89">
        <f>Normalized_FCF!C92</f>
        <v>0.06</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-1457859</v>
      </c>
      <c r="D78" s="1" t="str">
        <f>Reporting_currency</f>
        <v>CNY</v>
      </c>
    </row>
    <row r="79" spans="1:6">
      <c r="A79" s="191"/>
      <c r="B79" s="44" t="s">
        <v>234</v>
      </c>
      <c r="C79" s="201">
        <f>C78*scaling_factor*Exchange_Rate/Common_Shares</f>
        <v>-0.30973411940985324</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0.25018466633859132</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3.50428578178419E-4</v>
      </c>
      <c r="D90" s="1" t="str">
        <f>Market_currency</f>
        <v>HKD</v>
      </c>
    </row>
    <row r="91" spans="1:6">
      <c r="A91" s="191"/>
    </row>
    <row r="92" spans="1:6">
      <c r="A92" s="191"/>
      <c r="B92" s="44" t="s">
        <v>472</v>
      </c>
      <c r="C92" s="216">
        <f>DCF!F8</f>
        <v>-5.9199024493083445E-2</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0.58458727416093559</v>
      </c>
      <c r="D111" s="1" t="str">
        <f>Market_currency</f>
        <v>HKD</v>
      </c>
    </row>
    <row r="112" spans="2:6">
      <c r="B112" s="44" t="s">
        <v>323</v>
      </c>
      <c r="C112" s="216">
        <f>DCF!C11</f>
        <v>0.67219685140465046</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0.45 HKD</v>
      </c>
      <c r="E118" s="208">
        <f>DCF!F90</f>
        <v>0.15</v>
      </c>
      <c r="F118" s="208">
        <f>RATE(Holding_Period,Scenarios!C$58,-DCF!E90,C$18)</f>
        <v>0.1764015250562416</v>
      </c>
    </row>
    <row r="119" spans="2:6">
      <c r="B119" s="205" t="str">
        <f>DCF!B91&amp;" ("&amp;DCF!D91&amp;"yrs)"</f>
        <v>Optimistic (3yrs)</v>
      </c>
      <c r="C119" s="198">
        <f>DCF!C91</f>
        <v>0.02</v>
      </c>
      <c r="D119" s="207" t="str">
        <f>ROUND(DCF!E91,2)&amp;" "&amp;Market_currency</f>
        <v>0.72 HKD</v>
      </c>
      <c r="E119" s="199">
        <f>DCF!F91</f>
        <v>0.15999999999999995</v>
      </c>
      <c r="F119" s="208">
        <f>RATE(Holding_Period,Scenarios!C$58,-DCF!E91,C$18)</f>
        <v>1.2666367030415219E-3</v>
      </c>
    </row>
    <row r="120" spans="2:6">
      <c r="B120" s="205" t="str">
        <f>DCF!B92&amp;" ("&amp;DCF!D92&amp;"yrs)"</f>
        <v>Base (3yrs)</v>
      </c>
      <c r="C120" s="198">
        <f>DCF!C92</f>
        <v>0</v>
      </c>
      <c r="D120" s="207" t="str">
        <f>ROUND(DCF!E92,2)&amp;" "&amp;Market_currency</f>
        <v>0.67 HKD</v>
      </c>
      <c r="E120" s="199">
        <f>DCF!F92</f>
        <v>0.44</v>
      </c>
      <c r="F120" s="208">
        <f>RATE(Holding_Period,Scenarios!C$58,-DCF!E92,C$18)</f>
        <v>2.5988175323388856E-2</v>
      </c>
    </row>
    <row r="121" spans="2:6">
      <c r="B121" s="205" t="str">
        <f>DCF!B93&amp;" ("&amp;DCF!D93&amp;"yrs)"</f>
        <v>Pessimistic (3yrs)</v>
      </c>
      <c r="C121" s="198">
        <f>DCF!C93</f>
        <v>-0.02</v>
      </c>
      <c r="D121" s="207" t="str">
        <f>ROUND(DCF!E93,2)&amp;" "&amp;Market_currency</f>
        <v>0.63 HKD</v>
      </c>
      <c r="E121" s="199">
        <f>DCF!F93</f>
        <v>0.19999999999999998</v>
      </c>
      <c r="F121" s="208">
        <f>RATE(Holding_Period,Scenarios!C$58,-DCF!E93,C$18)</f>
        <v>5.2233642926730453E-2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-2.2078819036575568E-2</v>
      </c>
    </row>
    <row r="124" spans="2:6">
      <c r="B124" s="459" t="s">
        <v>357</v>
      </c>
      <c r="C124" s="459"/>
      <c r="D124" s="459"/>
      <c r="E124" s="459"/>
      <c r="F124" s="459"/>
    </row>
    <row r="125" spans="2:6">
      <c r="B125" s="193" t="s">
        <v>218</v>
      </c>
      <c r="C125" s="197">
        <f>Scenarios!C36</f>
        <v>0.64285485662853192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0.29624647770900098</v>
      </c>
      <c r="E140" s="338">
        <f>Scenarios!E62</f>
        <v>0.34565247026397422</v>
      </c>
      <c r="F140" s="339">
        <f>E22</f>
        <v>0.29465259038036606</v>
      </c>
    </row>
    <row r="141" spans="1:6">
      <c r="B141" s="340" t="s">
        <v>313</v>
      </c>
      <c r="C141" s="337">
        <f>Scenarios!C63</f>
        <v>5.6808106576265109E-2</v>
      </c>
      <c r="D141" s="337">
        <f>Scenarios!D63</f>
        <v>0.37132410491178752</v>
      </c>
      <c r="E141" s="338">
        <f>Scenarios!E63</f>
        <v>0.42813221148805264</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0.46077289968854113</v>
      </c>
      <c r="E144" s="338">
        <f>Scenarios!E66</f>
        <v>0.52591318408888466</v>
      </c>
      <c r="F144" s="339">
        <f>E24</f>
        <v>0.1174</v>
      </c>
    </row>
    <row r="145" spans="1:6">
      <c r="B145" s="340" t="s">
        <v>314</v>
      </c>
      <c r="C145" s="337">
        <f>Scenarios!C67</f>
        <v>7.0534131133671435E-2</v>
      </c>
      <c r="D145" s="337">
        <f>Scenarios!D67</f>
        <v>0.52109994422452466</v>
      </c>
      <c r="E145" s="338">
        <f>Scenarios!E67</f>
        <v>0.59163407535819612</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56" activePane="bottomRight" state="frozen"/>
      <selection pane="topRight" activeCell="C1" sqref="C1"/>
      <selection pane="bottomLeft" activeCell="A2" sqref="A2"/>
      <selection pane="bottomRight" activeCell="C72" sqref="C7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89" sqref="D8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1.8841975685556493</v>
      </c>
      <c r="D47" s="134">
        <f>D46*H1/Common_Shares*Exchange_Rate</f>
        <v>0.58458727416093559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1605573.3558852</v>
      </c>
      <c r="D86" s="201">
        <f>C86*scaling_factor/Common_Shares</f>
        <v>0.30973411940985324</v>
      </c>
      <c r="E86" s="214" t="str">
        <f>Market_currency</f>
        <v>HKD</v>
      </c>
    </row>
    <row r="87" spans="2:8" ht="15" customHeight="1">
      <c r="B87" s="212" t="s">
        <v>240</v>
      </c>
      <c r="C87" s="73">
        <f>DCF!F5*Exchange_Rate</f>
        <v>1296885.9713925745</v>
      </c>
      <c r="D87" s="201">
        <f>C87*scaling_factor/Common_Shares</f>
        <v>0.25018466633859138</v>
      </c>
      <c r="E87" s="214" t="str">
        <f>Market_currency</f>
        <v>HKD</v>
      </c>
    </row>
    <row r="88" spans="2:8" ht="15" customHeight="1">
      <c r="B88" s="213" t="s">
        <v>159</v>
      </c>
      <c r="C88" s="73">
        <f>DCF!F6*Exchange_Rate</f>
        <v>1816.5218263199997</v>
      </c>
      <c r="D88" s="201">
        <f>C88*scaling_factor/Common_Shares</f>
        <v>3.5042857817841905E-4</v>
      </c>
      <c r="E88" s="214" t="str">
        <f>Market_currency</f>
        <v>HKD</v>
      </c>
    </row>
    <row r="89" spans="2:8" ht="15" customHeight="1">
      <c r="B89" s="77" t="s">
        <v>244</v>
      </c>
      <c r="C89" s="162">
        <f>SUM(C86:C88)</f>
        <v>2904275.8491040943</v>
      </c>
      <c r="D89" s="216">
        <f>SUM(D86:D88)</f>
        <v>0.56026921432662313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31" sqref="C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0.06</v>
      </c>
      <c r="E92" s="238"/>
      <c r="G92" s="22">
        <f t="shared" ref="G92:Q92" si="38">IF(G$4="","",(G88*(1-dividend_tax_rate))/Market_Price)</f>
        <v>0.06</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5.3026201002585704E-2</v>
      </c>
      <c r="D123" s="26"/>
      <c r="E123" s="235"/>
      <c r="F123" s="26"/>
      <c r="G123" s="159">
        <f t="shared" ref="G123:Q123" si="48">IF(G$4="","",G14*$C$3/Common_Shares*Exchange_Rate)</f>
        <v>3.9267641601448293E-2</v>
      </c>
      <c r="H123" s="159">
        <f t="shared" si="48"/>
        <v>3.7937804363782218E-2</v>
      </c>
      <c r="I123" s="159">
        <f t="shared" si="48"/>
        <v>-5.4442552981250246E-2</v>
      </c>
      <c r="J123" s="159">
        <f t="shared" si="48"/>
        <v>1.3975718611526624E-2</v>
      </c>
      <c r="K123" s="159">
        <f t="shared" si="48"/>
        <v>4.0559122886245254E-2</v>
      </c>
      <c r="L123" s="159">
        <f t="shared" si="48"/>
        <v>0.14945054376799821</v>
      </c>
      <c r="M123" s="159">
        <f t="shared" si="48"/>
        <v>8.627779349958091E-2</v>
      </c>
      <c r="N123" s="159">
        <f t="shared" si="48"/>
        <v>5.9375484609521405E-2</v>
      </c>
      <c r="O123" s="159">
        <f t="shared" si="48"/>
        <v>9.0216981245431566E-2</v>
      </c>
      <c r="P123" s="159">
        <f t="shared" si="48"/>
        <v>1.1471893723367236E-2</v>
      </c>
      <c r="Q123" s="159" t="str">
        <f t="shared" si="48"/>
        <v/>
      </c>
    </row>
    <row r="124" spans="1:17" ht="15.75" customHeight="1">
      <c r="A124" s="10"/>
      <c r="B124" s="26" t="s">
        <v>226</v>
      </c>
      <c r="C124" s="74">
        <f>C19*Exchange_Rate*$C$3/(Market_Price*Common_Shares)</f>
        <v>0.11783600222796822</v>
      </c>
      <c r="D124" s="26"/>
      <c r="E124" s="235"/>
      <c r="F124" s="26"/>
      <c r="G124" s="74">
        <f t="shared" ref="G124" si="49">IF(G$4="","",G123/Market_Price)</f>
        <v>8.7261425780996202E-2</v>
      </c>
      <c r="H124" s="74">
        <f t="shared" ref="H124" si="50">IF(H$4="","",H123/Market_Price)</f>
        <v>8.4306231919516042E-2</v>
      </c>
      <c r="I124" s="74">
        <f t="shared" ref="I124" si="51">IF(I$4="","",I123/Market_Price)</f>
        <v>-0.12098345106944498</v>
      </c>
      <c r="J124" s="74">
        <f t="shared" ref="J124" si="52">IF(J$4="","",J123/Market_Price)</f>
        <v>3.1057152470059163E-2</v>
      </c>
      <c r="K124" s="74">
        <f t="shared" ref="K124" si="53">IF(K$4="","",K123/Market_Price)</f>
        <v>9.0131384191656116E-2</v>
      </c>
      <c r="L124" s="74">
        <f t="shared" ref="L124" si="54">IF(L$4="","",L123/Market_Price)</f>
        <v>0.33211231948444048</v>
      </c>
      <c r="M124" s="74">
        <f t="shared" ref="M124" si="55">IF(M$4="","",M123/Market_Price)</f>
        <v>0.19172842999906869</v>
      </c>
      <c r="N124" s="74">
        <f t="shared" ref="N124" si="56">IF(N$4="","",N123/Market_Price)</f>
        <v>0.131945521354492</v>
      </c>
      <c r="O124" s="74">
        <f t="shared" ref="O124" si="57">IF(O$4="","",O123/Market_Price)</f>
        <v>0.20048218054540348</v>
      </c>
      <c r="P124" s="74">
        <f t="shared" ref="P124" si="58">IF(P$4="","",P123/Market_Price)</f>
        <v>2.5493097163038301E-2</v>
      </c>
      <c r="Q124" s="74" t="str">
        <f t="shared" ref="Q124" si="59">IF(Q$4="","",Q123/Market_Price)</f>
        <v/>
      </c>
    </row>
    <row r="125" spans="1:17" ht="15.75" customHeight="1">
      <c r="B125" s="2" t="s">
        <v>306</v>
      </c>
      <c r="C125" s="151"/>
      <c r="G125" s="22">
        <f>IF(G$4="","",(Data!C47*$C$3)/(Market_Price*Common_Shares))</f>
        <v>0.21341280183342784</v>
      </c>
      <c r="H125" s="22">
        <f>IF(H$4="","",(Data!D47*$C$3)/(Market_Price*Common_Shares))</f>
        <v>0.21572174227936</v>
      </c>
      <c r="I125" s="22">
        <f>IF(I$4="","",(Data!E47*$C$3)/(Market_Price*Common_Shares))</f>
        <v>4.2971327964973702E-2</v>
      </c>
      <c r="J125" s="22">
        <f>IF(J$4="","",(Data!F47*$C$3)/(Market_Price*Common_Shares))</f>
        <v>0.16108353458248065</v>
      </c>
      <c r="K125" s="22">
        <f>IF(K$4="","",(Data!G47*$C$3)/(Market_Price*Common_Shares))</f>
        <v>0.13489253633810158</v>
      </c>
      <c r="L125" s="22">
        <f>IF(L$4="","",(Data!H47*$C$3)/(Market_Price*Common_Shares))</f>
        <v>0.37721124912368575</v>
      </c>
      <c r="M125" s="22">
        <f>IF(M$4="","",(Data!I47*$C$3)/(Market_Price*Common_Shares))</f>
        <v>0.24045132611969475</v>
      </c>
      <c r="N125" s="22">
        <f>IF(N$4="","",(Data!J47*$C$3)/(Market_Price*Common_Shares))</f>
        <v>0.17792130916377988</v>
      </c>
      <c r="O125" s="22">
        <f>IF(O$4="","",(Data!K47*$C$3)/(Market_Price*Common_Shares))</f>
        <v>0.24418824291642527</v>
      </c>
      <c r="P125" s="22">
        <f>IF(P$4="","",(Data!L47*$C$3)/(Market_Price*Common_Shares))</f>
        <v>2.6732437491169318E-2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3" sqref="D20:D23"/>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-5.9199024493083445E-2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1.1013227999999999</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3484476.804110514</v>
      </c>
      <c r="D10" t="str">
        <f>Market_currency</f>
        <v>HKD</v>
      </c>
      <c r="H10" s="312" t="s">
        <v>398</v>
      </c>
      <c r="I10" s="310">
        <f>Normalized_FCF!C41</f>
        <v>0.25</v>
      </c>
      <c r="N10" s="308"/>
      <c r="O10" s="308"/>
    </row>
    <row r="11" spans="2:15" ht="13.15">
      <c r="B11" s="136" t="s">
        <v>428</v>
      </c>
      <c r="C11" s="108">
        <f>(C10*scaling_factor)/Common_Shares</f>
        <v>0.67219685140465046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-1.1861621958951121E-2</v>
      </c>
      <c r="E16" s="312" t="s">
        <v>401</v>
      </c>
      <c r="F16" s="315">
        <f>Scenarios!C41</f>
        <v>-1.1861621958951121E-2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0.64399474239992138</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-1.1861621958951121E-2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-1.1861621958951121E-2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-1.1861621958951121E-2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0.67219685140465046</v>
      </c>
      <c r="C73" s="119">
        <f>C11</f>
        <v>0.67219685140465046</v>
      </c>
      <c r="D73" s="119">
        <f>C11</f>
        <v>0.67219685140465046</v>
      </c>
      <c r="E73" s="119">
        <f>C11</f>
        <v>0.67219685140465046</v>
      </c>
      <c r="F73" s="119">
        <f>C11</f>
        <v>0.67219685140465046</v>
      </c>
      <c r="G73" s="300"/>
      <c r="H73" s="300"/>
      <c r="I73" s="300"/>
      <c r="J73" s="300"/>
      <c r="K73" s="300"/>
      <c r="L73" s="300"/>
    </row>
    <row r="74" spans="1:21" ht="13.15">
      <c r="A74" s="131">
        <v>1</v>
      </c>
      <c r="B74" s="119">
        <f t="shared" ref="B74:F87" si="11">(B56+FV_adjustments)/Common_Shares*scaling_factor*Exchange_Rate</f>
        <v>0.70652771315935969</v>
      </c>
      <c r="C74" s="119">
        <f t="shared" si="11"/>
        <v>0.65503142052729668</v>
      </c>
      <c r="D74" s="119">
        <f t="shared" si="11"/>
        <v>0.67219685140465091</v>
      </c>
      <c r="E74" s="119">
        <f t="shared" si="11"/>
        <v>0.68936228228200547</v>
      </c>
      <c r="F74" s="119">
        <f t="shared" si="11"/>
        <v>0.58636969701787978</v>
      </c>
      <c r="G74" s="300"/>
      <c r="H74" s="300"/>
      <c r="I74" s="300"/>
      <c r="J74" s="300"/>
      <c r="K74" s="300"/>
      <c r="L74" s="300"/>
    </row>
    <row r="75" spans="1:21" ht="13.15">
      <c r="A75" s="131">
        <v>2</v>
      </c>
      <c r="B75" s="119">
        <f t="shared" si="11"/>
        <v>0.73981824576998612</v>
      </c>
      <c r="C75" s="119">
        <f t="shared" si="11"/>
        <v>0.63934645804729007</v>
      </c>
      <c r="D75" s="119">
        <f t="shared" si="11"/>
        <v>0.67219685140465091</v>
      </c>
      <c r="E75" s="119">
        <f t="shared" si="11"/>
        <v>0.70568744731221622</v>
      </c>
      <c r="F75" s="119">
        <f t="shared" si="11"/>
        <v>0.51434691011988953</v>
      </c>
      <c r="G75" s="300"/>
      <c r="H75" s="300"/>
      <c r="I75" s="300"/>
      <c r="J75" s="300"/>
      <c r="K75" s="300"/>
      <c r="L75" s="300"/>
    </row>
    <row r="76" spans="1:21" ht="13.15">
      <c r="A76" s="131">
        <v>3</v>
      </c>
      <c r="B76" s="119">
        <f t="shared" si="11"/>
        <v>0.7720999743621092</v>
      </c>
      <c r="C76" s="119">
        <f t="shared" si="11"/>
        <v>0.62501427787907882</v>
      </c>
      <c r="D76" s="119">
        <f t="shared" si="11"/>
        <v>0.67219685140465091</v>
      </c>
      <c r="E76" s="119">
        <f t="shared" si="11"/>
        <v>0.72121347838989958</v>
      </c>
      <c r="F76" s="119">
        <f t="shared" si="11"/>
        <v>0.45390820782787011</v>
      </c>
      <c r="G76" s="300"/>
      <c r="H76" s="300"/>
      <c r="I76" s="300"/>
      <c r="J76" s="300"/>
      <c r="K76" s="300"/>
      <c r="L76" s="300"/>
    </row>
    <row r="77" spans="1:21" ht="13.15">
      <c r="A77" s="131">
        <v>4</v>
      </c>
      <c r="B77" s="119">
        <f t="shared" si="11"/>
        <v>0.80340346875447044</v>
      </c>
      <c r="C77" s="119">
        <f t="shared" si="11"/>
        <v>0.61191820648994422</v>
      </c>
      <c r="D77" s="119">
        <f t="shared" si="11"/>
        <v>0.67219685140465091</v>
      </c>
      <c r="E77" s="119">
        <f t="shared" si="11"/>
        <v>0.73597949396028373</v>
      </c>
      <c r="F77" s="119">
        <f t="shared" si="11"/>
        <v>0.40319041569470676</v>
      </c>
      <c r="G77" s="300"/>
      <c r="H77" s="300"/>
      <c r="I77" s="300"/>
      <c r="J77" s="300"/>
      <c r="K77" s="300"/>
      <c r="L77" s="300"/>
    </row>
    <row r="78" spans="1:21" ht="13.15">
      <c r="A78" s="131">
        <v>5</v>
      </c>
      <c r="B78" s="119">
        <f t="shared" si="11"/>
        <v>0.83375837240766959</v>
      </c>
      <c r="C78" s="119">
        <f t="shared" si="11"/>
        <v>0.59995163309940613</v>
      </c>
      <c r="D78" s="119">
        <f t="shared" si="11"/>
        <v>0.67219685140465091</v>
      </c>
      <c r="E78" s="119">
        <f t="shared" si="11"/>
        <v>0.75002269757967033</v>
      </c>
      <c r="F78" s="119">
        <f t="shared" si="11"/>
        <v>0.36063003068785648</v>
      </c>
      <c r="G78" s="300"/>
      <c r="H78" s="300"/>
      <c r="I78" s="300"/>
      <c r="J78" s="300"/>
      <c r="K78" s="300"/>
      <c r="L78" s="300"/>
    </row>
    <row r="79" spans="1:21" ht="13.15">
      <c r="A79" s="131">
        <v>6</v>
      </c>
      <c r="B79" s="119">
        <f t="shared" si="11"/>
        <v>0.86319343049561992</v>
      </c>
      <c r="C79" s="119">
        <f t="shared" si="11"/>
        <v>0.58901714179616393</v>
      </c>
      <c r="D79" s="119">
        <f t="shared" si="11"/>
        <v>0.67219685140465091</v>
      </c>
      <c r="E79" s="119">
        <f t="shared" si="11"/>
        <v>0.76337847165125439</v>
      </c>
      <c r="F79" s="119">
        <f t="shared" si="11"/>
        <v>0.32491502229049962</v>
      </c>
      <c r="G79" s="300"/>
      <c r="H79" s="300"/>
      <c r="I79" s="300"/>
      <c r="J79" s="300"/>
      <c r="K79" s="300"/>
      <c r="L79" s="300"/>
    </row>
    <row r="80" spans="1:21" ht="13.15">
      <c r="A80" s="131">
        <f t="shared" ref="A80" si="12">A62</f>
        <v>7</v>
      </c>
      <c r="B80" s="119">
        <f t="shared" si="11"/>
        <v>0.89173651712635993</v>
      </c>
      <c r="C80" s="119">
        <f t="shared" si="11"/>
        <v>0.57902571850742046</v>
      </c>
      <c r="D80" s="119">
        <f t="shared" si="11"/>
        <v>0.67219685140465091</v>
      </c>
      <c r="E80" s="119">
        <f t="shared" si="11"/>
        <v>0.77608046657248142</v>
      </c>
      <c r="F80" s="119">
        <f t="shared" si="11"/>
        <v>0.29494438587313709</v>
      </c>
      <c r="G80" s="300"/>
      <c r="H80" s="300"/>
      <c r="I80" s="300"/>
      <c r="J80" s="300"/>
      <c r="K80" s="300"/>
      <c r="L80" s="300"/>
    </row>
    <row r="81" spans="1:12" ht="13.15">
      <c r="A81" s="131">
        <v>8</v>
      </c>
      <c r="B81" s="119">
        <f t="shared" si="11"/>
        <v>0.91941466173798647</v>
      </c>
      <c r="C81" s="119">
        <f t="shared" si="11"/>
        <v>0.56989602636479231</v>
      </c>
      <c r="D81" s="119">
        <f t="shared" si="11"/>
        <v>0.67219685140465091</v>
      </c>
      <c r="E81" s="119">
        <f t="shared" si="11"/>
        <v>0.78816068551854346</v>
      </c>
      <c r="F81" s="119">
        <f t="shared" si="11"/>
        <v>0.26979420146695876</v>
      </c>
      <c r="G81" s="300"/>
      <c r="H81" s="300"/>
      <c r="I81" s="300"/>
      <c r="J81" s="300"/>
      <c r="K81" s="300"/>
      <c r="L81" s="300"/>
    </row>
    <row r="82" spans="1:12" ht="13.15">
      <c r="A82" s="131">
        <f t="shared" ref="A82" si="13">A64</f>
        <v>9</v>
      </c>
      <c r="B82" s="119">
        <f t="shared" si="11"/>
        <v>0.94625407469471512</v>
      </c>
      <c r="C82" s="119">
        <f t="shared" si="11"/>
        <v>0.56155374356779886</v>
      </c>
      <c r="D82" s="119">
        <f t="shared" si="11"/>
        <v>0.67219685140465091</v>
      </c>
      <c r="E82" s="119">
        <f t="shared" si="11"/>
        <v>0.799649565075637</v>
      </c>
      <c r="F82" s="119">
        <f t="shared" si="11"/>
        <v>0.24868915161562039</v>
      </c>
      <c r="G82" s="300"/>
      <c r="H82" s="300"/>
      <c r="I82" s="300"/>
      <c r="J82" s="300"/>
      <c r="K82" s="300"/>
      <c r="L82" s="300"/>
    </row>
    <row r="83" spans="1:12" ht="13.15">
      <c r="A83" s="131">
        <f t="shared" ref="A83:A87" si="14">A65</f>
        <v>10</v>
      </c>
      <c r="B83" s="119">
        <f t="shared" si="11"/>
        <v>0.97228017210730067</v>
      </c>
      <c r="C83" s="119">
        <f t="shared" si="11"/>
        <v>0.55393095835469519</v>
      </c>
      <c r="D83" s="119">
        <f t="shared" si="11"/>
        <v>0.67219685140465091</v>
      </c>
      <c r="E83" s="119">
        <f t="shared" si="11"/>
        <v>0.810576051927139</v>
      </c>
      <c r="F83" s="119">
        <f t="shared" si="11"/>
        <v>0.23097862027183988</v>
      </c>
      <c r="G83" s="300"/>
      <c r="H83" s="300"/>
      <c r="I83" s="300"/>
      <c r="J83" s="300"/>
      <c r="K83" s="300"/>
      <c r="L83" s="300"/>
    </row>
    <row r="84" spans="1:12" ht="13.15">
      <c r="A84" s="131">
        <f t="shared" si="14"/>
        <v>15</v>
      </c>
      <c r="B84" s="119">
        <f t="shared" si="11"/>
        <v>1.0910478642712429</v>
      </c>
      <c r="C84" s="119">
        <f t="shared" si="11"/>
        <v>0.52461548871336794</v>
      </c>
      <c r="D84" s="119">
        <f t="shared" si="11"/>
        <v>0.6721968514046508</v>
      </c>
      <c r="E84" s="119">
        <f t="shared" si="11"/>
        <v>0.8576903321173498</v>
      </c>
      <c r="F84" s="119">
        <f t="shared" si="11"/>
        <v>0.17702714949523338</v>
      </c>
      <c r="G84" s="300"/>
      <c r="H84" s="300"/>
      <c r="I84" s="300"/>
      <c r="J84" s="300"/>
      <c r="K84" s="300"/>
      <c r="L84" s="300"/>
    </row>
    <row r="85" spans="1:12" ht="13.15">
      <c r="A85" s="132">
        <f t="shared" si="14"/>
        <v>20</v>
      </c>
      <c r="B85" s="119">
        <f t="shared" si="11"/>
        <v>1.1928785128228476</v>
      </c>
      <c r="C85" s="119">
        <f t="shared" si="11"/>
        <v>0.50594134355885012</v>
      </c>
      <c r="D85" s="119">
        <f t="shared" si="11"/>
        <v>0.6721968514046508</v>
      </c>
      <c r="E85" s="119">
        <f t="shared" si="11"/>
        <v>0.89434817579524484</v>
      </c>
      <c r="F85" s="119">
        <f t="shared" si="11"/>
        <v>0.1545764781942488</v>
      </c>
      <c r="G85" s="300"/>
      <c r="H85" s="300"/>
      <c r="I85" s="300"/>
      <c r="J85" s="300"/>
      <c r="K85" s="300"/>
      <c r="L85" s="300"/>
    </row>
    <row r="86" spans="1:12" ht="13.15">
      <c r="A86" s="132">
        <f t="shared" si="14"/>
        <v>25</v>
      </c>
      <c r="B86" s="119">
        <f t="shared" si="11"/>
        <v>1.280187450089447</v>
      </c>
      <c r="C86" s="119">
        <f t="shared" si="11"/>
        <v>0.49404579143164179</v>
      </c>
      <c r="D86" s="119">
        <f t="shared" si="11"/>
        <v>0.6721968514046508</v>
      </c>
      <c r="E86" s="119">
        <f t="shared" si="11"/>
        <v>0.92287026077007195</v>
      </c>
      <c r="F86" s="119">
        <f t="shared" si="11"/>
        <v>0.14523414452642597</v>
      </c>
      <c r="G86" s="300"/>
      <c r="H86" s="300"/>
      <c r="I86" s="300"/>
      <c r="J86" s="300"/>
      <c r="K86" s="300"/>
      <c r="L86" s="300"/>
    </row>
    <row r="87" spans="1:12" ht="13.15">
      <c r="A87" s="132">
        <f t="shared" si="14"/>
        <v>30</v>
      </c>
      <c r="B87" s="119">
        <f t="shared" si="11"/>
        <v>1.3550455663348715</v>
      </c>
      <c r="C87" s="119">
        <f t="shared" si="11"/>
        <v>0.48646824722598919</v>
      </c>
      <c r="D87" s="119">
        <f t="shared" si="11"/>
        <v>0.67219685140465069</v>
      </c>
      <c r="E87" s="119">
        <f t="shared" si="11"/>
        <v>0.94506221888030273</v>
      </c>
      <c r="F87" s="119">
        <f t="shared" si="11"/>
        <v>0.14134654592454771</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0.45390820782787011</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0.72121347838989958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0.67219685140465091</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0.62501427787907882</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0.7720999743621092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D21" sqref="D2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0.72121347838989958</v>
      </c>
      <c r="F22" s="332">
        <f>1-F23-F24</f>
        <v>0.19999999999999996</v>
      </c>
      <c r="G22" s="332">
        <f>F22*(1-F$29-F$30)</f>
        <v>0.15999999999999995</v>
      </c>
    </row>
    <row r="23" spans="2:7">
      <c r="B23" s="306" t="s">
        <v>440</v>
      </c>
      <c r="C23" s="328">
        <v>0</v>
      </c>
      <c r="D23" s="329">
        <f>C18</f>
        <v>3</v>
      </c>
      <c r="E23" s="330">
        <f>DCF!E92</f>
        <v>0.67219685140465091</v>
      </c>
      <c r="F23" s="331">
        <v>0.55000000000000004</v>
      </c>
      <c r="G23" s="332">
        <f t="shared" ref="G23:G24" si="0">F23*(1-F$29-F$30)</f>
        <v>0.44</v>
      </c>
    </row>
    <row r="24" spans="2:7">
      <c r="B24" s="306" t="s">
        <v>449</v>
      </c>
      <c r="C24" s="328">
        <v>-0.02</v>
      </c>
      <c r="D24" s="329">
        <f>C18</f>
        <v>3</v>
      </c>
      <c r="E24" s="330">
        <f>DCF!E93</f>
        <v>0.62501427787907882</v>
      </c>
      <c r="F24" s="331">
        <v>0.25</v>
      </c>
      <c r="G24" s="332">
        <f t="shared" si="0"/>
        <v>0.19999999999999998</v>
      </c>
    </row>
    <row r="25" spans="2:7">
      <c r="B25" s="141" t="s">
        <v>454</v>
      </c>
      <c r="C25" s="446">
        <f>E23*F23+E24*F24+E22*F22</f>
        <v>0.67020453342030761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0.45390820782787011</v>
      </c>
      <c r="F29" s="331">
        <v>0.15</v>
      </c>
      <c r="G29" s="332">
        <f>F29</f>
        <v>0.15</v>
      </c>
    </row>
    <row r="30" spans="2:7">
      <c r="B30" s="319" t="s">
        <v>450</v>
      </c>
      <c r="C30" s="328">
        <v>0.04</v>
      </c>
      <c r="D30" s="329">
        <f>C18</f>
        <v>3</v>
      </c>
      <c r="E30" s="330">
        <f>DCF!E94</f>
        <v>0.7720999743621092</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0.45</v>
      </c>
      <c r="D34" t="str">
        <f>Market_currency</f>
        <v>HKD</v>
      </c>
      <c r="E34" s="97" t="s">
        <v>457</v>
      </c>
      <c r="F34" s="334">
        <f>RATE(Holding_Period,$C$33,-C34,$C$36)</f>
        <v>0.17996939953838226</v>
      </c>
    </row>
    <row r="35" spans="2:7">
      <c r="B35" s="97" t="s">
        <v>437</v>
      </c>
      <c r="C35" s="324">
        <f>DCF!C11</f>
        <v>0.67219685140465046</v>
      </c>
      <c r="D35" s="97" t="str">
        <f>Market_currency</f>
        <v>HKD</v>
      </c>
      <c r="E35" s="97" t="s">
        <v>457</v>
      </c>
      <c r="F35" s="334">
        <f>RATE(Holding_Period,$C$33,-C35,$C$36)</f>
        <v>2.5988175323389061E-2</v>
      </c>
    </row>
    <row r="36" spans="2:7">
      <c r="B36" s="97" t="s">
        <v>438</v>
      </c>
      <c r="C36" s="325">
        <f>E22*G22+E23*G23+E24*G24+E30*G30+E29*G29</f>
        <v>0.64285485662853192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-1.1861621958951121E-2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-1.1861621958951121E-2</v>
      </c>
      <c r="D46" s="138"/>
      <c r="E46" s="221" t="s">
        <v>252</v>
      </c>
    </row>
    <row r="47" spans="2:7">
      <c r="B47" s="97" t="s">
        <v>96</v>
      </c>
      <c r="C47" s="146">
        <f>DCF!I18</f>
        <v>0.64399474239992138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Y</v>
      </c>
      <c r="E53" s="126" t="s">
        <v>273</v>
      </c>
      <c r="F53" s="252">
        <f>BS!D89/C36</f>
        <v>0.8715329884337637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0.29624647770900098</v>
      </c>
      <c r="E62" s="336">
        <f>C62+D62</f>
        <v>0.34565247026397422</v>
      </c>
      <c r="F62" s="305">
        <f>Thesis!E22</f>
        <v>0.29465259038036606</v>
      </c>
      <c r="G62" s="445">
        <f>(1-E62/C36)</f>
        <v>0.46231646739552212</v>
      </c>
    </row>
    <row r="63" spans="2:7" ht="13.15">
      <c r="B63" s="306" t="s">
        <v>313</v>
      </c>
      <c r="C63" s="119">
        <f>PV(F63, Holding_Period, -C58, 0)</f>
        <v>5.6808106576265109E-2</v>
      </c>
      <c r="D63" s="119">
        <f>C36/(1+F63)^Holding_Period</f>
        <v>0.37132410491178752</v>
      </c>
      <c r="E63" s="336">
        <f>C63+D63</f>
        <v>0.42813221148805264</v>
      </c>
      <c r="F63" s="305">
        <f>Thesis!E23</f>
        <v>0.20075184365903009</v>
      </c>
      <c r="G63" s="445">
        <f>(1-E63/C36)</f>
        <v>0.33401419142510247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0.46077289968854113</v>
      </c>
      <c r="E66" s="336">
        <f>C66+D66</f>
        <v>0.52591318408888466</v>
      </c>
      <c r="F66" s="305">
        <f>Thesis!E24</f>
        <v>0.1174</v>
      </c>
      <c r="G66" s="445">
        <f>(1-E66/C36)</f>
        <v>0.18190991533135603</v>
      </c>
    </row>
    <row r="67" spans="2:7" ht="13.15">
      <c r="B67" s="306" t="s">
        <v>314</v>
      </c>
      <c r="C67" s="119">
        <f>PV(F67, Holding_Period, -C58, 0)</f>
        <v>7.0534131133671435E-2</v>
      </c>
      <c r="D67" s="119">
        <f>C36/(1+F67)^Holding_Period</f>
        <v>0.52109994422452466</v>
      </c>
      <c r="E67" s="336">
        <f>C67+D67</f>
        <v>0.59163407535819612</v>
      </c>
      <c r="F67" s="305">
        <f>Thesis!E25</f>
        <v>7.2499999999999995E-2</v>
      </c>
      <c r="G67" s="445">
        <f>(1-E67/C36)</f>
        <v>7.9677054224906119E-2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0.45</v>
      </c>
    </row>
    <row r="9" spans="1:10">
      <c r="B9" s="355" t="s">
        <v>361</v>
      </c>
      <c r="C9" s="357">
        <f>Common_Shares</f>
        <v>5183714855</v>
      </c>
    </row>
    <row r="10" spans="1:10">
      <c r="B10" s="355" t="s">
        <v>367</v>
      </c>
      <c r="C10" s="361">
        <f>投资主题!C8*Common_Shares/1000000</f>
        <v>2332.6716847500002</v>
      </c>
      <c r="D10" s="347" t="s">
        <v>531</v>
      </c>
      <c r="E10" s="364">
        <f>Scenarios!F34</f>
        <v>0.17996939953838226</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1.1013227999999999</v>
      </c>
    </row>
    <row r="17" spans="1:6">
      <c r="B17" s="347" t="s">
        <v>537</v>
      </c>
      <c r="C17" s="429">
        <f>Terminal_Growth</f>
        <v>0</v>
      </c>
      <c r="D17" s="355" t="s">
        <v>339</v>
      </c>
      <c r="E17" s="348" t="str">
        <f>Reporting_currency</f>
        <v>CNY</v>
      </c>
    </row>
    <row r="18" spans="1:6">
      <c r="B18" s="347" t="str">
        <f>"预期股权价值 ("&amp;C7&amp;") :"</f>
        <v>预期股权价值 (HKD) :</v>
      </c>
      <c r="C18" s="363">
        <f>C125</f>
        <v>0.64285485662853192</v>
      </c>
      <c r="D18" s="354" t="s">
        <v>362</v>
      </c>
      <c r="E18" s="431">
        <f>Thesis!E18</f>
        <v>6</v>
      </c>
    </row>
    <row r="19" spans="1:6">
      <c r="B19" s="354" t="s">
        <v>335</v>
      </c>
      <c r="C19" s="356" t="str">
        <f>IF(Scenarios!C50="Y",Scenarios!B50,"")&amp;IF(Scenarios!C51="Y",Scenarios!B51,"")&amp;IF(Scenarios!C52="Y",Scenarios!B52,"")&amp;" "&amp;IF(Scenarios!C53="Y",Scenarios!B53,"")</f>
        <v>Negative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0.34565247026397422</v>
      </c>
      <c r="D22" s="369" t="s">
        <v>443</v>
      </c>
      <c r="E22" s="370">
        <f>Thesis!E22</f>
        <v>0.29465259038036606</v>
      </c>
    </row>
    <row r="23" spans="1:6">
      <c r="B23" s="347" t="s">
        <v>341</v>
      </c>
      <c r="C23" s="371">
        <f>E141</f>
        <v>0.42813221148805264</v>
      </c>
      <c r="D23" s="369" t="s">
        <v>444</v>
      </c>
      <c r="E23" s="372">
        <f>Thesis!E23</f>
        <v>0.20075184365903009</v>
      </c>
    </row>
    <row r="24" spans="1:6">
      <c r="B24" s="347" t="s">
        <v>343</v>
      </c>
      <c r="C24" s="371">
        <f>E144</f>
        <v>0.52591318408888466</v>
      </c>
      <c r="D24" s="369" t="s">
        <v>446</v>
      </c>
      <c r="E24" s="372">
        <f>Thesis!E24</f>
        <v>0.1174</v>
      </c>
    </row>
    <row r="25" spans="1:6">
      <c r="B25" s="347" t="s">
        <v>342</v>
      </c>
      <c r="C25" s="371">
        <f>E145</f>
        <v>0.59163407535819612</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0.11783600222796822</v>
      </c>
      <c r="F62" s="383"/>
    </row>
    <row r="63" spans="2:6">
      <c r="B63" s="381" t="s">
        <v>332</v>
      </c>
      <c r="C63" s="382">
        <f>Normalized_FCF!C92</f>
        <v>0.06</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-1457859</v>
      </c>
      <c r="D78" s="347" t="str">
        <f>Reporting_currency</f>
        <v>CNY</v>
      </c>
    </row>
    <row r="79" spans="1:6">
      <c r="B79" s="376" t="s">
        <v>234</v>
      </c>
      <c r="C79" s="391">
        <f>C78*scaling_factor*Exchange_Rate/Common_Shares</f>
        <v>-0.30973411940985324</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0.25018466633859132</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3.50428578178419E-4</v>
      </c>
      <c r="D90" s="347" t="str">
        <f>Market_currency</f>
        <v>HKD</v>
      </c>
    </row>
    <row r="92" spans="1:6">
      <c r="B92" s="376" t="s">
        <v>483</v>
      </c>
      <c r="C92" s="391">
        <f>DCF!F8</f>
        <v>-5.9199024493083445E-2</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0.58458727416093559</v>
      </c>
      <c r="D111" s="347" t="str">
        <f>Market_currency</f>
        <v>HKD</v>
      </c>
    </row>
    <row r="112" spans="1:6">
      <c r="A112" s="389"/>
      <c r="B112" s="376" t="s">
        <v>377</v>
      </c>
      <c r="C112" s="398">
        <f>DCF!C11</f>
        <v>0.67219685140465046</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0.45 HKD</v>
      </c>
      <c r="F118" s="403">
        <f>DCF!F90</f>
        <v>0.15</v>
      </c>
    </row>
    <row r="119" spans="1:6">
      <c r="A119" s="389"/>
      <c r="B119" s="404" t="str">
        <f>DCF!B91</f>
        <v>Optimistic</v>
      </c>
      <c r="C119" s="405">
        <f>DCF!C91</f>
        <v>0.02</v>
      </c>
      <c r="D119" s="406">
        <f>DCF!D91</f>
        <v>3</v>
      </c>
      <c r="E119" s="402" t="str">
        <f>ROUND(DCF!E91,2)&amp;" "&amp;Market_currency</f>
        <v>0.72 HKD</v>
      </c>
      <c r="F119" s="407">
        <f>DCF!F91</f>
        <v>0.15999999999999995</v>
      </c>
    </row>
    <row r="120" spans="1:6">
      <c r="B120" s="404" t="str">
        <f>DCF!B92</f>
        <v>Base</v>
      </c>
      <c r="C120" s="405">
        <f>DCF!C92</f>
        <v>0</v>
      </c>
      <c r="D120" s="406">
        <f>DCF!D92</f>
        <v>3</v>
      </c>
      <c r="E120" s="402" t="str">
        <f>ROUND(DCF!E92,2)&amp;" "&amp;Market_currency</f>
        <v>0.67 HKD</v>
      </c>
      <c r="F120" s="407">
        <f>DCF!F92</f>
        <v>0.44</v>
      </c>
    </row>
    <row r="121" spans="1:6">
      <c r="B121" s="404" t="str">
        <f>DCF!B93</f>
        <v>Pessimistic</v>
      </c>
      <c r="C121" s="405">
        <f>DCF!C93</f>
        <v>-0.02</v>
      </c>
      <c r="D121" s="406">
        <f>DCF!D93</f>
        <v>3</v>
      </c>
      <c r="E121" s="402" t="str">
        <f>ROUND(DCF!E93,2)&amp;" "&amp;Market_currency</f>
        <v>0.63 HKD</v>
      </c>
      <c r="F121" s="407">
        <f>DCF!F93</f>
        <v>0.19999999999999998</v>
      </c>
    </row>
    <row r="122" spans="1:6">
      <c r="B122" s="404" t="str">
        <f>DCF!B94</f>
        <v>Devil's advocate</v>
      </c>
      <c r="C122" s="405">
        <f>DCF!C94</f>
        <v>0.04</v>
      </c>
      <c r="D122" s="406">
        <f>DCF!D94</f>
        <v>3</v>
      </c>
      <c r="E122" s="402" t="str">
        <f>ROUND(DCF!E94,2)&amp;" "&amp;Market_currency</f>
        <v>0.77 HKD</v>
      </c>
      <c r="F122" s="407">
        <f>DCF!F94</f>
        <v>0.05</v>
      </c>
    </row>
    <row r="124" spans="1:6">
      <c r="B124" s="466" t="s">
        <v>521</v>
      </c>
      <c r="C124" s="466"/>
      <c r="D124" s="466"/>
      <c r="E124" s="466"/>
      <c r="F124" s="466"/>
    </row>
    <row r="125" spans="1:6">
      <c r="B125" s="376" t="s">
        <v>218</v>
      </c>
      <c r="C125" s="408">
        <f>Scenarios!C36</f>
        <v>0.64285485662853192</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0.29624647770900098</v>
      </c>
      <c r="E140" s="414">
        <f>Scenarios!E62</f>
        <v>0.34565247026397422</v>
      </c>
      <c r="F140" s="415">
        <f>E22</f>
        <v>0.29465259038036606</v>
      </c>
    </row>
    <row r="141" spans="1:6">
      <c r="B141" s="412" t="s">
        <v>313</v>
      </c>
      <c r="C141" s="413">
        <f>Scenarios!C63</f>
        <v>5.6808106576265109E-2</v>
      </c>
      <c r="D141" s="413">
        <f>Scenarios!D63</f>
        <v>0.37132410491178752</v>
      </c>
      <c r="E141" s="414">
        <f>Scenarios!E63</f>
        <v>0.42813221148805264</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0.46077289968854113</v>
      </c>
      <c r="E144" s="414">
        <f>Scenarios!E66</f>
        <v>0.52591318408888466</v>
      </c>
      <c r="F144" s="415">
        <f>E24</f>
        <v>0.1174</v>
      </c>
    </row>
    <row r="145" spans="1:6">
      <c r="B145" s="412" t="s">
        <v>314</v>
      </c>
      <c r="C145" s="413">
        <f>Scenarios!C67</f>
        <v>7.0534131133671435E-2</v>
      </c>
      <c r="D145" s="413">
        <f>Scenarios!D67</f>
        <v>0.52109994422452466</v>
      </c>
      <c r="E145" s="414">
        <f>Scenarios!E67</f>
        <v>0.59163407535819612</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