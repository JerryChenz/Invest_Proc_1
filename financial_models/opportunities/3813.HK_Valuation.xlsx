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96C4FE-B864-48EB-AA67-A420171E5C0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G4"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<sst xmlns="http://schemas.openxmlformats.org/spreadsheetml/2006/main" count="768" uniqueCount="558">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</sst>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45954</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0.48499999999999999</v>
      </c>
      <c r="E8" s="32"/>
    </row>
    <row r="9" spans="1:9">
      <c r="B9" s="4" t="s">
        <v>346</v>
      </c>
      <c r="C9" s="48">
        <v>5183714855</v>
      </c>
    </row>
    <row r="10" spans="1:9">
      <c r="B10" s="4" t="s">
        <v>352</v>
      </c>
      <c r="C10" s="33">
        <f>Thesis!C8*Common_Shares/1000000</f>
        <v>2514.1017046749998</v>
      </c>
      <c r="D10" s="1" t="s">
        <v>527</v>
      </c>
      <c r="E10" s="303">
        <f>Scenarios!F34</f>
        <v>0.15788816581377163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1.1204719901561737</v>
      </c>
    </row>
    <row r="17" spans="1:6">
      <c r="B17" s="1" t="s">
        <v>531</v>
      </c>
      <c r="C17" s="456">
        <v>0</v>
      </c>
      <c r="D17" s="4" t="s">
        <v>274</v>
      </c>
      <c r="E17" s="224" t="s">
        <v>557</v>
      </c>
    </row>
    <row r="18" spans="1:6">
      <c r="B18" s="1" t="str">
        <f>"Expected Equity Value ("&amp;C7&amp;") :"</f>
        <v>Expected Equity Value (HKD) :</v>
      </c>
      <c r="C18" s="252">
        <f>C125</f>
        <v>0.65844541681896729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0.3528370602134836</v>
      </c>
      <c r="D22" s="38" t="s">
        <v>406</v>
      </c>
      <c r="E22" s="79">
        <v>0.29465259038036606</v>
      </c>
    </row>
    <row r="23" spans="1:6">
      <c r="B23" s="1" t="s">
        <v>313</v>
      </c>
      <c r="C23" s="256">
        <f>E141</f>
        <v>0.43713758921537993</v>
      </c>
      <c r="D23" s="38" t="s">
        <v>407</v>
      </c>
      <c r="E23" s="443">
        <v>0.20075184365903009</v>
      </c>
    </row>
    <row r="24" spans="1:6">
      <c r="B24" s="1" t="s">
        <v>315</v>
      </c>
      <c r="C24" s="256">
        <f>E144</f>
        <v>0.537087880138302</v>
      </c>
      <c r="D24" s="38" t="s">
        <v>408</v>
      </c>
      <c r="E24" s="443">
        <v>0.1174</v>
      </c>
    </row>
    <row r="25" spans="1:6">
      <c r="B25" s="1" t="s">
        <v>314</v>
      </c>
      <c r="C25" s="256">
        <f>E145</f>
        <v>0.60427182704023641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410704.412090078</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15165.608361299935</v>
      </c>
      <c r="D44" s="1" t="str">
        <f>Reporting_currency</f>
        <v>CNY</v>
      </c>
      <c r="E44" s="244"/>
      <c r="F44" s="244"/>
    </row>
    <row r="45" spans="2:6">
      <c r="B45" s="44" t="s">
        <v>268</v>
      </c>
      <c r="C45" s="286">
        <f>Normalized_FCF!C45</f>
        <v>-72892.95</v>
      </c>
      <c r="D45" s="1" t="str">
        <f>Reporting_currency</f>
        <v>CNY</v>
      </c>
      <c r="E45" s="244"/>
      <c r="F45" s="244"/>
    </row>
    <row r="46" spans="2:6">
      <c r="B46" s="44" t="s">
        <v>203</v>
      </c>
      <c r="C46" s="285">
        <f>Normalized_FCF!C10</f>
        <v>-57727.341638700062</v>
      </c>
      <c r="D46" s="1" t="str">
        <f>Reporting_currency</f>
        <v>CNY</v>
      </c>
    </row>
    <row r="48" spans="2:6">
      <c r="B48" s="1" t="s">
        <v>211</v>
      </c>
    </row>
    <row r="49" spans="2:6">
      <c r="B49" s="44" t="s">
        <v>223</v>
      </c>
      <c r="C49" s="285">
        <f>Normalized_FCF!C13</f>
        <v>-15148.661076173323</v>
      </c>
      <c r="D49" s="1" t="str">
        <f>Reporting_currency</f>
        <v>CNY</v>
      </c>
    </row>
    <row r="51" spans="2:6">
      <c r="B51" s="461" t="s">
        <v>206</v>
      </c>
      <c r="C51" s="461"/>
      <c r="D51" s="461"/>
      <c r="E51" s="461"/>
      <c r="F51" s="461"/>
    </row>
    <row r="52" spans="2:6">
      <c r="B52" s="44" t="s">
        <v>204</v>
      </c>
      <c r="C52" s="285">
        <f>Normalized_FCF!C12</f>
        <v>-88244.267612844487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184825.24568659026</v>
      </c>
      <c r="D60" s="1" t="str">
        <f>Reporting_currency</f>
        <v>CNY</v>
      </c>
    </row>
    <row r="61" spans="2:6">
      <c r="B61" s="44" t="s">
        <v>213</v>
      </c>
      <c r="C61" s="285">
        <f>Normalized_FCF!C19</f>
        <v>249584.14176236014</v>
      </c>
      <c r="D61" s="1" t="str">
        <f>Reporting_currency</f>
        <v>CNY</v>
      </c>
    </row>
    <row r="62" spans="2:6">
      <c r="B62" s="204" t="s">
        <v>302</v>
      </c>
      <c r="C62" s="89">
        <f>Normalized_FCF!C124</f>
        <v>0.11123338388096082</v>
      </c>
      <c r="F62" s="257"/>
    </row>
    <row r="63" spans="2:6">
      <c r="B63" s="204" t="s">
        <v>332</v>
      </c>
      <c r="C63" s="89">
        <f>Normalized_FCF!C92</f>
        <v>5.5670103092783509E-2</v>
      </c>
      <c r="E63" s="44" t="s">
        <v>322</v>
      </c>
      <c r="F63" s="258">
        <f>Normalized_FCF!C90</f>
        <v>0.62308223812580676</v>
      </c>
    </row>
    <row r="65" spans="1:6">
      <c r="B65" s="192" t="s">
        <v>325</v>
      </c>
      <c r="C65" s="264" t="s">
        <v>327</v>
      </c>
      <c r="D65" s="264" t="s">
        <v>328</v>
      </c>
    </row>
    <row r="66" spans="1:6">
      <c r="B66" s="44" t="s">
        <v>326</v>
      </c>
      <c r="C66" s="89">
        <f>Normalized_FCF!E119</f>
        <v>3.931859133292645E-2</v>
      </c>
      <c r="D66" s="89">
        <f>Normalized_FCF!G119</f>
        <v>4.2499836331200143E-2</v>
      </c>
    </row>
    <row r="67" spans="1:6">
      <c r="B67" s="229" t="str">
        <f>Normalized_FCF!B116</f>
        <v>Pre-tax Profit/Sales</v>
      </c>
      <c r="C67" s="263">
        <f>Normalized_FCF!E116</f>
        <v>1.9127481481925439E-2</v>
      </c>
      <c r="D67" s="263">
        <f>Normalized_FCF!G116</f>
        <v>2.0675075196021478E-2</v>
      </c>
    </row>
    <row r="68" spans="1:6">
      <c r="B68" s="229" t="str">
        <f>Normalized_FCF!B117</f>
        <v>Sales/Total Assets</v>
      </c>
      <c r="C68" s="265">
        <f>Normalized_FCF!E117</f>
        <v>1.4656521003611329</v>
      </c>
      <c r="D68" s="265">
        <f>Normalized_FCF!G117</f>
        <v>1.4656521003611329</v>
      </c>
    </row>
    <row r="69" spans="1:6">
      <c r="B69" s="229" t="str">
        <f>Normalized_FCF!B118</f>
        <v>Total Assets/Equity</v>
      </c>
      <c r="C69" s="265">
        <f>Normalized_FCF!E118</f>
        <v>1.4025206525126881</v>
      </c>
      <c r="D69" s="265">
        <f>Normalized_FCF!G118</f>
        <v>1.4025206525126881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-1457859</v>
      </c>
      <c r="D78" s="1" t="str">
        <f>Reporting_currency</f>
        <v>CNY</v>
      </c>
    </row>
    <row r="79" spans="1:6">
      <c r="A79" s="191"/>
      <c r="B79" s="44" t="s">
        <v>234</v>
      </c>
      <c r="C79" s="201">
        <f>C78*scaling_factor*Exchange_Rate/Common_Shares</f>
        <v>-0.31511960452868876</v>
      </c>
      <c r="D79" s="1" t="str">
        <f>Market_currency</f>
        <v>HKD</v>
      </c>
    </row>
    <row r="80" spans="1:6">
      <c r="A80" s="191"/>
      <c r="B80" s="229" t="s">
        <v>309</v>
      </c>
      <c r="C80" s="337">
        <f>IF(BS!G31/BS!G27&gt;300%,"nm",BS!G31/BS!G27)</f>
        <v>0.16239287772638675</v>
      </c>
    </row>
    <row r="81" spans="1:6">
      <c r="A81" s="191"/>
      <c r="B81" s="229" t="s">
        <v>311</v>
      </c>
      <c r="C81" s="338">
        <f>IF(BS!C50&gt;30,"nm",BS!C50)</f>
        <v>3.5496550732945478</v>
      </c>
    </row>
    <row r="82" spans="1:6">
      <c r="A82" s="191"/>
    </row>
    <row r="83" spans="1:6">
      <c r="A83" s="191"/>
      <c r="B83" s="1" t="s">
        <v>466</v>
      </c>
    </row>
    <row r="84" spans="1:6">
      <c r="A84" s="191"/>
      <c r="B84" s="1" t="s">
        <v>224</v>
      </c>
      <c r="C84" s="285">
        <f>DCF!F5</f>
        <v>1177571.1638700066</v>
      </c>
      <c r="D84" s="1" t="str">
        <f>Reporting_currency</f>
        <v>CNY</v>
      </c>
    </row>
    <row r="85" spans="1:6">
      <c r="A85" s="191"/>
      <c r="B85" s="229" t="s">
        <v>222</v>
      </c>
      <c r="C85" s="291">
        <f>BS!C66</f>
        <v>2694132</v>
      </c>
      <c r="D85" s="339" t="str">
        <f>Reporting_currency</f>
        <v>CNY</v>
      </c>
    </row>
    <row r="86" spans="1:6">
      <c r="A86" s="191"/>
      <c r="B86" s="44" t="s">
        <v>235</v>
      </c>
      <c r="C86" s="201">
        <f>C84*scaling_factor*Exchange_Rate/Common_Shares</f>
        <v>0.25453473858795966</v>
      </c>
      <c r="D86" s="1" t="str">
        <f>Market_currency</f>
        <v>HKD</v>
      </c>
    </row>
    <row r="87" spans="1:6">
      <c r="A87" s="191"/>
    </row>
    <row r="88" spans="1:6">
      <c r="A88" s="191"/>
      <c r="B88" s="1" t="s">
        <v>216</v>
      </c>
    </row>
    <row r="89" spans="1:6">
      <c r="A89" s="191"/>
      <c r="B89" s="1" t="s">
        <v>217</v>
      </c>
      <c r="C89" s="285">
        <f>DCF!F6</f>
        <v>1649.3999999999999</v>
      </c>
      <c r="D89" s="1" t="str">
        <f>Reporting_currency</f>
        <v>CNY</v>
      </c>
    </row>
    <row r="90" spans="1:6">
      <c r="A90" s="191"/>
      <c r="B90" s="44" t="s">
        <v>236</v>
      </c>
      <c r="C90" s="201">
        <f>C89*scaling_factor*Exchange_Rate/Common_Shares</f>
        <v>3.5652163598099622E-4</v>
      </c>
      <c r="D90" s="1" t="str">
        <f>Market_currency</f>
        <v>HKD</v>
      </c>
    </row>
    <row r="91" spans="1:6">
      <c r="A91" s="191"/>
    </row>
    <row r="92" spans="1:6">
      <c r="A92" s="191"/>
      <c r="B92" s="44" t="s">
        <v>469</v>
      </c>
      <c r="C92" s="216">
        <f>DCF!F8</f>
        <v>-6.0228344304748153E-2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0.59475175352682819</v>
      </c>
      <c r="D111" s="1" t="str">
        <f>Market_currency</f>
        <v>HKD</v>
      </c>
    </row>
    <row r="112" spans="2:6">
      <c r="B112" s="44" t="s">
        <v>323</v>
      </c>
      <c r="C112" s="216">
        <f>DCF!C11</f>
        <v>0.68388463751961048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-0.1</v>
      </c>
      <c r="D118" s="207" t="str">
        <f>ROUND(DCF!E90,2)&amp;" "&amp;Market_currency</f>
        <v>0.49 HKD</v>
      </c>
      <c r="E118" s="208">
        <f>DCF!F90</f>
        <v>0.15</v>
      </c>
      <c r="F118" s="208">
        <f>RATE(Holding_Period,Scenarios!C$58,-DCF!E90,C$18)</f>
        <v>0.14996354357783223</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6.1870333466105239E-3</v>
      </c>
    </row>
    <row r="120" spans="2:6">
      <c r="B120" s="205" t="str">
        <f>DCF!B92&amp;" ("&amp;DCF!D92&amp;"yrs)"</f>
        <v>Base (3yrs)</v>
      </c>
      <c r="C120" s="198">
        <f>DCF!C92</f>
        <v>0</v>
      </c>
      <c r="D120" s="207" t="str">
        <f>ROUND(DCF!E92,2)&amp;" "&amp;Market_currency</f>
        <v>0.68 HKD</v>
      </c>
      <c r="E120" s="199">
        <f>DCF!F92</f>
        <v>0.44</v>
      </c>
      <c r="F120" s="208">
        <f>RATE(Holding_Period,Scenarios!C$58,-DCF!E92,C$18)</f>
        <v>2.7414768245059451E-2</v>
      </c>
    </row>
    <row r="121" spans="2:6">
      <c r="B121" s="205" t="str">
        <f>DCF!B93&amp;" ("&amp;DCF!D93&amp;"yrs)"</f>
        <v>Pessimistic (3yrs)</v>
      </c>
      <c r="C121" s="198">
        <f>DCF!C93</f>
        <v>-0.02</v>
      </c>
      <c r="D121" s="207" t="str">
        <f>ROUND(DCF!E93,2)&amp;" "&amp;Market_currency</f>
        <v>0.64 HKD</v>
      </c>
      <c r="E121" s="199">
        <f>DCF!F93</f>
        <v>0.19999999999999998</v>
      </c>
      <c r="F121" s="208">
        <f>RATE(Holding_Period,Scenarios!C$58,-DCF!E93,C$18)</f>
        <v>4.9625761088279104E-2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-1.4125954931230545E-2</v>
      </c>
    </row>
    <row r="124" spans="2:6">
      <c r="B124" s="461" t="s">
        <v>357</v>
      </c>
      <c r="C124" s="461"/>
      <c r="D124" s="461"/>
      <c r="E124" s="461"/>
      <c r="F124" s="461"/>
    </row>
    <row r="125" spans="2:6">
      <c r="B125" s="193" t="s">
        <v>218</v>
      </c>
      <c r="C125" s="197">
        <f>Scenarios!C36</f>
        <v>0.65844541681896729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4.9405992554973223E-2</v>
      </c>
      <c r="D140" s="333">
        <f>Scenarios!D62</f>
        <v>0.30343106765851036</v>
      </c>
      <c r="E140" s="334">
        <f>Scenarios!E62</f>
        <v>0.3528370602134836</v>
      </c>
      <c r="F140" s="335">
        <f>E22</f>
        <v>0.29465259038036606</v>
      </c>
    </row>
    <row r="141" spans="1:6">
      <c r="B141" s="336" t="s">
        <v>313</v>
      </c>
      <c r="C141" s="333">
        <f>Scenarios!C63</f>
        <v>5.6808106576265109E-2</v>
      </c>
      <c r="D141" s="333">
        <f>Scenarios!D63</f>
        <v>0.38032948263911481</v>
      </c>
      <c r="E141" s="334">
        <f>Scenarios!E63</f>
        <v>0.43713758921537993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6.5140284400343515E-2</v>
      </c>
      <c r="D144" s="333">
        <f>Scenarios!D66</f>
        <v>0.47194759573795853</v>
      </c>
      <c r="E144" s="334">
        <f>Scenarios!E66</f>
        <v>0.537087880138302</v>
      </c>
      <c r="F144" s="335">
        <f>E24</f>
        <v>0.1174</v>
      </c>
    </row>
    <row r="145" spans="1:6">
      <c r="B145" s="336" t="s">
        <v>314</v>
      </c>
      <c r="C145" s="333">
        <f>Scenarios!C67</f>
        <v>7.0534131133671435E-2</v>
      </c>
      <c r="D145" s="333">
        <f>Scenarios!D67</f>
        <v>0.53373769590656495</v>
      </c>
      <c r="E145" s="334">
        <f>Scenarios!E67</f>
        <v>0.60427182704023641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18453923</v>
      </c>
      <c r="D4" s="287">
        <v>20064497</v>
      </c>
      <c r="E4" s="287">
        <v>18638021</v>
      </c>
      <c r="F4" s="287">
        <v>23350235</v>
      </c>
      <c r="G4" s="287">
        <v>25611125</v>
      </c>
      <c r="H4" s="287">
        <v>27189765</v>
      </c>
      <c r="I4" s="287">
        <v>22677375</v>
      </c>
      <c r="J4" s="287">
        <v>18833313</v>
      </c>
      <c r="K4" s="287">
        <v>16236384</v>
      </c>
      <c r="L4" s="287">
        <v>2300174</v>
      </c>
      <c r="M4" s="287"/>
    </row>
    <row r="5" spans="2:13">
      <c r="B5" s="38" t="s">
        <v>40</v>
      </c>
      <c r="C5" s="287">
        <v>12144973</v>
      </c>
      <c r="D5" s="287">
        <v>13308517</v>
      </c>
      <c r="E5" s="287">
        <v>11949975</v>
      </c>
      <c r="F5" s="287">
        <v>15050952</v>
      </c>
      <c r="G5" s="287">
        <v>17784820</v>
      </c>
      <c r="H5" s="287">
        <v>17914296</v>
      </c>
      <c r="I5" s="287">
        <v>15078824</v>
      </c>
      <c r="J5" s="287">
        <v>12239725</v>
      </c>
      <c r="K5" s="287">
        <v>10467944</v>
      </c>
      <c r="L5" s="287">
        <v>1534115</v>
      </c>
      <c r="M5" s="287"/>
    </row>
    <row r="6" spans="2:13">
      <c r="B6" s="38" t="s">
        <v>51</v>
      </c>
      <c r="C6" s="287">
        <v>5887751</v>
      </c>
      <c r="D6" s="287">
        <v>6339969</v>
      </c>
      <c r="E6" s="287">
        <v>6616355</v>
      </c>
      <c r="F6" s="287">
        <v>7828843</v>
      </c>
      <c r="G6" s="287">
        <v>7505186</v>
      </c>
      <c r="H6" s="287">
        <v>8180843</v>
      </c>
      <c r="I6" s="287">
        <v>6912977</v>
      </c>
      <c r="J6" s="287">
        <v>6051222</v>
      </c>
      <c r="K6" s="287">
        <v>5072462</v>
      </c>
      <c r="L6" s="287">
        <v>688319</v>
      </c>
      <c r="M6" s="287"/>
    </row>
    <row r="7" spans="2:13">
      <c r="B7" s="66" t="s">
        <v>58</v>
      </c>
      <c r="C7" s="288">
        <v>5136105</v>
      </c>
      <c r="D7" s="288">
        <v>5588228</v>
      </c>
      <c r="E7" s="288">
        <v>5806761</v>
      </c>
      <c r="F7" s="288">
        <v>6962403</v>
      </c>
      <c r="G7" s="288">
        <v>6741868</v>
      </c>
      <c r="H7" s="288">
        <v>7168952</v>
      </c>
      <c r="I7" s="288">
        <v>6099595</v>
      </c>
      <c r="J7" s="288">
        <v>5326027</v>
      </c>
      <c r="K7" s="288">
        <v>4415748</v>
      </c>
      <c r="L7" s="288">
        <v>592050</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67796</v>
      </c>
      <c r="D12" s="287">
        <v>92335</v>
      </c>
      <c r="E12" s="287">
        <v>166759</v>
      </c>
      <c r="F12" s="287">
        <v>202932</v>
      </c>
      <c r="G12" s="287"/>
      <c r="H12" s="287"/>
      <c r="I12" s="287"/>
      <c r="J12" s="287"/>
      <c r="K12" s="287"/>
      <c r="L12" s="287"/>
      <c r="M12" s="287"/>
    </row>
    <row r="13" spans="2:13">
      <c r="B13" s="38" t="s">
        <v>64</v>
      </c>
      <c r="C13" s="287">
        <v>49978</v>
      </c>
      <c r="D13" s="287">
        <v>37615</v>
      </c>
      <c r="E13" s="287">
        <v>22235</v>
      </c>
      <c r="F13" s="287">
        <v>28079</v>
      </c>
      <c r="G13" s="287"/>
      <c r="H13" s="287"/>
      <c r="I13" s="287"/>
      <c r="J13" s="287"/>
      <c r="K13" s="287"/>
      <c r="L13" s="287"/>
      <c r="M13" s="287"/>
    </row>
    <row r="14" spans="2:13">
      <c r="B14" s="38" t="s">
        <v>47</v>
      </c>
      <c r="C14" s="287">
        <v>190386</v>
      </c>
      <c r="D14" s="287">
        <v>153501</v>
      </c>
      <c r="E14" s="287">
        <v>162625</v>
      </c>
      <c r="F14" s="287">
        <v>198365</v>
      </c>
      <c r="G14" s="287">
        <v>118395</v>
      </c>
      <c r="H14" s="287">
        <v>344556</v>
      </c>
      <c r="I14" s="287">
        <v>261475</v>
      </c>
      <c r="J14" s="287">
        <v>242187</v>
      </c>
      <c r="K14" s="287">
        <v>262312</v>
      </c>
      <c r="L14" s="287">
        <v>23744</v>
      </c>
      <c r="M14" s="287"/>
    </row>
    <row r="15" spans="2:13">
      <c r="B15" s="41" t="s">
        <v>39</v>
      </c>
      <c r="C15" s="289">
        <v>497822</v>
      </c>
      <c r="D15" s="289">
        <v>503208</v>
      </c>
      <c r="E15" s="289">
        <v>100238</v>
      </c>
      <c r="F15" s="289">
        <v>375755</v>
      </c>
      <c r="G15" s="289">
        <v>314660</v>
      </c>
      <c r="H15" s="289">
        <v>879910</v>
      </c>
      <c r="I15" s="289">
        <v>560894</v>
      </c>
      <c r="J15" s="289">
        <v>415032</v>
      </c>
      <c r="K15" s="289">
        <v>569611</v>
      </c>
      <c r="L15" s="289">
        <v>62358</v>
      </c>
      <c r="M15" s="289"/>
    </row>
    <row r="16" spans="2:13">
      <c r="B16" s="27" t="s">
        <v>41</v>
      </c>
      <c r="C16" s="287">
        <v>6325</v>
      </c>
      <c r="D16" s="287">
        <v>12783</v>
      </c>
      <c r="E16" s="287">
        <v>11074</v>
      </c>
      <c r="F16" s="287">
        <v>19168</v>
      </c>
      <c r="G16" s="287">
        <v>11820</v>
      </c>
      <c r="H16" s="287">
        <v>46635</v>
      </c>
      <c r="I16" s="287">
        <v>18006</v>
      </c>
      <c r="J16" s="287">
        <v>20710</v>
      </c>
      <c r="K16" s="287">
        <v>9032</v>
      </c>
      <c r="L16" s="287">
        <v>-2140</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1184593</v>
      </c>
      <c r="D22" s="287">
        <v>3404158</v>
      </c>
      <c r="E22" s="287">
        <v>2666433</v>
      </c>
      <c r="F22" s="287">
        <v>1837298</v>
      </c>
      <c r="G22" s="287">
        <v>5119310</v>
      </c>
      <c r="H22" s="287">
        <v>1827467</v>
      </c>
      <c r="I22" s="287">
        <v>-6164</v>
      </c>
      <c r="J22" s="287">
        <v>-199686</v>
      </c>
      <c r="K22" s="287">
        <v>-11423</v>
      </c>
      <c r="L22" s="287">
        <v>145662</v>
      </c>
      <c r="M22" s="287"/>
    </row>
    <row r="23" spans="2:13">
      <c r="B23" s="26" t="s">
        <v>288</v>
      </c>
      <c r="C23" s="287">
        <v>-534366</v>
      </c>
      <c r="D23" s="287">
        <v>-1315296</v>
      </c>
      <c r="E23" s="287">
        <v>-219819</v>
      </c>
      <c r="F23" s="287">
        <v>-404136</v>
      </c>
      <c r="G23" s="287">
        <v>-924826</v>
      </c>
      <c r="H23" s="287">
        <v>-848106</v>
      </c>
      <c r="I23" s="287">
        <v>-506585</v>
      </c>
      <c r="J23" s="287">
        <v>-581652</v>
      </c>
      <c r="K23" s="287">
        <v>-399991</v>
      </c>
      <c r="L23" s="287">
        <v>-40644</v>
      </c>
      <c r="M23" s="287"/>
    </row>
    <row r="24" spans="2:13">
      <c r="B24" s="26" t="s">
        <v>287</v>
      </c>
      <c r="C24" s="287">
        <v>-1060204</v>
      </c>
      <c r="D24" s="287">
        <v>-1450739</v>
      </c>
      <c r="E24" s="287">
        <v>-2488075</v>
      </c>
      <c r="F24" s="287">
        <v>-1941359</v>
      </c>
      <c r="G24" s="287">
        <v>-3067379</v>
      </c>
      <c r="H24" s="287">
        <v>-1098004</v>
      </c>
      <c r="I24" s="287">
        <v>865363</v>
      </c>
      <c r="J24" s="287">
        <v>669415</v>
      </c>
      <c r="K24" s="287">
        <v>700549</v>
      </c>
      <c r="L24" s="287">
        <v>-118667</v>
      </c>
      <c r="M24" s="287"/>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546</v>
      </c>
    </row>
    <row r="28" spans="2:13">
      <c r="B28" s="25" t="s">
        <v>22</v>
      </c>
      <c r="C28" s="270">
        <f>BS!C4</f>
        <v>2009997</v>
      </c>
      <c r="D28" s="287">
        <v>978919</v>
      </c>
      <c r="E28" s="287">
        <v>862084</v>
      </c>
      <c r="F28" s="287">
        <v>1165003</v>
      </c>
      <c r="G28" s="287">
        <v>1702963</v>
      </c>
      <c r="H28" s="287">
        <v>1407523</v>
      </c>
      <c r="I28" s="287">
        <v>1739803</v>
      </c>
      <c r="J28" s="287">
        <v>1609167</v>
      </c>
      <c r="K28" s="287">
        <v>1292686</v>
      </c>
      <c r="L28" s="287">
        <v>176681</v>
      </c>
      <c r="M28" s="287"/>
    </row>
    <row r="29" spans="2:13">
      <c r="B29" s="25" t="s">
        <v>30</v>
      </c>
      <c r="C29" s="270">
        <f>BS!C6</f>
        <v>4865388</v>
      </c>
      <c r="D29" s="287">
        <v>4704713</v>
      </c>
      <c r="E29" s="287">
        <v>6071858</v>
      </c>
      <c r="F29" s="287">
        <v>7578037</v>
      </c>
      <c r="G29" s="287">
        <v>5869541</v>
      </c>
      <c r="H29" s="287">
        <v>8021487</v>
      </c>
      <c r="I29" s="287">
        <v>6694022</v>
      </c>
      <c r="J29" s="287">
        <v>5589344</v>
      </c>
      <c r="K29" s="287">
        <v>4400649</v>
      </c>
      <c r="L29" s="287">
        <v>594633</v>
      </c>
      <c r="M29" s="287"/>
    </row>
    <row r="30" spans="2:13">
      <c r="B30" s="28" t="s">
        <v>38</v>
      </c>
      <c r="C30" s="271">
        <f>BS!C33+BS!C42</f>
        <v>3613572</v>
      </c>
      <c r="D30" s="289">
        <v>4647092</v>
      </c>
      <c r="E30" s="289">
        <v>5404941</v>
      </c>
      <c r="F30" s="289">
        <v>8456784</v>
      </c>
      <c r="G30" s="289">
        <v>9146239</v>
      </c>
      <c r="H30" s="289">
        <v>9684704</v>
      </c>
      <c r="I30" s="289">
        <v>6201932</v>
      </c>
      <c r="J30" s="289">
        <v>5028581</v>
      </c>
      <c r="K30" s="289">
        <v>3910265</v>
      </c>
      <c r="L30" s="289">
        <v>425087</v>
      </c>
      <c r="M30" s="289"/>
    </row>
    <row r="31" spans="2:13">
      <c r="B31" s="28" t="s">
        <v>28</v>
      </c>
      <c r="C31" s="271">
        <f>BS!G27</f>
        <v>8977358</v>
      </c>
      <c r="D31" s="289">
        <v>8610581</v>
      </c>
      <c r="E31" s="289">
        <v>8193920</v>
      </c>
      <c r="F31" s="289">
        <v>8202196</v>
      </c>
      <c r="G31" s="289">
        <v>7876030</v>
      </c>
      <c r="H31" s="289">
        <v>7706078</v>
      </c>
      <c r="I31" s="289">
        <v>7035537</v>
      </c>
      <c r="J31" s="289">
        <v>6441529</v>
      </c>
      <c r="K31" s="289">
        <v>6133511</v>
      </c>
      <c r="L31" s="289">
        <v>876138</v>
      </c>
      <c r="M31" s="289"/>
    </row>
    <row r="32" spans="2:13">
      <c r="B32" s="25" t="s">
        <v>143</v>
      </c>
      <c r="C32" s="270">
        <f>BS!G28</f>
        <v>108802</v>
      </c>
      <c r="D32" s="287">
        <v>92450</v>
      </c>
      <c r="E32" s="287">
        <v>79667</v>
      </c>
      <c r="F32" s="287">
        <v>106732</v>
      </c>
      <c r="G32" s="287">
        <v>105829</v>
      </c>
      <c r="H32" s="287">
        <v>93504</v>
      </c>
      <c r="I32" s="287">
        <v>167970</v>
      </c>
      <c r="J32" s="287">
        <v>50837</v>
      </c>
      <c r="K32" s="287">
        <v>29980</v>
      </c>
      <c r="L32" s="287">
        <v>6897</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18453923</v>
      </c>
      <c r="D36" s="270">
        <f t="shared" si="1"/>
        <v>20064497</v>
      </c>
      <c r="E36" s="270">
        <f t="shared" si="1"/>
        <v>18638021</v>
      </c>
      <c r="F36" s="270">
        <f t="shared" si="1"/>
        <v>23350235</v>
      </c>
      <c r="G36" s="270">
        <f t="shared" si="1"/>
        <v>25611125</v>
      </c>
      <c r="H36" s="270">
        <f t="shared" si="1"/>
        <v>27189765</v>
      </c>
      <c r="I36" s="270">
        <f t="shared" si="1"/>
        <v>22677375</v>
      </c>
      <c r="J36" s="270">
        <f t="shared" si="1"/>
        <v>18833313</v>
      </c>
      <c r="K36" s="270">
        <f t="shared" si="1"/>
        <v>16236384</v>
      </c>
      <c r="L36" s="270">
        <f t="shared" si="1"/>
        <v>2300174</v>
      </c>
      <c r="M36" s="270" t="str">
        <f t="shared" si="1"/>
        <v/>
      </c>
    </row>
    <row r="37" spans="2:13">
      <c r="B37" s="38" t="s">
        <v>40</v>
      </c>
      <c r="C37" s="270">
        <f t="shared" ref="C37:M37" si="2">IF(C$4="","",-C5)</f>
        <v>-12144973</v>
      </c>
      <c r="D37" s="270">
        <f t="shared" si="2"/>
        <v>-13308517</v>
      </c>
      <c r="E37" s="270">
        <f t="shared" si="2"/>
        <v>-11949975</v>
      </c>
      <c r="F37" s="270">
        <f t="shared" si="2"/>
        <v>-15050952</v>
      </c>
      <c r="G37" s="270">
        <f t="shared" si="2"/>
        <v>-17784820</v>
      </c>
      <c r="H37" s="270">
        <f t="shared" si="2"/>
        <v>-17914296</v>
      </c>
      <c r="I37" s="270">
        <f t="shared" si="2"/>
        <v>-15078824</v>
      </c>
      <c r="J37" s="270">
        <f t="shared" si="2"/>
        <v>-12239725</v>
      </c>
      <c r="K37" s="270">
        <f t="shared" si="2"/>
        <v>-10467944</v>
      </c>
      <c r="L37" s="270">
        <f t="shared" si="2"/>
        <v>-1534115</v>
      </c>
      <c r="M37" s="270" t="str">
        <f t="shared" si="2"/>
        <v/>
      </c>
    </row>
    <row r="38" spans="2:13">
      <c r="B38" s="30" t="s">
        <v>55</v>
      </c>
      <c r="C38" s="267">
        <f>IF(C36="","",C36+C37)</f>
        <v>6308950</v>
      </c>
      <c r="D38" s="267">
        <f t="shared" ref="D38" si="3">IF(D36="","",D36+D37)</f>
        <v>6755980</v>
      </c>
      <c r="E38" s="267">
        <f t="shared" ref="E38" si="4">IF(E36="","",E36+E37)</f>
        <v>6688046</v>
      </c>
      <c r="F38" s="267">
        <f t="shared" ref="F38" si="5">IF(F36="","",F36+F37)</f>
        <v>8299283</v>
      </c>
      <c r="G38" s="267">
        <f t="shared" ref="G38" si="6">IF(G36="","",G36+G37)</f>
        <v>7826305</v>
      </c>
      <c r="H38" s="267">
        <f t="shared" ref="H38" si="7">IF(H36="","",H36+H37)</f>
        <v>9275469</v>
      </c>
      <c r="I38" s="267">
        <f t="shared" ref="I38" si="8">IF(I36="","",I36+I37)</f>
        <v>7598551</v>
      </c>
      <c r="J38" s="267">
        <f t="shared" ref="J38" si="9">IF(J36="","",J36+J37)</f>
        <v>6593588</v>
      </c>
      <c r="K38" s="267">
        <f t="shared" ref="K38" si="10">IF(K36="","",K36+K37)</f>
        <v>5768440</v>
      </c>
      <c r="L38" s="267">
        <f t="shared" ref="L38" si="11">IF(L36="","",L36+L37)</f>
        <v>766059</v>
      </c>
      <c r="M38" s="267" t="str">
        <f t="shared" ref="M38" si="12">IF(M36="","",M36+M37)</f>
        <v/>
      </c>
    </row>
    <row r="39" spans="2:13">
      <c r="B39" s="38" t="s">
        <v>51</v>
      </c>
      <c r="C39" s="270">
        <f t="shared" ref="C39:M39" si="13">IF(C$4="","",-C6)</f>
        <v>-5887751</v>
      </c>
      <c r="D39" s="270">
        <f t="shared" si="13"/>
        <v>-6339969</v>
      </c>
      <c r="E39" s="270">
        <f t="shared" si="13"/>
        <v>-6616355</v>
      </c>
      <c r="F39" s="270">
        <f t="shared" si="13"/>
        <v>-7828843</v>
      </c>
      <c r="G39" s="270">
        <f t="shared" si="13"/>
        <v>-7505186</v>
      </c>
      <c r="H39" s="270">
        <f t="shared" si="13"/>
        <v>-8180843</v>
      </c>
      <c r="I39" s="270">
        <f t="shared" si="13"/>
        <v>-6912977</v>
      </c>
      <c r="J39" s="270">
        <f t="shared" si="13"/>
        <v>-6051222</v>
      </c>
      <c r="K39" s="270">
        <f t="shared" si="13"/>
        <v>-5072462</v>
      </c>
      <c r="L39" s="270">
        <f t="shared" si="13"/>
        <v>-688319</v>
      </c>
      <c r="M39" s="270" t="str">
        <f t="shared" si="13"/>
        <v/>
      </c>
    </row>
    <row r="40" spans="2:13">
      <c r="B40" s="66" t="s">
        <v>58</v>
      </c>
      <c r="C40" s="282">
        <f t="shared" ref="C40:M40" si="14">IF(C$4="","",-C7)</f>
        <v>-5136105</v>
      </c>
      <c r="D40" s="282">
        <f t="shared" si="14"/>
        <v>-5588228</v>
      </c>
      <c r="E40" s="282">
        <f t="shared" si="14"/>
        <v>-5806761</v>
      </c>
      <c r="F40" s="282">
        <f t="shared" si="14"/>
        <v>-6962403</v>
      </c>
      <c r="G40" s="282">
        <f t="shared" si="14"/>
        <v>-6741868</v>
      </c>
      <c r="H40" s="282">
        <f t="shared" si="14"/>
        <v>-7168952</v>
      </c>
      <c r="I40" s="282">
        <f t="shared" si="14"/>
        <v>-6099595</v>
      </c>
      <c r="J40" s="282">
        <f t="shared" si="14"/>
        <v>-5326027</v>
      </c>
      <c r="K40" s="282">
        <f t="shared" si="14"/>
        <v>-4415748</v>
      </c>
      <c r="L40" s="282">
        <f t="shared" si="14"/>
        <v>-592050</v>
      </c>
      <c r="M40" s="282" t="str">
        <f t="shared" si="14"/>
        <v/>
      </c>
    </row>
    <row r="41" spans="2:13">
      <c r="B41" s="66" t="s">
        <v>61</v>
      </c>
      <c r="C41" s="282">
        <f>IF(C$4="","",C39-C40)</f>
        <v>-751646</v>
      </c>
      <c r="D41" s="282">
        <f t="shared" ref="D41:M41" si="15">IF(D$4="","",D39-D40)</f>
        <v>-751741</v>
      </c>
      <c r="E41" s="282">
        <f t="shared" si="15"/>
        <v>-809594</v>
      </c>
      <c r="F41" s="282">
        <f t="shared" si="15"/>
        <v>-866440</v>
      </c>
      <c r="G41" s="282">
        <f t="shared" si="15"/>
        <v>-763318</v>
      </c>
      <c r="H41" s="282">
        <f t="shared" si="15"/>
        <v>-1011891</v>
      </c>
      <c r="I41" s="282">
        <f t="shared" si="15"/>
        <v>-813382</v>
      </c>
      <c r="J41" s="282">
        <f t="shared" si="15"/>
        <v>-725195</v>
      </c>
      <c r="K41" s="282">
        <f t="shared" si="15"/>
        <v>-656714</v>
      </c>
      <c r="L41" s="282">
        <f t="shared" si="15"/>
        <v>-96269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421199</v>
      </c>
      <c r="D43" s="271">
        <f t="shared" ref="D43:M43" si="17">IF(D$4="","",D38+D39+D42)</f>
        <v>416011</v>
      </c>
      <c r="E43" s="271">
        <f t="shared" si="17"/>
        <v>71691</v>
      </c>
      <c r="F43" s="271">
        <f t="shared" si="17"/>
        <v>470440</v>
      </c>
      <c r="G43" s="271">
        <f t="shared" si="17"/>
        <v>321119</v>
      </c>
      <c r="H43" s="271">
        <f t="shared" si="17"/>
        <v>1094626</v>
      </c>
      <c r="I43" s="271">
        <f t="shared" si="17"/>
        <v>685574</v>
      </c>
      <c r="J43" s="271">
        <f t="shared" si="17"/>
        <v>542366</v>
      </c>
      <c r="K43" s="271">
        <f t="shared" si="17"/>
        <v>695978</v>
      </c>
      <c r="L43" s="271">
        <f t="shared" si="17"/>
        <v>77740</v>
      </c>
      <c r="M43" s="271" t="str">
        <f t="shared" si="17"/>
        <v/>
      </c>
    </row>
    <row r="44" spans="2:13">
      <c r="B44" s="41" t="s">
        <v>139</v>
      </c>
      <c r="C44" s="290">
        <f t="shared" ref="C44:M44" si="18">IF(C$4="","",C47-C46-C45-C43)</f>
        <v>284827</v>
      </c>
      <c r="D44" s="290">
        <f t="shared" si="18"/>
        <v>295418</v>
      </c>
      <c r="E44" s="290">
        <f t="shared" si="18"/>
        <v>335696</v>
      </c>
      <c r="F44" s="290">
        <f t="shared" si="18"/>
        <v>278533</v>
      </c>
      <c r="G44" s="290">
        <f t="shared" si="18"/>
        <v>111936</v>
      </c>
      <c r="H44" s="290">
        <f t="shared" si="18"/>
        <v>129840</v>
      </c>
      <c r="I44" s="290">
        <f t="shared" si="18"/>
        <v>136795</v>
      </c>
      <c r="J44" s="290">
        <f t="shared" si="18"/>
        <v>114853</v>
      </c>
      <c r="K44" s="290">
        <f t="shared" si="18"/>
        <v>135945</v>
      </c>
      <c r="L44" s="290">
        <f t="shared" si="18"/>
        <v>8362</v>
      </c>
      <c r="M44" s="290" t="str">
        <f t="shared" si="18"/>
        <v/>
      </c>
    </row>
    <row r="45" spans="2:13">
      <c r="B45" s="38" t="s">
        <v>65</v>
      </c>
      <c r="C45" s="285">
        <f t="shared" ref="C45:M45" si="19">IF(C$4="","",C51+C52)</f>
        <v>-17818</v>
      </c>
      <c r="D45" s="285">
        <f t="shared" si="19"/>
        <v>-54720</v>
      </c>
      <c r="E45" s="285">
        <f t="shared" si="19"/>
        <v>-144524</v>
      </c>
      <c r="F45" s="285">
        <f t="shared" si="19"/>
        <v>-174853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-190386</v>
      </c>
      <c r="D46" s="270">
        <f t="shared" ref="D46:M46" si="20">IF(D$4="","",-D14)</f>
        <v>-153501</v>
      </c>
      <c r="E46" s="270">
        <f t="shared" si="20"/>
        <v>-162625</v>
      </c>
      <c r="F46" s="270">
        <f t="shared" si="20"/>
        <v>-198365</v>
      </c>
      <c r="G46" s="270">
        <f t="shared" si="20"/>
        <v>-118395</v>
      </c>
      <c r="H46" s="270">
        <f t="shared" si="20"/>
        <v>-344556</v>
      </c>
      <c r="I46" s="270">
        <f t="shared" si="20"/>
        <v>-261475</v>
      </c>
      <c r="J46" s="270">
        <f t="shared" si="20"/>
        <v>-242187</v>
      </c>
      <c r="K46" s="270">
        <f t="shared" si="20"/>
        <v>-262312</v>
      </c>
      <c r="L46" s="270">
        <f t="shared" si="20"/>
        <v>-23744</v>
      </c>
      <c r="M46" s="270" t="str">
        <f t="shared" si="20"/>
        <v/>
      </c>
    </row>
    <row r="47" spans="2:13">
      <c r="B47" s="41" t="s">
        <v>39</v>
      </c>
      <c r="C47" s="271">
        <f t="shared" ref="C47:M47" si="21">IF(C$4="","",C15)</f>
        <v>497822</v>
      </c>
      <c r="D47" s="271">
        <f t="shared" si="21"/>
        <v>503208</v>
      </c>
      <c r="E47" s="271">
        <f t="shared" si="21"/>
        <v>100238</v>
      </c>
      <c r="F47" s="271">
        <f t="shared" si="21"/>
        <v>375755</v>
      </c>
      <c r="G47" s="271">
        <f t="shared" si="21"/>
        <v>314660</v>
      </c>
      <c r="H47" s="271">
        <f t="shared" si="21"/>
        <v>879910</v>
      </c>
      <c r="I47" s="271">
        <f t="shared" si="21"/>
        <v>560894</v>
      </c>
      <c r="J47" s="271">
        <f t="shared" si="21"/>
        <v>415032</v>
      </c>
      <c r="K47" s="271">
        <f t="shared" si="21"/>
        <v>569611</v>
      </c>
      <c r="L47" s="271">
        <f t="shared" si="21"/>
        <v>62358</v>
      </c>
      <c r="M47" s="271" t="str">
        <f t="shared" si="21"/>
        <v/>
      </c>
    </row>
    <row r="48" spans="2:13">
      <c r="B48" s="27" t="s">
        <v>41</v>
      </c>
      <c r="C48" s="270">
        <f t="shared" ref="C48:M48" si="22">IF(C$4="","",MIN(-C16,0))</f>
        <v>-6325</v>
      </c>
      <c r="D48" s="270">
        <f t="shared" si="22"/>
        <v>-12783</v>
      </c>
      <c r="E48" s="270">
        <f t="shared" si="22"/>
        <v>-11074</v>
      </c>
      <c r="F48" s="270">
        <f t="shared" si="22"/>
        <v>-19168</v>
      </c>
      <c r="G48" s="270">
        <f t="shared" si="22"/>
        <v>-11820</v>
      </c>
      <c r="H48" s="270">
        <f t="shared" si="22"/>
        <v>-46635</v>
      </c>
      <c r="I48" s="270">
        <f t="shared" si="22"/>
        <v>-18006</v>
      </c>
      <c r="J48" s="270">
        <f t="shared" si="22"/>
        <v>-20710</v>
      </c>
      <c r="K48" s="270">
        <f t="shared" si="22"/>
        <v>-9032</v>
      </c>
      <c r="L48" s="270">
        <f t="shared" si="22"/>
        <v>0</v>
      </c>
      <c r="M48" s="270" t="str">
        <f t="shared" si="22"/>
        <v/>
      </c>
    </row>
    <row r="50" spans="2:13">
      <c r="B50" s="16" t="s">
        <v>65</v>
      </c>
    </row>
    <row r="51" spans="2:13">
      <c r="B51" s="38" t="s">
        <v>37</v>
      </c>
      <c r="C51" s="270">
        <f t="shared" ref="C51:M51" si="23">IF(C$4="","",-C12)</f>
        <v>-67796</v>
      </c>
      <c r="D51" s="270">
        <f t="shared" si="23"/>
        <v>-92335</v>
      </c>
      <c r="E51" s="270">
        <f t="shared" si="23"/>
        <v>-166759</v>
      </c>
      <c r="F51" s="270">
        <f t="shared" si="23"/>
        <v>-202932</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49978</v>
      </c>
      <c r="D52" s="270">
        <f t="shared" ref="D52:M52" si="24">IF(D$4="","",D13)</f>
        <v>37615</v>
      </c>
      <c r="E52" s="270">
        <f t="shared" si="24"/>
        <v>22235</v>
      </c>
      <c r="F52" s="270">
        <f t="shared" si="24"/>
        <v>28079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284827</v>
      </c>
      <c r="D58" s="285">
        <f t="shared" ref="D58:M58" si="28">IF(D$4="","",D44-D55-D56-D57)</f>
        <v>295418</v>
      </c>
      <c r="E58" s="285">
        <f t="shared" si="28"/>
        <v>335696</v>
      </c>
      <c r="F58" s="285">
        <f t="shared" si="28"/>
        <v>278533</v>
      </c>
      <c r="G58" s="285">
        <f t="shared" si="28"/>
        <v>111936</v>
      </c>
      <c r="H58" s="285">
        <f t="shared" si="28"/>
        <v>129840</v>
      </c>
      <c r="I58" s="285">
        <f t="shared" si="28"/>
        <v>136795</v>
      </c>
      <c r="J58" s="285">
        <f t="shared" si="28"/>
        <v>114853</v>
      </c>
      <c r="K58" s="285">
        <f t="shared" si="28"/>
        <v>135945</v>
      </c>
      <c r="L58" s="285">
        <f t="shared" si="28"/>
        <v>8362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-409977</v>
      </c>
      <c r="D64" s="270">
        <f t="shared" ref="D64:M64" si="32">IF(D$4="","",D22+D23+D24)</f>
        <v>638123</v>
      </c>
      <c r="E64" s="270">
        <f t="shared" si="32"/>
        <v>-41461</v>
      </c>
      <c r="F64" s="270">
        <f t="shared" si="32"/>
        <v>-508197</v>
      </c>
      <c r="G64" s="270">
        <f t="shared" si="32"/>
        <v>1127105</v>
      </c>
      <c r="H64" s="270">
        <f t="shared" si="32"/>
        <v>-118643</v>
      </c>
      <c r="I64" s="270">
        <f t="shared" si="32"/>
        <v>352614</v>
      </c>
      <c r="J64" s="270">
        <f t="shared" si="32"/>
        <v>-111923</v>
      </c>
      <c r="K64" s="270">
        <f t="shared" si="32"/>
        <v>289135</v>
      </c>
      <c r="L64" s="270">
        <f t="shared" si="32"/>
        <v>-13649</v>
      </c>
      <c r="M64" s="270"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5">
        <f t="shared" ref="D76:M76" si="39">IF(D$4="","",D79+D80)</f>
        <v>13257673</v>
      </c>
      <c r="E76" s="285">
        <f t="shared" si="39"/>
        <v>13598861</v>
      </c>
      <c r="F76" s="285">
        <f t="shared" si="39"/>
        <v>16658980</v>
      </c>
      <c r="G76" s="285">
        <f t="shared" si="39"/>
        <v>17022269</v>
      </c>
      <c r="H76" s="285">
        <f t="shared" si="39"/>
        <v>17390782</v>
      </c>
      <c r="I76" s="285">
        <f t="shared" si="39"/>
        <v>13237469</v>
      </c>
      <c r="J76" s="285">
        <f t="shared" si="39"/>
        <v>11470110</v>
      </c>
      <c r="K76" s="285">
        <f t="shared" si="39"/>
        <v>10043776</v>
      </c>
      <c r="L76" s="285">
        <f t="shared" si="39"/>
        <v>1301225</v>
      </c>
      <c r="M76" s="285" t="str">
        <f t="shared" si="39"/>
        <v/>
      </c>
    </row>
    <row r="77" spans="2:13">
      <c r="B77" s="90" t="s">
        <v>82</v>
      </c>
      <c r="C77" s="260">
        <f t="shared" ref="C77:H78" si="40">IF(C$4="","",C28)</f>
        <v>2009997</v>
      </c>
      <c r="D77" s="282">
        <f t="shared" si="40"/>
        <v>978919</v>
      </c>
      <c r="E77" s="282">
        <f t="shared" si="40"/>
        <v>862084</v>
      </c>
      <c r="F77" s="282">
        <f t="shared" si="40"/>
        <v>1165003</v>
      </c>
      <c r="G77" s="282">
        <f t="shared" si="40"/>
        <v>1702963</v>
      </c>
      <c r="H77" s="282">
        <f t="shared" si="40"/>
        <v>1407523</v>
      </c>
      <c r="I77" s="291"/>
      <c r="J77" s="291"/>
      <c r="K77" s="291"/>
      <c r="L77" s="291"/>
      <c r="M77" s="291"/>
    </row>
    <row r="78" spans="2:13">
      <c r="B78" s="90" t="s">
        <v>83</v>
      </c>
      <c r="C78" s="260">
        <f t="shared" si="40"/>
        <v>4865388</v>
      </c>
      <c r="D78" s="282">
        <f t="shared" si="40"/>
        <v>4704713</v>
      </c>
      <c r="E78" s="282">
        <f t="shared" si="40"/>
        <v>6071858</v>
      </c>
      <c r="F78" s="282">
        <f t="shared" si="40"/>
        <v>7578037</v>
      </c>
      <c r="G78" s="282">
        <f t="shared" si="40"/>
        <v>5869541</v>
      </c>
      <c r="H78" s="282">
        <f t="shared" si="40"/>
        <v>8021487</v>
      </c>
      <c r="I78" s="291"/>
      <c r="J78" s="291"/>
      <c r="K78" s="291"/>
      <c r="L78" s="291"/>
      <c r="M78" s="291"/>
    </row>
    <row r="79" spans="2:13">
      <c r="B79" s="25" t="s">
        <v>38</v>
      </c>
      <c r="C79" s="259">
        <f t="shared" ref="C79:M79" si="41">IF(C$4="","",C30)</f>
        <v>3613572</v>
      </c>
      <c r="D79" s="270">
        <f t="shared" si="41"/>
        <v>4647092</v>
      </c>
      <c r="E79" s="270">
        <f t="shared" si="41"/>
        <v>5404941</v>
      </c>
      <c r="F79" s="270">
        <f t="shared" si="41"/>
        <v>8456784</v>
      </c>
      <c r="G79" s="270">
        <f t="shared" si="41"/>
        <v>9146239</v>
      </c>
      <c r="H79" s="270">
        <f t="shared" si="41"/>
        <v>9684704</v>
      </c>
      <c r="I79" s="270">
        <f t="shared" si="41"/>
        <v>6201932</v>
      </c>
      <c r="J79" s="270">
        <f t="shared" si="41"/>
        <v>5028581</v>
      </c>
      <c r="K79" s="270">
        <f t="shared" si="41"/>
        <v>3910265</v>
      </c>
      <c r="L79" s="270">
        <f t="shared" si="41"/>
        <v>425087</v>
      </c>
      <c r="M79" s="270" t="str">
        <f t="shared" si="41"/>
        <v/>
      </c>
    </row>
    <row r="80" spans="2:13">
      <c r="B80" s="25" t="s">
        <v>28</v>
      </c>
      <c r="C80" s="259">
        <f t="shared" ref="C80:M80" si="42">IF(C$4="","",C31)</f>
        <v>8977358</v>
      </c>
      <c r="D80" s="270">
        <f t="shared" si="42"/>
        <v>8610581</v>
      </c>
      <c r="E80" s="270">
        <f t="shared" si="42"/>
        <v>8193920</v>
      </c>
      <c r="F80" s="270">
        <f t="shared" si="42"/>
        <v>8202196</v>
      </c>
      <c r="G80" s="270">
        <f t="shared" si="42"/>
        <v>7876030</v>
      </c>
      <c r="H80" s="270">
        <f t="shared" si="42"/>
        <v>7706078</v>
      </c>
      <c r="I80" s="270">
        <f t="shared" si="42"/>
        <v>7035537</v>
      </c>
      <c r="J80" s="270">
        <f t="shared" si="42"/>
        <v>6441529</v>
      </c>
      <c r="K80" s="270">
        <f t="shared" si="42"/>
        <v>6133511</v>
      </c>
      <c r="L80" s="270">
        <f t="shared" si="42"/>
        <v>876138</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402</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87">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1.9169589510786229</v>
      </c>
      <c r="D47" s="134">
        <f>D46*H1/Common_Shares*Exchange_Rate</f>
        <v>0.59475175352682819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-1515686.2871375</v>
      </c>
      <c r="D73" s="285">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1"/>
      <c r="D75" s="262">
        <f>MAX(-D73*D76,G5)</f>
        <v>1516560.8361299934</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-1633490.1750970893</v>
      </c>
      <c r="D86" s="201">
        <f>C86*scaling_factor/Common_Shares</f>
        <v>-0.31511960452868876</v>
      </c>
      <c r="E86" s="214" t="str">
        <f>Market_currency</f>
        <v>HKD</v>
      </c>
    </row>
    <row r="87" spans="2:8" ht="15" customHeight="1">
      <c r="B87" s="212" t="s">
        <v>240</v>
      </c>
      <c r="C87" s="73">
        <f>DCF!F5*Exchange_Rate</f>
        <v>1319435.5055319481</v>
      </c>
      <c r="D87" s="201">
        <f>C87*scaling_factor/Common_Shares</f>
        <v>0.25453473858795966</v>
      </c>
      <c r="E87" s="214" t="str">
        <f>Market_currency</f>
        <v>HKD</v>
      </c>
    </row>
    <row r="88" spans="2:8" ht="15" customHeight="1">
      <c r="B88" s="213" t="s">
        <v>159</v>
      </c>
      <c r="C88" s="73">
        <f>DCF!F6*Exchange_Rate</f>
        <v>1848.1065005635928</v>
      </c>
      <c r="D88" s="201">
        <f>C88*scaling_factor/Common_Shares</f>
        <v>3.5652163598099627E-4</v>
      </c>
      <c r="E88" s="214" t="str">
        <f>Market_currency</f>
        <v>HKD</v>
      </c>
    </row>
    <row r="89" spans="2:8" ht="15" customHeight="1">
      <c r="B89" s="77" t="s">
        <v>244</v>
      </c>
      <c r="C89" s="162">
        <f>SUM(C86:C88)</f>
        <v>-312206.56306457758</v>
      </c>
      <c r="D89" s="216">
        <f>SUM(D86:D88)</f>
        <v>-6.0228344304748098E-2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18453923</v>
      </c>
      <c r="D4" s="54"/>
      <c r="E4" s="235"/>
      <c r="F4" s="54"/>
      <c r="G4" s="270">
        <f>Data!C36</f>
        <v>18453923</v>
      </c>
      <c r="H4" s="270">
        <f>Data!D36</f>
        <v>20064497</v>
      </c>
      <c r="I4" s="270">
        <f>Data!E36</f>
        <v>18638021</v>
      </c>
      <c r="J4" s="270">
        <f>Data!F36</f>
        <v>23350235</v>
      </c>
      <c r="K4" s="270">
        <f>Data!G36</f>
        <v>25611125</v>
      </c>
      <c r="L4" s="270">
        <f>Data!H36</f>
        <v>27189765</v>
      </c>
      <c r="M4" s="270">
        <f>Data!I36</f>
        <v>22677375</v>
      </c>
      <c r="N4" s="270">
        <f>Data!J36</f>
        <v>18833313</v>
      </c>
      <c r="O4" s="270">
        <f>Data!K36</f>
        <v>16236384</v>
      </c>
      <c r="P4" s="270">
        <f>Data!L36</f>
        <v>2300174</v>
      </c>
      <c r="Q4" s="270" t="str">
        <f>Data!M36</f>
        <v/>
      </c>
    </row>
    <row r="5" spans="1:17" ht="15.75" customHeight="1">
      <c r="A5" s="10"/>
      <c r="B5" s="2" t="s">
        <v>43</v>
      </c>
      <c r="C5" s="266">
        <f>C26</f>
        <v>-17291572.587909922</v>
      </c>
      <c r="E5" s="237"/>
      <c r="G5" s="270">
        <f t="shared" ref="G5:Q5" si="1">G26</f>
        <v>-17281078</v>
      </c>
      <c r="H5" s="270">
        <f t="shared" si="1"/>
        <v>-18896745</v>
      </c>
      <c r="I5" s="270">
        <f t="shared" si="1"/>
        <v>-17756736</v>
      </c>
      <c r="J5" s="270">
        <f t="shared" si="1"/>
        <v>-22013355</v>
      </c>
      <c r="K5" s="270">
        <f t="shared" si="1"/>
        <v>-24526688</v>
      </c>
      <c r="L5" s="270">
        <f t="shared" si="1"/>
        <v>-25083248</v>
      </c>
      <c r="M5" s="270">
        <f t="shared" si="1"/>
        <v>-21178419</v>
      </c>
      <c r="N5" s="270">
        <f t="shared" si="1"/>
        <v>-17565752</v>
      </c>
      <c r="O5" s="270">
        <f t="shared" si="1"/>
        <v>-14883692</v>
      </c>
      <c r="P5" s="270">
        <f t="shared" si="1"/>
        <v>-2126165</v>
      </c>
      <c r="Q5" s="270" t="str">
        <f t="shared" si="1"/>
        <v/>
      </c>
    </row>
    <row r="6" spans="1:17" ht="15.75" customHeight="1">
      <c r="A6" s="10"/>
      <c r="B6" s="30" t="s">
        <v>45</v>
      </c>
      <c r="C6" s="267">
        <f>C4+C5</f>
        <v>1162350.412090078</v>
      </c>
      <c r="E6" s="237"/>
      <c r="G6" s="267">
        <f>IF(G4="","",G4+G5)</f>
        <v>1172845</v>
      </c>
      <c r="H6" s="267">
        <f t="shared" ref="H6:Q6" si="2">IF(H4="","",H4+H5)</f>
        <v>1167752</v>
      </c>
      <c r="I6" s="267">
        <f t="shared" si="2"/>
        <v>881285</v>
      </c>
      <c r="J6" s="267">
        <f t="shared" si="2"/>
        <v>1336880</v>
      </c>
      <c r="K6" s="267">
        <f t="shared" si="2"/>
        <v>1084437</v>
      </c>
      <c r="L6" s="267">
        <f t="shared" si="2"/>
        <v>2106517</v>
      </c>
      <c r="M6" s="267">
        <f t="shared" si="2"/>
        <v>1498956</v>
      </c>
      <c r="N6" s="267">
        <f t="shared" si="2"/>
        <v>1267561</v>
      </c>
      <c r="O6" s="267">
        <f t="shared" si="2"/>
        <v>1352692</v>
      </c>
      <c r="P6" s="267">
        <f t="shared" si="2"/>
        <v>174009</v>
      </c>
      <c r="Q6" s="267" t="str">
        <f t="shared" si="2"/>
        <v/>
      </c>
    </row>
    <row r="7" spans="1:17" ht="15.75" customHeight="1">
      <c r="A7" s="10"/>
      <c r="B7" s="8" t="s">
        <v>42</v>
      </c>
      <c r="C7" s="266">
        <f>C35</f>
        <v>-751646</v>
      </c>
      <c r="E7" s="237"/>
      <c r="G7" s="266">
        <f t="shared" ref="G7:Q7" si="3">G35</f>
        <v>-751646</v>
      </c>
      <c r="H7" s="266">
        <f t="shared" si="3"/>
        <v>-751741</v>
      </c>
      <c r="I7" s="266">
        <f t="shared" si="3"/>
        <v>-809594</v>
      </c>
      <c r="J7" s="266">
        <f t="shared" si="3"/>
        <v>-866440</v>
      </c>
      <c r="K7" s="266">
        <f t="shared" si="3"/>
        <v>-763318</v>
      </c>
      <c r="L7" s="266">
        <f t="shared" si="3"/>
        <v>-1011891</v>
      </c>
      <c r="M7" s="266">
        <f t="shared" si="3"/>
        <v>-813382</v>
      </c>
      <c r="N7" s="266">
        <f t="shared" si="3"/>
        <v>-725195</v>
      </c>
      <c r="O7" s="266">
        <f t="shared" si="3"/>
        <v>-656714</v>
      </c>
      <c r="P7" s="266">
        <f t="shared" si="3"/>
        <v>-96269</v>
      </c>
      <c r="Q7" s="266" t="str">
        <f t="shared" si="3"/>
        <v/>
      </c>
    </row>
    <row r="8" spans="1:17" ht="15.75" customHeight="1">
      <c r="A8" s="10"/>
      <c r="B8" s="28" t="s">
        <v>127</v>
      </c>
      <c r="C8" s="268">
        <f>C6+C7</f>
        <v>410704.412090078</v>
      </c>
      <c r="D8" s="56"/>
      <c r="E8" s="241"/>
      <c r="F8" s="56"/>
      <c r="G8" s="267">
        <f>IF(G$4="","",G6+G7)</f>
        <v>421199</v>
      </c>
      <c r="H8" s="267">
        <f t="shared" ref="H8:Q8" si="4">IF(H$4="","",H6+H7)</f>
        <v>416011</v>
      </c>
      <c r="I8" s="267">
        <f t="shared" si="4"/>
        <v>71691</v>
      </c>
      <c r="J8" s="267">
        <f t="shared" si="4"/>
        <v>470440</v>
      </c>
      <c r="K8" s="267">
        <f t="shared" si="4"/>
        <v>321119</v>
      </c>
      <c r="L8" s="267">
        <f t="shared" si="4"/>
        <v>1094626</v>
      </c>
      <c r="M8" s="267">
        <f t="shared" si="4"/>
        <v>685574</v>
      </c>
      <c r="N8" s="267">
        <f t="shared" si="4"/>
        <v>542366</v>
      </c>
      <c r="O8" s="267">
        <f t="shared" si="4"/>
        <v>695978</v>
      </c>
      <c r="P8" s="267">
        <f t="shared" si="4"/>
        <v>77740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-57727.341638700062</v>
      </c>
      <c r="E10" s="237"/>
      <c r="G10" s="266">
        <f>G48</f>
        <v>-39662.754313409729</v>
      </c>
      <c r="H10" s="266">
        <f t="shared" ref="H10:Q10" si="6">H48</f>
        <v>-71161.042728778804</v>
      </c>
      <c r="I10" s="266">
        <f t="shared" si="6"/>
        <v>-154242.63844408872</v>
      </c>
      <c r="J10" s="266">
        <f t="shared" si="6"/>
        <v>-187125.97723730904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352977.07045137795</v>
      </c>
      <c r="E11" s="237"/>
      <c r="G11" s="267">
        <f t="shared" ref="G11:Q11" si="7">IF(G$4="","",SUM(G8:G10))</f>
        <v>381536.24568659026</v>
      </c>
      <c r="H11" s="267">
        <f t="shared" si="7"/>
        <v>344849.95727122121</v>
      </c>
      <c r="I11" s="267">
        <f t="shared" si="7"/>
        <v>-82551.63844408872</v>
      </c>
      <c r="J11" s="267">
        <f t="shared" si="7"/>
        <v>283314.02276269096</v>
      </c>
      <c r="K11" s="267">
        <f t="shared" si="7"/>
        <v>321119</v>
      </c>
      <c r="L11" s="267">
        <f t="shared" si="7"/>
        <v>1094626</v>
      </c>
      <c r="M11" s="267">
        <f t="shared" si="7"/>
        <v>685574</v>
      </c>
      <c r="N11" s="267">
        <f t="shared" si="7"/>
        <v>542366</v>
      </c>
      <c r="O11" s="267">
        <f t="shared" si="7"/>
        <v>695978</v>
      </c>
      <c r="P11" s="267">
        <f t="shared" si="7"/>
        <v>77740</v>
      </c>
      <c r="Q11" s="267" t="str">
        <f t="shared" si="7"/>
        <v/>
      </c>
    </row>
    <row r="12" spans="1:17" ht="15.75" customHeight="1">
      <c r="A12" s="10"/>
      <c r="B12" s="2" t="s">
        <v>60</v>
      </c>
      <c r="C12" s="266">
        <f>-C11*C41</f>
        <v>-88244.267612844487</v>
      </c>
      <c r="E12" s="237"/>
      <c r="G12" s="266">
        <f>Data!C46</f>
        <v>-190386</v>
      </c>
      <c r="H12" s="266">
        <f>Data!D46</f>
        <v>-153501</v>
      </c>
      <c r="I12" s="266">
        <f>Data!E46</f>
        <v>-162625</v>
      </c>
      <c r="J12" s="266">
        <f>Data!F46</f>
        <v>-198365</v>
      </c>
      <c r="K12" s="266">
        <f>Data!G46</f>
        <v>-118395</v>
      </c>
      <c r="L12" s="266">
        <f>Data!H46</f>
        <v>-344556</v>
      </c>
      <c r="M12" s="266">
        <f>Data!I46</f>
        <v>-261475</v>
      </c>
      <c r="N12" s="266">
        <f>Data!J46</f>
        <v>-242187</v>
      </c>
      <c r="O12" s="266">
        <f>Data!K46</f>
        <v>-262312</v>
      </c>
      <c r="P12" s="266">
        <f>Data!L46</f>
        <v>-23744</v>
      </c>
      <c r="Q12" s="266" t="str">
        <f>Data!M46</f>
        <v/>
      </c>
    </row>
    <row r="13" spans="1:17" ht="15.75" customHeight="1">
      <c r="A13" s="10"/>
      <c r="B13" s="38" t="s">
        <v>208</v>
      </c>
      <c r="C13" s="266">
        <f>-C4*C79</f>
        <v>-15148.661076173323</v>
      </c>
      <c r="D13" s="57"/>
      <c r="E13" s="242"/>
      <c r="F13" s="57"/>
      <c r="G13" s="270">
        <f>Data!C48</f>
        <v>-6325</v>
      </c>
      <c r="H13" s="270">
        <f>Data!D48</f>
        <v>-12783</v>
      </c>
      <c r="I13" s="270">
        <f>Data!E48</f>
        <v>-11074</v>
      </c>
      <c r="J13" s="270">
        <f>Data!F48</f>
        <v>-19168</v>
      </c>
      <c r="K13" s="270">
        <f>Data!G48</f>
        <v>-11820</v>
      </c>
      <c r="L13" s="270">
        <f>Data!H48</f>
        <v>-46635</v>
      </c>
      <c r="M13" s="270">
        <f>Data!I48</f>
        <v>-18006</v>
      </c>
      <c r="N13" s="270">
        <f>Data!J48</f>
        <v>-20710</v>
      </c>
      <c r="O13" s="270">
        <f>Data!K48</f>
        <v>-9032</v>
      </c>
      <c r="P13" s="270">
        <f>Data!L48</f>
        <v>0</v>
      </c>
      <c r="Q13" s="270" t="str">
        <f>Data!M48</f>
        <v/>
      </c>
    </row>
    <row r="14" spans="1:17" ht="15.75" customHeight="1">
      <c r="A14" s="10"/>
      <c r="B14" s="39" t="s">
        <v>129</v>
      </c>
      <c r="C14" s="269">
        <f>SUM(C11:C13)</f>
        <v>249584.14176236014</v>
      </c>
      <c r="D14" s="58"/>
      <c r="E14" s="243"/>
      <c r="F14" s="58"/>
      <c r="G14" s="267">
        <f t="shared" ref="G14:Q14" si="8">IF(G$4="","",SUM(G11:G13))</f>
        <v>184825.24568659026</v>
      </c>
      <c r="H14" s="267">
        <f t="shared" si="8"/>
        <v>178565.95727122121</v>
      </c>
      <c r="I14" s="267">
        <f t="shared" si="8"/>
        <v>-256250.63844408872</v>
      </c>
      <c r="J14" s="267">
        <f t="shared" si="8"/>
        <v>65781.022762690962</v>
      </c>
      <c r="K14" s="267">
        <f t="shared" si="8"/>
        <v>190904</v>
      </c>
      <c r="L14" s="267">
        <f t="shared" si="8"/>
        <v>703435</v>
      </c>
      <c r="M14" s="267">
        <f t="shared" si="8"/>
        <v>406093</v>
      </c>
      <c r="N14" s="267">
        <f t="shared" si="8"/>
        <v>279469</v>
      </c>
      <c r="O14" s="267">
        <f t="shared" si="8"/>
        <v>424634</v>
      </c>
      <c r="P14" s="267">
        <f t="shared" si="8"/>
        <v>53996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249584.14176236014</v>
      </c>
      <c r="D19" s="26"/>
      <c r="E19" s="234"/>
      <c r="F19" s="26"/>
      <c r="G19" s="271">
        <f t="shared" ref="G19:Q19" si="9">IF(G$4="","",G14+G17)</f>
        <v>184825.24568659026</v>
      </c>
      <c r="H19" s="271">
        <f t="shared" si="9"/>
        <v>178565.95727122121</v>
      </c>
      <c r="I19" s="271">
        <f t="shared" si="9"/>
        <v>-256250.63844408872</v>
      </c>
      <c r="J19" s="271">
        <f t="shared" si="9"/>
        <v>65781.022762690962</v>
      </c>
      <c r="K19" s="271">
        <f t="shared" si="9"/>
        <v>190904</v>
      </c>
      <c r="L19" s="271">
        <f t="shared" si="9"/>
        <v>703435</v>
      </c>
      <c r="M19" s="271">
        <f t="shared" si="9"/>
        <v>406093</v>
      </c>
      <c r="N19" s="271">
        <f t="shared" si="9"/>
        <v>279469</v>
      </c>
      <c r="O19" s="271">
        <f t="shared" si="9"/>
        <v>424634</v>
      </c>
      <c r="P19" s="271">
        <f t="shared" si="9"/>
        <v>53996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-12155467.587909924</v>
      </c>
      <c r="D23" s="55"/>
      <c r="E23" s="236"/>
      <c r="F23" s="55"/>
      <c r="G23" s="270">
        <f>Data!C37</f>
        <v>-12144973</v>
      </c>
      <c r="H23" s="270">
        <f>Data!D37</f>
        <v>-13308517</v>
      </c>
      <c r="I23" s="270">
        <f>Data!E37</f>
        <v>-11949975</v>
      </c>
      <c r="J23" s="270">
        <f>Data!F37</f>
        <v>-15050952</v>
      </c>
      <c r="K23" s="270">
        <f>Data!G37</f>
        <v>-17784820</v>
      </c>
      <c r="L23" s="270">
        <f>Data!H37</f>
        <v>-17914296</v>
      </c>
      <c r="M23" s="270">
        <f>Data!I37</f>
        <v>-15078824</v>
      </c>
      <c r="N23" s="270">
        <f>Data!J37</f>
        <v>-12239725</v>
      </c>
      <c r="O23" s="270">
        <f>Data!K37</f>
        <v>-10467944</v>
      </c>
      <c r="P23" s="270">
        <f>Data!L37</f>
        <v>-1534115</v>
      </c>
      <c r="Q23" s="270" t="str">
        <f>Data!M37</f>
        <v/>
      </c>
    </row>
    <row r="24" spans="1:17" ht="15.75" customHeight="1">
      <c r="A24" s="10"/>
      <c r="B24" s="65" t="s">
        <v>59</v>
      </c>
      <c r="C24" s="266">
        <f>-C4*C30</f>
        <v>-5136105</v>
      </c>
      <c r="D24" s="26"/>
      <c r="E24" s="234"/>
      <c r="F24" s="26"/>
      <c r="G24" s="270">
        <f>Data!C40</f>
        <v>-5136105</v>
      </c>
      <c r="H24" s="270">
        <f>Data!D40</f>
        <v>-5588228</v>
      </c>
      <c r="I24" s="270">
        <f>Data!E40</f>
        <v>-5806761</v>
      </c>
      <c r="J24" s="270">
        <f>Data!F40</f>
        <v>-6962403</v>
      </c>
      <c r="K24" s="270">
        <f>Data!G40</f>
        <v>-6741868</v>
      </c>
      <c r="L24" s="270">
        <f>Data!H40</f>
        <v>-7168952</v>
      </c>
      <c r="M24" s="270">
        <f>Data!I40</f>
        <v>-6099595</v>
      </c>
      <c r="N24" s="270">
        <f>Data!J40</f>
        <v>-5326027</v>
      </c>
      <c r="O24" s="270">
        <f>Data!K40</f>
        <v>-4415748</v>
      </c>
      <c r="P24" s="270">
        <f>Data!L40</f>
        <v>-592050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-17291572.587909922</v>
      </c>
      <c r="D26" s="9"/>
      <c r="E26" s="240"/>
      <c r="F26" s="9"/>
      <c r="G26" s="267">
        <f>IF(G$4="","",SUM(G23:G25))</f>
        <v>-17281078</v>
      </c>
      <c r="H26" s="267">
        <f t="shared" ref="H26:Q26" si="10">IF(H$4="","",SUM(H23:H25))</f>
        <v>-18896745</v>
      </c>
      <c r="I26" s="267">
        <f t="shared" si="10"/>
        <v>-17756736</v>
      </c>
      <c r="J26" s="267">
        <f t="shared" si="10"/>
        <v>-22013355</v>
      </c>
      <c r="K26" s="267">
        <f t="shared" si="10"/>
        <v>-24526688</v>
      </c>
      <c r="L26" s="267">
        <f t="shared" si="10"/>
        <v>-25083248</v>
      </c>
      <c r="M26" s="267">
        <f t="shared" si="10"/>
        <v>-21178419</v>
      </c>
      <c r="N26" s="267">
        <f t="shared" si="10"/>
        <v>-17565752</v>
      </c>
      <c r="O26" s="267">
        <f t="shared" si="10"/>
        <v>-14883692</v>
      </c>
      <c r="P26" s="267">
        <f t="shared" si="10"/>
        <v>-2126165</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0.65869287456710013</v>
      </c>
      <c r="D29" s="25"/>
      <c r="E29" s="235"/>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5"/>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7"/>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-751646</v>
      </c>
      <c r="D35" s="55"/>
      <c r="E35" s="236"/>
      <c r="F35" s="55"/>
      <c r="G35" s="267">
        <f>IF(G4="","",Data!C41)</f>
        <v>-751646</v>
      </c>
      <c r="H35" s="267">
        <f>IF(H4="","",Data!D41)</f>
        <v>-751741</v>
      </c>
      <c r="I35" s="267">
        <f>IF(I4="","",Data!E41)</f>
        <v>-809594</v>
      </c>
      <c r="J35" s="267">
        <f>IF(J4="","",Data!F41)</f>
        <v>-866440</v>
      </c>
      <c r="K35" s="267">
        <f>IF(K4="","",Data!G41)</f>
        <v>-763318</v>
      </c>
      <c r="L35" s="267">
        <f>IF(L4="","",Data!H41)</f>
        <v>-1011891</v>
      </c>
      <c r="M35" s="267">
        <f>IF(M4="","",Data!I41)</f>
        <v>-813382</v>
      </c>
      <c r="N35" s="267">
        <f>IF(N4="","",Data!J41)</f>
        <v>-725195</v>
      </c>
      <c r="O35" s="267">
        <f>IF(O4="","",Data!K41)</f>
        <v>-656714</v>
      </c>
      <c r="P35" s="267">
        <f>IF(P4="","",Data!L41)</f>
        <v>-96269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4.0730960024055587E-2</v>
      </c>
      <c r="E38" s="237"/>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-72892.95</v>
      </c>
      <c r="E45" s="237"/>
      <c r="G45" s="266">
        <f>Data!C51</f>
        <v>-67796</v>
      </c>
      <c r="H45" s="266">
        <f>Data!D51</f>
        <v>-92335</v>
      </c>
      <c r="I45" s="266">
        <f>Data!E51</f>
        <v>-166759</v>
      </c>
      <c r="J45" s="266">
        <f>Data!F51</f>
        <v>-202932</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15165.608361299935</v>
      </c>
      <c r="E46" s="237"/>
      <c r="G46" s="274">
        <f t="shared" ref="G46:Q46" si="17">IFERROR(IF(G$4="","",($C$46/$C$47)*G47),0)</f>
        <v>28133.245686590271</v>
      </c>
      <c r="H46" s="274">
        <f t="shared" si="17"/>
        <v>21173.957271221196</v>
      </c>
      <c r="I46" s="274">
        <f t="shared" si="17"/>
        <v>12516.361555911293</v>
      </c>
      <c r="J46" s="274">
        <f t="shared" si="17"/>
        <v>15806.022762690947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26941.32</v>
      </c>
      <c r="D47" s="246"/>
      <c r="E47" s="247"/>
      <c r="F47" s="246"/>
      <c r="G47" s="278">
        <f>Data!C52</f>
        <v>49978</v>
      </c>
      <c r="H47" s="278">
        <f>Data!D52</f>
        <v>37615</v>
      </c>
      <c r="I47" s="278">
        <f>Data!E52</f>
        <v>22235</v>
      </c>
      <c r="J47" s="278">
        <f>Data!F52</f>
        <v>28079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-57727.341638700062</v>
      </c>
      <c r="E48" s="237"/>
      <c r="G48" s="267">
        <f>IF(G$4="","",(G45+G46))</f>
        <v>-39662.754313409729</v>
      </c>
      <c r="H48" s="267">
        <f t="shared" ref="H48:Q48" si="18">IF(H$4="","",(H45+H46))</f>
        <v>-71161.042728778804</v>
      </c>
      <c r="I48" s="267">
        <f t="shared" si="18"/>
        <v>-154242.63844408872</v>
      </c>
      <c r="J48" s="267">
        <f t="shared" si="18"/>
        <v>-187125.97723730904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4"/>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7"/>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284827</v>
      </c>
      <c r="H60" s="266">
        <f>Data!D58</f>
        <v>295418</v>
      </c>
      <c r="I60" s="266">
        <f>Data!E58</f>
        <v>335696</v>
      </c>
      <c r="J60" s="266">
        <f>Data!F58</f>
        <v>278533</v>
      </c>
      <c r="K60" s="266">
        <f>Data!G58</f>
        <v>111936</v>
      </c>
      <c r="L60" s="266">
        <f>Data!H58</f>
        <v>129840</v>
      </c>
      <c r="M60" s="266">
        <f>Data!I58</f>
        <v>136795</v>
      </c>
      <c r="N60" s="266">
        <f>Data!J58</f>
        <v>114853</v>
      </c>
      <c r="O60" s="266">
        <f>Data!K58</f>
        <v>135945</v>
      </c>
      <c r="P60" s="266">
        <f>Data!L58</f>
        <v>8362</v>
      </c>
      <c r="Q60" s="266" t="str">
        <f>Data!M58</f>
        <v/>
      </c>
    </row>
    <row r="61" spans="1:17" ht="15.75" customHeight="1">
      <c r="A61" s="10"/>
      <c r="B61" s="30" t="s">
        <v>164</v>
      </c>
      <c r="C61" s="267">
        <f>C59+C60</f>
        <v>0</v>
      </c>
      <c r="E61" s="237"/>
      <c r="G61" s="267">
        <f t="shared" ref="G61:Q61" si="21">IF(G4="","",G59+G60)</f>
        <v>284827</v>
      </c>
      <c r="H61" s="267">
        <f t="shared" si="21"/>
        <v>295418</v>
      </c>
      <c r="I61" s="267">
        <f t="shared" si="21"/>
        <v>335696</v>
      </c>
      <c r="J61" s="267">
        <f t="shared" si="21"/>
        <v>278533</v>
      </c>
      <c r="K61" s="267">
        <f t="shared" si="21"/>
        <v>111936</v>
      </c>
      <c r="L61" s="267">
        <f t="shared" si="21"/>
        <v>129840</v>
      </c>
      <c r="M61" s="267">
        <f t="shared" si="21"/>
        <v>136795</v>
      </c>
      <c r="N61" s="267">
        <f t="shared" si="21"/>
        <v>114853</v>
      </c>
      <c r="O61" s="267">
        <f t="shared" si="21"/>
        <v>135945</v>
      </c>
      <c r="P61" s="267">
        <f t="shared" si="21"/>
        <v>8362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4"/>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4"/>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4"/>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4"/>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4"/>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4"/>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4"/>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3">
        <f>MIN(BS!C62,MAX(G79:K79))</f>
        <v>8.2089109595685013E-4</v>
      </c>
      <c r="D79" s="26"/>
      <c r="E79" s="234"/>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4"/>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4"/>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0.03</v>
      </c>
      <c r="E88" s="237"/>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7"/>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7"/>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5.5670103092783509E-2</v>
      </c>
      <c r="E92" s="237"/>
      <c r="G92" s="22">
        <f t="shared" ref="G92:Q92" si="38">IF(G$4="","",(G88*(1-dividend_tax_rate))/Market_Price)</f>
        <v>5.5670103092783509E-2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4"/>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12590930</v>
      </c>
      <c r="D100" s="25"/>
      <c r="E100" s="238"/>
      <c r="F100" s="25"/>
      <c r="G100" s="270">
        <f t="shared" ref="G100:Q100" si="41">IF(G$4="","",G104+G103)</f>
        <v>12590930</v>
      </c>
      <c r="H100" s="270">
        <f t="shared" si="41"/>
        <v>13257673</v>
      </c>
      <c r="I100" s="270">
        <f t="shared" si="41"/>
        <v>13598861</v>
      </c>
      <c r="J100" s="270">
        <f t="shared" si="41"/>
        <v>16658980</v>
      </c>
      <c r="K100" s="270">
        <f t="shared" si="41"/>
        <v>17022269</v>
      </c>
      <c r="L100" s="270">
        <f t="shared" si="41"/>
        <v>17390782</v>
      </c>
      <c r="M100" s="270">
        <f t="shared" si="41"/>
        <v>13237469</v>
      </c>
      <c r="N100" s="270">
        <f t="shared" si="41"/>
        <v>11470110</v>
      </c>
      <c r="O100" s="270">
        <f t="shared" si="41"/>
        <v>10043776</v>
      </c>
      <c r="P100" s="270">
        <f t="shared" si="41"/>
        <v>1301225</v>
      </c>
      <c r="Q100" s="270" t="str">
        <f t="shared" si="41"/>
        <v/>
      </c>
    </row>
    <row r="101" spans="1:17" ht="15.75" customHeight="1">
      <c r="A101" s="10"/>
      <c r="B101" s="90" t="s">
        <v>179</v>
      </c>
      <c r="C101" s="281">
        <f>BS!C4</f>
        <v>2009997</v>
      </c>
      <c r="D101" s="86"/>
      <c r="E101" s="239"/>
      <c r="F101" s="86"/>
      <c r="G101" s="282">
        <f>IF(G$4="","",Data!D77)</f>
        <v>978919</v>
      </c>
      <c r="H101" s="282">
        <f>IF(H$4="","",Data!E77)</f>
        <v>862084</v>
      </c>
      <c r="I101" s="282">
        <f>IF(I$4="","",Data!F77)</f>
        <v>1165003</v>
      </c>
      <c r="J101" s="282">
        <f>IF(J$4="","",Data!G77)</f>
        <v>1702963</v>
      </c>
      <c r="K101" s="282">
        <f>IF(K$4="","",Data!H77)</f>
        <v>1407523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4865388</v>
      </c>
      <c r="D102" s="86"/>
      <c r="E102" s="239"/>
      <c r="F102" s="86"/>
      <c r="G102" s="282">
        <f>IF(G$4="","",Data!D78)</f>
        <v>4704713</v>
      </c>
      <c r="H102" s="282">
        <f>IF(H$4="","",Data!E78)</f>
        <v>6071858</v>
      </c>
      <c r="I102" s="282">
        <f>IF(I$4="","",Data!F78)</f>
        <v>7578037</v>
      </c>
      <c r="J102" s="282">
        <f>IF(J$4="","",Data!G78)</f>
        <v>5869541</v>
      </c>
      <c r="K102" s="282">
        <f>IF(K$4="","",Data!H78)</f>
        <v>8021487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3613572</v>
      </c>
      <c r="D103" s="25"/>
      <c r="E103" s="238"/>
      <c r="F103" s="25"/>
      <c r="G103" s="270">
        <f>Data!C79</f>
        <v>3613572</v>
      </c>
      <c r="H103" s="270">
        <f>Data!D79</f>
        <v>4647092</v>
      </c>
      <c r="I103" s="270">
        <f>Data!E79</f>
        <v>5404941</v>
      </c>
      <c r="J103" s="270">
        <f>Data!F79</f>
        <v>8456784</v>
      </c>
      <c r="K103" s="270">
        <f>Data!G79</f>
        <v>9146239</v>
      </c>
      <c r="L103" s="270">
        <f>Data!H79</f>
        <v>9684704</v>
      </c>
      <c r="M103" s="270">
        <f>Data!I79</f>
        <v>6201932</v>
      </c>
      <c r="N103" s="270">
        <f>Data!J79</f>
        <v>5028581</v>
      </c>
      <c r="O103" s="270">
        <f>Data!K79</f>
        <v>3910265</v>
      </c>
      <c r="P103" s="270">
        <f>Data!L79</f>
        <v>425087</v>
      </c>
      <c r="Q103" s="270" t="str">
        <f>Data!M79</f>
        <v/>
      </c>
    </row>
    <row r="104" spans="1:17" ht="15.75" customHeight="1">
      <c r="A104" s="10"/>
      <c r="B104" s="25" t="s">
        <v>28</v>
      </c>
      <c r="C104" s="280">
        <f>BS!G27</f>
        <v>8977358</v>
      </c>
      <c r="D104" s="25"/>
      <c r="E104" s="238"/>
      <c r="F104" s="25"/>
      <c r="G104" s="270">
        <f>Data!C80</f>
        <v>8977358</v>
      </c>
      <c r="H104" s="270">
        <f>Data!D80</f>
        <v>8610581</v>
      </c>
      <c r="I104" s="270">
        <f>Data!E80</f>
        <v>8193920</v>
      </c>
      <c r="J104" s="270">
        <f>Data!F80</f>
        <v>8202196</v>
      </c>
      <c r="K104" s="270">
        <f>Data!G80</f>
        <v>7876030</v>
      </c>
      <c r="L104" s="270">
        <f>Data!H80</f>
        <v>7706078</v>
      </c>
      <c r="M104" s="270">
        <f>Data!I80</f>
        <v>7035537</v>
      </c>
      <c r="N104" s="270">
        <f>Data!J80</f>
        <v>6441529</v>
      </c>
      <c r="O104" s="270">
        <f>Data!K80</f>
        <v>6133511</v>
      </c>
      <c r="P104" s="270">
        <f>Data!L80</f>
        <v>876138</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8"/>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8"/>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2.3795513255742011</v>
      </c>
      <c r="H112" s="251">
        <f>IF(H$4="","",Data!D$22/Data!D15)</f>
        <v>6.7649123225385921</v>
      </c>
      <c r="I112" s="251">
        <f>IF(I$4="","",Data!E$22/Data!E15)</f>
        <v>26.601019573415272</v>
      </c>
      <c r="J112" s="251">
        <f>IF(J$4="","",Data!F$22/Data!F15)</f>
        <v>4.8896169046320077</v>
      </c>
      <c r="K112" s="251">
        <f>IF(K$4="","",Data!G$22/Data!G15)</f>
        <v>16.269338333439268</v>
      </c>
      <c r="L112" s="251">
        <f>IF(L$4="","",Data!H$22/Data!H15)</f>
        <v>2.0768794535804798</v>
      </c>
      <c r="M112" s="251">
        <f>IF(M$4="","",Data!I$22/Data!I15)</f>
        <v>-1.0989598747713472E-2</v>
      </c>
      <c r="N112" s="251">
        <f>IF(N$4="","",Data!J$22/Data!J15)</f>
        <v>-0.48113398484936104</v>
      </c>
      <c r="O112" s="251">
        <f>IF(O$4="","",Data!K$22/Data!K15)</f>
        <v>-2.005403687779906E-2</v>
      </c>
      <c r="P112" s="251">
        <f>IF(P$4="","",Data!L$22/Data!L15)</f>
        <v>2.3358991628981043</v>
      </c>
      <c r="Q112" s="251" t="str">
        <f>IF(Q$4="","",Data!M$22/Data!M15)</f>
        <v/>
      </c>
    </row>
    <row r="113" spans="1:17" ht="15.75" customHeight="1">
      <c r="A113" s="10"/>
      <c r="B113" s="2" t="s">
        <v>304</v>
      </c>
      <c r="C113" s="151"/>
      <c r="E113" s="459">
        <f>(Normalized_FCF!E117/Normalized_FCF!C117)^(1/DCF!C15)-1</f>
        <v>0</v>
      </c>
      <c r="G113" s="251">
        <f>IF(G$4="","",Data!C$22/G19)</f>
        <v>6.4092597069164698</v>
      </c>
      <c r="H113" s="251">
        <f>IF(H$4="","",Data!D$22/H19)</f>
        <v>19.063868903239346</v>
      </c>
      <c r="I113" s="251">
        <f>IF(I$4="","",Data!E$22/I19)</f>
        <v>-10.405566269766734</v>
      </c>
      <c r="J113" s="251">
        <f>IF(J$4="","",Data!F$22/J19)</f>
        <v>27.930517386878648</v>
      </c>
      <c r="K113" s="251">
        <f>IF(K$4="","",Data!G$22/K19)</f>
        <v>26.816148430624818</v>
      </c>
      <c r="L113" s="251">
        <f>IF(L$4="","",Data!H$22/L19)</f>
        <v>2.5979187842515654</v>
      </c>
      <c r="M113" s="251">
        <f>IF(M$4="","",Data!I$22/M19)</f>
        <v>-1.5178789095108756E-2</v>
      </c>
      <c r="N113" s="251">
        <f>IF(N$4="","",Data!J$22/N19)</f>
        <v>-0.71451932056864986</v>
      </c>
      <c r="O113" s="251">
        <f>IF(O$4="","",Data!K$22/O19)</f>
        <v>-2.6900813406368778E-2</v>
      </c>
      <c r="P113" s="251">
        <f>IF(P$4="","",Data!L$22/P19)</f>
        <v>2.697644269945922</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2">
        <f>E119/E117/E118</f>
        <v>1.9127481481925439E-2</v>
      </c>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52">
        <f>G117</f>
        <v>1.4656521003611329</v>
      </c>
      <c r="E117" s="452">
        <f>C117</f>
        <v>1.4656521003611329</v>
      </c>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15">
        <f>C100/C104</f>
        <v>1.4025206525126881</v>
      </c>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62">
        <f>C11/C104</f>
        <v>3.931859133292645E-2</v>
      </c>
      <c r="D119" s="100"/>
      <c r="E119" s="453">
        <f>C11/C104</f>
        <v>3.931859133292645E-2</v>
      </c>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5.3948191182265993E-2</v>
      </c>
      <c r="D123" s="26"/>
      <c r="E123" s="234"/>
      <c r="F123" s="26"/>
      <c r="G123" s="159">
        <f t="shared" ref="G123:Q123" si="48">IF(G$4="","",G14*$C$3/Common_Shares*Exchange_Rate)</f>
        <v>3.995040557946692E-2</v>
      </c>
      <c r="H123" s="159">
        <f t="shared" si="48"/>
        <v>3.859744586931519E-2</v>
      </c>
      <c r="I123" s="159">
        <f t="shared" si="48"/>
        <v>-5.5389169903759729E-2</v>
      </c>
      <c r="J123" s="159">
        <f t="shared" si="48"/>
        <v>1.421872065712243E-2</v>
      </c>
      <c r="K123" s="159">
        <f t="shared" si="48"/>
        <v>4.1264342424709666E-2</v>
      </c>
      <c r="L123" s="159">
        <f t="shared" si="48"/>
        <v>0.15204910695179588</v>
      </c>
      <c r="M123" s="159">
        <f t="shared" si="48"/>
        <v>8.7777943931387617E-2</v>
      </c>
      <c r="N123" s="159">
        <f t="shared" si="48"/>
        <v>6.0407872611842522E-2</v>
      </c>
      <c r="O123" s="159">
        <f t="shared" si="48"/>
        <v>9.1785624089459436E-2</v>
      </c>
      <c r="P123" s="159">
        <f t="shared" si="48"/>
        <v>1.1671360650193936E-2</v>
      </c>
      <c r="Q123" s="159" t="str">
        <f t="shared" si="48"/>
        <v/>
      </c>
    </row>
    <row r="124" spans="1:17" ht="15.75" customHeight="1">
      <c r="A124" s="10"/>
      <c r="B124" s="26" t="s">
        <v>226</v>
      </c>
      <c r="C124" s="74">
        <f>C19*Exchange_Rate*$C$3/(Market_Price*Common_Shares)</f>
        <v>0.11123338388096082</v>
      </c>
      <c r="D124" s="26"/>
      <c r="E124" s="234"/>
      <c r="F124" s="26"/>
      <c r="G124" s="74">
        <f t="shared" ref="G124" si="49">IF(G$4="","",G123/Market_Price)</f>
        <v>8.237197026694211E-2</v>
      </c>
      <c r="H124" s="74">
        <f t="shared" ref="H124" si="50">IF(H$4="","",H123/Market_Price)</f>
        <v>7.9582362617144728E-2</v>
      </c>
      <c r="I124" s="74">
        <f t="shared" ref="I124" si="51">IF(I$4="","",I123/Market_Price)</f>
        <v>-0.11420447402837058</v>
      </c>
      <c r="J124" s="74">
        <f t="shared" ref="J124" si="52">IF(J$4="","",J123/Market_Price)</f>
        <v>2.9316949808499856E-2</v>
      </c>
      <c r="K124" s="74">
        <f t="shared" ref="K124" si="53">IF(K$4="","",K123/Market_Price)</f>
        <v>8.5081118401463235E-2</v>
      </c>
      <c r="L124" s="74">
        <f t="shared" ref="L124" si="54">IF(L$4="","",L123/Market_Price)</f>
        <v>0.31350331330267195</v>
      </c>
      <c r="M124" s="74">
        <f t="shared" ref="M124" si="55">IF(M$4="","",M123/Market_Price)</f>
        <v>0.18098545140492292</v>
      </c>
      <c r="N124" s="74">
        <f t="shared" ref="N124" si="56">IF(N$4="","",N123/Market_Price)</f>
        <v>0.12455231466359283</v>
      </c>
      <c r="O124" s="74">
        <f t="shared" ref="O124" si="57">IF(O$4="","",O123/Market_Price)</f>
        <v>0.18924870946280298</v>
      </c>
      <c r="P124" s="74">
        <f t="shared" ref="P124" si="58">IF(P$4="","",P123/Market_Price)</f>
        <v>2.4064661134420486E-2</v>
      </c>
      <c r="Q124" s="74" t="str">
        <f t="shared" ref="Q124" si="59">IF(Q$4="","",Q123/Market_Price)</f>
        <v/>
      </c>
    </row>
    <row r="125" spans="1:17" ht="15.75" customHeight="1">
      <c r="B125" s="2" t="s">
        <v>306</v>
      </c>
      <c r="C125" s="151"/>
      <c r="G125" s="22">
        <f>IF(G$4="","",(Data!C47*$C$3)/(Market_Price*Common_Shares))</f>
        <v>0.19801187798977843</v>
      </c>
      <c r="H125" s="22">
        <f>IF(H$4="","",(Data!D47*$C$3)/(Market_Price*Common_Shares))</f>
        <v>0.20015419386744746</v>
      </c>
      <c r="I125" s="22">
        <f>IF(I$4="","",(Data!E47*$C$3)/(Market_Price*Common_Shares))</f>
        <v>3.9870304297398289E-2</v>
      </c>
      <c r="J125" s="22">
        <f>IF(J$4="","",(Data!F47*$C$3)/(Market_Price*Common_Shares))</f>
        <v>0.14945894961261091</v>
      </c>
      <c r="K125" s="22">
        <f>IF(K$4="","",(Data!G47*$C$3)/(Market_Price*Common_Shares))</f>
        <v>0.12515802340648602</v>
      </c>
      <c r="L125" s="22">
        <f>IF(L$4="","",(Data!H47*$C$3)/(Market_Price*Common_Shares))</f>
        <v>0.34998981877455382</v>
      </c>
      <c r="M125" s="22">
        <f>IF(M$4="","",(Data!I47*$C$3)/(Market_Price*Common_Shares))</f>
        <v>0.22309916856466525</v>
      </c>
      <c r="N125" s="22">
        <f>IF(N$4="","",(Data!J47*$C$3)/(Market_Price*Common_Shares))</f>
        <v>0.16508162705917723</v>
      </c>
      <c r="O125" s="22">
        <f>IF(O$4="","",(Data!K47*$C$3)/(Market_Price*Common_Shares))</f>
        <v>0.22656641095338431</v>
      </c>
      <c r="P125" s="22">
        <f>IF(P$4="","",(Data!L47*$C$3)/(Market_Price*Common_Shares))</f>
        <v>2.4803292517579782E-2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249584.14176236014</v>
      </c>
      <c r="D4" t="str">
        <f>Reporting_currency</f>
        <v>CNY</v>
      </c>
      <c r="E4" s="135" t="s">
        <v>431</v>
      </c>
      <c r="F4" s="275">
        <f>-BS!G31</f>
        <v>-1457859</v>
      </c>
      <c r="G4" t="str">
        <f>Reporting_currency</f>
        <v>CNY</v>
      </c>
      <c r="H4" s="308" t="s">
        <v>394</v>
      </c>
      <c r="I4" s="305">
        <f>Normalized_FCF!C4</f>
        <v>18453923</v>
      </c>
      <c r="J4" s="305"/>
    </row>
    <row r="5" spans="2:15">
      <c r="B5" s="187" t="s">
        <v>105</v>
      </c>
      <c r="C5" s="188">
        <f>Equity_Cost</f>
        <v>7.2499999999999995E-2</v>
      </c>
      <c r="E5" s="135" t="s">
        <v>432</v>
      </c>
      <c r="F5" s="275">
        <f>BS!D66</f>
        <v>1177571.1638700066</v>
      </c>
      <c r="G5" t="str">
        <f>Reporting_currency</f>
        <v>CNY</v>
      </c>
      <c r="H5" s="308" t="s">
        <v>395</v>
      </c>
      <c r="I5" s="305">
        <f>Normalized_FCF!C7</f>
        <v>-751646</v>
      </c>
      <c r="J5" s="305"/>
    </row>
    <row r="6" spans="2:15" ht="13.25" customHeight="1">
      <c r="B6" s="136" t="s">
        <v>194</v>
      </c>
      <c r="C6" s="283">
        <f>(C4*(1+Terminal_Growth))/(Equity_Cost-Terminal_Growth)</f>
        <v>3442539.8863773816</v>
      </c>
      <c r="D6" t="str">
        <f>Reporting_currency</f>
        <v>CNY</v>
      </c>
      <c r="E6" s="187" t="s">
        <v>433</v>
      </c>
      <c r="F6" s="284">
        <f>BS!H42</f>
        <v>1649.3999999999999</v>
      </c>
      <c r="G6" t="str">
        <f>Reporting_currency</f>
        <v>CNY</v>
      </c>
      <c r="H6" s="308" t="s">
        <v>416</v>
      </c>
      <c r="I6" s="305">
        <f>I7+I8</f>
        <v>-57727.341638700062</v>
      </c>
      <c r="J6" s="305"/>
      <c r="N6" s="135"/>
    </row>
    <row r="7" spans="2:15" ht="12.75" customHeight="1">
      <c r="B7" s="318" t="s">
        <v>430</v>
      </c>
      <c r="C7" s="275">
        <f>F7</f>
        <v>-278638.43612999341</v>
      </c>
      <c r="E7" s="140" t="s">
        <v>424</v>
      </c>
      <c r="F7" s="283">
        <f>SUM(F4:F6)</f>
        <v>-278638.43612999341</v>
      </c>
      <c r="G7" t="str">
        <f>Reporting_currency</f>
        <v>CNY</v>
      </c>
      <c r="H7" s="312" t="s">
        <v>417</v>
      </c>
      <c r="I7" s="313">
        <f>Normalized_FCF!C9</f>
        <v>0</v>
      </c>
      <c r="J7" s="313"/>
      <c r="N7" s="304"/>
      <c r="O7" s="304"/>
    </row>
    <row r="8" spans="2:15" ht="13.15">
      <c r="B8" s="136" t="s">
        <v>426</v>
      </c>
      <c r="C8" s="283">
        <f>C6+C7</f>
        <v>3163901.4502473883</v>
      </c>
      <c r="D8" t="str">
        <f>Reporting_currency</f>
        <v>CNY</v>
      </c>
      <c r="E8" s="140" t="s">
        <v>464</v>
      </c>
      <c r="F8" s="108">
        <f>FV_adjustments*scaling_factor/Common_Shares*Exchange_Rate</f>
        <v>-6.0228344304748153E-2</v>
      </c>
      <c r="G8" s="294" t="str">
        <f>Market_currency</f>
        <v>HKD</v>
      </c>
      <c r="H8" s="314" t="str">
        <f>Normalized_FCF!B10</f>
        <v>Net Interest Income</v>
      </c>
      <c r="I8" s="313">
        <f>Normalized_FCF!C10</f>
        <v>-57727.341638700062</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8.2089109595685013E-4</v>
      </c>
      <c r="J9" s="306"/>
      <c r="N9" s="304"/>
      <c r="O9" s="304"/>
    </row>
    <row r="10" spans="2:15" ht="13.5" thickTop="1">
      <c r="B10" s="107" t="s">
        <v>427</v>
      </c>
      <c r="C10" s="283">
        <f>C8*Exchange_Rate</f>
        <v>3545062.9546166956</v>
      </c>
      <c r="D10" t="str">
        <f>Market_currency</f>
        <v>HKD</v>
      </c>
      <c r="H10" s="308" t="s">
        <v>397</v>
      </c>
      <c r="I10" s="306">
        <f>Normalized_FCF!C41</f>
        <v>0.25</v>
      </c>
      <c r="N10" s="304"/>
      <c r="O10" s="304"/>
    </row>
    <row r="11" spans="2:15" ht="13.15">
      <c r="B11" s="136" t="s">
        <v>425</v>
      </c>
      <c r="C11" s="108">
        <f>(C10*scaling_factor)/Common_Shares</f>
        <v>0.68388463751961048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-1.18616219589511E-2</v>
      </c>
      <c r="E16" s="308" t="s">
        <v>400</v>
      </c>
      <c r="F16" s="311">
        <f>Scenarios!C41</f>
        <v>-1.18616219589511E-2</v>
      </c>
    </row>
    <row r="17" spans="1:21" ht="13.25" customHeight="1">
      <c r="B17" s="308" t="s">
        <v>548</v>
      </c>
      <c r="C17" s="306">
        <f>Normalized_FCF!C77</f>
        <v>1.9127481481925439E-2</v>
      </c>
      <c r="E17" s="308" t="s">
        <v>549</v>
      </c>
      <c r="F17" s="311">
        <f>Scenarios!C40</f>
        <v>1.9127481481925439E-2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0.6594336865645366</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18235029.541714408</v>
      </c>
      <c r="D21" s="299">
        <f t="shared" ref="D21:D50" si="1">IF(A21="",0,IF(A21="I",$C$16,$F$16))</f>
        <v>-1.18616219589511E-2</v>
      </c>
      <c r="E21" s="299">
        <f>$C$17</f>
        <v>1.9127481481925439E-2</v>
      </c>
      <c r="F21" s="277">
        <f>C21*E21</f>
        <v>348790.18988150568</v>
      </c>
      <c r="G21" s="299">
        <f t="shared" ref="G21:G50" si="2">IF(A21="",0%,IF(A21="I",$C$18,$F$18))</f>
        <v>0</v>
      </c>
      <c r="H21" s="277">
        <f>(F21*(1-$I$10)+C21*(G21-$I$9))</f>
        <v>246623.66902582577</v>
      </c>
      <c r="I21" s="299">
        <f>H21/C4-1</f>
        <v>-1.186162195895113E-2</v>
      </c>
      <c r="J21" s="299">
        <f>H21/C21</f>
        <v>1.352472001548723E-2</v>
      </c>
      <c r="K21" s="119">
        <f t="shared" ref="K21:K50" si="3">IF($C$15&lt;B21,0,1/(1+Equity_Cost)^B21)</f>
        <v>0.93240093240093236</v>
      </c>
      <c r="L21" s="277">
        <f t="shared" ref="L21:L51" si="4">H21*K21</f>
        <v>229952.1389518189</v>
      </c>
    </row>
    <row r="22" spans="1:21">
      <c r="A22" s="302" t="str">
        <f t="shared" si="0"/>
        <v>I</v>
      </c>
      <c r="B22" s="117">
        <v>2</v>
      </c>
      <c r="C22" s="277">
        <f t="shared" ref="C22:C50" si="5">IF(A22="",0,C21*(1+D22))</f>
        <v>18018732.514880285</v>
      </c>
      <c r="D22" s="299">
        <f t="shared" si="1"/>
        <v>-1.18616219589511E-2</v>
      </c>
      <c r="E22" s="299">
        <f t="shared" ref="E22:E50" si="6">IF($C$15&lt;B22,0,IF(B22&gt;=$F$15,$F$17,$C$17))</f>
        <v>1.9127481481925439E-2</v>
      </c>
      <c r="F22" s="277">
        <f t="shared" ref="F22:F50" si="7">IF(A22="", 0,C22*E22)</f>
        <v>344652.97250614042</v>
      </c>
      <c r="G22" s="299">
        <f t="shared" si="2"/>
        <v>0</v>
      </c>
      <c r="H22" s="277">
        <f t="shared" ref="H22:H50" si="8">IF(A22="", 0,F22*(1-$I$10)+C22*(G22-$I$9))</f>
        <v>243698.31229771191</v>
      </c>
      <c r="I22" s="299">
        <f t="shared" ref="I22:I50" si="9">IF(A22="", 0,H22/H21-1)</f>
        <v>-1.1861621958951241E-2</v>
      </c>
      <c r="J22" s="299">
        <f>IF(A22="", 0,H22/C22)</f>
        <v>1.3524720015487228E-2</v>
      </c>
      <c r="K22" s="119">
        <f t="shared" si="3"/>
        <v>0.86937149874212816</v>
      </c>
      <c r="L22" s="277">
        <f t="shared" si="4"/>
        <v>211864.36700318899</v>
      </c>
    </row>
    <row r="23" spans="1:21">
      <c r="A23" s="302" t="str">
        <f t="shared" si="0"/>
        <v>I</v>
      </c>
      <c r="B23" s="117">
        <v>3</v>
      </c>
      <c r="C23" s="277">
        <f t="shared" si="5"/>
        <v>17805001.121609315</v>
      </c>
      <c r="D23" s="299">
        <f t="shared" si="1"/>
        <v>-1.18616219589511E-2</v>
      </c>
      <c r="E23" s="299">
        <f t="shared" si="6"/>
        <v>1.9127481481925439E-2</v>
      </c>
      <c r="F23" s="277">
        <f t="shared" si="7"/>
        <v>340564.82923924387</v>
      </c>
      <c r="G23" s="299">
        <f t="shared" si="2"/>
        <v>0</v>
      </c>
      <c r="H23" s="277">
        <f t="shared" si="8"/>
        <v>240807.65504520209</v>
      </c>
      <c r="I23" s="299">
        <f t="shared" si="9"/>
        <v>-1.1861621958950908E-2</v>
      </c>
      <c r="J23" s="299">
        <f t="shared" ref="J23:J50" si="10">IF(A23="", 0,H23/C23)</f>
        <v>1.352472001548723E-2</v>
      </c>
      <c r="K23" s="119">
        <f t="shared" si="3"/>
        <v>0.81060279602995633</v>
      </c>
      <c r="L23" s="277">
        <f t="shared" si="4"/>
        <v>195199.35848505804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17805001.121609315</v>
      </c>
      <c r="D51" s="301">
        <f>Terminal_Growth</f>
        <v>0</v>
      </c>
      <c r="E51" s="301">
        <f>F17</f>
        <v>1.9127481481925439E-2</v>
      </c>
      <c r="F51" s="277">
        <f>C51*E51</f>
        <v>340564.82923924387</v>
      </c>
      <c r="G51" s="299">
        <f>F18</f>
        <v>0</v>
      </c>
      <c r="H51" s="277">
        <f>(F51*(1-$I$10)+C51*(G51-$I$9))/Equity_Cost</f>
        <v>3321484.8971752017</v>
      </c>
      <c r="I51" s="415">
        <f>(F51*(1-$I$10)+C51*(G51-$I$9))/VLOOKUP(C15,B21:H50,COLUMN(H20)-1,FALSE)-1</f>
        <v>0</v>
      </c>
      <c r="J51" s="454"/>
      <c r="K51" s="119">
        <f>1/(1+Equity_Cost)^C15</f>
        <v>0.81060279602995633</v>
      </c>
      <c r="L51" s="277">
        <f t="shared" si="4"/>
        <v>2692404.9446214903</v>
      </c>
    </row>
    <row r="52" spans="1:21" ht="13.15">
      <c r="G52" s="111"/>
      <c r="H52" s="111"/>
      <c r="I52" s="111"/>
      <c r="J52" s="468" t="s">
        <v>420</v>
      </c>
      <c r="K52" s="468"/>
      <c r="L52" s="317">
        <f>SUM(L21:L51)</f>
        <v>3329420.8090615561</v>
      </c>
    </row>
    <row r="53" spans="1:21">
      <c r="C53" s="111"/>
    </row>
    <row r="54" spans="1:21" ht="13.15">
      <c r="B54" s="115" t="s">
        <v>108</v>
      </c>
      <c r="C54" s="128"/>
      <c r="D54" s="128"/>
      <c r="E54" s="113"/>
      <c r="F54" s="113"/>
      <c r="G54" s="113"/>
      <c r="H54" s="113"/>
      <c r="I54" s="113"/>
      <c r="J54" s="113"/>
      <c r="K54" s="113"/>
      <c r="L54" s="113"/>
    </row>
    <row r="55" spans="1:21" ht="13.15">
      <c r="A55" s="125">
        <f>L52</f>
        <v>3329420.8090615561</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3580241.4818324763</v>
      </c>
      <c r="C56" s="118">
        <v>3373689.0886498336</v>
      </c>
      <c r="D56" s="118">
        <v>3442539.8863773812</v>
      </c>
      <c r="E56" s="118">
        <v>3511390.6841049292</v>
      </c>
      <c r="F56" s="118">
        <v>3098285.8977396428</v>
      </c>
      <c r="G56" s="295"/>
      <c r="H56" s="295"/>
      <c r="I56" s="295"/>
      <c r="J56" s="295"/>
      <c r="K56" s="295"/>
      <c r="L56" s="295"/>
    </row>
    <row r="57" spans="1:21" ht="13.15">
      <c r="A57" s="131">
        <v>2</v>
      </c>
      <c r="B57" s="118">
        <v>3713770.3016677205</v>
      </c>
      <c r="C57" s="118">
        <v>3310776.4716120744</v>
      </c>
      <c r="D57" s="118">
        <v>3442539.8863773821</v>
      </c>
      <c r="E57" s="118">
        <v>3576871.1630625962</v>
      </c>
      <c r="F57" s="118">
        <v>2809401.4317499325</v>
      </c>
      <c r="G57" s="295"/>
      <c r="H57" s="295"/>
      <c r="I57" s="295"/>
      <c r="J57" s="295"/>
      <c r="K57" s="295"/>
      <c r="L57" s="295"/>
    </row>
    <row r="58" spans="1:21" ht="13.15">
      <c r="A58" s="131">
        <v>3</v>
      </c>
      <c r="B58" s="118">
        <v>3843252.7936291695</v>
      </c>
      <c r="C58" s="118">
        <v>3253289.884482001</v>
      </c>
      <c r="D58" s="118">
        <v>3442539.8863773821</v>
      </c>
      <c r="E58" s="118">
        <v>3639146.3038894692</v>
      </c>
      <c r="F58" s="118">
        <v>2566980.9008494769</v>
      </c>
      <c r="G58" s="295"/>
      <c r="H58" s="295"/>
      <c r="I58" s="295"/>
      <c r="J58" s="295"/>
      <c r="K58" s="295"/>
      <c r="L58" s="295"/>
    </row>
    <row r="59" spans="1:21" ht="13.15">
      <c r="A59" s="131">
        <v>4</v>
      </c>
      <c r="B59" s="118">
        <v>3968811.573712999</v>
      </c>
      <c r="C59" s="118">
        <v>3200761.347990185</v>
      </c>
      <c r="D59" s="118">
        <v>3442539.8863773812</v>
      </c>
      <c r="E59" s="118">
        <v>3698373.0112492926</v>
      </c>
      <c r="F59" s="118">
        <v>2363551.0847092336</v>
      </c>
      <c r="G59" s="295"/>
      <c r="H59" s="295"/>
      <c r="I59" s="295"/>
      <c r="J59" s="295"/>
      <c r="K59" s="295"/>
      <c r="L59" s="295"/>
    </row>
    <row r="60" spans="1:21" ht="13.15">
      <c r="A60" s="131">
        <v>5</v>
      </c>
      <c r="B60" s="118">
        <v>4090565.5422791364</v>
      </c>
      <c r="C60" s="118">
        <v>3152763.2447156124</v>
      </c>
      <c r="D60" s="118">
        <v>3442539.8863773812</v>
      </c>
      <c r="E60" s="118">
        <v>3754700.5091579352</v>
      </c>
      <c r="F60" s="118">
        <v>2192840.7494866522</v>
      </c>
      <c r="G60" s="295"/>
      <c r="H60" s="295"/>
      <c r="I60" s="295"/>
      <c r="J60" s="295"/>
      <c r="K60" s="295"/>
      <c r="L60" s="295"/>
    </row>
    <row r="61" spans="1:21" ht="13.15">
      <c r="A61" s="131">
        <v>6</v>
      </c>
      <c r="B61" s="118">
        <v>4208629.9966463</v>
      </c>
      <c r="C61" s="118">
        <v>3108904.8379938584</v>
      </c>
      <c r="D61" s="118">
        <v>3442539.8863773816</v>
      </c>
      <c r="E61" s="118">
        <v>3808270.7169591617</v>
      </c>
      <c r="F61" s="118">
        <v>2049587.3213278425</v>
      </c>
      <c r="G61" s="295"/>
      <c r="H61" s="295"/>
      <c r="I61" s="295"/>
      <c r="J61" s="295"/>
      <c r="K61" s="295"/>
      <c r="L61" s="295"/>
    </row>
    <row r="62" spans="1:21" ht="13.15">
      <c r="A62" s="131">
        <v>7</v>
      </c>
      <c r="B62" s="118">
        <v>4323116.7402750645</v>
      </c>
      <c r="C62" s="118">
        <v>3068829.091059295</v>
      </c>
      <c r="D62" s="118">
        <v>3442539.8863773821</v>
      </c>
      <c r="E62" s="118">
        <v>3859218.6068959944</v>
      </c>
      <c r="F62" s="118">
        <v>1929374.654341429</v>
      </c>
      <c r="G62" s="295"/>
      <c r="H62" s="295"/>
      <c r="I62" s="295"/>
      <c r="J62" s="295"/>
      <c r="K62" s="295"/>
      <c r="L62" s="295"/>
    </row>
    <row r="63" spans="1:21" ht="13.15">
      <c r="A63" s="131">
        <v>8</v>
      </c>
      <c r="B63" s="118">
        <v>4434134.188642351</v>
      </c>
      <c r="C63" s="118">
        <v>3032209.7605270138</v>
      </c>
      <c r="D63" s="118">
        <v>3442539.8863773816</v>
      </c>
      <c r="E63" s="118">
        <v>3907672.5441785739</v>
      </c>
      <c r="F63" s="118">
        <v>1828496.8918353473</v>
      </c>
      <c r="G63" s="295"/>
      <c r="H63" s="295"/>
      <c r="I63" s="295"/>
      <c r="J63" s="295"/>
      <c r="K63" s="295"/>
      <c r="L63" s="295"/>
    </row>
    <row r="64" spans="1:21" ht="13.15">
      <c r="A64" s="131">
        <v>9</v>
      </c>
      <c r="B64" s="118">
        <v>4541787.4719075989</v>
      </c>
      <c r="C64" s="118">
        <v>2998748.7405534601</v>
      </c>
      <c r="D64" s="118">
        <v>3442539.8863773812</v>
      </c>
      <c r="E64" s="118">
        <v>3953754.6104053645</v>
      </c>
      <c r="F64" s="118">
        <v>1743844.2239980763</v>
      </c>
      <c r="G64" s="295"/>
      <c r="H64" s="295"/>
      <c r="I64" s="295"/>
      <c r="J64" s="295"/>
      <c r="K64" s="295"/>
      <c r="L64" s="295"/>
    </row>
    <row r="65" spans="1:21" ht="13.15">
      <c r="A65" s="131">
        <v>10</v>
      </c>
      <c r="B65" s="118">
        <v>4646178.5344678387</v>
      </c>
      <c r="C65" s="118">
        <v>2968173.6360554816</v>
      </c>
      <c r="D65" s="118">
        <v>3442539.8863773812</v>
      </c>
      <c r="E65" s="118">
        <v>3997580.9111525211</v>
      </c>
      <c r="F65" s="118">
        <v>1672807.0202185479</v>
      </c>
      <c r="G65" s="295"/>
      <c r="H65" s="295"/>
      <c r="I65" s="295"/>
      <c r="J65" s="295"/>
      <c r="K65" s="295"/>
      <c r="L65" s="295"/>
    </row>
    <row r="66" spans="1:21" ht="13.15">
      <c r="A66" s="131">
        <v>15</v>
      </c>
      <c r="B66" s="118">
        <v>5122557.5084751379</v>
      </c>
      <c r="C66" s="277">
        <v>2850588.8527206294</v>
      </c>
      <c r="D66" s="118">
        <v>3442539.8863773812</v>
      </c>
      <c r="E66" s="118">
        <v>4186556.9874673146</v>
      </c>
      <c r="F66" s="118">
        <v>1456406.8710999861</v>
      </c>
      <c r="G66" s="295"/>
      <c r="H66" s="295"/>
      <c r="I66" s="295"/>
      <c r="J66" s="295"/>
      <c r="K66" s="295"/>
      <c r="L66" s="295"/>
      <c r="M66" s="275"/>
      <c r="N66" s="275"/>
      <c r="O66" s="275"/>
      <c r="P66" s="275"/>
      <c r="Q66" s="275"/>
      <c r="R66" s="275"/>
      <c r="S66" s="275"/>
      <c r="T66" s="275"/>
      <c r="U66" s="275"/>
    </row>
    <row r="67" spans="1:21" ht="13.15">
      <c r="A67" s="132">
        <v>20</v>
      </c>
      <c r="B67" s="118">
        <v>5531001.7494607242</v>
      </c>
      <c r="C67" s="277">
        <v>2775686.5796606042</v>
      </c>
      <c r="D67" s="118">
        <v>3442539.8863773812</v>
      </c>
      <c r="E67" s="118">
        <v>4333592.1419139495</v>
      </c>
      <c r="F67" s="118">
        <v>1366356.8956792706</v>
      </c>
      <c r="G67" s="295"/>
      <c r="H67" s="295"/>
      <c r="I67" s="295"/>
      <c r="J67" s="295"/>
      <c r="K67" s="295"/>
      <c r="L67" s="295"/>
      <c r="M67" s="275"/>
      <c r="N67" s="275"/>
      <c r="O67" s="275"/>
      <c r="P67" s="275"/>
      <c r="Q67" s="275"/>
      <c r="R67" s="275"/>
      <c r="S67" s="275"/>
      <c r="T67" s="275"/>
      <c r="U67" s="275"/>
    </row>
    <row r="68" spans="1:21" ht="13.15">
      <c r="A68" s="132">
        <v>25</v>
      </c>
      <c r="B68" s="118">
        <v>5881199.1911969669</v>
      </c>
      <c r="C68" s="277">
        <v>2727973.3437261418</v>
      </c>
      <c r="D68" s="118">
        <v>3442539.8863773807</v>
      </c>
      <c r="E68" s="118">
        <v>4447994.6475894973</v>
      </c>
      <c r="F68" s="118">
        <v>1328884.6568370103</v>
      </c>
      <c r="G68" s="295"/>
      <c r="H68" s="295"/>
      <c r="I68" s="295"/>
      <c r="J68" s="295"/>
      <c r="K68" s="295"/>
      <c r="L68" s="295"/>
      <c r="M68" s="275"/>
      <c r="N68" s="275"/>
      <c r="O68" s="275"/>
      <c r="P68" s="275"/>
      <c r="Q68" s="275"/>
      <c r="R68" s="275"/>
      <c r="S68" s="275"/>
      <c r="T68" s="275"/>
      <c r="U68" s="275"/>
    </row>
    <row r="69" spans="1:21" ht="13.15">
      <c r="A69" s="132">
        <v>30</v>
      </c>
      <c r="B69" s="118">
        <v>6181456.2052331539</v>
      </c>
      <c r="C69" s="277">
        <v>2697579.7015797505</v>
      </c>
      <c r="D69" s="118">
        <v>3442539.8863773802</v>
      </c>
      <c r="E69" s="118">
        <v>4537006.9205666631</v>
      </c>
      <c r="F69" s="118">
        <v>1313291.441211008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0.68388463751961048</v>
      </c>
      <c r="C73" s="119">
        <f>C11</f>
        <v>0.68388463751961048</v>
      </c>
      <c r="D73" s="119">
        <f>C11</f>
        <v>0.68388463751961048</v>
      </c>
      <c r="E73" s="119">
        <f>C11</f>
        <v>0.68388463751961048</v>
      </c>
      <c r="F73" s="119">
        <f>C11</f>
        <v>0.68388463751961048</v>
      </c>
      <c r="G73" s="296"/>
      <c r="H73" s="296"/>
      <c r="I73" s="296"/>
      <c r="J73" s="296"/>
      <c r="K73" s="296"/>
      <c r="L73" s="296"/>
    </row>
    <row r="74" spans="1:21" ht="13.15">
      <c r="A74" s="131">
        <v>1</v>
      </c>
      <c r="B74" s="119">
        <f t="shared" ref="B74:F87" si="11">(B56+FV_adjustments)/Common_Shares*scaling_factor*Exchange_Rate</f>
        <v>0.71364915679258478</v>
      </c>
      <c r="C74" s="119">
        <f t="shared" si="11"/>
        <v>0.66900237788312322</v>
      </c>
      <c r="D74" s="119">
        <f t="shared" si="11"/>
        <v>0.68388463751961037</v>
      </c>
      <c r="E74" s="119">
        <f t="shared" si="11"/>
        <v>0.69876689715609763</v>
      </c>
      <c r="F74" s="119">
        <f t="shared" si="11"/>
        <v>0.60947333933717451</v>
      </c>
      <c r="G74" s="296"/>
      <c r="H74" s="296"/>
      <c r="I74" s="296"/>
      <c r="J74" s="296"/>
      <c r="K74" s="296"/>
      <c r="L74" s="296"/>
    </row>
    <row r="75" spans="1:21" ht="13.15">
      <c r="A75" s="131">
        <v>2</v>
      </c>
      <c r="B75" s="119">
        <f t="shared" si="11"/>
        <v>0.74251172093607509</v>
      </c>
      <c r="C75" s="119">
        <f t="shared" si="11"/>
        <v>0.65540366977705566</v>
      </c>
      <c r="D75" s="119">
        <f t="shared" si="11"/>
        <v>0.68388463751961059</v>
      </c>
      <c r="E75" s="119">
        <f t="shared" si="11"/>
        <v>0.71292065457261677</v>
      </c>
      <c r="F75" s="119">
        <f t="shared" si="11"/>
        <v>0.54703029191135422</v>
      </c>
      <c r="G75" s="296"/>
      <c r="H75" s="296"/>
      <c r="I75" s="296"/>
      <c r="J75" s="296"/>
      <c r="K75" s="296"/>
      <c r="L75" s="296"/>
    </row>
    <row r="76" spans="1:21" ht="13.15">
      <c r="A76" s="131">
        <v>3</v>
      </c>
      <c r="B76" s="119">
        <f t="shared" si="11"/>
        <v>0.77049966192370212</v>
      </c>
      <c r="C76" s="119">
        <f t="shared" si="11"/>
        <v>0.64297781062186121</v>
      </c>
      <c r="D76" s="119">
        <f t="shared" si="11"/>
        <v>0.68388463751961059</v>
      </c>
      <c r="E76" s="119">
        <f t="shared" si="11"/>
        <v>0.72638157071699883</v>
      </c>
      <c r="F76" s="119">
        <f t="shared" si="11"/>
        <v>0.49463053183374295</v>
      </c>
      <c r="G76" s="296"/>
      <c r="H76" s="296"/>
      <c r="I76" s="296"/>
      <c r="J76" s="296"/>
      <c r="K76" s="296"/>
      <c r="L76" s="296"/>
    </row>
    <row r="77" spans="1:21" ht="13.15">
      <c r="A77" s="131">
        <v>4</v>
      </c>
      <c r="B77" s="119">
        <f t="shared" si="11"/>
        <v>0.79763948348746161</v>
      </c>
      <c r="C77" s="119">
        <f t="shared" si="11"/>
        <v>0.63162364561291862</v>
      </c>
      <c r="D77" s="119">
        <f t="shared" si="11"/>
        <v>0.68388463751961037</v>
      </c>
      <c r="E77" s="119">
        <f t="shared" si="11"/>
        <v>0.73918356089627124</v>
      </c>
      <c r="F77" s="119">
        <f t="shared" si="11"/>
        <v>0.4506587051951878</v>
      </c>
      <c r="G77" s="296"/>
      <c r="H77" s="296"/>
      <c r="I77" s="296"/>
      <c r="J77" s="296"/>
      <c r="K77" s="296"/>
      <c r="L77" s="296"/>
    </row>
    <row r="78" spans="1:21" ht="13.15">
      <c r="A78" s="131">
        <v>5</v>
      </c>
      <c r="B78" s="119">
        <f t="shared" si="11"/>
        <v>0.82395688621595575</v>
      </c>
      <c r="C78" s="119">
        <f t="shared" si="11"/>
        <v>0.62124874425276622</v>
      </c>
      <c r="D78" s="119">
        <f t="shared" si="11"/>
        <v>0.68388463751961037</v>
      </c>
      <c r="E78" s="119">
        <f t="shared" si="11"/>
        <v>0.75135888022760711</v>
      </c>
      <c r="F78" s="119">
        <f t="shared" si="11"/>
        <v>0.41375927025374304</v>
      </c>
      <c r="G78" s="296"/>
      <c r="H78" s="296"/>
      <c r="I78" s="296"/>
      <c r="J78" s="296"/>
      <c r="K78" s="296"/>
      <c r="L78" s="296"/>
    </row>
    <row r="79" spans="1:21" ht="13.15">
      <c r="A79" s="131">
        <v>6</v>
      </c>
      <c r="B79" s="119">
        <f t="shared" si="11"/>
        <v>0.84947679189207115</v>
      </c>
      <c r="C79" s="119">
        <f t="shared" si="11"/>
        <v>0.61176864790502783</v>
      </c>
      <c r="D79" s="119">
        <f t="shared" si="11"/>
        <v>0.68388463751961048</v>
      </c>
      <c r="E79" s="119">
        <f t="shared" si="11"/>
        <v>0.76293820490636011</v>
      </c>
      <c r="F79" s="119">
        <f t="shared" si="11"/>
        <v>0.38279470946371935</v>
      </c>
      <c r="G79" s="296"/>
      <c r="H79" s="296"/>
      <c r="I79" s="296"/>
      <c r="J79" s="296"/>
      <c r="K79" s="296"/>
      <c r="L79" s="296"/>
    </row>
    <row r="80" spans="1:21" ht="13.15">
      <c r="A80" s="131">
        <f t="shared" ref="A80" si="12">A62</f>
        <v>7</v>
      </c>
      <c r="B80" s="119">
        <f t="shared" si="11"/>
        <v>0.87422336709315285</v>
      </c>
      <c r="C80" s="119">
        <f t="shared" si="11"/>
        <v>0.60310618224462353</v>
      </c>
      <c r="D80" s="119">
        <f t="shared" si="11"/>
        <v>0.68388463751961059</v>
      </c>
      <c r="E80" s="119">
        <f t="shared" si="11"/>
        <v>0.77395070949594391</v>
      </c>
      <c r="F80" s="119">
        <f t="shared" si="11"/>
        <v>0.3568104626469164</v>
      </c>
      <c r="G80" s="296"/>
      <c r="H80" s="296"/>
      <c r="I80" s="296"/>
      <c r="J80" s="296"/>
      <c r="K80" s="296"/>
      <c r="L80" s="296"/>
    </row>
    <row r="81" spans="1:12" ht="13.15">
      <c r="A81" s="131">
        <v>8</v>
      </c>
      <c r="B81" s="119">
        <f t="shared" si="11"/>
        <v>0.89822004607601968</v>
      </c>
      <c r="C81" s="119">
        <f t="shared" si="11"/>
        <v>0.5951908290071446</v>
      </c>
      <c r="D81" s="119">
        <f t="shared" si="11"/>
        <v>0.68388463751961048</v>
      </c>
      <c r="E81" s="119">
        <f t="shared" si="11"/>
        <v>0.78442414043428854</v>
      </c>
      <c r="F81" s="119">
        <f t="shared" si="11"/>
        <v>0.33500550028316556</v>
      </c>
      <c r="G81" s="296"/>
      <c r="H81" s="296"/>
      <c r="I81" s="296"/>
      <c r="J81" s="296"/>
      <c r="K81" s="296"/>
      <c r="L81" s="296"/>
    </row>
    <row r="82" spans="1:12" ht="13.15">
      <c r="A82" s="131">
        <f t="shared" ref="A82" si="13">A64</f>
        <v>9</v>
      </c>
      <c r="B82" s="119">
        <f t="shared" si="11"/>
        <v>0.92148955296849688</v>
      </c>
      <c r="C82" s="119">
        <f t="shared" si="11"/>
        <v>0.58795815192301459</v>
      </c>
      <c r="D82" s="119">
        <f t="shared" si="11"/>
        <v>0.68388463751961037</v>
      </c>
      <c r="E82" s="119">
        <f t="shared" si="11"/>
        <v>0.79438488594208534</v>
      </c>
      <c r="F82" s="119">
        <f t="shared" si="11"/>
        <v>0.31670762976812994</v>
      </c>
      <c r="G82" s="296"/>
      <c r="H82" s="296"/>
      <c r="I82" s="296"/>
      <c r="J82" s="296"/>
      <c r="K82" s="296"/>
      <c r="L82" s="296"/>
    </row>
    <row r="83" spans="1:12" ht="13.15">
      <c r="A83" s="131">
        <f t="shared" ref="A83:A87" si="14">A65</f>
        <v>10</v>
      </c>
      <c r="B83" s="119">
        <f t="shared" si="11"/>
        <v>0.94405392328847448</v>
      </c>
      <c r="C83" s="119">
        <f t="shared" si="11"/>
        <v>0.58134927216315702</v>
      </c>
      <c r="D83" s="119">
        <f t="shared" si="11"/>
        <v>0.68388463751961037</v>
      </c>
      <c r="E83" s="119">
        <f t="shared" si="11"/>
        <v>0.80385804250894077</v>
      </c>
      <c r="F83" s="119">
        <f t="shared" si="11"/>
        <v>0.30135277339187622</v>
      </c>
      <c r="G83" s="296"/>
      <c r="H83" s="296"/>
      <c r="I83" s="296"/>
      <c r="J83" s="296"/>
      <c r="K83" s="296"/>
      <c r="L83" s="296"/>
    </row>
    <row r="84" spans="1:12" ht="13.15">
      <c r="A84" s="131">
        <f t="shared" si="14"/>
        <v>15</v>
      </c>
      <c r="B84" s="119">
        <f t="shared" si="11"/>
        <v>1.0470243435382811</v>
      </c>
      <c r="C84" s="119">
        <f t="shared" si="11"/>
        <v>0.55593304849333003</v>
      </c>
      <c r="D84" s="119">
        <f t="shared" si="11"/>
        <v>0.68388463751961037</v>
      </c>
      <c r="E84" s="119">
        <f t="shared" si="11"/>
        <v>0.84470565975704304</v>
      </c>
      <c r="F84" s="119">
        <f t="shared" si="11"/>
        <v>0.25457737919381562</v>
      </c>
      <c r="G84" s="296"/>
      <c r="H84" s="296"/>
      <c r="I84" s="296"/>
      <c r="J84" s="296"/>
      <c r="K84" s="296"/>
      <c r="L84" s="296"/>
    </row>
    <row r="85" spans="1:12" ht="13.15">
      <c r="A85" s="132">
        <f t="shared" si="14"/>
        <v>20</v>
      </c>
      <c r="B85" s="119">
        <f t="shared" si="11"/>
        <v>1.1353105136626884</v>
      </c>
      <c r="C85" s="119">
        <f t="shared" si="11"/>
        <v>0.53974274842660552</v>
      </c>
      <c r="D85" s="119">
        <f t="shared" si="11"/>
        <v>0.68388463751961037</v>
      </c>
      <c r="E85" s="119">
        <f t="shared" si="11"/>
        <v>0.8764876494563475</v>
      </c>
      <c r="F85" s="119">
        <f t="shared" si="11"/>
        <v>0.23511286812491658</v>
      </c>
      <c r="G85" s="296"/>
      <c r="H85" s="296"/>
      <c r="I85" s="296"/>
      <c r="J85" s="296"/>
      <c r="K85" s="296"/>
      <c r="L85" s="296"/>
    </row>
    <row r="86" spans="1:12" ht="13.15">
      <c r="A86" s="132">
        <f t="shared" si="14"/>
        <v>25</v>
      </c>
      <c r="B86" s="119">
        <f t="shared" si="11"/>
        <v>1.2110065030189179</v>
      </c>
      <c r="C86" s="119">
        <f t="shared" si="11"/>
        <v>0.52942942180280173</v>
      </c>
      <c r="D86" s="119">
        <f t="shared" si="11"/>
        <v>0.68388463751961026</v>
      </c>
      <c r="E86" s="119">
        <f t="shared" si="11"/>
        <v>0.90121601642844129</v>
      </c>
      <c r="F86" s="119">
        <f t="shared" si="11"/>
        <v>0.22701315677781267</v>
      </c>
      <c r="G86" s="296"/>
      <c r="H86" s="296"/>
      <c r="I86" s="296"/>
      <c r="J86" s="296"/>
      <c r="K86" s="296"/>
      <c r="L86" s="296"/>
    </row>
    <row r="87" spans="1:12" ht="13.15">
      <c r="A87" s="132">
        <f t="shared" si="14"/>
        <v>30</v>
      </c>
      <c r="B87" s="119">
        <f t="shared" si="11"/>
        <v>1.2759077530849723</v>
      </c>
      <c r="C87" s="119">
        <f t="shared" si="11"/>
        <v>0.52285976555116342</v>
      </c>
      <c r="D87" s="119">
        <f t="shared" si="11"/>
        <v>0.68388463751961026</v>
      </c>
      <c r="E87" s="119">
        <f t="shared" si="11"/>
        <v>0.92045622570709174</v>
      </c>
      <c r="F87" s="119">
        <f t="shared" si="11"/>
        <v>0.2236426470499196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3</v>
      </c>
      <c r="E90" s="127">
        <f>INDEX(B$73:F$87, MATCH(D90, A$73:A$87, 0), MATCH(C90, B$72:F$72, 0))</f>
        <v>0.49463053183374295</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0.72638157071699883</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0.68388463751961059</v>
      </c>
      <c r="F92" s="130">
        <f>Scenarios!F23*(1-F$90-F$94)</f>
        <v>0.44</v>
      </c>
      <c r="G92" s="297"/>
      <c r="H92" s="297"/>
      <c r="I92" s="297"/>
      <c r="J92" s="297"/>
      <c r="K92" s="297"/>
      <c r="L92" s="297"/>
    </row>
    <row r="93" spans="1:12">
      <c r="B93" s="120" t="str">
        <f>Scenarios!B24</f>
        <v>Pessimistic</v>
      </c>
      <c r="C93" s="130">
        <f>Scenarios!C24</f>
        <v>-0.02</v>
      </c>
      <c r="D93" s="133">
        <f>Scenarios!D24</f>
        <v>3</v>
      </c>
      <c r="E93" s="127">
        <f>INDEX(B$73:F$87, MATCH(D93, A$73:A$87, 0), MATCH(C93, B$72:F$72, 0))</f>
        <v>0.64297781062186121</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0.77049966192370212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421199</v>
      </c>
      <c r="D7" s="469"/>
      <c r="E7" s="469"/>
      <c r="F7" s="469"/>
      <c r="G7" s="469"/>
    </row>
    <row r="8" spans="2:7">
      <c r="B8" s="97" t="s">
        <v>63</v>
      </c>
      <c r="C8" s="447">
        <f>Normalized_FCF!G19</f>
        <v>184825.24568659026</v>
      </c>
      <c r="D8" s="469"/>
      <c r="E8" s="469"/>
      <c r="F8" s="469"/>
      <c r="G8" s="469"/>
    </row>
    <row r="9" spans="2:7">
      <c r="B9" s="97" t="s">
        <v>54</v>
      </c>
      <c r="C9" s="447">
        <f>Normalized_FCF!C19</f>
        <v>249584.14176236014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-4.9510317782507363E-3</v>
      </c>
      <c r="D12" s="469"/>
      <c r="E12" s="469"/>
      <c r="F12" s="469"/>
      <c r="G12" s="469"/>
    </row>
    <row r="13" spans="2:7">
      <c r="B13" s="135" t="s">
        <v>127</v>
      </c>
      <c r="C13" s="249">
        <f ca="1">(Normalized_FCF!G8/OFFSET(Normalized_FCF!G8, 0, $C$4))^(1/$C$4) - 1</f>
        <v>1.4238812910937044</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0.72638157071699883</v>
      </c>
      <c r="F22" s="328">
        <f>1-F23-F24</f>
        <v>0.19999999999999996</v>
      </c>
      <c r="G22" s="328">
        <f>F22*(1-F$29-F$30)</f>
        <v>0.15999999999999995</v>
      </c>
    </row>
    <row r="23" spans="2:7">
      <c r="B23" s="302" t="s">
        <v>437</v>
      </c>
      <c r="C23" s="324">
        <v>0</v>
      </c>
      <c r="D23" s="325">
        <f>C18</f>
        <v>3</v>
      </c>
      <c r="E23" s="326">
        <f>DCF!E92</f>
        <v>0.68388463751961059</v>
      </c>
      <c r="F23" s="327">
        <v>0.55000000000000004</v>
      </c>
      <c r="G23" s="328">
        <f t="shared" ref="G23:G24" si="0">F23*(1-F$29-F$30)</f>
        <v>0.44</v>
      </c>
    </row>
    <row r="24" spans="2:7">
      <c r="B24" s="302" t="s">
        <v>446</v>
      </c>
      <c r="C24" s="324">
        <v>-0.02</v>
      </c>
      <c r="D24" s="325">
        <f>C18</f>
        <v>3</v>
      </c>
      <c r="E24" s="326">
        <f>DCF!E93</f>
        <v>0.64297781062186121</v>
      </c>
      <c r="F24" s="327">
        <v>0.25</v>
      </c>
      <c r="G24" s="328">
        <f t="shared" si="0"/>
        <v>0.19999999999999998</v>
      </c>
    </row>
    <row r="25" spans="2:7">
      <c r="B25" s="141" t="s">
        <v>451</v>
      </c>
      <c r="C25" s="441">
        <f>E23*F23+E24*F24+E22*F22</f>
        <v>0.68215731743465091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3</v>
      </c>
      <c r="E29" s="326">
        <f>DCF!E90</f>
        <v>0.49463053183374295</v>
      </c>
      <c r="F29" s="327">
        <v>0.15</v>
      </c>
      <c r="G29" s="328">
        <f>F29</f>
        <v>0.15</v>
      </c>
    </row>
    <row r="30" spans="2:7">
      <c r="B30" s="315" t="s">
        <v>447</v>
      </c>
      <c r="C30" s="324">
        <v>0.04</v>
      </c>
      <c r="D30" s="325">
        <f>C18</f>
        <v>3</v>
      </c>
      <c r="E30" s="326">
        <f>DCF!E94</f>
        <v>0.77049966192370212</v>
      </c>
      <c r="F30" s="327">
        <v>0.05</v>
      </c>
      <c r="G30" s="328">
        <f>F30</f>
        <v>0.05</v>
      </c>
    </row>
    <row r="31" spans="2:7">
      <c r="E31" s="329"/>
      <c r="F31" s="329"/>
    </row>
    <row r="32" spans="2:7" ht="13.15">
      <c r="B32" s="145" t="s">
        <v>456</v>
      </c>
    </row>
    <row r="33" spans="2:7">
      <c r="B33" s="97" t="s">
        <v>458</v>
      </c>
      <c r="C33" s="155">
        <f>Normalized_FCF!C88*(1-dividend_tax_rate)</f>
        <v>2.7E-2</v>
      </c>
      <c r="D33" t="str">
        <f>Market_currency</f>
        <v>HKD</v>
      </c>
      <c r="E33" s="97" t="s">
        <v>455</v>
      </c>
      <c r="F33" s="219">
        <f>Holding_Period</f>
        <v>3</v>
      </c>
    </row>
    <row r="34" spans="2:7">
      <c r="B34" s="97" t="s">
        <v>233</v>
      </c>
      <c r="C34" s="146">
        <f>Market_Price</f>
        <v>0.48499999999999999</v>
      </c>
      <c r="D34" t="str">
        <f>Market_currency</f>
        <v>HKD</v>
      </c>
      <c r="E34" s="97" t="s">
        <v>454</v>
      </c>
      <c r="F34" s="330">
        <f>RATE(Holding_Period,$C$33,-C34,$C$36)</f>
        <v>0.15788816581377163</v>
      </c>
    </row>
    <row r="35" spans="2:7">
      <c r="B35" s="97" t="s">
        <v>434</v>
      </c>
      <c r="C35" s="320">
        <f>DCF!C11</f>
        <v>0.68388463751961048</v>
      </c>
      <c r="D35" s="97" t="str">
        <f>Market_currency</f>
        <v>HKD</v>
      </c>
      <c r="E35" s="97" t="s">
        <v>454</v>
      </c>
      <c r="F35" s="330">
        <f>RATE(Holding_Period,$C$33,-C35,$C$36)</f>
        <v>2.7414768245059517E-2</v>
      </c>
    </row>
    <row r="36" spans="2:7">
      <c r="B36" s="97" t="s">
        <v>435</v>
      </c>
      <c r="C36" s="321">
        <f>E22*G22+E23*G23+E24*G24+E30*G30+E29*G29</f>
        <v>0.65844541681896729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1.9127481481925439E-2</v>
      </c>
      <c r="E40" s="97" t="s">
        <v>401</v>
      </c>
    </row>
    <row r="41" spans="2:7">
      <c r="B41" s="97" t="s">
        <v>400</v>
      </c>
      <c r="C41" s="455">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0.6594336865645366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-9.1470519448246468E-2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4.9405992554973223E-2</v>
      </c>
      <c r="D62" s="119">
        <f>C36/(1+F62)^Holding_Period</f>
        <v>0.30343106765851036</v>
      </c>
      <c r="E62" s="332">
        <f>C62+D62</f>
        <v>0.3528370602134836</v>
      </c>
      <c r="F62" s="301">
        <f>Thesis!E22</f>
        <v>0.29465259038036606</v>
      </c>
      <c r="G62" s="440">
        <f>(1-E62/C36)</f>
        <v>0.46413620445855042</v>
      </c>
    </row>
    <row r="63" spans="2:7" ht="13.15">
      <c r="B63" s="302" t="s">
        <v>313</v>
      </c>
      <c r="C63" s="119">
        <f>PV(F63, Holding_Period, -C58, 0)</f>
        <v>5.6808106576265109E-2</v>
      </c>
      <c r="D63" s="119">
        <f>C36/(1+F63)^Holding_Period</f>
        <v>0.38032948263911481</v>
      </c>
      <c r="E63" s="332">
        <f>C63+D63</f>
        <v>0.43713758921537993</v>
      </c>
      <c r="F63" s="301">
        <f>Thesis!E23</f>
        <v>0.20075184365903009</v>
      </c>
      <c r="G63" s="440">
        <f>(1-E63/C36)</f>
        <v>0.33610656548078555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6.5140284400343515E-2</v>
      </c>
      <c r="D66" s="119">
        <f>C36/(1+F66)^Holding_Period</f>
        <v>0.47194759573795853</v>
      </c>
      <c r="E66" s="332">
        <f>C66+D66</f>
        <v>0.537087880138302</v>
      </c>
      <c r="F66" s="301">
        <f>Thesis!E24</f>
        <v>0.1174</v>
      </c>
      <c r="G66" s="440">
        <f>(1-E66/C36)</f>
        <v>0.18430918278231601</v>
      </c>
    </row>
    <row r="67" spans="2:7" ht="13.15">
      <c r="B67" s="302" t="s">
        <v>314</v>
      </c>
      <c r="C67" s="119">
        <f>PV(F67, Holding_Period, -C58, 0)</f>
        <v>7.0534131133671435E-2</v>
      </c>
      <c r="D67" s="119">
        <f>C36/(1+F67)^Holding_Period</f>
        <v>0.53373769590656495</v>
      </c>
      <c r="E67" s="332">
        <f>C67+D67</f>
        <v>0.60427182704023641</v>
      </c>
      <c r="F67" s="301">
        <f>Thesis!E25</f>
        <v>7.2499999999999995E-2</v>
      </c>
      <c r="G67" s="440">
        <f>(1-E67/C36)</f>
        <v>8.2274989535883303E-2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45954</v>
      </c>
    </row>
    <row r="4" spans="1:10">
      <c r="B4" s="422" t="s">
        <v>533</v>
      </c>
      <c r="C4" s="423" t="str">
        <f>Thesis!C4</f>
        <v>寶勝國際</v>
      </c>
      <c r="D4" s="349"/>
      <c r="E4" s="434" t="s">
        <v>539</v>
      </c>
      <c r="F4" s="437" t="str">
        <f>Thesis!F4</f>
        <v>INT</v>
      </c>
    </row>
    <row r="5" spans="1:10">
      <c r="B5" s="343" t="s">
        <v>364</v>
      </c>
      <c r="C5" s="355" t="str">
        <f>Thesis!C5</f>
        <v>3813.HK</v>
      </c>
      <c r="E5" s="438" t="s">
        <v>540</v>
      </c>
      <c r="F5" s="439" t="str">
        <f>Thesis!F5</f>
        <v>N</v>
      </c>
    </row>
    <row r="6" spans="1:10">
      <c r="B6" s="350" t="s">
        <v>336</v>
      </c>
      <c r="C6" s="352" t="str">
        <f>Thesis!C6</f>
        <v>IND_01</v>
      </c>
      <c r="E6" s="354"/>
    </row>
    <row r="7" spans="1:10">
      <c r="B7" s="343" t="s">
        <v>366</v>
      </c>
      <c r="C7" s="352" t="str">
        <f>Market_currency</f>
        <v>HKD</v>
      </c>
      <c r="D7" s="354"/>
      <c r="E7" s="354"/>
    </row>
    <row r="8" spans="1:10">
      <c r="B8" s="351" t="s">
        <v>365</v>
      </c>
      <c r="C8" s="356">
        <f>Market_Price</f>
        <v>0.48499999999999999</v>
      </c>
    </row>
    <row r="9" spans="1:10">
      <c r="B9" s="351" t="s">
        <v>361</v>
      </c>
      <c r="C9" s="353">
        <f>Common_Shares</f>
        <v>5183714855</v>
      </c>
    </row>
    <row r="10" spans="1:10">
      <c r="B10" s="351" t="s">
        <v>367</v>
      </c>
      <c r="C10" s="357">
        <f>投资主题!C8*Common_Shares/1000000</f>
        <v>2514.1017046749998</v>
      </c>
      <c r="D10" s="343" t="s">
        <v>528</v>
      </c>
      <c r="E10" s="360">
        <f>Scenarios!F34</f>
        <v>0.15788816581377163</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534</v>
      </c>
      <c r="C17" s="424">
        <f>Terminal_Growth</f>
        <v>0</v>
      </c>
      <c r="D17" s="351" t="s">
        <v>339</v>
      </c>
      <c r="E17" s="344" t="str">
        <f>Reporting_currency</f>
        <v>CNY</v>
      </c>
    </row>
    <row r="18" spans="1:6">
      <c r="B18" s="343" t="str">
        <f>"预期股权价值 ("&amp;C7&amp;") :"</f>
        <v>预期股权价值 (HKD) :</v>
      </c>
      <c r="C18" s="359">
        <f>C125</f>
        <v>0.65844541681896729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0.3528370602134836</v>
      </c>
      <c r="D22" s="365" t="s">
        <v>440</v>
      </c>
      <c r="E22" s="366">
        <f>Thesis!E22</f>
        <v>0.29465259038036606</v>
      </c>
    </row>
    <row r="23" spans="1:6">
      <c r="B23" s="343" t="s">
        <v>341</v>
      </c>
      <c r="C23" s="367">
        <f>E141</f>
        <v>0.43713758921537993</v>
      </c>
      <c r="D23" s="365" t="s">
        <v>441</v>
      </c>
      <c r="E23" s="368">
        <f>Thesis!E23</f>
        <v>0.20075184365903009</v>
      </c>
    </row>
    <row r="24" spans="1:6">
      <c r="B24" s="343" t="s">
        <v>343</v>
      </c>
      <c r="C24" s="367">
        <f>E144</f>
        <v>0.537087880138302</v>
      </c>
      <c r="D24" s="365" t="s">
        <v>443</v>
      </c>
      <c r="E24" s="368">
        <f>Thesis!E24</f>
        <v>0.1174</v>
      </c>
    </row>
    <row r="25" spans="1:6">
      <c r="B25" s="343" t="s">
        <v>342</v>
      </c>
      <c r="C25" s="367">
        <f>E145</f>
        <v>0.60427182704023641</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410704.412090078</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15165.608361299935</v>
      </c>
      <c r="D44" s="343" t="str">
        <f>Reporting_currency</f>
        <v>CNY</v>
      </c>
      <c r="E44" s="371"/>
      <c r="F44" s="371"/>
    </row>
    <row r="45" spans="2:6">
      <c r="B45" s="372" t="s">
        <v>268</v>
      </c>
      <c r="C45" s="376">
        <f>Normalized_FCF!C45</f>
        <v>-72892.95</v>
      </c>
      <c r="D45" s="343" t="str">
        <f>Reporting_currency</f>
        <v>CNY</v>
      </c>
      <c r="E45" s="371"/>
      <c r="F45" s="371"/>
    </row>
    <row r="46" spans="2:6">
      <c r="B46" s="372" t="s">
        <v>203</v>
      </c>
      <c r="C46" s="373">
        <f>Normalized_FCF!C10</f>
        <v>-57727.341638700062</v>
      </c>
      <c r="D46" s="343" t="str">
        <f>Reporting_currency</f>
        <v>CNY</v>
      </c>
    </row>
    <row r="48" spans="2:6">
      <c r="B48" s="343" t="s">
        <v>504</v>
      </c>
    </row>
    <row r="49" spans="2:6">
      <c r="B49" s="372" t="s">
        <v>223</v>
      </c>
      <c r="C49" s="373">
        <f>Normalized_FCF!C13</f>
        <v>-15148.661076173323</v>
      </c>
      <c r="D49" s="343" t="str">
        <f>Reporting_currency</f>
        <v>CNY</v>
      </c>
    </row>
    <row r="51" spans="2:6">
      <c r="B51" s="470" t="s">
        <v>505</v>
      </c>
      <c r="C51" s="470"/>
      <c r="D51" s="470"/>
      <c r="E51" s="470"/>
      <c r="F51" s="470"/>
    </row>
    <row r="52" spans="2:6">
      <c r="B52" s="372" t="s">
        <v>496</v>
      </c>
      <c r="C52" s="373">
        <f>Normalized_FCF!C12</f>
        <v>-88244.267612844487</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184825.24568659026</v>
      </c>
      <c r="D60" s="343" t="str">
        <f>Reporting_currency</f>
        <v>CNY</v>
      </c>
    </row>
    <row r="61" spans="2:6">
      <c r="B61" s="372" t="s">
        <v>213</v>
      </c>
      <c r="C61" s="373">
        <f>Normalized_FCF!C19</f>
        <v>249584.14176236014</v>
      </c>
      <c r="D61" s="343" t="str">
        <f>Reporting_currency</f>
        <v>CNY</v>
      </c>
    </row>
    <row r="62" spans="2:6">
      <c r="B62" s="377" t="s">
        <v>302</v>
      </c>
      <c r="C62" s="378">
        <f>Normalized_FCF!C124</f>
        <v>0.11123338388096082</v>
      </c>
      <c r="F62" s="379"/>
    </row>
    <row r="63" spans="2:6">
      <c r="B63" s="377" t="s">
        <v>332</v>
      </c>
      <c r="C63" s="378">
        <f>Normalized_FCF!C92</f>
        <v>5.5670103092783509E-2</v>
      </c>
      <c r="E63" s="372" t="s">
        <v>373</v>
      </c>
      <c r="F63" s="380">
        <f>Normalized_FCF!C90</f>
        <v>0.62308223812580676</v>
      </c>
    </row>
    <row r="65" spans="1:6">
      <c r="B65" s="369" t="s">
        <v>376</v>
      </c>
      <c r="C65" s="381" t="s">
        <v>327</v>
      </c>
      <c r="D65" s="381" t="s">
        <v>374</v>
      </c>
    </row>
    <row r="66" spans="1:6">
      <c r="B66" s="372" t="s">
        <v>326</v>
      </c>
      <c r="C66" s="378">
        <f>Normalized_FCF!E119</f>
        <v>3.931859133292645E-2</v>
      </c>
      <c r="D66" s="378">
        <f>Normalized_FCF!G119</f>
        <v>4.2499836331200143E-2</v>
      </c>
    </row>
    <row r="67" spans="1:6">
      <c r="B67" s="382" t="str">
        <f>Normalized_FCF!B116</f>
        <v>Pre-tax Profit/Sales</v>
      </c>
      <c r="C67" s="383">
        <f>Normalized_FCF!E116</f>
        <v>1.9127481481925439E-2</v>
      </c>
      <c r="D67" s="383">
        <f>Normalized_FCF!G116</f>
        <v>2.0675075196021478E-2</v>
      </c>
    </row>
    <row r="68" spans="1:6">
      <c r="B68" s="382" t="str">
        <f>Normalized_FCF!B117</f>
        <v>Sales/Total Assets</v>
      </c>
      <c r="C68" s="384">
        <f>Normalized_FCF!E117</f>
        <v>1.4656521003611329</v>
      </c>
      <c r="D68" s="384">
        <f>Normalized_FCF!G117</f>
        <v>1.4656521003611329</v>
      </c>
    </row>
    <row r="69" spans="1:6">
      <c r="B69" s="382" t="str">
        <f>Normalized_FCF!B118</f>
        <v>Total Assets/Equity</v>
      </c>
      <c r="C69" s="384">
        <f>Normalized_FCF!E118</f>
        <v>1.4025206525126881</v>
      </c>
      <c r="D69" s="384">
        <f>Normalized_FCF!G118</f>
        <v>1.4025206525126881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-1457859</v>
      </c>
      <c r="D78" s="343" t="str">
        <f>Reporting_currency</f>
        <v>CNY</v>
      </c>
    </row>
    <row r="79" spans="1:6">
      <c r="B79" s="372" t="s">
        <v>234</v>
      </c>
      <c r="C79" s="387">
        <f>C78*scaling_factor*Exchange_Rate/Common_Shares</f>
        <v>-0.31511960452868876</v>
      </c>
      <c r="D79" s="343" t="str">
        <f>Market_currency</f>
        <v>HKD</v>
      </c>
    </row>
    <row r="80" spans="1:6">
      <c r="B80" s="382" t="s">
        <v>309</v>
      </c>
      <c r="C80" s="388">
        <f>IF(BS!G31/BS!G27&gt;300%,"nm",BS!G31/BS!G27)</f>
        <v>0.16239287772638675</v>
      </c>
    </row>
    <row r="81" spans="1:6">
      <c r="B81" s="382" t="s">
        <v>311</v>
      </c>
      <c r="C81" s="389">
        <f>IF(BS!C50&gt;30,"nm",BS!C50)</f>
        <v>3.5496550732945478</v>
      </c>
    </row>
    <row r="83" spans="1:6">
      <c r="B83" s="343" t="s">
        <v>511</v>
      </c>
    </row>
    <row r="84" spans="1:6">
      <c r="B84" s="343" t="s">
        <v>224</v>
      </c>
      <c r="C84" s="373">
        <f>DCF!F5</f>
        <v>1177571.1638700066</v>
      </c>
      <c r="D84" s="343" t="str">
        <f>Reporting_currency</f>
        <v>CNY</v>
      </c>
    </row>
    <row r="85" spans="1:6">
      <c r="B85" s="382" t="s">
        <v>481</v>
      </c>
      <c r="C85" s="390">
        <f>BS!C66</f>
        <v>2694132</v>
      </c>
      <c r="D85" s="391" t="str">
        <f>Reporting_currency</f>
        <v>CNY</v>
      </c>
    </row>
    <row r="86" spans="1:6">
      <c r="B86" s="372" t="s">
        <v>235</v>
      </c>
      <c r="C86" s="387">
        <f>C84*scaling_factor*Exchange_Rate/Common_Shares</f>
        <v>0.25453473858795966</v>
      </c>
      <c r="D86" s="343" t="str">
        <f>Market_currency</f>
        <v>HKD</v>
      </c>
    </row>
    <row r="88" spans="1:6">
      <c r="B88" s="343" t="s">
        <v>512</v>
      </c>
    </row>
    <row r="89" spans="1:6">
      <c r="B89" s="343" t="s">
        <v>217</v>
      </c>
      <c r="C89" s="373">
        <f>DCF!F6</f>
        <v>1649.3999999999999</v>
      </c>
      <c r="D89" s="343" t="str">
        <f>Reporting_currency</f>
        <v>CNY</v>
      </c>
    </row>
    <row r="90" spans="1:6">
      <c r="B90" s="372" t="s">
        <v>236</v>
      </c>
      <c r="C90" s="387">
        <f>C89*scaling_factor*Exchange_Rate/Common_Shares</f>
        <v>3.5652163598099622E-4</v>
      </c>
      <c r="D90" s="343" t="str">
        <f>Market_currency</f>
        <v>HKD</v>
      </c>
    </row>
    <row r="92" spans="1:6">
      <c r="B92" s="372" t="s">
        <v>480</v>
      </c>
      <c r="C92" s="387">
        <f>DCF!F8</f>
        <v>-6.0228344304748153E-2</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0.59475175352682819</v>
      </c>
      <c r="D111" s="343" t="str">
        <f>Market_currency</f>
        <v>HKD</v>
      </c>
    </row>
    <row r="112" spans="1:6">
      <c r="A112" s="385"/>
      <c r="B112" s="372" t="s">
        <v>377</v>
      </c>
      <c r="C112" s="394">
        <f>DCF!C11</f>
        <v>0.68388463751961048</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3</v>
      </c>
      <c r="E118" s="398" t="str">
        <f>ROUND(DCF!E90,2)&amp;" "&amp;Market_currency</f>
        <v>0.49 HKD</v>
      </c>
      <c r="F118" s="399">
        <f>DCF!F90</f>
        <v>0.15</v>
      </c>
    </row>
    <row r="119" spans="1:6">
      <c r="A119" s="385"/>
      <c r="B119" s="400" t="str">
        <f>DCF!B91</f>
        <v>Optimistic</v>
      </c>
      <c r="C119" s="401">
        <f>DCF!C91</f>
        <v>0.02</v>
      </c>
      <c r="D119" s="402">
        <f>DCF!D91</f>
        <v>3</v>
      </c>
      <c r="E119" s="398" t="str">
        <f>ROUND(DCF!E91,2)&amp;" "&amp;Market_currency</f>
        <v>0.73 HKD</v>
      </c>
      <c r="F119" s="403">
        <f>DCF!F91</f>
        <v>0.15999999999999995</v>
      </c>
    </row>
    <row r="120" spans="1:6">
      <c r="B120" s="400" t="str">
        <f>DCF!B92</f>
        <v>Base</v>
      </c>
      <c r="C120" s="401">
        <f>DCF!C92</f>
        <v>0</v>
      </c>
      <c r="D120" s="402">
        <f>DCF!D92</f>
        <v>3</v>
      </c>
      <c r="E120" s="398" t="str">
        <f>ROUND(DCF!E92,2)&amp;" "&amp;Market_currency</f>
        <v>0.68 HKD</v>
      </c>
      <c r="F120" s="403">
        <f>DCF!F92</f>
        <v>0.44</v>
      </c>
    </row>
    <row r="121" spans="1:6">
      <c r="B121" s="400" t="str">
        <f>DCF!B93</f>
        <v>Pessimistic</v>
      </c>
      <c r="C121" s="401">
        <f>DCF!C93</f>
        <v>-0.02</v>
      </c>
      <c r="D121" s="402">
        <f>DCF!D93</f>
        <v>3</v>
      </c>
      <c r="E121" s="398" t="str">
        <f>ROUND(DCF!E93,2)&amp;" "&amp;Market_currency</f>
        <v>0.64 HKD</v>
      </c>
      <c r="F121" s="403">
        <f>DCF!F93</f>
        <v>0.19999999999999998</v>
      </c>
    </row>
    <row r="122" spans="1:6">
      <c r="B122" s="400" t="str">
        <f>DCF!B94</f>
        <v>Devil's advocate</v>
      </c>
      <c r="C122" s="401">
        <f>DCF!C94</f>
        <v>0.04</v>
      </c>
      <c r="D122" s="402">
        <f>DCF!D94</f>
        <v>3</v>
      </c>
      <c r="E122" s="398" t="str">
        <f>ROUND(DCF!E94,2)&amp;" "&amp;Market_currency</f>
        <v>0.77 HKD</v>
      </c>
      <c r="F122" s="403">
        <f>DCF!F94</f>
        <v>0.05</v>
      </c>
    </row>
    <row r="124" spans="1:6">
      <c r="B124" s="470" t="s">
        <v>518</v>
      </c>
      <c r="C124" s="470"/>
      <c r="D124" s="470"/>
      <c r="E124" s="470"/>
      <c r="F124" s="470"/>
    </row>
    <row r="125" spans="1:6">
      <c r="B125" s="372" t="s">
        <v>218</v>
      </c>
      <c r="C125" s="404">
        <f>Scenarios!C36</f>
        <v>0.65844541681896729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2.7E-2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4.9405992554973223E-2</v>
      </c>
      <c r="D140" s="409">
        <f>Scenarios!D62</f>
        <v>0.30343106765851036</v>
      </c>
      <c r="E140" s="410">
        <f>Scenarios!E62</f>
        <v>0.3528370602134836</v>
      </c>
      <c r="F140" s="411">
        <f>E22</f>
        <v>0.29465259038036606</v>
      </c>
    </row>
    <row r="141" spans="1:6">
      <c r="B141" s="408" t="s">
        <v>313</v>
      </c>
      <c r="C141" s="409">
        <f>Scenarios!C63</f>
        <v>5.6808106576265109E-2</v>
      </c>
      <c r="D141" s="409">
        <f>Scenarios!D63</f>
        <v>0.38032948263911481</v>
      </c>
      <c r="E141" s="410">
        <f>Scenarios!E63</f>
        <v>0.43713758921537993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6.5140284400343515E-2</v>
      </c>
      <c r="D144" s="409">
        <f>Scenarios!D66</f>
        <v>0.47194759573795853</v>
      </c>
      <c r="E144" s="410">
        <f>Scenarios!E66</f>
        <v>0.537087880138302</v>
      </c>
      <c r="F144" s="411">
        <f>E24</f>
        <v>0.1174</v>
      </c>
    </row>
    <row r="145" spans="1:6">
      <c r="B145" s="408" t="s">
        <v>314</v>
      </c>
      <c r="C145" s="409">
        <f>Scenarios!C67</f>
        <v>7.0534131133671435E-2</v>
      </c>
      <c r="D145" s="409">
        <f>Scenarios!D67</f>
        <v>0.53373769590656495</v>
      </c>
      <c r="E145" s="410">
        <f>Scenarios!E67</f>
        <v>0.60427182704023641</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