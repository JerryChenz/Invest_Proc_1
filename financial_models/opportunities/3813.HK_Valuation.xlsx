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9710841-674E-4BF1-BCDE-124E55335C80}"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35" i="2"/>
  <c r="C29" i="2"/>
  <c r="C30" i="2"/>
  <c r="C4" i="2"/>
  <c r="C19" i="3"/>
  <c r="G4" i="3"/>
  <c r="C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6" i="9" l="1"/>
  <c r="C67" i="9"/>
  <c r="C62" i="9"/>
  <c r="C63"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4" i="8"/>
  <c r="C86" i="8"/>
  <c r="D82" i="8"/>
  <c r="D84" i="8"/>
  <c r="F75" i="8"/>
  <c r="F79" i="8"/>
  <c r="F83" i="8"/>
  <c r="E82" i="8"/>
  <c r="E84" i="8"/>
  <c r="E86" i="8"/>
  <c r="F80" i="8"/>
  <c r="F82" i="8"/>
  <c r="F84" i="8"/>
  <c r="C75" i="8"/>
  <c r="C77" i="8"/>
  <c r="C79" i="8"/>
  <c r="B87" i="8"/>
  <c r="D75" i="8"/>
  <c r="D77" i="8"/>
  <c r="B80" i="8"/>
  <c r="E75" i="8"/>
  <c r="E79" i="8"/>
  <c r="B82" i="8"/>
  <c r="F8" i="8"/>
  <c r="B74" i="8"/>
  <c r="C27" i="8"/>
  <c r="C80" i="6"/>
  <c r="C80" i="12"/>
  <c r="D68" i="6"/>
  <c r="D68" i="12"/>
  <c r="O77" i="2"/>
  <c r="O116" i="2" s="1"/>
  <c r="O14" i="2"/>
  <c r="P77" i="2"/>
  <c r="P116" i="2" s="1"/>
  <c r="P14" i="2"/>
  <c r="O96" i="2"/>
  <c r="G52" i="2"/>
  <c r="D80" i="8" l="1"/>
  <c r="F85" i="8"/>
  <c r="B79" i="8"/>
  <c r="F78" i="8"/>
  <c r="E87" i="8"/>
  <c r="C80" i="8"/>
  <c r="D85" i="8"/>
  <c r="E77" i="8"/>
  <c r="E78" i="8"/>
  <c r="D76" i="8"/>
  <c r="C78" i="8"/>
  <c r="D83" i="8"/>
  <c r="C85" i="8"/>
  <c r="F74" i="8"/>
  <c r="E76" i="8"/>
  <c r="D74" i="8"/>
  <c r="C76" i="8"/>
  <c r="B81" i="8"/>
  <c r="D81" i="8"/>
  <c r="C83" i="8"/>
  <c r="B78" i="8"/>
  <c r="B85" i="8"/>
  <c r="E74" i="8"/>
  <c r="B76" i="8"/>
  <c r="B83" i="8"/>
  <c r="C74" i="8"/>
  <c r="C82" i="8"/>
  <c r="D87" i="8"/>
  <c r="E85" i="8"/>
  <c r="E80" i="8"/>
  <c r="D78" i="8"/>
  <c r="F81" i="8"/>
  <c r="C87" i="8"/>
  <c r="F76" i="8"/>
  <c r="E81" i="8"/>
  <c r="F77" i="8"/>
  <c r="B86" i="8"/>
  <c r="B84" i="8"/>
  <c r="E83" i="8"/>
  <c r="D79" i="8"/>
  <c r="C81" i="8"/>
  <c r="F86" i="8"/>
  <c r="B77" i="8"/>
  <c r="F87" i="8"/>
  <c r="D86" i="8"/>
  <c r="C92" i="6"/>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J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<sst xmlns="http://schemas.openxmlformats.org/spreadsheetml/2006/main" count="766" uniqueCount="556">
  <si>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</si>
  <si>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</si>
  <si>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</si>
  <si>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</si>
  <si>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</si>
  <si>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</si>
  <si>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</si>
  <si>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</si>
  <si>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</si>
  <si>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</si>
  <si>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</si>
  <si>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</si>
  <si>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</si>
  <si>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</si>
  <si>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</si>
  <si>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</si>
  <si>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</si>
  <si>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</si>
  <si>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</si>
  <si>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</si>
  <si>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</si>
  <si>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</si>
  <si>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</si>
  <si>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</si>
  <si>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</si>
  <si>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</si>
  <si>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</si>
  <si>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</si>
  <si>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</si>
  <si>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</si>
  <si>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</si>
  <si>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</si>
  <si>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</si>
  <si>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</si>
  <si>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</si>
  <si>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</si>
  <si>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</si>
  <si>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</si>
  <si>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</si>
  <si>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</si>
  <si>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</si>
  <si>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</si>
  <si>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</si>
  <si>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</si>
  <si>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</si>
  <si>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</si>
  <si>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</si>
  <si>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</si>
  <si>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</si>
  <si>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</si>
  <si>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</si>
  <si>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</si>
  <si>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</si>
  <si>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</si>
  <si>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</si>
  <si>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</si>
  <si>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</si>
  <si>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</si>
  <si>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</si>
  <si>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</si>
  <si>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</si>
  <si>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</si>
  <si>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</si>
  <si>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</si>
  <si>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</si>
  <si>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</si>
  <si>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</si>
  <si>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</si>
  <si>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</si>
  <si>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</si>
  <si>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</si>
  <si>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</si>
  <si>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</si>
  <si>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</si>
  <si>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</si>
  <si>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</si>
  <si>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</si>
  <si>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</si>
  <si>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</si>
  <si>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</si>
  <si>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</si>
  <si>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</si>
  <si>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</si>
  <si>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</si>
  <si>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</si>
  <si>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</si>
  <si>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</si>
  <si>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</si>
  <si>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</si>
  <si>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</si>
  <si>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</si>
  <si>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</si>
  <si>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</si>
  <si>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</si>
  <si>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</si>
  <si>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</si>
  <si>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</si>
  <si>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</si>
  <si>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</si>
  <si>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</si>
  <si>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</si>
  <si>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</si>
  <si>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</si>
  <si>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</si>
  <si>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</si>
  <si>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</si>
  <si>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</si>
  <si>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</si>
  <si>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</si>
  <si>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</si>
  <si>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</si>
  <si>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</si>
  <si>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</si>
  <si>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</si>
  <si>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</si>
  <si>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</si>
  <si>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</si>
  <si>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</si>
  <si>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</si>
  <si>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</si>
  <si>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</si>
  <si>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</si>
  <si>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</si>
  <si>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</si>
  <si>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</si>
  <si>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</si>
  <si>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</si>
  <si>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</si>
  <si>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</si>
  <si>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</si>
  <si>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</si>
  <si>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</si>
  <si>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</si>
  <si>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</si>
  <si>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</si>
  <si>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</si>
  <si>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</si>
  <si>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</si>
  <si>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</si>
  <si>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</si>
  <si>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</si>
  <si>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</si>
  <si>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</si>
  <si>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</si>
  <si>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</si>
  <si>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</si>
  <si>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</si>
  <si>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</si>
  <si>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</si>
  <si>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</si>
  <si>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</si>
  <si>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</si>
  <si>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</si>
  <si>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</si>
  <si>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</si>
  <si>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</si>
  <si>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</si>
  <si>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</si>
  <si>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</si>
  <si>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</si>
  <si>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</si>
  <si>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</si>
  <si>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</si>
  <si>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</si>
  <si>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</si>
  <si>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</si>
  <si>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</si>
  <si>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</si>
  <si>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</si>
  <si>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</si>
  <si>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</si>
  <si>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</si>
  <si>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</si>
  <si>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</si>
  <si>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</si>
  <si>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</si>
  <si>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</si>
  <si>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</si>
  <si>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</si>
  <si>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</si>
  <si>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</si>
  <si>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</si>
  <si>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</si>
  <si>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</si>
  <si>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</si>
  <si>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</si>
  <si>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</si>
  <si>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</si>
  <si>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</si>
  <si>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</si>
  <si>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</si>
  <si>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</si>
  <si>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</si>
  <si>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</si>
  <si>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</si>
  <si>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</si>
  <si>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</si>
  <si>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</si>
  <si>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</si>
  <si>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</si>
  <si>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</si>
  <si>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</si>
  <si>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</si>
  <si>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</si>
  <si>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</si>
  <si>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</si>
  <si>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</si>
  <si>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</si>
  <si>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</si>
  <si>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</si>
  <si>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</si>
  <si>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</si>
  <si>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</si>
  <si>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</si>
  <si>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</si>
  <si>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</si>
  <si>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</si>
  <si>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</si>
  <si>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</si>
  <si>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</si>
  <si>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</si>
  <si>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</si>
  <si>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</si>
  <si>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</si>
  <si>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</si>
  <si>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</si>
  <si>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</si>
  <si>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</si>
  <si>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</si>
  <si>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</si>
  <si>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</si>
  <si>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</si>
  <si>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</si>
  <si>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</si>
  <si>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</si>
  <si>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</si>
  <si>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</si>
  <si>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</si>
  <si>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</si>
  <si>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</si>
  <si>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</si>
  <si>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</si>
  <si>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</si>
  <si>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</si>
  <si>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</si>
  <si>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</si>
  <si>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</si>
  <si>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</si>
  <si>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</si>
  <si>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</si>
  <si>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</si>
  <si>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</si>
  <si>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</si>
  <si>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</si>
  <si>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</si>
  <si>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</si>
  <si>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</si>
  <si>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</si>
  <si>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</si>
  <si>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</si>
  <si>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</si>
  <si>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</si>
  <si>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</si>
  <si>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</si>
  <si>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</si>
  <si>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</si>
  <si>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</si>
  <si>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</si>
  <si>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</si>
  <si>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</si>
  <si>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</si>
  <si>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</si>
  <si>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</si>
  <si>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</si>
  <si>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</si>
  <si>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</si>
  <si>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</si>
  <si>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</si>
  <si>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</si>
  <si>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</si>
  <si>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</si>
  <si>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</si>
  <si>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</si>
  <si>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</si>
  <si>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</si>
  <si>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</si>
  <si>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</si>
  <si>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</si>
  <si>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</si>
  <si>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</si>
  <si>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</si>
  <si>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</si>
  <si>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</si>
  <si>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</si>
  <si>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</si>
  <si>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</si>
  <si>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</si>
  <si>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</si>
  <si>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</si>
  <si>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</si>
  <si>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</si>
  <si>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</si>
  <si>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</si>
  <si>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</si>
  <si>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</si>
  <si>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</si>
  <si>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</si>
  <si>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</si>
  <si>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</si>
  <si>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</si>
  <si>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</si>
  <si>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</si>
  <si>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</si>
  <si>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</si>
  <si>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</si>
  <si>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</si>
  <si>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</si>
  <si>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</si>
  <si>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</si>
  <si>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</si>
  <si>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</si>
  <si>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</si>
  <si>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</si>
  <si>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</si>
  <si>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</si>
  <si>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</si>
  <si>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</si>
  <si>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</si>
  <si>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</si>
  <si>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</si>
  <si>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</si>
  <si>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</si>
  <si>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</si>
  <si>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</si>
  <si>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</si>
  <si>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</si>
  <si>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</si>
  <si>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</si>
  <si>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</si>
  <si>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</si>
  <si>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</si>
  <si>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</si>
  <si>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</si>
  <si>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</si>
  <si>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</si>
  <si>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</si>
  <si>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</si>
  <si>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</si>
  <si>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</si>
  <si>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</si>
  <si>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</si>
  <si>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</si>
  <si>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</si>
  <si>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</si>
  <si>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</si>
  <si>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</si>
  <si>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</si>
  <si>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</si>
  <si>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</si>
  <si>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</si>
  <si>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</si>
  <si>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</si>
  <si>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</si>
  <si>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</si>
  <si>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</si>
  <si>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</si>
  <si>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</si>
  <si>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</si>
  <si>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</si>
  <si>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</si>
  <si>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</si>
  <si>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</si>
  <si>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</si>
  <si>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</si>
  <si>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</si>
  <si>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</si>
  <si>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</si>
  <si>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</si>
  <si>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</si>
  <si>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</si>
  <si>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</si>
  <si>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</si>
  <si>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</si>
  <si>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</si>
  <si>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</si>
  <si>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</si>
  <si>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</si>
  <si>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</si>
  <si>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</si>
  <si>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</si>
  <si>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</si>
  <si>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</si>
  <si>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</si>
  <si>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</si>
  <si>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</si>
  <si>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</si>
  <si>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</si>
  <si>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</si>
  <si>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</si>
  <si>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</si>
  <si>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</si>
  <si>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</si>
  <si>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</si>
  <si>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</si>
  <si>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</si>
  <si>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</si>
  <si>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</si>
  <si>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</si>
  <si>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</si>
  <si>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</si>
  <si>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</si>
  <si>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</si>
  <si>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</si>
  <si>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</si>
  <si>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</si>
  <si>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</si>
  <si>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</si>
  <si>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</si>
  <si>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</si>
  <si>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</si>
  <si>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</si>
  <si>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</si>
  <si>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</si>
  <si>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</si>
  <si>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</si>
  <si>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</si>
  <si>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</si>
  <si>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</si>
  <si>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</si>
  <si>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</si>
  <si>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</si>
  <si>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</si>
  <si>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</si>
  <si>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</si>
  <si>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</si>
  <si>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</si>
  <si>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</si>
  <si>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</si>
  <si>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</si>
  <si>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</si>
  <si>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</si>
  <si>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</si>
  <si>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</si>
  <si>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</si>
  <si>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</si>
  <si>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</si>
  <si>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</si>
  <si>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</si>
  <si>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</si>
  <si>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</si>
  <si>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</si>
  <si>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</si>
  <si>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</si>
  <si>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</si>
  <si>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</si>
  <si>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</si>
  <si>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</si>
  <si>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</si>
  <si>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</si>
  <si>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</si>
  <si>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</si>
  <si>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</si>
  <si>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</si>
  <si>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</si>
  <si>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</si>
  <si>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</si>
  <si>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</si>
  <si>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</si>
  <si>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</si>
  <si>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</si>
  <si>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</si>
  <si>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</si>
  <si>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</si>
  <si>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</si>
  <si>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</si>
  <si>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</si>
  <si>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</si>
  <si>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</si>
  <si>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</si>
  <si>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</si>
  <si>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</si>
  <si>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</si>
  <si>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</si>
  <si>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</si>
  <si>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</si>
  <si>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</si>
  <si>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</si>
  <si>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</si>
  <si>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</si>
  <si>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</si>
  <si>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</si>
  <si>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</si>
  <si>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</si>
  <si>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</si>
  <si>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</si>
  <si>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</si>
  <si>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</si>
  <si>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</si>
  <si>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</si>
  <si>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</si>
  <si>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</si>
  <si>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</si>
  <si>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</si>
  <si>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</si>
  <si>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</si>
  <si>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</si>
  <si>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</si>
  <si>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</si>
  <si>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</si>
  <si>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</si>
  <si>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</si>
  <si>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</si>
  <si>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</si>
  <si>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</si>
  <si>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</si>
  <si>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</si>
  <si>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</si>
  <si>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</si>
  <si>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</si>
  <si>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</si>
  <si>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</si>
  <si>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</si>
  <si>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</si>
  <si>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</si>
  <si>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</si>
  <si>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</si>
  <si>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</si>
  <si>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</si>
  <si>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</si>
  <si>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</si>
  <si>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</si>
  <si>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</si>
  <si>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</si>
  <si>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</si>
  <si>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</si>
  <si>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</si>
  <si>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</si>
  <si>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</si>
  <si>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</si>
  <si>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</si>
  <si>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</si>
  <si>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</si>
  <si>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</si>
  <si>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</si>
  <si>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</si>
  <si>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</si>
  <si>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</si>
  <si>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</si>
  <si>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</si>
  <si>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</si>
  <si>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</si>
  <si>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</si>
  <si>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寶勝國際</t>
  </si>
  <si>
    <t>3813.HK</t>
  </si>
  <si>
    <t>IND_01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</si>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</sst>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45954</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0.47</v>
      </c>
      <c r="E8" s="32"/>
    </row>
    <row r="9" spans="1:9">
      <c r="B9" s="4" t="s">
        <v>346</v>
      </c>
      <c r="C9" s="48">
        <v>5183714855</v>
      </c>
    </row>
    <row r="10" spans="1:9">
      <c r="B10" s="4" t="s">
        <v>352</v>
      </c>
      <c r="C10" s="33">
        <f>Thesis!C8*Common_Shares/1000000</f>
        <v>2436.34598185</v>
      </c>
      <c r="D10" s="1" t="s">
        <v>530</v>
      </c>
      <c r="E10" s="307">
        <f>Scenarios!F34</f>
        <v>0.16328203707260031</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1.10486085128784</v>
      </c>
    </row>
    <row r="17" spans="1:6">
      <c r="B17" s="1" t="s">
        <v>534</v>
      </c>
      <c r="C17" s="420">
        <v>0</v>
      </c>
      <c r="D17" s="4" t="s">
        <v>274</v>
      </c>
      <c r="E17" s="224" t="s">
        <v>555</v>
      </c>
    </row>
    <row r="18" spans="1:6">
      <c r="B18" s="1" t="str">
        <f>"Expected Equity Value ("&amp;C7&amp;") :"</f>
        <v>Expected Equity Value (HKD) :</v>
      </c>
      <c r="C18" s="255">
        <f>C125</f>
        <v>0.64492005808753095</v>
      </c>
      <c r="D18" s="2" t="s">
        <v>347</v>
      </c>
      <c r="E18" s="423">
        <v>6</v>
      </c>
    </row>
    <row r="19" spans="1:6">
      <c r="B19" s="2" t="s">
        <v>275</v>
      </c>
      <c r="C19" s="31" t="str">
        <f>IF(Scenarios!C50="Y",Scenarios!B50,"")&amp;IF(Scenarios!C51="Y",Scenarios!B51,"")&amp;IF(Scenarios!C52="Y",Scenarios!B52,"")&amp;" "&amp;IF(Scenarios!C53="Y",Scenarios!B53,"")</f>
        <v xml:space="preserve">Negative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0.34660417600544841</v>
      </c>
      <c r="D22" s="38" t="s">
        <v>408</v>
      </c>
      <c r="E22" s="79">
        <v>0.29465259038036601</v>
      </c>
    </row>
    <row r="23" spans="1:6">
      <c r="B23" s="1" t="s">
        <v>313</v>
      </c>
      <c r="C23" s="259">
        <f>E141</f>
        <v>0.42932510763765497</v>
      </c>
      <c r="D23" s="38" t="s">
        <v>409</v>
      </c>
      <c r="E23" s="448">
        <v>0.20075184365903001</v>
      </c>
    </row>
    <row r="24" spans="1:6">
      <c r="B24" s="1" t="s">
        <v>315</v>
      </c>
      <c r="C24" s="259">
        <f>E144</f>
        <v>0.52739343869829147</v>
      </c>
      <c r="D24" s="38" t="s">
        <v>410</v>
      </c>
      <c r="E24" s="448">
        <v>0.1174</v>
      </c>
    </row>
    <row r="25" spans="1:6">
      <c r="B25" s="1" t="s">
        <v>314</v>
      </c>
      <c r="C25" s="259">
        <f>E145</f>
        <v>0.59330813343522593</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410704.412090078</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15165.608361299935</v>
      </c>
      <c r="D44" s="1" t="str">
        <f>Reporting_currency</f>
        <v>CNY</v>
      </c>
      <c r="E44" s="247"/>
      <c r="F44" s="247"/>
    </row>
    <row r="45" spans="2:6">
      <c r="B45" s="44" t="s">
        <v>268</v>
      </c>
      <c r="C45" s="290">
        <f>Normalized_FCF!C45</f>
        <v>-72892.95</v>
      </c>
      <c r="D45" s="1" t="str">
        <f>Reporting_currency</f>
        <v>CNY</v>
      </c>
      <c r="E45" s="247"/>
      <c r="F45" s="247"/>
    </row>
    <row r="46" spans="2:6">
      <c r="B46" s="44" t="s">
        <v>203</v>
      </c>
      <c r="C46" s="289">
        <f>Normalized_FCF!C10</f>
        <v>-57727.341638700062</v>
      </c>
      <c r="D46" s="1" t="str">
        <f>Reporting_currency</f>
        <v>CNY</v>
      </c>
    </row>
    <row r="48" spans="2:6">
      <c r="B48" s="1" t="s">
        <v>211</v>
      </c>
    </row>
    <row r="49" spans="2:6">
      <c r="B49" s="44" t="s">
        <v>223</v>
      </c>
      <c r="C49" s="289">
        <f>Normalized_FCF!C13</f>
        <v>-15148.661076173323</v>
      </c>
      <c r="D49" s="1" t="str">
        <f>Reporting_currency</f>
        <v>CNY</v>
      </c>
    </row>
    <row r="51" spans="2:6">
      <c r="B51" s="457" t="s">
        <v>206</v>
      </c>
      <c r="C51" s="457"/>
      <c r="D51" s="457"/>
      <c r="E51" s="457"/>
      <c r="F51" s="457"/>
    </row>
    <row r="52" spans="2:6">
      <c r="B52" s="44" t="s">
        <v>204</v>
      </c>
      <c r="C52" s="289">
        <f>Normalized_FCF!C12</f>
        <v>-88244.267612844487</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184825.24568659026</v>
      </c>
      <c r="D60" s="1" t="str">
        <f>Reporting_currency</f>
        <v>CNY</v>
      </c>
    </row>
    <row r="61" spans="2:6">
      <c r="B61" s="44" t="s">
        <v>213</v>
      </c>
      <c r="C61" s="289">
        <f>Normalized_FCF!C19</f>
        <v>249584.14176236014</v>
      </c>
      <c r="D61" s="1" t="str">
        <f>Reporting_currency</f>
        <v>CNY</v>
      </c>
    </row>
    <row r="62" spans="2:6">
      <c r="B62" s="204" t="s">
        <v>302</v>
      </c>
      <c r="C62" s="89">
        <f>Normalized_FCF!C124</f>
        <v>0.11318414929152036</v>
      </c>
      <c r="F62" s="260"/>
    </row>
    <row r="63" spans="2:6">
      <c r="B63" s="204" t="s">
        <v>332</v>
      </c>
      <c r="C63" s="89">
        <f>Normalized_FCF!C92</f>
        <v>5.7446808510638298E-2</v>
      </c>
      <c r="E63" s="44" t="s">
        <v>322</v>
      </c>
      <c r="F63" s="261">
        <f>Normalized_FCF!C90</f>
        <v>0.62308223812580676</v>
      </c>
    </row>
    <row r="65" spans="1:6">
      <c r="B65" s="192" t="s">
        <v>325</v>
      </c>
      <c r="C65" s="267" t="s">
        <v>327</v>
      </c>
      <c r="D65" s="267" t="s">
        <v>328</v>
      </c>
    </row>
    <row r="66" spans="1:6">
      <c r="B66" s="44" t="s">
        <v>326</v>
      </c>
      <c r="C66" s="89">
        <f>Normalized_FCF!C119</f>
        <v>3.931859133292645E-2</v>
      </c>
      <c r="D66" s="89">
        <f>Normalized_FCF!G119</f>
        <v>4.2499836331200143E-2</v>
      </c>
    </row>
    <row r="67" spans="1:6">
      <c r="B67" s="229" t="str">
        <f>Normalized_FCF!B116</f>
        <v>Pre-tax Profit/Sales</v>
      </c>
      <c r="C67" s="266">
        <f>Normalized_FCF!C116</f>
        <v>1.9127481481925439E-2</v>
      </c>
      <c r="D67" s="266">
        <f>Normalized_FCF!G116</f>
        <v>2.0675075196021478E-2</v>
      </c>
    </row>
    <row r="68" spans="1:6">
      <c r="B68" s="229" t="str">
        <f>Normalized_FCF!B117</f>
        <v>Sales/Total Assets</v>
      </c>
      <c r="C68" s="268">
        <f>Normalized_FCF!C117</f>
        <v>1.4656521003611329</v>
      </c>
      <c r="D68" s="268">
        <f>Normalized_FCF!G117</f>
        <v>1.4656521003611329</v>
      </c>
    </row>
    <row r="69" spans="1:6">
      <c r="B69" s="229" t="str">
        <f>Normalized_FCF!B118</f>
        <v>Total Assets/Equity</v>
      </c>
      <c r="C69" s="268">
        <f>Normalized_FCF!C118</f>
        <v>1.4025206525126881</v>
      </c>
      <c r="D69" s="268">
        <f>Normalized_FCF!G118</f>
        <v>1.4025206525126881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-1457859</v>
      </c>
      <c r="D78" s="1" t="str">
        <f>Reporting_currency</f>
        <v>CNY</v>
      </c>
    </row>
    <row r="79" spans="1:6">
      <c r="A79" s="191"/>
      <c r="B79" s="44" t="s">
        <v>234</v>
      </c>
      <c r="C79" s="201">
        <f>C78*scaling_factor*Exchange_Rate/Common_Shares</f>
        <v>-0.31072915483458613</v>
      </c>
      <c r="D79" s="1" t="str">
        <f>Market_currency</f>
        <v>HKD</v>
      </c>
    </row>
    <row r="80" spans="1:6">
      <c r="A80" s="191"/>
      <c r="B80" s="229" t="s">
        <v>309</v>
      </c>
      <c r="C80" s="341">
        <f>IF(BS!G31/BS!G27&gt;300%,"nm",BS!G31/BS!G27)</f>
        <v>0.16239287772638675</v>
      </c>
    </row>
    <row r="81" spans="1:6">
      <c r="A81" s="191"/>
      <c r="B81" s="229" t="s">
        <v>311</v>
      </c>
      <c r="C81" s="342">
        <f>IF(BS!C50&gt;30,"nm",BS!C50)</f>
        <v>3.5496550732945478</v>
      </c>
    </row>
    <row r="82" spans="1:6">
      <c r="A82" s="191"/>
    </row>
    <row r="83" spans="1:6">
      <c r="A83" s="191"/>
      <c r="B83" s="1" t="s">
        <v>469</v>
      </c>
    </row>
    <row r="84" spans="1:6">
      <c r="A84" s="191"/>
      <c r="B84" s="1" t="s">
        <v>224</v>
      </c>
      <c r="C84" s="289">
        <f>DCF!F5</f>
        <v>1177571.1638700066</v>
      </c>
      <c r="D84" s="1" t="str">
        <f>Reporting_currency</f>
        <v>CNY</v>
      </c>
    </row>
    <row r="85" spans="1:6">
      <c r="A85" s="191"/>
      <c r="B85" s="229" t="s">
        <v>222</v>
      </c>
      <c r="C85" s="295">
        <f>BS!C66</f>
        <v>2694132</v>
      </c>
      <c r="D85" s="343" t="str">
        <f>Reporting_currency</f>
        <v>CNY</v>
      </c>
    </row>
    <row r="86" spans="1:6">
      <c r="A86" s="191"/>
      <c r="B86" s="44" t="s">
        <v>235</v>
      </c>
      <c r="C86" s="201">
        <f>C84*scaling_factor*Exchange_Rate/Common_Shares</f>
        <v>0.25098839634485026</v>
      </c>
      <c r="D86" s="1" t="str">
        <f>Market_currency</f>
        <v>HKD</v>
      </c>
    </row>
    <row r="87" spans="1:6">
      <c r="A87" s="191"/>
    </row>
    <row r="88" spans="1:6">
      <c r="A88" s="191"/>
      <c r="B88" s="1" t="s">
        <v>216</v>
      </c>
    </row>
    <row r="89" spans="1:6">
      <c r="A89" s="191"/>
      <c r="B89" s="1" t="s">
        <v>217</v>
      </c>
      <c r="C89" s="289">
        <f>DCF!F6</f>
        <v>1649.3999999999999</v>
      </c>
      <c r="D89" s="1" t="str">
        <f>Reporting_currency</f>
        <v>CNY</v>
      </c>
    </row>
    <row r="90" spans="1:6">
      <c r="A90" s="191"/>
      <c r="B90" s="44" t="s">
        <v>236</v>
      </c>
      <c r="C90" s="201">
        <f>C89*scaling_factor*Exchange_Rate/Common_Shares</f>
        <v>3.5155434646571876E-4</v>
      </c>
      <c r="D90" s="1" t="str">
        <f>Market_currency</f>
        <v>HKD</v>
      </c>
    </row>
    <row r="91" spans="1:6">
      <c r="A91" s="191"/>
    </row>
    <row r="92" spans="1:6">
      <c r="A92" s="191"/>
      <c r="B92" s="44" t="s">
        <v>472</v>
      </c>
      <c r="C92" s="216">
        <f>DCF!F8</f>
        <v>-5.938920414327014E-2</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0.58646528827105848</v>
      </c>
      <c r="D111" s="1" t="str">
        <f>Market_currency</f>
        <v>HKD</v>
      </c>
    </row>
    <row r="112" spans="2:6">
      <c r="B112" s="44" t="s">
        <v>323</v>
      </c>
      <c r="C112" s="216">
        <f>DCF!C11</f>
        <v>0.67435631540175844</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(3yrs)</v>
      </c>
      <c r="C118" s="206">
        <f>DCF!C90</f>
        <v>-0.1</v>
      </c>
      <c r="D118" s="207" t="str">
        <f>ROUND(DCF!E90,2)&amp;" "&amp;Market_currency</f>
        <v>0.46 HKD</v>
      </c>
      <c r="E118" s="208">
        <f>DCF!F90</f>
        <v>0.15</v>
      </c>
      <c r="F118" s="208">
        <f>RATE(Holding_Period,Scenarios!C$58,-DCF!E90,C$18)</f>
        <v>0.17622993817199181</v>
      </c>
    </row>
    <row r="119" spans="2:6">
      <c r="B119" s="205" t="str">
        <f>DCF!B91&amp;" ("&amp;DCF!D91&amp;"yrs)"</f>
        <v>Optimistic (3yrs)</v>
      </c>
      <c r="C119" s="198">
        <f>DCF!C91</f>
        <v>0.02</v>
      </c>
      <c r="D119" s="207" t="str">
        <f>ROUND(DCF!E91,2)&amp;" "&amp;Market_currency</f>
        <v>0.72 HKD</v>
      </c>
      <c r="E119" s="199">
        <f>DCF!F91</f>
        <v>0.15999999999999995</v>
      </c>
      <c r="F119" s="208">
        <f>RATE(Holding_Period,Scenarios!C$58,-DCF!E91,C$18)</f>
        <v>1.1422566841124871E-3</v>
      </c>
    </row>
    <row r="120" spans="2:6">
      <c r="B120" s="205" t="str">
        <f>DCF!B92&amp;" ("&amp;DCF!D92&amp;"yrs)"</f>
        <v>Base (3yrs)</v>
      </c>
      <c r="C120" s="198">
        <f>DCF!C92</f>
        <v>0</v>
      </c>
      <c r="D120" s="207" t="str">
        <f>ROUND(DCF!E92,2)&amp;" "&amp;Market_currency</f>
        <v>0.67 HKD</v>
      </c>
      <c r="E120" s="199">
        <f>DCF!F92</f>
        <v>0.44</v>
      </c>
      <c r="F120" s="208">
        <f>RATE(Holding_Period,Scenarios!C$58,-DCF!E92,C$18)</f>
        <v>2.585771692502627E-2</v>
      </c>
    </row>
    <row r="121" spans="2:6">
      <c r="B121" s="205" t="str">
        <f>DCF!B93&amp;" ("&amp;DCF!D93&amp;"yrs)"</f>
        <v>Pessimistic (3yrs)</v>
      </c>
      <c r="C121" s="198">
        <f>DCF!C93</f>
        <v>-0.02</v>
      </c>
      <c r="D121" s="207" t="str">
        <f>ROUND(DCF!E93,2)&amp;" "&amp;Market_currency</f>
        <v>0.63 HKD</v>
      </c>
      <c r="E121" s="199">
        <f>DCF!F93</f>
        <v>0.19999999999999998</v>
      </c>
      <c r="F121" s="208">
        <f>RATE(Holding_Period,Scenarios!C$58,-DCF!E93,C$18)</f>
        <v>5.2096525833418235E-2</v>
      </c>
    </row>
    <row r="122" spans="2:6">
      <c r="B122" s="205" t="str">
        <f>DCF!B94&amp;" ("&amp;DCF!D94&amp;"yrs)"</f>
        <v>Devil's advocate (3yrs)</v>
      </c>
      <c r="C122" s="198">
        <f>DCF!C94</f>
        <v>0.04</v>
      </c>
      <c r="D122" s="207" t="str">
        <f>ROUND(DCF!E94,2)&amp;" "&amp;Market_currency</f>
        <v>0.77 HKD</v>
      </c>
      <c r="E122" s="199">
        <f>DCF!F94</f>
        <v>0.05</v>
      </c>
      <c r="F122" s="208">
        <f>RATE(Holding_Period,Scenarios!C$58,-DCF!E94,C$18)</f>
        <v>-2.2197628994799792E-2</v>
      </c>
    </row>
    <row r="124" spans="2:6">
      <c r="B124" s="457" t="s">
        <v>357</v>
      </c>
      <c r="C124" s="457"/>
      <c r="D124" s="457"/>
      <c r="E124" s="457"/>
      <c r="F124" s="457"/>
    </row>
    <row r="125" spans="2:6">
      <c r="B125" s="193" t="s">
        <v>218</v>
      </c>
      <c r="C125" s="197">
        <f>Scenarios!C36</f>
        <v>0.64492005808753095</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2.7E-2</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4.9405992554973237E-2</v>
      </c>
      <c r="D140" s="337">
        <f>Scenarios!D62</f>
        <v>0.29719818345047516</v>
      </c>
      <c r="E140" s="338">
        <f>Scenarios!E62</f>
        <v>0.34660417600544841</v>
      </c>
      <c r="F140" s="339">
        <f>E22</f>
        <v>0.29465259038036601</v>
      </c>
    </row>
    <row r="141" spans="1:6">
      <c r="B141" s="340" t="s">
        <v>313</v>
      </c>
      <c r="C141" s="337">
        <f>Scenarios!C63</f>
        <v>5.6808106576265137E-2</v>
      </c>
      <c r="D141" s="337">
        <f>Scenarios!D63</f>
        <v>0.37251700106138985</v>
      </c>
      <c r="E141" s="338">
        <f>Scenarios!E63</f>
        <v>0.42932510763765497</v>
      </c>
      <c r="F141" s="339">
        <f>Scenarios!F63</f>
        <v>0.20075184365903001</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6.5140284400343515E-2</v>
      </c>
      <c r="D144" s="337">
        <f>Scenarios!D66</f>
        <v>0.462253154297948</v>
      </c>
      <c r="E144" s="338">
        <f>Scenarios!E66</f>
        <v>0.52739343869829147</v>
      </c>
      <c r="F144" s="339">
        <f>E24</f>
        <v>0.1174</v>
      </c>
    </row>
    <row r="145" spans="1:6">
      <c r="B145" s="340" t="s">
        <v>314</v>
      </c>
      <c r="C145" s="337">
        <f>Scenarios!C67</f>
        <v>7.0534131133671435E-2</v>
      </c>
      <c r="D145" s="337">
        <f>Scenarios!D67</f>
        <v>0.52277400230155446</v>
      </c>
      <c r="E145" s="338">
        <f>Scenarios!E67</f>
        <v>0.59330813343522593</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18453923</v>
      </c>
      <c r="D4" s="291">
        <v>20064497</v>
      </c>
      <c r="E4" s="291">
        <v>18638021</v>
      </c>
      <c r="F4" s="291">
        <v>23350235</v>
      </c>
      <c r="G4" s="291">
        <v>25611125</v>
      </c>
      <c r="H4" s="291">
        <v>27189765</v>
      </c>
      <c r="I4" s="291">
        <v>22677375</v>
      </c>
      <c r="J4" s="291">
        <v>18833313</v>
      </c>
      <c r="K4" s="291">
        <v>16236384</v>
      </c>
      <c r="L4" s="291">
        <v>2300174</v>
      </c>
      <c r="M4" s="291"/>
    </row>
    <row r="5" spans="2:13">
      <c r="B5" s="38" t="s">
        <v>40</v>
      </c>
      <c r="C5" s="291">
        <v>12144973</v>
      </c>
      <c r="D5" s="291">
        <v>13308517</v>
      </c>
      <c r="E5" s="291">
        <v>11949975</v>
      </c>
      <c r="F5" s="291">
        <v>15050952</v>
      </c>
      <c r="G5" s="291">
        <v>17784820</v>
      </c>
      <c r="H5" s="291">
        <v>17914296</v>
      </c>
      <c r="I5" s="291">
        <v>15078824</v>
      </c>
      <c r="J5" s="291">
        <v>12239725</v>
      </c>
      <c r="K5" s="291">
        <v>10467944</v>
      </c>
      <c r="L5" s="291">
        <v>1534115</v>
      </c>
      <c r="M5" s="291"/>
    </row>
    <row r="6" spans="2:13">
      <c r="B6" s="38" t="s">
        <v>51</v>
      </c>
      <c r="C6" s="291">
        <v>5887751</v>
      </c>
      <c r="D6" s="291">
        <v>6339969</v>
      </c>
      <c r="E6" s="291">
        <v>6616355</v>
      </c>
      <c r="F6" s="291">
        <v>7828843</v>
      </c>
      <c r="G6" s="291">
        <v>7505186</v>
      </c>
      <c r="H6" s="291">
        <v>8180843</v>
      </c>
      <c r="I6" s="291">
        <v>6912977</v>
      </c>
      <c r="J6" s="291">
        <v>6051222</v>
      </c>
      <c r="K6" s="291">
        <v>5072462</v>
      </c>
      <c r="L6" s="291">
        <v>688319</v>
      </c>
      <c r="M6" s="291"/>
    </row>
    <row r="7" spans="2:13">
      <c r="B7" s="66" t="s">
        <v>58</v>
      </c>
      <c r="C7" s="292">
        <v>5136105</v>
      </c>
      <c r="D7" s="292">
        <v>5588228</v>
      </c>
      <c r="E7" s="292">
        <v>5806761</v>
      </c>
      <c r="F7" s="292">
        <v>6962403</v>
      </c>
      <c r="G7" s="292">
        <v>6741868</v>
      </c>
      <c r="H7" s="292">
        <v>7168952</v>
      </c>
      <c r="I7" s="292">
        <v>6099595</v>
      </c>
      <c r="J7" s="292">
        <v>5326027</v>
      </c>
      <c r="K7" s="292">
        <v>4415748</v>
      </c>
      <c r="L7" s="292">
        <v>592050</v>
      </c>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67796</v>
      </c>
      <c r="D12" s="291">
        <v>92335</v>
      </c>
      <c r="E12" s="291">
        <v>166759</v>
      </c>
      <c r="F12" s="291">
        <v>202932</v>
      </c>
      <c r="G12" s="291"/>
      <c r="H12" s="291"/>
      <c r="I12" s="291"/>
      <c r="J12" s="291"/>
      <c r="K12" s="291"/>
      <c r="L12" s="291"/>
      <c r="M12" s="291"/>
    </row>
    <row r="13" spans="2:13">
      <c r="B13" s="38" t="s">
        <v>64</v>
      </c>
      <c r="C13" s="291">
        <v>49978</v>
      </c>
      <c r="D13" s="291">
        <v>37615</v>
      </c>
      <c r="E13" s="291">
        <v>22235</v>
      </c>
      <c r="F13" s="291">
        <v>28079</v>
      </c>
      <c r="G13" s="291"/>
      <c r="H13" s="291"/>
      <c r="I13" s="291"/>
      <c r="J13" s="291"/>
      <c r="K13" s="291"/>
      <c r="L13" s="291"/>
      <c r="M13" s="291"/>
    </row>
    <row r="14" spans="2:13">
      <c r="B14" s="38" t="s">
        <v>47</v>
      </c>
      <c r="C14" s="291">
        <v>190386</v>
      </c>
      <c r="D14" s="291">
        <v>153501</v>
      </c>
      <c r="E14" s="291">
        <v>162625</v>
      </c>
      <c r="F14" s="291">
        <v>198365</v>
      </c>
      <c r="G14" s="291">
        <v>118395</v>
      </c>
      <c r="H14" s="291">
        <v>344556</v>
      </c>
      <c r="I14" s="291">
        <v>261475</v>
      </c>
      <c r="J14" s="291">
        <v>242187</v>
      </c>
      <c r="K14" s="291">
        <v>262312</v>
      </c>
      <c r="L14" s="291">
        <v>23744</v>
      </c>
      <c r="M14" s="291"/>
    </row>
    <row r="15" spans="2:13">
      <c r="B15" s="41" t="s">
        <v>39</v>
      </c>
      <c r="C15" s="293">
        <v>497822</v>
      </c>
      <c r="D15" s="293">
        <v>503208</v>
      </c>
      <c r="E15" s="293">
        <v>100238</v>
      </c>
      <c r="F15" s="293">
        <v>375755</v>
      </c>
      <c r="G15" s="293">
        <v>314660</v>
      </c>
      <c r="H15" s="293">
        <v>879910</v>
      </c>
      <c r="I15" s="293">
        <v>560894</v>
      </c>
      <c r="J15" s="293">
        <v>415032</v>
      </c>
      <c r="K15" s="293">
        <v>569611</v>
      </c>
      <c r="L15" s="293">
        <v>62358</v>
      </c>
      <c r="M15" s="293"/>
    </row>
    <row r="16" spans="2:13">
      <c r="B16" s="27" t="s">
        <v>41</v>
      </c>
      <c r="C16" s="291">
        <v>6325</v>
      </c>
      <c r="D16" s="291">
        <v>12783</v>
      </c>
      <c r="E16" s="291">
        <v>11074</v>
      </c>
      <c r="F16" s="291">
        <v>19168</v>
      </c>
      <c r="G16" s="291">
        <v>11820</v>
      </c>
      <c r="H16" s="291">
        <v>46635</v>
      </c>
      <c r="I16" s="291">
        <v>18006</v>
      </c>
      <c r="J16" s="291">
        <v>20710</v>
      </c>
      <c r="K16" s="291">
        <v>9032</v>
      </c>
      <c r="L16" s="291">
        <v>-2140</v>
      </c>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1184593</v>
      </c>
      <c r="D22" s="291">
        <v>3404158</v>
      </c>
      <c r="E22" s="291">
        <v>2666433</v>
      </c>
      <c r="F22" s="291">
        <v>1837298</v>
      </c>
      <c r="G22" s="291">
        <v>5119310</v>
      </c>
      <c r="H22" s="291">
        <v>1827467</v>
      </c>
      <c r="I22" s="291">
        <v>-6164</v>
      </c>
      <c r="J22" s="291">
        <v>-199686</v>
      </c>
      <c r="K22" s="291">
        <v>-11423</v>
      </c>
      <c r="L22" s="291">
        <v>145662</v>
      </c>
      <c r="M22" s="291"/>
    </row>
    <row r="23" spans="2:13">
      <c r="B23" s="26" t="s">
        <v>288</v>
      </c>
      <c r="C23" s="291">
        <v>-534366</v>
      </c>
      <c r="D23" s="291">
        <v>-1315296</v>
      </c>
      <c r="E23" s="291">
        <v>-219819</v>
      </c>
      <c r="F23" s="291">
        <v>-404136</v>
      </c>
      <c r="G23" s="291">
        <v>-924826</v>
      </c>
      <c r="H23" s="291">
        <v>-848106</v>
      </c>
      <c r="I23" s="291">
        <v>-506585</v>
      </c>
      <c r="J23" s="291">
        <v>-581652</v>
      </c>
      <c r="K23" s="291">
        <v>-399991</v>
      </c>
      <c r="L23" s="291">
        <v>-40644</v>
      </c>
      <c r="M23" s="291"/>
    </row>
    <row r="24" spans="2:13">
      <c r="B24" s="26" t="s">
        <v>287</v>
      </c>
      <c r="C24" s="291">
        <v>-1060204</v>
      </c>
      <c r="D24" s="291">
        <v>-1450739</v>
      </c>
      <c r="E24" s="291">
        <v>-2488075</v>
      </c>
      <c r="F24" s="291">
        <v>-1941359</v>
      </c>
      <c r="G24" s="291">
        <v>-3067379</v>
      </c>
      <c r="H24" s="291">
        <v>-1098004</v>
      </c>
      <c r="I24" s="291">
        <v>865363</v>
      </c>
      <c r="J24" s="291">
        <v>669415</v>
      </c>
      <c r="K24" s="291">
        <v>700549</v>
      </c>
      <c r="L24" s="291">
        <v>-118667</v>
      </c>
      <c r="M24" s="291"/>
    </row>
    <row r="25" spans="2:13">
      <c r="B25" s="23" t="str">
        <f>"Dividend per share ("&amp;Market_currency&amp;")"</f>
        <v>Dividend per share (HKD)</v>
      </c>
      <c r="C25" s="37">
        <f>0.01+0.02</f>
        <v>0.03</v>
      </c>
      <c r="D25" s="37"/>
      <c r="E25" s="37"/>
      <c r="F25" s="37"/>
      <c r="G25" s="37"/>
      <c r="H25" s="37"/>
      <c r="I25" s="37"/>
      <c r="J25" s="37"/>
      <c r="K25" s="37"/>
      <c r="L25" s="37"/>
      <c r="M25" s="37"/>
    </row>
    <row r="27" spans="2:13">
      <c r="B27" s="16" t="s">
        <v>26</v>
      </c>
      <c r="C27" s="94" t="s">
        <v>550</v>
      </c>
    </row>
    <row r="28" spans="2:13">
      <c r="B28" s="25" t="s">
        <v>22</v>
      </c>
      <c r="C28" s="274">
        <f>BS!C4</f>
        <v>2009997</v>
      </c>
      <c r="D28" s="291">
        <v>978919</v>
      </c>
      <c r="E28" s="291">
        <v>862084</v>
      </c>
      <c r="F28" s="291">
        <v>1165003</v>
      </c>
      <c r="G28" s="291">
        <v>1702963</v>
      </c>
      <c r="H28" s="291">
        <v>1407523</v>
      </c>
      <c r="I28" s="291">
        <v>1739803</v>
      </c>
      <c r="J28" s="291">
        <v>1609167</v>
      </c>
      <c r="K28" s="291">
        <v>1292686</v>
      </c>
      <c r="L28" s="291">
        <v>176681</v>
      </c>
      <c r="M28" s="291"/>
    </row>
    <row r="29" spans="2:13">
      <c r="B29" s="25" t="s">
        <v>30</v>
      </c>
      <c r="C29" s="274">
        <f>BS!C6</f>
        <v>4865388</v>
      </c>
      <c r="D29" s="291">
        <v>4704713</v>
      </c>
      <c r="E29" s="291">
        <v>6071858</v>
      </c>
      <c r="F29" s="291">
        <v>7578037</v>
      </c>
      <c r="G29" s="291">
        <v>5869541</v>
      </c>
      <c r="H29" s="291">
        <v>8021487</v>
      </c>
      <c r="I29" s="291">
        <v>6694022</v>
      </c>
      <c r="J29" s="291">
        <v>5589344</v>
      </c>
      <c r="K29" s="291">
        <v>4400649</v>
      </c>
      <c r="L29" s="291">
        <v>594633</v>
      </c>
      <c r="M29" s="291"/>
    </row>
    <row r="30" spans="2:13">
      <c r="B30" s="28" t="s">
        <v>38</v>
      </c>
      <c r="C30" s="275">
        <f>BS!C33+BS!C42</f>
        <v>3613572</v>
      </c>
      <c r="D30" s="293">
        <v>4647092</v>
      </c>
      <c r="E30" s="293">
        <v>5404941</v>
      </c>
      <c r="F30" s="293">
        <v>8456784</v>
      </c>
      <c r="G30" s="293">
        <v>9146239</v>
      </c>
      <c r="H30" s="293">
        <v>9684704</v>
      </c>
      <c r="I30" s="293">
        <v>6201932</v>
      </c>
      <c r="J30" s="293">
        <v>5028581</v>
      </c>
      <c r="K30" s="293">
        <v>3910265</v>
      </c>
      <c r="L30" s="293">
        <v>425087</v>
      </c>
      <c r="M30" s="293"/>
    </row>
    <row r="31" spans="2:13">
      <c r="B31" s="28" t="s">
        <v>28</v>
      </c>
      <c r="C31" s="275">
        <f>BS!G27</f>
        <v>8977358</v>
      </c>
      <c r="D31" s="293">
        <v>8610581</v>
      </c>
      <c r="E31" s="293">
        <v>8193920</v>
      </c>
      <c r="F31" s="293">
        <v>8202196</v>
      </c>
      <c r="G31" s="293">
        <v>7876030</v>
      </c>
      <c r="H31" s="293">
        <v>7706078</v>
      </c>
      <c r="I31" s="293">
        <v>7035537</v>
      </c>
      <c r="J31" s="293">
        <v>6441529</v>
      </c>
      <c r="K31" s="293">
        <v>6133511</v>
      </c>
      <c r="L31" s="293">
        <v>876138</v>
      </c>
      <c r="M31" s="293"/>
    </row>
    <row r="32" spans="2:13">
      <c r="B32" s="25" t="s">
        <v>143</v>
      </c>
      <c r="C32" s="274">
        <f>BS!G28</f>
        <v>108802</v>
      </c>
      <c r="D32" s="291">
        <v>92450</v>
      </c>
      <c r="E32" s="291">
        <v>79667</v>
      </c>
      <c r="F32" s="291">
        <v>106732</v>
      </c>
      <c r="G32" s="291">
        <v>105829</v>
      </c>
      <c r="H32" s="291">
        <v>93504</v>
      </c>
      <c r="I32" s="291">
        <v>167970</v>
      </c>
      <c r="J32" s="291">
        <v>50837</v>
      </c>
      <c r="K32" s="291">
        <v>29980</v>
      </c>
      <c r="L32" s="291">
        <v>6897</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18453923</v>
      </c>
      <c r="D36" s="274">
        <f t="shared" si="1"/>
        <v>20064497</v>
      </c>
      <c r="E36" s="274">
        <f t="shared" si="1"/>
        <v>18638021</v>
      </c>
      <c r="F36" s="274">
        <f t="shared" si="1"/>
        <v>23350235</v>
      </c>
      <c r="G36" s="274">
        <f t="shared" si="1"/>
        <v>25611125</v>
      </c>
      <c r="H36" s="274">
        <f t="shared" si="1"/>
        <v>27189765</v>
      </c>
      <c r="I36" s="274">
        <f t="shared" si="1"/>
        <v>22677375</v>
      </c>
      <c r="J36" s="274">
        <f t="shared" si="1"/>
        <v>18833313</v>
      </c>
      <c r="K36" s="274">
        <f t="shared" si="1"/>
        <v>16236384</v>
      </c>
      <c r="L36" s="274">
        <f t="shared" si="1"/>
        <v>2300174</v>
      </c>
      <c r="M36" s="274" t="str">
        <f t="shared" si="1"/>
        <v/>
      </c>
    </row>
    <row r="37" spans="2:13">
      <c r="B37" s="38" t="s">
        <v>40</v>
      </c>
      <c r="C37" s="274">
        <f t="shared" ref="C37:M37" si="2">IF(C$4="","",-C5)</f>
        <v>-12144973</v>
      </c>
      <c r="D37" s="274">
        <f t="shared" si="2"/>
        <v>-13308517</v>
      </c>
      <c r="E37" s="274">
        <f t="shared" si="2"/>
        <v>-11949975</v>
      </c>
      <c r="F37" s="274">
        <f t="shared" si="2"/>
        <v>-15050952</v>
      </c>
      <c r="G37" s="274">
        <f t="shared" si="2"/>
        <v>-17784820</v>
      </c>
      <c r="H37" s="274">
        <f t="shared" si="2"/>
        <v>-17914296</v>
      </c>
      <c r="I37" s="274">
        <f t="shared" si="2"/>
        <v>-15078824</v>
      </c>
      <c r="J37" s="274">
        <f t="shared" si="2"/>
        <v>-12239725</v>
      </c>
      <c r="K37" s="274">
        <f t="shared" si="2"/>
        <v>-10467944</v>
      </c>
      <c r="L37" s="274">
        <f t="shared" si="2"/>
        <v>-1534115</v>
      </c>
      <c r="M37" s="274" t="str">
        <f t="shared" si="2"/>
        <v/>
      </c>
    </row>
    <row r="38" spans="2:13">
      <c r="B38" s="30" t="s">
        <v>55</v>
      </c>
      <c r="C38" s="271">
        <f>IF(C36="","",C36+C37)</f>
        <v>6308950</v>
      </c>
      <c r="D38" s="271">
        <f t="shared" ref="D38" si="3">IF(D36="","",D36+D37)</f>
        <v>6755980</v>
      </c>
      <c r="E38" s="271">
        <f t="shared" ref="E38" si="4">IF(E36="","",E36+E37)</f>
        <v>6688046</v>
      </c>
      <c r="F38" s="271">
        <f t="shared" ref="F38" si="5">IF(F36="","",F36+F37)</f>
        <v>8299283</v>
      </c>
      <c r="G38" s="271">
        <f t="shared" ref="G38" si="6">IF(G36="","",G36+G37)</f>
        <v>7826305</v>
      </c>
      <c r="H38" s="271">
        <f t="shared" ref="H38" si="7">IF(H36="","",H36+H37)</f>
        <v>9275469</v>
      </c>
      <c r="I38" s="271">
        <f t="shared" ref="I38" si="8">IF(I36="","",I36+I37)</f>
        <v>7598551</v>
      </c>
      <c r="J38" s="271">
        <f t="shared" ref="J38" si="9">IF(J36="","",J36+J37)</f>
        <v>6593588</v>
      </c>
      <c r="K38" s="271">
        <f t="shared" ref="K38" si="10">IF(K36="","",K36+K37)</f>
        <v>5768440</v>
      </c>
      <c r="L38" s="271">
        <f t="shared" ref="L38" si="11">IF(L36="","",L36+L37)</f>
        <v>766059</v>
      </c>
      <c r="M38" s="271" t="str">
        <f t="shared" ref="M38" si="12">IF(M36="","",M36+M37)</f>
        <v/>
      </c>
    </row>
    <row r="39" spans="2:13">
      <c r="B39" s="38" t="s">
        <v>51</v>
      </c>
      <c r="C39" s="274">
        <f t="shared" ref="C39:M39" si="13">IF(C$4="","",-C6)</f>
        <v>-5887751</v>
      </c>
      <c r="D39" s="274">
        <f t="shared" si="13"/>
        <v>-6339969</v>
      </c>
      <c r="E39" s="274">
        <f t="shared" si="13"/>
        <v>-6616355</v>
      </c>
      <c r="F39" s="274">
        <f t="shared" si="13"/>
        <v>-7828843</v>
      </c>
      <c r="G39" s="274">
        <f t="shared" si="13"/>
        <v>-7505186</v>
      </c>
      <c r="H39" s="274">
        <f t="shared" si="13"/>
        <v>-8180843</v>
      </c>
      <c r="I39" s="274">
        <f t="shared" si="13"/>
        <v>-6912977</v>
      </c>
      <c r="J39" s="274">
        <f t="shared" si="13"/>
        <v>-6051222</v>
      </c>
      <c r="K39" s="274">
        <f t="shared" si="13"/>
        <v>-5072462</v>
      </c>
      <c r="L39" s="274">
        <f t="shared" si="13"/>
        <v>-688319</v>
      </c>
      <c r="M39" s="274" t="str">
        <f t="shared" si="13"/>
        <v/>
      </c>
    </row>
    <row r="40" spans="2:13">
      <c r="B40" s="66" t="s">
        <v>58</v>
      </c>
      <c r="C40" s="286">
        <f t="shared" ref="C40:M40" si="14">IF(C$4="","",-C7)</f>
        <v>-5136105</v>
      </c>
      <c r="D40" s="286">
        <f t="shared" si="14"/>
        <v>-5588228</v>
      </c>
      <c r="E40" s="286">
        <f t="shared" si="14"/>
        <v>-5806761</v>
      </c>
      <c r="F40" s="286">
        <f t="shared" si="14"/>
        <v>-6962403</v>
      </c>
      <c r="G40" s="286">
        <f t="shared" si="14"/>
        <v>-6741868</v>
      </c>
      <c r="H40" s="286">
        <f t="shared" si="14"/>
        <v>-7168952</v>
      </c>
      <c r="I40" s="286">
        <f t="shared" si="14"/>
        <v>-6099595</v>
      </c>
      <c r="J40" s="286">
        <f t="shared" si="14"/>
        <v>-5326027</v>
      </c>
      <c r="K40" s="286">
        <f t="shared" si="14"/>
        <v>-4415748</v>
      </c>
      <c r="L40" s="286">
        <f t="shared" si="14"/>
        <v>-592050</v>
      </c>
      <c r="M40" s="286" t="str">
        <f t="shared" si="14"/>
        <v/>
      </c>
    </row>
    <row r="41" spans="2:13">
      <c r="B41" s="66" t="s">
        <v>61</v>
      </c>
      <c r="C41" s="286">
        <f>IF(C$4="","",C39-C40)</f>
        <v>-751646</v>
      </c>
      <c r="D41" s="286">
        <f t="shared" ref="D41:M41" si="15">IF(D$4="","",D39-D40)</f>
        <v>-751741</v>
      </c>
      <c r="E41" s="286">
        <f t="shared" si="15"/>
        <v>-809594</v>
      </c>
      <c r="F41" s="286">
        <f t="shared" si="15"/>
        <v>-866440</v>
      </c>
      <c r="G41" s="286">
        <f t="shared" si="15"/>
        <v>-763318</v>
      </c>
      <c r="H41" s="286">
        <f t="shared" si="15"/>
        <v>-1011891</v>
      </c>
      <c r="I41" s="286">
        <f t="shared" si="15"/>
        <v>-813382</v>
      </c>
      <c r="J41" s="286">
        <f t="shared" si="15"/>
        <v>-725195</v>
      </c>
      <c r="K41" s="286">
        <f t="shared" si="15"/>
        <v>-656714</v>
      </c>
      <c r="L41" s="286">
        <f t="shared" si="15"/>
        <v>-96269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421199</v>
      </c>
      <c r="D43" s="275">
        <f t="shared" ref="D43:M43" si="17">IF(D$4="","",D38+D39+D42)</f>
        <v>416011</v>
      </c>
      <c r="E43" s="275">
        <f t="shared" si="17"/>
        <v>71691</v>
      </c>
      <c r="F43" s="275">
        <f t="shared" si="17"/>
        <v>470440</v>
      </c>
      <c r="G43" s="275">
        <f t="shared" si="17"/>
        <v>321119</v>
      </c>
      <c r="H43" s="275">
        <f t="shared" si="17"/>
        <v>1094626</v>
      </c>
      <c r="I43" s="275">
        <f t="shared" si="17"/>
        <v>685574</v>
      </c>
      <c r="J43" s="275">
        <f t="shared" si="17"/>
        <v>542366</v>
      </c>
      <c r="K43" s="275">
        <f t="shared" si="17"/>
        <v>695978</v>
      </c>
      <c r="L43" s="275">
        <f t="shared" si="17"/>
        <v>77740</v>
      </c>
      <c r="M43" s="275" t="str">
        <f t="shared" si="17"/>
        <v/>
      </c>
    </row>
    <row r="44" spans="2:13">
      <c r="B44" s="41" t="s">
        <v>139</v>
      </c>
      <c r="C44" s="294">
        <f t="shared" ref="C44:M44" si="18">IF(C$4="","",C47-C46-C45-C43)</f>
        <v>284827</v>
      </c>
      <c r="D44" s="294">
        <f t="shared" si="18"/>
        <v>295418</v>
      </c>
      <c r="E44" s="294">
        <f t="shared" si="18"/>
        <v>335696</v>
      </c>
      <c r="F44" s="294">
        <f t="shared" si="18"/>
        <v>278533</v>
      </c>
      <c r="G44" s="294">
        <f t="shared" si="18"/>
        <v>111936</v>
      </c>
      <c r="H44" s="294">
        <f t="shared" si="18"/>
        <v>129840</v>
      </c>
      <c r="I44" s="294">
        <f t="shared" si="18"/>
        <v>136795</v>
      </c>
      <c r="J44" s="294">
        <f t="shared" si="18"/>
        <v>114853</v>
      </c>
      <c r="K44" s="294">
        <f t="shared" si="18"/>
        <v>135945</v>
      </c>
      <c r="L44" s="294">
        <f t="shared" si="18"/>
        <v>8362</v>
      </c>
      <c r="M44" s="294" t="str">
        <f t="shared" si="18"/>
        <v/>
      </c>
    </row>
    <row r="45" spans="2:13">
      <c r="B45" s="38" t="s">
        <v>65</v>
      </c>
      <c r="C45" s="289">
        <f t="shared" ref="C45:M45" si="19">IF(C$4="","",C51+C52)</f>
        <v>-17818</v>
      </c>
      <c r="D45" s="289">
        <f t="shared" si="19"/>
        <v>-54720</v>
      </c>
      <c r="E45" s="289">
        <f t="shared" si="19"/>
        <v>-144524</v>
      </c>
      <c r="F45" s="289">
        <f t="shared" si="19"/>
        <v>-174853</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-190386</v>
      </c>
      <c r="D46" s="274">
        <f t="shared" ref="D46:M46" si="20">IF(D$4="","",-D14)</f>
        <v>-153501</v>
      </c>
      <c r="E46" s="274">
        <f t="shared" si="20"/>
        <v>-162625</v>
      </c>
      <c r="F46" s="274">
        <f t="shared" si="20"/>
        <v>-198365</v>
      </c>
      <c r="G46" s="274">
        <f t="shared" si="20"/>
        <v>-118395</v>
      </c>
      <c r="H46" s="274">
        <f t="shared" si="20"/>
        <v>-344556</v>
      </c>
      <c r="I46" s="274">
        <f t="shared" si="20"/>
        <v>-261475</v>
      </c>
      <c r="J46" s="274">
        <f t="shared" si="20"/>
        <v>-242187</v>
      </c>
      <c r="K46" s="274">
        <f t="shared" si="20"/>
        <v>-262312</v>
      </c>
      <c r="L46" s="274">
        <f t="shared" si="20"/>
        <v>-23744</v>
      </c>
      <c r="M46" s="274" t="str">
        <f t="shared" si="20"/>
        <v/>
      </c>
    </row>
    <row r="47" spans="2:13">
      <c r="B47" s="41" t="s">
        <v>39</v>
      </c>
      <c r="C47" s="275">
        <f t="shared" ref="C47:M47" si="21">IF(C$4="","",C15)</f>
        <v>497822</v>
      </c>
      <c r="D47" s="275">
        <f t="shared" si="21"/>
        <v>503208</v>
      </c>
      <c r="E47" s="275">
        <f t="shared" si="21"/>
        <v>100238</v>
      </c>
      <c r="F47" s="275">
        <f t="shared" si="21"/>
        <v>375755</v>
      </c>
      <c r="G47" s="275">
        <f t="shared" si="21"/>
        <v>314660</v>
      </c>
      <c r="H47" s="275">
        <f t="shared" si="21"/>
        <v>879910</v>
      </c>
      <c r="I47" s="275">
        <f t="shared" si="21"/>
        <v>560894</v>
      </c>
      <c r="J47" s="275">
        <f t="shared" si="21"/>
        <v>415032</v>
      </c>
      <c r="K47" s="275">
        <f t="shared" si="21"/>
        <v>569611</v>
      </c>
      <c r="L47" s="275">
        <f t="shared" si="21"/>
        <v>62358</v>
      </c>
      <c r="M47" s="275" t="str">
        <f t="shared" si="21"/>
        <v/>
      </c>
    </row>
    <row r="48" spans="2:13">
      <c r="B48" s="27" t="s">
        <v>41</v>
      </c>
      <c r="C48" s="274">
        <f t="shared" ref="C48:M48" si="22">IF(C$4="","",MIN(-C16,0))</f>
        <v>-6325</v>
      </c>
      <c r="D48" s="274">
        <f t="shared" si="22"/>
        <v>-12783</v>
      </c>
      <c r="E48" s="274">
        <f t="shared" si="22"/>
        <v>-11074</v>
      </c>
      <c r="F48" s="274">
        <f t="shared" si="22"/>
        <v>-19168</v>
      </c>
      <c r="G48" s="274">
        <f t="shared" si="22"/>
        <v>-11820</v>
      </c>
      <c r="H48" s="274">
        <f t="shared" si="22"/>
        <v>-46635</v>
      </c>
      <c r="I48" s="274">
        <f t="shared" si="22"/>
        <v>-18006</v>
      </c>
      <c r="J48" s="274">
        <f t="shared" si="22"/>
        <v>-20710</v>
      </c>
      <c r="K48" s="274">
        <f t="shared" si="22"/>
        <v>-9032</v>
      </c>
      <c r="L48" s="274">
        <f t="shared" si="22"/>
        <v>0</v>
      </c>
      <c r="M48" s="274" t="str">
        <f t="shared" si="22"/>
        <v/>
      </c>
    </row>
    <row r="50" spans="2:13">
      <c r="B50" s="16" t="s">
        <v>65</v>
      </c>
    </row>
    <row r="51" spans="2:13">
      <c r="B51" s="38" t="s">
        <v>37</v>
      </c>
      <c r="C51" s="274">
        <f t="shared" ref="C51:M51" si="23">IF(C$4="","",-C12)</f>
        <v>-67796</v>
      </c>
      <c r="D51" s="274">
        <f t="shared" si="23"/>
        <v>-92335</v>
      </c>
      <c r="E51" s="274">
        <f t="shared" si="23"/>
        <v>-166759</v>
      </c>
      <c r="F51" s="274">
        <f t="shared" si="23"/>
        <v>-202932</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49978</v>
      </c>
      <c r="D52" s="274">
        <f t="shared" ref="D52:M52" si="24">IF(D$4="","",D13)</f>
        <v>37615</v>
      </c>
      <c r="E52" s="274">
        <f t="shared" si="24"/>
        <v>22235</v>
      </c>
      <c r="F52" s="274">
        <f t="shared" si="24"/>
        <v>28079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284827</v>
      </c>
      <c r="D58" s="289">
        <f t="shared" ref="D58:M58" si="28">IF(D$4="","",D44-D55-D56-D57)</f>
        <v>295418</v>
      </c>
      <c r="E58" s="289">
        <f t="shared" si="28"/>
        <v>335696</v>
      </c>
      <c r="F58" s="289">
        <f t="shared" si="28"/>
        <v>278533</v>
      </c>
      <c r="G58" s="289">
        <f t="shared" si="28"/>
        <v>111936</v>
      </c>
      <c r="H58" s="289">
        <f t="shared" si="28"/>
        <v>129840</v>
      </c>
      <c r="I58" s="289">
        <f t="shared" si="28"/>
        <v>136795</v>
      </c>
      <c r="J58" s="289">
        <f t="shared" si="28"/>
        <v>114853</v>
      </c>
      <c r="K58" s="289">
        <f t="shared" si="28"/>
        <v>135945</v>
      </c>
      <c r="L58" s="289">
        <f t="shared" si="28"/>
        <v>8362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-409977</v>
      </c>
      <c r="D64" s="274">
        <f t="shared" ref="D64:M64" si="32">IF(D$4="","",D22+D23+D24)</f>
        <v>638123</v>
      </c>
      <c r="E64" s="274">
        <f t="shared" si="32"/>
        <v>-41461</v>
      </c>
      <c r="F64" s="274">
        <f t="shared" si="32"/>
        <v>-508197</v>
      </c>
      <c r="G64" s="274">
        <f t="shared" si="32"/>
        <v>1127105</v>
      </c>
      <c r="H64" s="274">
        <f t="shared" si="32"/>
        <v>-118643</v>
      </c>
      <c r="I64" s="274">
        <f t="shared" si="32"/>
        <v>352614</v>
      </c>
      <c r="J64" s="274">
        <f t="shared" si="32"/>
        <v>-111923</v>
      </c>
      <c r="K64" s="274">
        <f t="shared" si="32"/>
        <v>289135</v>
      </c>
      <c r="L64" s="274">
        <f t="shared" si="32"/>
        <v>-13649</v>
      </c>
      <c r="M64" s="274" t="str">
        <f t="shared" si="32"/>
        <v/>
      </c>
    </row>
    <row r="65" spans="2:13">
      <c r="B65" s="23" t="s">
        <v>34</v>
      </c>
      <c r="C65" s="70">
        <f>IF(C$4="","",C25)</f>
        <v>0.03</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-8.0269841800669095E-2</v>
      </c>
      <c r="D68" s="89">
        <f t="shared" si="34"/>
        <v>7.6535808174054587E-2</v>
      </c>
      <c r="E68" s="89">
        <f t="shared" si="34"/>
        <v>-0.20180584906318932</v>
      </c>
      <c r="F68" s="89">
        <f t="shared" si="34"/>
        <v>-8.8277652777845605E-2</v>
      </c>
      <c r="G68" s="89">
        <f t="shared" si="34"/>
        <v>-5.8060082534733159E-2</v>
      </c>
      <c r="H68" s="89">
        <f t="shared" si="34"/>
        <v>0.1989820250359664</v>
      </c>
      <c r="I68" s="89">
        <f t="shared" si="34"/>
        <v>0.20410970709189624</v>
      </c>
      <c r="J68" s="89">
        <f t="shared" si="34"/>
        <v>0.15994503455941911</v>
      </c>
      <c r="K68" s="89">
        <f t="shared" si="34"/>
        <v>6.0587633805094745</v>
      </c>
      <c r="L68" s="89" t="str">
        <f t="shared" si="34"/>
        <v/>
      </c>
      <c r="M68" s="89" t="str">
        <f t="shared" si="34"/>
        <v/>
      </c>
    </row>
    <row r="69" spans="2:13">
      <c r="B69" s="30" t="s">
        <v>55</v>
      </c>
      <c r="C69" s="89">
        <f>IF(D$36="","",C38/D38-1)</f>
        <v>-6.6168046678646175E-2</v>
      </c>
      <c r="D69" s="89">
        <f t="shared" ref="D69:M69" si="35">IF(E$36="","",D38/E38-1)</f>
        <v>1.0157525830414516E-2</v>
      </c>
      <c r="E69" s="89">
        <f t="shared" si="35"/>
        <v>-0.19414171079598086</v>
      </c>
      <c r="F69" s="89">
        <f t="shared" si="35"/>
        <v>6.043439400841133E-2</v>
      </c>
      <c r="G69" s="89">
        <f t="shared" si="35"/>
        <v>-0.15623619678961786</v>
      </c>
      <c r="H69" s="89">
        <f t="shared" si="35"/>
        <v>0.22068918139787441</v>
      </c>
      <c r="I69" s="89">
        <f t="shared" si="35"/>
        <v>0.15241519488327149</v>
      </c>
      <c r="J69" s="89">
        <f t="shared" si="35"/>
        <v>0.1430452600703136</v>
      </c>
      <c r="K69" s="89">
        <f t="shared" si="35"/>
        <v>6.530020533666467</v>
      </c>
      <c r="L69" s="89" t="str">
        <f t="shared" si="35"/>
        <v/>
      </c>
      <c r="M69" s="89" t="str">
        <f t="shared" si="35"/>
        <v/>
      </c>
    </row>
    <row r="70" spans="2:13">
      <c r="B70" s="77" t="str">
        <f>B43</f>
        <v>Operating EBIT</v>
      </c>
      <c r="C70" s="98">
        <f>IF(D$36="","",C43/D43-1)</f>
        <v>1.2470824088786081E-2</v>
      </c>
      <c r="D70" s="98">
        <f t="shared" ref="D70:M70" si="36">IF(E$36="","",D43/E43-1)</f>
        <v>4.8028343864641307</v>
      </c>
      <c r="E70" s="98">
        <f t="shared" si="36"/>
        <v>-0.8476086217158405</v>
      </c>
      <c r="F70" s="98">
        <f t="shared" si="36"/>
        <v>0.46500207088337975</v>
      </c>
      <c r="G70" s="98">
        <f t="shared" si="36"/>
        <v>-0.70664044157547878</v>
      </c>
      <c r="H70" s="98">
        <f t="shared" si="36"/>
        <v>0.59665623258758349</v>
      </c>
      <c r="I70" s="98">
        <f t="shared" si="36"/>
        <v>0.26404310004683174</v>
      </c>
      <c r="J70" s="98">
        <f t="shared" si="36"/>
        <v>-0.22071387313966817</v>
      </c>
      <c r="K70" s="98">
        <f t="shared" si="36"/>
        <v>7.9526369951119111</v>
      </c>
      <c r="L70" s="98" t="str">
        <f t="shared" si="36"/>
        <v/>
      </c>
      <c r="M70" s="98" t="str">
        <f t="shared" si="36"/>
        <v/>
      </c>
    </row>
    <row r="71" spans="2:13">
      <c r="B71" s="41" t="s">
        <v>139</v>
      </c>
      <c r="C71" s="98">
        <f>IF(D$36="","",C44/D44-1)</f>
        <v>-3.5850896018522871E-2</v>
      </c>
      <c r="D71" s="98">
        <f t="shared" ref="D71:M71" si="37">IF(E$36="","",D44/E44-1)</f>
        <v>-0.11998355655116533</v>
      </c>
      <c r="E71" s="98">
        <f t="shared" si="37"/>
        <v>0.20522882387365238</v>
      </c>
      <c r="F71" s="98">
        <f t="shared" si="37"/>
        <v>1.4883236849628361</v>
      </c>
      <c r="G71" s="98">
        <f t="shared" si="37"/>
        <v>-0.1378927911275416</v>
      </c>
      <c r="H71" s="98">
        <f t="shared" si="37"/>
        <v>-5.0842501553419295E-2</v>
      </c>
      <c r="I71" s="98">
        <f t="shared" si="37"/>
        <v>0.1910442043307532</v>
      </c>
      <c r="J71" s="98">
        <f t="shared" si="37"/>
        <v>-0.15515098017580642</v>
      </c>
      <c r="K71" s="98">
        <f t="shared" si="37"/>
        <v>15.257474288447739</v>
      </c>
      <c r="L71" s="98" t="str">
        <f t="shared" si="37"/>
        <v/>
      </c>
      <c r="M71" s="98" t="str">
        <f t="shared" si="37"/>
        <v/>
      </c>
    </row>
    <row r="72" spans="2:13">
      <c r="B72" s="77" t="str">
        <f>B47</f>
        <v>Reported Net Income</v>
      </c>
      <c r="C72" s="98">
        <f>IF(D$36="","",C47/D47-1)</f>
        <v>-1.0703327451073941E-2</v>
      </c>
      <c r="D72" s="98">
        <f t="shared" ref="D72:M72" si="38">IF(E$36="","",D47/E47-1)</f>
        <v>4.0201320856361855</v>
      </c>
      <c r="E72" s="98">
        <f t="shared" si="38"/>
        <v>-0.73323575201926783</v>
      </c>
      <c r="F72" s="98">
        <f t="shared" si="38"/>
        <v>0.19416195258374125</v>
      </c>
      <c r="G72" s="98">
        <f t="shared" si="38"/>
        <v>-0.64239524496823541</v>
      </c>
      <c r="H72" s="98">
        <f t="shared" si="38"/>
        <v>0.56876343836803378</v>
      </c>
      <c r="I72" s="98">
        <f t="shared" si="38"/>
        <v>0.35144759922126489</v>
      </c>
      <c r="J72" s="98">
        <f t="shared" si="38"/>
        <v>-0.27137643058157235</v>
      </c>
      <c r="K72" s="98">
        <f t="shared" si="38"/>
        <v>8.1345296513679077</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12590930</v>
      </c>
      <c r="D76" s="289">
        <f t="shared" ref="D76:M76" si="39">IF(D$4="","",D79+D80)</f>
        <v>13257673</v>
      </c>
      <c r="E76" s="289">
        <f t="shared" si="39"/>
        <v>13598861</v>
      </c>
      <c r="F76" s="289">
        <f t="shared" si="39"/>
        <v>16658980</v>
      </c>
      <c r="G76" s="289">
        <f t="shared" si="39"/>
        <v>17022269</v>
      </c>
      <c r="H76" s="289">
        <f t="shared" si="39"/>
        <v>17390782</v>
      </c>
      <c r="I76" s="289">
        <f t="shared" si="39"/>
        <v>13237469</v>
      </c>
      <c r="J76" s="289">
        <f t="shared" si="39"/>
        <v>11470110</v>
      </c>
      <c r="K76" s="289">
        <f t="shared" si="39"/>
        <v>10043776</v>
      </c>
      <c r="L76" s="289">
        <f t="shared" si="39"/>
        <v>1301225</v>
      </c>
      <c r="M76" s="289" t="str">
        <f t="shared" si="39"/>
        <v/>
      </c>
    </row>
    <row r="77" spans="2:13">
      <c r="B77" s="90" t="s">
        <v>82</v>
      </c>
      <c r="C77" s="263">
        <f t="shared" ref="C77:H78" si="40">IF(C$4="","",C28)</f>
        <v>2009997</v>
      </c>
      <c r="D77" s="286">
        <f t="shared" si="40"/>
        <v>978919</v>
      </c>
      <c r="E77" s="286">
        <f t="shared" si="40"/>
        <v>862084</v>
      </c>
      <c r="F77" s="286">
        <f t="shared" si="40"/>
        <v>1165003</v>
      </c>
      <c r="G77" s="286">
        <f t="shared" si="40"/>
        <v>1702963</v>
      </c>
      <c r="H77" s="286">
        <f t="shared" si="40"/>
        <v>1407523</v>
      </c>
      <c r="I77" s="295"/>
      <c r="J77" s="295"/>
      <c r="K77" s="295"/>
      <c r="L77" s="295"/>
      <c r="M77" s="295"/>
    </row>
    <row r="78" spans="2:13">
      <c r="B78" s="90" t="s">
        <v>83</v>
      </c>
      <c r="C78" s="263">
        <f t="shared" si="40"/>
        <v>4865388</v>
      </c>
      <c r="D78" s="286">
        <f t="shared" si="40"/>
        <v>4704713</v>
      </c>
      <c r="E78" s="286">
        <f t="shared" si="40"/>
        <v>6071858</v>
      </c>
      <c r="F78" s="286">
        <f t="shared" si="40"/>
        <v>7578037</v>
      </c>
      <c r="G78" s="286">
        <f t="shared" si="40"/>
        <v>5869541</v>
      </c>
      <c r="H78" s="286">
        <f t="shared" si="40"/>
        <v>8021487</v>
      </c>
      <c r="I78" s="295"/>
      <c r="J78" s="295"/>
      <c r="K78" s="295"/>
      <c r="L78" s="295"/>
      <c r="M78" s="295"/>
    </row>
    <row r="79" spans="2:13">
      <c r="B79" s="25" t="s">
        <v>38</v>
      </c>
      <c r="C79" s="262">
        <f t="shared" ref="C79:M79" si="41">IF(C$4="","",C30)</f>
        <v>3613572</v>
      </c>
      <c r="D79" s="274">
        <f t="shared" si="41"/>
        <v>4647092</v>
      </c>
      <c r="E79" s="274">
        <f t="shared" si="41"/>
        <v>5404941</v>
      </c>
      <c r="F79" s="274">
        <f t="shared" si="41"/>
        <v>8456784</v>
      </c>
      <c r="G79" s="274">
        <f t="shared" si="41"/>
        <v>9146239</v>
      </c>
      <c r="H79" s="274">
        <f t="shared" si="41"/>
        <v>9684704</v>
      </c>
      <c r="I79" s="274">
        <f t="shared" si="41"/>
        <v>6201932</v>
      </c>
      <c r="J79" s="274">
        <f t="shared" si="41"/>
        <v>5028581</v>
      </c>
      <c r="K79" s="274">
        <f t="shared" si="41"/>
        <v>3910265</v>
      </c>
      <c r="L79" s="274">
        <f t="shared" si="41"/>
        <v>425087</v>
      </c>
      <c r="M79" s="274" t="str">
        <f t="shared" si="41"/>
        <v/>
      </c>
    </row>
    <row r="80" spans="2:13">
      <c r="B80" s="25" t="s">
        <v>28</v>
      </c>
      <c r="C80" s="262">
        <f t="shared" ref="C80:M80" si="42">IF(C$4="","",C31)</f>
        <v>8977358</v>
      </c>
      <c r="D80" s="274">
        <f t="shared" si="42"/>
        <v>8610581</v>
      </c>
      <c r="E80" s="274">
        <f t="shared" si="42"/>
        <v>8193920</v>
      </c>
      <c r="F80" s="274">
        <f t="shared" si="42"/>
        <v>8202196</v>
      </c>
      <c r="G80" s="274">
        <f t="shared" si="42"/>
        <v>7876030</v>
      </c>
      <c r="H80" s="274">
        <f t="shared" si="42"/>
        <v>7706078</v>
      </c>
      <c r="I80" s="274">
        <f t="shared" si="42"/>
        <v>7035537</v>
      </c>
      <c r="J80" s="274">
        <f t="shared" si="42"/>
        <v>6441529</v>
      </c>
      <c r="K80" s="274">
        <f t="shared" si="42"/>
        <v>6133511</v>
      </c>
      <c r="L80" s="274">
        <f t="shared" si="42"/>
        <v>876138</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2009997</v>
      </c>
      <c r="D4" s="231">
        <v>0.6</v>
      </c>
      <c r="E4" s="24"/>
      <c r="F4" s="4" t="s">
        <v>74</v>
      </c>
      <c r="G4" s="18">
        <f>1124123+1232169</f>
        <v>2356292</v>
      </c>
      <c r="H4" s="231">
        <v>0.9</v>
      </c>
    </row>
    <row r="5" spans="2:8" ht="15" customHeight="1">
      <c r="B5" s="1" t="s">
        <v>31</v>
      </c>
      <c r="C5" s="18">
        <v>0</v>
      </c>
      <c r="D5" s="231">
        <v>0.6</v>
      </c>
      <c r="E5" s="24"/>
      <c r="F5" s="1" t="s">
        <v>27</v>
      </c>
      <c r="G5" s="18">
        <v>0</v>
      </c>
      <c r="H5" s="231">
        <v>0.7</v>
      </c>
    </row>
    <row r="6" spans="2:8" ht="15" customHeight="1">
      <c r="B6" s="4" t="s">
        <v>8</v>
      </c>
      <c r="C6" s="18">
        <v>4865388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29399</v>
      </c>
      <c r="D10" s="231">
        <v>0.9</v>
      </c>
      <c r="F10" s="1" t="s">
        <v>404</v>
      </c>
      <c r="G10" s="18">
        <v>0</v>
      </c>
      <c r="H10" s="231">
        <v>0.6</v>
      </c>
    </row>
    <row r="11" spans="2:8" ht="15" customHeight="1">
      <c r="B11" s="4" t="s">
        <v>10</v>
      </c>
      <c r="C11" s="18">
        <v>0</v>
      </c>
      <c r="D11" s="231">
        <v>0.05</v>
      </c>
      <c r="H11" s="232"/>
    </row>
    <row r="12" spans="2:8" ht="15" customHeight="1">
      <c r="B12" s="77" t="s">
        <v>69</v>
      </c>
      <c r="C12" s="78">
        <f>SUM(C4:C11)</f>
        <v>6904784</v>
      </c>
      <c r="D12" s="19">
        <f>C4*D4+C5*D5+C9*D9+C6*D6+C8*D8+C7*D7+C10*D10+C11*D11</f>
        <v>3665151.3000000003</v>
      </c>
      <c r="F12" s="77" t="s">
        <v>67</v>
      </c>
      <c r="G12" s="78">
        <f>SUM(G4:G10)</f>
        <v>2356292</v>
      </c>
      <c r="H12" s="19">
        <f>G4*H4+G5*H5+G6*H6+G7*H7+G8*H8+G9*H9+G10*H10</f>
        <v>2120662.8000000003</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337840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2749</v>
      </c>
      <c r="H17" s="231">
        <v>0.6</v>
      </c>
    </row>
    <row r="18" spans="2:8" ht="15" customHeight="1">
      <c r="B18" s="4" t="s">
        <v>144</v>
      </c>
      <c r="C18" s="18">
        <v>126500</v>
      </c>
      <c r="D18" s="231">
        <v>0.6</v>
      </c>
      <c r="F18" s="4" t="s">
        <v>151</v>
      </c>
      <c r="G18" s="18">
        <v>0</v>
      </c>
      <c r="H18" s="231">
        <v>0.1</v>
      </c>
    </row>
    <row r="19" spans="2:8" ht="15" customHeight="1">
      <c r="B19" s="4" t="s">
        <v>24</v>
      </c>
      <c r="C19" s="18">
        <f>722966+1237740+35710+108238</f>
        <v>2104654</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97106</v>
      </c>
      <c r="D21" s="231">
        <v>0.05</v>
      </c>
      <c r="F21" s="1" t="s">
        <v>150</v>
      </c>
      <c r="G21" s="18">
        <v>0</v>
      </c>
      <c r="H21" s="231">
        <v>0.1</v>
      </c>
    </row>
    <row r="22" spans="2:8" ht="15" customHeight="1">
      <c r="B22" s="4" t="s">
        <v>18</v>
      </c>
      <c r="C22" s="18">
        <v>138842</v>
      </c>
      <c r="D22" s="231">
        <v>0.9</v>
      </c>
      <c r="H22" s="232"/>
    </row>
    <row r="23" spans="2:8" ht="15" customHeight="1">
      <c r="B23" s="4" t="s">
        <v>19</v>
      </c>
      <c r="C23" s="18">
        <v>522163</v>
      </c>
      <c r="D23" s="231">
        <v>0</v>
      </c>
      <c r="H23" s="232"/>
    </row>
    <row r="24" spans="2:8" ht="15" customHeight="1">
      <c r="B24" s="77" t="s">
        <v>70</v>
      </c>
      <c r="C24" s="78">
        <f>SUM(C15:C23)</f>
        <v>2989265</v>
      </c>
      <c r="D24" s="19">
        <f>C15*D15+C16*D16+C18*D18+C17*D17+C19*D19+C20*D20+C21*D21+C22*D22+C23*D23</f>
        <v>416178.5</v>
      </c>
      <c r="F24" s="77" t="s">
        <v>68</v>
      </c>
      <c r="G24" s="78">
        <f>SUM(G15:G21)</f>
        <v>340589</v>
      </c>
      <c r="H24" s="19">
        <f>G15*H15+G16*H16+G17*H17+G18*H18+G19*H19+G20*H20+G21*H21</f>
        <v>271921.40000000002</v>
      </c>
    </row>
    <row r="26" spans="2:8" ht="15" customHeight="1">
      <c r="B26" s="16" t="s">
        <v>169</v>
      </c>
      <c r="C26" s="164" t="s">
        <v>113</v>
      </c>
      <c r="F26" s="166" t="s">
        <v>165</v>
      </c>
      <c r="G26" s="167" t="s">
        <v>113</v>
      </c>
      <c r="H26" s="168" t="s">
        <v>33</v>
      </c>
    </row>
    <row r="27" spans="2:8" ht="15" customHeight="1">
      <c r="B27" s="4" t="s">
        <v>3</v>
      </c>
      <c r="C27" s="18">
        <v>196778</v>
      </c>
      <c r="F27" s="169" t="s">
        <v>28</v>
      </c>
      <c r="G27" s="82">
        <f>G32-G30</f>
        <v>8977358</v>
      </c>
      <c r="H27" s="170">
        <f>H32-G30</f>
        <v>2860342</v>
      </c>
    </row>
    <row r="28" spans="2:8" ht="15" customHeight="1">
      <c r="B28" s="4" t="s">
        <v>4</v>
      </c>
      <c r="C28" s="18">
        <v>512507</v>
      </c>
      <c r="F28" s="171" t="s">
        <v>209</v>
      </c>
      <c r="G28" s="291">
        <v>108802</v>
      </c>
      <c r="H28" s="170"/>
    </row>
    <row r="29" spans="2:8" ht="15" customHeight="1">
      <c r="B29" s="4" t="s">
        <v>5</v>
      </c>
      <c r="C29" s="18">
        <v>0</v>
      </c>
      <c r="F29" s="172" t="s">
        <v>72</v>
      </c>
      <c r="G29" s="14">
        <f>G27-G28</f>
        <v>8868556</v>
      </c>
      <c r="H29" s="170">
        <f>H27-G28</f>
        <v>2751540</v>
      </c>
    </row>
    <row r="30" spans="2:8" ht="15" customHeight="1">
      <c r="B30" s="2" t="s">
        <v>6</v>
      </c>
      <c r="C30" s="18">
        <v>0</v>
      </c>
      <c r="F30" s="169" t="s">
        <v>21</v>
      </c>
      <c r="G30" s="82">
        <f>C33+C42</f>
        <v>3613572</v>
      </c>
      <c r="H30" s="170"/>
    </row>
    <row r="31" spans="2:8" ht="15" customHeight="1">
      <c r="B31" s="77" t="s">
        <v>172</v>
      </c>
      <c r="C31" s="78">
        <f>SUM(C27:C30)</f>
        <v>709285</v>
      </c>
      <c r="F31" s="172" t="s">
        <v>73</v>
      </c>
      <c r="G31" s="173">
        <f>C31+C40</f>
        <v>1457859</v>
      </c>
      <c r="H31" s="170"/>
    </row>
    <row r="32" spans="2:8" ht="15" customHeight="1">
      <c r="B32" s="4" t="s">
        <v>7</v>
      </c>
      <c r="C32" s="20">
        <f>C33-C31</f>
        <v>2135238</v>
      </c>
      <c r="F32" s="174" t="s">
        <v>71</v>
      </c>
      <c r="G32" s="175">
        <f>G35+G40</f>
        <v>12590930</v>
      </c>
      <c r="H32" s="170">
        <f>H35+H40</f>
        <v>6473914</v>
      </c>
    </row>
    <row r="33" spans="2:8" ht="15" customHeight="1">
      <c r="B33" s="80" t="s">
        <v>2</v>
      </c>
      <c r="C33" s="81">
        <v>2844523</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9894049</v>
      </c>
      <c r="H35" s="182">
        <f>D12+D24</f>
        <v>4081329.8000000003</v>
      </c>
    </row>
    <row r="36" spans="2:8" ht="15" customHeight="1">
      <c r="B36" s="4" t="s">
        <v>11</v>
      </c>
      <c r="C36" s="18">
        <v>0</v>
      </c>
      <c r="F36" s="172" t="s">
        <v>166</v>
      </c>
      <c r="G36" s="173">
        <f>C4+C15</f>
        <v>2009997</v>
      </c>
      <c r="H36" s="177"/>
    </row>
    <row r="37" spans="2:8" ht="15" customHeight="1">
      <c r="B37" s="4" t="s">
        <v>12</v>
      </c>
      <c r="C37" s="18">
        <v>748574</v>
      </c>
      <c r="F37" s="172" t="s">
        <v>167</v>
      </c>
      <c r="G37" s="173">
        <f>C6</f>
        <v>4865388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2104654</v>
      </c>
      <c r="H39" s="170">
        <f>C7*D7+C17*D17+C19*D19+C20*D20</f>
        <v>210465.40000000002</v>
      </c>
    </row>
    <row r="40" spans="2:8" ht="15" customHeight="1">
      <c r="B40" s="77" t="s">
        <v>173</v>
      </c>
      <c r="C40" s="78">
        <f>SUM(C36:C39)</f>
        <v>748574</v>
      </c>
      <c r="F40" s="181" t="s">
        <v>115</v>
      </c>
      <c r="G40" s="175">
        <f>G12+G24</f>
        <v>2696881</v>
      </c>
      <c r="H40" s="182">
        <f>H12+H24</f>
        <v>2392584.2000000002</v>
      </c>
    </row>
    <row r="41" spans="2:8" ht="15" customHeight="1">
      <c r="B41" s="4" t="s">
        <v>15</v>
      </c>
      <c r="C41" s="20">
        <f>C42-C40</f>
        <v>20475</v>
      </c>
      <c r="F41" s="172" t="s">
        <v>160</v>
      </c>
      <c r="G41" s="173">
        <f>C70</f>
        <v>2694132</v>
      </c>
      <c r="H41" s="182">
        <f>H40-H42</f>
        <v>2390934.8000000003</v>
      </c>
    </row>
    <row r="42" spans="2:8" ht="15" customHeight="1">
      <c r="B42" s="80" t="s">
        <v>20</v>
      </c>
      <c r="C42" s="81">
        <v>769049</v>
      </c>
      <c r="F42" s="183" t="s">
        <v>161</v>
      </c>
      <c r="G42" s="184">
        <f>C82</f>
        <v>2749</v>
      </c>
      <c r="H42" s="185">
        <f>D82</f>
        <v>1649.3999999999999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8868556</v>
      </c>
      <c r="D46" s="73">
        <f>H29</f>
        <v>2751540</v>
      </c>
      <c r="F46" s="223"/>
    </row>
    <row r="47" spans="2:8" ht="15" customHeight="1">
      <c r="B47" s="1" t="str">
        <f>"Equity per share ("&amp;Market_currency&amp;")"</f>
        <v>Equity per share (HKD)</v>
      </c>
      <c r="C47" s="134">
        <f>C46*H1/Common_Shares*Exchange_Rate</f>
        <v>1.890250641854389</v>
      </c>
      <c r="D47" s="134">
        <f>D46*H1/Common_Shares*Exchange_Rate</f>
        <v>0.58646528827105848</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3.5496550732945478</v>
      </c>
      <c r="D50" s="92">
        <f>G31/Normalized_FCF!G8</f>
        <v>3.4612119212058907</v>
      </c>
      <c r="F50" s="223"/>
    </row>
    <row r="51" spans="2:8" ht="15" customHeight="1">
      <c r="B51" s="1" t="s">
        <v>146</v>
      </c>
      <c r="C51" s="163"/>
      <c r="D51" s="89">
        <f>G29/G32</f>
        <v>0.7043606786790173</v>
      </c>
      <c r="F51" s="223"/>
    </row>
    <row r="52" spans="2:8" ht="15" customHeight="1">
      <c r="F52" s="223"/>
    </row>
    <row r="53" spans="2:8" ht="15" customHeight="1">
      <c r="B53" s="143" t="s">
        <v>119</v>
      </c>
      <c r="C53" s="210" t="s">
        <v>54</v>
      </c>
      <c r="D53" s="179" t="s">
        <v>91</v>
      </c>
      <c r="F53" s="223"/>
    </row>
    <row r="54" spans="2:8" ht="15" customHeight="1">
      <c r="B54" s="1" t="s">
        <v>116</v>
      </c>
      <c r="C54" s="89">
        <f>Normalized_FCF!C8/G35</f>
        <v>4.1510246420861471E-2</v>
      </c>
      <c r="D54" s="89">
        <f>Normalized_FCF!G8/G35</f>
        <v>4.2570943402443225E-2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0.16715635779088597</v>
      </c>
      <c r="F59" s="223"/>
    </row>
    <row r="60" spans="2:8" ht="15" customHeight="1">
      <c r="F60" s="223"/>
    </row>
    <row r="61" spans="2:8" ht="15" customHeight="1">
      <c r="B61" s="143" t="s">
        <v>231</v>
      </c>
      <c r="C61" s="210" t="s">
        <v>114</v>
      </c>
      <c r="D61" s="179" t="s">
        <v>91</v>
      </c>
      <c r="F61" s="223"/>
    </row>
    <row r="62" spans="2:8" ht="15" customHeight="1">
      <c r="B62" s="1" t="s">
        <v>210</v>
      </c>
      <c r="C62" s="89">
        <f>IF(G28&lt;=0,0,G28/G29)</f>
        <v>1.2268288095604291E-2</v>
      </c>
      <c r="D62" s="89">
        <f>G28/G29</f>
        <v>1.2268288095604291E-2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2694132</v>
      </c>
      <c r="D66" s="73">
        <f>C66-D75</f>
        <v>1177571.1638700066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2694132</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-1515686.2871375</v>
      </c>
      <c r="D73" s="289">
        <f>(Normalized_FCF!C26+Normalized_FCF!C35-Normalized_FCF!C89)/12</f>
        <v>-1516560.8361299934</v>
      </c>
      <c r="F73" s="1" t="s">
        <v>278</v>
      </c>
    </row>
    <row r="74" spans="2:6" ht="15" customHeight="1">
      <c r="B74" s="227" t="s">
        <v>259</v>
      </c>
      <c r="C74" s="228">
        <f>-$C$66/C73</f>
        <v>1.7774997523320561</v>
      </c>
      <c r="D74" s="228">
        <f>-$C$66/D73</f>
        <v>1.7764747287520419</v>
      </c>
      <c r="F74" s="223" t="s">
        <v>257</v>
      </c>
    </row>
    <row r="75" spans="2:6" ht="15" customHeight="1">
      <c r="B75" s="77" t="s">
        <v>258</v>
      </c>
      <c r="C75" s="264"/>
      <c r="D75" s="265">
        <f>MAX(-D73*D76,G5)</f>
        <v>1516560.8361299934</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2749</v>
      </c>
      <c r="D79" s="73">
        <f>G7*H7+G17*H17</f>
        <v>1649.3999999999999</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2749</v>
      </c>
      <c r="D82" s="78">
        <f>SUM(D79:D81)</f>
        <v>1649.3999999999999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-1610731.3357976391</v>
      </c>
      <c r="D86" s="201">
        <f>C86*scaling_factor/Common_Shares</f>
        <v>-0.31072915483458613</v>
      </c>
      <c r="E86" s="214" t="str">
        <f>Market_currency</f>
        <v>HKD</v>
      </c>
    </row>
    <row r="87" spans="2:8" ht="15" customHeight="1">
      <c r="B87" s="212" t="s">
        <v>240</v>
      </c>
      <c r="C87" s="73">
        <f>DCF!F5*Exchange_Rate</f>
        <v>1301052.278565428</v>
      </c>
      <c r="D87" s="201">
        <f>C87*scaling_factor/Common_Shares</f>
        <v>0.25098839634485026</v>
      </c>
      <c r="E87" s="214" t="str">
        <f>Market_currency</f>
        <v>HKD</v>
      </c>
    </row>
    <row r="88" spans="2:8" ht="15" customHeight="1">
      <c r="B88" s="213" t="s">
        <v>159</v>
      </c>
      <c r="C88" s="73">
        <f>DCF!F6*Exchange_Rate</f>
        <v>1822.3574881141631</v>
      </c>
      <c r="D88" s="201">
        <f>C88*scaling_factor/Common_Shares</f>
        <v>3.5155434646571876E-4</v>
      </c>
      <c r="E88" s="214" t="str">
        <f>Market_currency</f>
        <v>HKD</v>
      </c>
    </row>
    <row r="89" spans="2:8" ht="15" customHeight="1">
      <c r="B89" s="77" t="s">
        <v>244</v>
      </c>
      <c r="C89" s="162">
        <f>SUM(C86:C88)</f>
        <v>-307856.69974409696</v>
      </c>
      <c r="D89" s="216">
        <f>SUM(D86:D88)</f>
        <v>-5.9389204143270147E-2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18453923</v>
      </c>
      <c r="D4" s="54"/>
      <c r="E4" s="236"/>
      <c r="F4" s="54"/>
      <c r="G4" s="274">
        <f>Data!C36</f>
        <v>18453923</v>
      </c>
      <c r="H4" s="274">
        <f>Data!D36</f>
        <v>20064497</v>
      </c>
      <c r="I4" s="274">
        <f>Data!E36</f>
        <v>18638021</v>
      </c>
      <c r="J4" s="274">
        <f>Data!F36</f>
        <v>23350235</v>
      </c>
      <c r="K4" s="274">
        <f>Data!G36</f>
        <v>25611125</v>
      </c>
      <c r="L4" s="274">
        <f>Data!H36</f>
        <v>27189765</v>
      </c>
      <c r="M4" s="274">
        <f>Data!I36</f>
        <v>22677375</v>
      </c>
      <c r="N4" s="274">
        <f>Data!J36</f>
        <v>18833313</v>
      </c>
      <c r="O4" s="274">
        <f>Data!K36</f>
        <v>16236384</v>
      </c>
      <c r="P4" s="274">
        <f>Data!L36</f>
        <v>2300174</v>
      </c>
      <c r="Q4" s="274" t="str">
        <f>Data!M36</f>
        <v/>
      </c>
    </row>
    <row r="5" spans="1:17" ht="15.75" customHeight="1">
      <c r="A5" s="10"/>
      <c r="B5" s="2" t="s">
        <v>43</v>
      </c>
      <c r="C5" s="270">
        <f>C26</f>
        <v>-17291572.587909922</v>
      </c>
      <c r="E5" s="238"/>
      <c r="G5" s="274">
        <f t="shared" ref="G5:Q5" si="1">G26</f>
        <v>-17281078</v>
      </c>
      <c r="H5" s="274">
        <f t="shared" si="1"/>
        <v>-18896745</v>
      </c>
      <c r="I5" s="274">
        <f t="shared" si="1"/>
        <v>-17756736</v>
      </c>
      <c r="J5" s="274">
        <f t="shared" si="1"/>
        <v>-22013355</v>
      </c>
      <c r="K5" s="274">
        <f t="shared" si="1"/>
        <v>-24526688</v>
      </c>
      <c r="L5" s="274">
        <f t="shared" si="1"/>
        <v>-25083248</v>
      </c>
      <c r="M5" s="274">
        <f t="shared" si="1"/>
        <v>-21178419</v>
      </c>
      <c r="N5" s="274">
        <f t="shared" si="1"/>
        <v>-17565752</v>
      </c>
      <c r="O5" s="274">
        <f t="shared" si="1"/>
        <v>-14883692</v>
      </c>
      <c r="P5" s="274">
        <f t="shared" si="1"/>
        <v>-2126165</v>
      </c>
      <c r="Q5" s="274" t="str">
        <f t="shared" si="1"/>
        <v/>
      </c>
    </row>
    <row r="6" spans="1:17" ht="15.75" customHeight="1">
      <c r="A6" s="10"/>
      <c r="B6" s="30" t="s">
        <v>45</v>
      </c>
      <c r="C6" s="271">
        <f>C4+C5</f>
        <v>1162350.412090078</v>
      </c>
      <c r="E6" s="238"/>
      <c r="G6" s="271">
        <f>IF(G4="","",G4+G5)</f>
        <v>1172845</v>
      </c>
      <c r="H6" s="271">
        <f t="shared" ref="H6:Q6" si="2">IF(H4="","",H4+H5)</f>
        <v>1167752</v>
      </c>
      <c r="I6" s="271">
        <f t="shared" si="2"/>
        <v>881285</v>
      </c>
      <c r="J6" s="271">
        <f t="shared" si="2"/>
        <v>1336880</v>
      </c>
      <c r="K6" s="271">
        <f t="shared" si="2"/>
        <v>1084437</v>
      </c>
      <c r="L6" s="271">
        <f t="shared" si="2"/>
        <v>2106517</v>
      </c>
      <c r="M6" s="271">
        <f t="shared" si="2"/>
        <v>1498956</v>
      </c>
      <c r="N6" s="271">
        <f t="shared" si="2"/>
        <v>1267561</v>
      </c>
      <c r="O6" s="271">
        <f t="shared" si="2"/>
        <v>1352692</v>
      </c>
      <c r="P6" s="271">
        <f t="shared" si="2"/>
        <v>174009</v>
      </c>
      <c r="Q6" s="271" t="str">
        <f t="shared" si="2"/>
        <v/>
      </c>
    </row>
    <row r="7" spans="1:17" ht="15.75" customHeight="1">
      <c r="A7" s="10"/>
      <c r="B7" s="8" t="s">
        <v>42</v>
      </c>
      <c r="C7" s="270">
        <f>C35</f>
        <v>-751646</v>
      </c>
      <c r="E7" s="238"/>
      <c r="G7" s="270">
        <f t="shared" ref="G7:Q7" si="3">G35</f>
        <v>-751646</v>
      </c>
      <c r="H7" s="270">
        <f t="shared" si="3"/>
        <v>-751741</v>
      </c>
      <c r="I7" s="270">
        <f t="shared" si="3"/>
        <v>-809594</v>
      </c>
      <c r="J7" s="270">
        <f t="shared" si="3"/>
        <v>-866440</v>
      </c>
      <c r="K7" s="270">
        <f t="shared" si="3"/>
        <v>-763318</v>
      </c>
      <c r="L7" s="270">
        <f t="shared" si="3"/>
        <v>-1011891</v>
      </c>
      <c r="M7" s="270">
        <f t="shared" si="3"/>
        <v>-813382</v>
      </c>
      <c r="N7" s="270">
        <f t="shared" si="3"/>
        <v>-725195</v>
      </c>
      <c r="O7" s="270">
        <f t="shared" si="3"/>
        <v>-656714</v>
      </c>
      <c r="P7" s="270">
        <f t="shared" si="3"/>
        <v>-96269</v>
      </c>
      <c r="Q7" s="270" t="str">
        <f t="shared" si="3"/>
        <v/>
      </c>
    </row>
    <row r="8" spans="1:17" ht="15.75" customHeight="1">
      <c r="A8" s="10"/>
      <c r="B8" s="28" t="s">
        <v>127</v>
      </c>
      <c r="C8" s="272">
        <f>C6+C7</f>
        <v>410704.412090078</v>
      </c>
      <c r="D8" s="56"/>
      <c r="E8" s="244"/>
      <c r="F8" s="56"/>
      <c r="G8" s="271">
        <f>IF(G$4="","",G6+G7)</f>
        <v>421199</v>
      </c>
      <c r="H8" s="271">
        <f t="shared" ref="H8:Q8" si="4">IF(H$4="","",H6+H7)</f>
        <v>416011</v>
      </c>
      <c r="I8" s="271">
        <f t="shared" si="4"/>
        <v>71691</v>
      </c>
      <c r="J8" s="271">
        <f t="shared" si="4"/>
        <v>470440</v>
      </c>
      <c r="K8" s="271">
        <f t="shared" si="4"/>
        <v>321119</v>
      </c>
      <c r="L8" s="271">
        <f t="shared" si="4"/>
        <v>1094626</v>
      </c>
      <c r="M8" s="271">
        <f t="shared" si="4"/>
        <v>685574</v>
      </c>
      <c r="N8" s="271">
        <f t="shared" si="4"/>
        <v>542366</v>
      </c>
      <c r="O8" s="271">
        <f t="shared" si="4"/>
        <v>695978</v>
      </c>
      <c r="P8" s="271">
        <f t="shared" si="4"/>
        <v>77740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-57727.341638700062</v>
      </c>
      <c r="E10" s="238"/>
      <c r="G10" s="270">
        <f>G48</f>
        <v>-39662.754313409729</v>
      </c>
      <c r="H10" s="270">
        <f t="shared" ref="H10:Q10" si="6">H48</f>
        <v>-71161.042728778804</v>
      </c>
      <c r="I10" s="270">
        <f t="shared" si="6"/>
        <v>-154242.63844408872</v>
      </c>
      <c r="J10" s="270">
        <f t="shared" si="6"/>
        <v>-187125.97723730904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352977.07045137795</v>
      </c>
      <c r="E11" s="238"/>
      <c r="G11" s="271">
        <f t="shared" ref="G11:Q11" si="7">IF(G$4="","",SUM(G8:G10))</f>
        <v>381536.24568659026</v>
      </c>
      <c r="H11" s="271">
        <f t="shared" si="7"/>
        <v>344849.95727122121</v>
      </c>
      <c r="I11" s="271">
        <f t="shared" si="7"/>
        <v>-82551.63844408872</v>
      </c>
      <c r="J11" s="271">
        <f t="shared" si="7"/>
        <v>283314.02276269096</v>
      </c>
      <c r="K11" s="271">
        <f t="shared" si="7"/>
        <v>321119</v>
      </c>
      <c r="L11" s="271">
        <f t="shared" si="7"/>
        <v>1094626</v>
      </c>
      <c r="M11" s="271">
        <f t="shared" si="7"/>
        <v>685574</v>
      </c>
      <c r="N11" s="271">
        <f t="shared" si="7"/>
        <v>542366</v>
      </c>
      <c r="O11" s="271">
        <f t="shared" si="7"/>
        <v>695978</v>
      </c>
      <c r="P11" s="271">
        <f t="shared" si="7"/>
        <v>77740</v>
      </c>
      <c r="Q11" s="271" t="str">
        <f t="shared" si="7"/>
        <v/>
      </c>
    </row>
    <row r="12" spans="1:17" ht="15.75" customHeight="1">
      <c r="A12" s="10"/>
      <c r="B12" s="2" t="s">
        <v>60</v>
      </c>
      <c r="C12" s="270">
        <f>-C11*C41</f>
        <v>-88244.267612844487</v>
      </c>
      <c r="E12" s="238"/>
      <c r="G12" s="270">
        <f>Data!C46</f>
        <v>-190386</v>
      </c>
      <c r="H12" s="270">
        <f>Data!D46</f>
        <v>-153501</v>
      </c>
      <c r="I12" s="270">
        <f>Data!E46</f>
        <v>-162625</v>
      </c>
      <c r="J12" s="270">
        <f>Data!F46</f>
        <v>-198365</v>
      </c>
      <c r="K12" s="270">
        <f>Data!G46</f>
        <v>-118395</v>
      </c>
      <c r="L12" s="270">
        <f>Data!H46</f>
        <v>-344556</v>
      </c>
      <c r="M12" s="270">
        <f>Data!I46</f>
        <v>-261475</v>
      </c>
      <c r="N12" s="270">
        <f>Data!J46</f>
        <v>-242187</v>
      </c>
      <c r="O12" s="270">
        <f>Data!K46</f>
        <v>-262312</v>
      </c>
      <c r="P12" s="270">
        <f>Data!L46</f>
        <v>-23744</v>
      </c>
      <c r="Q12" s="270" t="str">
        <f>Data!M46</f>
        <v/>
      </c>
    </row>
    <row r="13" spans="1:17" ht="15.75" customHeight="1">
      <c r="A13" s="10"/>
      <c r="B13" s="38" t="s">
        <v>208</v>
      </c>
      <c r="C13" s="270">
        <f>-C4*C79</f>
        <v>-15148.661076173323</v>
      </c>
      <c r="D13" s="57"/>
      <c r="E13" s="245"/>
      <c r="F13" s="57"/>
      <c r="G13" s="274">
        <f>Data!C48</f>
        <v>-6325</v>
      </c>
      <c r="H13" s="274">
        <f>Data!D48</f>
        <v>-12783</v>
      </c>
      <c r="I13" s="274">
        <f>Data!E48</f>
        <v>-11074</v>
      </c>
      <c r="J13" s="274">
        <f>Data!F48</f>
        <v>-19168</v>
      </c>
      <c r="K13" s="274">
        <f>Data!G48</f>
        <v>-11820</v>
      </c>
      <c r="L13" s="274">
        <f>Data!H48</f>
        <v>-46635</v>
      </c>
      <c r="M13" s="274">
        <f>Data!I48</f>
        <v>-18006</v>
      </c>
      <c r="N13" s="274">
        <f>Data!J48</f>
        <v>-20710</v>
      </c>
      <c r="O13" s="274">
        <f>Data!K48</f>
        <v>-9032</v>
      </c>
      <c r="P13" s="274">
        <f>Data!L48</f>
        <v>0</v>
      </c>
      <c r="Q13" s="274" t="str">
        <f>Data!M48</f>
        <v/>
      </c>
    </row>
    <row r="14" spans="1:17" ht="15.75" customHeight="1">
      <c r="A14" s="10"/>
      <c r="B14" s="39" t="s">
        <v>129</v>
      </c>
      <c r="C14" s="273">
        <f>SUM(C11:C13)</f>
        <v>249584.14176236014</v>
      </c>
      <c r="D14" s="58"/>
      <c r="E14" s="246"/>
      <c r="F14" s="58"/>
      <c r="G14" s="271">
        <f t="shared" ref="G14:Q14" si="8">IF(G$4="","",SUM(G11:G13))</f>
        <v>184825.24568659026</v>
      </c>
      <c r="H14" s="271">
        <f t="shared" si="8"/>
        <v>178565.95727122121</v>
      </c>
      <c r="I14" s="271">
        <f t="shared" si="8"/>
        <v>-256250.63844408872</v>
      </c>
      <c r="J14" s="271">
        <f t="shared" si="8"/>
        <v>65781.022762690962</v>
      </c>
      <c r="K14" s="271">
        <f t="shared" si="8"/>
        <v>190904</v>
      </c>
      <c r="L14" s="271">
        <f t="shared" si="8"/>
        <v>703435</v>
      </c>
      <c r="M14" s="271">
        <f t="shared" si="8"/>
        <v>406093</v>
      </c>
      <c r="N14" s="271">
        <f t="shared" si="8"/>
        <v>279469</v>
      </c>
      <c r="O14" s="271">
        <f t="shared" si="8"/>
        <v>424634</v>
      </c>
      <c r="P14" s="271">
        <f t="shared" si="8"/>
        <v>53996</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249584.14176236014</v>
      </c>
      <c r="D19" s="26"/>
      <c r="E19" s="235"/>
      <c r="F19" s="26"/>
      <c r="G19" s="275">
        <f t="shared" ref="G19:Q19" si="9">IF(G$4="","",G14+G17)</f>
        <v>184825.24568659026</v>
      </c>
      <c r="H19" s="275">
        <f t="shared" si="9"/>
        <v>178565.95727122121</v>
      </c>
      <c r="I19" s="275">
        <f t="shared" si="9"/>
        <v>-256250.63844408872</v>
      </c>
      <c r="J19" s="275">
        <f t="shared" si="9"/>
        <v>65781.022762690962</v>
      </c>
      <c r="K19" s="275">
        <f t="shared" si="9"/>
        <v>190904</v>
      </c>
      <c r="L19" s="275">
        <f t="shared" si="9"/>
        <v>703435</v>
      </c>
      <c r="M19" s="275">
        <f t="shared" si="9"/>
        <v>406093</v>
      </c>
      <c r="N19" s="275">
        <f t="shared" si="9"/>
        <v>279469</v>
      </c>
      <c r="O19" s="275">
        <f t="shared" si="9"/>
        <v>424634</v>
      </c>
      <c r="P19" s="275">
        <f t="shared" si="9"/>
        <v>53996</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-12155467.587909924</v>
      </c>
      <c r="D23" s="55"/>
      <c r="E23" s="237"/>
      <c r="F23" s="55"/>
      <c r="G23" s="274">
        <f>Data!C37</f>
        <v>-12144973</v>
      </c>
      <c r="H23" s="274">
        <f>Data!D37</f>
        <v>-13308517</v>
      </c>
      <c r="I23" s="274">
        <f>Data!E37</f>
        <v>-11949975</v>
      </c>
      <c r="J23" s="274">
        <f>Data!F37</f>
        <v>-15050952</v>
      </c>
      <c r="K23" s="274">
        <f>Data!G37</f>
        <v>-17784820</v>
      </c>
      <c r="L23" s="274">
        <f>Data!H37</f>
        <v>-17914296</v>
      </c>
      <c r="M23" s="274">
        <f>Data!I37</f>
        <v>-15078824</v>
      </c>
      <c r="N23" s="274">
        <f>Data!J37</f>
        <v>-12239725</v>
      </c>
      <c r="O23" s="274">
        <f>Data!K37</f>
        <v>-10467944</v>
      </c>
      <c r="P23" s="274">
        <f>Data!L37</f>
        <v>-1534115</v>
      </c>
      <c r="Q23" s="274" t="str">
        <f>Data!M37</f>
        <v/>
      </c>
    </row>
    <row r="24" spans="1:17" ht="15.75" customHeight="1">
      <c r="A24" s="10"/>
      <c r="B24" s="65" t="s">
        <v>59</v>
      </c>
      <c r="C24" s="270">
        <f>-C4*C30</f>
        <v>-5136105</v>
      </c>
      <c r="D24" s="26"/>
      <c r="E24" s="235"/>
      <c r="F24" s="26"/>
      <c r="G24" s="274">
        <f>Data!C40</f>
        <v>-5136105</v>
      </c>
      <c r="H24" s="274">
        <f>Data!D40</f>
        <v>-5588228</v>
      </c>
      <c r="I24" s="274">
        <f>Data!E40</f>
        <v>-5806761</v>
      </c>
      <c r="J24" s="274">
        <f>Data!F40</f>
        <v>-6962403</v>
      </c>
      <c r="K24" s="274">
        <f>Data!G40</f>
        <v>-6741868</v>
      </c>
      <c r="L24" s="274">
        <f>Data!H40</f>
        <v>-7168952</v>
      </c>
      <c r="M24" s="274">
        <f>Data!I40</f>
        <v>-6099595</v>
      </c>
      <c r="N24" s="274">
        <f>Data!J40</f>
        <v>-5326027</v>
      </c>
      <c r="O24" s="274">
        <f>Data!K40</f>
        <v>-4415748</v>
      </c>
      <c r="P24" s="274">
        <f>Data!L40</f>
        <v>-592050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-17291572.587909922</v>
      </c>
      <c r="D26" s="9"/>
      <c r="E26" s="243"/>
      <c r="F26" s="9"/>
      <c r="G26" s="271">
        <f>IF(G$4="","",SUM(G23:G25))</f>
        <v>-17281078</v>
      </c>
      <c r="H26" s="271">
        <f t="shared" ref="H26:Q26" si="10">IF(H$4="","",SUM(H23:H25))</f>
        <v>-18896745</v>
      </c>
      <c r="I26" s="271">
        <f t="shared" si="10"/>
        <v>-17756736</v>
      </c>
      <c r="J26" s="271">
        <f t="shared" si="10"/>
        <v>-22013355</v>
      </c>
      <c r="K26" s="271">
        <f t="shared" si="10"/>
        <v>-24526688</v>
      </c>
      <c r="L26" s="271">
        <f t="shared" si="10"/>
        <v>-25083248</v>
      </c>
      <c r="M26" s="271">
        <f t="shared" si="10"/>
        <v>-21178419</v>
      </c>
      <c r="N26" s="271">
        <f t="shared" si="10"/>
        <v>-17565752</v>
      </c>
      <c r="O26" s="271">
        <f t="shared" si="10"/>
        <v>-14883692</v>
      </c>
      <c r="P26" s="271">
        <f t="shared" si="10"/>
        <v>-2126165</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AVERAGE(G29:P29)</f>
        <v>0.65869287456710013</v>
      </c>
      <c r="D29" s="25"/>
      <c r="E29" s="236"/>
      <c r="F29" s="25"/>
      <c r="G29" s="13">
        <f t="shared" ref="G29:Q29" si="11">IF(G$4="","",ABS(G23/G$4))</f>
        <v>0.65812418313439369</v>
      </c>
      <c r="H29" s="13">
        <f t="shared" si="11"/>
        <v>0.66328684940370053</v>
      </c>
      <c r="I29" s="13">
        <f t="shared" si="11"/>
        <v>0.64116115117586792</v>
      </c>
      <c r="J29" s="13">
        <f t="shared" si="11"/>
        <v>0.64457389829267242</v>
      </c>
      <c r="K29" s="13">
        <f t="shared" si="11"/>
        <v>0.69441775790794036</v>
      </c>
      <c r="L29" s="13">
        <f t="shared" si="11"/>
        <v>0.65886174448363199</v>
      </c>
      <c r="M29" s="13">
        <f t="shared" si="11"/>
        <v>0.66492810565596772</v>
      </c>
      <c r="N29" s="13">
        <f t="shared" si="11"/>
        <v>0.64989760431422772</v>
      </c>
      <c r="O29" s="13">
        <f t="shared" si="11"/>
        <v>0.64472138623969477</v>
      </c>
      <c r="P29" s="13">
        <f t="shared" si="11"/>
        <v>0.66695606506290395</v>
      </c>
      <c r="Q29" s="13" t="str">
        <f t="shared" si="11"/>
        <v/>
      </c>
    </row>
    <row r="30" spans="1:17" ht="15.75" customHeight="1">
      <c r="A30" s="10"/>
      <c r="B30" s="65" t="str">
        <f>B24</f>
        <v>Selling Expenses</v>
      </c>
      <c r="C30" s="60">
        <f>G30</f>
        <v>0.2783204958642127</v>
      </c>
      <c r="D30" s="25"/>
      <c r="E30" s="236"/>
      <c r="F30" s="25"/>
      <c r="G30" s="13">
        <f t="shared" ref="G30:Q30" si="12">IF(G$4="","",ABS(G24/G$4))</f>
        <v>0.2783204958642127</v>
      </c>
      <c r="H30" s="13">
        <f t="shared" si="12"/>
        <v>0.27851323658898602</v>
      </c>
      <c r="I30" s="13">
        <f t="shared" si="12"/>
        <v>0.31155459047932182</v>
      </c>
      <c r="J30" s="13">
        <f t="shared" si="12"/>
        <v>0.2981727164630249</v>
      </c>
      <c r="K30" s="13">
        <f t="shared" si="12"/>
        <v>0.26323982253805717</v>
      </c>
      <c r="L30" s="13">
        <f t="shared" si="12"/>
        <v>0.26366362489708906</v>
      </c>
      <c r="M30" s="13">
        <f t="shared" si="12"/>
        <v>0.26897270958389141</v>
      </c>
      <c r="N30" s="13">
        <f t="shared" si="12"/>
        <v>0.28279819912725923</v>
      </c>
      <c r="O30" s="13">
        <f t="shared" si="12"/>
        <v>0.27196622105020429</v>
      </c>
      <c r="P30" s="13">
        <f t="shared" si="12"/>
        <v>0.25739357109505628</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0.93701337043131272</v>
      </c>
      <c r="E32" s="238"/>
      <c r="G32" s="29">
        <f t="shared" ref="G32:Q32" si="14">IF(G$4="","",ABS(G26/G$4))</f>
        <v>0.93644467899860639</v>
      </c>
      <c r="H32" s="29">
        <f t="shared" si="14"/>
        <v>0.9418000859926865</v>
      </c>
      <c r="I32" s="29">
        <f t="shared" si="14"/>
        <v>0.95271574165518969</v>
      </c>
      <c r="J32" s="29">
        <f t="shared" si="14"/>
        <v>0.94274661475569732</v>
      </c>
      <c r="K32" s="29">
        <f t="shared" si="14"/>
        <v>0.95765758044599758</v>
      </c>
      <c r="L32" s="29">
        <f t="shared" si="14"/>
        <v>0.92252536938072105</v>
      </c>
      <c r="M32" s="29">
        <f t="shared" si="14"/>
        <v>0.93390081523985913</v>
      </c>
      <c r="N32" s="29">
        <f t="shared" si="14"/>
        <v>0.93269580344148695</v>
      </c>
      <c r="O32" s="29">
        <f t="shared" si="14"/>
        <v>0.91668760728989906</v>
      </c>
      <c r="P32" s="29">
        <f t="shared" si="14"/>
        <v>0.92434963615796017</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-751646</v>
      </c>
      <c r="D35" s="55"/>
      <c r="E35" s="237"/>
      <c r="F35" s="55"/>
      <c r="G35" s="271">
        <f>IF(G4="","",Data!C41)</f>
        <v>-751646</v>
      </c>
      <c r="H35" s="271">
        <f>IF(H4="","",Data!D41)</f>
        <v>-751741</v>
      </c>
      <c r="I35" s="271">
        <f>IF(I4="","",Data!E41)</f>
        <v>-809594</v>
      </c>
      <c r="J35" s="271">
        <f>IF(J4="","",Data!F41)</f>
        <v>-866440</v>
      </c>
      <c r="K35" s="271">
        <f>IF(K4="","",Data!G41)</f>
        <v>-763318</v>
      </c>
      <c r="L35" s="271">
        <f>IF(L4="","",Data!H41)</f>
        <v>-1011891</v>
      </c>
      <c r="M35" s="271">
        <f>IF(M4="","",Data!I41)</f>
        <v>-813382</v>
      </c>
      <c r="N35" s="271">
        <f>IF(N4="","",Data!J41)</f>
        <v>-725195</v>
      </c>
      <c r="O35" s="271">
        <f>IF(O4="","",Data!K41)</f>
        <v>-656714</v>
      </c>
      <c r="P35" s="271">
        <f>IF(P4="","",Data!L41)</f>
        <v>-96269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4.0730960024055587E-2</v>
      </c>
      <c r="E38" s="238"/>
      <c r="G38" s="29">
        <f t="shared" ref="G38:Q38" si="15">IF(G$4="","",ABS(G35/G$4))</f>
        <v>4.0730960024055587E-2</v>
      </c>
      <c r="H38" s="29">
        <f t="shared" si="15"/>
        <v>3.7466227037737353E-2</v>
      </c>
      <c r="I38" s="29">
        <f t="shared" si="15"/>
        <v>4.3437766273575935E-2</v>
      </c>
      <c r="J38" s="29">
        <f t="shared" si="15"/>
        <v>3.7106264669284912E-2</v>
      </c>
      <c r="K38" s="29">
        <f t="shared" si="15"/>
        <v>2.9804157373016608E-2</v>
      </c>
      <c r="L38" s="29">
        <f t="shared" si="15"/>
        <v>3.7215878842645385E-2</v>
      </c>
      <c r="M38" s="29">
        <f t="shared" si="15"/>
        <v>3.5867555217479974E-2</v>
      </c>
      <c r="N38" s="29">
        <f t="shared" si="15"/>
        <v>3.8505970776357833E-2</v>
      </c>
      <c r="O38" s="29">
        <f t="shared" si="15"/>
        <v>4.0447060133586392E-2</v>
      </c>
      <c r="P38" s="29">
        <f t="shared" si="15"/>
        <v>4.1852920692086772E-2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0.49899846253766145</v>
      </c>
      <c r="H41" s="6">
        <f t="shared" si="16"/>
        <v>0.44512402209542085</v>
      </c>
      <c r="I41" s="6">
        <f t="shared" si="16"/>
        <v>-1.969979070859315</v>
      </c>
      <c r="J41" s="6">
        <f t="shared" si="16"/>
        <v>0.70015948404415607</v>
      </c>
      <c r="K41" s="6">
        <f t="shared" si="16"/>
        <v>0.3686950943419729</v>
      </c>
      <c r="L41" s="6">
        <f t="shared" si="16"/>
        <v>0.31477052436174546</v>
      </c>
      <c r="M41" s="6">
        <f t="shared" si="16"/>
        <v>0.38139573554423006</v>
      </c>
      <c r="N41" s="6">
        <f t="shared" si="16"/>
        <v>0.44653794670019875</v>
      </c>
      <c r="O41" s="6">
        <f t="shared" si="16"/>
        <v>0.3768969708812635</v>
      </c>
      <c r="P41" s="6">
        <f t="shared" si="16"/>
        <v>0.30542835091330073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-72892.95</v>
      </c>
      <c r="E45" s="238"/>
      <c r="G45" s="270">
        <f>Data!C51</f>
        <v>-67796</v>
      </c>
      <c r="H45" s="270">
        <f>Data!D51</f>
        <v>-92335</v>
      </c>
      <c r="I45" s="270">
        <f>Data!E51</f>
        <v>-166759</v>
      </c>
      <c r="J45" s="270">
        <f>Data!F51</f>
        <v>-202932</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15165.608361299935</v>
      </c>
      <c r="E46" s="238"/>
      <c r="G46" s="278">
        <f t="shared" ref="G46:Q46" si="17">IFERROR(IF(G$4="","",($C$46/$C$47)*G47),0)</f>
        <v>28133.245686590271</v>
      </c>
      <c r="H46" s="278">
        <f t="shared" si="17"/>
        <v>21173.957271221196</v>
      </c>
      <c r="I46" s="278">
        <f t="shared" si="17"/>
        <v>12516.361555911293</v>
      </c>
      <c r="J46" s="278">
        <f t="shared" si="17"/>
        <v>15806.022762690947</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26941.32</v>
      </c>
      <c r="D47" s="249"/>
      <c r="E47" s="250"/>
      <c r="F47" s="249"/>
      <c r="G47" s="282">
        <f>Data!C52</f>
        <v>49978</v>
      </c>
      <c r="H47" s="282">
        <f>Data!D52</f>
        <v>37615</v>
      </c>
      <c r="I47" s="282">
        <f>Data!E52</f>
        <v>22235</v>
      </c>
      <c r="J47" s="282">
        <f>Data!F52</f>
        <v>28079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-57727.341638700062</v>
      </c>
      <c r="E48" s="238"/>
      <c r="G48" s="271">
        <f>IF(G$4="","",(G45+G46))</f>
        <v>-39662.754313409729</v>
      </c>
      <c r="H48" s="271">
        <f t="shared" ref="H48:Q48" si="18">IF(H$4="","",(H45+H46))</f>
        <v>-71161.042728778804</v>
      </c>
      <c r="I48" s="271">
        <f t="shared" si="18"/>
        <v>-154242.63844408872</v>
      </c>
      <c r="J48" s="271">
        <f t="shared" si="18"/>
        <v>-187125.97723730904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1.8550687197212312E-2</v>
      </c>
      <c r="H51" s="151"/>
      <c r="I51" s="151"/>
      <c r="J51" s="151"/>
      <c r="K51" s="151"/>
      <c r="L51" s="151"/>
      <c r="M51" s="151"/>
      <c r="N51" s="151"/>
      <c r="O51" s="151"/>
      <c r="P51" s="151"/>
      <c r="Q51" s="151"/>
    </row>
    <row r="52" spans="1:17" ht="15.75" customHeight="1">
      <c r="A52" s="10"/>
      <c r="B52" s="8" t="s">
        <v>84</v>
      </c>
      <c r="C52" s="79">
        <v>0.05</v>
      </c>
      <c r="E52" s="235"/>
      <c r="G52" s="22">
        <f>IFERROR(ABS(Normalized_FCF!G45/BS!$G$31),0)</f>
        <v>4.6503811411117264E-2</v>
      </c>
      <c r="H52" s="151"/>
      <c r="I52" s="151"/>
      <c r="J52" s="151"/>
      <c r="K52" s="151"/>
      <c r="L52" s="151"/>
      <c r="M52" s="151"/>
      <c r="N52" s="151"/>
      <c r="O52" s="151"/>
      <c r="P52" s="151"/>
      <c r="Q52" s="151"/>
    </row>
    <row r="53" spans="1:17" ht="15.75" customHeight="1">
      <c r="A53" s="10"/>
      <c r="B53" s="25" t="s">
        <v>87</v>
      </c>
      <c r="C53" s="40">
        <f>-C8/C45</f>
        <v>5.6343502641898571</v>
      </c>
      <c r="E53" s="238"/>
      <c r="G53" s="40">
        <f t="shared" ref="G53:Q53" si="19">IF(G4="","",-G8/G45)</f>
        <v>6.212741164670482</v>
      </c>
      <c r="H53" s="40">
        <f t="shared" si="19"/>
        <v>4.5054529701629935</v>
      </c>
      <c r="I53" s="40">
        <f t="shared" si="19"/>
        <v>0.42990783106159186</v>
      </c>
      <c r="J53" s="40">
        <f t="shared" si="19"/>
        <v>2.318214968560897</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284827</v>
      </c>
      <c r="H60" s="270">
        <f>Data!D58</f>
        <v>295418</v>
      </c>
      <c r="I60" s="270">
        <f>Data!E58</f>
        <v>335696</v>
      </c>
      <c r="J60" s="270">
        <f>Data!F58</f>
        <v>278533</v>
      </c>
      <c r="K60" s="270">
        <f>Data!G58</f>
        <v>111936</v>
      </c>
      <c r="L60" s="270">
        <f>Data!H58</f>
        <v>129840</v>
      </c>
      <c r="M60" s="270">
        <f>Data!I58</f>
        <v>136795</v>
      </c>
      <c r="N60" s="270">
        <f>Data!J58</f>
        <v>114853</v>
      </c>
      <c r="O60" s="270">
        <f>Data!K58</f>
        <v>135945</v>
      </c>
      <c r="P60" s="270">
        <f>Data!L58</f>
        <v>8362</v>
      </c>
      <c r="Q60" s="270" t="str">
        <f>Data!M58</f>
        <v/>
      </c>
    </row>
    <row r="61" spans="1:17" ht="15.75" customHeight="1">
      <c r="A61" s="10"/>
      <c r="B61" s="30" t="s">
        <v>164</v>
      </c>
      <c r="C61" s="271">
        <f>C59+C60</f>
        <v>0</v>
      </c>
      <c r="E61" s="238"/>
      <c r="G61" s="271">
        <f t="shared" ref="G61:Q61" si="21">IF(G4="","",G59+G60)</f>
        <v>284827</v>
      </c>
      <c r="H61" s="271">
        <f t="shared" si="21"/>
        <v>295418</v>
      </c>
      <c r="I61" s="271">
        <f t="shared" si="21"/>
        <v>335696</v>
      </c>
      <c r="J61" s="271">
        <f t="shared" si="21"/>
        <v>278533</v>
      </c>
      <c r="K61" s="271">
        <f t="shared" si="21"/>
        <v>111936</v>
      </c>
      <c r="L61" s="271">
        <f t="shared" si="21"/>
        <v>129840</v>
      </c>
      <c r="M61" s="271">
        <f t="shared" si="21"/>
        <v>136795</v>
      </c>
      <c r="N61" s="271">
        <f t="shared" si="21"/>
        <v>114853</v>
      </c>
      <c r="O61" s="271">
        <f t="shared" si="21"/>
        <v>135945</v>
      </c>
      <c r="P61" s="271">
        <f t="shared" si="21"/>
        <v>8362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0.93701337043131272</v>
      </c>
      <c r="D71" s="26"/>
      <c r="E71" s="235"/>
      <c r="F71" s="26"/>
      <c r="G71" s="6">
        <f t="shared" ref="G71:Q71" si="23">IF(G$4="","",ABS(G5/G$4))</f>
        <v>0.93644467899860639</v>
      </c>
      <c r="H71" s="6">
        <f t="shared" si="23"/>
        <v>0.9418000859926865</v>
      </c>
      <c r="I71" s="6">
        <f t="shared" si="23"/>
        <v>0.95271574165518969</v>
      </c>
      <c r="J71" s="6">
        <f t="shared" si="23"/>
        <v>0.94274661475569732</v>
      </c>
      <c r="K71" s="6">
        <f t="shared" si="23"/>
        <v>0.95765758044599758</v>
      </c>
      <c r="L71" s="6">
        <f t="shared" si="23"/>
        <v>0.92252536938072105</v>
      </c>
      <c r="M71" s="6">
        <f t="shared" si="23"/>
        <v>0.93390081523985913</v>
      </c>
      <c r="N71" s="6">
        <f t="shared" si="23"/>
        <v>0.93269580344148695</v>
      </c>
      <c r="O71" s="6">
        <f t="shared" si="23"/>
        <v>0.91668760728989906</v>
      </c>
      <c r="P71" s="6">
        <f t="shared" si="23"/>
        <v>0.92434963615796017</v>
      </c>
      <c r="Q71" s="6" t="str">
        <f t="shared" si="23"/>
        <v/>
      </c>
    </row>
    <row r="72" spans="1:17" ht="15.75" customHeight="1">
      <c r="A72" s="10"/>
      <c r="B72" s="30" t="s">
        <v>45</v>
      </c>
      <c r="C72" s="75">
        <f t="shared" si="22"/>
        <v>6.2986629568687266E-2</v>
      </c>
      <c r="D72" s="26"/>
      <c r="E72" s="235"/>
      <c r="F72" s="26"/>
      <c r="G72" s="62">
        <f t="shared" ref="G72:Q72" si="24">IF(G$4="","",ABS(G6/G$4))</f>
        <v>6.3555321001393578E-2</v>
      </c>
      <c r="H72" s="62">
        <f t="shared" si="24"/>
        <v>5.8199914007313516E-2</v>
      </c>
      <c r="I72" s="62">
        <f t="shared" si="24"/>
        <v>4.7284258344810322E-2</v>
      </c>
      <c r="J72" s="62">
        <f t="shared" si="24"/>
        <v>5.7253385244302679E-2</v>
      </c>
      <c r="K72" s="62">
        <f t="shared" si="24"/>
        <v>4.2342419554002413E-2</v>
      </c>
      <c r="L72" s="62">
        <f t="shared" si="24"/>
        <v>7.7474630619278978E-2</v>
      </c>
      <c r="M72" s="62">
        <f t="shared" si="24"/>
        <v>6.6099184760140886E-2</v>
      </c>
      <c r="N72" s="62">
        <f t="shared" si="24"/>
        <v>6.7304196558513094E-2</v>
      </c>
      <c r="O72" s="62">
        <f t="shared" si="24"/>
        <v>8.3312392710100963E-2</v>
      </c>
      <c r="P72" s="62">
        <f t="shared" si="24"/>
        <v>7.5650363842039769E-2</v>
      </c>
      <c r="Q72" s="62" t="str">
        <f t="shared" si="24"/>
        <v/>
      </c>
    </row>
    <row r="73" spans="1:17" ht="15.75" customHeight="1">
      <c r="A73" s="10"/>
      <c r="B73" s="8" t="s">
        <v>42</v>
      </c>
      <c r="C73" s="74">
        <f t="shared" si="22"/>
        <v>4.0730960024055587E-2</v>
      </c>
      <c r="D73" s="26"/>
      <c r="E73" s="235"/>
      <c r="F73" s="26"/>
      <c r="G73" s="6">
        <f t="shared" ref="G73:Q73" si="25">IF(G$4="","",ABS(G7/G$4))</f>
        <v>4.0730960024055587E-2</v>
      </c>
      <c r="H73" s="6">
        <f t="shared" si="25"/>
        <v>3.7466227037737353E-2</v>
      </c>
      <c r="I73" s="6">
        <f t="shared" si="25"/>
        <v>4.3437766273575935E-2</v>
      </c>
      <c r="J73" s="6">
        <f t="shared" si="25"/>
        <v>3.7106264669284912E-2</v>
      </c>
      <c r="K73" s="6">
        <f t="shared" si="25"/>
        <v>2.9804157373016608E-2</v>
      </c>
      <c r="L73" s="6">
        <f t="shared" si="25"/>
        <v>3.7215878842645385E-2</v>
      </c>
      <c r="M73" s="6">
        <f t="shared" si="25"/>
        <v>3.5867555217479974E-2</v>
      </c>
      <c r="N73" s="6">
        <f t="shared" si="25"/>
        <v>3.8505970776357833E-2</v>
      </c>
      <c r="O73" s="6">
        <f t="shared" si="25"/>
        <v>4.0447060133586392E-2</v>
      </c>
      <c r="P73" s="6">
        <f t="shared" si="25"/>
        <v>4.1852920692086772E-2</v>
      </c>
      <c r="Q73" s="6" t="str">
        <f t="shared" si="25"/>
        <v/>
      </c>
    </row>
    <row r="74" spans="1:17" ht="15.75" customHeight="1">
      <c r="A74" s="10"/>
      <c r="B74" s="28" t="s">
        <v>127</v>
      </c>
      <c r="C74" s="75">
        <f t="shared" si="22"/>
        <v>2.2255669544631675E-2</v>
      </c>
      <c r="D74" s="26"/>
      <c r="E74" s="235"/>
      <c r="F74" s="26"/>
      <c r="G74" s="62">
        <f t="shared" ref="G74:Q74" si="26">IF(G$4="","",ABS(G8/G$4))</f>
        <v>2.282436097733799E-2</v>
      </c>
      <c r="H74" s="62">
        <f t="shared" si="26"/>
        <v>2.0733686969576164E-2</v>
      </c>
      <c r="I74" s="62">
        <f t="shared" si="26"/>
        <v>3.8464920712343868E-3</v>
      </c>
      <c r="J74" s="62">
        <f t="shared" si="26"/>
        <v>2.0147120575017767E-2</v>
      </c>
      <c r="K74" s="62">
        <f t="shared" si="26"/>
        <v>1.2538262180985802E-2</v>
      </c>
      <c r="L74" s="62">
        <f t="shared" si="26"/>
        <v>4.02587517766336E-2</v>
      </c>
      <c r="M74" s="62">
        <f t="shared" si="26"/>
        <v>3.0231629542660912E-2</v>
      </c>
      <c r="N74" s="62">
        <f t="shared" si="26"/>
        <v>2.8798225782155268E-2</v>
      </c>
      <c r="O74" s="62">
        <f t="shared" si="26"/>
        <v>4.2865332576514571E-2</v>
      </c>
      <c r="P74" s="62">
        <f t="shared" si="26"/>
        <v>3.3797443149953005E-2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3.1281880627062365E-3</v>
      </c>
      <c r="D76" s="26"/>
      <c r="E76" s="235"/>
      <c r="F76" s="26"/>
      <c r="G76" s="6">
        <f t="shared" ref="G76:Q76" si="28">IF(G$4="","",ABS(G10/G$4))</f>
        <v>2.149285781316511E-3</v>
      </c>
      <c r="H76" s="6">
        <f t="shared" si="28"/>
        <v>3.5466148355863996E-3</v>
      </c>
      <c r="I76" s="6">
        <f t="shared" si="28"/>
        <v>8.2756982859976767E-3</v>
      </c>
      <c r="J76" s="6">
        <f t="shared" si="28"/>
        <v>8.0138798276466611E-3</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1.9127481481925439E-2</v>
      </c>
      <c r="D77" s="26"/>
      <c r="E77" s="235"/>
      <c r="F77" s="26"/>
      <c r="G77" s="62">
        <f t="shared" ref="G77:Q77" si="29">IF(G$4="","",G11/G$4)</f>
        <v>2.0675075196021478E-2</v>
      </c>
      <c r="H77" s="62">
        <f t="shared" si="29"/>
        <v>1.7187072133989765E-2</v>
      </c>
      <c r="I77" s="62">
        <f t="shared" si="29"/>
        <v>-4.4292062147632903E-3</v>
      </c>
      <c r="J77" s="62">
        <f t="shared" si="29"/>
        <v>1.2133240747371106E-2</v>
      </c>
      <c r="K77" s="62">
        <f t="shared" si="29"/>
        <v>1.2538262180985802E-2</v>
      </c>
      <c r="L77" s="62">
        <f t="shared" si="29"/>
        <v>4.02587517766336E-2</v>
      </c>
      <c r="M77" s="62">
        <f t="shared" si="29"/>
        <v>3.0231629542660912E-2</v>
      </c>
      <c r="N77" s="62">
        <f t="shared" si="29"/>
        <v>2.8798225782155268E-2</v>
      </c>
      <c r="O77" s="62">
        <f t="shared" si="29"/>
        <v>4.2865332576514571E-2</v>
      </c>
      <c r="P77" s="62">
        <f t="shared" si="29"/>
        <v>3.3797443149953005E-2</v>
      </c>
      <c r="Q77" s="62" t="str">
        <f t="shared" si="29"/>
        <v/>
      </c>
    </row>
    <row r="78" spans="1:17" ht="15.75" customHeight="1">
      <c r="A78" s="10"/>
      <c r="B78" s="2" t="s">
        <v>60</v>
      </c>
      <c r="C78" s="74">
        <f>ABS(C12/C$4)</f>
        <v>4.7818703704813597E-3</v>
      </c>
      <c r="D78" s="26"/>
      <c r="E78" s="235"/>
      <c r="F78" s="26"/>
      <c r="G78" s="6">
        <f t="shared" ref="G78:Q78" si="30">IF(G$4="","",ABS(G12/G$4))</f>
        <v>1.0316830735665257E-2</v>
      </c>
      <c r="H78" s="6">
        <f t="shared" si="30"/>
        <v>7.6503786763256511E-3</v>
      </c>
      <c r="I78" s="6">
        <f t="shared" si="30"/>
        <v>8.725443543603691E-3</v>
      </c>
      <c r="J78" s="6">
        <f t="shared" si="30"/>
        <v>8.4952035814628846E-3</v>
      </c>
      <c r="K78" s="6">
        <f t="shared" si="30"/>
        <v>4.6227957577029515E-3</v>
      </c>
      <c r="L78" s="6">
        <f t="shared" si="30"/>
        <v>1.2672268406880309E-2</v>
      </c>
      <c r="M78" s="6">
        <f t="shared" si="30"/>
        <v>1.1530214586123836E-2</v>
      </c>
      <c r="N78" s="6">
        <f t="shared" si="30"/>
        <v>1.285950060937234E-2</v>
      </c>
      <c r="O78" s="6">
        <f t="shared" si="30"/>
        <v>1.6155814003906289E-2</v>
      </c>
      <c r="P78" s="6">
        <f t="shared" si="30"/>
        <v>1.0322697326376178E-2</v>
      </c>
      <c r="Q78" s="6" t="str">
        <f t="shared" si="30"/>
        <v/>
      </c>
    </row>
    <row r="79" spans="1:17" ht="15.75" customHeight="1">
      <c r="A79" s="10"/>
      <c r="B79" s="38" t="str">
        <f>B13</f>
        <v>NCI’s Share of Profits</v>
      </c>
      <c r="C79" s="234">
        <f>MIN(BS!C62,MAX(G79:K79))</f>
        <v>8.2089109595685013E-4</v>
      </c>
      <c r="D79" s="26"/>
      <c r="E79" s="235"/>
      <c r="F79" s="26"/>
      <c r="G79" s="6">
        <f t="shared" ref="G79:Q79" si="31">IF(G$4="","",-G13/G$4)</f>
        <v>3.427455506344098E-4</v>
      </c>
      <c r="H79" s="6">
        <f t="shared" si="31"/>
        <v>6.3709546269712113E-4</v>
      </c>
      <c r="I79" s="6">
        <f t="shared" si="31"/>
        <v>5.941617943235497E-4</v>
      </c>
      <c r="J79" s="6">
        <f t="shared" si="31"/>
        <v>8.2089109595685013E-4</v>
      </c>
      <c r="K79" s="6">
        <f t="shared" si="31"/>
        <v>4.6151818789686122E-4</v>
      </c>
      <c r="L79" s="6">
        <f t="shared" si="31"/>
        <v>1.7151674536355869E-3</v>
      </c>
      <c r="M79" s="6">
        <f t="shared" si="31"/>
        <v>7.9400724290179091E-4</v>
      </c>
      <c r="N79" s="6">
        <f t="shared" si="31"/>
        <v>1.0996472049288406E-3</v>
      </c>
      <c r="O79" s="6">
        <f t="shared" si="31"/>
        <v>5.5628149716094419E-4</v>
      </c>
      <c r="P79" s="6">
        <f t="shared" si="31"/>
        <v>0</v>
      </c>
      <c r="Q79" s="6" t="str">
        <f t="shared" si="31"/>
        <v/>
      </c>
    </row>
    <row r="80" spans="1:17" ht="15.75" customHeight="1">
      <c r="A80" s="10"/>
      <c r="B80" s="39" t="s">
        <v>129</v>
      </c>
      <c r="C80" s="75">
        <f>ABS(C14/C$4)</f>
        <v>1.352472001548723E-2</v>
      </c>
      <c r="D80" s="26"/>
      <c r="E80" s="235"/>
      <c r="F80" s="26"/>
      <c r="G80" s="62">
        <f t="shared" ref="G80:Q80" si="32">IF(G$4="","",ABS(G14/G$4))</f>
        <v>1.0015498909721811E-2</v>
      </c>
      <c r="H80" s="62">
        <f t="shared" si="32"/>
        <v>8.8995979949669912E-3</v>
      </c>
      <c r="I80" s="62">
        <f t="shared" si="32"/>
        <v>1.374881155269053E-2</v>
      </c>
      <c r="J80" s="62">
        <f t="shared" si="32"/>
        <v>2.8171460699513715E-3</v>
      </c>
      <c r="K80" s="62">
        <f t="shared" si="32"/>
        <v>7.4539482353859895E-3</v>
      </c>
      <c r="L80" s="62">
        <f t="shared" si="32"/>
        <v>2.5871315916117701E-2</v>
      </c>
      <c r="M80" s="62">
        <f t="shared" si="32"/>
        <v>1.7907407713635286E-2</v>
      </c>
      <c r="N80" s="62">
        <f t="shared" si="32"/>
        <v>1.4839077967854089E-2</v>
      </c>
      <c r="O80" s="62">
        <f t="shared" si="32"/>
        <v>2.6153237075447342E-2</v>
      </c>
      <c r="P80" s="62">
        <f t="shared" si="32"/>
        <v>2.3474745823576827E-2</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1.352472001548723E-2</v>
      </c>
      <c r="D85" s="72"/>
      <c r="E85" s="235"/>
      <c r="F85" s="72"/>
      <c r="G85" s="62">
        <f t="shared" ref="G85:Q85" si="35">IF(G$4="","",ABS(G19/G$4))</f>
        <v>1.0015498909721811E-2</v>
      </c>
      <c r="H85" s="62">
        <f t="shared" si="35"/>
        <v>8.8995979949669912E-3</v>
      </c>
      <c r="I85" s="62">
        <f t="shared" si="35"/>
        <v>1.374881155269053E-2</v>
      </c>
      <c r="J85" s="62">
        <f t="shared" si="35"/>
        <v>2.8171460699513715E-3</v>
      </c>
      <c r="K85" s="62">
        <f t="shared" si="35"/>
        <v>7.4539482353859895E-3</v>
      </c>
      <c r="L85" s="62">
        <f t="shared" si="35"/>
        <v>2.5871315916117701E-2</v>
      </c>
      <c r="M85" s="62">
        <f t="shared" si="35"/>
        <v>1.7907407713635286E-2</v>
      </c>
      <c r="N85" s="62">
        <f t="shared" si="35"/>
        <v>1.4839077967854089E-2</v>
      </c>
      <c r="O85" s="62">
        <f t="shared" si="35"/>
        <v>2.6153237075447342E-2</v>
      </c>
      <c r="P85" s="62">
        <f t="shared" si="35"/>
        <v>2.3474745823576827E-2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0.03</v>
      </c>
      <c r="E88" s="238"/>
      <c r="G88" s="109">
        <f>Data!C65</f>
        <v>0.03</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155511.44565000001</v>
      </c>
      <c r="E89" s="238"/>
      <c r="G89" s="71">
        <f t="shared" ref="G89:Q89" si="36">IF(G$4="","",G88*Common_Shares/scaling_factor)</f>
        <v>155511.44565000001</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0.62308223812580676</v>
      </c>
      <c r="E90" s="238"/>
      <c r="G90" s="152">
        <f t="shared" ref="G90:Q90" si="37">IF(G$4="","",G88/(G19*scaling_factor/Common_Shares))</f>
        <v>0.84139720779109406</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0.1</v>
      </c>
      <c r="E91" s="238"/>
      <c r="G91" s="297"/>
      <c r="H91" s="297"/>
      <c r="I91" s="297"/>
      <c r="J91" s="297"/>
      <c r="K91" s="297"/>
      <c r="L91" s="297"/>
      <c r="M91" s="297"/>
      <c r="N91" s="297"/>
      <c r="O91" s="297"/>
      <c r="P91" s="297"/>
      <c r="Q91" s="297"/>
    </row>
    <row r="92" spans="1:17" ht="15.75" customHeight="1">
      <c r="A92" s="10"/>
      <c r="B92" s="2" t="s">
        <v>330</v>
      </c>
      <c r="C92" s="22">
        <f>(C88*(1-dividend_tax_rate))/Market_Price</f>
        <v>5.7446808510638298E-2</v>
      </c>
      <c r="E92" s="238"/>
      <c r="G92" s="22">
        <f t="shared" ref="G92:Q92" si="38">IF(G$4="","",(G88*(1-dividend_tax_rate))/Market_Price)</f>
        <v>5.7446808510638298E-2</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-8.0269841800669095E-2</v>
      </c>
      <c r="H95" s="6">
        <f t="shared" si="39"/>
        <v>7.6535808174054587E-2</v>
      </c>
      <c r="I95" s="6">
        <f t="shared" si="39"/>
        <v>-0.20180584906318932</v>
      </c>
      <c r="J95" s="6">
        <f t="shared" si="39"/>
        <v>-8.8277652777845605E-2</v>
      </c>
      <c r="K95" s="6">
        <f t="shared" si="39"/>
        <v>-5.8060082534733159E-2</v>
      </c>
      <c r="L95" s="6">
        <f t="shared" si="39"/>
        <v>0.1989820250359664</v>
      </c>
      <c r="M95" s="6">
        <f t="shared" si="39"/>
        <v>0.20410970709189624</v>
      </c>
      <c r="N95" s="6">
        <f t="shared" si="39"/>
        <v>0.15994503455941911</v>
      </c>
      <c r="O95" s="6">
        <f t="shared" si="39"/>
        <v>6.0587633805094745</v>
      </c>
      <c r="P95" s="6" t="str">
        <f t="shared" si="39"/>
        <v/>
      </c>
      <c r="Q95" s="6" t="str">
        <f t="shared" si="39"/>
        <v/>
      </c>
    </row>
    <row r="96" spans="1:17" ht="15.75" customHeight="1">
      <c r="A96" s="10"/>
      <c r="B96" s="67" t="s">
        <v>137</v>
      </c>
      <c r="C96" s="74">
        <f>C11/G11-1</f>
        <v>-7.4853111750415424E-2</v>
      </c>
      <c r="D96" s="26"/>
      <c r="E96" s="235"/>
      <c r="F96" s="26"/>
      <c r="G96" s="6">
        <f t="shared" ref="G96:Q96" si="40">IF(H5="","",G11/H11-1)</f>
        <v>0.10638333467014371</v>
      </c>
      <c r="H96" s="6">
        <f t="shared" si="40"/>
        <v>-5.1773847711670085</v>
      </c>
      <c r="I96" s="6">
        <f t="shared" si="40"/>
        <v>-1.2913785828145734</v>
      </c>
      <c r="J96" s="6">
        <f t="shared" si="40"/>
        <v>-0.11772887072178551</v>
      </c>
      <c r="K96" s="6">
        <f t="shared" si="40"/>
        <v>-0.70664044157547878</v>
      </c>
      <c r="L96" s="6">
        <f t="shared" si="40"/>
        <v>0.59665623258758349</v>
      </c>
      <c r="M96" s="6">
        <f t="shared" si="40"/>
        <v>0.26404310004683174</v>
      </c>
      <c r="N96" s="6">
        <f t="shared" si="40"/>
        <v>-0.22071387313966817</v>
      </c>
      <c r="O96" s="6">
        <f t="shared" si="40"/>
        <v>7.9526369951119111</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12590930</v>
      </c>
      <c r="D100" s="25"/>
      <c r="E100" s="239"/>
      <c r="F100" s="25"/>
      <c r="G100" s="274">
        <f t="shared" ref="G100:Q100" si="41">IF(G$4="","",G104+G103)</f>
        <v>12590930</v>
      </c>
      <c r="H100" s="274">
        <f t="shared" si="41"/>
        <v>13257673</v>
      </c>
      <c r="I100" s="274">
        <f t="shared" si="41"/>
        <v>13598861</v>
      </c>
      <c r="J100" s="274">
        <f t="shared" si="41"/>
        <v>16658980</v>
      </c>
      <c r="K100" s="274">
        <f t="shared" si="41"/>
        <v>17022269</v>
      </c>
      <c r="L100" s="274">
        <f t="shared" si="41"/>
        <v>17390782</v>
      </c>
      <c r="M100" s="274">
        <f t="shared" si="41"/>
        <v>13237469</v>
      </c>
      <c r="N100" s="274">
        <f t="shared" si="41"/>
        <v>11470110</v>
      </c>
      <c r="O100" s="274">
        <f t="shared" si="41"/>
        <v>10043776</v>
      </c>
      <c r="P100" s="274">
        <f t="shared" si="41"/>
        <v>1301225</v>
      </c>
      <c r="Q100" s="274" t="str">
        <f t="shared" si="41"/>
        <v/>
      </c>
    </row>
    <row r="101" spans="1:17" ht="15.75" customHeight="1">
      <c r="A101" s="10"/>
      <c r="B101" s="90" t="s">
        <v>179</v>
      </c>
      <c r="C101" s="285">
        <f>BS!C4</f>
        <v>2009997</v>
      </c>
      <c r="D101" s="86"/>
      <c r="E101" s="240"/>
      <c r="F101" s="86"/>
      <c r="G101" s="286">
        <f>IF(G$4="","",Data!D77)</f>
        <v>978919</v>
      </c>
      <c r="H101" s="286">
        <f>IF(H$4="","",Data!E77)</f>
        <v>862084</v>
      </c>
      <c r="I101" s="286">
        <f>IF(I$4="","",Data!F77)</f>
        <v>1165003</v>
      </c>
      <c r="J101" s="286">
        <f>IF(J$4="","",Data!G77)</f>
        <v>1702963</v>
      </c>
      <c r="K101" s="286">
        <f>IF(K$4="","",Data!H77)</f>
        <v>1407523</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4865388</v>
      </c>
      <c r="D102" s="86"/>
      <c r="E102" s="240"/>
      <c r="F102" s="86"/>
      <c r="G102" s="286">
        <f>IF(G$4="","",Data!D78)</f>
        <v>4704713</v>
      </c>
      <c r="H102" s="286">
        <f>IF(H$4="","",Data!E78)</f>
        <v>6071858</v>
      </c>
      <c r="I102" s="286">
        <f>IF(I$4="","",Data!F78)</f>
        <v>7578037</v>
      </c>
      <c r="J102" s="286">
        <f>IF(J$4="","",Data!G78)</f>
        <v>5869541</v>
      </c>
      <c r="K102" s="286">
        <f>IF(K$4="","",Data!H78)</f>
        <v>8021487</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3613572</v>
      </c>
      <c r="D103" s="25"/>
      <c r="E103" s="239"/>
      <c r="F103" s="25"/>
      <c r="G103" s="274">
        <f>Data!C79</f>
        <v>3613572</v>
      </c>
      <c r="H103" s="274">
        <f>Data!D79</f>
        <v>4647092</v>
      </c>
      <c r="I103" s="274">
        <f>Data!E79</f>
        <v>5404941</v>
      </c>
      <c r="J103" s="274">
        <f>Data!F79</f>
        <v>8456784</v>
      </c>
      <c r="K103" s="274">
        <f>Data!G79</f>
        <v>9146239</v>
      </c>
      <c r="L103" s="274">
        <f>Data!H79</f>
        <v>9684704</v>
      </c>
      <c r="M103" s="274">
        <f>Data!I79</f>
        <v>6201932</v>
      </c>
      <c r="N103" s="274">
        <f>Data!J79</f>
        <v>5028581</v>
      </c>
      <c r="O103" s="274">
        <f>Data!K79</f>
        <v>3910265</v>
      </c>
      <c r="P103" s="274">
        <f>Data!L79</f>
        <v>425087</v>
      </c>
      <c r="Q103" s="274" t="str">
        <f>Data!M79</f>
        <v/>
      </c>
    </row>
    <row r="104" spans="1:17" ht="15.75" customHeight="1">
      <c r="A104" s="10"/>
      <c r="B104" s="25" t="s">
        <v>28</v>
      </c>
      <c r="C104" s="284">
        <f>BS!G27</f>
        <v>8977358</v>
      </c>
      <c r="D104" s="25"/>
      <c r="E104" s="239"/>
      <c r="F104" s="25"/>
      <c r="G104" s="274">
        <f>Data!C80</f>
        <v>8977358</v>
      </c>
      <c r="H104" s="274">
        <f>Data!D80</f>
        <v>8610581</v>
      </c>
      <c r="I104" s="274">
        <f>Data!E80</f>
        <v>8193920</v>
      </c>
      <c r="J104" s="274">
        <f>Data!F80</f>
        <v>8202196</v>
      </c>
      <c r="K104" s="274">
        <f>Data!G80</f>
        <v>7876030</v>
      </c>
      <c r="L104" s="274">
        <f>Data!H80</f>
        <v>7706078</v>
      </c>
      <c r="M104" s="274">
        <f>Data!I80</f>
        <v>7035537</v>
      </c>
      <c r="N104" s="274">
        <f>Data!J80</f>
        <v>6441529</v>
      </c>
      <c r="O104" s="274">
        <f>Data!K80</f>
        <v>6133511</v>
      </c>
      <c r="P104" s="274">
        <f>Data!L80</f>
        <v>876138</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0.10891976735786749</v>
      </c>
      <c r="D107" s="25"/>
      <c r="E107" s="239"/>
      <c r="F107" s="25"/>
      <c r="G107" s="91">
        <f t="shared" ref="G107:Q107" si="42">IF(G$4="","",G101/G$4)</f>
        <v>5.304666113541278E-2</v>
      </c>
      <c r="H107" s="91">
        <f t="shared" si="42"/>
        <v>4.2965642248594622E-2</v>
      </c>
      <c r="I107" s="91">
        <f t="shared" si="42"/>
        <v>6.2506797261361602E-2</v>
      </c>
      <c r="J107" s="91">
        <f t="shared" si="42"/>
        <v>7.2931300263145107E-2</v>
      </c>
      <c r="K107" s="91">
        <f t="shared" si="42"/>
        <v>5.4957484296375113E-2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0.26365060697392095</v>
      </c>
      <c r="D108" s="25"/>
      <c r="E108" s="239"/>
      <c r="F108" s="25"/>
      <c r="G108" s="91">
        <f t="shared" ref="G108:Q108" si="43">IF(G$4="","",G102/G$4)</f>
        <v>0.25494378620740965</v>
      </c>
      <c r="H108" s="91">
        <f t="shared" si="43"/>
        <v>0.30261700554965321</v>
      </c>
      <c r="I108" s="91">
        <f t="shared" si="43"/>
        <v>0.40659021684759344</v>
      </c>
      <c r="J108" s="91">
        <f t="shared" si="43"/>
        <v>0.25136967572274971</v>
      </c>
      <c r="K108" s="91">
        <f t="shared" si="43"/>
        <v>0.31320322711321741</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2.3795513255742011</v>
      </c>
      <c r="H112" s="254">
        <f>IF(H$4="","",Data!D$22/Data!D15)</f>
        <v>6.7649123225385921</v>
      </c>
      <c r="I112" s="254">
        <f>IF(I$4="","",Data!E$22/Data!E15)</f>
        <v>26.601019573415272</v>
      </c>
      <c r="J112" s="254">
        <f>IF(J$4="","",Data!F$22/Data!F15)</f>
        <v>4.8896169046320077</v>
      </c>
      <c r="K112" s="254">
        <f>IF(K$4="","",Data!G$22/Data!G15)</f>
        <v>16.269338333439268</v>
      </c>
      <c r="L112" s="254">
        <f>IF(L$4="","",Data!H$22/Data!H15)</f>
        <v>2.0768794535804798</v>
      </c>
      <c r="M112" s="254">
        <f>IF(M$4="","",Data!I$22/Data!I15)</f>
        <v>-1.0989598747713472E-2</v>
      </c>
      <c r="N112" s="254">
        <f>IF(N$4="","",Data!J$22/Data!J15)</f>
        <v>-0.48113398484936104</v>
      </c>
      <c r="O112" s="254">
        <f>IF(O$4="","",Data!K$22/Data!K15)</f>
        <v>-2.005403687779906E-2</v>
      </c>
      <c r="P112" s="254">
        <f>IF(P$4="","",Data!L$22/Data!L15)</f>
        <v>2.3358991628981043</v>
      </c>
      <c r="Q112" s="254" t="str">
        <f>IF(Q$4="","",Data!M$22/Data!M15)</f>
        <v/>
      </c>
    </row>
    <row r="113" spans="1:17" ht="15.75" customHeight="1">
      <c r="A113" s="10"/>
      <c r="B113" s="2" t="s">
        <v>304</v>
      </c>
      <c r="C113" s="151"/>
      <c r="E113" s="238"/>
      <c r="G113" s="254">
        <f>IF(G$4="","",Data!C$22/G19)</f>
        <v>6.4092597069164698</v>
      </c>
      <c r="H113" s="254">
        <f>IF(H$4="","",Data!D$22/H19)</f>
        <v>19.063868903239346</v>
      </c>
      <c r="I113" s="254">
        <f>IF(I$4="","",Data!E$22/I19)</f>
        <v>-10.405566269766734</v>
      </c>
      <c r="J113" s="254">
        <f>IF(J$4="","",Data!F$22/J19)</f>
        <v>27.930517386878648</v>
      </c>
      <c r="K113" s="254">
        <f>IF(K$4="","",Data!G$22/K19)</f>
        <v>26.816148430624818</v>
      </c>
      <c r="L113" s="254">
        <f>IF(L$4="","",Data!H$22/L19)</f>
        <v>2.5979187842515654</v>
      </c>
      <c r="M113" s="254">
        <f>IF(M$4="","",Data!I$22/M19)</f>
        <v>-1.5178789095108756E-2</v>
      </c>
      <c r="N113" s="254">
        <f>IF(N$4="","",Data!J$22/N19)</f>
        <v>-0.71451932056864986</v>
      </c>
      <c r="O113" s="254">
        <f>IF(O$4="","",Data!K$22/O19)</f>
        <v>-2.6900813406368778E-2</v>
      </c>
      <c r="P113" s="254">
        <f>IF(P$4="","",Data!L$22/P19)</f>
        <v>2.697644269945922</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1.9127481481925439E-2</v>
      </c>
      <c r="E116" s="238"/>
      <c r="G116" s="22">
        <f t="shared" ref="G116:Q116" si="44">IF(G4="","",G77)</f>
        <v>2.0675075196021478E-2</v>
      </c>
      <c r="H116" s="22">
        <f t="shared" si="44"/>
        <v>1.7187072133989765E-2</v>
      </c>
      <c r="I116" s="22">
        <f t="shared" si="44"/>
        <v>-4.4292062147632903E-3</v>
      </c>
      <c r="J116" s="22">
        <f t="shared" si="44"/>
        <v>1.2133240747371106E-2</v>
      </c>
      <c r="K116" s="22">
        <f t="shared" si="44"/>
        <v>1.2538262180985802E-2</v>
      </c>
      <c r="L116" s="22">
        <f t="shared" si="44"/>
        <v>4.02587517766336E-2</v>
      </c>
      <c r="M116" s="22">
        <f t="shared" si="44"/>
        <v>3.0231629542660912E-2</v>
      </c>
      <c r="N116" s="22">
        <f t="shared" si="44"/>
        <v>2.8798225782155268E-2</v>
      </c>
      <c r="O116" s="22">
        <f t="shared" si="44"/>
        <v>4.2865332576514571E-2</v>
      </c>
      <c r="P116" s="22">
        <f t="shared" si="44"/>
        <v>3.3797443149953005E-2</v>
      </c>
      <c r="Q116" s="22" t="str">
        <f t="shared" si="44"/>
        <v/>
      </c>
    </row>
    <row r="117" spans="1:17" ht="15.75" customHeight="1">
      <c r="B117" s="7" t="s">
        <v>80</v>
      </c>
      <c r="C117" s="40">
        <f>C4/C100</f>
        <v>1.4656521003611329</v>
      </c>
      <c r="E117" s="238"/>
      <c r="G117" s="40">
        <f t="shared" ref="G117:Q117" si="45">IF(G4="","",G4/G100)</f>
        <v>1.4656521003611329</v>
      </c>
      <c r="H117" s="40">
        <f t="shared" si="45"/>
        <v>1.5134252443848932</v>
      </c>
      <c r="I117" s="40">
        <f t="shared" si="45"/>
        <v>1.3705575047792606</v>
      </c>
      <c r="J117" s="40">
        <f t="shared" si="45"/>
        <v>1.4016605458437432</v>
      </c>
      <c r="K117" s="40">
        <f t="shared" si="45"/>
        <v>1.5045658719175452</v>
      </c>
      <c r="L117" s="40">
        <f t="shared" si="45"/>
        <v>1.5634584459744247</v>
      </c>
      <c r="M117" s="40">
        <f t="shared" si="45"/>
        <v>1.7131201591482481</v>
      </c>
      <c r="N117" s="40">
        <f t="shared" si="45"/>
        <v>1.6419470257913831</v>
      </c>
      <c r="O117" s="40">
        <f t="shared" si="45"/>
        <v>1.6165617393299094</v>
      </c>
      <c r="P117" s="40">
        <f t="shared" si="45"/>
        <v>1.7676988991142961</v>
      </c>
      <c r="Q117" s="40" t="str">
        <f t="shared" si="45"/>
        <v/>
      </c>
    </row>
    <row r="118" spans="1:17" ht="15.75" customHeight="1">
      <c r="B118" s="7" t="s">
        <v>88</v>
      </c>
      <c r="C118" s="15">
        <f>C100/C104</f>
        <v>1.4025206525126881</v>
      </c>
      <c r="D118" s="11"/>
      <c r="E118" s="242"/>
      <c r="F118" s="11"/>
      <c r="G118" s="15">
        <f t="shared" ref="G118:Q118" si="46">IF(G$4="","",G100/G104)</f>
        <v>1.4025206525126881</v>
      </c>
      <c r="H118" s="15">
        <f t="shared" si="46"/>
        <v>1.5396955211268555</v>
      </c>
      <c r="I118" s="15">
        <f t="shared" si="46"/>
        <v>1.6596282365461219</v>
      </c>
      <c r="J118" s="15">
        <f t="shared" si="46"/>
        <v>2.0310390046763085</v>
      </c>
      <c r="K118" s="15">
        <f t="shared" si="46"/>
        <v>2.1612752871687895</v>
      </c>
      <c r="L118" s="15">
        <f t="shared" si="46"/>
        <v>2.2567617405377938</v>
      </c>
      <c r="M118" s="15">
        <f t="shared" si="46"/>
        <v>1.8815150854867226</v>
      </c>
      <c r="N118" s="15">
        <f t="shared" si="46"/>
        <v>1.7806502151895924</v>
      </c>
      <c r="O118" s="15">
        <f t="shared" si="46"/>
        <v>1.6375247390931555</v>
      </c>
      <c r="P118" s="15">
        <f t="shared" si="46"/>
        <v>1.4851826995290696</v>
      </c>
      <c r="Q118" s="15" t="str">
        <f t="shared" si="46"/>
        <v/>
      </c>
    </row>
    <row r="119" spans="1:17" ht="15.75" customHeight="1">
      <c r="A119" s="10"/>
      <c r="B119" s="67" t="s">
        <v>191</v>
      </c>
      <c r="C119" s="99">
        <f>C11/C104</f>
        <v>3.931859133292645E-2</v>
      </c>
      <c r="D119" s="100"/>
      <c r="E119" s="241"/>
      <c r="F119" s="100"/>
      <c r="G119" s="99">
        <f t="shared" ref="G119:Q119" si="47">IF(G$4="","",G11/G104)</f>
        <v>4.2499836331200143E-2</v>
      </c>
      <c r="H119" s="99">
        <f t="shared" si="47"/>
        <v>4.0049557314566948E-2</v>
      </c>
      <c r="I119" s="99">
        <f t="shared" si="47"/>
        <v>-1.0074743034358246E-2</v>
      </c>
      <c r="J119" s="99">
        <f t="shared" si="47"/>
        <v>3.45412402681783E-2</v>
      </c>
      <c r="K119" s="99">
        <f t="shared" si="47"/>
        <v>4.0771683195721706E-2</v>
      </c>
      <c r="L119" s="99">
        <f t="shared" si="47"/>
        <v>0.14204709581190328</v>
      </c>
      <c r="M119" s="99">
        <f t="shared" si="47"/>
        <v>9.7444445249879288E-2</v>
      </c>
      <c r="N119" s="99">
        <f t="shared" si="47"/>
        <v>8.4198332414555613E-2</v>
      </c>
      <c r="O119" s="99">
        <f t="shared" si="47"/>
        <v>0.11347138694297605</v>
      </c>
      <c r="P119" s="99">
        <f t="shared" si="47"/>
        <v>8.873031417425109E-2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5.3196550167014571E-2</v>
      </c>
      <c r="D123" s="26"/>
      <c r="E123" s="235"/>
      <c r="F123" s="26"/>
      <c r="G123" s="159">
        <f t="shared" ref="G123:Q123" si="48">IF(G$4="","",G14*$C$3/Common_Shares*Exchange_Rate)</f>
        <v>3.9393790746765585E-2</v>
      </c>
      <c r="H123" s="159">
        <f t="shared" si="48"/>
        <v>3.8059681344434125E-2</v>
      </c>
      <c r="I123" s="159">
        <f t="shared" si="48"/>
        <v>-5.4617452243018554E-2</v>
      </c>
      <c r="J123" s="159">
        <f t="shared" si="48"/>
        <v>1.402061626481411E-2</v>
      </c>
      <c r="K123" s="159">
        <f t="shared" si="48"/>
        <v>4.0689420975925539E-2</v>
      </c>
      <c r="L123" s="159">
        <f t="shared" si="48"/>
        <v>0.14993066066819019</v>
      </c>
      <c r="M123" s="159">
        <f t="shared" si="48"/>
        <v>8.655496496865718E-2</v>
      </c>
      <c r="N123" s="159">
        <f t="shared" si="48"/>
        <v>5.9566231146130695E-2</v>
      </c>
      <c r="O123" s="159">
        <f t="shared" si="48"/>
        <v>9.0506807540392892E-2</v>
      </c>
      <c r="P123" s="159">
        <f t="shared" si="48"/>
        <v>1.1508747721452014E-2</v>
      </c>
      <c r="Q123" s="159" t="str">
        <f t="shared" si="48"/>
        <v/>
      </c>
    </row>
    <row r="124" spans="1:17" ht="15.75" customHeight="1">
      <c r="A124" s="10"/>
      <c r="B124" s="26" t="s">
        <v>226</v>
      </c>
      <c r="C124" s="74">
        <f>C19*Exchange_Rate*$C$3/(Market_Price*Common_Shares)</f>
        <v>0.11318414929152036</v>
      </c>
      <c r="D124" s="26"/>
      <c r="E124" s="235"/>
      <c r="F124" s="26"/>
      <c r="G124" s="74">
        <f t="shared" ref="G124" si="49">IF(G$4="","",G123/Market_Price)</f>
        <v>8.3816576056948061E-2</v>
      </c>
      <c r="H124" s="74">
        <f t="shared" ref="H124" si="50">IF(H$4="","",H123/Market_Price)</f>
        <v>8.0978045413689637E-2</v>
      </c>
      <c r="I124" s="74">
        <f t="shared" ref="I124" si="51">IF(I$4="","",I123/Market_Price)</f>
        <v>-0.11620734519791183</v>
      </c>
      <c r="J124" s="74">
        <f t="shared" ref="J124" si="52">IF(J$4="","",J123/Market_Price)</f>
        <v>2.9831098435774701E-2</v>
      </c>
      <c r="K124" s="74">
        <f t="shared" ref="K124" si="53">IF(K$4="","",K123/Market_Price)</f>
        <v>8.657323611899051E-2</v>
      </c>
      <c r="L124" s="74">
        <f t="shared" ref="L124" si="54">IF(L$4="","",L123/Market_Price)</f>
        <v>0.31900140567700042</v>
      </c>
      <c r="M124" s="74">
        <f t="shared" ref="M124" si="55">IF(M$4="","",M123/Market_Price)</f>
        <v>0.18415949993331315</v>
      </c>
      <c r="N124" s="74">
        <f t="shared" ref="N124" si="56">IF(N$4="","",N123/Market_Price)</f>
        <v>0.12673666201304404</v>
      </c>
      <c r="O124" s="74">
        <f t="shared" ref="O124" si="57">IF(O$4="","",O123/Market_Price)</f>
        <v>0.19256767561785723</v>
      </c>
      <c r="P124" s="74">
        <f t="shared" ref="P124" si="58">IF(P$4="","",P123/Market_Price)</f>
        <v>2.4486697279685138E-2</v>
      </c>
      <c r="Q124" s="74" t="str">
        <f t="shared" ref="Q124" si="59">IF(Q$4="","",Q123/Market_Price)</f>
        <v/>
      </c>
    </row>
    <row r="125" spans="1:17" ht="15.75" customHeight="1">
      <c r="B125" s="2" t="s">
        <v>306</v>
      </c>
      <c r="C125" s="151"/>
      <c r="G125" s="22">
        <f>IF(G$4="","",(Data!C47*$C$3)/(Market_Price*Common_Shares))</f>
        <v>0.2043314060107288</v>
      </c>
      <c r="H125" s="22">
        <f>IF(H$4="","",(Data!D47*$C$3)/(Market_Price*Common_Shares))</f>
        <v>0.20654209367172766</v>
      </c>
      <c r="I125" s="22">
        <f>IF(I$4="","",(Data!E47*$C$3)/(Market_Price*Common_Shares))</f>
        <v>4.1142760817528018E-2</v>
      </c>
      <c r="J125" s="22">
        <f>IF(J$4="","",(Data!F47*$C$3)/(Market_Price*Common_Shares))</f>
        <v>0.15422891608960912</v>
      </c>
      <c r="K125" s="22">
        <f>IF(K$4="","",(Data!G47*$C$3)/(Market_Price*Common_Shares))</f>
        <v>0.12915242840882066</v>
      </c>
      <c r="L125" s="22">
        <f>IF(L$4="","",(Data!H47*$C$3)/(Market_Price*Common_Shares))</f>
        <v>0.36115970660778424</v>
      </c>
      <c r="M125" s="22">
        <f>IF(M$4="","",(Data!I47*$C$3)/(Market_Price*Common_Shares))</f>
        <v>0.23021935479545241</v>
      </c>
      <c r="N125" s="22">
        <f>IF(N$4="","",(Data!J47*$C$3)/(Market_Price*Common_Shares))</f>
        <v>0.17035018962489562</v>
      </c>
      <c r="O125" s="22">
        <f>IF(O$4="","",(Data!K47*$C$3)/(Market_Price*Common_Shares))</f>
        <v>0.23379725385615188</v>
      </c>
      <c r="P125" s="22">
        <f>IF(P$4="","",(Data!L47*$C$3)/(Market_Price*Common_Shares))</f>
        <v>2.5594886959630199E-2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249584.14176236014</v>
      </c>
      <c r="D4" t="str">
        <f>Reporting_currency</f>
        <v>CNY</v>
      </c>
      <c r="E4" s="135" t="s">
        <v>434</v>
      </c>
      <c r="F4" s="279">
        <f>-BS!G31</f>
        <v>-1457859</v>
      </c>
      <c r="G4" t="str">
        <f>Reporting_currency</f>
        <v>CNY</v>
      </c>
      <c r="H4" s="312" t="s">
        <v>394</v>
      </c>
      <c r="I4" s="309">
        <f>Normalized_FCF!C4</f>
        <v>18453923</v>
      </c>
      <c r="J4" s="309"/>
    </row>
    <row r="5" spans="2:15">
      <c r="B5" s="187" t="s">
        <v>105</v>
      </c>
      <c r="C5" s="188">
        <f>Equity_Cost</f>
        <v>7.2499999999999995E-2</v>
      </c>
      <c r="E5" s="135" t="s">
        <v>435</v>
      </c>
      <c r="F5" s="279">
        <f>BS!D66</f>
        <v>1177571.1638700066</v>
      </c>
      <c r="G5" t="str">
        <f>Reporting_currency</f>
        <v>CNY</v>
      </c>
      <c r="H5" s="312" t="s">
        <v>396</v>
      </c>
      <c r="I5" s="309">
        <f>Normalized_FCF!C7</f>
        <v>-751646</v>
      </c>
      <c r="J5" s="309"/>
    </row>
    <row r="6" spans="2:15" ht="13.25" customHeight="1">
      <c r="B6" s="136" t="s">
        <v>194</v>
      </c>
      <c r="C6" s="287">
        <f>(C4*(1+Terminal_Growth))/(Equity_Cost-Terminal_Growth)</f>
        <v>3442539.8863773816</v>
      </c>
      <c r="D6" t="str">
        <f>Reporting_currency</f>
        <v>CNY</v>
      </c>
      <c r="E6" s="187" t="s">
        <v>436</v>
      </c>
      <c r="F6" s="288">
        <f>BS!H42</f>
        <v>1649.3999999999999</v>
      </c>
      <c r="G6" t="str">
        <f>Reporting_currency</f>
        <v>CNY</v>
      </c>
      <c r="H6" s="312" t="s">
        <v>418</v>
      </c>
      <c r="I6" s="309">
        <f>I7+I8</f>
        <v>-57727.341638700062</v>
      </c>
      <c r="J6" s="309"/>
      <c r="N6" s="135"/>
    </row>
    <row r="7" spans="2:15" ht="12.75" customHeight="1">
      <c r="B7" s="322" t="s">
        <v>433</v>
      </c>
      <c r="C7" s="279">
        <f>F7</f>
        <v>-278638.43612999341</v>
      </c>
      <c r="E7" s="140" t="s">
        <v>427</v>
      </c>
      <c r="F7" s="287">
        <f>SUM(F4:F6)</f>
        <v>-278638.43612999341</v>
      </c>
      <c r="G7" t="str">
        <f>Reporting_currency</f>
        <v>CNY</v>
      </c>
      <c r="H7" s="316" t="s">
        <v>419</v>
      </c>
      <c r="I7" s="317">
        <f>Normalized_FCF!C9</f>
        <v>0</v>
      </c>
      <c r="J7" s="317"/>
      <c r="N7" s="308"/>
      <c r="O7" s="308"/>
    </row>
    <row r="8" spans="2:15" ht="13.15">
      <c r="B8" s="136" t="s">
        <v>429</v>
      </c>
      <c r="C8" s="287">
        <f>C6+C7</f>
        <v>3163901.4502473883</v>
      </c>
      <c r="D8" t="str">
        <f>Reporting_currency</f>
        <v>CNY</v>
      </c>
      <c r="E8" s="140" t="s">
        <v>467</v>
      </c>
      <c r="F8" s="108">
        <f>FV_adjustments*scaling_factor/Common_Shares*Exchange_Rate</f>
        <v>-5.938920414327014E-2</v>
      </c>
      <c r="G8" s="298" t="str">
        <f>Market_currency</f>
        <v>HKD</v>
      </c>
      <c r="H8" s="318" t="str">
        <f>Normalized_FCF!B10</f>
        <v>Net Interest Income</v>
      </c>
      <c r="I8" s="317">
        <f>Normalized_FCF!C10</f>
        <v>-57727.341638700062</v>
      </c>
      <c r="J8" s="317"/>
      <c r="N8" s="308"/>
      <c r="O8" s="308"/>
    </row>
    <row r="9" spans="2:15" ht="13.15" thickBot="1">
      <c r="B9" s="189" t="str">
        <f>"*"&amp;Thesis!E15</f>
        <v>*CNY/HKD</v>
      </c>
      <c r="C9" s="190">
        <f>Exchange_Rate</f>
        <v>1.10486085128784</v>
      </c>
      <c r="D9" t="str">
        <f>Thesis!E15</f>
        <v>CNY/HKD</v>
      </c>
      <c r="F9" s="326"/>
      <c r="H9" s="312" t="str">
        <f>Normalized_FCF!B79</f>
        <v>NCI’s Share of Profits</v>
      </c>
      <c r="I9" s="144">
        <f>Normalized_FCF!C79</f>
        <v>8.2089109595685013E-4</v>
      </c>
      <c r="J9" s="310"/>
      <c r="N9" s="308"/>
      <c r="O9" s="308"/>
    </row>
    <row r="10" spans="2:15" ht="13.5" thickTop="1">
      <c r="B10" s="107" t="s">
        <v>430</v>
      </c>
      <c r="C10" s="287">
        <f>C8*Exchange_Rate</f>
        <v>3495670.8497111606</v>
      </c>
      <c r="D10" t="str">
        <f>Market_currency</f>
        <v>HKD</v>
      </c>
      <c r="H10" s="312" t="s">
        <v>398</v>
      </c>
      <c r="I10" s="310">
        <f>Normalized_FCF!C41</f>
        <v>0.25</v>
      </c>
      <c r="N10" s="308"/>
      <c r="O10" s="308"/>
    </row>
    <row r="11" spans="2:15" ht="13.15">
      <c r="B11" s="136" t="s">
        <v>428</v>
      </c>
      <c r="C11" s="108">
        <f>(C10*scaling_factor)/Common_Shares</f>
        <v>0.67435631540175844</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v>
      </c>
      <c r="E15" s="312" t="str">
        <f>IF(F14="II","Change year","Terminal Year")</f>
        <v>Terminal Year</v>
      </c>
      <c r="F15" s="314">
        <f>IF(F14="II",_xlfn.CEILING.MATH(C15/2),C15+1)</f>
        <v>4</v>
      </c>
      <c r="H15" s="97" t="s">
        <v>432</v>
      </c>
      <c r="I15" s="126">
        <f>Terminal_Growth</f>
        <v>0</v>
      </c>
      <c r="J15" s="126"/>
    </row>
    <row r="16" spans="2:15" ht="13.25" customHeight="1">
      <c r="B16" s="114" t="s">
        <v>425</v>
      </c>
      <c r="C16" s="147">
        <f>Scenarios!C46</f>
        <v>-1.18616219589511E-2</v>
      </c>
      <c r="E16" s="312" t="s">
        <v>401</v>
      </c>
      <c r="F16" s="315">
        <f>Scenarios!C41</f>
        <v>-1.18616219589511E-2</v>
      </c>
    </row>
    <row r="17" spans="1:21" ht="13.25" customHeight="1">
      <c r="B17" s="312" t="s">
        <v>395</v>
      </c>
      <c r="C17" s="310">
        <f>Normalized_FCF!C32</f>
        <v>0.93701337043131272</v>
      </c>
      <c r="E17" s="312" t="s">
        <v>402</v>
      </c>
      <c r="F17" s="315">
        <f>Scenarios!C40</f>
        <v>0.93701337043131272</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0.64606360579556732</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18235029.541714408</v>
      </c>
      <c r="D21" s="303">
        <f t="shared" ref="D21:D50" si="1">IF(A21="",0,IF(A21="I",$C$16,$F$16))</f>
        <v>-1.18616219589511E-2</v>
      </c>
      <c r="E21" s="303">
        <f>$C$17</f>
        <v>0.93701337043131272</v>
      </c>
      <c r="F21" s="281">
        <f>I5*(1+D21)</f>
        <v>-742730.25930104218</v>
      </c>
      <c r="G21" s="281">
        <f>C21*(1-E21)+F21+$I$6</f>
        <v>348105.44997829251</v>
      </c>
      <c r="H21" s="303">
        <f t="shared" ref="H21:H50" si="2">IF(A21="",0%,IF(A21="I",$C$18,$F$18))</f>
        <v>0</v>
      </c>
      <c r="I21" s="281">
        <f>(G21*(1-$I$10)+C21*(H21-$I$9))</f>
        <v>246110.11409841591</v>
      </c>
      <c r="J21" s="303">
        <f>I21/C4-1</f>
        <v>-1.3919264418858823E-2</v>
      </c>
      <c r="K21" s="119">
        <f t="shared" ref="K21:K50" si="3">IF($C$15&lt;B21,0,1/(1+Equity_Cost)^B21)</f>
        <v>0.93240093240093236</v>
      </c>
      <c r="L21" s="281">
        <f t="shared" ref="L21:L50" si="4">I21*K21</f>
        <v>229473.29985866285</v>
      </c>
    </row>
    <row r="22" spans="1:21">
      <c r="A22" s="306" t="str">
        <f t="shared" si="0"/>
        <v>I</v>
      </c>
      <c r="B22" s="117">
        <v>2</v>
      </c>
      <c r="C22" s="281">
        <f t="shared" ref="C22:C50" si="5">IF(A22="",0,C21*(1+D22))</f>
        <v>18018732.514880285</v>
      </c>
      <c r="D22" s="303">
        <f t="shared" si="1"/>
        <v>-1.18616219589511E-2</v>
      </c>
      <c r="E22" s="303">
        <f t="shared" ref="E22:E50" si="6">IF($C$15&lt;B22,0,IF(B22&gt;=$F$15,$F$17,$C$17))</f>
        <v>0.93701337043131272</v>
      </c>
      <c r="F22" s="281">
        <f t="shared" ref="F22:F50" si="7">IF(A22="",0,F21*(1+D22))</f>
        <v>-733920.2737477395</v>
      </c>
      <c r="G22" s="281">
        <f t="shared" ref="G22:G50" si="8">IF(A22="", 0,C22*(1-E22)+F22+$I$6)</f>
        <v>343291.6148255858</v>
      </c>
      <c r="H22" s="303">
        <f t="shared" si="2"/>
        <v>0</v>
      </c>
      <c r="I22" s="281">
        <f>IF(A22="", 0,G22*(1-$I$10)+C22*(H22-$I$9))</f>
        <v>242677.29403729591</v>
      </c>
      <c r="J22" s="303">
        <f>IF(A22="", 0,I22/I21-1)</f>
        <v>-1.3948309575555484E-2</v>
      </c>
      <c r="K22" s="119">
        <f t="shared" si="3"/>
        <v>0.86937149874212816</v>
      </c>
      <c r="L22" s="281">
        <f t="shared" si="4"/>
        <v>210976.72282788806</v>
      </c>
    </row>
    <row r="23" spans="1:21">
      <c r="A23" s="306" t="str">
        <f t="shared" si="0"/>
        <v>I</v>
      </c>
      <c r="B23" s="117">
        <v>3</v>
      </c>
      <c r="C23" s="281">
        <f t="shared" si="5"/>
        <v>17805001.121609315</v>
      </c>
      <c r="D23" s="303">
        <f t="shared" si="1"/>
        <v>-1.18616219589511E-2</v>
      </c>
      <c r="E23" s="303">
        <f t="shared" si="6"/>
        <v>0.93701337043131272</v>
      </c>
      <c r="F23" s="281">
        <f t="shared" si="7"/>
        <v>-725214.7889125339</v>
      </c>
      <c r="G23" s="281">
        <f t="shared" si="8"/>
        <v>338534.87956563354</v>
      </c>
      <c r="H23" s="303">
        <f t="shared" si="2"/>
        <v>0</v>
      </c>
      <c r="I23" s="281">
        <f t="shared" ref="I23:I50" si="9">IF(A23="", 0,G23*(1-$I$10)+C23*(H23-$I$9))</f>
        <v>239285.19278999433</v>
      </c>
      <c r="J23" s="303">
        <f t="shared" ref="J23:J50" si="10">IF(A23="", 0,I23/I22-1)</f>
        <v>-1.3977827059421077E-2</v>
      </c>
      <c r="K23" s="119">
        <f t="shared" si="3"/>
        <v>0.81060279602995633</v>
      </c>
      <c r="L23" s="281">
        <f t="shared" si="4"/>
        <v>193965.24632413653</v>
      </c>
      <c r="N23" s="279"/>
      <c r="O23" s="279"/>
      <c r="P23" s="279"/>
      <c r="Q23" s="279"/>
      <c r="R23" s="279"/>
      <c r="S23" s="279"/>
      <c r="T23" s="279"/>
      <c r="U23" s="279"/>
    </row>
    <row r="24" spans="1:21">
      <c r="A24" s="306" t="str">
        <f t="shared" si="0"/>
        <v/>
      </c>
      <c r="B24" s="117">
        <v>4</v>
      </c>
      <c r="C24" s="281">
        <f t="shared" si="5"/>
        <v>0</v>
      </c>
      <c r="D24" s="303">
        <f t="shared" si="1"/>
        <v>0</v>
      </c>
      <c r="E24" s="303">
        <f t="shared" si="6"/>
        <v>0</v>
      </c>
      <c r="F24" s="281">
        <f t="shared" si="7"/>
        <v>0</v>
      </c>
      <c r="G24" s="281">
        <f t="shared" si="8"/>
        <v>0</v>
      </c>
      <c r="H24" s="303">
        <f t="shared" si="2"/>
        <v>0</v>
      </c>
      <c r="I24" s="281">
        <f t="shared" si="9"/>
        <v>0</v>
      </c>
      <c r="J24" s="303">
        <f t="shared" si="10"/>
        <v>0</v>
      </c>
      <c r="K24" s="119">
        <f t="shared" si="3"/>
        <v>0</v>
      </c>
      <c r="L24" s="281">
        <f t="shared" si="4"/>
        <v>0</v>
      </c>
      <c r="N24" s="279"/>
      <c r="O24" s="279"/>
      <c r="P24" s="279"/>
      <c r="Q24" s="279"/>
      <c r="R24" s="279"/>
      <c r="S24" s="279"/>
      <c r="T24" s="279"/>
      <c r="U24" s="279"/>
    </row>
    <row r="25" spans="1:21">
      <c r="A25" s="306" t="str">
        <f t="shared" si="0"/>
        <v/>
      </c>
      <c r="B25" s="117">
        <v>5</v>
      </c>
      <c r="C25" s="281">
        <f t="shared" si="5"/>
        <v>0</v>
      </c>
      <c r="D25" s="303">
        <f t="shared" si="1"/>
        <v>0</v>
      </c>
      <c r="E25" s="303">
        <f t="shared" si="6"/>
        <v>0</v>
      </c>
      <c r="F25" s="281">
        <f t="shared" si="7"/>
        <v>0</v>
      </c>
      <c r="G25" s="281">
        <f t="shared" si="8"/>
        <v>0</v>
      </c>
      <c r="H25" s="303">
        <f t="shared" si="2"/>
        <v>0</v>
      </c>
      <c r="I25" s="281">
        <f t="shared" si="9"/>
        <v>0</v>
      </c>
      <c r="J25" s="303">
        <f t="shared" si="10"/>
        <v>0</v>
      </c>
      <c r="K25" s="119">
        <f t="shared" si="3"/>
        <v>0</v>
      </c>
      <c r="L25" s="281">
        <f t="shared" si="4"/>
        <v>0</v>
      </c>
      <c r="N25" s="279"/>
      <c r="O25" s="279"/>
      <c r="P25" s="279"/>
      <c r="Q25" s="279"/>
      <c r="R25" s="279"/>
      <c r="S25" s="279"/>
      <c r="T25" s="279"/>
      <c r="U25" s="279"/>
    </row>
    <row r="26" spans="1:21">
      <c r="A26" s="306" t="str">
        <f t="shared" si="0"/>
        <v/>
      </c>
      <c r="B26" s="117">
        <v>6</v>
      </c>
      <c r="C26" s="281">
        <f t="shared" si="5"/>
        <v>0</v>
      </c>
      <c r="D26" s="303">
        <f t="shared" si="1"/>
        <v>0</v>
      </c>
      <c r="E26" s="303">
        <f t="shared" si="6"/>
        <v>0</v>
      </c>
      <c r="F26" s="281">
        <f t="shared" si="7"/>
        <v>0</v>
      </c>
      <c r="G26" s="281">
        <f t="shared" si="8"/>
        <v>0</v>
      </c>
      <c r="H26" s="303">
        <f t="shared" si="2"/>
        <v>0</v>
      </c>
      <c r="I26" s="281">
        <f t="shared" si="9"/>
        <v>0</v>
      </c>
      <c r="J26" s="303">
        <f t="shared" si="10"/>
        <v>0</v>
      </c>
      <c r="K26" s="119">
        <f t="shared" si="3"/>
        <v>0</v>
      </c>
      <c r="L26" s="281">
        <f t="shared" si="4"/>
        <v>0</v>
      </c>
    </row>
    <row r="27" spans="1:21">
      <c r="A27" s="306" t="str">
        <f t="shared" si="0"/>
        <v/>
      </c>
      <c r="B27" s="117">
        <v>7</v>
      </c>
      <c r="C27" s="281">
        <f t="shared" si="5"/>
        <v>0</v>
      </c>
      <c r="D27" s="303">
        <f t="shared" si="1"/>
        <v>0</v>
      </c>
      <c r="E27" s="303">
        <f t="shared" si="6"/>
        <v>0</v>
      </c>
      <c r="F27" s="281">
        <f t="shared" si="7"/>
        <v>0</v>
      </c>
      <c r="G27" s="281">
        <f t="shared" si="8"/>
        <v>0</v>
      </c>
      <c r="H27" s="303">
        <f t="shared" si="2"/>
        <v>0</v>
      </c>
      <c r="I27" s="281">
        <f t="shared" si="9"/>
        <v>0</v>
      </c>
      <c r="J27" s="303">
        <f t="shared" si="10"/>
        <v>0</v>
      </c>
      <c r="K27" s="119">
        <f t="shared" si="3"/>
        <v>0</v>
      </c>
      <c r="L27" s="281">
        <f t="shared" si="4"/>
        <v>0</v>
      </c>
    </row>
    <row r="28" spans="1:21">
      <c r="A28" s="306" t="str">
        <f t="shared" si="0"/>
        <v/>
      </c>
      <c r="B28" s="117">
        <v>8</v>
      </c>
      <c r="C28" s="281">
        <f t="shared" si="5"/>
        <v>0</v>
      </c>
      <c r="D28" s="303">
        <f t="shared" si="1"/>
        <v>0</v>
      </c>
      <c r="E28" s="303">
        <f t="shared" si="6"/>
        <v>0</v>
      </c>
      <c r="F28" s="281">
        <f t="shared" si="7"/>
        <v>0</v>
      </c>
      <c r="G28" s="281">
        <f t="shared" si="8"/>
        <v>0</v>
      </c>
      <c r="H28" s="303">
        <f t="shared" si="2"/>
        <v>0</v>
      </c>
      <c r="I28" s="281">
        <f t="shared" si="9"/>
        <v>0</v>
      </c>
      <c r="J28" s="303">
        <f t="shared" si="10"/>
        <v>0</v>
      </c>
      <c r="K28" s="119">
        <f t="shared" si="3"/>
        <v>0</v>
      </c>
      <c r="L28" s="281">
        <f t="shared" si="4"/>
        <v>0</v>
      </c>
    </row>
    <row r="29" spans="1:21">
      <c r="A29" s="306" t="str">
        <f t="shared" si="0"/>
        <v/>
      </c>
      <c r="B29" s="117">
        <v>9</v>
      </c>
      <c r="C29" s="281">
        <f t="shared" si="5"/>
        <v>0</v>
      </c>
      <c r="D29" s="303">
        <f t="shared" si="1"/>
        <v>0</v>
      </c>
      <c r="E29" s="303">
        <f t="shared" si="6"/>
        <v>0</v>
      </c>
      <c r="F29" s="281">
        <f t="shared" si="7"/>
        <v>0</v>
      </c>
      <c r="G29" s="281">
        <f t="shared" si="8"/>
        <v>0</v>
      </c>
      <c r="H29" s="303">
        <f t="shared" si="2"/>
        <v>0</v>
      </c>
      <c r="I29" s="281">
        <f t="shared" si="9"/>
        <v>0</v>
      </c>
      <c r="J29" s="303">
        <f t="shared" si="10"/>
        <v>0</v>
      </c>
      <c r="K29" s="119">
        <f t="shared" si="3"/>
        <v>0</v>
      </c>
      <c r="L29" s="281">
        <f t="shared" si="4"/>
        <v>0</v>
      </c>
    </row>
    <row r="30" spans="1:21">
      <c r="A30" s="306" t="str">
        <f t="shared" si="0"/>
        <v/>
      </c>
      <c r="B30" s="117">
        <v>10</v>
      </c>
      <c r="C30" s="281">
        <f t="shared" si="5"/>
        <v>0</v>
      </c>
      <c r="D30" s="303">
        <f t="shared" si="1"/>
        <v>0</v>
      </c>
      <c r="E30" s="303">
        <f t="shared" si="6"/>
        <v>0</v>
      </c>
      <c r="F30" s="281">
        <f t="shared" si="7"/>
        <v>0</v>
      </c>
      <c r="G30" s="281">
        <f t="shared" si="8"/>
        <v>0</v>
      </c>
      <c r="H30" s="303">
        <f t="shared" si="2"/>
        <v>0</v>
      </c>
      <c r="I30" s="281">
        <f t="shared" si="9"/>
        <v>0</v>
      </c>
      <c r="J30" s="303">
        <f t="shared" si="10"/>
        <v>0</v>
      </c>
      <c r="K30" s="119">
        <f t="shared" si="3"/>
        <v>0</v>
      </c>
      <c r="L30" s="281">
        <f t="shared" si="4"/>
        <v>0</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4</v>
      </c>
      <c r="C51" s="281">
        <f>VLOOKUP(C15,B21:C50,2,FALSE)*(1+Terminal_Growth)</f>
        <v>17805001.121609315</v>
      </c>
      <c r="D51" s="305">
        <f>Terminal_Growth</f>
        <v>0</v>
      </c>
      <c r="E51" s="305">
        <f>F17</f>
        <v>0.93701337043131272</v>
      </c>
      <c r="F51" s="281">
        <f>VLOOKUP(C15,B21:F50,5,FALSE)*(1+Terminal_Growth)</f>
        <v>-725214.7889125339</v>
      </c>
      <c r="G51" s="281">
        <f>C51*(1-E51)+F51+$I$6</f>
        <v>338534.87956563354</v>
      </c>
      <c r="H51" s="303">
        <f>F18</f>
        <v>0</v>
      </c>
      <c r="I51" s="281">
        <f>(G51*(1-$I$10)+C51*(H51-$I$9))/Equity_Cost</f>
        <v>3300485.4177930253</v>
      </c>
      <c r="J51" s="419">
        <f>(G51*(1-$I$10)+C51*(H51-$I$9))/VLOOKUP(C15,B21:I50,8,FALSE)-1</f>
        <v>0</v>
      </c>
      <c r="K51" s="119">
        <f>1/(1+Equity_Cost)^C15</f>
        <v>0.81060279602995633</v>
      </c>
      <c r="L51" s="281">
        <f>I51*K51</f>
        <v>2675382.707919125</v>
      </c>
    </row>
    <row r="52" spans="1:21" ht="13.15">
      <c r="G52" s="111"/>
      <c r="H52" s="111"/>
      <c r="I52" s="111"/>
      <c r="J52" s="464" t="s">
        <v>423</v>
      </c>
      <c r="K52" s="464"/>
      <c r="L52" s="321">
        <f>SUM(L21:L51)</f>
        <v>3309797.9769298127</v>
      </c>
    </row>
    <row r="53" spans="1:21">
      <c r="C53" s="111"/>
    </row>
    <row r="54" spans="1:21" ht="13.15">
      <c r="B54" s="115" t="s">
        <v>108</v>
      </c>
      <c r="C54" s="128"/>
      <c r="D54" s="128"/>
      <c r="E54" s="113"/>
      <c r="F54" s="113"/>
      <c r="G54" s="113"/>
      <c r="H54" s="113"/>
      <c r="I54" s="113"/>
      <c r="J54" s="113"/>
      <c r="K54" s="113"/>
      <c r="L54" s="113"/>
    </row>
    <row r="55" spans="1:21" ht="13.15">
      <c r="A55" s="125">
        <f>L52</f>
        <v>3309797.9769298127</v>
      </c>
      <c r="B55" s="123">
        <f>C94</f>
        <v>0.04</v>
      </c>
      <c r="C55" s="123">
        <f>C93</f>
        <v>-0.02</v>
      </c>
      <c r="D55" s="123">
        <f>C92</f>
        <v>0</v>
      </c>
      <c r="E55" s="123">
        <f>C91</f>
        <v>0.02</v>
      </c>
      <c r="F55" s="123">
        <f>C90</f>
        <v>-0.1</v>
      </c>
      <c r="G55" s="123"/>
      <c r="H55" s="123"/>
      <c r="I55" s="123"/>
      <c r="J55" s="123"/>
      <c r="K55" s="123"/>
      <c r="L55" s="123"/>
    </row>
    <row r="56" spans="1:21" ht="13.15">
      <c r="A56" s="131">
        <v>1</v>
      </c>
      <c r="B56" s="118">
        <f t="dataTable" ref="B56:F69" dt2D="1" dtr="1" r1="C16" r2="C15"/>
        <v>3604128.6576829767</v>
      </c>
      <c r="C56" s="118">
        <v>3361745.5007245881</v>
      </c>
      <c r="D56" s="118">
        <v>3442539.886377384</v>
      </c>
      <c r="E56" s="118">
        <v>3523334.2720301813</v>
      </c>
      <c r="F56" s="118">
        <v>3038567.9581134049</v>
      </c>
      <c r="G56" s="299"/>
      <c r="H56" s="299"/>
      <c r="I56" s="299"/>
      <c r="J56" s="299"/>
      <c r="K56" s="299"/>
      <c r="L56" s="299"/>
    </row>
    <row r="57" spans="1:21" ht="13.15">
      <c r="A57" s="131">
        <v>2</v>
      </c>
      <c r="B57" s="118">
        <v>3760820.7995550651</v>
      </c>
      <c r="C57" s="118">
        <v>3287919.3954194691</v>
      </c>
      <c r="D57" s="118">
        <v>3442539.886377384</v>
      </c>
      <c r="E57" s="118">
        <v>3600173.6877559153</v>
      </c>
      <c r="F57" s="118">
        <v>2699570.5357939806</v>
      </c>
      <c r="G57" s="299"/>
      <c r="H57" s="299"/>
      <c r="I57" s="299"/>
      <c r="J57" s="299"/>
      <c r="K57" s="299"/>
      <c r="L57" s="299"/>
    </row>
    <row r="58" spans="1:21" ht="13.15">
      <c r="A58" s="131">
        <v>3</v>
      </c>
      <c r="B58" s="118">
        <v>3912764.6947037606</v>
      </c>
      <c r="C58" s="118">
        <v>3220460.5765858879</v>
      </c>
      <c r="D58" s="118">
        <v>3442539.886377384</v>
      </c>
      <c r="E58" s="118">
        <v>3673251.7334810914</v>
      </c>
      <c r="F58" s="118">
        <v>2415097.1744070523</v>
      </c>
      <c r="G58" s="299"/>
      <c r="H58" s="299"/>
      <c r="I58" s="299"/>
      <c r="J58" s="299"/>
      <c r="K58" s="299"/>
      <c r="L58" s="299"/>
    </row>
    <row r="59" spans="1:21" ht="13.15">
      <c r="A59" s="131">
        <v>4</v>
      </c>
      <c r="B59" s="118">
        <v>4060104.2293934007</v>
      </c>
      <c r="C59" s="118">
        <v>3158819.8843183736</v>
      </c>
      <c r="D59" s="118">
        <v>3442539.886377384</v>
      </c>
      <c r="E59" s="118">
        <v>3742752.5322127272</v>
      </c>
      <c r="F59" s="118">
        <v>2176378.2697466919</v>
      </c>
      <c r="G59" s="299"/>
      <c r="H59" s="299"/>
      <c r="I59" s="299"/>
      <c r="J59" s="299"/>
      <c r="K59" s="299"/>
      <c r="L59" s="299"/>
    </row>
    <row r="60" spans="1:21" ht="13.15">
      <c r="A60" s="131">
        <v>5</v>
      </c>
      <c r="B60" s="118">
        <v>4202978.9296985082</v>
      </c>
      <c r="C60" s="118">
        <v>3102495.5221531838</v>
      </c>
      <c r="D60" s="118">
        <v>3442539.886377384</v>
      </c>
      <c r="E60" s="118">
        <v>3808851.193943515</v>
      </c>
      <c r="F60" s="118">
        <v>1976054.713388348</v>
      </c>
      <c r="G60" s="299"/>
      <c r="H60" s="299"/>
      <c r="I60" s="299"/>
      <c r="J60" s="299"/>
      <c r="K60" s="299"/>
      <c r="L60" s="299"/>
    </row>
    <row r="61" spans="1:21" ht="13.15">
      <c r="A61" s="131">
        <v>6</v>
      </c>
      <c r="B61" s="118">
        <v>4341524.093630733</v>
      </c>
      <c r="C61" s="118">
        <v>3051028.9721094687</v>
      </c>
      <c r="D61" s="118">
        <v>3442539.886377384</v>
      </c>
      <c r="E61" s="118">
        <v>3871714.2568483185</v>
      </c>
      <c r="F61" s="118">
        <v>1807951.0297309966</v>
      </c>
      <c r="G61" s="299"/>
      <c r="H61" s="299"/>
      <c r="I61" s="299"/>
      <c r="J61" s="299"/>
      <c r="K61" s="299"/>
      <c r="L61" s="299"/>
    </row>
    <row r="62" spans="1:21" ht="13.15">
      <c r="A62" s="131">
        <v>7</v>
      </c>
      <c r="B62" s="118">
        <v>4475870.9192619827</v>
      </c>
      <c r="C62" s="118">
        <v>3004001.2620462133</v>
      </c>
      <c r="D62" s="118">
        <v>3442539.886377384</v>
      </c>
      <c r="E62" s="118">
        <v>3931500.1068836572</v>
      </c>
      <c r="F62" s="118">
        <v>1666885.0014870649</v>
      </c>
      <c r="G62" s="299"/>
      <c r="H62" s="299"/>
      <c r="I62" s="299"/>
      <c r="J62" s="299"/>
      <c r="K62" s="299"/>
      <c r="L62" s="299"/>
    </row>
    <row r="63" spans="1:21" ht="13.15">
      <c r="A63" s="131">
        <v>8</v>
      </c>
      <c r="B63" s="118">
        <v>4606146.6289650109</v>
      </c>
      <c r="C63" s="118">
        <v>2961029.5549487863</v>
      </c>
      <c r="D63" s="118">
        <v>3442539.886377384</v>
      </c>
      <c r="E63" s="118">
        <v>3988359.3768473351</v>
      </c>
      <c r="F63" s="118">
        <v>1548507.9148488005</v>
      </c>
      <c r="G63" s="299"/>
      <c r="H63" s="299"/>
      <c r="I63" s="299"/>
      <c r="J63" s="299"/>
      <c r="K63" s="299"/>
      <c r="L63" s="299"/>
    </row>
    <row r="64" spans="1:21" ht="13.15">
      <c r="A64" s="131">
        <v>9</v>
      </c>
      <c r="B64" s="118">
        <v>4732474.5898891594</v>
      </c>
      <c r="C64" s="118">
        <v>2921764.032379576</v>
      </c>
      <c r="D64" s="118">
        <v>3442539.886377384</v>
      </c>
      <c r="E64" s="118">
        <v>4042435.3259036988</v>
      </c>
      <c r="F64" s="118">
        <v>1449170.4994880194</v>
      </c>
      <c r="G64" s="299"/>
      <c r="H64" s="299"/>
      <c r="I64" s="299"/>
      <c r="J64" s="299"/>
      <c r="K64" s="299"/>
      <c r="L64" s="299"/>
    </row>
    <row r="65" spans="1:21" ht="13.15">
      <c r="A65" s="131">
        <v>10</v>
      </c>
      <c r="B65" s="118">
        <v>4854974.4307853039</v>
      </c>
      <c r="C65" s="118">
        <v>2885885.0467219292</v>
      </c>
      <c r="D65" s="118">
        <v>3442539.886377384</v>
      </c>
      <c r="E65" s="118">
        <v>4093864.2005307321</v>
      </c>
      <c r="F65" s="118">
        <v>1365810.4306537975</v>
      </c>
      <c r="G65" s="299"/>
      <c r="H65" s="299"/>
      <c r="I65" s="299"/>
      <c r="J65" s="299"/>
      <c r="K65" s="299"/>
      <c r="L65" s="299"/>
    </row>
    <row r="66" spans="1:21" ht="13.15">
      <c r="A66" s="131">
        <v>15</v>
      </c>
      <c r="B66" s="118">
        <v>5413991.1424744604</v>
      </c>
      <c r="C66" s="281">
        <v>2747902.7626349656</v>
      </c>
      <c r="D66" s="118">
        <v>3442539.8863773835</v>
      </c>
      <c r="E66" s="118">
        <v>4315622.0667118626</v>
      </c>
      <c r="F66" s="118">
        <v>1111871.2218098568</v>
      </c>
      <c r="G66" s="299"/>
      <c r="H66" s="299"/>
      <c r="I66" s="299"/>
      <c r="J66" s="299"/>
      <c r="K66" s="299"/>
      <c r="L66" s="299"/>
      <c r="M66" s="279"/>
      <c r="N66" s="279"/>
      <c r="O66" s="279"/>
      <c r="P66" s="279"/>
      <c r="Q66" s="279"/>
      <c r="R66" s="279"/>
      <c r="S66" s="279"/>
      <c r="T66" s="279"/>
      <c r="U66" s="279"/>
    </row>
    <row r="67" spans="1:21" ht="13.15">
      <c r="A67" s="132">
        <v>20</v>
      </c>
      <c r="B67" s="118">
        <v>5893288.4434939595</v>
      </c>
      <c r="C67" s="281">
        <v>2660007.1487042448</v>
      </c>
      <c r="D67" s="118">
        <v>3442539.8863773835</v>
      </c>
      <c r="E67" s="118">
        <v>4488163.4949156307</v>
      </c>
      <c r="F67" s="118">
        <v>1006200.2247800706</v>
      </c>
      <c r="G67" s="299"/>
      <c r="H67" s="299"/>
      <c r="I67" s="299"/>
      <c r="J67" s="299"/>
      <c r="K67" s="299"/>
      <c r="L67" s="299"/>
      <c r="M67" s="279"/>
      <c r="N67" s="279"/>
      <c r="O67" s="279"/>
      <c r="P67" s="279"/>
      <c r="Q67" s="279"/>
      <c r="R67" s="279"/>
      <c r="S67" s="279"/>
      <c r="T67" s="279"/>
      <c r="U67" s="279"/>
    </row>
    <row r="68" spans="1:21" ht="13.15">
      <c r="A68" s="132">
        <v>25</v>
      </c>
      <c r="B68" s="118">
        <v>6304234.8391221398</v>
      </c>
      <c r="C68" s="281">
        <v>2604017.0699823326</v>
      </c>
      <c r="D68" s="118">
        <v>3442539.886377383</v>
      </c>
      <c r="E68" s="118">
        <v>4622411.4697869252</v>
      </c>
      <c r="F68" s="118">
        <v>962227.65487208369</v>
      </c>
      <c r="G68" s="299"/>
      <c r="H68" s="299"/>
      <c r="I68" s="299"/>
      <c r="J68" s="299"/>
      <c r="K68" s="299"/>
      <c r="L68" s="299"/>
      <c r="M68" s="279"/>
      <c r="N68" s="279"/>
      <c r="O68" s="279"/>
      <c r="P68" s="279"/>
      <c r="Q68" s="279"/>
      <c r="R68" s="279"/>
      <c r="S68" s="279"/>
      <c r="T68" s="279"/>
      <c r="U68" s="279"/>
    </row>
    <row r="69" spans="1:21" ht="13.15">
      <c r="A69" s="132">
        <v>30</v>
      </c>
      <c r="B69" s="118">
        <v>6656577.6120119076</v>
      </c>
      <c r="C69" s="281">
        <v>2568351.0250559403</v>
      </c>
      <c r="D69" s="118">
        <v>3442539.8863773826</v>
      </c>
      <c r="E69" s="118">
        <v>4726864.7535267528</v>
      </c>
      <c r="F69" s="118">
        <v>943929.47506246413</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0.04</v>
      </c>
      <c r="C72" s="124">
        <f>C55</f>
        <v>-0.02</v>
      </c>
      <c r="D72" s="124">
        <f>D55</f>
        <v>0</v>
      </c>
      <c r="E72" s="124">
        <f>E55</f>
        <v>0.02</v>
      </c>
      <c r="F72" s="124">
        <f>F55</f>
        <v>-0.1</v>
      </c>
      <c r="G72" s="124"/>
      <c r="H72" s="124"/>
      <c r="I72" s="124"/>
      <c r="J72" s="124"/>
      <c r="K72" s="124"/>
      <c r="L72" s="124"/>
    </row>
    <row r="73" spans="1:21" ht="13.15">
      <c r="A73" s="131">
        <v>0</v>
      </c>
      <c r="B73" s="119">
        <f>C11</f>
        <v>0.67435631540175844</v>
      </c>
      <c r="C73" s="119">
        <f>C11</f>
        <v>0.67435631540175844</v>
      </c>
      <c r="D73" s="119">
        <f>C11</f>
        <v>0.67435631540175844</v>
      </c>
      <c r="E73" s="119">
        <f>C11</f>
        <v>0.67435631540175844</v>
      </c>
      <c r="F73" s="119">
        <f>C11</f>
        <v>0.67435631540175844</v>
      </c>
      <c r="G73" s="300"/>
      <c r="H73" s="300"/>
      <c r="I73" s="300"/>
      <c r="J73" s="300"/>
      <c r="K73" s="300"/>
      <c r="L73" s="300"/>
    </row>
    <row r="74" spans="1:21" ht="13.15">
      <c r="A74" s="131">
        <v>1</v>
      </c>
      <c r="B74" s="119">
        <f t="shared" ref="B74:F87" si="11">(B56+FV_adjustments)/Common_Shares*scaling_factor*Exchange_Rate</f>
        <v>0.70879746666436128</v>
      </c>
      <c r="C74" s="119">
        <f t="shared" si="11"/>
        <v>0.65713573977045803</v>
      </c>
      <c r="D74" s="119">
        <f t="shared" si="11"/>
        <v>0.674356315401759</v>
      </c>
      <c r="E74" s="119">
        <f t="shared" si="11"/>
        <v>0.6915768910330603</v>
      </c>
      <c r="F74" s="119">
        <f t="shared" si="11"/>
        <v>0.58825343724525403</v>
      </c>
      <c r="G74" s="300"/>
      <c r="H74" s="300"/>
      <c r="I74" s="300"/>
      <c r="J74" s="300"/>
      <c r="K74" s="300"/>
      <c r="L74" s="300"/>
    </row>
    <row r="75" spans="1:21" ht="13.15">
      <c r="A75" s="131">
        <v>2</v>
      </c>
      <c r="B75" s="119">
        <f t="shared" si="11"/>
        <v>0.74219494667658137</v>
      </c>
      <c r="C75" s="119">
        <f t="shared" si="11"/>
        <v>0.64140038861085424</v>
      </c>
      <c r="D75" s="119">
        <f t="shared" si="11"/>
        <v>0.674356315401759</v>
      </c>
      <c r="E75" s="119">
        <f t="shared" si="11"/>
        <v>0.70795450142366789</v>
      </c>
      <c r="F75" s="119">
        <f t="shared" si="11"/>
        <v>0.5159992737572775</v>
      </c>
      <c r="G75" s="300"/>
      <c r="H75" s="300"/>
      <c r="I75" s="300"/>
      <c r="J75" s="300"/>
      <c r="K75" s="300"/>
      <c r="L75" s="300"/>
    </row>
    <row r="76" spans="1:21" ht="13.15">
      <c r="A76" s="131">
        <v>3</v>
      </c>
      <c r="B76" s="119">
        <f t="shared" si="11"/>
        <v>0.77458038183994693</v>
      </c>
      <c r="C76" s="119">
        <f t="shared" si="11"/>
        <v>0.62702216563984114</v>
      </c>
      <c r="D76" s="119">
        <f t="shared" si="11"/>
        <v>0.674356315401759</v>
      </c>
      <c r="E76" s="119">
        <f t="shared" si="11"/>
        <v>0.72353041060634415</v>
      </c>
      <c r="F76" s="119">
        <f t="shared" si="11"/>
        <v>0.45536640929184286</v>
      </c>
      <c r="G76" s="300"/>
      <c r="H76" s="300"/>
      <c r="I76" s="300"/>
      <c r="J76" s="300"/>
      <c r="K76" s="300"/>
      <c r="L76" s="300"/>
    </row>
    <row r="77" spans="1:21" ht="13.15">
      <c r="A77" s="131">
        <v>4</v>
      </c>
      <c r="B77" s="119">
        <f t="shared" si="11"/>
        <v>0.80598444018017945</v>
      </c>
      <c r="C77" s="119">
        <f t="shared" si="11"/>
        <v>0.6138840225054889</v>
      </c>
      <c r="D77" s="119">
        <f t="shared" si="11"/>
        <v>0.674356315401759</v>
      </c>
      <c r="E77" s="119">
        <f t="shared" si="11"/>
        <v>0.73834386269616203</v>
      </c>
      <c r="F77" s="119">
        <f t="shared" si="11"/>
        <v>0.40448568386630318</v>
      </c>
      <c r="G77" s="300"/>
      <c r="H77" s="300"/>
      <c r="I77" s="300"/>
      <c r="J77" s="300"/>
      <c r="K77" s="300"/>
      <c r="L77" s="300"/>
    </row>
    <row r="78" spans="1:21" ht="13.15">
      <c r="A78" s="131">
        <v>5</v>
      </c>
      <c r="B78" s="119">
        <f t="shared" si="11"/>
        <v>0.83643686038889031</v>
      </c>
      <c r="C78" s="119">
        <f t="shared" si="11"/>
        <v>0.60187900593517152</v>
      </c>
      <c r="D78" s="119">
        <f t="shared" si="11"/>
        <v>0.674356315401759</v>
      </c>
      <c r="E78" s="119">
        <f t="shared" si="11"/>
        <v>0.75243218076759766</v>
      </c>
      <c r="F78" s="119">
        <f t="shared" si="11"/>
        <v>0.36178857162109507</v>
      </c>
      <c r="G78" s="300"/>
      <c r="H78" s="300"/>
      <c r="I78" s="300"/>
      <c r="J78" s="300"/>
      <c r="K78" s="300"/>
      <c r="L78" s="300"/>
    </row>
    <row r="79" spans="1:21" ht="13.15">
      <c r="A79" s="131">
        <v>6</v>
      </c>
      <c r="B79" s="119">
        <f t="shared" si="11"/>
        <v>0.86596647998521559</v>
      </c>
      <c r="C79" s="119">
        <f t="shared" si="11"/>
        <v>0.590909387064392</v>
      </c>
      <c r="D79" s="119">
        <f t="shared" si="11"/>
        <v>0.674356315401759</v>
      </c>
      <c r="E79" s="119">
        <f t="shared" si="11"/>
        <v>0.76583086089147989</v>
      </c>
      <c r="F79" s="119">
        <f t="shared" si="11"/>
        <v>0.32595882707966178</v>
      </c>
      <c r="G79" s="300"/>
      <c r="H79" s="300"/>
      <c r="I79" s="300"/>
      <c r="J79" s="300"/>
      <c r="K79" s="300"/>
      <c r="L79" s="300"/>
    </row>
    <row r="80" spans="1:21" ht="13.15">
      <c r="A80" s="131">
        <f t="shared" ref="A80" si="12">A62</f>
        <v>7</v>
      </c>
      <c r="B80" s="119">
        <f t="shared" si="11"/>
        <v>0.8946012626240768</v>
      </c>
      <c r="C80" s="119">
        <f t="shared" si="11"/>
        <v>0.58088586585845836</v>
      </c>
      <c r="D80" s="119">
        <f t="shared" si="11"/>
        <v>0.674356315401759</v>
      </c>
      <c r="E80" s="119">
        <f t="shared" si="11"/>
        <v>0.77857366156873886</v>
      </c>
      <c r="F80" s="119">
        <f t="shared" si="11"/>
        <v>0.29589190858335396</v>
      </c>
      <c r="G80" s="300"/>
      <c r="H80" s="300"/>
      <c r="I80" s="300"/>
      <c r="J80" s="300"/>
      <c r="K80" s="300"/>
      <c r="L80" s="300"/>
    </row>
    <row r="81" spans="1:12" ht="13.15">
      <c r="A81" s="131">
        <v>8</v>
      </c>
      <c r="B81" s="119">
        <f t="shared" si="11"/>
        <v>0.92236832457691165</v>
      </c>
      <c r="C81" s="119">
        <f t="shared" si="11"/>
        <v>0.57172684415047226</v>
      </c>
      <c r="D81" s="119">
        <f t="shared" si="11"/>
        <v>0.674356315401759</v>
      </c>
      <c r="E81" s="119">
        <f t="shared" si="11"/>
        <v>0.79069268878627186</v>
      </c>
      <c r="F81" s="119">
        <f t="shared" si="11"/>
        <v>0.27066092802701175</v>
      </c>
      <c r="G81" s="300"/>
      <c r="H81" s="300"/>
      <c r="I81" s="300"/>
      <c r="J81" s="300"/>
      <c r="K81" s="300"/>
      <c r="L81" s="300"/>
    </row>
    <row r="82" spans="1:12" ht="13.15">
      <c r="A82" s="131">
        <f t="shared" ref="A82" si="13">A64</f>
        <v>9</v>
      </c>
      <c r="B82" s="119">
        <f t="shared" si="11"/>
        <v>0.94929396040996361</v>
      </c>
      <c r="C82" s="119">
        <f t="shared" si="11"/>
        <v>0.5633577613776739</v>
      </c>
      <c r="D82" s="119">
        <f t="shared" si="11"/>
        <v>0.674356315401759</v>
      </c>
      <c r="E82" s="119">
        <f t="shared" si="11"/>
        <v>0.80221847690923975</v>
      </c>
      <c r="F82" s="119">
        <f t="shared" si="11"/>
        <v>0.24948807721050092</v>
      </c>
      <c r="G82" s="300"/>
      <c r="H82" s="300"/>
      <c r="I82" s="300"/>
      <c r="J82" s="300"/>
      <c r="K82" s="300"/>
      <c r="L82" s="300"/>
    </row>
    <row r="83" spans="1:12" ht="13.15">
      <c r="A83" s="131">
        <f t="shared" ref="A83:A87" si="14">A65</f>
        <v>10</v>
      </c>
      <c r="B83" s="119">
        <f t="shared" si="11"/>
        <v>0.97540366788443844</v>
      </c>
      <c r="C83" s="119">
        <f t="shared" si="11"/>
        <v>0.55571048760858999</v>
      </c>
      <c r="D83" s="119">
        <f t="shared" si="11"/>
        <v>0.674356315401759</v>
      </c>
      <c r="E83" s="119">
        <f t="shared" si="11"/>
        <v>0.81318006561360134</v>
      </c>
      <c r="F83" s="119">
        <f t="shared" si="11"/>
        <v>0.23172064995189037</v>
      </c>
      <c r="G83" s="300"/>
      <c r="H83" s="300"/>
      <c r="I83" s="300"/>
      <c r="J83" s="300"/>
      <c r="K83" s="300"/>
      <c r="L83" s="300"/>
    </row>
    <row r="84" spans="1:12" ht="13.15">
      <c r="A84" s="131">
        <f t="shared" si="14"/>
        <v>15</v>
      </c>
      <c r="B84" s="119">
        <f t="shared" si="11"/>
        <v>1.0945529068448463</v>
      </c>
      <c r="C84" s="119">
        <f t="shared" si="11"/>
        <v>0.52630084064239646</v>
      </c>
      <c r="D84" s="119">
        <f t="shared" si="11"/>
        <v>0.67435631540175889</v>
      </c>
      <c r="E84" s="119">
        <f t="shared" si="11"/>
        <v>0.8604457026446064</v>
      </c>
      <c r="F84" s="119">
        <f t="shared" si="11"/>
        <v>0.17759585753819249</v>
      </c>
      <c r="G84" s="300"/>
      <c r="H84" s="300"/>
      <c r="I84" s="300"/>
      <c r="J84" s="300"/>
      <c r="K84" s="300"/>
      <c r="L84" s="300"/>
    </row>
    <row r="85" spans="1:12" ht="13.15">
      <c r="A85" s="132">
        <f t="shared" si="14"/>
        <v>20</v>
      </c>
      <c r="B85" s="119">
        <f t="shared" si="11"/>
        <v>1.196710691143799</v>
      </c>
      <c r="C85" s="119">
        <f t="shared" si="11"/>
        <v>0.507566703918365</v>
      </c>
      <c r="D85" s="119">
        <f t="shared" si="11"/>
        <v>0.67435631540175889</v>
      </c>
      <c r="E85" s="119">
        <f t="shared" si="11"/>
        <v>0.89722131136925609</v>
      </c>
      <c r="F85" s="119">
        <f t="shared" si="11"/>
        <v>0.15507306239984678</v>
      </c>
      <c r="G85" s="300"/>
      <c r="H85" s="300"/>
      <c r="I85" s="300"/>
      <c r="J85" s="300"/>
      <c r="K85" s="300"/>
      <c r="L85" s="300"/>
    </row>
    <row r="86" spans="1:12" ht="13.15">
      <c r="A86" s="132">
        <f t="shared" si="14"/>
        <v>25</v>
      </c>
      <c r="B86" s="119">
        <f t="shared" si="11"/>
        <v>1.2843001124773188</v>
      </c>
      <c r="C86" s="119">
        <f t="shared" si="11"/>
        <v>0.49563293677052578</v>
      </c>
      <c r="D86" s="119">
        <f t="shared" si="11"/>
        <v>0.67435631540175889</v>
      </c>
      <c r="E86" s="119">
        <f t="shared" si="11"/>
        <v>0.92583502488339708</v>
      </c>
      <c r="F86" s="119">
        <f t="shared" si="11"/>
        <v>0.14570071604576623</v>
      </c>
      <c r="G86" s="300"/>
      <c r="H86" s="300"/>
      <c r="I86" s="300"/>
      <c r="J86" s="300"/>
      <c r="K86" s="300"/>
      <c r="L86" s="300"/>
    </row>
    <row r="87" spans="1:12" ht="13.15">
      <c r="A87" s="132">
        <f t="shared" si="14"/>
        <v>30</v>
      </c>
      <c r="B87" s="119">
        <f t="shared" si="11"/>
        <v>1.3593987139415977</v>
      </c>
      <c r="C87" s="119">
        <f t="shared" si="11"/>
        <v>0.48803104934775693</v>
      </c>
      <c r="D87" s="119">
        <f t="shared" si="11"/>
        <v>0.67435631540175878</v>
      </c>
      <c r="E87" s="119">
        <f t="shared" si="11"/>
        <v>0.94809827570269711</v>
      </c>
      <c r="F87" s="119">
        <f t="shared" si="11"/>
        <v>0.14180062835055404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-0.1</v>
      </c>
      <c r="D90" s="133">
        <f>Scenarios!D29</f>
        <v>3</v>
      </c>
      <c r="E90" s="127">
        <f>INDEX(B$73:F$87, MATCH(D90, A$73:A$87, 0), MATCH(C90, B$72:F$72, 0))</f>
        <v>0.45536640929184286</v>
      </c>
      <c r="F90" s="130">
        <f>Scenarios!F29</f>
        <v>0.15</v>
      </c>
      <c r="G90" s="301"/>
      <c r="H90" s="301"/>
      <c r="I90" s="301"/>
      <c r="J90" s="301"/>
      <c r="K90" s="301"/>
      <c r="L90" s="301"/>
    </row>
    <row r="91" spans="1:12">
      <c r="B91" s="120" t="str">
        <f>Scenarios!B22</f>
        <v>Optimistic</v>
      </c>
      <c r="C91" s="130">
        <f>Scenarios!C22</f>
        <v>0.02</v>
      </c>
      <c r="D91" s="133">
        <f>Scenarios!D22</f>
        <v>3</v>
      </c>
      <c r="E91" s="127">
        <f>INDEX(B$73:F$87, MATCH(D91, A$73:A$87, 0), MATCH(C91, B$72:F$72, 0))</f>
        <v>0.72353041060634415</v>
      </c>
      <c r="F91" s="130">
        <f>Scenarios!F22*(1-F$90-F$94)</f>
        <v>0.15999999999999995</v>
      </c>
      <c r="G91" s="301"/>
      <c r="H91" s="301"/>
      <c r="I91" s="301"/>
      <c r="J91" s="301"/>
      <c r="K91" s="301"/>
      <c r="L91" s="301"/>
    </row>
    <row r="92" spans="1:12">
      <c r="B92" s="120" t="str">
        <f>Scenarios!B23</f>
        <v>Base</v>
      </c>
      <c r="C92" s="130">
        <f>Scenarios!C23</f>
        <v>0</v>
      </c>
      <c r="D92" s="133">
        <f>Scenarios!D23</f>
        <v>3</v>
      </c>
      <c r="E92" s="127">
        <f>INDEX(B$73:F$87, MATCH(D92, A$73:A$87, 0), MATCH(C92, B$72:F$72, 0))</f>
        <v>0.674356315401759</v>
      </c>
      <c r="F92" s="130">
        <f>Scenarios!F23*(1-F$90-F$94)</f>
        <v>0.44</v>
      </c>
      <c r="G92" s="301"/>
      <c r="H92" s="301"/>
      <c r="I92" s="301"/>
      <c r="J92" s="301"/>
      <c r="K92" s="301"/>
      <c r="L92" s="301"/>
    </row>
    <row r="93" spans="1:12">
      <c r="B93" s="120" t="str">
        <f>Scenarios!B24</f>
        <v>Pessimistic</v>
      </c>
      <c r="C93" s="130">
        <f>Scenarios!C24</f>
        <v>-0.02</v>
      </c>
      <c r="D93" s="133">
        <f>Scenarios!D24</f>
        <v>3</v>
      </c>
      <c r="E93" s="127">
        <f>INDEX(B$73:F$87, MATCH(D93, A$73:A$87, 0), MATCH(C93, B$72:F$72, 0))</f>
        <v>0.62702216563984114</v>
      </c>
      <c r="F93" s="130">
        <f>Scenarios!F24*(1-F$90-F$94)</f>
        <v>0.19999999999999998</v>
      </c>
      <c r="G93" s="301"/>
      <c r="H93" s="301"/>
      <c r="I93" s="301"/>
      <c r="J93" s="301"/>
      <c r="K93" s="301"/>
      <c r="L93" s="301"/>
    </row>
    <row r="94" spans="1:12">
      <c r="B94" s="120" t="str">
        <f>Scenarios!B30</f>
        <v>Devil's advocate</v>
      </c>
      <c r="C94" s="130">
        <f>Scenarios!C30</f>
        <v>0.04</v>
      </c>
      <c r="D94" s="133">
        <f>Scenarios!D30</f>
        <v>3</v>
      </c>
      <c r="E94" s="127">
        <f>INDEX(B$73:F$87, MATCH(D94, A$73:A$87, 0), MATCH(C94, B$72:F$72, 0))</f>
        <v>0.77458038183994693</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3813.HK – 寶勝國際: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421199</v>
      </c>
      <c r="D7" s="465"/>
      <c r="E7" s="465"/>
      <c r="F7" s="465"/>
      <c r="G7" s="465"/>
    </row>
    <row r="8" spans="2:7">
      <c r="B8" s="97" t="s">
        <v>63</v>
      </c>
      <c r="C8" s="452">
        <f>Normalized_FCF!G19</f>
        <v>184825.24568659026</v>
      </c>
      <c r="D8" s="465"/>
      <c r="E8" s="465"/>
      <c r="F8" s="465"/>
      <c r="G8" s="465"/>
    </row>
    <row r="9" spans="2:7">
      <c r="B9" s="97" t="s">
        <v>54</v>
      </c>
      <c r="C9" s="452">
        <f>Normalized_FCF!C19</f>
        <v>249584.14176236014</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-4.9510317782507363E-3</v>
      </c>
      <c r="D12" s="465"/>
      <c r="E12" s="465"/>
      <c r="F12" s="465"/>
      <c r="G12" s="465"/>
    </row>
    <row r="13" spans="2:7">
      <c r="B13" s="135" t="s">
        <v>127</v>
      </c>
      <c r="C13" s="252">
        <f ca="1">(Normalized_FCF!G8/OFFSET(Normalized_FCF!G8, 0, $C$4))^(1/$C$4) - 1</f>
        <v>1.4238812910937044</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0.02</v>
      </c>
      <c r="D22" s="329">
        <f>C18</f>
        <v>3</v>
      </c>
      <c r="E22" s="330">
        <f>DCF!E91</f>
        <v>0.72353041060634415</v>
      </c>
      <c r="F22" s="332">
        <f>1-F23-F24</f>
        <v>0.19999999999999996</v>
      </c>
      <c r="G22" s="332">
        <f>F22*(1-F$29-F$30)</f>
        <v>0.15999999999999995</v>
      </c>
    </row>
    <row r="23" spans="2:7">
      <c r="B23" s="306" t="s">
        <v>440</v>
      </c>
      <c r="C23" s="328">
        <v>0</v>
      </c>
      <c r="D23" s="329">
        <f>C18</f>
        <v>3</v>
      </c>
      <c r="E23" s="330">
        <f>DCF!E92</f>
        <v>0.674356315401759</v>
      </c>
      <c r="F23" s="331">
        <v>0.55000000000000004</v>
      </c>
      <c r="G23" s="332">
        <f t="shared" ref="G23:G24" si="0">F23*(1-F$29-F$30)</f>
        <v>0.44</v>
      </c>
    </row>
    <row r="24" spans="2:7">
      <c r="B24" s="306" t="s">
        <v>449</v>
      </c>
      <c r="C24" s="328">
        <v>-0.02</v>
      </c>
      <c r="D24" s="329">
        <f>C18</f>
        <v>3</v>
      </c>
      <c r="E24" s="330">
        <f>DCF!E93</f>
        <v>0.62702216563984114</v>
      </c>
      <c r="F24" s="331">
        <v>0.25</v>
      </c>
      <c r="G24" s="332">
        <f t="shared" si="0"/>
        <v>0.19999999999999998</v>
      </c>
    </row>
    <row r="25" spans="2:7">
      <c r="B25" s="141" t="s">
        <v>454</v>
      </c>
      <c r="C25" s="446">
        <f>E23*F23+E24*F24+E22*F22</f>
        <v>0.67235759700219655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-0.1</v>
      </c>
      <c r="D29" s="329">
        <f>C18</f>
        <v>3</v>
      </c>
      <c r="E29" s="330">
        <f>DCF!E90</f>
        <v>0.45536640929184286</v>
      </c>
      <c r="F29" s="331">
        <v>0.15</v>
      </c>
      <c r="G29" s="332">
        <f>F29</f>
        <v>0.15</v>
      </c>
    </row>
    <row r="30" spans="2:7">
      <c r="B30" s="319" t="s">
        <v>450</v>
      </c>
      <c r="C30" s="328">
        <v>0.04</v>
      </c>
      <c r="D30" s="329">
        <f>C18</f>
        <v>3</v>
      </c>
      <c r="E30" s="330">
        <f>DCF!E94</f>
        <v>0.77458038183994693</v>
      </c>
      <c r="F30" s="331">
        <v>0.05</v>
      </c>
      <c r="G30" s="332">
        <f>F30</f>
        <v>0.05</v>
      </c>
    </row>
    <row r="31" spans="2:7">
      <c r="E31" s="333"/>
      <c r="F31" s="333"/>
    </row>
    <row r="32" spans="2:7" ht="13.15">
      <c r="B32" s="145" t="s">
        <v>459</v>
      </c>
    </row>
    <row r="33" spans="2:7">
      <c r="B33" s="97" t="s">
        <v>461</v>
      </c>
      <c r="C33" s="155">
        <f>Normalized_FCF!C88*(1-dividend_tax_rate)</f>
        <v>2.7E-2</v>
      </c>
      <c r="D33" t="str">
        <f>Market_currency</f>
        <v>HKD</v>
      </c>
      <c r="E33" s="97" t="s">
        <v>458</v>
      </c>
      <c r="F33" s="219">
        <f>Holding_Period</f>
        <v>3</v>
      </c>
    </row>
    <row r="34" spans="2:7">
      <c r="B34" s="97" t="s">
        <v>233</v>
      </c>
      <c r="C34" s="146">
        <f>Market_Price</f>
        <v>0.47</v>
      </c>
      <c r="D34" t="str">
        <f>Market_currency</f>
        <v>HKD</v>
      </c>
      <c r="E34" s="97" t="s">
        <v>457</v>
      </c>
      <c r="F34" s="334">
        <f>RATE(Holding_Period,$C$33,-C34,$C$36)</f>
        <v>0.16328203707260031</v>
      </c>
    </row>
    <row r="35" spans="2:7">
      <c r="B35" s="97" t="s">
        <v>437</v>
      </c>
      <c r="C35" s="324">
        <f>DCF!C11</f>
        <v>0.67435631540175844</v>
      </c>
      <c r="D35" s="97" t="str">
        <f>Market_currency</f>
        <v>HKD</v>
      </c>
      <c r="E35" s="97" t="s">
        <v>457</v>
      </c>
      <c r="F35" s="334">
        <f>RATE(Holding_Period,$C$33,-C35,$C$36)</f>
        <v>2.5857716925026655E-2</v>
      </c>
    </row>
    <row r="36" spans="2:7">
      <c r="B36" s="97" t="s">
        <v>438</v>
      </c>
      <c r="C36" s="325">
        <f>E22*G22+E23*G23+E24*G24+E30*G30+E29*G29</f>
        <v>0.64492005808753095</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0.93701337043131272</v>
      </c>
      <c r="E40" s="97" t="s">
        <v>403</v>
      </c>
    </row>
    <row r="41" spans="2:7">
      <c r="B41" s="97" t="s">
        <v>401</v>
      </c>
      <c r="C41" s="138">
        <f>DCF!C16</f>
        <v>-1.18616219589511E-2</v>
      </c>
      <c r="E41" s="97"/>
    </row>
    <row r="43" spans="2:7" ht="13.9">
      <c r="B43" s="34" t="s">
        <v>276</v>
      </c>
      <c r="C43" s="35"/>
      <c r="D43" s="35"/>
      <c r="E43" s="35"/>
      <c r="F43" s="35"/>
      <c r="G43" s="35"/>
    </row>
    <row r="44" spans="2:7" ht="13.15">
      <c r="B44" s="106" t="s">
        <v>249</v>
      </c>
      <c r="E44" s="222" t="s">
        <v>251</v>
      </c>
    </row>
    <row r="45" spans="2:7">
      <c r="B45" s="139" t="s">
        <v>111</v>
      </c>
      <c r="C45" s="150">
        <f>C18</f>
        <v>3</v>
      </c>
      <c r="D45" s="137"/>
      <c r="E45" s="221" t="s">
        <v>307</v>
      </c>
    </row>
    <row r="46" spans="2:7">
      <c r="B46" s="114" t="s">
        <v>112</v>
      </c>
      <c r="C46" s="138">
        <v>-1.18616219589511E-2</v>
      </c>
      <c r="D46" s="138"/>
      <c r="E46" s="221" t="s">
        <v>252</v>
      </c>
    </row>
    <row r="47" spans="2:7">
      <c r="B47" s="97" t="s">
        <v>96</v>
      </c>
      <c r="C47" s="146">
        <f>DCF!I18</f>
        <v>0.64606360579556732</v>
      </c>
      <c r="D47" s="146" t="str">
        <f>Market_currency</f>
        <v>HKD</v>
      </c>
      <c r="E47" s="221" t="s">
        <v>253</v>
      </c>
    </row>
    <row r="49" spans="2:7" ht="13.15">
      <c r="B49" s="106" t="s">
        <v>277</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52">
        <f>BS!D89/C36</f>
        <v>-9.2087698930290715E-2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2.7E-2</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4.9405992554973237E-2</v>
      </c>
      <c r="D62" s="119">
        <f>C36/(1+F62)^Holding_Period</f>
        <v>0.29719818345047516</v>
      </c>
      <c r="E62" s="336">
        <f>C62+D62</f>
        <v>0.34660417600544841</v>
      </c>
      <c r="F62" s="305">
        <f>Thesis!E22</f>
        <v>0.29465259038036601</v>
      </c>
      <c r="G62" s="445">
        <f>(1-E62/C36)</f>
        <v>0.4625625739827649</v>
      </c>
    </row>
    <row r="63" spans="2:7" ht="13.15">
      <c r="B63" s="306" t="s">
        <v>313</v>
      </c>
      <c r="C63" s="119">
        <f>PV(F63, Holding_Period, -C58, 0)</f>
        <v>5.6808106576265137E-2</v>
      </c>
      <c r="D63" s="119">
        <f>C36/(1+F63)^Holding_Period</f>
        <v>0.37251700106138985</v>
      </c>
      <c r="E63" s="336">
        <f>C63+D63</f>
        <v>0.42932510763765497</v>
      </c>
      <c r="F63" s="305">
        <f>Thesis!E23</f>
        <v>0.20075184365903001</v>
      </c>
      <c r="G63" s="445">
        <f>(1-E63/C36)</f>
        <v>0.33429717024030692</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6.5140284400343515E-2</v>
      </c>
      <c r="D66" s="119">
        <f>C36/(1+F66)^Holding_Period</f>
        <v>0.462253154297948</v>
      </c>
      <c r="E66" s="336">
        <f>C66+D66</f>
        <v>0.52739343869829147</v>
      </c>
      <c r="F66" s="305">
        <f>Thesis!E24</f>
        <v>0.1174</v>
      </c>
      <c r="G66" s="445">
        <f>(1-E66/C36)</f>
        <v>0.18223439931106677</v>
      </c>
    </row>
    <row r="67" spans="2:7" ht="13.15">
      <c r="B67" s="306" t="s">
        <v>314</v>
      </c>
      <c r="C67" s="119">
        <f>PV(F67, Holding_Period, -C58, 0)</f>
        <v>7.0534131133671435E-2</v>
      </c>
      <c r="D67" s="119">
        <f>C36/(1+F67)^Holding_Period</f>
        <v>0.52277400230155446</v>
      </c>
      <c r="E67" s="336">
        <f>C67+D67</f>
        <v>0.59330813343522593</v>
      </c>
      <c r="F67" s="305">
        <f>Thesis!E25</f>
        <v>7.2499999999999995E-2</v>
      </c>
      <c r="G67" s="445">
        <f>(1-E67/C36)</f>
        <v>8.0028406629740867E-2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45954</v>
      </c>
    </row>
    <row r="4" spans="1:10">
      <c r="B4" s="427" t="s">
        <v>536</v>
      </c>
      <c r="C4" s="428" t="str">
        <f>Thesis!C4</f>
        <v>寶勝國際</v>
      </c>
      <c r="D4" s="353"/>
      <c r="E4" s="439" t="s">
        <v>542</v>
      </c>
      <c r="F4" s="442" t="str">
        <f>Thesis!F4</f>
        <v>INT</v>
      </c>
    </row>
    <row r="5" spans="1:10">
      <c r="B5" s="347" t="s">
        <v>364</v>
      </c>
      <c r="C5" s="359" t="str">
        <f>Thesis!C5</f>
        <v>3813.HK</v>
      </c>
      <c r="E5" s="443" t="s">
        <v>543</v>
      </c>
      <c r="F5" s="444" t="str">
        <f>Thesis!F5</f>
        <v>N</v>
      </c>
    </row>
    <row r="6" spans="1:10">
      <c r="B6" s="354" t="s">
        <v>336</v>
      </c>
      <c r="C6" s="356" t="str">
        <f>Thesis!C6</f>
        <v>IND_01</v>
      </c>
      <c r="E6" s="358"/>
    </row>
    <row r="7" spans="1:10">
      <c r="B7" s="347" t="s">
        <v>366</v>
      </c>
      <c r="C7" s="356" t="str">
        <f>Market_currency</f>
        <v>HKD</v>
      </c>
      <c r="D7" s="358"/>
      <c r="E7" s="358"/>
    </row>
    <row r="8" spans="1:10">
      <c r="B8" s="355" t="s">
        <v>365</v>
      </c>
      <c r="C8" s="360">
        <f>Market_Price</f>
        <v>0.47</v>
      </c>
    </row>
    <row r="9" spans="1:10">
      <c r="B9" s="355" t="s">
        <v>361</v>
      </c>
      <c r="C9" s="357">
        <f>Common_Shares</f>
        <v>5183714855</v>
      </c>
    </row>
    <row r="10" spans="1:10">
      <c r="B10" s="355" t="s">
        <v>367</v>
      </c>
      <c r="C10" s="361">
        <f>投资主题!C8*Common_Shares/1000000</f>
        <v>2436.34598185</v>
      </c>
      <c r="D10" s="347" t="s">
        <v>531</v>
      </c>
      <c r="E10" s="364">
        <f>Scenarios!F34</f>
        <v>0.16328203707260031</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1.10486085128784</v>
      </c>
    </row>
    <row r="17" spans="1:6">
      <c r="B17" s="347" t="s">
        <v>537</v>
      </c>
      <c r="C17" s="429">
        <f>Terminal_Growth</f>
        <v>0</v>
      </c>
      <c r="D17" s="355" t="s">
        <v>339</v>
      </c>
      <c r="E17" s="348" t="str">
        <f>Reporting_currency</f>
        <v>CNY</v>
      </c>
    </row>
    <row r="18" spans="1:6">
      <c r="B18" s="347" t="str">
        <f>"预期股权价值 ("&amp;C7&amp;") :"</f>
        <v>预期股权价值 (HKD) :</v>
      </c>
      <c r="C18" s="363">
        <f>C125</f>
        <v>0.64492005808753095</v>
      </c>
      <c r="D18" s="354" t="s">
        <v>362</v>
      </c>
      <c r="E18" s="431">
        <f>Thesis!E18</f>
        <v>6</v>
      </c>
    </row>
    <row r="19" spans="1:6">
      <c r="B19" s="354" t="s">
        <v>335</v>
      </c>
      <c r="C19" s="356" t="str">
        <f>IF(Scenarios!C50="Y",Scenarios!B50,"")&amp;IF(Scenarios!C51="Y",Scenarios!B51,"")&amp;IF(Scenarios!C52="Y",Scenarios!B52,"")&amp;" "&amp;IF(Scenarios!C53="Y",Scenarios!B53,"")</f>
        <v xml:space="preserve">Negative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0.34660417600544841</v>
      </c>
      <c r="D22" s="369" t="s">
        <v>443</v>
      </c>
      <c r="E22" s="370">
        <f>Thesis!E22</f>
        <v>0.29465259038036601</v>
      </c>
    </row>
    <row r="23" spans="1:6">
      <c r="B23" s="347" t="s">
        <v>341</v>
      </c>
      <c r="C23" s="371">
        <f>E141</f>
        <v>0.42932510763765497</v>
      </c>
      <c r="D23" s="369" t="s">
        <v>444</v>
      </c>
      <c r="E23" s="372">
        <f>Thesis!E23</f>
        <v>0.20075184365903001</v>
      </c>
    </row>
    <row r="24" spans="1:6">
      <c r="B24" s="347" t="s">
        <v>343</v>
      </c>
      <c r="C24" s="371">
        <f>E144</f>
        <v>0.52739343869829147</v>
      </c>
      <c r="D24" s="369" t="s">
        <v>446</v>
      </c>
      <c r="E24" s="372">
        <f>Thesis!E24</f>
        <v>0.1174</v>
      </c>
    </row>
    <row r="25" spans="1:6">
      <c r="B25" s="347" t="s">
        <v>342</v>
      </c>
      <c r="C25" s="371">
        <f>E145</f>
        <v>0.59330813343522593</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410704.412090078</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15165.608361299935</v>
      </c>
      <c r="D44" s="347" t="str">
        <f>Reporting_currency</f>
        <v>CNY</v>
      </c>
      <c r="E44" s="375"/>
      <c r="F44" s="375"/>
    </row>
    <row r="45" spans="2:6">
      <c r="B45" s="376" t="s">
        <v>268</v>
      </c>
      <c r="C45" s="380">
        <f>Normalized_FCF!C45</f>
        <v>-72892.95</v>
      </c>
      <c r="D45" s="347" t="str">
        <f>Reporting_currency</f>
        <v>CNY</v>
      </c>
      <c r="E45" s="375"/>
      <c r="F45" s="375"/>
    </row>
    <row r="46" spans="2:6">
      <c r="B46" s="376" t="s">
        <v>203</v>
      </c>
      <c r="C46" s="377">
        <f>Normalized_FCF!C10</f>
        <v>-57727.341638700062</v>
      </c>
      <c r="D46" s="347" t="str">
        <f>Reporting_currency</f>
        <v>CNY</v>
      </c>
    </row>
    <row r="48" spans="2:6">
      <c r="B48" s="347" t="s">
        <v>507</v>
      </c>
    </row>
    <row r="49" spans="2:6">
      <c r="B49" s="376" t="s">
        <v>223</v>
      </c>
      <c r="C49" s="377">
        <f>Normalized_FCF!C13</f>
        <v>-15148.661076173323</v>
      </c>
      <c r="D49" s="347" t="str">
        <f>Reporting_currency</f>
        <v>CNY</v>
      </c>
    </row>
    <row r="51" spans="2:6">
      <c r="B51" s="466" t="s">
        <v>508</v>
      </c>
      <c r="C51" s="466"/>
      <c r="D51" s="466"/>
      <c r="E51" s="466"/>
      <c r="F51" s="466"/>
    </row>
    <row r="52" spans="2:6">
      <c r="B52" s="376" t="s">
        <v>499</v>
      </c>
      <c r="C52" s="377">
        <f>Normalized_FCF!C12</f>
        <v>-88244.267612844487</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184825.24568659026</v>
      </c>
      <c r="D60" s="347" t="str">
        <f>Reporting_currency</f>
        <v>CNY</v>
      </c>
    </row>
    <row r="61" spans="2:6">
      <c r="B61" s="376" t="s">
        <v>213</v>
      </c>
      <c r="C61" s="377">
        <f>Normalized_FCF!C19</f>
        <v>249584.14176236014</v>
      </c>
      <c r="D61" s="347" t="str">
        <f>Reporting_currency</f>
        <v>CNY</v>
      </c>
    </row>
    <row r="62" spans="2:6">
      <c r="B62" s="381" t="s">
        <v>302</v>
      </c>
      <c r="C62" s="382">
        <f>Normalized_FCF!C124</f>
        <v>0.11318414929152036</v>
      </c>
      <c r="F62" s="383"/>
    </row>
    <row r="63" spans="2:6">
      <c r="B63" s="381" t="s">
        <v>332</v>
      </c>
      <c r="C63" s="382">
        <f>Normalized_FCF!C92</f>
        <v>5.7446808510638298E-2</v>
      </c>
      <c r="E63" s="376" t="s">
        <v>373</v>
      </c>
      <c r="F63" s="384">
        <f>Normalized_FCF!C90</f>
        <v>0.62308223812580676</v>
      </c>
    </row>
    <row r="65" spans="1:6">
      <c r="B65" s="373" t="s">
        <v>376</v>
      </c>
      <c r="C65" s="385" t="s">
        <v>327</v>
      </c>
      <c r="D65" s="385" t="s">
        <v>374</v>
      </c>
    </row>
    <row r="66" spans="1:6">
      <c r="B66" s="376" t="s">
        <v>326</v>
      </c>
      <c r="C66" s="382">
        <f>Normalized_FCF!C119</f>
        <v>3.931859133292645E-2</v>
      </c>
      <c r="D66" s="382">
        <f>Normalized_FCF!G119</f>
        <v>4.2499836331200143E-2</v>
      </c>
    </row>
    <row r="67" spans="1:6">
      <c r="B67" s="386" t="str">
        <f>Normalized_FCF!B116</f>
        <v>Pre-tax Profit/Sales</v>
      </c>
      <c r="C67" s="387">
        <f>Normalized_FCF!C116</f>
        <v>1.9127481481925439E-2</v>
      </c>
      <c r="D67" s="387">
        <f>Normalized_FCF!G116</f>
        <v>2.0675075196021478E-2</v>
      </c>
    </row>
    <row r="68" spans="1:6">
      <c r="B68" s="386" t="str">
        <f>Normalized_FCF!B117</f>
        <v>Sales/Total Assets</v>
      </c>
      <c r="C68" s="388">
        <f>Normalized_FCF!C117</f>
        <v>1.4656521003611329</v>
      </c>
      <c r="D68" s="388">
        <f>Normalized_FCF!G117</f>
        <v>1.4656521003611329</v>
      </c>
    </row>
    <row r="69" spans="1:6">
      <c r="B69" s="386" t="str">
        <f>Normalized_FCF!B118</f>
        <v>Total Assets/Equity</v>
      </c>
      <c r="C69" s="388">
        <f>Normalized_FCF!C118</f>
        <v>1.4025206525126881</v>
      </c>
      <c r="D69" s="388">
        <f>Normalized_FCF!G118</f>
        <v>1.4025206525126881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-1457859</v>
      </c>
      <c r="D78" s="347" t="str">
        <f>Reporting_currency</f>
        <v>CNY</v>
      </c>
    </row>
    <row r="79" spans="1:6">
      <c r="B79" s="376" t="s">
        <v>234</v>
      </c>
      <c r="C79" s="391">
        <f>C78*scaling_factor*Exchange_Rate/Common_Shares</f>
        <v>-0.31072915483458613</v>
      </c>
      <c r="D79" s="347" t="str">
        <f>Market_currency</f>
        <v>HKD</v>
      </c>
    </row>
    <row r="80" spans="1:6">
      <c r="B80" s="386" t="s">
        <v>309</v>
      </c>
      <c r="C80" s="392">
        <f>IF(BS!G31/BS!G27&gt;300%,"nm",BS!G31/BS!G27)</f>
        <v>0.16239287772638675</v>
      </c>
    </row>
    <row r="81" spans="1:6">
      <c r="B81" s="386" t="s">
        <v>311</v>
      </c>
      <c r="C81" s="393">
        <f>IF(BS!C50&gt;30,"nm",BS!C50)</f>
        <v>3.5496550732945478</v>
      </c>
    </row>
    <row r="83" spans="1:6">
      <c r="B83" s="347" t="s">
        <v>514</v>
      </c>
    </row>
    <row r="84" spans="1:6">
      <c r="B84" s="347" t="s">
        <v>224</v>
      </c>
      <c r="C84" s="377">
        <f>DCF!F5</f>
        <v>1177571.1638700066</v>
      </c>
      <c r="D84" s="347" t="str">
        <f>Reporting_currency</f>
        <v>CNY</v>
      </c>
    </row>
    <row r="85" spans="1:6">
      <c r="B85" s="386" t="s">
        <v>484</v>
      </c>
      <c r="C85" s="394">
        <f>BS!C66</f>
        <v>2694132</v>
      </c>
      <c r="D85" s="395" t="str">
        <f>Reporting_currency</f>
        <v>CNY</v>
      </c>
    </row>
    <row r="86" spans="1:6">
      <c r="B86" s="376" t="s">
        <v>235</v>
      </c>
      <c r="C86" s="391">
        <f>C84*scaling_factor*Exchange_Rate/Common_Shares</f>
        <v>0.25098839634485026</v>
      </c>
      <c r="D86" s="347" t="str">
        <f>Market_currency</f>
        <v>HKD</v>
      </c>
    </row>
    <row r="88" spans="1:6">
      <c r="B88" s="347" t="s">
        <v>515</v>
      </c>
    </row>
    <row r="89" spans="1:6">
      <c r="B89" s="347" t="s">
        <v>217</v>
      </c>
      <c r="C89" s="377">
        <f>DCF!F6</f>
        <v>1649.3999999999999</v>
      </c>
      <c r="D89" s="347" t="str">
        <f>Reporting_currency</f>
        <v>CNY</v>
      </c>
    </row>
    <row r="90" spans="1:6">
      <c r="B90" s="376" t="s">
        <v>236</v>
      </c>
      <c r="C90" s="391">
        <f>C89*scaling_factor*Exchange_Rate/Common_Shares</f>
        <v>3.5155434646571876E-4</v>
      </c>
      <c r="D90" s="347" t="str">
        <f>Market_currency</f>
        <v>HKD</v>
      </c>
    </row>
    <row r="92" spans="1:6">
      <c r="B92" s="376" t="s">
        <v>483</v>
      </c>
      <c r="C92" s="391">
        <f>DCF!F8</f>
        <v>-5.938920414327014E-2</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0.58646528827105848</v>
      </c>
      <c r="D111" s="347" t="str">
        <f>Market_currency</f>
        <v>HKD</v>
      </c>
    </row>
    <row r="112" spans="1:6">
      <c r="A112" s="389"/>
      <c r="B112" s="376" t="s">
        <v>377</v>
      </c>
      <c r="C112" s="398">
        <f>DCF!C11</f>
        <v>0.67435631540175844</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-0.1</v>
      </c>
      <c r="D118" s="401">
        <f>DCF!D90</f>
        <v>3</v>
      </c>
      <c r="E118" s="402" t="str">
        <f>ROUND(DCF!E90,2)&amp;" "&amp;Market_currency</f>
        <v>0.46 HKD</v>
      </c>
      <c r="F118" s="403">
        <f>DCF!F90</f>
        <v>0.15</v>
      </c>
    </row>
    <row r="119" spans="1:6">
      <c r="A119" s="389"/>
      <c r="B119" s="404" t="str">
        <f>DCF!B91</f>
        <v>Optimistic</v>
      </c>
      <c r="C119" s="405">
        <f>DCF!C91</f>
        <v>0.02</v>
      </c>
      <c r="D119" s="406">
        <f>DCF!D91</f>
        <v>3</v>
      </c>
      <c r="E119" s="402" t="str">
        <f>ROUND(DCF!E91,2)&amp;" "&amp;Market_currency</f>
        <v>0.72 HKD</v>
      </c>
      <c r="F119" s="407">
        <f>DCF!F91</f>
        <v>0.15999999999999995</v>
      </c>
    </row>
    <row r="120" spans="1:6">
      <c r="B120" s="404" t="str">
        <f>DCF!B92</f>
        <v>Base</v>
      </c>
      <c r="C120" s="405">
        <f>DCF!C92</f>
        <v>0</v>
      </c>
      <c r="D120" s="406">
        <f>DCF!D92</f>
        <v>3</v>
      </c>
      <c r="E120" s="402" t="str">
        <f>ROUND(DCF!E92,2)&amp;" "&amp;Market_currency</f>
        <v>0.67 HKD</v>
      </c>
      <c r="F120" s="407">
        <f>DCF!F92</f>
        <v>0.44</v>
      </c>
    </row>
    <row r="121" spans="1:6">
      <c r="B121" s="404" t="str">
        <f>DCF!B93</f>
        <v>Pessimistic</v>
      </c>
      <c r="C121" s="405">
        <f>DCF!C93</f>
        <v>-0.02</v>
      </c>
      <c r="D121" s="406">
        <f>DCF!D93</f>
        <v>3</v>
      </c>
      <c r="E121" s="402" t="str">
        <f>ROUND(DCF!E93,2)&amp;" "&amp;Market_currency</f>
        <v>0.63 HKD</v>
      </c>
      <c r="F121" s="407">
        <f>DCF!F93</f>
        <v>0.19999999999999998</v>
      </c>
    </row>
    <row r="122" spans="1:6">
      <c r="B122" s="404" t="str">
        <f>DCF!B94</f>
        <v>Devil's advocate</v>
      </c>
      <c r="C122" s="405">
        <f>DCF!C94</f>
        <v>0.04</v>
      </c>
      <c r="D122" s="406">
        <f>DCF!D94</f>
        <v>3</v>
      </c>
      <c r="E122" s="402" t="str">
        <f>ROUND(DCF!E94,2)&amp;" "&amp;Market_currency</f>
        <v>0.77 HKD</v>
      </c>
      <c r="F122" s="407">
        <f>DCF!F94</f>
        <v>0.05</v>
      </c>
    </row>
    <row r="124" spans="1:6">
      <c r="B124" s="466" t="s">
        <v>521</v>
      </c>
      <c r="C124" s="466"/>
      <c r="D124" s="466"/>
      <c r="E124" s="466"/>
      <c r="F124" s="466"/>
    </row>
    <row r="125" spans="1:6">
      <c r="B125" s="376" t="s">
        <v>218</v>
      </c>
      <c r="C125" s="408">
        <f>Scenarios!C36</f>
        <v>0.64492005808753095</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2.7E-2</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4.9405992554973237E-2</v>
      </c>
      <c r="D140" s="413">
        <f>Scenarios!D62</f>
        <v>0.29719818345047516</v>
      </c>
      <c r="E140" s="414">
        <f>Scenarios!E62</f>
        <v>0.34660417600544841</v>
      </c>
      <c r="F140" s="415">
        <f>E22</f>
        <v>0.29465259038036601</v>
      </c>
    </row>
    <row r="141" spans="1:6">
      <c r="B141" s="412" t="s">
        <v>313</v>
      </c>
      <c r="C141" s="413">
        <f>Scenarios!C63</f>
        <v>5.6808106576265137E-2</v>
      </c>
      <c r="D141" s="413">
        <f>Scenarios!D63</f>
        <v>0.37251700106138985</v>
      </c>
      <c r="E141" s="414">
        <f>Scenarios!E63</f>
        <v>0.42932510763765497</v>
      </c>
      <c r="F141" s="415">
        <f>Scenarios!F63</f>
        <v>0.20075184365903001</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6.5140284400343515E-2</v>
      </c>
      <c r="D144" s="413">
        <f>Scenarios!D66</f>
        <v>0.462253154297948</v>
      </c>
      <c r="E144" s="414">
        <f>Scenarios!E66</f>
        <v>0.52739343869829147</v>
      </c>
      <c r="F144" s="415">
        <f>E24</f>
        <v>0.1174</v>
      </c>
    </row>
    <row r="145" spans="1:6">
      <c r="B145" s="412" t="s">
        <v>314</v>
      </c>
      <c r="C145" s="413">
        <f>Scenarios!C67</f>
        <v>7.0534131133671435E-2</v>
      </c>
      <c r="D145" s="413">
        <f>Scenarios!D67</f>
        <v>0.52277400230155446</v>
      </c>
      <c r="E145" s="414">
        <f>Scenarios!E67</f>
        <v>0.59330813343522593</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2025-12-22T03:00:48Z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