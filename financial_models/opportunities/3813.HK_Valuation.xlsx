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6B0A36-998A-419B-B12F-CB9562FC646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4" i="2"/>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63" i="6"/>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L69" i="4" l="1"/>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<sst xmlns="http://schemas.openxmlformats.org/spreadsheetml/2006/main" count="766" uniqueCount="556">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</sst>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0.48</v>
      </c>
      <c r="E8" s="32"/>
    </row>
    <row r="9" spans="1:9">
      <c r="B9" s="4" t="s">
        <v>346</v>
      </c>
      <c r="C9" s="48">
        <v>5183714855</v>
      </c>
    </row>
    <row r="10" spans="1:9">
      <c r="B10" s="4" t="s">
        <v>352</v>
      </c>
      <c r="C10" s="33">
        <f>Thesis!C8*Common_Shares/1000000</f>
        <v>2488.1831304000002</v>
      </c>
      <c r="D10" s="1" t="s">
        <v>530</v>
      </c>
      <c r="E10" s="307">
        <f>Scenarios!F34</f>
        <v>0.15148912164034103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1.0946661899999999</v>
      </c>
    </row>
    <row r="17" spans="1:6">
      <c r="B17" s="1" t="s">
        <v>534</v>
      </c>
      <c r="C17" s="420">
        <v>0</v>
      </c>
      <c r="D17" s="4" t="s">
        <v>274</v>
      </c>
      <c r="E17" s="224" t="s">
        <v>555</v>
      </c>
    </row>
    <row r="18" spans="1:6">
      <c r="B18" s="1" t="str">
        <f>"Expected Equity Value ("&amp;C7&amp;") :"</f>
        <v>Expected Equity Value (HKD) :</v>
      </c>
      <c r="C18" s="255">
        <f>C125</f>
        <v>0.63896931637895027</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0.34386189872038819</v>
      </c>
      <c r="D22" s="38" t="s">
        <v>408</v>
      </c>
      <c r="E22" s="79">
        <v>0.29465259038036606</v>
      </c>
    </row>
    <row r="23" spans="1:6">
      <c r="B23" s="1" t="s">
        <v>313</v>
      </c>
      <c r="C23" s="259">
        <f>E141</f>
        <v>0.42588785610923291</v>
      </c>
      <c r="D23" s="38" t="s">
        <v>409</v>
      </c>
      <c r="E23" s="448">
        <v>0.20075184365903009</v>
      </c>
    </row>
    <row r="24" spans="1:6">
      <c r="B24" s="1" t="s">
        <v>315</v>
      </c>
      <c r="C24" s="259">
        <f>E144</f>
        <v>0.5231281827325196</v>
      </c>
      <c r="D24" s="38" t="s">
        <v>410</v>
      </c>
      <c r="E24" s="448">
        <v>0.1174</v>
      </c>
    </row>
    <row r="25" spans="1:6">
      <c r="B25" s="1" t="s">
        <v>314</v>
      </c>
      <c r="C25" s="259">
        <f>E145</f>
        <v>0.58848444556779833</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410704.412090078</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7" t="s">
        <v>206</v>
      </c>
      <c r="C51" s="457"/>
      <c r="D51" s="457"/>
      <c r="E51" s="457"/>
      <c r="F51" s="457"/>
    </row>
    <row r="52" spans="2:6">
      <c r="B52" s="44" t="s">
        <v>204</v>
      </c>
      <c r="C52" s="289">
        <f>Normalized_FCF!C12</f>
        <v>-88244.267612844487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0.10980354227524289</v>
      </c>
      <c r="F62" s="260"/>
    </row>
    <row r="63" spans="2:6">
      <c r="B63" s="204" t="s">
        <v>332</v>
      </c>
      <c r="C63" s="89">
        <f>Normalized_FCF!C92</f>
        <v>5.6250000000000001E-2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-1457859</v>
      </c>
      <c r="D78" s="1" t="str">
        <f>Reporting_currency</f>
        <v>CNY</v>
      </c>
    </row>
    <row r="79" spans="1:6">
      <c r="A79" s="191"/>
      <c r="B79" s="44" t="s">
        <v>234</v>
      </c>
      <c r="C79" s="201">
        <f>C78*scaling_factor*Exchange_Rate/Common_Shares</f>
        <v>-0.30786202592681183</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0.2486725013749711</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3.4831051944233529E-4</v>
      </c>
      <c r="D90" s="1" t="str">
        <f>Market_currency</f>
        <v>HKD</v>
      </c>
    </row>
    <row r="91" spans="1:6">
      <c r="A91" s="191"/>
    </row>
    <row r="92" spans="1:6">
      <c r="A92" s="191"/>
      <c r="B92" s="44" t="s">
        <v>472</v>
      </c>
      <c r="C92" s="216">
        <f>DCF!F8</f>
        <v>-5.8841214032398434E-2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0.58105391455460365</v>
      </c>
      <c r="D111" s="1" t="str">
        <f>Market_currency</f>
        <v>HKD</v>
      </c>
    </row>
    <row r="112" spans="2:6">
      <c r="B112" s="44" t="s">
        <v>323</v>
      </c>
      <c r="C112" s="216">
        <f>DCF!C11</f>
        <v>0.6681339624105892</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0.45 HKD</v>
      </c>
      <c r="E118" s="208">
        <f>DCF!F90</f>
        <v>0.15</v>
      </c>
      <c r="F118" s="208">
        <f>RATE(Holding_Period,Scenarios!C$58,-DCF!E90,C$18)</f>
        <v>0.17672737131882851</v>
      </c>
    </row>
    <row r="119" spans="2:6">
      <c r="B119" s="205" t="str">
        <f>DCF!B91&amp;" ("&amp;DCF!D91&amp;"yrs)"</f>
        <v>Optimistic (3yrs)</v>
      </c>
      <c r="C119" s="198">
        <f>DCF!C91</f>
        <v>0.02</v>
      </c>
      <c r="D119" s="207" t="str">
        <f>ROUND(DCF!E91,2)&amp;" "&amp;Market_currency</f>
        <v>0.72 HKD</v>
      </c>
      <c r="E119" s="199">
        <f>DCF!F91</f>
        <v>0.15999999999999995</v>
      </c>
      <c r="F119" s="208">
        <f>RATE(Holding_Period,Scenarios!C$58,-DCF!E91,C$18)</f>
        <v>1.5028267395837255E-3</v>
      </c>
    </row>
    <row r="120" spans="2:6">
      <c r="B120" s="205" t="str">
        <f>DCF!B92&amp;" ("&amp;DCF!D92&amp;"yrs)"</f>
        <v>Base (3yrs)</v>
      </c>
      <c r="C120" s="198">
        <f>DCF!C92</f>
        <v>0</v>
      </c>
      <c r="D120" s="207" t="str">
        <f>ROUND(DCF!E92,2)&amp;" "&amp;Market_currency</f>
        <v>0.67 HKD</v>
      </c>
      <c r="E120" s="199">
        <f>DCF!F92</f>
        <v>0.44</v>
      </c>
      <c r="F120" s="208">
        <f>RATE(Holding_Period,Scenarios!C$58,-DCF!E92,C$18)</f>
        <v>2.6235909176885886E-2</v>
      </c>
    </row>
    <row r="121" spans="2:6">
      <c r="B121" s="205" t="str">
        <f>DCF!B93&amp;" ("&amp;DCF!D93&amp;"yrs)"</f>
        <v>Pessimistic (3yrs)</v>
      </c>
      <c r="C121" s="198">
        <f>DCF!C93</f>
        <v>-0.02</v>
      </c>
      <c r="D121" s="207" t="str">
        <f>ROUND(DCF!E93,2)&amp;" "&amp;Market_currency</f>
        <v>0.62 HKD</v>
      </c>
      <c r="E121" s="199">
        <f>DCF!F93</f>
        <v>0.19999999999999998</v>
      </c>
      <c r="F121" s="208">
        <f>RATE(Holding_Period,Scenarios!C$58,-DCF!E93,C$18)</f>
        <v>5.2494022835921784E-2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-2.1853207340008177E-2</v>
      </c>
    </row>
    <row r="124" spans="2:6">
      <c r="B124" s="457" t="s">
        <v>357</v>
      </c>
      <c r="C124" s="457"/>
      <c r="D124" s="457"/>
      <c r="E124" s="457"/>
      <c r="F124" s="457"/>
    </row>
    <row r="125" spans="2:6">
      <c r="B125" s="193" t="s">
        <v>218</v>
      </c>
      <c r="C125" s="197">
        <f>Scenarios!C36</f>
        <v>0.63896931637895027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0.29445590616541495</v>
      </c>
      <c r="E140" s="338">
        <f>Scenarios!E62</f>
        <v>0.34386189872038819</v>
      </c>
      <c r="F140" s="339">
        <f>E22</f>
        <v>0.29465259038036606</v>
      </c>
    </row>
    <row r="141" spans="1:6">
      <c r="B141" s="340" t="s">
        <v>313</v>
      </c>
      <c r="C141" s="337">
        <f>Scenarios!C63</f>
        <v>5.6808106576265109E-2</v>
      </c>
      <c r="D141" s="337">
        <f>Scenarios!D63</f>
        <v>0.36907974953296779</v>
      </c>
      <c r="E141" s="338">
        <f>Scenarios!E63</f>
        <v>0.42588785610923291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0.45798789833217612</v>
      </c>
      <c r="E144" s="338">
        <f>Scenarios!E66</f>
        <v>0.5231281827325196</v>
      </c>
      <c r="F144" s="339">
        <f>E24</f>
        <v>0.1174</v>
      </c>
    </row>
    <row r="145" spans="1:6">
      <c r="B145" s="340" t="s">
        <v>314</v>
      </c>
      <c r="C145" s="337">
        <f>Scenarios!C67</f>
        <v>7.0534131133671435E-2</v>
      </c>
      <c r="D145" s="337">
        <f>Scenarios!D67</f>
        <v>0.51795031443412687</v>
      </c>
      <c r="E145" s="338">
        <f>Scenarios!E67</f>
        <v>0.58848444556779833</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56"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89" sqref="D8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1.8728091106241298</v>
      </c>
      <c r="D47" s="134">
        <f>D46*H1/Common_Shares*Exchange_Rate</f>
        <v>0.58105391455460365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1595868.9570872099</v>
      </c>
      <c r="D86" s="201">
        <f>C86*scaling_factor/Common_Shares</f>
        <v>0.30786202592681189</v>
      </c>
      <c r="E86" s="214" t="str">
        <f>Market_currency</f>
        <v>HKD</v>
      </c>
    </row>
    <row r="87" spans="2:8" ht="15" customHeight="1">
      <c r="B87" s="212" t="s">
        <v>240</v>
      </c>
      <c r="C87" s="73">
        <f>DCF!F5*Exchange_Rate</f>
        <v>1289047.3394074456</v>
      </c>
      <c r="D87" s="201">
        <f>C87*scaling_factor/Common_Shares</f>
        <v>0.2486725013749711</v>
      </c>
      <c r="E87" s="214" t="str">
        <f>Market_currency</f>
        <v>HKD</v>
      </c>
    </row>
    <row r="88" spans="2:8" ht="15" customHeight="1">
      <c r="B88" s="213" t="s">
        <v>159</v>
      </c>
      <c r="C88" s="73">
        <f>DCF!F6*Exchange_Rate</f>
        <v>1805.5424137859995</v>
      </c>
      <c r="D88" s="201">
        <f>C88*scaling_factor/Common_Shares</f>
        <v>3.4831051944233529E-4</v>
      </c>
      <c r="E88" s="214" t="str">
        <f>Market_currency</f>
        <v>HKD</v>
      </c>
    </row>
    <row r="89" spans="2:8" ht="15" customHeight="1">
      <c r="B89" s="77" t="s">
        <v>244</v>
      </c>
      <c r="C89" s="162">
        <f>SUM(C86:C88)</f>
        <v>2886721.8389084414</v>
      </c>
      <c r="D89" s="216">
        <f>SUM(D86:D88)</f>
        <v>0.55688283782122527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5.6250000000000001E-2</v>
      </c>
      <c r="E92" s="238"/>
      <c r="G92" s="22">
        <f t="shared" ref="G92:Q92" si="38">IF(G$4="","",(G88*(1-dividend_tax_rate))/Market_Price)</f>
        <v>5.6250000000000001E-2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5.2705700292116596E-2</v>
      </c>
      <c r="D123" s="26"/>
      <c r="E123" s="235"/>
      <c r="F123" s="26"/>
      <c r="G123" s="159">
        <f t="shared" ref="G123:Q123" si="48">IF(G$4="","",G14*$C$3/Common_Shares*Exchange_Rate)</f>
        <v>3.9030300309902691E-2</v>
      </c>
      <c r="H123" s="159">
        <f t="shared" si="48"/>
        <v>3.7708500868107744E-2</v>
      </c>
      <c r="I123" s="159">
        <f t="shared" si="48"/>
        <v>-5.4113491562926275E-2</v>
      </c>
      <c r="J123" s="159">
        <f t="shared" si="48"/>
        <v>1.3891246639942385E-2</v>
      </c>
      <c r="K123" s="159">
        <f t="shared" si="48"/>
        <v>4.0313975629695395E-2</v>
      </c>
      <c r="L123" s="159">
        <f t="shared" si="48"/>
        <v>0.14854723550619567</v>
      </c>
      <c r="M123" s="159">
        <f t="shared" si="48"/>
        <v>8.5756313672787854E-2</v>
      </c>
      <c r="N123" s="159">
        <f t="shared" si="48"/>
        <v>5.9016607589444652E-2</v>
      </c>
      <c r="O123" s="159">
        <f t="shared" si="48"/>
        <v>8.9671692198906638E-2</v>
      </c>
      <c r="P123" s="159">
        <f t="shared" si="48"/>
        <v>1.1402555358195912E-2</v>
      </c>
      <c r="Q123" s="159" t="str">
        <f t="shared" si="48"/>
        <v/>
      </c>
    </row>
    <row r="124" spans="1:17" ht="15.75" customHeight="1">
      <c r="A124" s="10"/>
      <c r="B124" s="26" t="s">
        <v>226</v>
      </c>
      <c r="C124" s="74">
        <f>C19*Exchange_Rate*$C$3/(Market_Price*Common_Shares)</f>
        <v>0.10980354227524289</v>
      </c>
      <c r="D124" s="26"/>
      <c r="E124" s="235"/>
      <c r="F124" s="26"/>
      <c r="G124" s="74">
        <f t="shared" ref="G124" si="49">IF(G$4="","",G123/Market_Price)</f>
        <v>8.1313125645630605E-2</v>
      </c>
      <c r="H124" s="74">
        <f t="shared" ref="H124" si="50">IF(H$4="","",H123/Market_Price)</f>
        <v>7.8559376808557804E-2</v>
      </c>
      <c r="I124" s="74">
        <f t="shared" ref="I124" si="51">IF(I$4="","",I123/Market_Price)</f>
        <v>-0.11273644075609641</v>
      </c>
      <c r="J124" s="74">
        <f t="shared" ref="J124" si="52">IF(J$4="","",J123/Market_Price)</f>
        <v>2.8940097166546636E-2</v>
      </c>
      <c r="K124" s="74">
        <f t="shared" ref="K124" si="53">IF(K$4="","",K123/Market_Price)</f>
        <v>8.3987449228532074E-2</v>
      </c>
      <c r="L124" s="74">
        <f t="shared" ref="L124" si="54">IF(L$4="","",L123/Market_Price)</f>
        <v>0.30947340730457434</v>
      </c>
      <c r="M124" s="74">
        <f t="shared" ref="M124" si="55">IF(M$4="","",M123/Market_Price)</f>
        <v>0.17865898681830802</v>
      </c>
      <c r="N124" s="74">
        <f t="shared" ref="N124" si="56">IF(N$4="","",N123/Market_Price)</f>
        <v>0.12295126581134302</v>
      </c>
      <c r="O124" s="74">
        <f t="shared" ref="O124" si="57">IF(O$4="","",O123/Market_Price)</f>
        <v>0.18681602541438883</v>
      </c>
      <c r="P124" s="74">
        <f t="shared" ref="P124" si="58">IF(P$4="","",P123/Market_Price)</f>
        <v>2.375532366290815E-2</v>
      </c>
      <c r="Q124" s="74" t="str">
        <f t="shared" ref="Q124" si="59">IF(Q$4="","",Q123/Market_Price)</f>
        <v/>
      </c>
    </row>
    <row r="125" spans="1:17" ht="15.75" customHeight="1">
      <c r="B125" s="2" t="s">
        <v>306</v>
      </c>
      <c r="C125" s="151"/>
      <c r="G125" s="22">
        <f>IF(G$4="","",(Data!C47*$C$3)/(Market_Price*Common_Shares))</f>
        <v>0.20007450171883859</v>
      </c>
      <c r="H125" s="22">
        <f>IF(H$4="","",(Data!D47*$C$3)/(Market_Price*Common_Shares))</f>
        <v>0.2022391333869</v>
      </c>
      <c r="I125" s="22">
        <f>IF(I$4="","",(Data!E47*$C$3)/(Market_Price*Common_Shares))</f>
        <v>4.0285619967162845E-2</v>
      </c>
      <c r="J125" s="22">
        <f>IF(J$4="","",(Data!F47*$C$3)/(Market_Price*Common_Shares))</f>
        <v>0.15101581367107558</v>
      </c>
      <c r="K125" s="22">
        <f>IF(K$4="","",(Data!G47*$C$3)/(Market_Price*Common_Shares))</f>
        <v>0.12646175281697022</v>
      </c>
      <c r="L125" s="22">
        <f>IF(L$4="","",(Data!H47*$C$3)/(Market_Price*Common_Shares))</f>
        <v>0.35363554605345537</v>
      </c>
      <c r="M125" s="22">
        <f>IF(M$4="","",(Data!I47*$C$3)/(Market_Price*Common_Shares))</f>
        <v>0.22542311823721381</v>
      </c>
      <c r="N125" s="22">
        <f>IF(N$4="","",(Data!J47*$C$3)/(Market_Price*Common_Shares))</f>
        <v>0.16680122734104363</v>
      </c>
      <c r="O125" s="22">
        <f>IF(O$4="","",(Data!K47*$C$3)/(Market_Price*Common_Shares))</f>
        <v>0.22892647773414868</v>
      </c>
      <c r="P125" s="22">
        <f>IF(P$4="","",(Data!L47*$C$3)/(Market_Price*Common_Shares))</f>
        <v>2.5061660147971235E-2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3" sqref="D20:D23"/>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-5.8841214032398434E-2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1.0946661899999999</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3463415.9460777827</v>
      </c>
      <c r="D10" t="str">
        <f>Market_currency</f>
        <v>HKD</v>
      </c>
      <c r="H10" s="312" t="s">
        <v>398</v>
      </c>
      <c r="I10" s="310">
        <f>Normalized_FCF!C41</f>
        <v>0.25</v>
      </c>
      <c r="N10" s="308"/>
      <c r="O10" s="308"/>
    </row>
    <row r="11" spans="2:15" ht="13.15">
      <c r="B11" s="136" t="s">
        <v>428</v>
      </c>
      <c r="C11" s="108">
        <f>(C10*scaling_factor)/Common_Shares</f>
        <v>0.6681339624105892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-1.1861621958951121E-2</v>
      </c>
      <c r="E16" s="312" t="s">
        <v>401</v>
      </c>
      <c r="F16" s="315">
        <f>Scenarios!C41</f>
        <v>-1.1861621958951121E-2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0.64010231245821247</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-1.1861621958951121E-2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-1.1861621958951121E-2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-1.1861621958951121E-2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0.6681339624105892</v>
      </c>
      <c r="C73" s="119">
        <f>C11</f>
        <v>0.6681339624105892</v>
      </c>
      <c r="D73" s="119">
        <f>C11</f>
        <v>0.6681339624105892</v>
      </c>
      <c r="E73" s="119">
        <f>C11</f>
        <v>0.6681339624105892</v>
      </c>
      <c r="F73" s="119">
        <f>C11</f>
        <v>0.6681339624105892</v>
      </c>
      <c r="G73" s="300"/>
      <c r="H73" s="300"/>
      <c r="I73" s="300"/>
      <c r="J73" s="300"/>
      <c r="K73" s="300"/>
      <c r="L73" s="300"/>
    </row>
    <row r="74" spans="1:21" ht="13.15">
      <c r="A74" s="131">
        <v>1</v>
      </c>
      <c r="B74" s="119">
        <f t="shared" ref="B74:F87" si="11">(B56+FV_adjustments)/Common_Shares*scaling_factor*Exchange_Rate</f>
        <v>0.70225732173488931</v>
      </c>
      <c r="C74" s="119">
        <f t="shared" si="11"/>
        <v>0.65107228274843998</v>
      </c>
      <c r="D74" s="119">
        <f t="shared" si="11"/>
        <v>0.66813396241058964</v>
      </c>
      <c r="E74" s="119">
        <f t="shared" si="11"/>
        <v>0.68519564207273964</v>
      </c>
      <c r="F74" s="119">
        <f t="shared" si="11"/>
        <v>0.58282556409984132</v>
      </c>
      <c r="G74" s="300"/>
      <c r="H74" s="300"/>
      <c r="I74" s="300"/>
      <c r="J74" s="300"/>
      <c r="K74" s="300"/>
      <c r="L74" s="300"/>
    </row>
    <row r="75" spans="1:21" ht="13.15">
      <c r="A75" s="131">
        <v>2</v>
      </c>
      <c r="B75" s="119">
        <f t="shared" si="11"/>
        <v>0.73534663986754312</v>
      </c>
      <c r="C75" s="119">
        <f t="shared" si="11"/>
        <v>0.63548212324363196</v>
      </c>
      <c r="D75" s="119">
        <f t="shared" si="11"/>
        <v>0.66813396241058964</v>
      </c>
      <c r="E75" s="119">
        <f t="shared" si="11"/>
        <v>0.70142213461855996</v>
      </c>
      <c r="F75" s="119">
        <f t="shared" si="11"/>
        <v>0.51123809698592637</v>
      </c>
      <c r="G75" s="300"/>
      <c r="H75" s="300"/>
      <c r="I75" s="300"/>
      <c r="J75" s="300"/>
      <c r="K75" s="300"/>
      <c r="L75" s="300"/>
    </row>
    <row r="76" spans="1:21" ht="13.15">
      <c r="A76" s="131">
        <v>3</v>
      </c>
      <c r="B76" s="119">
        <f t="shared" si="11"/>
        <v>0.7674332513901172</v>
      </c>
      <c r="C76" s="119">
        <f t="shared" si="11"/>
        <v>0.62123656957024087</v>
      </c>
      <c r="D76" s="119">
        <f t="shared" si="11"/>
        <v>0.66813396241058964</v>
      </c>
      <c r="E76" s="119">
        <f t="shared" si="11"/>
        <v>0.71685432333346644</v>
      </c>
      <c r="F76" s="119">
        <f t="shared" si="11"/>
        <v>0.45116469800921466</v>
      </c>
      <c r="G76" s="300"/>
      <c r="H76" s="300"/>
      <c r="I76" s="300"/>
      <c r="J76" s="300"/>
      <c r="K76" s="300"/>
      <c r="L76" s="300"/>
    </row>
    <row r="77" spans="1:21" ht="13.15">
      <c r="A77" s="131">
        <v>4</v>
      </c>
      <c r="B77" s="119">
        <f t="shared" si="11"/>
        <v>0.79854754135140049</v>
      </c>
      <c r="C77" s="119">
        <f t="shared" si="11"/>
        <v>0.60821965339315642</v>
      </c>
      <c r="D77" s="119">
        <f t="shared" si="11"/>
        <v>0.66813396241058964</v>
      </c>
      <c r="E77" s="119">
        <f t="shared" si="11"/>
        <v>0.73153109022316776</v>
      </c>
      <c r="F77" s="119">
        <f t="shared" si="11"/>
        <v>0.40075345411267327</v>
      </c>
      <c r="G77" s="300"/>
      <c r="H77" s="300"/>
      <c r="I77" s="300"/>
      <c r="J77" s="300"/>
      <c r="K77" s="300"/>
      <c r="L77" s="300"/>
    </row>
    <row r="78" spans="1:21" ht="13.15">
      <c r="A78" s="131">
        <v>5</v>
      </c>
      <c r="B78" s="119">
        <f t="shared" si="11"/>
        <v>0.82871897404113004</v>
      </c>
      <c r="C78" s="119">
        <f t="shared" si="11"/>
        <v>0.59632540830826775</v>
      </c>
      <c r="D78" s="119">
        <f t="shared" si="11"/>
        <v>0.66813396241058964</v>
      </c>
      <c r="E78" s="119">
        <f t="shared" si="11"/>
        <v>0.7454894139784084</v>
      </c>
      <c r="F78" s="119">
        <f t="shared" si="11"/>
        <v>0.35845031238130992</v>
      </c>
      <c r="G78" s="300"/>
      <c r="H78" s="300"/>
      <c r="I78" s="300"/>
      <c r="J78" s="300"/>
      <c r="K78" s="300"/>
      <c r="L78" s="300"/>
    </row>
    <row r="79" spans="1:21" ht="13.15">
      <c r="A79" s="131">
        <v>6</v>
      </c>
      <c r="B79" s="119">
        <f t="shared" si="11"/>
        <v>0.85797612089177677</v>
      </c>
      <c r="C79" s="119">
        <f t="shared" si="11"/>
        <v>0.58545700720505967</v>
      </c>
      <c r="D79" s="119">
        <f t="shared" si="11"/>
        <v>0.66813396241058964</v>
      </c>
      <c r="E79" s="119">
        <f t="shared" si="11"/>
        <v>0.75876446314423129</v>
      </c>
      <c r="F79" s="119">
        <f t="shared" si="11"/>
        <v>0.32295117246687921</v>
      </c>
      <c r="G79" s="300"/>
      <c r="H79" s="300"/>
      <c r="I79" s="300"/>
      <c r="J79" s="300"/>
      <c r="K79" s="300"/>
      <c r="L79" s="300"/>
    </row>
    <row r="80" spans="1:21" ht="13.15">
      <c r="A80" s="131">
        <f t="shared" ref="A80" si="12">A62</f>
        <v>7</v>
      </c>
      <c r="B80" s="119">
        <f t="shared" si="11"/>
        <v>0.88634668753482826</v>
      </c>
      <c r="C80" s="119">
        <f t="shared" si="11"/>
        <v>0.57552597402916783</v>
      </c>
      <c r="D80" s="119">
        <f t="shared" si="11"/>
        <v>0.66813396241058964</v>
      </c>
      <c r="E80" s="119">
        <f t="shared" si="11"/>
        <v>0.77138968472851066</v>
      </c>
      <c r="F80" s="119">
        <f t="shared" si="11"/>
        <v>0.2931616844267973</v>
      </c>
      <c r="G80" s="300"/>
      <c r="H80" s="300"/>
      <c r="I80" s="300"/>
      <c r="J80" s="300"/>
      <c r="K80" s="300"/>
      <c r="L80" s="300"/>
    </row>
    <row r="81" spans="1:12" ht="13.15">
      <c r="A81" s="131">
        <v>8</v>
      </c>
      <c r="B81" s="119">
        <f t="shared" si="11"/>
        <v>0.91385754003718112</v>
      </c>
      <c r="C81" s="119">
        <f t="shared" si="11"/>
        <v>0.5664514635281197</v>
      </c>
      <c r="D81" s="119">
        <f t="shared" si="11"/>
        <v>0.66813396241058964</v>
      </c>
      <c r="E81" s="119">
        <f t="shared" si="11"/>
        <v>0.78339688847300004</v>
      </c>
      <c r="F81" s="119">
        <f t="shared" si="11"/>
        <v>0.2681635126449104</v>
      </c>
      <c r="G81" s="300"/>
      <c r="H81" s="300"/>
      <c r="I81" s="300"/>
      <c r="J81" s="300"/>
      <c r="K81" s="300"/>
      <c r="L81" s="300"/>
    </row>
    <row r="82" spans="1:12" ht="13.15">
      <c r="A82" s="131">
        <f t="shared" ref="A82" si="13">A64</f>
        <v>9</v>
      </c>
      <c r="B82" s="119">
        <f t="shared" si="11"/>
        <v>0.9405347303424928</v>
      </c>
      <c r="C82" s="119">
        <f t="shared" si="11"/>
        <v>0.55815960311690582</v>
      </c>
      <c r="D82" s="119">
        <f t="shared" si="11"/>
        <v>0.66813396241058964</v>
      </c>
      <c r="E82" s="119">
        <f t="shared" si="11"/>
        <v>0.79481632699922722</v>
      </c>
      <c r="F82" s="119">
        <f t="shared" si="11"/>
        <v>0.24718602583493551</v>
      </c>
      <c r="G82" s="300"/>
      <c r="H82" s="300"/>
      <c r="I82" s="300"/>
      <c r="J82" s="300"/>
      <c r="K82" s="300"/>
      <c r="L82" s="300"/>
    </row>
    <row r="83" spans="1:12" ht="13.15">
      <c r="A83" s="131">
        <f t="shared" ref="A83:A87" si="14">A65</f>
        <v>10</v>
      </c>
      <c r="B83" s="119">
        <f t="shared" si="11"/>
        <v>0.96640352094158322</v>
      </c>
      <c r="C83" s="119">
        <f t="shared" si="11"/>
        <v>0.55058289150572648</v>
      </c>
      <c r="D83" s="119">
        <f t="shared" si="11"/>
        <v>0.66813396241058964</v>
      </c>
      <c r="E83" s="119">
        <f t="shared" si="11"/>
        <v>0.80567677203116406</v>
      </c>
      <c r="F83" s="119">
        <f t="shared" si="11"/>
        <v>0.22958254039999146</v>
      </c>
      <c r="G83" s="300"/>
      <c r="H83" s="300"/>
      <c r="I83" s="300"/>
      <c r="J83" s="300"/>
      <c r="K83" s="300"/>
      <c r="L83" s="300"/>
    </row>
    <row r="84" spans="1:12" ht="13.15">
      <c r="A84" s="131">
        <f t="shared" si="14"/>
        <v>15</v>
      </c>
      <c r="B84" s="119">
        <f t="shared" si="11"/>
        <v>1.0844533579886284</v>
      </c>
      <c r="C84" s="119">
        <f t="shared" si="11"/>
        <v>0.52144461028578581</v>
      </c>
      <c r="D84" s="119">
        <f t="shared" si="11"/>
        <v>0.66813396241058953</v>
      </c>
      <c r="E84" s="119">
        <f t="shared" si="11"/>
        <v>0.85250628431440256</v>
      </c>
      <c r="F84" s="119">
        <f t="shared" si="11"/>
        <v>0.17595716284499652</v>
      </c>
      <c r="G84" s="300"/>
      <c r="H84" s="300"/>
      <c r="I84" s="300"/>
      <c r="J84" s="300"/>
      <c r="K84" s="300"/>
      <c r="L84" s="300"/>
    </row>
    <row r="85" spans="1:12" ht="13.15">
      <c r="A85" s="132">
        <f t="shared" si="14"/>
        <v>20</v>
      </c>
      <c r="B85" s="119">
        <f t="shared" si="11"/>
        <v>1.1856685222213257</v>
      </c>
      <c r="C85" s="119">
        <f t="shared" si="11"/>
        <v>0.50288333531009022</v>
      </c>
      <c r="D85" s="119">
        <f t="shared" si="11"/>
        <v>0.66813396241058953</v>
      </c>
      <c r="E85" s="119">
        <f t="shared" si="11"/>
        <v>0.88894256082887846</v>
      </c>
      <c r="F85" s="119">
        <f t="shared" si="11"/>
        <v>0.15364218778410507</v>
      </c>
      <c r="G85" s="300"/>
      <c r="H85" s="300"/>
      <c r="I85" s="300"/>
      <c r="J85" s="300"/>
      <c r="K85" s="300"/>
      <c r="L85" s="300"/>
    </row>
    <row r="86" spans="1:12" ht="13.15">
      <c r="A86" s="132">
        <f t="shared" si="14"/>
        <v>25</v>
      </c>
      <c r="B86" s="119">
        <f t="shared" si="11"/>
        <v>1.2724497472269076</v>
      </c>
      <c r="C86" s="119">
        <f t="shared" si="11"/>
        <v>0.49105968222215135</v>
      </c>
      <c r="D86" s="119">
        <f t="shared" si="11"/>
        <v>0.66813396241058953</v>
      </c>
      <c r="E86" s="119">
        <f t="shared" si="11"/>
        <v>0.9172922527541254</v>
      </c>
      <c r="F86" s="119">
        <f t="shared" si="11"/>
        <v>0.14435632100475179</v>
      </c>
      <c r="G86" s="300"/>
      <c r="H86" s="300"/>
      <c r="I86" s="300"/>
      <c r="J86" s="300"/>
      <c r="K86" s="300"/>
      <c r="L86" s="300"/>
    </row>
    <row r="87" spans="1:12" ht="13.15">
      <c r="A87" s="132">
        <f t="shared" si="14"/>
        <v>30</v>
      </c>
      <c r="B87" s="119">
        <f t="shared" si="11"/>
        <v>1.3468554064041769</v>
      </c>
      <c r="C87" s="119">
        <f t="shared" si="11"/>
        <v>0.48352793817294226</v>
      </c>
      <c r="D87" s="119">
        <f t="shared" si="11"/>
        <v>0.66813396241058942</v>
      </c>
      <c r="E87" s="119">
        <f t="shared" si="11"/>
        <v>0.93935007833729312</v>
      </c>
      <c r="F87" s="119">
        <f t="shared" si="11"/>
        <v>0.14049221980774815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0.45116469800921466</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0.71685432333346644</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0.66813396241058964</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0.62123656957024087</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0.7674332513901172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D21" sqref="D2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0.71685432333346644</v>
      </c>
      <c r="F22" s="332">
        <f>1-F23-F24</f>
        <v>0.19999999999999996</v>
      </c>
      <c r="G22" s="332">
        <f>F22*(1-F$29-F$30)</f>
        <v>0.15999999999999995</v>
      </c>
    </row>
    <row r="23" spans="2:7">
      <c r="B23" s="306" t="s">
        <v>440</v>
      </c>
      <c r="C23" s="328">
        <v>0</v>
      </c>
      <c r="D23" s="329">
        <f>C18</f>
        <v>3</v>
      </c>
      <c r="E23" s="330">
        <f>DCF!E92</f>
        <v>0.66813396241058964</v>
      </c>
      <c r="F23" s="331">
        <v>0.55000000000000004</v>
      </c>
      <c r="G23" s="332">
        <f t="shared" ref="G23:G24" si="0">F23*(1-F$29-F$30)</f>
        <v>0.44</v>
      </c>
    </row>
    <row r="24" spans="2:7">
      <c r="B24" s="306" t="s">
        <v>449</v>
      </c>
      <c r="C24" s="328">
        <v>-0.02</v>
      </c>
      <c r="D24" s="329">
        <f>C18</f>
        <v>3</v>
      </c>
      <c r="E24" s="330">
        <f>DCF!E93</f>
        <v>0.62123656957024087</v>
      </c>
      <c r="F24" s="331">
        <v>0.25</v>
      </c>
      <c r="G24" s="332">
        <f t="shared" si="0"/>
        <v>0.19999999999999998</v>
      </c>
    </row>
    <row r="25" spans="2:7">
      <c r="B25" s="141" t="s">
        <v>454</v>
      </c>
      <c r="C25" s="446">
        <f>E23*F23+E24*F24+E22*F22</f>
        <v>0.66615368638507777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0.45116469800921466</v>
      </c>
      <c r="F29" s="331">
        <v>0.15</v>
      </c>
      <c r="G29" s="332">
        <f>F29</f>
        <v>0.15</v>
      </c>
    </row>
    <row r="30" spans="2:7">
      <c r="B30" s="319" t="s">
        <v>450</v>
      </c>
      <c r="C30" s="328">
        <v>0.04</v>
      </c>
      <c r="D30" s="329">
        <f>C18</f>
        <v>3</v>
      </c>
      <c r="E30" s="330">
        <f>DCF!E94</f>
        <v>0.7674332513901172</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0.48</v>
      </c>
      <c r="D34" t="str">
        <f>Market_currency</f>
        <v>HKD</v>
      </c>
      <c r="E34" s="97" t="s">
        <v>457</v>
      </c>
      <c r="F34" s="334">
        <f>RATE(Holding_Period,$C$33,-C34,$C$36)</f>
        <v>0.15148912164034103</v>
      </c>
    </row>
    <row r="35" spans="2:7">
      <c r="B35" s="97" t="s">
        <v>437</v>
      </c>
      <c r="C35" s="324">
        <f>DCF!C11</f>
        <v>0.6681339624105892</v>
      </c>
      <c r="D35" s="97" t="str">
        <f>Market_currency</f>
        <v>HKD</v>
      </c>
      <c r="E35" s="97" t="s">
        <v>457</v>
      </c>
      <c r="F35" s="334">
        <f>RATE(Holding_Period,$C$33,-C35,$C$36)</f>
        <v>2.6235909176886167E-2</v>
      </c>
    </row>
    <row r="36" spans="2:7">
      <c r="B36" s="97" t="s">
        <v>438</v>
      </c>
      <c r="C36" s="325">
        <f>E22*G22+E23*G23+E24*G24+E30*G30+E29*G29</f>
        <v>0.63896931637895027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-1.1861621958951121E-2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-1.1861621958951121E-2</v>
      </c>
      <c r="D46" s="138"/>
      <c r="E46" s="221" t="s">
        <v>252</v>
      </c>
    </row>
    <row r="47" spans="2:7">
      <c r="B47" s="97" t="s">
        <v>96</v>
      </c>
      <c r="C47" s="146">
        <f>DCF!I18</f>
        <v>0.64010231245821247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0.87153298843376326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0.29445590616541495</v>
      </c>
      <c r="E62" s="336">
        <f>C62+D62</f>
        <v>0.34386189872038819</v>
      </c>
      <c r="F62" s="305">
        <f>Thesis!E22</f>
        <v>0.29465259038036606</v>
      </c>
      <c r="G62" s="445">
        <f>(1-E62/C36)</f>
        <v>0.46184912184976379</v>
      </c>
    </row>
    <row r="63" spans="2:7" ht="13.15">
      <c r="B63" s="306" t="s">
        <v>313</v>
      </c>
      <c r="C63" s="119">
        <f>PV(F63, Holding_Period, -C58, 0)</f>
        <v>5.6808106576265109E-2</v>
      </c>
      <c r="D63" s="119">
        <f>C36/(1+F63)^Holding_Period</f>
        <v>0.36907974953296779</v>
      </c>
      <c r="E63" s="336">
        <f>C63+D63</f>
        <v>0.42588785610923291</v>
      </c>
      <c r="F63" s="305">
        <f>Thesis!E23</f>
        <v>0.20075184365903009</v>
      </c>
      <c r="G63" s="445">
        <f>(1-E63/C36)</f>
        <v>0.33347682714602567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0.45798789833217612</v>
      </c>
      <c r="E66" s="336">
        <f>C66+D66</f>
        <v>0.5231281827325196</v>
      </c>
      <c r="F66" s="305">
        <f>Thesis!E24</f>
        <v>0.1174</v>
      </c>
      <c r="G66" s="445">
        <f>(1-E66/C36)</f>
        <v>0.18129373457696574</v>
      </c>
    </row>
    <row r="67" spans="2:7" ht="13.15">
      <c r="B67" s="306" t="s">
        <v>314</v>
      </c>
      <c r="C67" s="119">
        <f>PV(F67, Holding_Period, -C58, 0)</f>
        <v>7.0534131133671435E-2</v>
      </c>
      <c r="D67" s="119">
        <f>C36/(1+F67)^Holding_Period</f>
        <v>0.51795031443412687</v>
      </c>
      <c r="E67" s="336">
        <f>C67+D67</f>
        <v>0.58848444556779833</v>
      </c>
      <c r="F67" s="305">
        <f>Thesis!E25</f>
        <v>7.2499999999999995E-2</v>
      </c>
      <c r="G67" s="445">
        <f>(1-E67/C36)</f>
        <v>7.9009851517206742E-2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0.48</v>
      </c>
    </row>
    <row r="9" spans="1:10">
      <c r="B9" s="355" t="s">
        <v>361</v>
      </c>
      <c r="C9" s="357">
        <f>Common_Shares</f>
        <v>5183714855</v>
      </c>
    </row>
    <row r="10" spans="1:10">
      <c r="B10" s="355" t="s">
        <v>367</v>
      </c>
      <c r="C10" s="361">
        <f>投资主题!C8*Common_Shares/1000000</f>
        <v>2488.1831304000002</v>
      </c>
      <c r="D10" s="347" t="s">
        <v>531</v>
      </c>
      <c r="E10" s="364">
        <f>Scenarios!F34</f>
        <v>0.15148912164034103</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1.0946661899999999</v>
      </c>
    </row>
    <row r="17" spans="1:6">
      <c r="B17" s="347" t="s">
        <v>537</v>
      </c>
      <c r="C17" s="429">
        <f>Terminal_Growth</f>
        <v>0</v>
      </c>
      <c r="D17" s="355" t="s">
        <v>339</v>
      </c>
      <c r="E17" s="348" t="str">
        <f>Reporting_currency</f>
        <v>CNY</v>
      </c>
    </row>
    <row r="18" spans="1:6">
      <c r="B18" s="347" t="str">
        <f>"预期股权价值 ("&amp;C7&amp;") :"</f>
        <v>预期股权价值 (HKD) :</v>
      </c>
      <c r="C18" s="363">
        <f>C125</f>
        <v>0.63896931637895027</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0.34386189872038819</v>
      </c>
      <c r="D22" s="369" t="s">
        <v>443</v>
      </c>
      <c r="E22" s="370">
        <f>Thesis!E22</f>
        <v>0.29465259038036606</v>
      </c>
    </row>
    <row r="23" spans="1:6">
      <c r="B23" s="347" t="s">
        <v>341</v>
      </c>
      <c r="C23" s="371">
        <f>E141</f>
        <v>0.42588785610923291</v>
      </c>
      <c r="D23" s="369" t="s">
        <v>444</v>
      </c>
      <c r="E23" s="372">
        <f>Thesis!E23</f>
        <v>0.20075184365903009</v>
      </c>
    </row>
    <row r="24" spans="1:6">
      <c r="B24" s="347" t="s">
        <v>343</v>
      </c>
      <c r="C24" s="371">
        <f>E144</f>
        <v>0.5231281827325196</v>
      </c>
      <c r="D24" s="369" t="s">
        <v>446</v>
      </c>
      <c r="E24" s="372">
        <f>Thesis!E24</f>
        <v>0.1174</v>
      </c>
    </row>
    <row r="25" spans="1:6">
      <c r="B25" s="347" t="s">
        <v>342</v>
      </c>
      <c r="C25" s="371">
        <f>E145</f>
        <v>0.58848444556779833</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0.10980354227524289</v>
      </c>
      <c r="F62" s="383"/>
    </row>
    <row r="63" spans="2:6">
      <c r="B63" s="381" t="s">
        <v>332</v>
      </c>
      <c r="C63" s="382">
        <f>Normalized_FCF!C92</f>
        <v>5.6250000000000001E-2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-1457859</v>
      </c>
      <c r="D78" s="347" t="str">
        <f>Reporting_currency</f>
        <v>CNY</v>
      </c>
    </row>
    <row r="79" spans="1:6">
      <c r="B79" s="376" t="s">
        <v>234</v>
      </c>
      <c r="C79" s="391">
        <f>C78*scaling_factor*Exchange_Rate/Common_Shares</f>
        <v>-0.30786202592681183</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0.2486725013749711</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3.4831051944233529E-4</v>
      </c>
      <c r="D90" s="347" t="str">
        <f>Market_currency</f>
        <v>HKD</v>
      </c>
    </row>
    <row r="92" spans="1:6">
      <c r="B92" s="376" t="s">
        <v>483</v>
      </c>
      <c r="C92" s="391">
        <f>DCF!F8</f>
        <v>-5.8841214032398434E-2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0.58105391455460365</v>
      </c>
      <c r="D111" s="347" t="str">
        <f>Market_currency</f>
        <v>HKD</v>
      </c>
    </row>
    <row r="112" spans="1:6">
      <c r="A112" s="389"/>
      <c r="B112" s="376" t="s">
        <v>377</v>
      </c>
      <c r="C112" s="398">
        <f>DCF!C11</f>
        <v>0.6681339624105892</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0.45 HKD</v>
      </c>
      <c r="F118" s="403">
        <f>DCF!F90</f>
        <v>0.15</v>
      </c>
    </row>
    <row r="119" spans="1:6">
      <c r="A119" s="389"/>
      <c r="B119" s="404" t="str">
        <f>DCF!B91</f>
        <v>Optimistic</v>
      </c>
      <c r="C119" s="405">
        <f>DCF!C91</f>
        <v>0.02</v>
      </c>
      <c r="D119" s="406">
        <f>DCF!D91</f>
        <v>3</v>
      </c>
      <c r="E119" s="402" t="str">
        <f>ROUND(DCF!E91,2)&amp;" "&amp;Market_currency</f>
        <v>0.72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0.62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0.63896931637895027</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0.29445590616541495</v>
      </c>
      <c r="E140" s="414">
        <f>Scenarios!E62</f>
        <v>0.34386189872038819</v>
      </c>
      <c r="F140" s="415">
        <f>E22</f>
        <v>0.29465259038036606</v>
      </c>
    </row>
    <row r="141" spans="1:6">
      <c r="B141" s="412" t="s">
        <v>313</v>
      </c>
      <c r="C141" s="413">
        <f>Scenarios!C63</f>
        <v>5.6808106576265109E-2</v>
      </c>
      <c r="D141" s="413">
        <f>Scenarios!D63</f>
        <v>0.36907974953296779</v>
      </c>
      <c r="E141" s="414">
        <f>Scenarios!E63</f>
        <v>0.42588785610923291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0.45798789833217612</v>
      </c>
      <c r="E144" s="414">
        <f>Scenarios!E66</f>
        <v>0.5231281827325196</v>
      </c>
      <c r="F144" s="415">
        <f>E24</f>
        <v>0.1174</v>
      </c>
    </row>
    <row r="145" spans="1:6">
      <c r="B145" s="412" t="s">
        <v>314</v>
      </c>
      <c r="C145" s="413">
        <f>Scenarios!C67</f>
        <v>7.0534131133671435E-2</v>
      </c>
      <c r="D145" s="413">
        <f>Scenarios!D67</f>
        <v>0.51795031443412687</v>
      </c>
      <c r="E145" s="414">
        <f>Scenarios!E67</f>
        <v>0.58848444556779833</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2025-10-31T03:19:30Z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