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AC2140A-26BA-4894-A1DE-2EE73181FD7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G4" i="3"/>
  <c r="C19" i="3"/>
  <c r="C25" i="4"/>
  <c r="D36" i="4"/>
  <c r="D37" i="4"/>
  <c r="E83" i="2" l="1"/>
  <c r="E84" i="2"/>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E36" i="4"/>
  <c r="F36" i="4"/>
  <c r="E37" i="4"/>
  <c r="F37" i="4"/>
  <c r="F38" i="4" l="1"/>
  <c r="E38" i="4"/>
  <c r="D38" i="4"/>
  <c r="B18" i="6"/>
  <c r="F62" i="9"/>
  <c r="C102" i="6"/>
  <c r="C103" i="6"/>
  <c r="C101" i="6" s="1"/>
  <c r="F144" i="6"/>
  <c r="F66" i="9"/>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D56" i="4"/>
  <c r="H56" i="2" s="1"/>
  <c r="E56" i="4"/>
  <c r="I56" i="2" s="1"/>
  <c r="F56" i="4"/>
  <c r="J56" i="2" s="1"/>
  <c r="G56" i="4"/>
  <c r="K56" i="2" s="1"/>
  <c r="H56" i="4"/>
  <c r="L56" i="2" s="1"/>
  <c r="I56" i="4"/>
  <c r="M56" i="2" s="1"/>
  <c r="J56" i="4"/>
  <c r="N56" i="2" s="1"/>
  <c r="K56" i="4"/>
  <c r="O56" i="2" s="1"/>
  <c r="L56" i="4"/>
  <c r="P56" i="2" s="1"/>
  <c r="M56" i="4"/>
  <c r="Q56" i="2" s="1"/>
  <c r="C56" i="4"/>
  <c r="G56" i="2" s="1"/>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M76" i="4" l="1"/>
  <c r="B9" i="8"/>
  <c r="D9" i="8"/>
  <c r="K76" i="4"/>
  <c r="L76" i="4"/>
  <c r="J76" i="4"/>
  <c r="I76" i="4"/>
  <c r="H76" i="4"/>
  <c r="F76" i="4"/>
  <c r="E76" i="4"/>
  <c r="G76" i="4"/>
  <c r="C46" i="4" l="1"/>
  <c r="G12" i="2" s="1"/>
  <c r="C47" i="4"/>
  <c r="C48" i="4"/>
  <c r="G13" i="2" s="1"/>
  <c r="C66" i="3"/>
  <c r="C85" i="12" s="1"/>
  <c r="C24" i="3"/>
  <c r="G24" i="3"/>
  <c r="C12" i="3"/>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D63" i="4"/>
  <c r="E63" i="4"/>
  <c r="F63" i="4"/>
  <c r="G63" i="4"/>
  <c r="H63" i="4"/>
  <c r="I63" i="4"/>
  <c r="J63" i="4"/>
  <c r="K63" i="4"/>
  <c r="L63" i="4"/>
  <c r="M63" i="4"/>
  <c r="C63" i="4"/>
  <c r="D61" i="4"/>
  <c r="E61" i="4"/>
  <c r="F61" i="4"/>
  <c r="G61" i="4"/>
  <c r="H61" i="4"/>
  <c r="I61" i="4"/>
  <c r="J61" i="4"/>
  <c r="K61" i="4"/>
  <c r="L61" i="4"/>
  <c r="M61" i="4"/>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D65" i="4"/>
  <c r="H88" i="2" s="1"/>
  <c r="E65" i="4"/>
  <c r="I88" i="2" s="1"/>
  <c r="F65" i="4"/>
  <c r="J88" i="2" s="1"/>
  <c r="G65" i="4"/>
  <c r="K88" i="2" s="1"/>
  <c r="H65" i="4"/>
  <c r="L88" i="2" s="1"/>
  <c r="C65" i="4"/>
  <c r="G88" i="2" s="1"/>
  <c r="G103" i="2"/>
  <c r="E77" i="4"/>
  <c r="F77" i="4"/>
  <c r="G77" i="4"/>
  <c r="H77" i="4"/>
  <c r="E78" i="4"/>
  <c r="F78" i="4"/>
  <c r="G78" i="4"/>
  <c r="H78" i="4"/>
  <c r="D78" i="4"/>
  <c r="D80" i="4"/>
  <c r="H104" i="2" s="1"/>
  <c r="D77" i="4"/>
  <c r="M45" i="4" l="1"/>
  <c r="Q15" i="2"/>
  <c r="M62" i="4"/>
  <c r="Q16" i="2" s="1"/>
  <c r="C88" i="2"/>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63" i="6"/>
  <c r="C89" i="2"/>
  <c r="G72" i="4"/>
  <c r="I72" i="4"/>
  <c r="F72" i="4"/>
  <c r="E72" i="4"/>
  <c r="D72" i="4"/>
  <c r="J72" i="4"/>
  <c r="H72" i="4"/>
  <c r="L72"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M43" i="4" s="1"/>
  <c r="M44" i="4" s="1"/>
  <c r="M58" i="4" s="1"/>
  <c r="Q60" i="2" s="1"/>
  <c r="L69" i="4" l="1"/>
  <c r="L71" i="4"/>
  <c r="L70" i="4"/>
  <c r="I35" i="2"/>
  <c r="I38" i="2" s="1"/>
  <c r="I26" i="2"/>
  <c r="I32" i="2" s="1"/>
  <c r="G35" i="2"/>
  <c r="C35" i="2" s="1"/>
  <c r="G26" i="2"/>
  <c r="K35" i="2"/>
  <c r="K26" i="2"/>
  <c r="K32" i="2" s="1"/>
  <c r="Q35" i="2"/>
  <c r="Q26" i="2"/>
  <c r="Q5"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2" i="2"/>
  <c r="G92" i="2"/>
  <c r="C25" i="2"/>
  <c r="F71" i="4"/>
  <c r="M92" i="2"/>
  <c r="N92" i="2"/>
  <c r="P92" i="2"/>
  <c r="O92" i="2"/>
  <c r="L92" i="2"/>
  <c r="J92" i="2"/>
  <c r="I92" i="2"/>
  <c r="K92" i="2"/>
  <c r="C37" i="6"/>
  <c r="C37" i="12"/>
  <c r="H92" i="2"/>
  <c r="C140" i="6"/>
  <c r="C140" i="12"/>
  <c r="C145" i="6"/>
  <c r="C145" i="12"/>
  <c r="C144" i="6"/>
  <c r="C144" i="12"/>
  <c r="C141" i="6"/>
  <c r="C141" i="12"/>
  <c r="G89" i="2"/>
  <c r="Q125"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C12" i="9"/>
  <c r="H100" i="2"/>
  <c r="H117" i="2" s="1"/>
  <c r="P100" i="2"/>
  <c r="P118" i="2" s="1"/>
  <c r="M100" i="2"/>
  <c r="M117" i="2" s="1"/>
  <c r="N100" i="2"/>
  <c r="N117" i="2" s="1"/>
  <c r="Q100" i="2"/>
  <c r="Q117" i="2" s="1"/>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I78" i="2"/>
  <c r="Q78" i="2"/>
  <c r="Q71" i="2"/>
  <c r="Q30"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Q53" i="2" l="1"/>
  <c r="C29" i="2"/>
  <c r="C23" i="2" s="1"/>
  <c r="Q74" i="2"/>
  <c r="G38"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F22" i="8" l="1"/>
  <c r="F23" i="8" s="1"/>
  <c r="F24" i="8" s="1"/>
  <c r="F25" i="8" s="1"/>
  <c r="F26" i="8" s="1"/>
  <c r="F27" i="8" s="1"/>
  <c r="F28" i="8" s="1"/>
  <c r="F29" i="8" s="1"/>
  <c r="F30" i="8" s="1"/>
  <c r="C24" i="8"/>
  <c r="C46" i="2"/>
  <c r="D66" i="3"/>
  <c r="C71" i="2"/>
  <c r="C41" i="3"/>
  <c r="C44" i="12" l="1"/>
  <c r="Q46" i="2"/>
  <c r="Q48" i="2" s="1"/>
  <c r="Q10" i="2" s="1"/>
  <c r="F31" i="8"/>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Q76" i="2" l="1"/>
  <c r="Q41" i="2"/>
  <c r="Q11" i="2"/>
  <c r="C26" i="8"/>
  <c r="I76" i="2"/>
  <c r="H76" i="2"/>
  <c r="J76" i="2"/>
  <c r="C84" i="6"/>
  <c r="C86" i="6" s="1"/>
  <c r="C84" i="12"/>
  <c r="C86" i="12" s="1"/>
  <c r="G41" i="2"/>
  <c r="C87" i="3"/>
  <c r="D87" i="3" s="1"/>
  <c r="O76" i="2"/>
  <c r="O11" i="2"/>
  <c r="O119" i="2" s="1"/>
  <c r="O115" i="2" s="1"/>
  <c r="O41" i="2"/>
  <c r="L76" i="2"/>
  <c r="L41" i="2"/>
  <c r="K76" i="2"/>
  <c r="P76" i="2"/>
  <c r="P11" i="2"/>
  <c r="P41" i="2"/>
  <c r="M76" i="2"/>
  <c r="M41" i="2"/>
  <c r="J41" i="2"/>
  <c r="H41" i="2"/>
  <c r="I41" i="2"/>
  <c r="N76" i="2"/>
  <c r="N41" i="2"/>
  <c r="G76" i="2"/>
  <c r="C34" i="6"/>
  <c r="C72" i="2"/>
  <c r="C32" i="3"/>
  <c r="G31" i="3"/>
  <c r="F4" i="8" s="1"/>
  <c r="F7" i="8" s="1"/>
  <c r="B1" i="2"/>
  <c r="P119" i="2" l="1"/>
  <c r="P115" i="2" s="1"/>
  <c r="P96" i="2"/>
  <c r="Q14" i="2"/>
  <c r="Q119" i="2"/>
  <c r="Q115" i="2" s="1"/>
  <c r="Q77" i="2"/>
  <c r="Q116" i="2" s="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Q19" i="2" l="1"/>
  <c r="Q80" i="2"/>
  <c r="Q123" i="2"/>
  <c r="Q124" i="2" s="1"/>
  <c r="C92" i="6"/>
  <c r="C92" i="12"/>
  <c r="C28" i="8"/>
  <c r="C7" i="8"/>
  <c r="C86" i="3"/>
  <c r="D86" i="3" s="1"/>
  <c r="D89" i="3" s="1"/>
  <c r="C78" i="12"/>
  <c r="C79" i="12" s="1"/>
  <c r="C78" i="6"/>
  <c r="C79" i="6" s="1"/>
  <c r="O80" i="2"/>
  <c r="O19" i="2"/>
  <c r="O90" i="2" s="1"/>
  <c r="O123" i="2"/>
  <c r="O124" i="2" s="1"/>
  <c r="P80" i="2"/>
  <c r="P19" i="2"/>
  <c r="P90" i="2" s="1"/>
  <c r="P123" i="2"/>
  <c r="P124" i="2" s="1"/>
  <c r="C45" i="2"/>
  <c r="C45" i="12" s="1"/>
  <c r="Q85" i="2" l="1"/>
  <c r="Q90" i="2"/>
  <c r="Q113" i="2"/>
  <c r="C29" i="8"/>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<sst xmlns="http://schemas.openxmlformats.org/spreadsheetml/2006/main" count="766" uniqueCount="556">
  <si>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</si>
  <si>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</si>
  <si>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</si>
  <si>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</si>
  <si>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</si>
  <si>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</si>
  <si>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</si>
  <si>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</si>
  <si>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</si>
  <si>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</si>
  <si>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</si>
  <si>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</si>
  <si>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</si>
  <si>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</si>
  <si>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</si>
  <si>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</si>
  <si>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</si>
  <si>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</si>
  <si>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</si>
  <si>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</si>
  <si>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</si>
  <si>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</si>
  <si>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</si>
  <si>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</si>
  <si>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</si>
  <si>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</si>
  <si>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</si>
  <si>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</si>
  <si>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</si>
  <si>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</si>
  <si>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</si>
  <si>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</si>
  <si>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</si>
  <si>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</si>
  <si>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</si>
  <si>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</si>
  <si>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</si>
  <si>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</si>
  <si>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</si>
  <si>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</si>
  <si>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</si>
  <si>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</si>
  <si>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</si>
  <si>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</si>
  <si>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</si>
  <si>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</si>
  <si>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</si>
  <si>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</si>
  <si>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</si>
  <si>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</si>
  <si>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</si>
  <si>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</si>
  <si>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</si>
  <si>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</si>
  <si>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</si>
  <si>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</si>
  <si>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</si>
  <si>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</si>
  <si>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</si>
  <si>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</si>
  <si>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</si>
  <si>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</si>
  <si>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</si>
  <si>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</si>
  <si>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</si>
  <si>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</si>
  <si>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</si>
  <si>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</si>
  <si>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</si>
  <si>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</si>
  <si>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</si>
  <si>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</si>
  <si>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</si>
  <si>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</si>
  <si>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</si>
  <si>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</si>
  <si>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</si>
  <si>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</si>
  <si>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</si>
  <si>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</si>
  <si>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</si>
  <si>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</si>
  <si>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</si>
  <si>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</si>
  <si>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</si>
  <si>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</si>
  <si>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</si>
  <si>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</si>
  <si>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</si>
  <si>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</si>
  <si>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</si>
  <si>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</si>
  <si>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</si>
  <si>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</si>
  <si>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</si>
  <si>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</si>
  <si>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</si>
  <si>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</si>
  <si>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</si>
  <si>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</si>
  <si>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</si>
  <si>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</si>
  <si>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</si>
  <si>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</si>
  <si>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</si>
  <si>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</si>
  <si>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</si>
  <si>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</si>
  <si>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</si>
  <si>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</si>
  <si>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</si>
  <si>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</si>
  <si>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</si>
  <si>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</si>
  <si>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</si>
  <si>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</si>
  <si>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</si>
  <si>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</si>
  <si>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</si>
  <si>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</si>
  <si>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</si>
  <si>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</si>
  <si>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</si>
  <si>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</si>
  <si>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</si>
  <si>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</si>
  <si>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</si>
  <si>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</si>
  <si>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</si>
  <si>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</si>
  <si>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</si>
  <si>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</si>
  <si>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</si>
  <si>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</si>
  <si>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</si>
  <si>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</si>
  <si>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</si>
  <si>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</si>
  <si>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</si>
  <si>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</si>
  <si>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</si>
  <si>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</si>
  <si>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</si>
  <si>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</si>
  <si>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</si>
  <si>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</si>
  <si>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</si>
  <si>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</si>
  <si>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</si>
  <si>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</si>
  <si>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</si>
  <si>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</si>
  <si>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</si>
  <si>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</si>
  <si>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</si>
  <si>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</si>
  <si>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</si>
  <si>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</si>
  <si>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</si>
  <si>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</si>
  <si>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</si>
  <si>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</si>
  <si>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</si>
  <si>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</si>
  <si>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</si>
  <si>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</si>
  <si>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</si>
  <si>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</si>
  <si>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</si>
  <si>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</si>
  <si>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</si>
  <si>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</si>
  <si>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</si>
  <si>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</si>
  <si>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</si>
  <si>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</si>
  <si>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</si>
  <si>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</si>
  <si>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</si>
  <si>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</si>
  <si>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</si>
  <si>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</si>
  <si>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</si>
  <si>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</si>
  <si>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</si>
  <si>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</si>
  <si>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</si>
  <si>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</si>
  <si>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</si>
  <si>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</si>
  <si>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</si>
  <si>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</si>
  <si>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</si>
  <si>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</si>
  <si>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</si>
  <si>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</si>
  <si>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</si>
  <si>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</si>
  <si>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</si>
  <si>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</si>
  <si>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</si>
  <si>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</si>
  <si>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</si>
  <si>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</si>
  <si>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</si>
  <si>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</si>
  <si>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</si>
  <si>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</si>
  <si>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</si>
  <si>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</si>
  <si>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</si>
  <si>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</si>
  <si>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</si>
  <si>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</si>
  <si>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</si>
  <si>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</si>
  <si>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</si>
  <si>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</si>
  <si>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</si>
  <si>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</si>
  <si>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</si>
  <si>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</si>
  <si>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</si>
  <si>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</si>
  <si>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</si>
  <si>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</si>
  <si>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</si>
  <si>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</si>
  <si>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</si>
  <si>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</si>
  <si>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</si>
  <si>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</si>
  <si>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</si>
  <si>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</si>
  <si>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</si>
  <si>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</si>
  <si>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</si>
  <si>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</si>
  <si>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</si>
  <si>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</si>
  <si>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</si>
  <si>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</si>
  <si>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</si>
  <si>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</si>
  <si>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</si>
  <si>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</si>
  <si>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</si>
  <si>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</si>
  <si>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</si>
  <si>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</si>
  <si>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</si>
  <si>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</si>
  <si>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</si>
  <si>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</si>
  <si>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</si>
  <si>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</si>
  <si>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</si>
  <si>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</si>
  <si>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</si>
  <si>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</si>
  <si>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</si>
  <si>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</si>
  <si>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</si>
  <si>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</si>
  <si>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</si>
  <si>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</si>
  <si>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</si>
  <si>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</si>
  <si>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</si>
  <si>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</si>
  <si>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</si>
  <si>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</si>
  <si>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</si>
  <si>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</si>
  <si>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</si>
  <si>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</si>
  <si>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</si>
  <si>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</si>
  <si>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</si>
  <si>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</si>
  <si>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</si>
  <si>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</si>
  <si>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</si>
  <si>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</si>
  <si>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</si>
  <si>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</si>
  <si>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</si>
  <si>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</si>
  <si>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</si>
  <si>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</si>
  <si>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</si>
  <si>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</si>
  <si>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</si>
  <si>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</si>
  <si>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</si>
  <si>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</si>
  <si>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</si>
  <si>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</si>
  <si>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</si>
  <si>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</si>
  <si>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</si>
  <si>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</si>
  <si>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</si>
  <si>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</si>
  <si>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</si>
  <si>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</si>
  <si>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</si>
  <si>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</si>
  <si>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</si>
  <si>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</si>
  <si>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</si>
  <si>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</si>
  <si>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</si>
  <si>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</si>
  <si>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</si>
  <si>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</si>
  <si>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</si>
  <si>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</si>
  <si>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</si>
  <si>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</si>
  <si>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</si>
  <si>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</si>
  <si>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</si>
  <si>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</si>
  <si>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</si>
  <si>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</si>
  <si>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</si>
  <si>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</si>
  <si>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</si>
  <si>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</si>
  <si>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</si>
  <si>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</si>
  <si>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</si>
  <si>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</si>
  <si>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</si>
  <si>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</si>
  <si>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</si>
  <si>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</si>
  <si>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</si>
  <si>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</si>
  <si>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</si>
  <si>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</si>
  <si>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</si>
  <si>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</si>
  <si>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</si>
  <si>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</si>
  <si>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</si>
  <si>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</si>
  <si>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</si>
  <si>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</si>
  <si>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</si>
  <si>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</si>
  <si>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</si>
  <si>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</si>
  <si>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</si>
  <si>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</si>
  <si>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</si>
  <si>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</si>
  <si>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</si>
  <si>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</si>
  <si>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</si>
  <si>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</si>
  <si>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</si>
  <si>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</si>
  <si>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</si>
  <si>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</si>
  <si>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</si>
  <si>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</si>
  <si>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</si>
  <si>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</si>
  <si>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</si>
  <si>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</si>
  <si>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</si>
  <si>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</si>
  <si>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</si>
  <si>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</si>
  <si>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</si>
  <si>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</si>
  <si>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</si>
  <si>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</si>
  <si>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</si>
  <si>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</si>
  <si>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</si>
  <si>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</si>
  <si>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</si>
  <si>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</si>
  <si>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</si>
  <si>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</si>
  <si>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</si>
  <si>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</si>
  <si>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</si>
  <si>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</si>
  <si>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</si>
  <si>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</si>
  <si>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</si>
  <si>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</si>
  <si>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</si>
  <si>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</si>
  <si>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</si>
  <si>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</si>
  <si>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</si>
  <si>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</si>
  <si>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</si>
  <si>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</si>
  <si>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</si>
  <si>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</si>
  <si>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</si>
  <si>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</si>
  <si>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</si>
  <si>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</si>
  <si>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</si>
  <si>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</si>
  <si>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</si>
  <si>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</si>
  <si>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</si>
  <si>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</si>
  <si>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</si>
  <si>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</si>
  <si>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</si>
  <si>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</si>
  <si>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</si>
  <si>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</si>
  <si>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</si>
  <si>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</si>
  <si>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</si>
  <si>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</si>
  <si>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</si>
  <si>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</si>
  <si>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</si>
  <si>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</si>
  <si>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</si>
  <si>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</si>
  <si>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</si>
  <si>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</si>
  <si>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</si>
  <si>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</si>
  <si>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</si>
  <si>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</si>
  <si>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</si>
  <si>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</si>
  <si>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</si>
  <si>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</si>
  <si>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</si>
  <si>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</si>
  <si>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</si>
  <si>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</si>
  <si>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</si>
  <si>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</si>
  <si>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</si>
  <si>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</si>
  <si>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</si>
  <si>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</si>
  <si>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</si>
  <si>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</si>
  <si>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</si>
  <si>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</si>
  <si>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</si>
  <si>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</si>
  <si>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</si>
  <si>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</si>
  <si>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</si>
  <si>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</si>
  <si>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</si>
  <si>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</si>
  <si>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</si>
  <si>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</si>
  <si>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</si>
  <si>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</si>
  <si>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</si>
  <si>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</si>
  <si>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</si>
  <si>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</si>
  <si>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</si>
  <si>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</si>
  <si>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</si>
  <si>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</si>
  <si>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</si>
  <si>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</si>
  <si>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</si>
  <si>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</si>
  <si>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</si>
  <si>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</si>
  <si>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</si>
  <si>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</si>
  <si>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</si>
  <si>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</si>
  <si>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</si>
  <si>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</si>
  <si>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</si>
  <si>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</si>
  <si>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</si>
  <si>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</si>
  <si>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</si>
  <si>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</si>
  <si>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</si>
  <si>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</si>
  <si>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</si>
  <si>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</si>
  <si>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</si>
  <si>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</si>
  <si>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</si>
  <si>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</si>
  <si>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</si>
  <si>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</si>
  <si>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</si>
  <si>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</si>
  <si>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</si>
  <si>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</si>
  <si>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</si>
  <si>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</si>
  <si>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</si>
  <si>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</si>
  <si>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</si>
  <si>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</si>
  <si>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</si>
  <si>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</si>
  <si>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</si>
  <si>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</si>
  <si>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</si>
  <si>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</si>
  <si>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</si>
  <si>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</si>
  <si>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</si>
  <si>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</si>
  <si>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</si>
  <si>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</si>
  <si>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</si>
  <si>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</si>
  <si>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</si>
  <si>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</si>
  <si>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</si>
  <si>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</si>
  <si>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</si>
  <si>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</si>
  <si>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</si>
  <si>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</si>
  <si>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</si>
  <si>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</si>
  <si>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</si>
  <si>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</si>
  <si>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</si>
  <si>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</si>
  <si>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</si>
  <si>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</si>
  <si>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</si>
  <si>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</si>
  <si>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</si>
  <si>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</si>
  <si>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</si>
  <si>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</si>
  <si>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</si>
  <si>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</si>
  <si>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3813.HK</t>
  </si>
  <si>
    <t>寶勝國際</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</si>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</sst>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3" zoomScaleNormal="100" workbookViewId="0">
      <selection activeCell="B9" sqref="B9"/>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45954</v>
      </c>
    </row>
    <row r="4" spans="1:9" ht="12.4">
      <c r="B4" s="426" t="s">
        <v>535</v>
      </c>
      <c r="C4" s="425" t="s">
        <v>553</v>
      </c>
      <c r="E4" s="435" t="s">
        <v>539</v>
      </c>
      <c r="F4" s="436" t="s">
        <v>324</v>
      </c>
    </row>
    <row r="5" spans="1:9">
      <c r="B5" s="1" t="s">
        <v>349</v>
      </c>
      <c r="C5" s="46" t="s">
        <v>552</v>
      </c>
      <c r="E5" s="438" t="s">
        <v>541</v>
      </c>
      <c r="F5" s="437" t="s">
        <v>549</v>
      </c>
    </row>
    <row r="6" spans="1:9">
      <c r="B6" s="2" t="s">
        <v>53</v>
      </c>
      <c r="C6" s="45" t="s">
        <v>554</v>
      </c>
      <c r="D6" s="45"/>
      <c r="E6" s="45"/>
    </row>
    <row r="7" spans="1:9">
      <c r="B7" s="1" t="s">
        <v>351</v>
      </c>
      <c r="C7" s="45" t="s">
        <v>308</v>
      </c>
      <c r="D7" s="45"/>
      <c r="E7" s="45"/>
    </row>
    <row r="8" spans="1:9">
      <c r="B8" s="4" t="s">
        <v>350</v>
      </c>
      <c r="C8" s="47">
        <v>0.48</v>
      </c>
      <c r="E8" s="32"/>
    </row>
    <row r="9" spans="1:9">
      <c r="B9" s="4" t="s">
        <v>346</v>
      </c>
      <c r="C9" s="48">
        <v>5183714855</v>
      </c>
    </row>
    <row r="10" spans="1:9">
      <c r="B10" s="4" t="s">
        <v>352</v>
      </c>
      <c r="C10" s="33">
        <f>Thesis!C8*Common_Shares/1000000</f>
        <v>2488.1831304000002</v>
      </c>
      <c r="D10" s="1" t="s">
        <v>530</v>
      </c>
      <c r="E10" s="307">
        <f>Scenarios!F34</f>
        <v>5.7029099355293308E-2</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1.0946661899999999</v>
      </c>
    </row>
    <row r="17" spans="1:6">
      <c r="B17" s="1" t="s">
        <v>534</v>
      </c>
      <c r="C17" s="420">
        <v>0</v>
      </c>
      <c r="D17" s="4" t="s">
        <v>274</v>
      </c>
      <c r="E17" s="224" t="s">
        <v>555</v>
      </c>
    </row>
    <row r="18" spans="1:6">
      <c r="B18" s="1" t="str">
        <f>"Expected Equity Value ("&amp;C7&amp;") :"</f>
        <v>Expected Equity Value (HKD) :</v>
      </c>
      <c r="C18" s="255">
        <f>C125</f>
        <v>0.48118710045527707</v>
      </c>
      <c r="D18" s="2" t="s">
        <v>347</v>
      </c>
      <c r="E18" s="423">
        <v>6</v>
      </c>
    </row>
    <row r="19" spans="1:6">
      <c r="B19" s="2" t="s">
        <v>275</v>
      </c>
      <c r="C19" s="31" t="str">
        <f>IF(Scenarios!C50="Y",Scenarios!B50,"")&amp;IF(Scenarios!C51="Y",Scenarios!B51,"")&amp;IF(Scenarios!C52="Y",Scenarios!B52,"")&amp;" "&amp;IF(Scenarios!C53="Y",Scenarios!B53,"")</f>
        <v>Negative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0.27115120013805027</v>
      </c>
      <c r="D22" s="38" t="s">
        <v>408</v>
      </c>
      <c r="E22" s="79">
        <v>0.29465259038036606</v>
      </c>
    </row>
    <row r="23" spans="1:6">
      <c r="B23" s="1" t="s">
        <v>313</v>
      </c>
      <c r="C23" s="259">
        <f>E141</f>
        <v>0.33475011405945776</v>
      </c>
      <c r="D23" s="38" t="s">
        <v>409</v>
      </c>
      <c r="E23" s="448">
        <v>0.20075184365903009</v>
      </c>
    </row>
    <row r="24" spans="1:6">
      <c r="B24" s="1" t="s">
        <v>315</v>
      </c>
      <c r="C24" s="259">
        <f>E144</f>
        <v>0.41003613963632124</v>
      </c>
      <c r="D24" s="38" t="s">
        <v>410</v>
      </c>
      <c r="E24" s="448">
        <v>0.1174</v>
      </c>
    </row>
    <row r="25" spans="1:6">
      <c r="B25" s="1" t="s">
        <v>314</v>
      </c>
      <c r="C25" s="259">
        <f>E145</f>
        <v>0.46058574017626652</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379710.97209007666</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15191.436227966604</v>
      </c>
      <c r="D44" s="1" t="str">
        <f>Reporting_currency</f>
        <v>CNY</v>
      </c>
      <c r="E44" s="247"/>
      <c r="F44" s="247"/>
    </row>
    <row r="45" spans="2:6">
      <c r="B45" s="44" t="s">
        <v>268</v>
      </c>
      <c r="C45" s="290">
        <f>Normalized_FCF!C45</f>
        <v>-72892.95</v>
      </c>
      <c r="D45" s="1" t="str">
        <f>Reporting_currency</f>
        <v>CNY</v>
      </c>
      <c r="E45" s="247"/>
      <c r="F45" s="247"/>
    </row>
    <row r="46" spans="2:6">
      <c r="B46" s="44" t="s">
        <v>203</v>
      </c>
      <c r="C46" s="289">
        <f>Normalized_FCF!C10</f>
        <v>-57701.513772033395</v>
      </c>
      <c r="D46" s="1" t="str">
        <f>Reporting_currency</f>
        <v>CNY</v>
      </c>
    </row>
    <row r="48" spans="2:6">
      <c r="B48" s="1" t="s">
        <v>211</v>
      </c>
    </row>
    <row r="49" spans="2:6">
      <c r="B49" s="44" t="s">
        <v>223</v>
      </c>
      <c r="C49" s="289">
        <f>Normalized_FCF!C13</f>
        <v>-15148.661076173323</v>
      </c>
      <c r="D49" s="1" t="str">
        <f>Reporting_currency</f>
        <v>CNY</v>
      </c>
    </row>
    <row r="51" spans="2:6">
      <c r="B51" s="459" t="s">
        <v>206</v>
      </c>
      <c r="C51" s="459"/>
      <c r="D51" s="459"/>
      <c r="E51" s="459"/>
      <c r="F51" s="459"/>
    </row>
    <row r="52" spans="2:6">
      <c r="B52" s="44" t="s">
        <v>204</v>
      </c>
      <c r="C52" s="289">
        <f>Normalized_FCF!C12</f>
        <v>-80502.364579510817</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184873.15815414075</v>
      </c>
      <c r="D60" s="1" t="str">
        <f>Reporting_currency</f>
        <v>CNY</v>
      </c>
    </row>
    <row r="61" spans="2:6">
      <c r="B61" s="44" t="s">
        <v>213</v>
      </c>
      <c r="C61" s="289">
        <f>Normalized_FCF!C19</f>
        <v>226358.43266235912</v>
      </c>
      <c r="D61" s="1" t="str">
        <f>Reporting_currency</f>
        <v>CNY</v>
      </c>
    </row>
    <row r="62" spans="2:6">
      <c r="B62" s="204" t="s">
        <v>302</v>
      </c>
      <c r="C62" s="89">
        <f>Normalized_FCF!C124</f>
        <v>9.9585484697439441E-2</v>
      </c>
      <c r="F62" s="260"/>
    </row>
    <row r="63" spans="2:6">
      <c r="B63" s="204" t="s">
        <v>332</v>
      </c>
      <c r="C63" s="89">
        <f>Normalized_FCF!C92</f>
        <v>5.6250000000000001E-2</v>
      </c>
      <c r="E63" s="44" t="s">
        <v>322</v>
      </c>
      <c r="F63" s="261">
        <f>Normalized_FCF!C90</f>
        <v>0.68701414752223544</v>
      </c>
    </row>
    <row r="65" spans="1:6">
      <c r="B65" s="192" t="s">
        <v>325</v>
      </c>
      <c r="C65" s="267" t="s">
        <v>327</v>
      </c>
      <c r="D65" s="267" t="s">
        <v>328</v>
      </c>
    </row>
    <row r="66" spans="1:6">
      <c r="B66" s="44" t="s">
        <v>326</v>
      </c>
      <c r="C66" s="89">
        <f>Normalized_FCF!C119</f>
        <v>3.586906730443893E-2</v>
      </c>
      <c r="D66" s="89">
        <f>Normalized_FCF!G119</f>
        <v>4.2505173365498042E-2</v>
      </c>
    </row>
    <row r="67" spans="1:6">
      <c r="B67" s="229" t="str">
        <f>Normalized_FCF!B116</f>
        <v>Pre-tax Profit/Sales</v>
      </c>
      <c r="C67" s="266">
        <f>Normalized_FCF!C116</f>
        <v>1.7449376932917909E-2</v>
      </c>
      <c r="D67" s="266">
        <f>Normalized_FCF!G116</f>
        <v>2.0677671525677264E-2</v>
      </c>
    </row>
    <row r="68" spans="1:6">
      <c r="B68" s="229" t="str">
        <f>Normalized_FCF!B117</f>
        <v>Sales/Total Assets</v>
      </c>
      <c r="C68" s="268">
        <f>Normalized_FCF!C117</f>
        <v>1.4656521003611329</v>
      </c>
      <c r="D68" s="268">
        <f>Normalized_FCF!G117</f>
        <v>1.4656521003611329</v>
      </c>
    </row>
    <row r="69" spans="1:6">
      <c r="B69" s="229" t="str">
        <f>Normalized_FCF!B118</f>
        <v>Total Assets/Equity</v>
      </c>
      <c r="C69" s="268">
        <f>Normalized_FCF!C118</f>
        <v>1.4025206525126881</v>
      </c>
      <c r="D69" s="268">
        <f>Normalized_FCF!G118</f>
        <v>1.4025206525126881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-1457859</v>
      </c>
      <c r="D78" s="1" t="str">
        <f>Reporting_currency</f>
        <v>CNY</v>
      </c>
    </row>
    <row r="79" spans="1:6">
      <c r="A79" s="191"/>
      <c r="B79" s="44" t="s">
        <v>234</v>
      </c>
      <c r="C79" s="201">
        <f>C78*scaling_factor*Exchange_Rate/Common_Shares</f>
        <v>-0.30786202592681183</v>
      </c>
      <c r="D79" s="1" t="str">
        <f>Market_currency</f>
        <v>HKD</v>
      </c>
    </row>
    <row r="80" spans="1:6">
      <c r="A80" s="191"/>
      <c r="B80" s="229" t="s">
        <v>309</v>
      </c>
      <c r="C80" s="341">
        <f>IF(BS!G31/BS!G27&gt;300%,"nm",BS!G31/BS!G27)</f>
        <v>0.16239287772638675</v>
      </c>
    </row>
    <row r="81" spans="1:6">
      <c r="A81" s="191"/>
      <c r="B81" s="229" t="s">
        <v>311</v>
      </c>
      <c r="C81" s="342">
        <f>IF(BS!C50&gt;30,"nm",BS!C50)</f>
        <v>3.8393912927387319</v>
      </c>
    </row>
    <row r="82" spans="1:6">
      <c r="A82" s="191"/>
    </row>
    <row r="83" spans="1:6">
      <c r="A83" s="191"/>
      <c r="B83" s="1" t="s">
        <v>469</v>
      </c>
    </row>
    <row r="84" spans="1:6">
      <c r="A84" s="191"/>
      <c r="B84" s="1" t="s">
        <v>224</v>
      </c>
      <c r="C84" s="289">
        <f>DCF!F5</f>
        <v>1174988.3772033397</v>
      </c>
      <c r="D84" s="1" t="str">
        <f>Reporting_currency</f>
        <v>CNY</v>
      </c>
    </row>
    <row r="85" spans="1:6">
      <c r="A85" s="191"/>
      <c r="B85" s="229" t="s">
        <v>222</v>
      </c>
      <c r="C85" s="295">
        <f>BS!C66</f>
        <v>2694132</v>
      </c>
      <c r="D85" s="343" t="str">
        <f>Reporting_currency</f>
        <v>CNY</v>
      </c>
    </row>
    <row r="86" spans="1:6">
      <c r="A86" s="191"/>
      <c r="B86" s="44" t="s">
        <v>235</v>
      </c>
      <c r="C86" s="201">
        <f>C84*scaling_factor*Exchange_Rate/Common_Shares</f>
        <v>0.24812708378950032</v>
      </c>
      <c r="D86" s="1" t="str">
        <f>Market_currency</f>
        <v>HKD</v>
      </c>
    </row>
    <row r="87" spans="1:6">
      <c r="A87" s="191"/>
    </row>
    <row r="88" spans="1:6">
      <c r="A88" s="191"/>
      <c r="B88" s="1" t="s">
        <v>216</v>
      </c>
    </row>
    <row r="89" spans="1:6">
      <c r="A89" s="191"/>
      <c r="B89" s="1" t="s">
        <v>217</v>
      </c>
      <c r="C89" s="289">
        <f>DCF!F6</f>
        <v>1649.3999999999999</v>
      </c>
      <c r="D89" s="1" t="str">
        <f>Reporting_currency</f>
        <v>CNY</v>
      </c>
    </row>
    <row r="90" spans="1:6">
      <c r="A90" s="191"/>
      <c r="B90" s="44" t="s">
        <v>236</v>
      </c>
      <c r="C90" s="201">
        <f>C89*scaling_factor*Exchange_Rate/Common_Shares</f>
        <v>3.4831051944233529E-4</v>
      </c>
      <c r="D90" s="1" t="str">
        <f>Market_currency</f>
        <v>HKD</v>
      </c>
    </row>
    <row r="91" spans="1:6">
      <c r="A91" s="191"/>
    </row>
    <row r="92" spans="1:6">
      <c r="A92" s="191"/>
      <c r="B92" s="44" t="s">
        <v>472</v>
      </c>
      <c r="C92" s="216">
        <f>DCF!F8</f>
        <v>-5.9386631617869189E-2</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0.58105391455460365</v>
      </c>
      <c r="D111" s="1" t="str">
        <f>Market_currency</f>
        <v>HKD</v>
      </c>
    </row>
    <row r="112" spans="2:6">
      <c r="B112" s="44" t="s">
        <v>323</v>
      </c>
      <c r="C112" s="216">
        <f>DCF!C11</f>
        <v>0.59993795672379879</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-0.3</v>
      </c>
      <c r="D118" s="207" t="str">
        <f>ROUND(DCF!E90,2)&amp;" "&amp;Market_currency</f>
        <v>0.11 HKD</v>
      </c>
      <c r="E118" s="208">
        <f>DCF!F90</f>
        <v>0.15</v>
      </c>
      <c r="F118" s="208">
        <f>RATE(Holding_Period,Scenarios!C$58,-DCF!E90,C$18)</f>
        <v>0.80181888533152224</v>
      </c>
    </row>
    <row r="119" spans="2:6">
      <c r="B119" s="205" t="str">
        <f>DCF!B91&amp;" ("&amp;DCF!D91&amp;"yrs)"</f>
        <v>Optimistic (3yrs)</v>
      </c>
      <c r="C119" s="198">
        <f>DCF!C91</f>
        <v>0.02</v>
      </c>
      <c r="D119" s="207" t="str">
        <f>ROUND(DCF!E91,2)&amp;" "&amp;Market_currency</f>
        <v>0.64 HKD</v>
      </c>
      <c r="E119" s="199">
        <f>DCF!F91</f>
        <v>0.15999999999999995</v>
      </c>
      <c r="F119" s="208">
        <f>RATE(Holding_Period,Scenarios!C$58,-DCF!E91,C$18)</f>
        <v>-4.6786896600302622E-2</v>
      </c>
    </row>
    <row r="120" spans="2:6">
      <c r="B120" s="205" t="str">
        <f>DCF!B92&amp;" ("&amp;DCF!D92&amp;"yrs)"</f>
        <v>Base (3yrs)</v>
      </c>
      <c r="C120" s="198">
        <f>DCF!C92</f>
        <v>0</v>
      </c>
      <c r="D120" s="207" t="str">
        <f>ROUND(DCF!E92,2)&amp;" "&amp;Market_currency</f>
        <v>0.6 HKD</v>
      </c>
      <c r="E120" s="199">
        <f>DCF!F92</f>
        <v>0.44</v>
      </c>
      <c r="F120" s="208">
        <f>RATE(Holding_Period,Scenarios!C$58,-DCF!E92,C$18)</f>
        <v>-2.2480608044182077E-2</v>
      </c>
    </row>
    <row r="121" spans="2:6">
      <c r="B121" s="205" t="str">
        <f>DCF!B93&amp;" ("&amp;DCF!D93&amp;"yrs)"</f>
        <v>Pessimistic (3yrs)</v>
      </c>
      <c r="C121" s="198">
        <f>DCF!C93</f>
        <v>-0.15</v>
      </c>
      <c r="D121" s="207" t="str">
        <f>ROUND(DCF!E93,2)&amp;" "&amp;Market_currency</f>
        <v>0.31 HKD</v>
      </c>
      <c r="E121" s="199">
        <f>DCF!F93</f>
        <v>0.19999999999999998</v>
      </c>
      <c r="F121" s="208">
        <f>RATE(Holding_Period,Scenarios!C$58,-DCF!E93,C$18)</f>
        <v>0.22737563899691779</v>
      </c>
    </row>
    <row r="122" spans="2:6">
      <c r="B122" s="205" t="str">
        <f>DCF!B94&amp;" ("&amp;DCF!D94&amp;"yrs)"</f>
        <v>Devil's advocate (3yrs)</v>
      </c>
      <c r="C122" s="198">
        <f>DCF!C94</f>
        <v>0.04</v>
      </c>
      <c r="D122" s="207" t="str">
        <f>ROUND(DCF!E94,2)&amp;" "&amp;Market_currency</f>
        <v>0.69 HKD</v>
      </c>
      <c r="E122" s="199">
        <f>DCF!F94</f>
        <v>0.05</v>
      </c>
      <c r="F122" s="208">
        <f>RATE(Holding_Period,Scenarios!C$58,-DCF!E94,C$18)</f>
        <v>-6.9678403917928067E-2</v>
      </c>
    </row>
    <row r="124" spans="2:6">
      <c r="B124" s="459" t="s">
        <v>357</v>
      </c>
      <c r="C124" s="459"/>
      <c r="D124" s="459"/>
      <c r="E124" s="459"/>
      <c r="F124" s="459"/>
    </row>
    <row r="125" spans="2:6">
      <c r="B125" s="193" t="s">
        <v>218</v>
      </c>
      <c r="C125" s="197">
        <f>Scenarios!C36</f>
        <v>0.48118710045527707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4.9405992554973223E-2</v>
      </c>
      <c r="D140" s="337">
        <f>Scenarios!D62</f>
        <v>0.22174520758307703</v>
      </c>
      <c r="E140" s="338">
        <f>Scenarios!E62</f>
        <v>0.27115120013805027</v>
      </c>
      <c r="F140" s="339">
        <f>E22</f>
        <v>0.29465259038036606</v>
      </c>
    </row>
    <row r="141" spans="1:6">
      <c r="B141" s="340" t="s">
        <v>313</v>
      </c>
      <c r="C141" s="337">
        <f>Scenarios!C63</f>
        <v>5.6808106576265109E-2</v>
      </c>
      <c r="D141" s="337">
        <f>Scenarios!D63</f>
        <v>0.27794200748319264</v>
      </c>
      <c r="E141" s="338">
        <f>Scenarios!E63</f>
        <v>0.33475011405945776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6.5140284400343515E-2</v>
      </c>
      <c r="D144" s="337">
        <f>Scenarios!D66</f>
        <v>0.34489585523597771</v>
      </c>
      <c r="E144" s="338">
        <f>Scenarios!E66</f>
        <v>0.41003613963632124</v>
      </c>
      <c r="F144" s="339">
        <f>E24</f>
        <v>0.1174</v>
      </c>
    </row>
    <row r="145" spans="1:6">
      <c r="B145" s="340" t="s">
        <v>314</v>
      </c>
      <c r="C145" s="337">
        <f>Scenarios!C67</f>
        <v>7.0534131133671435E-2</v>
      </c>
      <c r="D145" s="337">
        <f>Scenarios!D67</f>
        <v>0.39005160904259506</v>
      </c>
      <c r="E145" s="338">
        <f>Scenarios!E67</f>
        <v>0.46058574017626652</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2" activePane="bottomRight" state="frozen"/>
      <selection pane="topRight" activeCell="C1" sqref="C1"/>
      <selection pane="bottomLeft" activeCell="A2" sqref="A2"/>
      <selection pane="bottomRight" activeCell="E11" sqref="E1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18453923</v>
      </c>
      <c r="D4" s="291">
        <v>20064497</v>
      </c>
      <c r="E4" s="291">
        <v>18638021</v>
      </c>
      <c r="F4" s="291">
        <v>23350235</v>
      </c>
      <c r="G4" s="291">
        <v>25611125</v>
      </c>
      <c r="H4" s="291">
        <v>27189765</v>
      </c>
      <c r="I4" s="291">
        <v>22677375</v>
      </c>
      <c r="J4" s="291">
        <v>18833313</v>
      </c>
      <c r="K4" s="291">
        <v>16236384</v>
      </c>
      <c r="L4" s="291">
        <v>2300174</v>
      </c>
      <c r="M4" s="291"/>
    </row>
    <row r="5" spans="2:13">
      <c r="B5" s="38" t="s">
        <v>40</v>
      </c>
      <c r="C5" s="291">
        <v>12144973</v>
      </c>
      <c r="D5" s="291">
        <v>13308517</v>
      </c>
      <c r="E5" s="291">
        <v>11949975</v>
      </c>
      <c r="F5" s="291">
        <v>15050952</v>
      </c>
      <c r="G5" s="291">
        <v>17784820</v>
      </c>
      <c r="H5" s="291">
        <v>17914296</v>
      </c>
      <c r="I5" s="291">
        <v>15078824</v>
      </c>
      <c r="J5" s="291">
        <v>12239725</v>
      </c>
      <c r="K5" s="291">
        <v>10467944</v>
      </c>
      <c r="L5" s="291">
        <v>1534115</v>
      </c>
      <c r="M5" s="291"/>
    </row>
    <row r="6" spans="2:13">
      <c r="B6" s="38" t="s">
        <v>51</v>
      </c>
      <c r="C6" s="291">
        <v>5887751</v>
      </c>
      <c r="D6" s="291">
        <v>6339969</v>
      </c>
      <c r="E6" s="291">
        <v>6616355</v>
      </c>
      <c r="F6" s="291">
        <v>7828843</v>
      </c>
      <c r="G6" s="291">
        <v>7505186</v>
      </c>
      <c r="H6" s="291">
        <v>8180843</v>
      </c>
      <c r="I6" s="291">
        <v>6912977</v>
      </c>
      <c r="J6" s="291">
        <v>6051222</v>
      </c>
      <c r="K6" s="291">
        <v>5072462</v>
      </c>
      <c r="L6" s="291">
        <v>688319</v>
      </c>
      <c r="M6" s="291"/>
    </row>
    <row r="7" spans="2:13">
      <c r="B7" s="66" t="s">
        <v>58</v>
      </c>
      <c r="C7" s="292">
        <v>5136105</v>
      </c>
      <c r="D7" s="292">
        <v>5588228</v>
      </c>
      <c r="E7" s="292">
        <v>5806761</v>
      </c>
      <c r="F7" s="292">
        <v>6962403</v>
      </c>
      <c r="G7" s="292">
        <v>6741868</v>
      </c>
      <c r="H7" s="292">
        <v>7168952</v>
      </c>
      <c r="I7" s="292">
        <v>6099595</v>
      </c>
      <c r="J7" s="292">
        <v>5326027</v>
      </c>
      <c r="K7" s="292">
        <v>4415748</v>
      </c>
      <c r="L7" s="292">
        <v>592050</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67796</v>
      </c>
      <c r="D12" s="291">
        <v>92335</v>
      </c>
      <c r="E12" s="291">
        <v>166759</v>
      </c>
      <c r="F12" s="291">
        <v>202932</v>
      </c>
      <c r="G12" s="291"/>
      <c r="H12" s="291"/>
      <c r="I12" s="291"/>
      <c r="J12" s="291"/>
      <c r="K12" s="291"/>
      <c r="L12" s="291"/>
      <c r="M12" s="291"/>
    </row>
    <row r="13" spans="2:13">
      <c r="B13" s="38" t="s">
        <v>64</v>
      </c>
      <c r="C13" s="291">
        <v>49978</v>
      </c>
      <c r="D13" s="291">
        <v>37615</v>
      </c>
      <c r="E13" s="291">
        <v>22235</v>
      </c>
      <c r="F13" s="291">
        <v>28079</v>
      </c>
      <c r="G13" s="291"/>
      <c r="H13" s="291"/>
      <c r="I13" s="291"/>
      <c r="J13" s="291"/>
      <c r="K13" s="291"/>
      <c r="L13" s="291"/>
      <c r="M13" s="291"/>
    </row>
    <row r="14" spans="2:13">
      <c r="B14" s="38" t="s">
        <v>47</v>
      </c>
      <c r="C14" s="291">
        <v>190386</v>
      </c>
      <c r="D14" s="291">
        <v>153501</v>
      </c>
      <c r="E14" s="291">
        <v>162625</v>
      </c>
      <c r="F14" s="291">
        <v>198365</v>
      </c>
      <c r="G14" s="291">
        <v>118395</v>
      </c>
      <c r="H14" s="291">
        <v>344556</v>
      </c>
      <c r="I14" s="291">
        <v>261475</v>
      </c>
      <c r="J14" s="291">
        <v>242187</v>
      </c>
      <c r="K14" s="291">
        <v>262312</v>
      </c>
      <c r="L14" s="291">
        <v>23744</v>
      </c>
      <c r="M14" s="291"/>
    </row>
    <row r="15" spans="2:13">
      <c r="B15" s="41" t="s">
        <v>39</v>
      </c>
      <c r="C15" s="293">
        <v>497822</v>
      </c>
      <c r="D15" s="293">
        <v>503208</v>
      </c>
      <c r="E15" s="293">
        <v>100238</v>
      </c>
      <c r="F15" s="293">
        <v>375755</v>
      </c>
      <c r="G15" s="293">
        <v>314660</v>
      </c>
      <c r="H15" s="293">
        <v>879910</v>
      </c>
      <c r="I15" s="293">
        <v>560894</v>
      </c>
      <c r="J15" s="293">
        <v>415032</v>
      </c>
      <c r="K15" s="293">
        <v>569611</v>
      </c>
      <c r="L15" s="293">
        <v>62358</v>
      </c>
      <c r="M15" s="293"/>
    </row>
    <row r="16" spans="2:13">
      <c r="B16" s="27" t="s">
        <v>41</v>
      </c>
      <c r="C16" s="291">
        <v>6325</v>
      </c>
      <c r="D16" s="291">
        <v>12783</v>
      </c>
      <c r="E16" s="291">
        <v>11074</v>
      </c>
      <c r="F16" s="291">
        <v>19168</v>
      </c>
      <c r="G16" s="291">
        <v>11820</v>
      </c>
      <c r="H16" s="291">
        <v>46635</v>
      </c>
      <c r="I16" s="291">
        <v>18006</v>
      </c>
      <c r="J16" s="291">
        <v>20710</v>
      </c>
      <c r="K16" s="291">
        <v>9032</v>
      </c>
      <c r="L16" s="291">
        <v>-2140</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1184593</v>
      </c>
      <c r="D22" s="291">
        <v>3404158</v>
      </c>
      <c r="E22" s="291">
        <v>2666433</v>
      </c>
      <c r="F22" s="291">
        <v>1837298</v>
      </c>
      <c r="G22" s="291">
        <v>5119310</v>
      </c>
      <c r="H22" s="291">
        <v>1827467</v>
      </c>
      <c r="I22" s="291">
        <v>-6164</v>
      </c>
      <c r="J22" s="291">
        <v>-199686</v>
      </c>
      <c r="K22" s="291">
        <v>-11423</v>
      </c>
      <c r="L22" s="291">
        <v>145662</v>
      </c>
      <c r="M22" s="291"/>
    </row>
    <row r="23" spans="2:13">
      <c r="B23" s="26" t="s">
        <v>288</v>
      </c>
      <c r="C23" s="291">
        <v>-534366</v>
      </c>
      <c r="D23" s="291">
        <v>-1315296</v>
      </c>
      <c r="E23" s="291">
        <v>-219819</v>
      </c>
      <c r="F23" s="291">
        <v>-404136</v>
      </c>
      <c r="G23" s="291">
        <v>-924826</v>
      </c>
      <c r="H23" s="291">
        <v>-848106</v>
      </c>
      <c r="I23" s="291">
        <v>-506585</v>
      </c>
      <c r="J23" s="291">
        <v>-581652</v>
      </c>
      <c r="K23" s="291">
        <v>-399991</v>
      </c>
      <c r="L23" s="291">
        <v>-40644</v>
      </c>
      <c r="M23" s="291"/>
    </row>
    <row r="24" spans="2:13">
      <c r="B24" s="26" t="s">
        <v>287</v>
      </c>
      <c r="C24" s="291">
        <v>-1060204</v>
      </c>
      <c r="D24" s="291">
        <v>-1450739</v>
      </c>
      <c r="E24" s="291">
        <v>-2488075</v>
      </c>
      <c r="F24" s="291">
        <v>-1941359</v>
      </c>
      <c r="G24" s="291">
        <v>-3067379</v>
      </c>
      <c r="H24" s="291">
        <v>-1098004</v>
      </c>
      <c r="I24" s="291">
        <v>865363</v>
      </c>
      <c r="J24" s="291">
        <v>669415</v>
      </c>
      <c r="K24" s="291">
        <v>700549</v>
      </c>
      <c r="L24" s="291">
        <v>-118667</v>
      </c>
      <c r="M24" s="291"/>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550</v>
      </c>
    </row>
    <row r="28" spans="2:13">
      <c r="B28" s="25" t="s">
        <v>22</v>
      </c>
      <c r="C28" s="274">
        <f>BS!C4</f>
        <v>2009997</v>
      </c>
      <c r="D28" s="291">
        <v>978919</v>
      </c>
      <c r="E28" s="291">
        <v>862084</v>
      </c>
      <c r="F28" s="291">
        <v>1165003</v>
      </c>
      <c r="G28" s="291">
        <v>1702963</v>
      </c>
      <c r="H28" s="291">
        <v>1407523</v>
      </c>
      <c r="I28" s="291">
        <v>1739803</v>
      </c>
      <c r="J28" s="291">
        <v>1609167</v>
      </c>
      <c r="K28" s="291">
        <v>1292686</v>
      </c>
      <c r="L28" s="291">
        <v>176681</v>
      </c>
      <c r="M28" s="291"/>
    </row>
    <row r="29" spans="2:13">
      <c r="B29" s="25" t="s">
        <v>30</v>
      </c>
      <c r="C29" s="274">
        <f>BS!C6</f>
        <v>4865388</v>
      </c>
      <c r="D29" s="291">
        <v>4704713</v>
      </c>
      <c r="E29" s="291">
        <v>6071858</v>
      </c>
      <c r="F29" s="291">
        <v>7578037</v>
      </c>
      <c r="G29" s="291">
        <v>5869541</v>
      </c>
      <c r="H29" s="291">
        <v>8021487</v>
      </c>
      <c r="I29" s="291">
        <v>6694022</v>
      </c>
      <c r="J29" s="291">
        <v>5589344</v>
      </c>
      <c r="K29" s="291">
        <v>4400649</v>
      </c>
      <c r="L29" s="291">
        <v>594633</v>
      </c>
      <c r="M29" s="291"/>
    </row>
    <row r="30" spans="2:13">
      <c r="B30" s="28" t="s">
        <v>38</v>
      </c>
      <c r="C30" s="275">
        <f>BS!C33+BS!C42</f>
        <v>3613572</v>
      </c>
      <c r="D30" s="293">
        <v>4647092</v>
      </c>
      <c r="E30" s="293">
        <v>5404941</v>
      </c>
      <c r="F30" s="293">
        <v>8456784</v>
      </c>
      <c r="G30" s="293">
        <v>9146239</v>
      </c>
      <c r="H30" s="293">
        <v>9684704</v>
      </c>
      <c r="I30" s="293">
        <v>6201932</v>
      </c>
      <c r="J30" s="293">
        <v>5028581</v>
      </c>
      <c r="K30" s="293">
        <v>3910265</v>
      </c>
      <c r="L30" s="293">
        <v>425087</v>
      </c>
      <c r="M30" s="293"/>
    </row>
    <row r="31" spans="2:13">
      <c r="B31" s="28" t="s">
        <v>28</v>
      </c>
      <c r="C31" s="275">
        <f>BS!G27</f>
        <v>8977358</v>
      </c>
      <c r="D31" s="293">
        <v>8610581</v>
      </c>
      <c r="E31" s="293">
        <v>8193920</v>
      </c>
      <c r="F31" s="293">
        <v>8202196</v>
      </c>
      <c r="G31" s="293">
        <v>7876030</v>
      </c>
      <c r="H31" s="293">
        <v>7706078</v>
      </c>
      <c r="I31" s="293">
        <v>7035537</v>
      </c>
      <c r="J31" s="293">
        <v>6441529</v>
      </c>
      <c r="K31" s="293">
        <v>6133511</v>
      </c>
      <c r="L31" s="293">
        <v>876138</v>
      </c>
      <c r="M31" s="293"/>
    </row>
    <row r="32" spans="2:13">
      <c r="B32" s="25" t="s">
        <v>143</v>
      </c>
      <c r="C32" s="274">
        <f>BS!G28</f>
        <v>108802</v>
      </c>
      <c r="D32" s="291">
        <v>92450</v>
      </c>
      <c r="E32" s="291">
        <v>79667</v>
      </c>
      <c r="F32" s="291">
        <v>106732</v>
      </c>
      <c r="G32" s="291">
        <v>105829</v>
      </c>
      <c r="H32" s="291">
        <v>93504</v>
      </c>
      <c r="I32" s="291">
        <v>167970</v>
      </c>
      <c r="J32" s="291">
        <v>50837</v>
      </c>
      <c r="K32" s="291">
        <v>29980</v>
      </c>
      <c r="L32" s="291">
        <v>6897</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18453923</v>
      </c>
      <c r="D36" s="274">
        <f t="shared" si="1"/>
        <v>20064497</v>
      </c>
      <c r="E36" s="274">
        <f t="shared" si="1"/>
        <v>18638021</v>
      </c>
      <c r="F36" s="274">
        <f t="shared" si="1"/>
        <v>23350235</v>
      </c>
      <c r="G36" s="274">
        <f t="shared" si="1"/>
        <v>25611125</v>
      </c>
      <c r="H36" s="274">
        <f t="shared" si="1"/>
        <v>27189765</v>
      </c>
      <c r="I36" s="274">
        <f t="shared" si="1"/>
        <v>22677375</v>
      </c>
      <c r="J36" s="274">
        <f t="shared" si="1"/>
        <v>18833313</v>
      </c>
      <c r="K36" s="274">
        <f t="shared" si="1"/>
        <v>16236384</v>
      </c>
      <c r="L36" s="274">
        <f t="shared" si="1"/>
        <v>2300174</v>
      </c>
      <c r="M36" s="274" t="str">
        <f t="shared" si="1"/>
        <v/>
      </c>
    </row>
    <row r="37" spans="2:13">
      <c r="B37" s="38" t="s">
        <v>40</v>
      </c>
      <c r="C37" s="274">
        <f t="shared" ref="C37:M37" si="2">IF(C$4="","",-C5)</f>
        <v>-12144973</v>
      </c>
      <c r="D37" s="274">
        <f t="shared" si="2"/>
        <v>-13308517</v>
      </c>
      <c r="E37" s="274">
        <f t="shared" si="2"/>
        <v>-11949975</v>
      </c>
      <c r="F37" s="274">
        <f t="shared" si="2"/>
        <v>-15050952</v>
      </c>
      <c r="G37" s="274">
        <f t="shared" si="2"/>
        <v>-17784820</v>
      </c>
      <c r="H37" s="274">
        <f t="shared" si="2"/>
        <v>-17914296</v>
      </c>
      <c r="I37" s="274">
        <f t="shared" si="2"/>
        <v>-15078824</v>
      </c>
      <c r="J37" s="274">
        <f t="shared" si="2"/>
        <v>-12239725</v>
      </c>
      <c r="K37" s="274">
        <f t="shared" si="2"/>
        <v>-10467944</v>
      </c>
      <c r="L37" s="274">
        <f t="shared" si="2"/>
        <v>-1534115</v>
      </c>
      <c r="M37" s="274" t="str">
        <f t="shared" si="2"/>
        <v/>
      </c>
    </row>
    <row r="38" spans="2:13">
      <c r="B38" s="30" t="s">
        <v>55</v>
      </c>
      <c r="C38" s="271">
        <f>IF(C36="","",C36+C37)</f>
        <v>6308950</v>
      </c>
      <c r="D38" s="271">
        <f t="shared" ref="D38" si="3">IF(D36="","",D36+D37)</f>
        <v>6755980</v>
      </c>
      <c r="E38" s="271">
        <f t="shared" ref="E38" si="4">IF(E36="","",E36+E37)</f>
        <v>6688046</v>
      </c>
      <c r="F38" s="271">
        <f t="shared" ref="F38" si="5">IF(F36="","",F36+F37)</f>
        <v>8299283</v>
      </c>
      <c r="G38" s="271">
        <f t="shared" ref="G38" si="6">IF(G36="","",G36+G37)</f>
        <v>7826305</v>
      </c>
      <c r="H38" s="271">
        <f t="shared" ref="H38" si="7">IF(H36="","",H36+H37)</f>
        <v>9275469</v>
      </c>
      <c r="I38" s="271">
        <f t="shared" ref="I38" si="8">IF(I36="","",I36+I37)</f>
        <v>7598551</v>
      </c>
      <c r="J38" s="271">
        <f t="shared" ref="J38" si="9">IF(J36="","",J36+J37)</f>
        <v>6593588</v>
      </c>
      <c r="K38" s="271">
        <f t="shared" ref="K38" si="10">IF(K36="","",K36+K37)</f>
        <v>5768440</v>
      </c>
      <c r="L38" s="271">
        <f t="shared" ref="L38" si="11">IF(L36="","",L36+L37)</f>
        <v>766059</v>
      </c>
      <c r="M38" s="271" t="str">
        <f t="shared" ref="M38" si="12">IF(M36="","",M36+M37)</f>
        <v/>
      </c>
    </row>
    <row r="39" spans="2:13">
      <c r="B39" s="38" t="s">
        <v>51</v>
      </c>
      <c r="C39" s="274">
        <f t="shared" ref="C39:M39" si="13">IF(C$4="","",-C6)</f>
        <v>-5887751</v>
      </c>
      <c r="D39" s="274">
        <f t="shared" si="13"/>
        <v>-6339969</v>
      </c>
      <c r="E39" s="274">
        <f t="shared" si="13"/>
        <v>-6616355</v>
      </c>
      <c r="F39" s="274">
        <f t="shared" si="13"/>
        <v>-7828843</v>
      </c>
      <c r="G39" s="274">
        <f t="shared" si="13"/>
        <v>-7505186</v>
      </c>
      <c r="H39" s="274">
        <f t="shared" si="13"/>
        <v>-8180843</v>
      </c>
      <c r="I39" s="274">
        <f t="shared" si="13"/>
        <v>-6912977</v>
      </c>
      <c r="J39" s="274">
        <f t="shared" si="13"/>
        <v>-6051222</v>
      </c>
      <c r="K39" s="274">
        <f t="shared" si="13"/>
        <v>-5072462</v>
      </c>
      <c r="L39" s="274">
        <f t="shared" si="13"/>
        <v>-688319</v>
      </c>
      <c r="M39" s="274" t="str">
        <f t="shared" si="13"/>
        <v/>
      </c>
    </row>
    <row r="40" spans="2:13">
      <c r="B40" s="66" t="s">
        <v>58</v>
      </c>
      <c r="C40" s="286">
        <f t="shared" ref="C40:M40" si="14">IF(C$4="","",-C7)</f>
        <v>-5136105</v>
      </c>
      <c r="D40" s="286">
        <f t="shared" si="14"/>
        <v>-5588228</v>
      </c>
      <c r="E40" s="286">
        <f t="shared" si="14"/>
        <v>-5806761</v>
      </c>
      <c r="F40" s="286">
        <f t="shared" si="14"/>
        <v>-6962403</v>
      </c>
      <c r="G40" s="286">
        <f t="shared" si="14"/>
        <v>-6741868</v>
      </c>
      <c r="H40" s="286">
        <f t="shared" si="14"/>
        <v>-7168952</v>
      </c>
      <c r="I40" s="286">
        <f t="shared" si="14"/>
        <v>-6099595</v>
      </c>
      <c r="J40" s="286">
        <f t="shared" si="14"/>
        <v>-5326027</v>
      </c>
      <c r="K40" s="286">
        <f t="shared" si="14"/>
        <v>-4415748</v>
      </c>
      <c r="L40" s="286">
        <f t="shared" si="14"/>
        <v>-592050</v>
      </c>
      <c r="M40" s="286" t="str">
        <f t="shared" si="14"/>
        <v/>
      </c>
    </row>
    <row r="41" spans="2:13">
      <c r="B41" s="66" t="s">
        <v>61</v>
      </c>
      <c r="C41" s="286">
        <f>IF(C$4="","",C39-C40)</f>
        <v>-751646</v>
      </c>
      <c r="D41" s="286">
        <f t="shared" ref="D41:M41" si="15">IF(D$4="","",D39-D40)</f>
        <v>-751741</v>
      </c>
      <c r="E41" s="286">
        <f t="shared" si="15"/>
        <v>-809594</v>
      </c>
      <c r="F41" s="286">
        <f t="shared" si="15"/>
        <v>-866440</v>
      </c>
      <c r="G41" s="286">
        <f t="shared" si="15"/>
        <v>-763318</v>
      </c>
      <c r="H41" s="286">
        <f t="shared" si="15"/>
        <v>-1011891</v>
      </c>
      <c r="I41" s="286">
        <f t="shared" si="15"/>
        <v>-813382</v>
      </c>
      <c r="J41" s="286">
        <f t="shared" si="15"/>
        <v>-725195</v>
      </c>
      <c r="K41" s="286">
        <f t="shared" si="15"/>
        <v>-656714</v>
      </c>
      <c r="L41" s="286">
        <f t="shared" si="15"/>
        <v>-96269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421199</v>
      </c>
      <c r="D43" s="275">
        <f t="shared" ref="D43:M43" si="17">IF(D$4="","",D38+D39+D42)</f>
        <v>416011</v>
      </c>
      <c r="E43" s="275">
        <f t="shared" si="17"/>
        <v>71691</v>
      </c>
      <c r="F43" s="275">
        <f t="shared" si="17"/>
        <v>470440</v>
      </c>
      <c r="G43" s="275">
        <f t="shared" si="17"/>
        <v>321119</v>
      </c>
      <c r="H43" s="275">
        <f t="shared" si="17"/>
        <v>1094626</v>
      </c>
      <c r="I43" s="275">
        <f t="shared" si="17"/>
        <v>685574</v>
      </c>
      <c r="J43" s="275">
        <f t="shared" si="17"/>
        <v>542366</v>
      </c>
      <c r="K43" s="275">
        <f t="shared" si="17"/>
        <v>695978</v>
      </c>
      <c r="L43" s="275">
        <f t="shared" si="17"/>
        <v>77740</v>
      </c>
      <c r="M43" s="275" t="str">
        <f t="shared" si="17"/>
        <v/>
      </c>
    </row>
    <row r="44" spans="2:13">
      <c r="B44" s="41" t="s">
        <v>139</v>
      </c>
      <c r="C44" s="294">
        <f t="shared" ref="C44:M44" si="18">IF(C$4="","",C47-C46-C45-C43)</f>
        <v>284827</v>
      </c>
      <c r="D44" s="294">
        <f t="shared" si="18"/>
        <v>295418</v>
      </c>
      <c r="E44" s="294">
        <f t="shared" si="18"/>
        <v>335696</v>
      </c>
      <c r="F44" s="294">
        <f t="shared" si="18"/>
        <v>278533</v>
      </c>
      <c r="G44" s="294">
        <f t="shared" si="18"/>
        <v>111936</v>
      </c>
      <c r="H44" s="294">
        <f t="shared" si="18"/>
        <v>129840</v>
      </c>
      <c r="I44" s="294">
        <f t="shared" si="18"/>
        <v>136795</v>
      </c>
      <c r="J44" s="294">
        <f t="shared" si="18"/>
        <v>114853</v>
      </c>
      <c r="K44" s="294">
        <f t="shared" si="18"/>
        <v>135945</v>
      </c>
      <c r="L44" s="294">
        <f t="shared" si="18"/>
        <v>8362</v>
      </c>
      <c r="M44" s="294" t="str">
        <f t="shared" si="18"/>
        <v/>
      </c>
    </row>
    <row r="45" spans="2:13">
      <c r="B45" s="38" t="s">
        <v>65</v>
      </c>
      <c r="C45" s="289">
        <f t="shared" ref="C45:M45" si="19">IF(C$4="","",C51+C52)</f>
        <v>-17818</v>
      </c>
      <c r="D45" s="289">
        <f t="shared" si="19"/>
        <v>-54720</v>
      </c>
      <c r="E45" s="289">
        <f t="shared" si="19"/>
        <v>-144524</v>
      </c>
      <c r="F45" s="289">
        <f t="shared" si="19"/>
        <v>-174853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-190386</v>
      </c>
      <c r="D46" s="274">
        <f t="shared" ref="D46:M46" si="20">IF(D$4="","",-D14)</f>
        <v>-153501</v>
      </c>
      <c r="E46" s="274">
        <f t="shared" si="20"/>
        <v>-162625</v>
      </c>
      <c r="F46" s="274">
        <f t="shared" si="20"/>
        <v>-198365</v>
      </c>
      <c r="G46" s="274">
        <f t="shared" si="20"/>
        <v>-118395</v>
      </c>
      <c r="H46" s="274">
        <f t="shared" si="20"/>
        <v>-344556</v>
      </c>
      <c r="I46" s="274">
        <f t="shared" si="20"/>
        <v>-261475</v>
      </c>
      <c r="J46" s="274">
        <f t="shared" si="20"/>
        <v>-242187</v>
      </c>
      <c r="K46" s="274">
        <f t="shared" si="20"/>
        <v>-262312</v>
      </c>
      <c r="L46" s="274">
        <f t="shared" si="20"/>
        <v>-23744</v>
      </c>
      <c r="M46" s="274" t="str">
        <f t="shared" si="20"/>
        <v/>
      </c>
    </row>
    <row r="47" spans="2:13">
      <c r="B47" s="41" t="s">
        <v>39</v>
      </c>
      <c r="C47" s="275">
        <f t="shared" ref="C47:M47" si="21">IF(C$4="","",C15)</f>
        <v>497822</v>
      </c>
      <c r="D47" s="275">
        <f t="shared" si="21"/>
        <v>503208</v>
      </c>
      <c r="E47" s="275">
        <f t="shared" si="21"/>
        <v>100238</v>
      </c>
      <c r="F47" s="275">
        <f t="shared" si="21"/>
        <v>375755</v>
      </c>
      <c r="G47" s="275">
        <f t="shared" si="21"/>
        <v>314660</v>
      </c>
      <c r="H47" s="275">
        <f t="shared" si="21"/>
        <v>879910</v>
      </c>
      <c r="I47" s="275">
        <f t="shared" si="21"/>
        <v>560894</v>
      </c>
      <c r="J47" s="275">
        <f t="shared" si="21"/>
        <v>415032</v>
      </c>
      <c r="K47" s="275">
        <f t="shared" si="21"/>
        <v>569611</v>
      </c>
      <c r="L47" s="275">
        <f t="shared" si="21"/>
        <v>62358</v>
      </c>
      <c r="M47" s="275" t="str">
        <f t="shared" si="21"/>
        <v/>
      </c>
    </row>
    <row r="48" spans="2:13">
      <c r="B48" s="27" t="s">
        <v>41</v>
      </c>
      <c r="C48" s="274">
        <f t="shared" ref="C48:M48" si="22">IF(C$4="","",MIN(-C16,0))</f>
        <v>-6325</v>
      </c>
      <c r="D48" s="274">
        <f t="shared" si="22"/>
        <v>-12783</v>
      </c>
      <c r="E48" s="274">
        <f t="shared" si="22"/>
        <v>-11074</v>
      </c>
      <c r="F48" s="274">
        <f t="shared" si="22"/>
        <v>-19168</v>
      </c>
      <c r="G48" s="274">
        <f t="shared" si="22"/>
        <v>-11820</v>
      </c>
      <c r="H48" s="274">
        <f t="shared" si="22"/>
        <v>-46635</v>
      </c>
      <c r="I48" s="274">
        <f t="shared" si="22"/>
        <v>-18006</v>
      </c>
      <c r="J48" s="274">
        <f t="shared" si="22"/>
        <v>-20710</v>
      </c>
      <c r="K48" s="274">
        <f t="shared" si="22"/>
        <v>-9032</v>
      </c>
      <c r="L48" s="274">
        <f t="shared" si="22"/>
        <v>0</v>
      </c>
      <c r="M48" s="274" t="str">
        <f t="shared" si="22"/>
        <v/>
      </c>
    </row>
    <row r="50" spans="2:13">
      <c r="B50" s="16" t="s">
        <v>65</v>
      </c>
    </row>
    <row r="51" spans="2:13">
      <c r="B51" s="38" t="s">
        <v>37</v>
      </c>
      <c r="C51" s="274">
        <f t="shared" ref="C51:M51" si="23">IF(C$4="","",-C12)</f>
        <v>-67796</v>
      </c>
      <c r="D51" s="274">
        <f t="shared" si="23"/>
        <v>-92335</v>
      </c>
      <c r="E51" s="274">
        <f t="shared" si="23"/>
        <v>-166759</v>
      </c>
      <c r="F51" s="274">
        <f t="shared" si="23"/>
        <v>-202932</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49978</v>
      </c>
      <c r="D52" s="274">
        <f t="shared" ref="D52:M52" si="24">IF(D$4="","",D13)</f>
        <v>37615</v>
      </c>
      <c r="E52" s="274">
        <f t="shared" si="24"/>
        <v>22235</v>
      </c>
      <c r="F52" s="274">
        <f t="shared" si="24"/>
        <v>28079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284827</v>
      </c>
      <c r="D58" s="289">
        <f t="shared" ref="D58:M58" si="28">IF(D$4="","",D44-D55-D56-D57)</f>
        <v>295418</v>
      </c>
      <c r="E58" s="289">
        <f t="shared" si="28"/>
        <v>335696</v>
      </c>
      <c r="F58" s="289">
        <f t="shared" si="28"/>
        <v>278533</v>
      </c>
      <c r="G58" s="289">
        <f t="shared" si="28"/>
        <v>111936</v>
      </c>
      <c r="H58" s="289">
        <f t="shared" si="28"/>
        <v>129840</v>
      </c>
      <c r="I58" s="289">
        <f t="shared" si="28"/>
        <v>136795</v>
      </c>
      <c r="J58" s="289">
        <f t="shared" si="28"/>
        <v>114853</v>
      </c>
      <c r="K58" s="289">
        <f t="shared" si="28"/>
        <v>135945</v>
      </c>
      <c r="L58" s="289">
        <f t="shared" si="28"/>
        <v>8362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-409977</v>
      </c>
      <c r="D64" s="274">
        <f t="shared" ref="D64:M64" si="32">IF(D$4="","",D22+D23+D24)</f>
        <v>638123</v>
      </c>
      <c r="E64" s="274">
        <f t="shared" si="32"/>
        <v>-41461</v>
      </c>
      <c r="F64" s="274">
        <f t="shared" si="32"/>
        <v>-508197</v>
      </c>
      <c r="G64" s="274">
        <f t="shared" si="32"/>
        <v>1127105</v>
      </c>
      <c r="H64" s="274">
        <f t="shared" si="32"/>
        <v>-118643</v>
      </c>
      <c r="I64" s="274">
        <f t="shared" si="32"/>
        <v>352614</v>
      </c>
      <c r="J64" s="274">
        <f t="shared" si="32"/>
        <v>-111923</v>
      </c>
      <c r="K64" s="274">
        <f t="shared" si="32"/>
        <v>289135</v>
      </c>
      <c r="L64" s="274">
        <f t="shared" si="32"/>
        <v>-13649</v>
      </c>
      <c r="M64" s="274"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9">
        <f t="shared" ref="D76:M76" si="39">IF(D$4="","",D79+D80)</f>
        <v>13257673</v>
      </c>
      <c r="E76" s="289">
        <f t="shared" si="39"/>
        <v>13598861</v>
      </c>
      <c r="F76" s="289">
        <f t="shared" si="39"/>
        <v>16658980</v>
      </c>
      <c r="G76" s="289">
        <f t="shared" si="39"/>
        <v>17022269</v>
      </c>
      <c r="H76" s="289">
        <f t="shared" si="39"/>
        <v>17390782</v>
      </c>
      <c r="I76" s="289">
        <f t="shared" si="39"/>
        <v>13237469</v>
      </c>
      <c r="J76" s="289">
        <f t="shared" si="39"/>
        <v>11470110</v>
      </c>
      <c r="K76" s="289">
        <f t="shared" si="39"/>
        <v>10043776</v>
      </c>
      <c r="L76" s="289">
        <f t="shared" si="39"/>
        <v>1301225</v>
      </c>
      <c r="M76" s="289" t="str">
        <f t="shared" si="39"/>
        <v/>
      </c>
    </row>
    <row r="77" spans="2:13">
      <c r="B77" s="90" t="s">
        <v>82</v>
      </c>
      <c r="C77" s="263">
        <f t="shared" ref="C77:H78" si="40">IF(C$4="","",C28)</f>
        <v>2009997</v>
      </c>
      <c r="D77" s="286">
        <f t="shared" si="40"/>
        <v>978919</v>
      </c>
      <c r="E77" s="286">
        <f t="shared" si="40"/>
        <v>862084</v>
      </c>
      <c r="F77" s="286">
        <f t="shared" si="40"/>
        <v>1165003</v>
      </c>
      <c r="G77" s="286">
        <f t="shared" si="40"/>
        <v>1702963</v>
      </c>
      <c r="H77" s="286">
        <f t="shared" si="40"/>
        <v>1407523</v>
      </c>
      <c r="I77" s="295"/>
      <c r="J77" s="295"/>
      <c r="K77" s="295"/>
      <c r="L77" s="295"/>
      <c r="M77" s="295"/>
    </row>
    <row r="78" spans="2:13">
      <c r="B78" s="90" t="s">
        <v>83</v>
      </c>
      <c r="C78" s="263">
        <f t="shared" si="40"/>
        <v>4865388</v>
      </c>
      <c r="D78" s="286">
        <f t="shared" si="40"/>
        <v>4704713</v>
      </c>
      <c r="E78" s="286">
        <f t="shared" si="40"/>
        <v>6071858</v>
      </c>
      <c r="F78" s="286">
        <f t="shared" si="40"/>
        <v>7578037</v>
      </c>
      <c r="G78" s="286">
        <f t="shared" si="40"/>
        <v>5869541</v>
      </c>
      <c r="H78" s="286">
        <f t="shared" si="40"/>
        <v>8021487</v>
      </c>
      <c r="I78" s="295"/>
      <c r="J78" s="295"/>
      <c r="K78" s="295"/>
      <c r="L78" s="295"/>
      <c r="M78" s="295"/>
    </row>
    <row r="79" spans="2:13">
      <c r="B79" s="25" t="s">
        <v>38</v>
      </c>
      <c r="C79" s="262">
        <f t="shared" ref="C79:M79" si="41">IF(C$4="","",C30)</f>
        <v>3613572</v>
      </c>
      <c r="D79" s="274">
        <f t="shared" si="41"/>
        <v>4647092</v>
      </c>
      <c r="E79" s="274">
        <f t="shared" si="41"/>
        <v>5404941</v>
      </c>
      <c r="F79" s="274">
        <f t="shared" si="41"/>
        <v>8456784</v>
      </c>
      <c r="G79" s="274">
        <f t="shared" si="41"/>
        <v>9146239</v>
      </c>
      <c r="H79" s="274">
        <f t="shared" si="41"/>
        <v>9684704</v>
      </c>
      <c r="I79" s="274">
        <f t="shared" si="41"/>
        <v>6201932</v>
      </c>
      <c r="J79" s="274">
        <f t="shared" si="41"/>
        <v>5028581</v>
      </c>
      <c r="K79" s="274">
        <f t="shared" si="41"/>
        <v>3910265</v>
      </c>
      <c r="L79" s="274">
        <f t="shared" si="41"/>
        <v>425087</v>
      </c>
      <c r="M79" s="274" t="str">
        <f t="shared" si="41"/>
        <v/>
      </c>
    </row>
    <row r="80" spans="2:13">
      <c r="B80" s="25" t="s">
        <v>28</v>
      </c>
      <c r="C80" s="262">
        <f t="shared" ref="C80:M80" si="42">IF(C$4="","",C31)</f>
        <v>8977358</v>
      </c>
      <c r="D80" s="274">
        <f t="shared" si="42"/>
        <v>8610581</v>
      </c>
      <c r="E80" s="274">
        <f t="shared" si="42"/>
        <v>8193920</v>
      </c>
      <c r="F80" s="274">
        <f t="shared" si="42"/>
        <v>8202196</v>
      </c>
      <c r="G80" s="274">
        <f t="shared" si="42"/>
        <v>7876030</v>
      </c>
      <c r="H80" s="274">
        <f t="shared" si="42"/>
        <v>7706078</v>
      </c>
      <c r="I80" s="274">
        <f t="shared" si="42"/>
        <v>7035537</v>
      </c>
      <c r="J80" s="274">
        <f t="shared" si="42"/>
        <v>6441529</v>
      </c>
      <c r="K80" s="274">
        <f t="shared" si="42"/>
        <v>6133511</v>
      </c>
      <c r="L80" s="274">
        <f t="shared" si="42"/>
        <v>876138</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1"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404</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91">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1.8728091106241298</v>
      </c>
      <c r="D47" s="134">
        <f>D46*H1/Common_Shares*Exchange_Rate</f>
        <v>0.58105391455460365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3.8393912927387319</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3.8377712915114597E-2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1174988.3772033397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-1515686.2871375</v>
      </c>
      <c r="D73" s="289">
        <f>(Normalized_FCF!C26+Normalized_FCF!C35-Normalized_FCF!C89)/12</f>
        <v>-1519143.6227966603</v>
      </c>
      <c r="F73" s="1" t="s">
        <v>278</v>
      </c>
    </row>
    <row r="74" spans="2:6" ht="15" customHeight="1">
      <c r="B74" s="227" t="s">
        <v>259</v>
      </c>
      <c r="C74" s="228">
        <f>-$C$66/C73</f>
        <v>1.7774997523320561</v>
      </c>
      <c r="D74" s="228">
        <f>-$C$66/D73</f>
        <v>1.773454438126298</v>
      </c>
      <c r="F74" s="223" t="s">
        <v>257</v>
      </c>
    </row>
    <row r="75" spans="2:6" ht="15" customHeight="1">
      <c r="B75" s="77" t="s">
        <v>258</v>
      </c>
      <c r="C75" s="264"/>
      <c r="D75" s="265">
        <f>MAX(-D73*D76,G5)</f>
        <v>1519143.6227966603</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1595868.9570872099</v>
      </c>
      <c r="D86" s="201">
        <f>C86*scaling_factor/Common_Shares</f>
        <v>0.30786202592681189</v>
      </c>
      <c r="E86" s="214" t="str">
        <f>Market_currency</f>
        <v>HKD</v>
      </c>
    </row>
    <row r="87" spans="2:8" ht="15" customHeight="1">
      <c r="B87" s="212" t="s">
        <v>240</v>
      </c>
      <c r="C87" s="73">
        <f>DCF!F5*Exchange_Rate</f>
        <v>1286220.0501674626</v>
      </c>
      <c r="D87" s="201">
        <f>C87*scaling_factor/Common_Shares</f>
        <v>0.24812708378950032</v>
      </c>
      <c r="E87" s="214" t="str">
        <f>Market_currency</f>
        <v>HKD</v>
      </c>
    </row>
    <row r="88" spans="2:8" ht="15" customHeight="1">
      <c r="B88" s="213" t="s">
        <v>159</v>
      </c>
      <c r="C88" s="73">
        <f>DCF!F6*Exchange_Rate</f>
        <v>1805.5424137859995</v>
      </c>
      <c r="D88" s="201">
        <f>C88*scaling_factor/Common_Shares</f>
        <v>3.4831051944233529E-4</v>
      </c>
      <c r="E88" s="214" t="str">
        <f>Market_currency</f>
        <v>HKD</v>
      </c>
    </row>
    <row r="89" spans="2:8" ht="15" customHeight="1">
      <c r="B89" s="77" t="s">
        <v>244</v>
      </c>
      <c r="C89" s="162">
        <f>SUM(C86:C88)</f>
        <v>2883894.5496684583</v>
      </c>
      <c r="D89" s="216">
        <f>SUM(D86:D88)</f>
        <v>0.5563374202357545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7" activePane="bottomRight" state="frozen"/>
      <selection activeCell="C17" sqref="C17"/>
      <selection pane="topRight" activeCell="C17" sqref="C17"/>
      <selection pane="bottomLeft" activeCell="C17" sqref="C17"/>
      <selection pane="bottomRight" activeCell="C31" sqref="C3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18453923</v>
      </c>
      <c r="D4" s="54"/>
      <c r="E4" s="236"/>
      <c r="F4" s="54"/>
      <c r="G4" s="274">
        <f>Data!C36</f>
        <v>18453923</v>
      </c>
      <c r="H4" s="274">
        <f>Data!D36</f>
        <v>20064497</v>
      </c>
      <c r="I4" s="274">
        <f>Data!E36</f>
        <v>18638021</v>
      </c>
      <c r="J4" s="274">
        <f>Data!F36</f>
        <v>23350235</v>
      </c>
      <c r="K4" s="274">
        <f>Data!G36</f>
        <v>25611125</v>
      </c>
      <c r="L4" s="274">
        <f>Data!H36</f>
        <v>27189765</v>
      </c>
      <c r="M4" s="274">
        <f>Data!I36</f>
        <v>22677375</v>
      </c>
      <c r="N4" s="274">
        <f>Data!J36</f>
        <v>18833313</v>
      </c>
      <c r="O4" s="274">
        <f>Data!K36</f>
        <v>16236384</v>
      </c>
      <c r="P4" s="274">
        <f>Data!L36</f>
        <v>2300174</v>
      </c>
      <c r="Q4" s="274" t="str">
        <f>Data!M36</f>
        <v/>
      </c>
    </row>
    <row r="5" spans="1:17" ht="15.75" customHeight="1">
      <c r="A5" s="10"/>
      <c r="B5" s="2" t="s">
        <v>43</v>
      </c>
      <c r="C5" s="270">
        <f>C26</f>
        <v>-17322566.027909923</v>
      </c>
      <c r="E5" s="238"/>
      <c r="G5" s="274">
        <f t="shared" ref="G5:Q5" si="1">G26</f>
        <v>-17281078</v>
      </c>
      <c r="H5" s="274">
        <f t="shared" si="1"/>
        <v>-18896745</v>
      </c>
      <c r="I5" s="274">
        <f t="shared" si="1"/>
        <v>-17756736</v>
      </c>
      <c r="J5" s="274">
        <f t="shared" si="1"/>
        <v>-22013355</v>
      </c>
      <c r="K5" s="274">
        <f t="shared" si="1"/>
        <v>-24526688</v>
      </c>
      <c r="L5" s="274">
        <f t="shared" si="1"/>
        <v>-25083248</v>
      </c>
      <c r="M5" s="274">
        <f t="shared" si="1"/>
        <v>-21178419</v>
      </c>
      <c r="N5" s="274">
        <f t="shared" si="1"/>
        <v>-17565752</v>
      </c>
      <c r="O5" s="274">
        <f t="shared" si="1"/>
        <v>-14883692</v>
      </c>
      <c r="P5" s="274">
        <f t="shared" si="1"/>
        <v>-2126165</v>
      </c>
      <c r="Q5" s="274" t="str">
        <f t="shared" si="1"/>
        <v/>
      </c>
    </row>
    <row r="6" spans="1:17" ht="15.75" customHeight="1">
      <c r="A6" s="10"/>
      <c r="B6" s="30" t="s">
        <v>45</v>
      </c>
      <c r="C6" s="271">
        <f>C4+C5</f>
        <v>1131356.9720900767</v>
      </c>
      <c r="E6" s="238"/>
      <c r="G6" s="271">
        <f>IF(G4="","",G4+G5)</f>
        <v>1172845</v>
      </c>
      <c r="H6" s="271">
        <f t="shared" ref="H6:Q6" si="2">IF(H4="","",H4+H5)</f>
        <v>1167752</v>
      </c>
      <c r="I6" s="271">
        <f t="shared" si="2"/>
        <v>881285</v>
      </c>
      <c r="J6" s="271">
        <f t="shared" si="2"/>
        <v>1336880</v>
      </c>
      <c r="K6" s="271">
        <f t="shared" si="2"/>
        <v>1084437</v>
      </c>
      <c r="L6" s="271">
        <f t="shared" si="2"/>
        <v>2106517</v>
      </c>
      <c r="M6" s="271">
        <f t="shared" si="2"/>
        <v>1498956</v>
      </c>
      <c r="N6" s="271">
        <f t="shared" si="2"/>
        <v>1267561</v>
      </c>
      <c r="O6" s="271">
        <f t="shared" si="2"/>
        <v>1352692</v>
      </c>
      <c r="P6" s="271">
        <f t="shared" si="2"/>
        <v>174009</v>
      </c>
      <c r="Q6" s="271" t="str">
        <f t="shared" si="2"/>
        <v/>
      </c>
    </row>
    <row r="7" spans="1:17" ht="15.75" customHeight="1">
      <c r="A7" s="10"/>
      <c r="B7" s="8" t="s">
        <v>42</v>
      </c>
      <c r="C7" s="270">
        <f>C35</f>
        <v>-751646</v>
      </c>
      <c r="E7" s="238"/>
      <c r="G7" s="270">
        <f t="shared" ref="G7:Q7" si="3">G35</f>
        <v>-751646</v>
      </c>
      <c r="H7" s="270">
        <f t="shared" si="3"/>
        <v>-751741</v>
      </c>
      <c r="I7" s="270">
        <f t="shared" si="3"/>
        <v>-809594</v>
      </c>
      <c r="J7" s="270">
        <f t="shared" si="3"/>
        <v>-866440</v>
      </c>
      <c r="K7" s="270">
        <f t="shared" si="3"/>
        <v>-763318</v>
      </c>
      <c r="L7" s="270">
        <f t="shared" si="3"/>
        <v>-1011891</v>
      </c>
      <c r="M7" s="270">
        <f t="shared" si="3"/>
        <v>-813382</v>
      </c>
      <c r="N7" s="270">
        <f t="shared" si="3"/>
        <v>-725195</v>
      </c>
      <c r="O7" s="270">
        <f t="shared" si="3"/>
        <v>-656714</v>
      </c>
      <c r="P7" s="270">
        <f t="shared" si="3"/>
        <v>-96269</v>
      </c>
      <c r="Q7" s="270" t="str">
        <f t="shared" si="3"/>
        <v/>
      </c>
    </row>
    <row r="8" spans="1:17" ht="15.75" customHeight="1">
      <c r="A8" s="10"/>
      <c r="B8" s="28" t="s">
        <v>127</v>
      </c>
      <c r="C8" s="272">
        <f>C6+C7</f>
        <v>379710.97209007666</v>
      </c>
      <c r="D8" s="56"/>
      <c r="E8" s="244"/>
      <c r="F8" s="56"/>
      <c r="G8" s="271">
        <f>IF(G$4="","",G6+G7)</f>
        <v>421199</v>
      </c>
      <c r="H8" s="271">
        <f t="shared" ref="H8:Q8" si="4">IF(H$4="","",H6+H7)</f>
        <v>416011</v>
      </c>
      <c r="I8" s="271">
        <f t="shared" si="4"/>
        <v>71691</v>
      </c>
      <c r="J8" s="271">
        <f t="shared" si="4"/>
        <v>470440</v>
      </c>
      <c r="K8" s="271">
        <f t="shared" si="4"/>
        <v>321119</v>
      </c>
      <c r="L8" s="271">
        <f t="shared" si="4"/>
        <v>1094626</v>
      </c>
      <c r="M8" s="271">
        <f t="shared" si="4"/>
        <v>685574</v>
      </c>
      <c r="N8" s="271">
        <f t="shared" si="4"/>
        <v>542366</v>
      </c>
      <c r="O8" s="271">
        <f t="shared" si="4"/>
        <v>695978</v>
      </c>
      <c r="P8" s="271">
        <f t="shared" si="4"/>
        <v>77740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-57701.513772033395</v>
      </c>
      <c r="E10" s="238"/>
      <c r="G10" s="270">
        <f>G48</f>
        <v>-39614.841845859264</v>
      </c>
      <c r="H10" s="270">
        <f t="shared" ref="H10:Q10" si="6">H48</f>
        <v>-71124.982312857581</v>
      </c>
      <c r="I10" s="270">
        <f t="shared" si="6"/>
        <v>-154221.32239070552</v>
      </c>
      <c r="J10" s="270">
        <f t="shared" si="6"/>
        <v>-187099.05870962987</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322009.45831804327</v>
      </c>
      <c r="E11" s="238"/>
      <c r="G11" s="271">
        <f t="shared" ref="G11:Q11" si="7">IF(G$4="","",SUM(G8:G10))</f>
        <v>381584.15815414075</v>
      </c>
      <c r="H11" s="271">
        <f t="shared" si="7"/>
        <v>344886.01768714242</v>
      </c>
      <c r="I11" s="271">
        <f t="shared" si="7"/>
        <v>-82530.322390705522</v>
      </c>
      <c r="J11" s="271">
        <f t="shared" si="7"/>
        <v>283340.94129037013</v>
      </c>
      <c r="K11" s="271">
        <f t="shared" si="7"/>
        <v>321119</v>
      </c>
      <c r="L11" s="271">
        <f t="shared" si="7"/>
        <v>1094626</v>
      </c>
      <c r="M11" s="271">
        <f t="shared" si="7"/>
        <v>685574</v>
      </c>
      <c r="N11" s="271">
        <f t="shared" si="7"/>
        <v>542366</v>
      </c>
      <c r="O11" s="271">
        <f t="shared" si="7"/>
        <v>695978</v>
      </c>
      <c r="P11" s="271">
        <f t="shared" si="7"/>
        <v>77740</v>
      </c>
      <c r="Q11" s="271" t="str">
        <f t="shared" si="7"/>
        <v/>
      </c>
    </row>
    <row r="12" spans="1:17" ht="15.75" customHeight="1">
      <c r="A12" s="10"/>
      <c r="B12" s="2" t="s">
        <v>60</v>
      </c>
      <c r="C12" s="270">
        <f>-C11*C41</f>
        <v>-80502.364579510817</v>
      </c>
      <c r="E12" s="238"/>
      <c r="G12" s="270">
        <f>Data!C46</f>
        <v>-190386</v>
      </c>
      <c r="H12" s="270">
        <f>Data!D46</f>
        <v>-153501</v>
      </c>
      <c r="I12" s="270">
        <f>Data!E46</f>
        <v>-162625</v>
      </c>
      <c r="J12" s="270">
        <f>Data!F46</f>
        <v>-198365</v>
      </c>
      <c r="K12" s="270">
        <f>Data!G46</f>
        <v>-118395</v>
      </c>
      <c r="L12" s="270">
        <f>Data!H46</f>
        <v>-344556</v>
      </c>
      <c r="M12" s="270">
        <f>Data!I46</f>
        <v>-261475</v>
      </c>
      <c r="N12" s="270">
        <f>Data!J46</f>
        <v>-242187</v>
      </c>
      <c r="O12" s="270">
        <f>Data!K46</f>
        <v>-262312</v>
      </c>
      <c r="P12" s="270">
        <f>Data!L46</f>
        <v>-23744</v>
      </c>
      <c r="Q12" s="270" t="str">
        <f>Data!M46</f>
        <v/>
      </c>
    </row>
    <row r="13" spans="1:17" ht="15.75" customHeight="1">
      <c r="A13" s="10"/>
      <c r="B13" s="38" t="s">
        <v>208</v>
      </c>
      <c r="C13" s="270">
        <f>-C4*C79</f>
        <v>-15148.661076173323</v>
      </c>
      <c r="D13" s="57"/>
      <c r="E13" s="245"/>
      <c r="F13" s="57"/>
      <c r="G13" s="274">
        <f>Data!C48</f>
        <v>-6325</v>
      </c>
      <c r="H13" s="274">
        <f>Data!D48</f>
        <v>-12783</v>
      </c>
      <c r="I13" s="274">
        <f>Data!E48</f>
        <v>-11074</v>
      </c>
      <c r="J13" s="274">
        <f>Data!F48</f>
        <v>-19168</v>
      </c>
      <c r="K13" s="274">
        <f>Data!G48</f>
        <v>-11820</v>
      </c>
      <c r="L13" s="274">
        <f>Data!H48</f>
        <v>-46635</v>
      </c>
      <c r="M13" s="274">
        <f>Data!I48</f>
        <v>-18006</v>
      </c>
      <c r="N13" s="274">
        <f>Data!J48</f>
        <v>-20710</v>
      </c>
      <c r="O13" s="274">
        <f>Data!K48</f>
        <v>-9032</v>
      </c>
      <c r="P13" s="274">
        <f>Data!L48</f>
        <v>0</v>
      </c>
      <c r="Q13" s="274" t="str">
        <f>Data!M48</f>
        <v/>
      </c>
    </row>
    <row r="14" spans="1:17" ht="15.75" customHeight="1">
      <c r="A14" s="10"/>
      <c r="B14" s="39" t="s">
        <v>129</v>
      </c>
      <c r="C14" s="273">
        <f>SUM(C11:C13)</f>
        <v>226358.43266235912</v>
      </c>
      <c r="D14" s="58"/>
      <c r="E14" s="246"/>
      <c r="F14" s="58"/>
      <c r="G14" s="271">
        <f t="shared" ref="G14:Q14" si="8">IF(G$4="","",SUM(G11:G13))</f>
        <v>184873.15815414075</v>
      </c>
      <c r="H14" s="271">
        <f t="shared" si="8"/>
        <v>178602.01768714242</v>
      </c>
      <c r="I14" s="271">
        <f t="shared" si="8"/>
        <v>-256229.32239070552</v>
      </c>
      <c r="J14" s="271">
        <f t="shared" si="8"/>
        <v>65807.94129037013</v>
      </c>
      <c r="K14" s="271">
        <f t="shared" si="8"/>
        <v>190904</v>
      </c>
      <c r="L14" s="271">
        <f t="shared" si="8"/>
        <v>703435</v>
      </c>
      <c r="M14" s="271">
        <f t="shared" si="8"/>
        <v>406093</v>
      </c>
      <c r="N14" s="271">
        <f t="shared" si="8"/>
        <v>279469</v>
      </c>
      <c r="O14" s="271">
        <f t="shared" si="8"/>
        <v>424634</v>
      </c>
      <c r="P14" s="271">
        <f t="shared" si="8"/>
        <v>53996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226358.43266235912</v>
      </c>
      <c r="D19" s="26"/>
      <c r="E19" s="235"/>
      <c r="F19" s="26"/>
      <c r="G19" s="275">
        <f t="shared" ref="G19:Q19" si="9">IF(G$4="","",G14+G17)</f>
        <v>184873.15815414075</v>
      </c>
      <c r="H19" s="275">
        <f t="shared" si="9"/>
        <v>178602.01768714242</v>
      </c>
      <c r="I19" s="275">
        <f t="shared" si="9"/>
        <v>-256229.32239070552</v>
      </c>
      <c r="J19" s="275">
        <f t="shared" si="9"/>
        <v>65807.94129037013</v>
      </c>
      <c r="K19" s="275">
        <f t="shared" si="9"/>
        <v>190904</v>
      </c>
      <c r="L19" s="275">
        <f t="shared" si="9"/>
        <v>703435</v>
      </c>
      <c r="M19" s="275">
        <f t="shared" si="9"/>
        <v>406093</v>
      </c>
      <c r="N19" s="275">
        <f t="shared" si="9"/>
        <v>279469</v>
      </c>
      <c r="O19" s="275">
        <f t="shared" si="9"/>
        <v>424634</v>
      </c>
      <c r="P19" s="275">
        <f t="shared" si="9"/>
        <v>53996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-12155467.587909924</v>
      </c>
      <c r="D23" s="55"/>
      <c r="E23" s="237"/>
      <c r="F23" s="55"/>
      <c r="G23" s="274">
        <f>Data!C37</f>
        <v>-12144973</v>
      </c>
      <c r="H23" s="274">
        <f>Data!D37</f>
        <v>-13308517</v>
      </c>
      <c r="I23" s="274">
        <f>Data!E37</f>
        <v>-11949975</v>
      </c>
      <c r="J23" s="274">
        <f>Data!F37</f>
        <v>-15050952</v>
      </c>
      <c r="K23" s="274">
        <f>Data!G37</f>
        <v>-17784820</v>
      </c>
      <c r="L23" s="274">
        <f>Data!H37</f>
        <v>-17914296</v>
      </c>
      <c r="M23" s="274">
        <f>Data!I37</f>
        <v>-15078824</v>
      </c>
      <c r="N23" s="274">
        <f>Data!J37</f>
        <v>-12239725</v>
      </c>
      <c r="O23" s="274">
        <f>Data!K37</f>
        <v>-10467944</v>
      </c>
      <c r="P23" s="274">
        <f>Data!L37</f>
        <v>-1534115</v>
      </c>
      <c r="Q23" s="274" t="str">
        <f>Data!M37</f>
        <v/>
      </c>
    </row>
    <row r="24" spans="1:17" ht="15.75" customHeight="1">
      <c r="A24" s="10"/>
      <c r="B24" s="65" t="s">
        <v>59</v>
      </c>
      <c r="C24" s="270">
        <f>-C4*C30</f>
        <v>-5167098.4400000004</v>
      </c>
      <c r="D24" s="26"/>
      <c r="E24" s="235"/>
      <c r="F24" s="26"/>
      <c r="G24" s="274">
        <f>Data!C40</f>
        <v>-5136105</v>
      </c>
      <c r="H24" s="274">
        <f>Data!D40</f>
        <v>-5588228</v>
      </c>
      <c r="I24" s="274">
        <f>Data!E40</f>
        <v>-5806761</v>
      </c>
      <c r="J24" s="274">
        <f>Data!F40</f>
        <v>-6962403</v>
      </c>
      <c r="K24" s="274">
        <f>Data!G40</f>
        <v>-6741868</v>
      </c>
      <c r="L24" s="274">
        <f>Data!H40</f>
        <v>-7168952</v>
      </c>
      <c r="M24" s="274">
        <f>Data!I40</f>
        <v>-6099595</v>
      </c>
      <c r="N24" s="274">
        <f>Data!J40</f>
        <v>-5326027</v>
      </c>
      <c r="O24" s="274">
        <f>Data!K40</f>
        <v>-4415748</v>
      </c>
      <c r="P24" s="274">
        <f>Data!L40</f>
        <v>-592050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-17322566.027909923</v>
      </c>
      <c r="D26" s="9"/>
      <c r="E26" s="243"/>
      <c r="F26" s="9"/>
      <c r="G26" s="271">
        <f>IF(G$4="","",SUM(G23:G25))</f>
        <v>-17281078</v>
      </c>
      <c r="H26" s="271">
        <f t="shared" ref="H26:Q26" si="10">IF(H$4="","",SUM(H23:H25))</f>
        <v>-18896745</v>
      </c>
      <c r="I26" s="271">
        <f t="shared" si="10"/>
        <v>-17756736</v>
      </c>
      <c r="J26" s="271">
        <f t="shared" si="10"/>
        <v>-22013355</v>
      </c>
      <c r="K26" s="271">
        <f t="shared" si="10"/>
        <v>-24526688</v>
      </c>
      <c r="L26" s="271">
        <f t="shared" si="10"/>
        <v>-25083248</v>
      </c>
      <c r="M26" s="271">
        <f t="shared" si="10"/>
        <v>-21178419</v>
      </c>
      <c r="N26" s="271">
        <f t="shared" si="10"/>
        <v>-17565752</v>
      </c>
      <c r="O26" s="271">
        <f t="shared" si="10"/>
        <v>-14883692</v>
      </c>
      <c r="P26" s="271">
        <f t="shared" si="10"/>
        <v>-2126165</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0.65869287456710013</v>
      </c>
      <c r="D29" s="25"/>
      <c r="E29" s="236"/>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v>0.28000000000000003</v>
      </c>
      <c r="D30" s="25"/>
      <c r="E30" s="236"/>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0.93869287456710004</v>
      </c>
      <c r="E32" s="238"/>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-751646</v>
      </c>
      <c r="D35" s="55"/>
      <c r="E35" s="237"/>
      <c r="F35" s="55"/>
      <c r="G35" s="271">
        <f>IF(G4="","",Data!C41)</f>
        <v>-751646</v>
      </c>
      <c r="H35" s="271">
        <f>IF(H4="","",Data!D41)</f>
        <v>-751741</v>
      </c>
      <c r="I35" s="271">
        <f>IF(I4="","",Data!E41)</f>
        <v>-809594</v>
      </c>
      <c r="J35" s="271">
        <f>IF(J4="","",Data!F41)</f>
        <v>-866440</v>
      </c>
      <c r="K35" s="271">
        <f>IF(K4="","",Data!G41)</f>
        <v>-763318</v>
      </c>
      <c r="L35" s="271">
        <f>IF(L4="","",Data!H41)</f>
        <v>-1011891</v>
      </c>
      <c r="M35" s="271">
        <f>IF(M4="","",Data!I41)</f>
        <v>-813382</v>
      </c>
      <c r="N35" s="271">
        <f>IF(N4="","",Data!J41)</f>
        <v>-725195</v>
      </c>
      <c r="O35" s="271">
        <f>IF(O4="","",Data!K41)</f>
        <v>-656714</v>
      </c>
      <c r="P35" s="271">
        <f>IF(P4="","",Data!L41)</f>
        <v>-96269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4.0730960024055587E-2</v>
      </c>
      <c r="E38" s="238"/>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0.49893580729599801</v>
      </c>
      <c r="H41" s="6">
        <f t="shared" si="16"/>
        <v>0.4450774810454794</v>
      </c>
      <c r="I41" s="6">
        <f t="shared" si="16"/>
        <v>-1.9704878799590713</v>
      </c>
      <c r="J41" s="6">
        <f t="shared" si="16"/>
        <v>0.70009296608044336</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-72892.95</v>
      </c>
      <c r="E45" s="238"/>
      <c r="G45" s="270">
        <f>Data!C51</f>
        <v>-67796</v>
      </c>
      <c r="H45" s="270">
        <f>Data!D51</f>
        <v>-92335</v>
      </c>
      <c r="I45" s="270">
        <f>Data!E51</f>
        <v>-166759</v>
      </c>
      <c r="J45" s="270">
        <f>Data!F51</f>
        <v>-202932</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15191.436227966604</v>
      </c>
      <c r="E46" s="238"/>
      <c r="G46" s="278">
        <f t="shared" ref="G46:Q46" si="17">IFERROR(IF(G$4="","",($C$46/$C$47)*G47),0)</f>
        <v>28181.158154140736</v>
      </c>
      <c r="H46" s="278">
        <f t="shared" si="17"/>
        <v>21210.017687142419</v>
      </c>
      <c r="I46" s="278">
        <f t="shared" si="17"/>
        <v>12537.677609294475</v>
      </c>
      <c r="J46" s="278">
        <f t="shared" si="17"/>
        <v>15832.941290370118</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26941.32</v>
      </c>
      <c r="D47" s="249"/>
      <c r="E47" s="250"/>
      <c r="F47" s="249"/>
      <c r="G47" s="282">
        <f>Data!C52</f>
        <v>49978</v>
      </c>
      <c r="H47" s="282">
        <f>Data!D52</f>
        <v>37615</v>
      </c>
      <c r="I47" s="282">
        <f>Data!E52</f>
        <v>22235</v>
      </c>
      <c r="J47" s="282">
        <f>Data!F52</f>
        <v>28079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-57701.513772033395</v>
      </c>
      <c r="E48" s="238"/>
      <c r="G48" s="271">
        <f>IF(G$4="","",(G45+G46))</f>
        <v>-39614.841845859264</v>
      </c>
      <c r="H48" s="271">
        <f t="shared" ref="H48:Q48" si="18">IF(H$4="","",(H45+H46))</f>
        <v>-71124.982312857581</v>
      </c>
      <c r="I48" s="271">
        <f t="shared" si="18"/>
        <v>-154221.32239070552</v>
      </c>
      <c r="J48" s="271">
        <f t="shared" si="18"/>
        <v>-187099.05870962987</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5"/>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5.2091590762903222</v>
      </c>
      <c r="E53" s="238"/>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284827</v>
      </c>
      <c r="H60" s="270">
        <f>Data!D58</f>
        <v>295418</v>
      </c>
      <c r="I60" s="270">
        <f>Data!E58</f>
        <v>335696</v>
      </c>
      <c r="J60" s="270">
        <f>Data!F58</f>
        <v>278533</v>
      </c>
      <c r="K60" s="270">
        <f>Data!G58</f>
        <v>111936</v>
      </c>
      <c r="L60" s="270">
        <f>Data!H58</f>
        <v>129840</v>
      </c>
      <c r="M60" s="270">
        <f>Data!I58</f>
        <v>136795</v>
      </c>
      <c r="N60" s="270">
        <f>Data!J58</f>
        <v>114853</v>
      </c>
      <c r="O60" s="270">
        <f>Data!K58</f>
        <v>135945</v>
      </c>
      <c r="P60" s="270">
        <f>Data!L58</f>
        <v>8362</v>
      </c>
      <c r="Q60" s="270" t="str">
        <f>Data!M58</f>
        <v/>
      </c>
    </row>
    <row r="61" spans="1:17" ht="15.75" customHeight="1">
      <c r="A61" s="10"/>
      <c r="B61" s="30" t="s">
        <v>164</v>
      </c>
      <c r="C61" s="271">
        <f>C59+C60</f>
        <v>0</v>
      </c>
      <c r="E61" s="238"/>
      <c r="G61" s="271">
        <f t="shared" ref="G61:Q61" si="21">IF(G4="","",G59+G60)</f>
        <v>284827</v>
      </c>
      <c r="H61" s="271">
        <f t="shared" si="21"/>
        <v>295418</v>
      </c>
      <c r="I61" s="271">
        <f t="shared" si="21"/>
        <v>335696</v>
      </c>
      <c r="J61" s="271">
        <f t="shared" si="21"/>
        <v>278533</v>
      </c>
      <c r="K61" s="271">
        <f t="shared" si="21"/>
        <v>111936</v>
      </c>
      <c r="L61" s="271">
        <f t="shared" si="21"/>
        <v>129840</v>
      </c>
      <c r="M61" s="271">
        <f t="shared" si="21"/>
        <v>136795</v>
      </c>
      <c r="N61" s="271">
        <f t="shared" si="21"/>
        <v>114853</v>
      </c>
      <c r="O61" s="271">
        <f t="shared" si="21"/>
        <v>135945</v>
      </c>
      <c r="P61" s="271">
        <f t="shared" si="21"/>
        <v>8362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0.93869287456710004</v>
      </c>
      <c r="D71" s="26"/>
      <c r="E71" s="235"/>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6.1307125432899914E-2</v>
      </c>
      <c r="D72" s="26"/>
      <c r="E72" s="235"/>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5"/>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2.0576165408844323E-2</v>
      </c>
      <c r="D74" s="26"/>
      <c r="E74" s="235"/>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3.1267884759264139E-3</v>
      </c>
      <c r="D76" s="26"/>
      <c r="E76" s="235"/>
      <c r="F76" s="26"/>
      <c r="G76" s="6">
        <f t="shared" ref="G76:Q76" si="28">IF(G$4="","",ABS(G10/G$4))</f>
        <v>2.1466894516607264E-3</v>
      </c>
      <c r="H76" s="6">
        <f t="shared" si="28"/>
        <v>3.5448176105714276E-3</v>
      </c>
      <c r="I76" s="6">
        <f t="shared" si="28"/>
        <v>8.2745545994773548E-3</v>
      </c>
      <c r="J76" s="6">
        <f t="shared" si="28"/>
        <v>8.0127270115110134E-3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1.7449376932917909E-2</v>
      </c>
      <c r="D77" s="26"/>
      <c r="E77" s="235"/>
      <c r="F77" s="26"/>
      <c r="G77" s="62">
        <f t="shared" ref="G77:Q77" si="29">IF(G$4="","",G11/G$4)</f>
        <v>2.0677671525677264E-2</v>
      </c>
      <c r="H77" s="62">
        <f t="shared" si="29"/>
        <v>1.7188869359004735E-2</v>
      </c>
      <c r="I77" s="62">
        <f t="shared" si="29"/>
        <v>-4.4280625282429676E-3</v>
      </c>
      <c r="J77" s="62">
        <f t="shared" si="29"/>
        <v>1.2134393563506754E-2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4.3623442332294772E-3</v>
      </c>
      <c r="D78" s="26"/>
      <c r="E78" s="235"/>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4">
        <f>MIN(BS!C62,MAX(G79:K79))</f>
        <v>8.2089109595685013E-4</v>
      </c>
      <c r="D79" s="26"/>
      <c r="E79" s="235"/>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1.2266141603731582E-2</v>
      </c>
      <c r="D80" s="26"/>
      <c r="E80" s="235"/>
      <c r="F80" s="26"/>
      <c r="G80" s="62">
        <f t="shared" ref="G80:Q80" si="32">IF(G$4="","",ABS(G14/G$4))</f>
        <v>1.0018095239377597E-2</v>
      </c>
      <c r="H80" s="62">
        <f t="shared" si="32"/>
        <v>8.9013952199819626E-3</v>
      </c>
      <c r="I80" s="62">
        <f t="shared" si="32"/>
        <v>1.3747667866170208E-2</v>
      </c>
      <c r="J80" s="62">
        <f t="shared" si="32"/>
        <v>2.8182988860870192E-3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1.2266141603731582E-2</v>
      </c>
      <c r="D85" s="72"/>
      <c r="E85" s="235"/>
      <c r="F85" s="72"/>
      <c r="G85" s="62">
        <f t="shared" ref="G85:Q85" si="35">IF(G$4="","",ABS(G19/G$4))</f>
        <v>1.0018095239377597E-2</v>
      </c>
      <c r="H85" s="62">
        <f t="shared" si="35"/>
        <v>8.9013952199819626E-3</v>
      </c>
      <c r="I85" s="62">
        <f t="shared" si="35"/>
        <v>1.3747667866170208E-2</v>
      </c>
      <c r="J85" s="62">
        <f t="shared" si="35"/>
        <v>2.8182988860870192E-3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0.03</v>
      </c>
      <c r="E88" s="238"/>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8"/>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0.68701414752223544</v>
      </c>
      <c r="E90" s="238"/>
      <c r="G90" s="152">
        <f t="shared" ref="G90:Q90" si="37">IF(G$4="","",G88/(G19*scaling_factor/Common_Shares))</f>
        <v>0.84117914792335635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5.6250000000000001E-2</v>
      </c>
      <c r="E92" s="238"/>
      <c r="G92" s="22">
        <f t="shared" ref="G92:Q92" si="38">IF(G$4="","",(G88*(1-dividend_tax_rate))/Market_Price)</f>
        <v>5.6250000000000001E-2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-0.15612466755507259</v>
      </c>
      <c r="D96" s="26"/>
      <c r="E96" s="235"/>
      <c r="F96" s="26"/>
      <c r="G96" s="6">
        <f t="shared" ref="G96:Q96" si="40">IF(H5="","",G11/H11-1)</f>
        <v>0.10640657662233344</v>
      </c>
      <c r="H96" s="6">
        <f t="shared" si="40"/>
        <v>-5.1789006476240678</v>
      </c>
      <c r="I96" s="6">
        <f t="shared" si="40"/>
        <v>-1.2912756695691492</v>
      </c>
      <c r="J96" s="6">
        <f t="shared" si="40"/>
        <v>-0.11764504345625726</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12590930</v>
      </c>
      <c r="D100" s="25"/>
      <c r="E100" s="239"/>
      <c r="F100" s="25"/>
      <c r="G100" s="274">
        <f t="shared" ref="G100:Q100" si="41">IF(G$4="","",G104+G103)</f>
        <v>12590930</v>
      </c>
      <c r="H100" s="274">
        <f t="shared" si="41"/>
        <v>13257673</v>
      </c>
      <c r="I100" s="274">
        <f t="shared" si="41"/>
        <v>13598861</v>
      </c>
      <c r="J100" s="274">
        <f t="shared" si="41"/>
        <v>16658980</v>
      </c>
      <c r="K100" s="274">
        <f t="shared" si="41"/>
        <v>17022269</v>
      </c>
      <c r="L100" s="274">
        <f t="shared" si="41"/>
        <v>17390782</v>
      </c>
      <c r="M100" s="274">
        <f t="shared" si="41"/>
        <v>13237469</v>
      </c>
      <c r="N100" s="274">
        <f t="shared" si="41"/>
        <v>11470110</v>
      </c>
      <c r="O100" s="274">
        <f t="shared" si="41"/>
        <v>10043776</v>
      </c>
      <c r="P100" s="274">
        <f t="shared" si="41"/>
        <v>1301225</v>
      </c>
      <c r="Q100" s="274" t="str">
        <f t="shared" si="41"/>
        <v/>
      </c>
    </row>
    <row r="101" spans="1:17" ht="15.75" customHeight="1">
      <c r="A101" s="10"/>
      <c r="B101" s="90" t="s">
        <v>179</v>
      </c>
      <c r="C101" s="285">
        <f>BS!C4</f>
        <v>2009997</v>
      </c>
      <c r="D101" s="86"/>
      <c r="E101" s="240"/>
      <c r="F101" s="86"/>
      <c r="G101" s="286">
        <f>IF(G$4="","",Data!D77)</f>
        <v>978919</v>
      </c>
      <c r="H101" s="286">
        <f>IF(H$4="","",Data!E77)</f>
        <v>862084</v>
      </c>
      <c r="I101" s="286">
        <f>IF(I$4="","",Data!F77)</f>
        <v>1165003</v>
      </c>
      <c r="J101" s="286">
        <f>IF(J$4="","",Data!G77)</f>
        <v>1702963</v>
      </c>
      <c r="K101" s="286">
        <f>IF(K$4="","",Data!H77)</f>
        <v>1407523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4865388</v>
      </c>
      <c r="D102" s="86"/>
      <c r="E102" s="240"/>
      <c r="F102" s="86"/>
      <c r="G102" s="286">
        <f>IF(G$4="","",Data!D78)</f>
        <v>4704713</v>
      </c>
      <c r="H102" s="286">
        <f>IF(H$4="","",Data!E78)</f>
        <v>6071858</v>
      </c>
      <c r="I102" s="286">
        <f>IF(I$4="","",Data!F78)</f>
        <v>7578037</v>
      </c>
      <c r="J102" s="286">
        <f>IF(J$4="","",Data!G78)</f>
        <v>5869541</v>
      </c>
      <c r="K102" s="286">
        <f>IF(K$4="","",Data!H78)</f>
        <v>8021487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3613572</v>
      </c>
      <c r="D103" s="25"/>
      <c r="E103" s="239"/>
      <c r="F103" s="25"/>
      <c r="G103" s="274">
        <f>Data!C79</f>
        <v>3613572</v>
      </c>
      <c r="H103" s="274">
        <f>Data!D79</f>
        <v>4647092</v>
      </c>
      <c r="I103" s="274">
        <f>Data!E79</f>
        <v>5404941</v>
      </c>
      <c r="J103" s="274">
        <f>Data!F79</f>
        <v>8456784</v>
      </c>
      <c r="K103" s="274">
        <f>Data!G79</f>
        <v>9146239</v>
      </c>
      <c r="L103" s="274">
        <f>Data!H79</f>
        <v>9684704</v>
      </c>
      <c r="M103" s="274">
        <f>Data!I79</f>
        <v>6201932</v>
      </c>
      <c r="N103" s="274">
        <f>Data!J79</f>
        <v>5028581</v>
      </c>
      <c r="O103" s="274">
        <f>Data!K79</f>
        <v>3910265</v>
      </c>
      <c r="P103" s="274">
        <f>Data!L79</f>
        <v>425087</v>
      </c>
      <c r="Q103" s="274" t="str">
        <f>Data!M79</f>
        <v/>
      </c>
    </row>
    <row r="104" spans="1:17" ht="15.75" customHeight="1">
      <c r="A104" s="10"/>
      <c r="B104" s="25" t="s">
        <v>28</v>
      </c>
      <c r="C104" s="284">
        <f>BS!G27</f>
        <v>8977358</v>
      </c>
      <c r="D104" s="25"/>
      <c r="E104" s="239"/>
      <c r="F104" s="25"/>
      <c r="G104" s="274">
        <f>Data!C80</f>
        <v>8977358</v>
      </c>
      <c r="H104" s="274">
        <f>Data!D80</f>
        <v>8610581</v>
      </c>
      <c r="I104" s="274">
        <f>Data!E80</f>
        <v>8193920</v>
      </c>
      <c r="J104" s="274">
        <f>Data!F80</f>
        <v>8202196</v>
      </c>
      <c r="K104" s="274">
        <f>Data!G80</f>
        <v>7876030</v>
      </c>
      <c r="L104" s="274">
        <f>Data!H80</f>
        <v>7706078</v>
      </c>
      <c r="M104" s="274">
        <f>Data!I80</f>
        <v>7035537</v>
      </c>
      <c r="N104" s="274">
        <f>Data!J80</f>
        <v>6441529</v>
      </c>
      <c r="O104" s="274">
        <f>Data!K80</f>
        <v>6133511</v>
      </c>
      <c r="P104" s="274">
        <f>Data!L80</f>
        <v>876138</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9"/>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9"/>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2.3795513255742011</v>
      </c>
      <c r="H112" s="254">
        <f>IF(H$4="","",Data!D$22/Data!D15)</f>
        <v>6.7649123225385921</v>
      </c>
      <c r="I112" s="254">
        <f>IF(I$4="","",Data!E$22/Data!E15)</f>
        <v>26.601019573415272</v>
      </c>
      <c r="J112" s="254">
        <f>IF(J$4="","",Data!F$22/Data!F15)</f>
        <v>4.8896169046320077</v>
      </c>
      <c r="K112" s="254">
        <f>IF(K$4="","",Data!G$22/Data!G15)</f>
        <v>16.269338333439268</v>
      </c>
      <c r="L112" s="254">
        <f>IF(L$4="","",Data!H$22/Data!H15)</f>
        <v>2.0768794535804798</v>
      </c>
      <c r="M112" s="254">
        <f>IF(M$4="","",Data!I$22/Data!I15)</f>
        <v>-1.0989598747713472E-2</v>
      </c>
      <c r="N112" s="254">
        <f>IF(N$4="","",Data!J$22/Data!J15)</f>
        <v>-0.48113398484936104</v>
      </c>
      <c r="O112" s="254">
        <f>IF(O$4="","",Data!K$22/Data!K15)</f>
        <v>-2.005403687779906E-2</v>
      </c>
      <c r="P112" s="254">
        <f>IF(P$4="","",Data!L$22/Data!L15)</f>
        <v>2.3358991628981043</v>
      </c>
      <c r="Q112" s="254" t="str">
        <f>IF(Q$4="","",Data!M$22/Data!M15)</f>
        <v/>
      </c>
    </row>
    <row r="113" spans="1:17" ht="15.75" customHeight="1">
      <c r="A113" s="10"/>
      <c r="B113" s="2" t="s">
        <v>304</v>
      </c>
      <c r="C113" s="151"/>
      <c r="E113" s="238"/>
      <c r="G113" s="254">
        <f>IF(G$4="","",Data!C$22/G19)</f>
        <v>6.4075986575202437</v>
      </c>
      <c r="H113" s="254">
        <f>IF(H$4="","",Data!D$22/H19)</f>
        <v>19.060019836747152</v>
      </c>
      <c r="I113" s="254">
        <f>IF(I$4="","",Data!E$22/I19)</f>
        <v>-10.40643192247197</v>
      </c>
      <c r="J113" s="254">
        <f>IF(J$4="","",Data!F$22/J19)</f>
        <v>27.919092498170237</v>
      </c>
      <c r="K113" s="254">
        <f>IF(K$4="","",Data!G$22/K19)</f>
        <v>26.816148430624818</v>
      </c>
      <c r="L113" s="254">
        <f>IF(L$4="","",Data!H$22/L19)</f>
        <v>2.5979187842515654</v>
      </c>
      <c r="M113" s="254">
        <f>IF(M$4="","",Data!I$22/M19)</f>
        <v>-1.5178789095108756E-2</v>
      </c>
      <c r="N113" s="254">
        <f>IF(N$4="","",Data!J$22/N19)</f>
        <v>-0.71451932056864986</v>
      </c>
      <c r="O113" s="254">
        <f>IF(O$4="","",Data!K$22/O19)</f>
        <v>-2.6900813406368778E-2</v>
      </c>
      <c r="P113" s="254">
        <f>IF(P$4="","",Data!L$22/P19)</f>
        <v>2.697644269945922</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1.7449376932917909E-2</v>
      </c>
      <c r="E116" s="238"/>
      <c r="G116" s="22">
        <f t="shared" ref="G116:Q116" si="44">IF(G4="","",G77)</f>
        <v>2.0677671525677264E-2</v>
      </c>
      <c r="H116" s="22">
        <f t="shared" si="44"/>
        <v>1.7188869359004735E-2</v>
      </c>
      <c r="I116" s="22">
        <f t="shared" si="44"/>
        <v>-4.4280625282429676E-3</v>
      </c>
      <c r="J116" s="22">
        <f t="shared" si="44"/>
        <v>1.2134393563506754E-2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0">
        <f>C4/C100</f>
        <v>1.4656521003611329</v>
      </c>
      <c r="E117" s="238"/>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242"/>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99">
        <f>C11/C104</f>
        <v>3.586906730443893E-2</v>
      </c>
      <c r="D119" s="100"/>
      <c r="E119" s="241"/>
      <c r="F119" s="100"/>
      <c r="G119" s="99">
        <f t="shared" ref="G119:Q119" si="47">IF(G$4="","",G11/G104)</f>
        <v>4.2505173365498042E-2</v>
      </c>
      <c r="H119" s="99">
        <f t="shared" si="47"/>
        <v>4.0053745233584404E-2</v>
      </c>
      <c r="I119" s="99">
        <f t="shared" si="47"/>
        <v>-1.0072141586774769E-2</v>
      </c>
      <c r="J119" s="99">
        <f t="shared" si="47"/>
        <v>3.4544522136555886E-2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4.7801032654770939E-2</v>
      </c>
      <c r="D123" s="26"/>
      <c r="E123" s="235"/>
      <c r="F123" s="26"/>
      <c r="G123" s="159">
        <f t="shared" ref="G123:Q123" si="48">IF(G$4="","",G14*$C$3/Common_Shares*Exchange_Rate)</f>
        <v>3.9040418180922618E-2</v>
      </c>
      <c r="H123" s="159">
        <f t="shared" si="48"/>
        <v>3.7716115893087022E-2</v>
      </c>
      <c r="I123" s="159">
        <f t="shared" si="48"/>
        <v>-5.4108990165068649E-2</v>
      </c>
      <c r="J123" s="159">
        <f t="shared" si="48"/>
        <v>1.3896931135127638E-2</v>
      </c>
      <c r="K123" s="159">
        <f t="shared" si="48"/>
        <v>4.0313975629695395E-2</v>
      </c>
      <c r="L123" s="159">
        <f t="shared" si="48"/>
        <v>0.14854723550619567</v>
      </c>
      <c r="M123" s="159">
        <f t="shared" si="48"/>
        <v>8.5756313672787854E-2</v>
      </c>
      <c r="N123" s="159">
        <f t="shared" si="48"/>
        <v>5.9016607589444652E-2</v>
      </c>
      <c r="O123" s="159">
        <f t="shared" si="48"/>
        <v>8.9671692198906638E-2</v>
      </c>
      <c r="P123" s="159">
        <f t="shared" si="48"/>
        <v>1.1402555358195912E-2</v>
      </c>
      <c r="Q123" s="159" t="str">
        <f t="shared" si="48"/>
        <v/>
      </c>
    </row>
    <row r="124" spans="1:17" ht="15.75" customHeight="1">
      <c r="A124" s="10"/>
      <c r="B124" s="26" t="s">
        <v>226</v>
      </c>
      <c r="C124" s="74">
        <f>C19*Exchange_Rate*$C$3/(Market_Price*Common_Shares)</f>
        <v>9.9585484697439441E-2</v>
      </c>
      <c r="D124" s="26"/>
      <c r="E124" s="235"/>
      <c r="F124" s="26"/>
      <c r="G124" s="74">
        <f t="shared" ref="G124" si="49">IF(G$4="","",G123/Market_Price)</f>
        <v>8.1334204543588792E-2</v>
      </c>
      <c r="H124" s="74">
        <f t="shared" ref="H124" si="50">IF(H$4="","",H123/Market_Price)</f>
        <v>7.8575241443931299E-2</v>
      </c>
      <c r="I124" s="74">
        <f t="shared" ref="I124" si="51">IF(I$4="","",I123/Market_Price)</f>
        <v>-0.11272706284389303</v>
      </c>
      <c r="J124" s="74">
        <f t="shared" ref="J124" si="52">IF(J$4="","",J123/Market_Price)</f>
        <v>2.8951939864849247E-2</v>
      </c>
      <c r="K124" s="74">
        <f t="shared" ref="K124" si="53">IF(K$4="","",K123/Market_Price)</f>
        <v>8.3987449228532074E-2</v>
      </c>
      <c r="L124" s="74">
        <f t="shared" ref="L124" si="54">IF(L$4="","",L123/Market_Price)</f>
        <v>0.30947340730457434</v>
      </c>
      <c r="M124" s="74">
        <f t="shared" ref="M124" si="55">IF(M$4="","",M123/Market_Price)</f>
        <v>0.17865898681830802</v>
      </c>
      <c r="N124" s="74">
        <f t="shared" ref="N124" si="56">IF(N$4="","",N123/Market_Price)</f>
        <v>0.12295126581134302</v>
      </c>
      <c r="O124" s="74">
        <f t="shared" ref="O124" si="57">IF(O$4="","",O123/Market_Price)</f>
        <v>0.18681602541438883</v>
      </c>
      <c r="P124" s="74">
        <f t="shared" ref="P124" si="58">IF(P$4="","",P123/Market_Price)</f>
        <v>2.375532366290815E-2</v>
      </c>
      <c r="Q124" s="74" t="str">
        <f t="shared" ref="Q124" si="59">IF(Q$4="","",Q123/Market_Price)</f>
        <v/>
      </c>
    </row>
    <row r="125" spans="1:17" ht="15.75" customHeight="1">
      <c r="B125" s="2" t="s">
        <v>306</v>
      </c>
      <c r="C125" s="151"/>
      <c r="G125" s="22">
        <f>IF(G$4="","",(Data!C47*$C$3)/(Market_Price*Common_Shares))</f>
        <v>0.20007450171883859</v>
      </c>
      <c r="H125" s="22">
        <f>IF(H$4="","",(Data!D47*$C$3)/(Market_Price*Common_Shares))</f>
        <v>0.2022391333869</v>
      </c>
      <c r="I125" s="22">
        <f>IF(I$4="","",(Data!E47*$C$3)/(Market_Price*Common_Shares))</f>
        <v>4.0285619967162845E-2</v>
      </c>
      <c r="J125" s="22">
        <f>IF(J$4="","",(Data!F47*$C$3)/(Market_Price*Common_Shares))</f>
        <v>0.15101581367107558</v>
      </c>
      <c r="K125" s="22">
        <f>IF(K$4="","",(Data!G47*$C$3)/(Market_Price*Common_Shares))</f>
        <v>0.12646175281697022</v>
      </c>
      <c r="L125" s="22">
        <f>IF(L$4="","",(Data!H47*$C$3)/(Market_Price*Common_Shares))</f>
        <v>0.35363554605345537</v>
      </c>
      <c r="M125" s="22">
        <f>IF(M$4="","",(Data!I47*$C$3)/(Market_Price*Common_Shares))</f>
        <v>0.22542311823721381</v>
      </c>
      <c r="N125" s="22">
        <f>IF(N$4="","",(Data!J47*$C$3)/(Market_Price*Common_Shares))</f>
        <v>0.16680122734104363</v>
      </c>
      <c r="O125" s="22">
        <f>IF(O$4="","",(Data!K47*$C$3)/(Market_Price*Common_Shares))</f>
        <v>0.22892647773414868</v>
      </c>
      <c r="P125" s="22">
        <f>IF(P$4="","",(Data!L47*$C$3)/(Market_Price*Common_Shares))</f>
        <v>2.5061660147971235E-2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8" sqref="C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226358.43266235912</v>
      </c>
      <c r="D4" t="str">
        <f>Reporting_currency</f>
        <v>CNY</v>
      </c>
      <c r="E4" s="135" t="s">
        <v>434</v>
      </c>
      <c r="F4" s="279">
        <f>-BS!G31</f>
        <v>-1457859</v>
      </c>
      <c r="G4" t="str">
        <f>Reporting_currency</f>
        <v>CNY</v>
      </c>
      <c r="H4" s="312" t="s">
        <v>394</v>
      </c>
      <c r="I4" s="309">
        <f>Normalized_FCF!C4</f>
        <v>18453923</v>
      </c>
      <c r="J4" s="309"/>
    </row>
    <row r="5" spans="2:15">
      <c r="B5" s="187" t="s">
        <v>105</v>
      </c>
      <c r="C5" s="188">
        <f>Equity_Cost</f>
        <v>7.2499999999999995E-2</v>
      </c>
      <c r="E5" s="135" t="s">
        <v>435</v>
      </c>
      <c r="F5" s="279">
        <f>BS!D66</f>
        <v>1174988.3772033397</v>
      </c>
      <c r="G5" t="str">
        <f>Reporting_currency</f>
        <v>CNY</v>
      </c>
      <c r="H5" s="312" t="s">
        <v>396</v>
      </c>
      <c r="I5" s="309">
        <f>Normalized_FCF!C7</f>
        <v>-751646</v>
      </c>
      <c r="J5" s="309"/>
    </row>
    <row r="6" spans="2:15" ht="13.25" customHeight="1">
      <c r="B6" s="136" t="s">
        <v>194</v>
      </c>
      <c r="C6" s="287">
        <f>(C4*(1+Terminal_Growth))/(Equity_Cost-Terminal_Growth)</f>
        <v>3122185.2781015052</v>
      </c>
      <c r="D6" t="str">
        <f>Reporting_currency</f>
        <v>CNY</v>
      </c>
      <c r="E6" s="187" t="s">
        <v>436</v>
      </c>
      <c r="F6" s="288">
        <f>BS!H42</f>
        <v>1649.3999999999999</v>
      </c>
      <c r="G6" t="str">
        <f>Reporting_currency</f>
        <v>CNY</v>
      </c>
      <c r="H6" s="312" t="s">
        <v>418</v>
      </c>
      <c r="I6" s="309">
        <f>I7+I8</f>
        <v>-57701.513772033395</v>
      </c>
      <c r="J6" s="309"/>
      <c r="N6" s="135"/>
    </row>
    <row r="7" spans="2:15" ht="12.75" customHeight="1">
      <c r="B7" s="322" t="s">
        <v>433</v>
      </c>
      <c r="C7" s="279">
        <f>F7</f>
        <v>-281221.22279666027</v>
      </c>
      <c r="E7" s="140" t="s">
        <v>427</v>
      </c>
      <c r="F7" s="287">
        <f>SUM(F4:F6)</f>
        <v>-281221.22279666027</v>
      </c>
      <c r="G7" t="str">
        <f>Reporting_currency</f>
        <v>CNY</v>
      </c>
      <c r="H7" s="316" t="s">
        <v>419</v>
      </c>
      <c r="I7" s="317">
        <f>Normalized_FCF!C9</f>
        <v>0</v>
      </c>
      <c r="J7" s="317"/>
      <c r="N7" s="308"/>
      <c r="O7" s="308"/>
    </row>
    <row r="8" spans="2:15" ht="13.15">
      <c r="B8" s="136" t="s">
        <v>429</v>
      </c>
      <c r="C8" s="287">
        <f>C6+C7</f>
        <v>2840964.0553048449</v>
      </c>
      <c r="D8" t="str">
        <f>Reporting_currency</f>
        <v>CNY</v>
      </c>
      <c r="E8" s="140" t="s">
        <v>467</v>
      </c>
      <c r="F8" s="108">
        <f>FV_adjustments*scaling_factor/Common_Shares*Exchange_Rate</f>
        <v>-5.9386631617869189E-2</v>
      </c>
      <c r="G8" s="298" t="str">
        <f>Market_currency</f>
        <v>HKD</v>
      </c>
      <c r="H8" s="318" t="str">
        <f>Normalized_FCF!B10</f>
        <v>Net Interest Income</v>
      </c>
      <c r="I8" s="317">
        <f>Normalized_FCF!C10</f>
        <v>-57701.513772033395</v>
      </c>
      <c r="J8" s="317"/>
      <c r="N8" s="308"/>
      <c r="O8" s="308"/>
    </row>
    <row r="9" spans="2:15" ht="13.15" thickBot="1">
      <c r="B9" s="189" t="str">
        <f>"*"&amp;Thesis!E15</f>
        <v>*CNY/HKD</v>
      </c>
      <c r="C9" s="190">
        <f>Exchange_Rate</f>
        <v>1.0946661899999999</v>
      </c>
      <c r="D9" t="str">
        <f>Thesis!E15</f>
        <v>CNY/HKD</v>
      </c>
      <c r="F9" s="326"/>
      <c r="H9" s="312" t="str">
        <f>Normalized_FCF!B79</f>
        <v>NCI’s Share of Profits</v>
      </c>
      <c r="I9" s="144">
        <f>Normalized_FCF!C79</f>
        <v>8.2089109595685013E-4</v>
      </c>
      <c r="J9" s="310"/>
      <c r="N9" s="308"/>
      <c r="O9" s="308"/>
    </row>
    <row r="10" spans="2:15" ht="13.5" thickTop="1">
      <c r="B10" s="107" t="s">
        <v>430</v>
      </c>
      <c r="C10" s="287">
        <f>C8*Exchange_Rate</f>
        <v>3109907.2983475034</v>
      </c>
      <c r="D10" t="str">
        <f>Market_currency</f>
        <v>HKD</v>
      </c>
      <c r="H10" s="312" t="s">
        <v>398</v>
      </c>
      <c r="I10" s="310">
        <f>Normalized_FCF!C41</f>
        <v>0.25</v>
      </c>
      <c r="N10" s="308"/>
      <c r="O10" s="308"/>
    </row>
    <row r="11" spans="2:15" ht="13.15">
      <c r="B11" s="136" t="s">
        <v>428</v>
      </c>
      <c r="C11" s="108">
        <f>(C10*scaling_factor)/Common_Shares</f>
        <v>0.59993795672379879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0.93869287456710004</v>
      </c>
      <c r="E17" s="312" t="s">
        <v>402</v>
      </c>
      <c r="F17" s="315">
        <f>Scenarios!C40</f>
        <v>0.93869287456710004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0.6028020854131908</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18477913.0999</v>
      </c>
      <c r="D21" s="303">
        <f t="shared" ref="D21:D50" si="1">IF(A21="",0,IF(A21="I",$C$16,$F$16))</f>
        <v>1.2999999999999999E-3</v>
      </c>
      <c r="E21" s="303">
        <f>$C$17</f>
        <v>0.93869287456710004</v>
      </c>
      <c r="F21" s="281">
        <f>I5*(1+D21)</f>
        <v>-752623.1398</v>
      </c>
      <c r="G21" s="281">
        <f>C21*(1-E21)+F21+$I$6</f>
        <v>322503.08258176106</v>
      </c>
      <c r="H21" s="303">
        <f t="shared" ref="H21:H50" si="2">IF(A21="",0%,IF(A21="I",$C$18,$F$18))</f>
        <v>0</v>
      </c>
      <c r="I21" s="281">
        <f>(G21*(1-$I$10)+C21*(H21-$I$9))</f>
        <v>226708.95760074846</v>
      </c>
      <c r="J21" s="303">
        <f>I21/C4-1</f>
        <v>1.548539342080435E-3</v>
      </c>
      <c r="K21" s="119">
        <f t="shared" ref="K21:K50" si="3">IF($C$15&lt;B21,0,1/(1+Equity_Cost)^B21)</f>
        <v>0.93240093240093236</v>
      </c>
      <c r="L21" s="281">
        <f t="shared" ref="L21:L50" si="4">I21*K21</f>
        <v>211383.64345058129</v>
      </c>
    </row>
    <row r="22" spans="1:21">
      <c r="A22" s="306" t="str">
        <f t="shared" si="0"/>
        <v>I</v>
      </c>
      <c r="B22" s="117">
        <v>2</v>
      </c>
      <c r="C22" s="281">
        <f t="shared" ref="C22:C50" si="5">IF(A22="",0,C21*(1+D22))</f>
        <v>18501934.38692987</v>
      </c>
      <c r="D22" s="303">
        <f t="shared" si="1"/>
        <v>1.2999999999999999E-3</v>
      </c>
      <c r="E22" s="303">
        <f t="shared" ref="E22:E50" si="6">IF($C$15&lt;B22,0,IF(B22&gt;=$F$15,$F$17,$C$17))</f>
        <v>0.93869287456710004</v>
      </c>
      <c r="F22" s="281">
        <f t="shared" ref="F22:F50" si="7">IF(A22="",0,F21*(1+D22))</f>
        <v>-753601.54988174001</v>
      </c>
      <c r="G22" s="281">
        <f t="shared" ref="G22:G50" si="8">IF(A22="", 0,C22*(1-E22)+F22+$I$6)</f>
        <v>322997.348557021</v>
      </c>
      <c r="H22" s="303">
        <f t="shared" si="2"/>
        <v>0</v>
      </c>
      <c r="I22" s="281">
        <f>IF(A22="", 0,G22*(1-$I$10)+C22*(H22-$I$9))</f>
        <v>227059.93822155715</v>
      </c>
      <c r="J22" s="303">
        <f>IF(A22="", 0,I22/I21-1)</f>
        <v>1.5481550641982533E-3</v>
      </c>
      <c r="K22" s="119">
        <f t="shared" si="3"/>
        <v>0.86937149874212816</v>
      </c>
      <c r="L22" s="281">
        <f t="shared" si="4"/>
        <v>197399.43879597017</v>
      </c>
    </row>
    <row r="23" spans="1:21">
      <c r="A23" s="306" t="str">
        <f t="shared" si="0"/>
        <v>I</v>
      </c>
      <c r="B23" s="117">
        <v>3</v>
      </c>
      <c r="C23" s="281">
        <f t="shared" si="5"/>
        <v>18525986.901632879</v>
      </c>
      <c r="D23" s="303">
        <f t="shared" si="1"/>
        <v>1.2999999999999999E-3</v>
      </c>
      <c r="E23" s="303">
        <f t="shared" si="6"/>
        <v>0.93869287456710004</v>
      </c>
      <c r="F23" s="281">
        <f t="shared" si="7"/>
        <v>-754581.23189658637</v>
      </c>
      <c r="G23" s="281">
        <f t="shared" si="8"/>
        <v>323492.25707804866</v>
      </c>
      <c r="H23" s="303">
        <f t="shared" si="2"/>
        <v>0</v>
      </c>
      <c r="I23" s="281">
        <f t="shared" ref="I23:I50" si="9">IF(A23="", 0,G23*(1-$I$10)+C23*(H23-$I$9))</f>
        <v>227411.37511717284</v>
      </c>
      <c r="J23" s="303">
        <f t="shared" ref="J23:J50" si="10">IF(A23="", 0,I23/I22-1)</f>
        <v>1.5477714755334215E-3</v>
      </c>
      <c r="K23" s="119">
        <f t="shared" si="3"/>
        <v>0.81060279602995633</v>
      </c>
      <c r="L23" s="281">
        <f t="shared" si="4"/>
        <v>184340.29651899755</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18525986.901632879</v>
      </c>
      <c r="D51" s="305">
        <f>Terminal_Growth</f>
        <v>0</v>
      </c>
      <c r="E51" s="305">
        <f>F17</f>
        <v>0.93869287456710004</v>
      </c>
      <c r="F51" s="281">
        <f>VLOOKUP(C15,B21:F50,5,FALSE)*(1+Terminal_Growth)</f>
        <v>-754581.23189658637</v>
      </c>
      <c r="G51" s="281">
        <f>C51*(1-E51)+F51+$I$6</f>
        <v>323492.25707804866</v>
      </c>
      <c r="H51" s="303">
        <f>F18</f>
        <v>0</v>
      </c>
      <c r="I51" s="281">
        <f>(G51*(1-$I$10)+C51*(H51-$I$9))/Equity_Cost</f>
        <v>3136708.6223058323</v>
      </c>
      <c r="J51" s="419">
        <f>(G51*(1-$I$10)+C51*(H51-$I$9))/VLOOKUP(C15,B21:I50,8,FALSE)-1</f>
        <v>0</v>
      </c>
      <c r="K51" s="119">
        <f>1/(1+Equity_Cost)^C15</f>
        <v>0.81060279602995633</v>
      </c>
      <c r="L51" s="281">
        <f>I51*K51</f>
        <v>2542624.7795723798</v>
      </c>
    </row>
    <row r="52" spans="1:21" ht="13.15">
      <c r="G52" s="111"/>
      <c r="H52" s="111"/>
      <c r="I52" s="111"/>
      <c r="J52" s="464" t="s">
        <v>423</v>
      </c>
      <c r="K52" s="464"/>
      <c r="L52" s="321">
        <f>SUM(L21:L51)</f>
        <v>3135748.1583379288</v>
      </c>
    </row>
    <row r="53" spans="1:21">
      <c r="C53" s="111"/>
    </row>
    <row r="54" spans="1:21" ht="13.15">
      <c r="B54" s="115" t="s">
        <v>108</v>
      </c>
      <c r="C54" s="128"/>
      <c r="D54" s="128"/>
      <c r="E54" s="113"/>
      <c r="F54" s="113"/>
      <c r="G54" s="113"/>
      <c r="H54" s="113"/>
      <c r="I54" s="113"/>
      <c r="J54" s="113"/>
      <c r="K54" s="113"/>
      <c r="L54" s="113"/>
    </row>
    <row r="55" spans="1:21" ht="13.15">
      <c r="A55" s="125">
        <f>L52</f>
        <v>3135748.1583379288</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3270949.1776829683</v>
      </c>
      <c r="C56" s="118">
        <v>2564320.6546710618</v>
      </c>
      <c r="D56" s="118">
        <v>3122185.2781015127</v>
      </c>
      <c r="E56" s="118">
        <v>3196567.2278922405</v>
      </c>
      <c r="F56" s="118">
        <v>2006456.0312406113</v>
      </c>
      <c r="G56" s="299"/>
      <c r="H56" s="299"/>
      <c r="I56" s="299"/>
      <c r="J56" s="299"/>
      <c r="K56" s="299"/>
      <c r="L56" s="299"/>
    </row>
    <row r="57" spans="1:21" ht="13.15">
      <c r="A57" s="131">
        <v>2</v>
      </c>
      <c r="B57" s="118">
        <v>3415205.0803074073</v>
      </c>
      <c r="C57" s="118">
        <v>2122190.1838870202</v>
      </c>
      <c r="D57" s="118">
        <v>3122185.2781015127</v>
      </c>
      <c r="E57" s="118">
        <v>3267308.1032176856</v>
      </c>
      <c r="F57" s="118">
        <v>1278241.1381845449</v>
      </c>
      <c r="G57" s="299"/>
      <c r="H57" s="299"/>
      <c r="I57" s="299"/>
      <c r="J57" s="299"/>
      <c r="K57" s="299"/>
      <c r="L57" s="299"/>
    </row>
    <row r="58" spans="1:21" ht="13.15">
      <c r="A58" s="131">
        <v>3</v>
      </c>
      <c r="B58" s="118">
        <v>3555089.5919432291</v>
      </c>
      <c r="C58" s="118">
        <v>1771783.7501654034</v>
      </c>
      <c r="D58" s="118">
        <v>3122185.2781015127</v>
      </c>
      <c r="E58" s="118">
        <v>3334586.1384922382</v>
      </c>
      <c r="F58" s="118">
        <v>802949.36649293941</v>
      </c>
      <c r="G58" s="299"/>
      <c r="H58" s="299"/>
      <c r="I58" s="299"/>
      <c r="J58" s="299"/>
      <c r="K58" s="299"/>
      <c r="L58" s="299"/>
    </row>
    <row r="59" spans="1:21" ht="13.15">
      <c r="A59" s="131">
        <v>4</v>
      </c>
      <c r="B59" s="118">
        <v>3690735.1789840241</v>
      </c>
      <c r="C59" s="118">
        <v>1494072.3574722805</v>
      </c>
      <c r="D59" s="118">
        <v>3122185.2781015122</v>
      </c>
      <c r="E59" s="118">
        <v>3398570.8433687333</v>
      </c>
      <c r="F59" s="118">
        <v>492735.62273151788</v>
      </c>
      <c r="G59" s="299"/>
      <c r="H59" s="299"/>
      <c r="I59" s="299"/>
      <c r="J59" s="299"/>
      <c r="K59" s="299"/>
      <c r="L59" s="299"/>
    </row>
    <row r="60" spans="1:21" ht="13.15">
      <c r="A60" s="131">
        <v>5</v>
      </c>
      <c r="B60" s="118">
        <v>3822270.2936902521</v>
      </c>
      <c r="C60" s="118">
        <v>1273974.7502096649</v>
      </c>
      <c r="D60" s="118">
        <v>3122185.2781015127</v>
      </c>
      <c r="E60" s="118">
        <v>3459423.429824702</v>
      </c>
      <c r="F60" s="118">
        <v>290265.11398280488</v>
      </c>
      <c r="G60" s="299"/>
      <c r="H60" s="299"/>
      <c r="I60" s="299"/>
      <c r="J60" s="299"/>
      <c r="K60" s="299"/>
      <c r="L60" s="299"/>
    </row>
    <row r="61" spans="1:21" ht="13.15">
      <c r="A61" s="131">
        <v>6</v>
      </c>
      <c r="B61" s="118">
        <v>3949819.4958296237</v>
      </c>
      <c r="C61" s="118">
        <v>1099538.4181134203</v>
      </c>
      <c r="D61" s="118">
        <v>3122185.2781015122</v>
      </c>
      <c r="E61" s="118">
        <v>3517297.218342266</v>
      </c>
      <c r="F61" s="118">
        <v>158116.53018411115</v>
      </c>
      <c r="G61" s="299"/>
      <c r="H61" s="299"/>
      <c r="I61" s="299"/>
      <c r="J61" s="299"/>
      <c r="K61" s="299"/>
      <c r="L61" s="299"/>
    </row>
    <row r="62" spans="1:21" ht="13.15">
      <c r="A62" s="131">
        <v>7</v>
      </c>
      <c r="B62" s="118">
        <v>4073503.5706314379</v>
      </c>
      <c r="C62" s="118">
        <v>961290.50922595337</v>
      </c>
      <c r="D62" s="118">
        <v>3122185.2781015127</v>
      </c>
      <c r="E62" s="118">
        <v>3572338.0242051254</v>
      </c>
      <c r="F62" s="118">
        <v>71865.706259555853</v>
      </c>
      <c r="G62" s="299"/>
      <c r="H62" s="299"/>
      <c r="I62" s="299"/>
      <c r="J62" s="299"/>
      <c r="K62" s="299"/>
      <c r="L62" s="299"/>
    </row>
    <row r="63" spans="1:21" ht="13.15">
      <c r="A63" s="131">
        <v>8</v>
      </c>
      <c r="B63" s="118">
        <v>4193439.6431665309</v>
      </c>
      <c r="C63" s="118">
        <v>851723.40194917307</v>
      </c>
      <c r="D63" s="118">
        <v>3122185.2781015127</v>
      </c>
      <c r="E63" s="118">
        <v>3624684.524885884</v>
      </c>
      <c r="F63" s="118">
        <v>15571.462206233002</v>
      </c>
      <c r="G63" s="299"/>
      <c r="H63" s="299"/>
      <c r="I63" s="299"/>
      <c r="J63" s="299"/>
      <c r="K63" s="299"/>
      <c r="L63" s="299"/>
    </row>
    <row r="64" spans="1:21" ht="13.15">
      <c r="A64" s="131">
        <v>9</v>
      </c>
      <c r="B64" s="118">
        <v>4309741.289261166</v>
      </c>
      <c r="C64" s="118">
        <v>764886.99991163134</v>
      </c>
      <c r="D64" s="118">
        <v>3122185.2781015122</v>
      </c>
      <c r="E64" s="118">
        <v>3674468.6094494034</v>
      </c>
      <c r="F64" s="118">
        <v>-21170.701744653692</v>
      </c>
      <c r="G64" s="299"/>
      <c r="H64" s="299"/>
      <c r="I64" s="299"/>
      <c r="J64" s="299"/>
      <c r="K64" s="299"/>
      <c r="L64" s="299"/>
    </row>
    <row r="65" spans="1:21" ht="13.15">
      <c r="A65" s="131">
        <v>10</v>
      </c>
      <c r="B65" s="118">
        <v>4422518.6430499032</v>
      </c>
      <c r="C65" s="118">
        <v>696065.60901940742</v>
      </c>
      <c r="D65" s="118">
        <v>3122185.2781015127</v>
      </c>
      <c r="E65" s="118">
        <v>3721815.7108524721</v>
      </c>
      <c r="F65" s="118">
        <v>-45151.601293018</v>
      </c>
      <c r="G65" s="299"/>
      <c r="H65" s="299"/>
      <c r="I65" s="299"/>
      <c r="J65" s="299"/>
      <c r="K65" s="299"/>
      <c r="L65" s="299"/>
    </row>
    <row r="66" spans="1:21" ht="13.15">
      <c r="A66" s="131">
        <v>15</v>
      </c>
      <c r="B66" s="118">
        <v>4937167.6826468892</v>
      </c>
      <c r="C66" s="281">
        <v>515361.64135387697</v>
      </c>
      <c r="D66" s="118">
        <v>3122185.2781015122</v>
      </c>
      <c r="E66" s="118">
        <v>3925973.2440116191</v>
      </c>
      <c r="F66" s="118">
        <v>-84878.841598690065</v>
      </c>
      <c r="G66" s="299"/>
      <c r="H66" s="299"/>
      <c r="I66" s="299"/>
      <c r="J66" s="299"/>
      <c r="K66" s="299"/>
      <c r="L66" s="299"/>
      <c r="M66" s="279"/>
      <c r="N66" s="279"/>
      <c r="O66" s="279"/>
      <c r="P66" s="279"/>
      <c r="Q66" s="279"/>
      <c r="R66" s="279"/>
      <c r="S66" s="279"/>
      <c r="T66" s="279"/>
      <c r="U66" s="279"/>
    </row>
    <row r="67" spans="1:21" ht="13.15">
      <c r="A67" s="132">
        <v>20</v>
      </c>
      <c r="B67" s="118">
        <v>5378424.4295261782</v>
      </c>
      <c r="C67" s="281">
        <v>458858.08118728868</v>
      </c>
      <c r="D67" s="118">
        <v>3122185.2781015122</v>
      </c>
      <c r="E67" s="118">
        <v>4084820.5171949985</v>
      </c>
      <c r="F67" s="118">
        <v>-89584.19333110677</v>
      </c>
      <c r="G67" s="299"/>
      <c r="H67" s="299"/>
      <c r="I67" s="299"/>
      <c r="J67" s="299"/>
      <c r="K67" s="299"/>
      <c r="L67" s="299"/>
      <c r="M67" s="279"/>
      <c r="N67" s="279"/>
      <c r="O67" s="279"/>
      <c r="P67" s="279"/>
      <c r="Q67" s="279"/>
      <c r="R67" s="279"/>
      <c r="S67" s="279"/>
      <c r="T67" s="279"/>
      <c r="U67" s="279"/>
    </row>
    <row r="68" spans="1:21" ht="13.15">
      <c r="A68" s="132">
        <v>25</v>
      </c>
      <c r="B68" s="118">
        <v>5756755.1008880902</v>
      </c>
      <c r="C68" s="281">
        <v>441190.22168899252</v>
      </c>
      <c r="D68" s="118">
        <v>3122185.2781015122</v>
      </c>
      <c r="E68" s="118">
        <v>4208413.5867592059</v>
      </c>
      <c r="F68" s="118">
        <v>-90141.501987721305</v>
      </c>
      <c r="G68" s="299"/>
      <c r="H68" s="299"/>
      <c r="I68" s="299"/>
      <c r="J68" s="299"/>
      <c r="K68" s="299"/>
      <c r="L68" s="299"/>
      <c r="M68" s="279"/>
      <c r="N68" s="279"/>
      <c r="O68" s="279"/>
      <c r="P68" s="279"/>
      <c r="Q68" s="279"/>
      <c r="R68" s="279"/>
      <c r="S68" s="279"/>
      <c r="T68" s="279"/>
      <c r="U68" s="279"/>
    </row>
    <row r="69" spans="1:21" ht="13.15">
      <c r="A69" s="132">
        <v>30</v>
      </c>
      <c r="B69" s="118">
        <v>6081133.3634425923</v>
      </c>
      <c r="C69" s="281">
        <v>435665.73335000599</v>
      </c>
      <c r="D69" s="118">
        <v>3122185.2781015122</v>
      </c>
      <c r="E69" s="118">
        <v>4304576.6907154713</v>
      </c>
      <c r="F69" s="118">
        <v>-90207.510430107795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0.59993795672379879</v>
      </c>
      <c r="C73" s="119">
        <f>C11</f>
        <v>0.59993795672379879</v>
      </c>
      <c r="D73" s="119">
        <f>C11</f>
        <v>0.59993795672379879</v>
      </c>
      <c r="E73" s="119">
        <f>C11</f>
        <v>0.59993795672379879</v>
      </c>
      <c r="F73" s="119">
        <f>C11</f>
        <v>0.59993795672379879</v>
      </c>
      <c r="G73" s="300"/>
      <c r="H73" s="300"/>
      <c r="I73" s="300"/>
      <c r="J73" s="300"/>
      <c r="K73" s="300"/>
      <c r="L73" s="300"/>
    </row>
    <row r="74" spans="1:21" ht="13.15">
      <c r="A74" s="131">
        <v>1</v>
      </c>
      <c r="B74" s="119">
        <f t="shared" ref="B74:F87" si="11">(B56+FV_adjustments)/Common_Shares*scaling_factor*Exchange_Rate</f>
        <v>0.63135303562369394</v>
      </c>
      <c r="C74" s="119">
        <f t="shared" si="11"/>
        <v>0.48213141084920175</v>
      </c>
      <c r="D74" s="119">
        <f t="shared" si="11"/>
        <v>0.59993795672380046</v>
      </c>
      <c r="E74" s="119">
        <f t="shared" si="11"/>
        <v>0.6156454961737472</v>
      </c>
      <c r="F74" s="119">
        <f t="shared" si="11"/>
        <v>0.36432486497460309</v>
      </c>
      <c r="G74" s="300"/>
      <c r="H74" s="300"/>
      <c r="I74" s="300"/>
      <c r="J74" s="300"/>
      <c r="K74" s="300"/>
      <c r="L74" s="300"/>
    </row>
    <row r="75" spans="1:21" ht="13.15">
      <c r="A75" s="131">
        <v>2</v>
      </c>
      <c r="B75" s="119">
        <f t="shared" si="11"/>
        <v>0.66181614243571119</v>
      </c>
      <c r="C75" s="119">
        <f t="shared" si="11"/>
        <v>0.38876491761525378</v>
      </c>
      <c r="D75" s="119">
        <f t="shared" si="11"/>
        <v>0.59993795672380046</v>
      </c>
      <c r="E75" s="119">
        <f t="shared" si="11"/>
        <v>0.63058413509117839</v>
      </c>
      <c r="F75" s="119">
        <f t="shared" si="11"/>
        <v>0.21054475847163046</v>
      </c>
      <c r="G75" s="300"/>
      <c r="H75" s="300"/>
      <c r="I75" s="300"/>
      <c r="J75" s="300"/>
      <c r="K75" s="300"/>
      <c r="L75" s="300"/>
    </row>
    <row r="76" spans="1:21" ht="13.15">
      <c r="A76" s="131">
        <v>3</v>
      </c>
      <c r="B76" s="119">
        <f t="shared" si="11"/>
        <v>0.69135612479887987</v>
      </c>
      <c r="C76" s="119">
        <f t="shared" si="11"/>
        <v>0.31476816307086636</v>
      </c>
      <c r="D76" s="119">
        <f t="shared" si="11"/>
        <v>0.59993795672380046</v>
      </c>
      <c r="E76" s="119">
        <f t="shared" si="11"/>
        <v>0.64479151196370144</v>
      </c>
      <c r="F76" s="119">
        <f t="shared" si="11"/>
        <v>0.11017545818996989</v>
      </c>
      <c r="G76" s="300"/>
      <c r="H76" s="300"/>
      <c r="I76" s="300"/>
      <c r="J76" s="300"/>
      <c r="K76" s="300"/>
      <c r="L76" s="300"/>
    </row>
    <row r="77" spans="1:21" ht="13.15">
      <c r="A77" s="131">
        <v>4</v>
      </c>
      <c r="B77" s="119">
        <f t="shared" si="11"/>
        <v>0.72000095618134619</v>
      </c>
      <c r="C77" s="119">
        <f t="shared" si="11"/>
        <v>0.25612271657881108</v>
      </c>
      <c r="D77" s="119">
        <f t="shared" si="11"/>
        <v>0.59993795672380035</v>
      </c>
      <c r="E77" s="119">
        <f t="shared" si="11"/>
        <v>0.65830342283547083</v>
      </c>
      <c r="F77" s="119">
        <f t="shared" si="11"/>
        <v>4.4666357773035112E-2</v>
      </c>
      <c r="G77" s="300"/>
      <c r="H77" s="300"/>
      <c r="I77" s="300"/>
      <c r="J77" s="300"/>
      <c r="K77" s="300"/>
      <c r="L77" s="300"/>
    </row>
    <row r="78" spans="1:21" ht="13.15">
      <c r="A78" s="131">
        <v>5</v>
      </c>
      <c r="B78" s="119">
        <f t="shared" si="11"/>
        <v>0.74777776237040483</v>
      </c>
      <c r="C78" s="119">
        <f t="shared" si="11"/>
        <v>0.20964380793708881</v>
      </c>
      <c r="D78" s="119">
        <f t="shared" si="11"/>
        <v>0.59993795672380046</v>
      </c>
      <c r="E78" s="119">
        <f t="shared" si="11"/>
        <v>0.67115391149673442</v>
      </c>
      <c r="F78" s="119">
        <f t="shared" si="11"/>
        <v>1.9098353563877697E-3</v>
      </c>
      <c r="G78" s="300"/>
      <c r="H78" s="300"/>
      <c r="I78" s="300"/>
      <c r="J78" s="300"/>
      <c r="K78" s="300"/>
      <c r="L78" s="300"/>
    </row>
    <row r="79" spans="1:21" ht="13.15">
      <c r="A79" s="131">
        <v>6</v>
      </c>
      <c r="B79" s="119">
        <f t="shared" si="11"/>
        <v>0.77471284715979483</v>
      </c>
      <c r="C79" s="119">
        <f t="shared" si="11"/>
        <v>0.17280737684574732</v>
      </c>
      <c r="D79" s="119">
        <f t="shared" si="11"/>
        <v>0.59993795672380035</v>
      </c>
      <c r="E79" s="119">
        <f t="shared" si="11"/>
        <v>0.68337535525849535</v>
      </c>
      <c r="F79" s="119">
        <f t="shared" si="11"/>
        <v>-2.5996519600864555E-2</v>
      </c>
      <c r="G79" s="300"/>
      <c r="H79" s="300"/>
      <c r="I79" s="300"/>
      <c r="J79" s="300"/>
      <c r="K79" s="300"/>
      <c r="L79" s="300"/>
    </row>
    <row r="80" spans="1:21" ht="13.15">
      <c r="A80" s="131">
        <f t="shared" ref="A80" si="12">A62</f>
        <v>7</v>
      </c>
      <c r="B80" s="119">
        <f t="shared" si="11"/>
        <v>0.80083171725859714</v>
      </c>
      <c r="C80" s="119">
        <f t="shared" si="11"/>
        <v>0.14361300255424117</v>
      </c>
      <c r="D80" s="119">
        <f t="shared" si="11"/>
        <v>0.59993795672380046</v>
      </c>
      <c r="E80" s="119">
        <f t="shared" si="11"/>
        <v>0.69499854652842208</v>
      </c>
      <c r="F80" s="119">
        <f t="shared" si="11"/>
        <v>-4.4210457568301963E-2</v>
      </c>
      <c r="G80" s="300"/>
      <c r="H80" s="300"/>
      <c r="I80" s="300"/>
      <c r="J80" s="300"/>
      <c r="K80" s="300"/>
      <c r="L80" s="300"/>
    </row>
    <row r="81" spans="1:12" ht="13.15">
      <c r="A81" s="131">
        <v>8</v>
      </c>
      <c r="B81" s="119">
        <f t="shared" si="11"/>
        <v>0.82615910644531476</v>
      </c>
      <c r="C81" s="119">
        <f t="shared" si="11"/>
        <v>0.12047527001551836</v>
      </c>
      <c r="D81" s="119">
        <f t="shared" si="11"/>
        <v>0.59993795672380046</v>
      </c>
      <c r="E81" s="119">
        <f t="shared" si="11"/>
        <v>0.70605277039352676</v>
      </c>
      <c r="F81" s="119">
        <f t="shared" si="11"/>
        <v>-5.6098342488773933E-2</v>
      </c>
      <c r="G81" s="300"/>
      <c r="H81" s="300"/>
      <c r="I81" s="300"/>
      <c r="J81" s="300"/>
      <c r="K81" s="300"/>
      <c r="L81" s="300"/>
    </row>
    <row r="82" spans="1:12" ht="13.15">
      <c r="A82" s="131">
        <f t="shared" ref="A82" si="13">A64</f>
        <v>9</v>
      </c>
      <c r="B82" s="119">
        <f t="shared" si="11"/>
        <v>0.85071899899001036</v>
      </c>
      <c r="C82" s="119">
        <f t="shared" si="11"/>
        <v>0.10213767313168202</v>
      </c>
      <c r="D82" s="119">
        <f t="shared" si="11"/>
        <v>0.59993795672380035</v>
      </c>
      <c r="E82" s="119">
        <f t="shared" si="11"/>
        <v>0.716565878405095</v>
      </c>
      <c r="F82" s="119">
        <f t="shared" si="11"/>
        <v>-6.3857334977660066E-2</v>
      </c>
      <c r="G82" s="300"/>
      <c r="H82" s="300"/>
      <c r="I82" s="300"/>
      <c r="J82" s="300"/>
      <c r="K82" s="300"/>
      <c r="L82" s="300"/>
    </row>
    <row r="83" spans="1:12" ht="13.15">
      <c r="A83" s="131">
        <f t="shared" ref="A83:A87" si="14">A65</f>
        <v>10</v>
      </c>
      <c r="B83" s="119">
        <f t="shared" si="11"/>
        <v>0.87453465236668493</v>
      </c>
      <c r="C83" s="119">
        <f t="shared" si="11"/>
        <v>8.7604379564072882E-2</v>
      </c>
      <c r="D83" s="119">
        <f t="shared" si="11"/>
        <v>0.59993795672380046</v>
      </c>
      <c r="E83" s="119">
        <f t="shared" si="11"/>
        <v>0.72656435875176162</v>
      </c>
      <c r="F83" s="119">
        <f t="shared" si="11"/>
        <v>-6.8921479259450566E-2</v>
      </c>
      <c r="G83" s="300"/>
      <c r="H83" s="300"/>
      <c r="I83" s="300"/>
      <c r="J83" s="300"/>
      <c r="K83" s="300"/>
      <c r="L83" s="300"/>
    </row>
    <row r="84" spans="1:12" ht="13.15">
      <c r="A84" s="131">
        <f t="shared" si="14"/>
        <v>15</v>
      </c>
      <c r="B84" s="119">
        <f t="shared" si="11"/>
        <v>0.9832151872960686</v>
      </c>
      <c r="C84" s="119">
        <f t="shared" si="11"/>
        <v>4.9444386328428493E-2</v>
      </c>
      <c r="D84" s="119">
        <f t="shared" si="11"/>
        <v>0.59993795672380035</v>
      </c>
      <c r="E84" s="119">
        <f t="shared" si="11"/>
        <v>0.76967713698792506</v>
      </c>
      <c r="F84" s="119">
        <f t="shared" si="11"/>
        <v>-7.7310842486611436E-2</v>
      </c>
      <c r="G84" s="300"/>
      <c r="H84" s="300"/>
      <c r="I84" s="300"/>
      <c r="J84" s="300"/>
      <c r="K84" s="300"/>
      <c r="L84" s="300"/>
    </row>
    <row r="85" spans="1:12" ht="13.15">
      <c r="A85" s="132">
        <f t="shared" si="14"/>
        <v>20</v>
      </c>
      <c r="B85" s="119">
        <f t="shared" si="11"/>
        <v>1.0763971726925523</v>
      </c>
      <c r="C85" s="119">
        <f t="shared" si="11"/>
        <v>3.751229927133766E-2</v>
      </c>
      <c r="D85" s="119">
        <f t="shared" si="11"/>
        <v>0.59993795672380035</v>
      </c>
      <c r="E85" s="119">
        <f t="shared" si="11"/>
        <v>0.80322156298192382</v>
      </c>
      <c r="F85" s="119">
        <f t="shared" si="11"/>
        <v>-7.8304490786645975E-2</v>
      </c>
      <c r="G85" s="300"/>
      <c r="H85" s="300"/>
      <c r="I85" s="300"/>
      <c r="J85" s="300"/>
      <c r="K85" s="300"/>
      <c r="L85" s="300"/>
    </row>
    <row r="86" spans="1:12" ht="13.15">
      <c r="A86" s="132">
        <f t="shared" si="14"/>
        <v>25</v>
      </c>
      <c r="B86" s="119">
        <f t="shared" si="11"/>
        <v>1.156290802293034</v>
      </c>
      <c r="C86" s="119">
        <f t="shared" si="11"/>
        <v>3.3781305383083916E-2</v>
      </c>
      <c r="D86" s="119">
        <f t="shared" si="11"/>
        <v>0.59993795672380035</v>
      </c>
      <c r="E86" s="119">
        <f t="shared" si="11"/>
        <v>0.82932121513384682</v>
      </c>
      <c r="F86" s="119">
        <f t="shared" si="11"/>
        <v>-7.8422179926742427E-2</v>
      </c>
      <c r="G86" s="300"/>
      <c r="H86" s="300"/>
      <c r="I86" s="300"/>
      <c r="J86" s="300"/>
      <c r="K86" s="300"/>
      <c r="L86" s="300"/>
    </row>
    <row r="87" spans="1:12" ht="13.15">
      <c r="A87" s="132">
        <f t="shared" si="14"/>
        <v>30</v>
      </c>
      <c r="B87" s="119">
        <f t="shared" si="11"/>
        <v>1.2247910818650973</v>
      </c>
      <c r="C87" s="119">
        <f t="shared" si="11"/>
        <v>3.2614676667790159E-2</v>
      </c>
      <c r="D87" s="119">
        <f t="shared" si="11"/>
        <v>0.59993795672380035</v>
      </c>
      <c r="E87" s="119">
        <f t="shared" si="11"/>
        <v>0.84962836966894684</v>
      </c>
      <c r="F87" s="119">
        <f t="shared" si="11"/>
        <v>-7.8436119198511081E-2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0.11017545818996989</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0.64479151196370144</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0.59993795672380046</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0.31476816307086636</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0.69135612479887987</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4" zoomScaleNormal="100" workbookViewId="0">
      <selection activeCell="E53" sqref="E5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421199</v>
      </c>
      <c r="D7" s="465"/>
      <c r="E7" s="465"/>
      <c r="F7" s="465"/>
      <c r="G7" s="465"/>
    </row>
    <row r="8" spans="2:7">
      <c r="B8" s="97" t="s">
        <v>63</v>
      </c>
      <c r="C8" s="452">
        <f>Normalized_FCF!G19</f>
        <v>184873.15815414075</v>
      </c>
      <c r="D8" s="465"/>
      <c r="E8" s="465"/>
      <c r="F8" s="465"/>
      <c r="G8" s="465"/>
    </row>
    <row r="9" spans="2:7">
      <c r="B9" s="97" t="s">
        <v>54</v>
      </c>
      <c r="C9" s="452">
        <f>Normalized_FCF!C19</f>
        <v>226358.43266235912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-4.9510317782507363E-3</v>
      </c>
      <c r="D12" s="465"/>
      <c r="E12" s="465"/>
      <c r="F12" s="465"/>
      <c r="G12" s="465"/>
    </row>
    <row r="13" spans="2:7">
      <c r="B13" s="135" t="s">
        <v>127</v>
      </c>
      <c r="C13" s="252">
        <f ca="1">(Normalized_FCF!G8/OFFSET(Normalized_FCF!G8, 0, $C$4))^(1/$C$4) - 1</f>
        <v>1.4238812910937044</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0.64479151196370144</v>
      </c>
      <c r="F22" s="332">
        <f>1-F23-F24</f>
        <v>0.19999999999999996</v>
      </c>
      <c r="G22" s="332">
        <f>F22*(1-F$29-F$30)</f>
        <v>0.15999999999999995</v>
      </c>
    </row>
    <row r="23" spans="2:7">
      <c r="B23" s="306" t="s">
        <v>440</v>
      </c>
      <c r="C23" s="328">
        <v>0</v>
      </c>
      <c r="D23" s="329">
        <f>C18</f>
        <v>3</v>
      </c>
      <c r="E23" s="330">
        <f>DCF!E92</f>
        <v>0.59993795672380046</v>
      </c>
      <c r="F23" s="331">
        <v>0.55000000000000004</v>
      </c>
      <c r="G23" s="332">
        <f t="shared" ref="G23:G24" si="0">F23*(1-F$29-F$30)</f>
        <v>0.44</v>
      </c>
    </row>
    <row r="24" spans="2:7">
      <c r="B24" s="306" t="s">
        <v>449</v>
      </c>
      <c r="C24" s="328">
        <v>-0.15</v>
      </c>
      <c r="D24" s="329">
        <f>C18</f>
        <v>3</v>
      </c>
      <c r="E24" s="330">
        <f>DCF!E93</f>
        <v>0.31476816307086636</v>
      </c>
      <c r="F24" s="331">
        <v>0.25</v>
      </c>
      <c r="G24" s="332">
        <f t="shared" si="0"/>
        <v>0.19999999999999998</v>
      </c>
    </row>
    <row r="25" spans="2:7">
      <c r="B25" s="141" t="s">
        <v>454</v>
      </c>
      <c r="C25" s="446">
        <f>E23*F23+E24*F24+E22*F22</f>
        <v>0.53761621935854709</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0.11017545818996989</v>
      </c>
      <c r="F29" s="331">
        <v>0.15</v>
      </c>
      <c r="G29" s="332">
        <f>F29</f>
        <v>0.15</v>
      </c>
    </row>
    <row r="30" spans="2:7">
      <c r="B30" s="319" t="s">
        <v>450</v>
      </c>
      <c r="C30" s="328">
        <v>0.04</v>
      </c>
      <c r="D30" s="329">
        <f>C18</f>
        <v>3</v>
      </c>
      <c r="E30" s="330">
        <f>DCF!E94</f>
        <v>0.69135612479887987</v>
      </c>
      <c r="F30" s="331">
        <v>0.05</v>
      </c>
      <c r="G30" s="332">
        <f>F30</f>
        <v>0.05</v>
      </c>
    </row>
    <row r="31" spans="2:7">
      <c r="E31" s="333"/>
      <c r="F31" s="333"/>
    </row>
    <row r="32" spans="2:7" ht="13.15">
      <c r="B32" s="145" t="s">
        <v>459</v>
      </c>
    </row>
    <row r="33" spans="2:7">
      <c r="B33" s="97" t="s">
        <v>461</v>
      </c>
      <c r="C33" s="155">
        <f>Normalized_FCF!C88*(1-dividend_tax_rate)</f>
        <v>2.7E-2</v>
      </c>
      <c r="D33" t="str">
        <f>Market_currency</f>
        <v>HKD</v>
      </c>
      <c r="E33" s="97" t="s">
        <v>458</v>
      </c>
      <c r="F33" s="219">
        <f>Holding_Period</f>
        <v>3</v>
      </c>
    </row>
    <row r="34" spans="2:7">
      <c r="B34" s="97" t="s">
        <v>233</v>
      </c>
      <c r="C34" s="146">
        <f>Market_Price</f>
        <v>0.48</v>
      </c>
      <c r="D34" t="str">
        <f>Market_currency</f>
        <v>HKD</v>
      </c>
      <c r="E34" s="97" t="s">
        <v>457</v>
      </c>
      <c r="F34" s="334">
        <f>RATE(Holding_Period,$C$33,-C34,$C$36)</f>
        <v>5.7029099355293308E-2</v>
      </c>
    </row>
    <row r="35" spans="2:7">
      <c r="B35" s="97" t="s">
        <v>437</v>
      </c>
      <c r="C35" s="324">
        <f>DCF!C11</f>
        <v>0.59993795672379879</v>
      </c>
      <c r="D35" s="97" t="str">
        <f>Market_currency</f>
        <v>HKD</v>
      </c>
      <c r="E35" s="97" t="s">
        <v>457</v>
      </c>
      <c r="F35" s="334">
        <f>RATE(Holding_Period,$C$33,-C35,$C$36)</f>
        <v>-2.2480608044181147E-2</v>
      </c>
    </row>
    <row r="36" spans="2:7">
      <c r="B36" s="97" t="s">
        <v>438</v>
      </c>
      <c r="C36" s="325">
        <f>E22*G22+E23*G23+E24*G24+E30*G30+E29*G29</f>
        <v>0.48118710045527707</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0.93869287456710004</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0.6028020854131908</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Y</v>
      </c>
      <c r="E53" s="126" t="s">
        <v>273</v>
      </c>
      <c r="F53" s="252">
        <f>BS!D89/C36</f>
        <v>1.1561769210134138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4.9405992554973223E-2</v>
      </c>
      <c r="D62" s="119">
        <f>C36/(1+F62)^Holding_Period</f>
        <v>0.22174520758307703</v>
      </c>
      <c r="E62" s="336">
        <f>C62+D62</f>
        <v>0.27115120013805027</v>
      </c>
      <c r="F62" s="305">
        <f>Thesis!E22</f>
        <v>0.29465259038036606</v>
      </c>
      <c r="G62" s="445">
        <f>(1-E62/C36)</f>
        <v>0.43649528451303143</v>
      </c>
    </row>
    <row r="63" spans="2:7" ht="13.15">
      <c r="B63" s="306" t="s">
        <v>313</v>
      </c>
      <c r="C63" s="119">
        <f>PV(F63, Holding_Period, -C58, 0)</f>
        <v>5.6808106576265109E-2</v>
      </c>
      <c r="D63" s="119">
        <f>C36/(1+F63)^Holding_Period</f>
        <v>0.27794200748319264</v>
      </c>
      <c r="E63" s="336">
        <f>C63+D63</f>
        <v>0.33475011405945776</v>
      </c>
      <c r="F63" s="305">
        <f>Thesis!E23</f>
        <v>0.20075184365903009</v>
      </c>
      <c r="G63" s="445">
        <f>(1-E63/C36)</f>
        <v>0.30432442236557755</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6.5140284400343515E-2</v>
      </c>
      <c r="D66" s="119">
        <f>C36/(1+F66)^Holding_Period</f>
        <v>0.34489585523597771</v>
      </c>
      <c r="E66" s="336">
        <f>C66+D66</f>
        <v>0.41003613963632124</v>
      </c>
      <c r="F66" s="305">
        <f>Thesis!E24</f>
        <v>0.1174</v>
      </c>
      <c r="G66" s="445">
        <f>(1-E66/C36)</f>
        <v>0.14786547842125464</v>
      </c>
    </row>
    <row r="67" spans="2:7" ht="13.15">
      <c r="B67" s="306" t="s">
        <v>314</v>
      </c>
      <c r="C67" s="119">
        <f>PV(F67, Holding_Period, -C58, 0)</f>
        <v>7.0534131133671435E-2</v>
      </c>
      <c r="D67" s="119">
        <f>C36/(1+F67)^Holding_Period</f>
        <v>0.39005160904259506</v>
      </c>
      <c r="E67" s="336">
        <f>C67+D67</f>
        <v>0.46058574017626652</v>
      </c>
      <c r="F67" s="305">
        <f>Thesis!E25</f>
        <v>7.2499999999999995E-2</v>
      </c>
      <c r="G67" s="445">
        <f>(1-E67/C36)</f>
        <v>4.2813617113838909E-2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45954</v>
      </c>
    </row>
    <row r="4" spans="1:10">
      <c r="B4" s="427" t="s">
        <v>536</v>
      </c>
      <c r="C4" s="428" t="str">
        <f>Thesis!C4</f>
        <v>寶勝國際</v>
      </c>
      <c r="D4" s="353"/>
      <c r="E4" s="439" t="s">
        <v>542</v>
      </c>
      <c r="F4" s="442" t="str">
        <f>Thesis!F4</f>
        <v>INT</v>
      </c>
    </row>
    <row r="5" spans="1:10">
      <c r="B5" s="347" t="s">
        <v>364</v>
      </c>
      <c r="C5" s="359" t="str">
        <f>Thesis!C5</f>
        <v>3813.HK</v>
      </c>
      <c r="E5" s="443" t="s">
        <v>543</v>
      </c>
      <c r="F5" s="444" t="str">
        <f>Thesis!F5</f>
        <v>N</v>
      </c>
    </row>
    <row r="6" spans="1:10">
      <c r="B6" s="354" t="s">
        <v>336</v>
      </c>
      <c r="C6" s="356" t="str">
        <f>Thesis!C6</f>
        <v>IND_01</v>
      </c>
      <c r="E6" s="358"/>
    </row>
    <row r="7" spans="1:10">
      <c r="B7" s="347" t="s">
        <v>366</v>
      </c>
      <c r="C7" s="356" t="str">
        <f>Market_currency</f>
        <v>HKD</v>
      </c>
      <c r="D7" s="358"/>
      <c r="E7" s="358"/>
    </row>
    <row r="8" spans="1:10">
      <c r="B8" s="355" t="s">
        <v>365</v>
      </c>
      <c r="C8" s="360">
        <f>Market_Price</f>
        <v>0.48</v>
      </c>
    </row>
    <row r="9" spans="1:10">
      <c r="B9" s="355" t="s">
        <v>361</v>
      </c>
      <c r="C9" s="357">
        <f>Common_Shares</f>
        <v>5183714855</v>
      </c>
    </row>
    <row r="10" spans="1:10">
      <c r="B10" s="355" t="s">
        <v>367</v>
      </c>
      <c r="C10" s="361">
        <f>投资主题!C8*Common_Shares/1000000</f>
        <v>2488.1831304000002</v>
      </c>
      <c r="D10" s="347" t="s">
        <v>531</v>
      </c>
      <c r="E10" s="364">
        <f>Scenarios!F34</f>
        <v>5.7029099355293308E-2</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1.0946661899999999</v>
      </c>
    </row>
    <row r="17" spans="1:6">
      <c r="B17" s="347" t="s">
        <v>537</v>
      </c>
      <c r="C17" s="429">
        <f>Terminal_Growth</f>
        <v>0</v>
      </c>
      <c r="D17" s="355" t="s">
        <v>339</v>
      </c>
      <c r="E17" s="348" t="str">
        <f>Reporting_currency</f>
        <v>CNY</v>
      </c>
    </row>
    <row r="18" spans="1:6">
      <c r="B18" s="347" t="str">
        <f>"预期股权价值 ("&amp;C7&amp;") :"</f>
        <v>预期股权价值 (HKD) :</v>
      </c>
      <c r="C18" s="363">
        <f>C125</f>
        <v>0.48118710045527707</v>
      </c>
      <c r="D18" s="354" t="s">
        <v>362</v>
      </c>
      <c r="E18" s="431">
        <f>Thesis!E18</f>
        <v>6</v>
      </c>
    </row>
    <row r="19" spans="1:6">
      <c r="B19" s="354" t="s">
        <v>335</v>
      </c>
      <c r="C19" s="356" t="str">
        <f>IF(Scenarios!C50="Y",Scenarios!B50,"")&amp;IF(Scenarios!C51="Y",Scenarios!B51,"")&amp;IF(Scenarios!C52="Y",Scenarios!B52,"")&amp;" "&amp;IF(Scenarios!C53="Y",Scenarios!B53,"")</f>
        <v>Negative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0.27115120013805027</v>
      </c>
      <c r="D22" s="369" t="s">
        <v>443</v>
      </c>
      <c r="E22" s="370">
        <f>Thesis!E22</f>
        <v>0.29465259038036606</v>
      </c>
    </row>
    <row r="23" spans="1:6">
      <c r="B23" s="347" t="s">
        <v>341</v>
      </c>
      <c r="C23" s="371">
        <f>E141</f>
        <v>0.33475011405945776</v>
      </c>
      <c r="D23" s="369" t="s">
        <v>444</v>
      </c>
      <c r="E23" s="372">
        <f>Thesis!E23</f>
        <v>0.20075184365903009</v>
      </c>
    </row>
    <row r="24" spans="1:6">
      <c r="B24" s="347" t="s">
        <v>343</v>
      </c>
      <c r="C24" s="371">
        <f>E144</f>
        <v>0.41003613963632124</v>
      </c>
      <c r="D24" s="369" t="s">
        <v>446</v>
      </c>
      <c r="E24" s="372">
        <f>Thesis!E24</f>
        <v>0.1174</v>
      </c>
    </row>
    <row r="25" spans="1:6">
      <c r="B25" s="347" t="s">
        <v>342</v>
      </c>
      <c r="C25" s="371">
        <f>E145</f>
        <v>0.46058574017626652</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379710.97209007666</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15191.436227966604</v>
      </c>
      <c r="D44" s="347" t="str">
        <f>Reporting_currency</f>
        <v>CNY</v>
      </c>
      <c r="E44" s="375"/>
      <c r="F44" s="375"/>
    </row>
    <row r="45" spans="2:6">
      <c r="B45" s="376" t="s">
        <v>268</v>
      </c>
      <c r="C45" s="380">
        <f>Normalized_FCF!C45</f>
        <v>-72892.95</v>
      </c>
      <c r="D45" s="347" t="str">
        <f>Reporting_currency</f>
        <v>CNY</v>
      </c>
      <c r="E45" s="375"/>
      <c r="F45" s="375"/>
    </row>
    <row r="46" spans="2:6">
      <c r="B46" s="376" t="s">
        <v>203</v>
      </c>
      <c r="C46" s="377">
        <f>Normalized_FCF!C10</f>
        <v>-57701.513772033395</v>
      </c>
      <c r="D46" s="347" t="str">
        <f>Reporting_currency</f>
        <v>CNY</v>
      </c>
    </row>
    <row r="48" spans="2:6">
      <c r="B48" s="347" t="s">
        <v>507</v>
      </c>
    </row>
    <row r="49" spans="2:6">
      <c r="B49" s="376" t="s">
        <v>223</v>
      </c>
      <c r="C49" s="377">
        <f>Normalized_FCF!C13</f>
        <v>-15148.661076173323</v>
      </c>
      <c r="D49" s="347" t="str">
        <f>Reporting_currency</f>
        <v>CNY</v>
      </c>
    </row>
    <row r="51" spans="2:6">
      <c r="B51" s="466" t="s">
        <v>508</v>
      </c>
      <c r="C51" s="466"/>
      <c r="D51" s="466"/>
      <c r="E51" s="466"/>
      <c r="F51" s="466"/>
    </row>
    <row r="52" spans="2:6">
      <c r="B52" s="376" t="s">
        <v>499</v>
      </c>
      <c r="C52" s="377">
        <f>Normalized_FCF!C12</f>
        <v>-80502.364579510817</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184873.15815414075</v>
      </c>
      <c r="D60" s="347" t="str">
        <f>Reporting_currency</f>
        <v>CNY</v>
      </c>
    </row>
    <row r="61" spans="2:6">
      <c r="B61" s="376" t="s">
        <v>213</v>
      </c>
      <c r="C61" s="377">
        <f>Normalized_FCF!C19</f>
        <v>226358.43266235912</v>
      </c>
      <c r="D61" s="347" t="str">
        <f>Reporting_currency</f>
        <v>CNY</v>
      </c>
    </row>
    <row r="62" spans="2:6">
      <c r="B62" s="381" t="s">
        <v>302</v>
      </c>
      <c r="C62" s="382">
        <f>Normalized_FCF!C124</f>
        <v>9.9585484697439441E-2</v>
      </c>
      <c r="F62" s="383"/>
    </row>
    <row r="63" spans="2:6">
      <c r="B63" s="381" t="s">
        <v>332</v>
      </c>
      <c r="C63" s="382">
        <f>Normalized_FCF!C92</f>
        <v>5.6250000000000001E-2</v>
      </c>
      <c r="E63" s="376" t="s">
        <v>373</v>
      </c>
      <c r="F63" s="384">
        <f>Normalized_FCF!C90</f>
        <v>0.68701414752223544</v>
      </c>
    </row>
    <row r="65" spans="1:6">
      <c r="B65" s="373" t="s">
        <v>376</v>
      </c>
      <c r="C65" s="385" t="s">
        <v>327</v>
      </c>
      <c r="D65" s="385" t="s">
        <v>374</v>
      </c>
    </row>
    <row r="66" spans="1:6">
      <c r="B66" s="376" t="s">
        <v>326</v>
      </c>
      <c r="C66" s="382">
        <f>Normalized_FCF!C119</f>
        <v>3.586906730443893E-2</v>
      </c>
      <c r="D66" s="382">
        <f>Normalized_FCF!G119</f>
        <v>4.2505173365498042E-2</v>
      </c>
    </row>
    <row r="67" spans="1:6">
      <c r="B67" s="386" t="str">
        <f>Normalized_FCF!B116</f>
        <v>Pre-tax Profit/Sales</v>
      </c>
      <c r="C67" s="387">
        <f>Normalized_FCF!C116</f>
        <v>1.7449376932917909E-2</v>
      </c>
      <c r="D67" s="387">
        <f>Normalized_FCF!G116</f>
        <v>2.0677671525677264E-2</v>
      </c>
    </row>
    <row r="68" spans="1:6">
      <c r="B68" s="386" t="str">
        <f>Normalized_FCF!B117</f>
        <v>Sales/Total Assets</v>
      </c>
      <c r="C68" s="388">
        <f>Normalized_FCF!C117</f>
        <v>1.4656521003611329</v>
      </c>
      <c r="D68" s="388">
        <f>Normalized_FCF!G117</f>
        <v>1.4656521003611329</v>
      </c>
    </row>
    <row r="69" spans="1:6">
      <c r="B69" s="386" t="str">
        <f>Normalized_FCF!B118</f>
        <v>Total Assets/Equity</v>
      </c>
      <c r="C69" s="388">
        <f>Normalized_FCF!C118</f>
        <v>1.4025206525126881</v>
      </c>
      <c r="D69" s="388">
        <f>Normalized_FCF!G118</f>
        <v>1.4025206525126881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-1457859</v>
      </c>
      <c r="D78" s="347" t="str">
        <f>Reporting_currency</f>
        <v>CNY</v>
      </c>
    </row>
    <row r="79" spans="1:6">
      <c r="B79" s="376" t="s">
        <v>234</v>
      </c>
      <c r="C79" s="391">
        <f>C78*scaling_factor*Exchange_Rate/Common_Shares</f>
        <v>-0.30786202592681183</v>
      </c>
      <c r="D79" s="347" t="str">
        <f>Market_currency</f>
        <v>HKD</v>
      </c>
    </row>
    <row r="80" spans="1:6">
      <c r="B80" s="386" t="s">
        <v>309</v>
      </c>
      <c r="C80" s="392">
        <f>IF(BS!G31/BS!G27&gt;300%,"nm",BS!G31/BS!G27)</f>
        <v>0.16239287772638675</v>
      </c>
    </row>
    <row r="81" spans="1:6">
      <c r="B81" s="386" t="s">
        <v>311</v>
      </c>
      <c r="C81" s="393">
        <f>IF(BS!C50&gt;30,"nm",BS!C50)</f>
        <v>3.8393912927387319</v>
      </c>
    </row>
    <row r="83" spans="1:6">
      <c r="B83" s="347" t="s">
        <v>514</v>
      </c>
    </row>
    <row r="84" spans="1:6">
      <c r="B84" s="347" t="s">
        <v>224</v>
      </c>
      <c r="C84" s="377">
        <f>DCF!F5</f>
        <v>1174988.3772033397</v>
      </c>
      <c r="D84" s="347" t="str">
        <f>Reporting_currency</f>
        <v>CNY</v>
      </c>
    </row>
    <row r="85" spans="1:6">
      <c r="B85" s="386" t="s">
        <v>484</v>
      </c>
      <c r="C85" s="394">
        <f>BS!C66</f>
        <v>2694132</v>
      </c>
      <c r="D85" s="395" t="str">
        <f>Reporting_currency</f>
        <v>CNY</v>
      </c>
    </row>
    <row r="86" spans="1:6">
      <c r="B86" s="376" t="s">
        <v>235</v>
      </c>
      <c r="C86" s="391">
        <f>C84*scaling_factor*Exchange_Rate/Common_Shares</f>
        <v>0.24812708378950032</v>
      </c>
      <c r="D86" s="347" t="str">
        <f>Market_currency</f>
        <v>HKD</v>
      </c>
    </row>
    <row r="88" spans="1:6">
      <c r="B88" s="347" t="s">
        <v>515</v>
      </c>
    </row>
    <row r="89" spans="1:6">
      <c r="B89" s="347" t="s">
        <v>217</v>
      </c>
      <c r="C89" s="377">
        <f>DCF!F6</f>
        <v>1649.3999999999999</v>
      </c>
      <c r="D89" s="347" t="str">
        <f>Reporting_currency</f>
        <v>CNY</v>
      </c>
    </row>
    <row r="90" spans="1:6">
      <c r="B90" s="376" t="s">
        <v>236</v>
      </c>
      <c r="C90" s="391">
        <f>C89*scaling_factor*Exchange_Rate/Common_Shares</f>
        <v>3.4831051944233529E-4</v>
      </c>
      <c r="D90" s="347" t="str">
        <f>Market_currency</f>
        <v>HKD</v>
      </c>
    </row>
    <row r="92" spans="1:6">
      <c r="B92" s="376" t="s">
        <v>483</v>
      </c>
      <c r="C92" s="391">
        <f>DCF!F8</f>
        <v>-5.9386631617869189E-2</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0.58105391455460365</v>
      </c>
      <c r="D111" s="347" t="str">
        <f>Market_currency</f>
        <v>HKD</v>
      </c>
    </row>
    <row r="112" spans="1:6">
      <c r="A112" s="389"/>
      <c r="B112" s="376" t="s">
        <v>377</v>
      </c>
      <c r="C112" s="398">
        <f>DCF!C11</f>
        <v>0.59993795672379879</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0.11 HKD</v>
      </c>
      <c r="F118" s="403">
        <f>DCF!F90</f>
        <v>0.15</v>
      </c>
    </row>
    <row r="119" spans="1:6">
      <c r="A119" s="389"/>
      <c r="B119" s="404" t="str">
        <f>DCF!B91</f>
        <v>Optimistic</v>
      </c>
      <c r="C119" s="405">
        <f>DCF!C91</f>
        <v>0.02</v>
      </c>
      <c r="D119" s="406">
        <f>DCF!D91</f>
        <v>3</v>
      </c>
      <c r="E119" s="402" t="str">
        <f>ROUND(DCF!E91,2)&amp;" "&amp;Market_currency</f>
        <v>0.64 HKD</v>
      </c>
      <c r="F119" s="407">
        <f>DCF!F91</f>
        <v>0.15999999999999995</v>
      </c>
    </row>
    <row r="120" spans="1:6">
      <c r="B120" s="404" t="str">
        <f>DCF!B92</f>
        <v>Base</v>
      </c>
      <c r="C120" s="405">
        <f>DCF!C92</f>
        <v>0</v>
      </c>
      <c r="D120" s="406">
        <f>DCF!D92</f>
        <v>3</v>
      </c>
      <c r="E120" s="402" t="str">
        <f>ROUND(DCF!E92,2)&amp;" "&amp;Market_currency</f>
        <v>0.6 HKD</v>
      </c>
      <c r="F120" s="407">
        <f>DCF!F92</f>
        <v>0.44</v>
      </c>
    </row>
    <row r="121" spans="1:6">
      <c r="B121" s="404" t="str">
        <f>DCF!B93</f>
        <v>Pessimistic</v>
      </c>
      <c r="C121" s="405">
        <f>DCF!C93</f>
        <v>-0.15</v>
      </c>
      <c r="D121" s="406">
        <f>DCF!D93</f>
        <v>3</v>
      </c>
      <c r="E121" s="402" t="str">
        <f>ROUND(DCF!E93,2)&amp;" "&amp;Market_currency</f>
        <v>0.31 HKD</v>
      </c>
      <c r="F121" s="407">
        <f>DCF!F93</f>
        <v>0.19999999999999998</v>
      </c>
    </row>
    <row r="122" spans="1:6">
      <c r="B122" s="404" t="str">
        <f>DCF!B94</f>
        <v>Devil's advocate</v>
      </c>
      <c r="C122" s="405">
        <f>DCF!C94</f>
        <v>0.04</v>
      </c>
      <c r="D122" s="406">
        <f>DCF!D94</f>
        <v>3</v>
      </c>
      <c r="E122" s="402" t="str">
        <f>ROUND(DCF!E94,2)&amp;" "&amp;Market_currency</f>
        <v>0.69 HKD</v>
      </c>
      <c r="F122" s="407">
        <f>DCF!F94</f>
        <v>0.05</v>
      </c>
    </row>
    <row r="124" spans="1:6">
      <c r="B124" s="466" t="s">
        <v>521</v>
      </c>
      <c r="C124" s="466"/>
      <c r="D124" s="466"/>
      <c r="E124" s="466"/>
      <c r="F124" s="466"/>
    </row>
    <row r="125" spans="1:6">
      <c r="B125" s="376" t="s">
        <v>218</v>
      </c>
      <c r="C125" s="408">
        <f>Scenarios!C36</f>
        <v>0.48118710045527707</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2.7E-2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4.9405992554973223E-2</v>
      </c>
      <c r="D140" s="413">
        <f>Scenarios!D62</f>
        <v>0.22174520758307703</v>
      </c>
      <c r="E140" s="414">
        <f>Scenarios!E62</f>
        <v>0.27115120013805027</v>
      </c>
      <c r="F140" s="415">
        <f>E22</f>
        <v>0.29465259038036606</v>
      </c>
    </row>
    <row r="141" spans="1:6">
      <c r="B141" s="412" t="s">
        <v>313</v>
      </c>
      <c r="C141" s="413">
        <f>Scenarios!C63</f>
        <v>5.6808106576265109E-2</v>
      </c>
      <c r="D141" s="413">
        <f>Scenarios!D63</f>
        <v>0.27794200748319264</v>
      </c>
      <c r="E141" s="414">
        <f>Scenarios!E63</f>
        <v>0.33475011405945776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6.5140284400343515E-2</v>
      </c>
      <c r="D144" s="413">
        <f>Scenarios!D66</f>
        <v>0.34489585523597771</v>
      </c>
      <c r="E144" s="414">
        <f>Scenarios!E66</f>
        <v>0.41003613963632124</v>
      </c>
      <c r="F144" s="415">
        <f>E24</f>
        <v>0.1174</v>
      </c>
    </row>
    <row r="145" spans="1:6">
      <c r="B145" s="412" t="s">
        <v>314</v>
      </c>
      <c r="C145" s="413">
        <f>Scenarios!C67</f>
        <v>7.0534131133671435E-2</v>
      </c>
      <c r="D145" s="413">
        <f>Scenarios!D67</f>
        <v>0.39005160904259506</v>
      </c>
      <c r="E145" s="414">
        <f>Scenarios!E67</f>
        <v>0.46058574017626652</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2025-10-30T02:51:06Z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