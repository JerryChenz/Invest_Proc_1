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DB15AD2-1A00-45BC-A98C-ED37078F8F5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118" i="2"/>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<sst xmlns="http://schemas.openxmlformats.org/spreadsheetml/2006/main" count="685" uniqueCount="466">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</sst>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45.35</v>
      </c>
      <c r="D12" s="50"/>
      <c r="E12" s="48"/>
    </row>
    <row r="13" spans="1:10">
      <c r="B13" s="1" t="s">
        <v>416</v>
      </c>
      <c r="C13" s="48" t="s">
        <v>414</v>
      </c>
      <c r="D13" s="48"/>
      <c r="E13" s="5"/>
    </row>
    <row r="14" spans="1:10">
      <c r="B14" s="4" t="s">
        <v>420</v>
      </c>
      <c r="C14" s="35">
        <f>Thesis!C12*Common_Shares/1000000</f>
        <v>22962.876312650002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0.1455407482695299</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0.33700000000000002</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v>
      </c>
    </row>
    <row r="40" spans="1:6" ht="24.6" customHeight="1">
      <c r="B40" s="359" t="s">
        <v>231</v>
      </c>
      <c r="C40" s="359"/>
      <c r="D40" s="359"/>
      <c r="E40" s="359"/>
      <c r="F40" s="359"/>
    </row>
    <row r="41" spans="1:6">
      <c r="B41" s="47" t="s">
        <v>232</v>
      </c>
      <c r="C41" s="349">
        <f>Normalized_FCF!C8</f>
        <v>1462055536.8163233</v>
      </c>
      <c r="D41" s="1" t="str">
        <f>Reporting_currency</f>
        <v>CNY</v>
      </c>
    </row>
    <row r="42" spans="1:6">
      <c r="B42" s="47"/>
      <c r="C42" s="76"/>
    </row>
    <row r="43" spans="1:6" ht="24.6" customHeight="1">
      <c r="B43" s="359" t="s">
        <v>233</v>
      </c>
      <c r="C43" s="359"/>
      <c r="D43" s="359"/>
      <c r="E43" s="359"/>
      <c r="F43" s="359"/>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9" t="s">
        <v>241</v>
      </c>
      <c r="C58" s="359"/>
      <c r="D58" s="359"/>
      <c r="E58" s="359"/>
      <c r="F58" s="359"/>
    </row>
    <row r="59" spans="2:6">
      <c r="B59" s="47" t="s">
        <v>239</v>
      </c>
      <c r="C59" s="349">
        <f>Normalized_FCF!C14</f>
        <v>-365138309.77193511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4.7695243892916392E-2</v>
      </c>
      <c r="F69" s="314"/>
    </row>
    <row r="70" spans="1:6">
      <c r="B70" s="227" t="s">
        <v>308</v>
      </c>
      <c r="C70" s="92">
        <f>Normalized_FCF!C93</f>
        <v>2.2050716648291068E-2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6" customHeight="1">
      <c r="B116" s="358" t="s">
        <v>366</v>
      </c>
      <c r="C116" s="358"/>
      <c r="D116" s="358"/>
      <c r="E116" s="358"/>
      <c r="F116" s="358"/>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0.33700000000000002</v>
      </c>
    </row>
    <row r="147" spans="2:4">
      <c r="B147" s="212" t="str">
        <f>"PV("&amp;C141&amp;" yrs of Dividends)"</f>
        <v>PV(3 yrs of Dividends)</v>
      </c>
      <c r="C147" s="216">
        <f>Scenarios!C81</f>
        <v>1.7257757078580571</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2.2050716648291068E-2</v>
      </c>
      <c r="E93" s="268"/>
      <c r="G93" s="23">
        <f t="shared" ref="G93:Q93" si="39">IF(G$4="","",G90/Market_Price)</f>
        <v>2.2050716648291068E-2</v>
      </c>
      <c r="H93" s="23">
        <f t="shared" si="39"/>
        <v>2.2050716648291068E-2</v>
      </c>
      <c r="I93" s="23">
        <f t="shared" si="39"/>
        <v>1.1025358324145534E-2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4.7695243892916392E-2</v>
      </c>
      <c r="D125" s="27"/>
      <c r="E125" s="265"/>
      <c r="F125" s="27"/>
      <c r="G125" s="77">
        <f t="shared" ref="G125" si="50">IF(G$4="","",G124/Market_Price)</f>
        <v>6.9156874236784668E-2</v>
      </c>
      <c r="H125" s="77">
        <f t="shared" ref="H125" si="51">IF(H$4="","",H124/Market_Price)</f>
        <v>6.8873687583573096E-2</v>
      </c>
      <c r="I125" s="77">
        <f t="shared" ref="I125" si="52">IF(I$4="","",I124/Market_Price)</f>
        <v>4.3761515560348387E-2</v>
      </c>
      <c r="J125" s="77">
        <f t="shared" ref="J125" si="53">IF(J$4="","",J124/Market_Price)</f>
        <v>4.1046065809950016E-2</v>
      </c>
      <c r="K125" s="77">
        <f t="shared" ref="K125" si="54">IF(K$4="","",K124/Market_Price)</f>
        <v>2.8790263986943558E-2</v>
      </c>
      <c r="L125" s="77">
        <f t="shared" ref="L125" si="55">IF(L$4="","",L124/Market_Price)</f>
        <v>2.7456669151037005E-2</v>
      </c>
      <c r="M125" s="77">
        <f t="shared" ref="M125" si="56">IF(M$4="","",M124/Market_Price)</f>
        <v>1.7123918609361619E-2</v>
      </c>
      <c r="N125" s="77">
        <f t="shared" ref="N125" si="57">IF(N$4="","",N124/Market_Price)</f>
        <v>1.281590533316067E-2</v>
      </c>
      <c r="O125" s="77">
        <f t="shared" ref="O125" si="58">IF(O$4="","",O124/Market_Price)</f>
        <v>6.319963667620004E-3</v>
      </c>
      <c r="P125" s="77">
        <f t="shared" ref="P125" si="59">IF(P$4="","",P124/Market_Price)</f>
        <v>4.0954831493906592E-3</v>
      </c>
      <c r="Q125" s="77" t="str">
        <f t="shared" ref="Q125" si="60">IF(Q$4="","",Q124/Market_Price)</f>
        <v/>
      </c>
    </row>
    <row r="126" spans="1:17" ht="15.75" customHeight="1">
      <c r="B126" s="2" t="s">
        <v>394</v>
      </c>
      <c r="C126" s="169"/>
      <c r="G126" s="23">
        <f>IF(G$4="","",(Data!C47*$C$3)/(Market_Price*Common_Shares))</f>
        <v>7.0942261797690406E-2</v>
      </c>
      <c r="H126" s="23">
        <f>IF(H$4="","",(Data!D47*$C$3)/(Market_Price*Common_Shares))</f>
        <v>8.1311480477356826E-2</v>
      </c>
      <c r="I126" s="23">
        <f>IF(I$4="","",(Data!E47*$C$3)/(Market_Price*Common_Shares))</f>
        <v>5.4750980185674737E-2</v>
      </c>
      <c r="J126" s="23">
        <f>IF(J$4="","",(Data!F47*$C$3)/(Market_Price*Common_Shares))</f>
        <v>3.8517099337105197E-2</v>
      </c>
      <c r="K126" s="23">
        <f>IF(K$4="","",(Data!G47*$C$3)/(Market_Price*Common_Shares))</f>
        <v>2.8922343349214154E-2</v>
      </c>
      <c r="L126" s="23">
        <f>IF(L$4="","",(Data!H47*$C$3)/(Market_Price*Common_Shares))</f>
        <v>3.0226232443608909E-2</v>
      </c>
      <c r="M126" s="23">
        <f>IF(M$4="","",(Data!I47*$C$3)/(Market_Price*Common_Shares))</f>
        <v>2.0923705961666268E-2</v>
      </c>
      <c r="N126" s="23">
        <f>IF(N$4="","",(Data!J47*$C$3)/(Market_Price*Common_Shares))</f>
        <v>1.2330578153400502E-2</v>
      </c>
      <c r="O126" s="23">
        <f>IF(O$4="","",(Data!K47*$C$3)/(Market_Price*Common_Shares))</f>
        <v>7.6203512407373173E-3</v>
      </c>
      <c r="P126" s="23">
        <f>IF(P$4="","",(Data!L47*$C$3)/(Market_Price*Common_Shares))</f>
        <v>5.4762506790460488E-3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4.25103165866728E-2</v>
      </c>
      <c r="H16" s="120"/>
    </row>
    <row r="17" spans="2:17" ht="13.35" customHeight="1">
      <c r="B17" s="118" t="s">
        <v>134</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3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4.25103165866728E-2</v>
      </c>
      <c r="H11" s="120"/>
    </row>
    <row r="12" spans="2:8" ht="13.35" customHeight="1">
      <c r="B12" s="118" t="s">
        <v>134</v>
      </c>
      <c r="C12" s="162">
        <f>Scenarios!C64</f>
        <v>30</v>
      </c>
      <c r="H12" s="120"/>
    </row>
    <row r="13" spans="2:8" ht="13.3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-45.35</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45.35</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0.33700000000000002</v>
      </c>
    </row>
    <row r="81" spans="2:8">
      <c r="B81" s="100" t="s">
        <v>121</v>
      </c>
      <c r="C81" s="116">
        <f>PV(C80, C76, -C77, 0)</f>
        <v>1.7257757078580571</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45.35</v>
      </c>
      <c r="D86" t="str">
        <f>Market_currency</f>
        <v>CNY</v>
      </c>
    </row>
    <row r="87" spans="2:8" ht="13.15">
      <c r="B87" s="100" t="s">
        <v>298</v>
      </c>
      <c r="C87" s="237">
        <f ca="1">IRR(OFFSET($I$3, 0, 0, $C$76 + 1, 1))</f>
        <v>0.1455407482695299</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