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B02A2686-3FE1-4B51-9BB9-EC44E2375D36}"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4" i="2"/>
  <c r="C33" i="2"/>
  <c r="C34" i="2"/>
  <c r="C28" i="2"/>
  <c r="C29" i="2"/>
  <c r="C4" i="2"/>
  <c r="C19" i="3"/>
  <c r="C23" i="3"/>
  <c r="C4" i="3"/>
  <c r="C11" i="3"/>
  <c r="C25" i="4"/>
  <c r="D25" i="4"/>
  <c r="E25" i="4"/>
  <c r="C28" i="4"/>
  <c r="C29" i="4"/>
  <c r="C30" i="4"/>
  <c r="C32" i="4"/>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F38" i="4" l="1"/>
  <c r="E38" i="4"/>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B91" i="2" l="1"/>
  <c r="B90" i="2"/>
  <c r="C8" i="6"/>
  <c r="C71" i="9"/>
  <c r="D66" i="9"/>
  <c r="D18" i="8"/>
  <c r="D22" i="9"/>
  <c r="D21" i="9"/>
  <c r="D9" i="9"/>
  <c r="D86" i="9"/>
  <c r="C86" i="9"/>
  <c r="C76" i="9"/>
  <c r="E87" i="3"/>
  <c r="E88" i="3"/>
  <c r="E89" i="3"/>
  <c r="E86" i="3"/>
  <c r="I3" i="9"/>
  <c r="D114" i="6" l="1"/>
  <c r="D110" i="6"/>
  <c r="D103" i="6"/>
  <c r="D93" i="6"/>
  <c r="E7" i="9"/>
  <c r="D8" i="9"/>
  <c r="D7" i="9"/>
  <c r="C21" i="9"/>
  <c r="D67" i="6"/>
  <c r="B124"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7"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7" i="6" s="1"/>
  <c r="F70" i="10"/>
  <c r="D74" i="8"/>
  <c r="D126" i="6" s="1"/>
  <c r="D69" i="10"/>
  <c r="F55" i="8"/>
  <c r="F64" i="8" s="1"/>
  <c r="C126" i="6"/>
  <c r="C113" i="6"/>
  <c r="C114" i="6" s="1"/>
  <c r="G67" i="2"/>
  <c r="C59" i="2" s="1"/>
  <c r="C77" i="8" l="1"/>
  <c r="C31" i="9"/>
  <c r="D78" i="8"/>
  <c r="D130" i="6" s="1"/>
  <c r="C25" i="9"/>
  <c r="C76" i="8"/>
  <c r="C78" i="8"/>
  <c r="D75" i="8"/>
  <c r="D127" i="6" s="1"/>
  <c r="C75" i="8"/>
  <c r="C17" i="8"/>
  <c r="C16" i="8"/>
  <c r="Q96"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P9" i="2" l="1"/>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C77" i="9"/>
  <c r="L45" i="4"/>
  <c r="C70" i="3"/>
  <c r="C69" i="2" s="1"/>
  <c r="C108"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93" i="2"/>
  <c r="C70" i="6" s="1"/>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P4" i="2"/>
  <c r="I4" i="2"/>
  <c r="G4" i="2"/>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C31" i="4" l="1"/>
  <c r="Q120" i="2"/>
  <c r="Q117" i="2"/>
  <c r="Q118" i="2"/>
  <c r="K118" i="2"/>
  <c r="L118" i="2"/>
  <c r="H118" i="2"/>
  <c r="G91" i="2"/>
  <c r="Q126" i="2"/>
  <c r="Q92" i="2"/>
  <c r="Q48" i="2"/>
  <c r="Q91"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80" i="4"/>
  <c r="C76" i="4" s="1"/>
  <c r="G113" i="2"/>
  <c r="G126" i="2"/>
  <c r="H113" i="2"/>
  <c r="H126" i="2"/>
  <c r="J113" i="2"/>
  <c r="J126" i="2"/>
  <c r="I113" i="2"/>
  <c r="I126" i="2"/>
  <c r="K113" i="2"/>
  <c r="M113" i="2"/>
  <c r="L113" i="2"/>
  <c r="N113" i="2"/>
  <c r="P113" i="2"/>
  <c r="O113" i="2"/>
  <c r="Q113" i="2"/>
  <c r="Q114" i="2"/>
  <c r="Q19" i="2"/>
  <c r="Q50" i="2"/>
  <c r="Q12" i="2" s="1"/>
  <c r="Q93" i="2"/>
  <c r="O93" i="2"/>
  <c r="K93" i="2"/>
  <c r="P93" i="2"/>
  <c r="J93" i="2"/>
  <c r="H93" i="2"/>
  <c r="I93" i="2"/>
  <c r="L93" i="2"/>
  <c r="M93" i="2"/>
  <c r="N93" i="2"/>
  <c r="G93" i="2"/>
  <c r="Q81" i="2"/>
  <c r="Q43" i="2"/>
  <c r="C12" i="9"/>
  <c r="H101" i="2"/>
  <c r="P101" i="2"/>
  <c r="P119" i="2" s="1"/>
  <c r="M101" i="2"/>
  <c r="M118" i="2" s="1"/>
  <c r="N101" i="2"/>
  <c r="N118" i="2" s="1"/>
  <c r="Q55" i="2"/>
  <c r="Q124" i="2"/>
  <c r="Q125" i="2"/>
  <c r="Q101" i="2"/>
  <c r="K101" i="2"/>
  <c r="I101" i="2"/>
  <c r="I118" i="2" s="1"/>
  <c r="O101" i="2"/>
  <c r="O119" i="2" s="1"/>
  <c r="J101" i="2"/>
  <c r="J118" i="2" s="1"/>
  <c r="L101" i="2"/>
  <c r="G110" i="2"/>
  <c r="N103" i="2"/>
  <c r="N109" i="2" s="1"/>
  <c r="N102" i="2"/>
  <c r="N108" i="2" s="1"/>
  <c r="O103" i="2"/>
  <c r="O109" i="2" s="1"/>
  <c r="O102" i="2"/>
  <c r="O108" i="2" s="1"/>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O79"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P118" i="2" l="1"/>
  <c r="O118" i="2"/>
  <c r="O30" i="2"/>
  <c r="O74" i="2"/>
  <c r="O8" i="2"/>
  <c r="H58" i="4"/>
  <c r="L62" i="2" s="1"/>
  <c r="G71" i="4"/>
  <c r="H71" i="4"/>
  <c r="O40" i="2"/>
  <c r="O63" i="2"/>
  <c r="O73" i="2"/>
  <c r="C58" i="4"/>
  <c r="C71" i="4"/>
  <c r="E58" i="4"/>
  <c r="I62" i="2" s="1"/>
  <c r="E71" i="4"/>
  <c r="D71" i="4"/>
  <c r="G105" i="2"/>
  <c r="G101" i="2" s="1"/>
  <c r="G119" i="2" s="1"/>
  <c r="D76" i="6" s="1"/>
  <c r="P40" i="2"/>
  <c r="P30" i="2"/>
  <c r="P63" i="2"/>
  <c r="P6" i="2"/>
  <c r="P73" i="2"/>
  <c r="C23" i="2"/>
  <c r="C49" i="2"/>
  <c r="C24" i="2"/>
  <c r="C110" i="2"/>
  <c r="G30" i="2"/>
  <c r="C17" i="2"/>
  <c r="C62" i="6" s="1"/>
  <c r="M63" i="2"/>
  <c r="M11" i="2"/>
  <c r="N63" i="2"/>
  <c r="N11" i="2"/>
  <c r="G69" i="2"/>
  <c r="G11" i="2"/>
  <c r="N73" i="2"/>
  <c r="M6" i="2"/>
  <c r="M8" i="2" s="1"/>
  <c r="C96" i="2"/>
  <c r="J63" i="2"/>
  <c r="J79" i="2" s="1"/>
  <c r="H63" i="2"/>
  <c r="H79" i="2" s="1"/>
  <c r="N40" i="2"/>
  <c r="N119" i="2"/>
  <c r="M119" i="2"/>
  <c r="M40" i="2"/>
  <c r="N6" i="2"/>
  <c r="N8" i="2" s="1"/>
  <c r="M30" i="2"/>
  <c r="M73" i="2"/>
  <c r="N30" i="2"/>
  <c r="K62" i="2"/>
  <c r="G62" i="2"/>
  <c r="G63" i="2" s="1"/>
  <c r="C119" i="2"/>
  <c r="C76" i="6" s="1"/>
  <c r="C55" i="3"/>
  <c r="L119" i="2"/>
  <c r="J119" i="2"/>
  <c r="H119" i="2"/>
  <c r="K119" i="2"/>
  <c r="I119" i="2"/>
  <c r="H5" i="2"/>
  <c r="I5" i="2"/>
  <c r="C108" i="2"/>
  <c r="C109" i="2"/>
  <c r="K5" i="2"/>
  <c r="J7" i="2"/>
  <c r="J75" i="2" s="1"/>
  <c r="C77" i="2"/>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4" i="2"/>
  <c r="D55" i="3" l="1"/>
  <c r="G29" i="3"/>
  <c r="D62" i="3" s="1"/>
  <c r="D51" i="3" l="1"/>
  <c r="C46" i="3"/>
  <c r="C47" i="3" s="1"/>
  <c r="C62" i="3"/>
  <c r="C15" i="2" l="1"/>
  <c r="G1" i="2"/>
  <c r="C56" i="6" l="1"/>
  <c r="D73" i="3"/>
  <c r="C73" i="3"/>
  <c r="C74" i="3" s="1"/>
  <c r="F1" i="3"/>
  <c r="H1" i="2"/>
  <c r="E1" i="4"/>
  <c r="F1" i="4" s="1"/>
  <c r="G1" i="4" s="1"/>
  <c r="H1" i="4" s="1"/>
  <c r="I1" i="4" s="1"/>
  <c r="J1" i="4" s="1"/>
  <c r="K1" i="4" s="1"/>
  <c r="L1" i="4" s="1"/>
  <c r="M1" i="4" s="1"/>
  <c r="D74" i="3" l="1"/>
  <c r="D76" i="3" s="1"/>
  <c r="C6" i="9"/>
  <c r="D75" i="3" l="1"/>
  <c r="Q116" i="2"/>
  <c r="C48" i="2" l="1"/>
  <c r="D66" i="3"/>
  <c r="C73" i="2"/>
  <c r="C41" i="3"/>
  <c r="C8" i="8" l="1"/>
  <c r="C109" i="6" s="1"/>
  <c r="C110" i="6" s="1"/>
  <c r="L48" i="2"/>
  <c r="L50" i="2" s="1"/>
  <c r="L12" i="2" s="1"/>
  <c r="K48" i="2"/>
  <c r="K50" i="2" s="1"/>
  <c r="K12" i="2" s="1"/>
  <c r="K43" i="2" s="1"/>
  <c r="M48" i="2"/>
  <c r="M50" i="2" s="1"/>
  <c r="M12" i="2" s="1"/>
  <c r="P48" i="2"/>
  <c r="P50" i="2" s="1"/>
  <c r="P12" i="2" s="1"/>
  <c r="O48" i="2"/>
  <c r="O50" i="2" s="1"/>
  <c r="O12" i="2" s="1"/>
  <c r="N48" i="2"/>
  <c r="N50" i="2" s="1"/>
  <c r="N12" i="2" s="1"/>
  <c r="G48" i="2"/>
  <c r="G50" i="2" s="1"/>
  <c r="G12" i="2" s="1"/>
  <c r="J48" i="2"/>
  <c r="J50" i="2" s="1"/>
  <c r="J12" i="2" s="1"/>
  <c r="J80" i="2" s="1"/>
  <c r="H48" i="2"/>
  <c r="H50" i="2" s="1"/>
  <c r="H12" i="2" s="1"/>
  <c r="H80" i="2" s="1"/>
  <c r="I48" i="2"/>
  <c r="I50" i="2" s="1"/>
  <c r="I12" i="2" s="1"/>
  <c r="I80" i="2" s="1"/>
  <c r="C51" i="6"/>
  <c r="C31" i="3"/>
  <c r="G43" i="2" l="1"/>
  <c r="G118" i="2"/>
  <c r="D75" i="6" s="1"/>
  <c r="C87" i="3"/>
  <c r="D87" i="3" s="1"/>
  <c r="E69" i="10"/>
  <c r="E73" i="10"/>
  <c r="E71" i="10"/>
  <c r="E72" i="10"/>
  <c r="E70" i="10"/>
  <c r="O80" i="2"/>
  <c r="O13" i="2"/>
  <c r="O120" i="2" s="1"/>
  <c r="O116" i="2" s="1"/>
  <c r="O43" i="2"/>
  <c r="L80" i="2"/>
  <c r="L43" i="2"/>
  <c r="K80" i="2"/>
  <c r="P80" i="2"/>
  <c r="P13" i="2"/>
  <c r="P120" i="2" s="1"/>
  <c r="P116" i="2" s="1"/>
  <c r="P43" i="2"/>
  <c r="M80" i="2"/>
  <c r="M43" i="2"/>
  <c r="J43" i="2"/>
  <c r="H43" i="2"/>
  <c r="I43" i="2"/>
  <c r="N80" i="2"/>
  <c r="N43" i="2"/>
  <c r="G80" i="2"/>
  <c r="C41" i="6"/>
  <c r="C74" i="2"/>
  <c r="C32" i="3"/>
  <c r="G31" i="3"/>
  <c r="C104" i="6" s="1"/>
  <c r="B1" i="2"/>
  <c r="O81" i="2" l="1"/>
  <c r="O117" i="2" s="1"/>
  <c r="O16" i="2"/>
  <c r="C7" i="8"/>
  <c r="C86" i="3" s="1"/>
  <c r="D86" i="3" s="1"/>
  <c r="D89" i="3" s="1"/>
  <c r="P81" i="2"/>
  <c r="P117" i="2" s="1"/>
  <c r="P16" i="2"/>
  <c r="O97" i="2"/>
  <c r="G54" i="2"/>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124" i="2"/>
  <c r="O125" i="2" s="1"/>
  <c r="P84" i="2"/>
  <c r="P19" i="2"/>
  <c r="P92" i="2" s="1"/>
  <c r="P124" i="2"/>
  <c r="P125" i="2" s="1"/>
  <c r="C47" i="2"/>
  <c r="O92" i="2" l="1"/>
  <c r="O114" i="2"/>
  <c r="O87" i="2"/>
  <c r="P114" i="2"/>
  <c r="P87" i="2"/>
  <c r="C55" i="2"/>
  <c r="C52" i="6"/>
  <c r="E78" i="8"/>
  <c r="C50" i="2"/>
  <c r="C12" i="2" s="1"/>
  <c r="C118" i="2" s="1"/>
  <c r="C75" i="6" s="1"/>
  <c r="I1" i="2"/>
  <c r="E130" i="6" l="1"/>
  <c r="C51" i="9"/>
  <c r="C13" i="2"/>
  <c r="C14" i="2"/>
  <c r="C59" i="6" s="1"/>
  <c r="C53" i="6"/>
  <c r="C80" i="2"/>
  <c r="J1" i="2"/>
  <c r="K1" i="2" s="1"/>
  <c r="L1" i="2" s="1"/>
  <c r="M1" i="2" s="1"/>
  <c r="N1" i="2" s="1"/>
  <c r="O1" i="2" s="1"/>
  <c r="P1" i="2" s="1"/>
  <c r="Q1" i="2" s="1"/>
  <c r="C120" i="2" l="1"/>
  <c r="C73" i="6" s="1"/>
  <c r="C16" i="2"/>
  <c r="C19" i="2" s="1"/>
  <c r="C16" i="10" l="1"/>
  <c r="C46" i="10" s="1"/>
  <c r="C6" i="10"/>
  <c r="C7" i="10" s="1"/>
  <c r="C4" i="8"/>
  <c r="C92" i="2"/>
  <c r="F70" i="6" s="1"/>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16" i="2"/>
  <c r="H13" i="2"/>
  <c r="H120" i="2" s="1"/>
  <c r="C172" i="6" l="1"/>
  <c r="C148" i="6"/>
  <c r="C99" i="9"/>
  <c r="C165" i="6" s="1"/>
  <c r="D173" i="6"/>
  <c r="D32" i="6" s="1"/>
  <c r="C32" i="6"/>
  <c r="E26" i="6"/>
  <c r="C93" i="9"/>
  <c r="C151" i="6"/>
  <c r="C149" i="6"/>
  <c r="H16" i="2"/>
  <c r="H19" i="2" s="1"/>
  <c r="H81" i="2"/>
  <c r="H117" i="2" s="1"/>
  <c r="F99" i="9" l="1"/>
  <c r="C167" i="6" s="1"/>
  <c r="D165" i="6"/>
  <c r="D31" i="6" s="1"/>
  <c r="C31" i="6"/>
  <c r="C29" i="6"/>
  <c r="D149" i="6"/>
  <c r="D29" i="6" s="1"/>
  <c r="H114" i="2"/>
  <c r="H92" i="2"/>
  <c r="F93" i="9"/>
  <c r="C159" i="6" s="1"/>
  <c r="C157" i="6"/>
  <c r="H124" i="2"/>
  <c r="H125" i="2" s="1"/>
  <c r="H84" i="2"/>
  <c r="G76" i="2"/>
  <c r="D54" i="3"/>
  <c r="D50" i="3"/>
  <c r="G13" i="2"/>
  <c r="G97" i="2" l="1"/>
  <c r="G120" i="2"/>
  <c r="C30" i="6"/>
  <c r="D157" i="6"/>
  <c r="D30" i="6" s="1"/>
  <c r="H87" i="2"/>
  <c r="G16" i="2"/>
  <c r="G19" i="2" s="1"/>
  <c r="G81" i="2"/>
  <c r="G117" i="2" l="1"/>
  <c r="D74" i="6" s="1"/>
  <c r="G116" i="2"/>
  <c r="D73" i="6"/>
  <c r="G114" i="2"/>
  <c r="G92" i="2"/>
  <c r="G124" i="2"/>
  <c r="G125" i="2" s="1"/>
  <c r="G84" i="2"/>
  <c r="J76" i="2"/>
  <c r="I76" i="2"/>
  <c r="N76" i="2"/>
  <c r="L76" i="2"/>
  <c r="J13" i="2"/>
  <c r="J120" i="2" s="1"/>
  <c r="J116" i="2" s="1"/>
  <c r="M76" i="2"/>
  <c r="L13" i="2"/>
  <c r="L120" i="2" s="1"/>
  <c r="L116" i="2" s="1"/>
  <c r="K13" i="2"/>
  <c r="N13" i="2"/>
  <c r="M13" i="2"/>
  <c r="M120" i="2" s="1"/>
  <c r="M116" i="2" s="1"/>
  <c r="I13" i="2"/>
  <c r="I120" i="2" s="1"/>
  <c r="I116" i="2" s="1"/>
  <c r="K76" i="2"/>
  <c r="K16" i="2" l="1"/>
  <c r="K19" i="2" s="1"/>
  <c r="K120" i="2"/>
  <c r="K116" i="2" s="1"/>
  <c r="N97" i="2"/>
  <c r="N120" i="2"/>
  <c r="N116" i="2" s="1"/>
  <c r="K114" i="2"/>
  <c r="K92" i="2"/>
  <c r="C8" i="9"/>
  <c r="C67"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84" i="2"/>
  <c r="K124" i="2" l="1"/>
  <c r="K125" i="2" s="1"/>
  <c r="N84" i="2"/>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105" i="6" s="1"/>
  <c r="C54" i="3"/>
  <c r="M114" i="2" l="1"/>
  <c r="M92" i="2"/>
  <c r="L92" i="2"/>
  <c r="L114" i="2"/>
  <c r="C14" i="9"/>
  <c r="M87" i="2"/>
  <c r="C81" i="2"/>
  <c r="C97" i="2"/>
  <c r="J87" i="2"/>
  <c r="C82" i="2"/>
  <c r="C117" i="2" l="1"/>
  <c r="C74" i="6" s="1"/>
  <c r="C124" i="2"/>
  <c r="C84" i="2" l="1"/>
  <c r="C9" i="9"/>
  <c r="C68" i="6" l="1"/>
  <c r="C125"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<sst xmlns="http://schemas.openxmlformats.org/spreadsheetml/2006/main" count="685" uniqueCount="466">
  <si>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</si>
  <si>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</si>
  <si>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</si>
  <si>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</si>
  <si>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</si>
  <si>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</si>
  <si>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</si>
  <si>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</si>
  <si>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</si>
  <si>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</si>
  <si>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</si>
  <si>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</si>
  <si>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</si>
  <si>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</si>
  <si>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</si>
  <si>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</si>
  <si>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</si>
  <si>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</si>
  <si>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</si>
  <si>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</si>
  <si>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</si>
  <si>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</si>
  <si>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</si>
  <si>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</si>
  <si>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</si>
  <si>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</si>
  <si>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</si>
  <si>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</si>
  <si>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</si>
  <si>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</si>
  <si>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</si>
  <si>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</si>
  <si>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</si>
  <si>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</si>
  <si>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</si>
  <si>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</si>
  <si>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</si>
  <si>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</si>
  <si>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</si>
  <si>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</si>
  <si>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</si>
  <si>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</si>
  <si>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</si>
  <si>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</si>
  <si>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</si>
  <si>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</si>
  <si>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</si>
  <si>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</si>
  <si>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</si>
  <si>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</si>
  <si>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</si>
  <si>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</si>
  <si>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</si>
  <si>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</si>
  <si>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</si>
  <si>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</si>
  <si>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</si>
  <si>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</si>
  <si>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</si>
  <si>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</si>
  <si>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</si>
  <si>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</si>
  <si>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</si>
  <si>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</si>
  <si>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</si>
  <si>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</si>
  <si>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</si>
  <si>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</si>
  <si>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</si>
  <si>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</si>
  <si>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</si>
  <si>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</si>
  <si>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</si>
  <si>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</si>
  <si>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</si>
  <si>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</si>
  <si>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</si>
  <si>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</si>
  <si>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</si>
  <si>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</si>
  <si>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</si>
  <si>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</si>
  <si>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</si>
  <si>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</si>
  <si>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</si>
  <si>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</si>
  <si>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</si>
  <si>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</si>
  <si>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</si>
  <si>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</si>
  <si>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</si>
  <si>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</si>
  <si>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</si>
  <si>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</si>
  <si>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</si>
  <si>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</si>
  <si>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</si>
  <si>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</si>
  <si>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</si>
  <si>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</si>
  <si>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</si>
  <si>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</si>
  <si>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</si>
  <si>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</si>
  <si>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</si>
  <si>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</si>
  <si>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</si>
  <si>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</si>
  <si>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</si>
  <si>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</si>
  <si>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</si>
  <si>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</si>
  <si>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</si>
  <si>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</si>
  <si>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</si>
  <si>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</si>
  <si>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</si>
  <si>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</si>
  <si>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</si>
  <si>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</si>
  <si>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</si>
  <si>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</si>
  <si>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</si>
  <si>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</si>
  <si>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</si>
  <si>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</si>
  <si>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</si>
  <si>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</si>
  <si>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</si>
  <si>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</si>
  <si>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</si>
  <si>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</si>
  <si>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</si>
  <si>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</si>
  <si>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</si>
  <si>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</si>
  <si>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</si>
  <si>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</si>
  <si>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</si>
  <si>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</si>
  <si>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</si>
  <si>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</si>
  <si>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</si>
  <si>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</si>
  <si>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</si>
  <si>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</si>
  <si>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</si>
  <si>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</si>
  <si>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</si>
  <si>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</si>
  <si>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</si>
  <si>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</si>
  <si>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</si>
  <si>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</si>
  <si>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</si>
  <si>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</si>
  <si>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</si>
  <si>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</si>
  <si>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</si>
  <si>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</si>
  <si>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</si>
  <si>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</si>
  <si>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</si>
  <si>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</si>
  <si>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</si>
  <si>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</si>
  <si>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</si>
  <si>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</si>
  <si>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</si>
  <si>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</si>
  <si>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</si>
  <si>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</si>
  <si>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</si>
  <si>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</si>
  <si>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</si>
  <si>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</si>
  <si>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</si>
  <si>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</si>
  <si>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</si>
  <si>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</si>
  <si>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</si>
  <si>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</si>
  <si>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</si>
  <si>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</si>
  <si>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</si>
  <si>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</si>
  <si>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</si>
  <si>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</si>
  <si>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</si>
  <si>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</si>
  <si>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</si>
  <si>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</si>
  <si>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</si>
  <si>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</si>
  <si>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</si>
  <si>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</si>
  <si>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</si>
  <si>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</si>
  <si>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</si>
  <si>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</si>
  <si>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</si>
  <si>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</si>
  <si>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</si>
  <si>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</si>
  <si>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</si>
  <si>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</si>
  <si>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</si>
  <si>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</si>
  <si>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</si>
  <si>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</si>
  <si>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</si>
  <si>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</si>
  <si>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</si>
  <si>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</si>
  <si>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</si>
  <si>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</si>
  <si>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</si>
  <si>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</si>
  <si>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</si>
  <si>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</si>
  <si>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</si>
  <si>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</si>
  <si>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</si>
  <si>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</si>
  <si>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</si>
  <si>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</si>
  <si>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</si>
  <si>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</si>
  <si>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</si>
  <si>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</si>
  <si>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</si>
  <si>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</si>
  <si>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</si>
  <si>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</si>
  <si>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</si>
  <si>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</si>
  <si>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</si>
  <si>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</si>
  <si>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</si>
  <si>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</si>
  <si>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</si>
  <si>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</si>
  <si>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</si>
  <si>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</si>
  <si>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</si>
  <si>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</si>
  <si>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</si>
  <si>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</si>
  <si>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</si>
  <si>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</si>
  <si>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</si>
  <si>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</si>
  <si>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</si>
  <si>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</si>
  <si>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</si>
  <si>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</si>
  <si>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</si>
  <si>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</si>
  <si>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</si>
  <si>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</si>
  <si>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</si>
  <si>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</si>
  <si>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</si>
  <si>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</si>
  <si>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</si>
  <si>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</si>
  <si>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</si>
  <si>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</si>
  <si>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</si>
  <si>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</si>
  <si>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</si>
  <si>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</si>
  <si>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</si>
  <si>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</si>
  <si>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</si>
  <si>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</si>
  <si>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</si>
  <si>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</si>
  <si>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</si>
  <si>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</si>
  <si>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</si>
  <si>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</si>
  <si>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</si>
  <si>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</si>
  <si>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</si>
  <si>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</si>
  <si>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</si>
  <si>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</si>
  <si>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</si>
  <si>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</si>
  <si>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</si>
  <si>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</si>
  <si>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</si>
  <si>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</si>
  <si>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</si>
  <si>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</si>
  <si>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</si>
  <si>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</si>
  <si>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</si>
  <si>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</si>
  <si>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</si>
  <si>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</si>
  <si>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</si>
  <si>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</si>
  <si>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</si>
  <si>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</si>
  <si>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</si>
  <si>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</si>
  <si>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</si>
  <si>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</si>
  <si>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</si>
  <si>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</si>
  <si>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</si>
  <si>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</si>
  <si>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</si>
  <si>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</si>
  <si>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</si>
  <si>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</si>
  <si>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</si>
  <si>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</si>
  <si>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</si>
  <si>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</si>
  <si>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</si>
  <si>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</si>
  <si>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</si>
  <si>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</si>
  <si>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</si>
  <si>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</si>
  <si>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</si>
  <si>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</si>
  <si>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</si>
  <si>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</si>
  <si>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</si>
  <si>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</si>
  <si>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</si>
  <si>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</si>
  <si>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</si>
  <si>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</si>
  <si>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</si>
  <si>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</si>
  <si>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</si>
  <si>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</si>
  <si>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</si>
  <si>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</si>
  <si>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</si>
  <si>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</si>
  <si>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</si>
  <si>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</si>
  <si>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</si>
  <si>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</si>
  <si>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</si>
  <si>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</si>
  <si>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</si>
  <si>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</si>
  <si>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</si>
  <si>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</si>
  <si>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</si>
  <si>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</si>
  <si>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</si>
  <si>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</si>
  <si>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</si>
  <si>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</si>
  <si>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</si>
  <si>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</si>
  <si>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</si>
  <si>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</si>
  <si>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</si>
  <si>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</si>
  <si>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</si>
  <si>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</si>
  <si>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</si>
  <si>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</si>
  <si>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</si>
  <si>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</si>
  <si>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</si>
  <si>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</si>
  <si>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</si>
  <si>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</si>
  <si>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</si>
  <si>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</si>
  <si>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</si>
  <si>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</si>
  <si>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</si>
  <si>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</si>
  <si>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</si>
  <si>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</si>
  <si>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</si>
  <si>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</si>
  <si>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</si>
  <si>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</si>
  <si>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</si>
  <si>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</si>
  <si>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</si>
  <si>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</si>
  <si>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</si>
  <si>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</si>
  <si>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</si>
  <si>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</si>
  <si>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</si>
  <si>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</si>
  <si>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</si>
  <si>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</si>
  <si>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</si>
  <si>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</si>
  <si>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</si>
  <si>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</si>
  <si>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</si>
  <si>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</si>
  <si>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</si>
  <si>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</si>
  <si>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</si>
  <si>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</si>
  <si>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</si>
  <si>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</si>
  <si>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</si>
  <si>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CNY</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</si>
  <si>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</si>
  <si>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</si>
  <si>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</si>
  <si>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</si>
  <si>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</si>
  <si>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</si>
  <si>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</si>
  <si>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</si>
  <si>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</si>
  <si>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</si>
  <si>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</si>
  <si>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</si>
  <si>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</si>
  <si>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</si>
  <si>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</si>
  <si>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</si>
  <si>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</si>
  <si>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</si>
  <si>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</si>
  <si>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</si>
  <si>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</si>
  <si>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</si>
  <si>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</si>
  <si>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</si>
  <si>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</si>
  <si>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</si>
  <si>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</si>
  <si>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</si>
  <si>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</si>
  <si>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</si>
  <si>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</si>
  <si>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</si>
  <si>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</si>
  <si>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</si>
  <si>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</si>
  <si>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DuPont Analysis</t>
  </si>
  <si>
    <t>ROE =</t>
  </si>
  <si>
    <t>Normalized</t>
  </si>
  <si>
    <t>Latest</t>
  </si>
  <si>
    <t>CN</t>
  </si>
  <si>
    <t>Y</t>
  </si>
  <si>
    <t>浙江鼎力</t>
  </si>
  <si>
    <t>603338.SS</t>
  </si>
  <si>
    <t/>
  </si>
  <si>
    <t>IND_01</t>
  </si>
  <si>
    <t>N</t>
  </si>
  <si>
    <t>DCF</t>
  </si>
  <si>
    <t>Latest Asset Value</t>
  </si>
  <si>
    <t>Notes</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</si>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</sst>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69">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10" fillId="0" borderId="1" xfId="0" applyNumberFormat="1" applyFont="1" applyBorder="1"/>
    <xf numFmtId="37" fontId="8" fillId="0" borderId="1" xfId="0" applyNumberFormat="1" applyFont="1" applyBorder="1" applyAlignment="1">
      <alignment horizontal="right"/>
    </xf>
    <xf numFmtId="37" fontId="11" fillId="0" borderId="1" xfId="0" applyNumberFormat="1" applyFont="1" applyBorder="1" applyAlignment="1">
      <alignment horizontal="right"/>
    </xf>
    <xf numFmtId="37" fontId="14" fillId="0" borderId="1" xfId="0" applyNumberFormat="1" applyFont="1" applyBorder="1" applyAlignment="1">
      <alignment horizontal="right"/>
    </xf>
    <xf numFmtId="37" fontId="7" fillId="0" borderId="1" xfId="0" applyNumberFormat="1" applyFont="1" applyBorder="1" applyAlignment="1">
      <alignment horizontal="right"/>
    </xf>
    <xf numFmtId="37" fontId="17" fillId="0" borderId="1" xfId="0" applyNumberFormat="1" applyFont="1" applyBorder="1" applyAlignment="1">
      <alignment horizontal="right"/>
    </xf>
    <xf numFmtId="37" fontId="15" fillId="0" borderId="1" xfId="0" applyNumberFormat="1" applyFont="1" applyBorder="1" applyAlignment="1">
      <alignment horizontal="right"/>
    </xf>
    <xf numFmtId="37" fontId="12" fillId="0" borderId="0" xfId="0" applyNumberFormat="1" applyFont="1"/>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abSelected="1" zoomScale="85" zoomScaleNormal="100" workbookViewId="0">
      <selection activeCell="C7" sqref="C7"/>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1" spans="1:10">
      <c r="B1" s="3" t="s">
        <v>41</v>
      </c>
      <c r="C1" s="44">
        <v>45797</v>
      </c>
      <c r="D1" s="316" t="s">
        <v>455</v>
      </c>
      <c r="E1" s="292" t="s">
        <v>354</v>
      </c>
      <c r="F1" s="254" t="s">
        <v>456</v>
      </c>
    </row>
    <row r="2" spans="1:10" ht="13.9">
      <c r="A2" s="222" t="s">
        <v>268</v>
      </c>
      <c r="B2" s="36"/>
      <c r="C2" s="36"/>
      <c r="D2" s="36"/>
      <c r="E2" s="36"/>
      <c r="F2" s="36"/>
      <c r="G2" s="22"/>
      <c r="H2" s="22"/>
      <c r="I2" s="22"/>
      <c r="J2" s="22"/>
    </row>
    <row r="4" spans="1:10">
      <c r="B4" s="45" t="s">
        <v>416</v>
      </c>
      <c r="C4" s="46"/>
      <c r="D4" s="5"/>
      <c r="E4" s="2"/>
      <c r="F4" s="2"/>
    </row>
    <row r="5" spans="1:10" ht="12.4">
      <c r="B5" s="4" t="s">
        <v>316</v>
      </c>
      <c r="C5" s="294" t="s">
        <v>457</v>
      </c>
    </row>
    <row r="6" spans="1:10">
      <c r="B6" s="4" t="s">
        <v>0</v>
      </c>
      <c r="C6" s="51">
        <v>506347879</v>
      </c>
      <c r="E6" s="48"/>
    </row>
    <row r="7" spans="1:10">
      <c r="B7" s="2" t="s">
        <v>308</v>
      </c>
      <c r="C7" s="250">
        <v>6</v>
      </c>
      <c r="D7" s="48"/>
      <c r="E7" s="48"/>
    </row>
    <row r="8" spans="1:10">
      <c r="B8" s="1" t="s">
        <v>269</v>
      </c>
      <c r="C8" s="33">
        <f>EOMONTH(EDATE(BS!C1,C7+2),0)</f>
        <v>45900</v>
      </c>
      <c r="E8" s="48"/>
    </row>
    <row r="9" spans="1:10">
      <c r="E9" s="34"/>
    </row>
    <row r="10" spans="1:10">
      <c r="B10" s="45" t="s">
        <v>419</v>
      </c>
      <c r="C10" s="46"/>
      <c r="E10" s="34"/>
    </row>
    <row r="11" spans="1:10">
      <c r="B11" s="1" t="s">
        <v>418</v>
      </c>
      <c r="C11" s="49" t="s">
        <v>458</v>
      </c>
      <c r="D11" s="49" t="s">
        <v>459</v>
      </c>
      <c r="E11" s="34"/>
    </row>
    <row r="12" spans="1:10">
      <c r="B12" s="4" t="s">
        <v>95</v>
      </c>
      <c r="C12" s="50">
        <v>45.93</v>
      </c>
      <c r="D12" s="50"/>
      <c r="E12" s="48"/>
    </row>
    <row r="13" spans="1:10">
      <c r="B13" s="1" t="s">
        <v>417</v>
      </c>
      <c r="C13" s="48" t="s">
        <v>415</v>
      </c>
      <c r="D13" s="48"/>
      <c r="E13" s="5"/>
    </row>
    <row r="14" spans="1:10">
      <c r="B14" s="4" t="s">
        <v>421</v>
      </c>
      <c r="C14" s="35">
        <f>Thesis!C12*Common_Shares/1000000</f>
        <v>23256.558082470001</v>
      </c>
      <c r="D14" s="35" t="str">
        <f>IF(D11="","",Thesis!D12*Common_Shares/1000000)</f>
        <v/>
      </c>
      <c r="E14" s="5"/>
    </row>
    <row r="15" spans="1:10">
      <c r="B15" s="4" t="s">
        <v>420</v>
      </c>
      <c r="C15" s="32" t="str">
        <f>IF(C25=C13,C13,C25&amp;"/"&amp;C13)</f>
        <v>CNY</v>
      </c>
      <c r="D15" s="32" t="str">
        <f>IF(D11="","",IF(C25=D13,D13,C25&amp;"/"&amp;D13))</f>
        <v/>
      </c>
      <c r="E15" s="5"/>
    </row>
    <row r="16" spans="1:10">
      <c r="B16" s="4" t="s">
        <v>1</v>
      </c>
      <c r="C16" s="50">
        <v>1</v>
      </c>
      <c r="D16" s="50"/>
      <c r="E16" s="5"/>
    </row>
    <row r="17" spans="2:6">
      <c r="D17" s="5"/>
      <c r="E17" s="5"/>
    </row>
    <row r="18" spans="2:6" ht="24.5" customHeight="1">
      <c r="B18" s="357" t="s">
        <v>360</v>
      </c>
      <c r="C18" s="357"/>
      <c r="D18" s="357"/>
      <c r="E18" s="357"/>
      <c r="F18" s="357"/>
    </row>
    <row r="20" spans="2:6">
      <c r="B20" s="45" t="s">
        <v>307</v>
      </c>
      <c r="C20" s="46"/>
      <c r="D20" s="5"/>
    </row>
    <row r="21" spans="2:6">
      <c r="B21" s="2" t="s">
        <v>349</v>
      </c>
      <c r="C21" s="32" t="str">
        <f>IF(Scenarios!C69="Y",Scenarios!B69,"")&amp;IF(Scenarios!C70="Y",Scenarios!B70,"")&amp;IF(Scenarios!C71="Y",Scenarios!B71,"")&amp;" "&amp;IF(Scenarios!C72="Y",Scenarios!B72,"")</f>
        <v xml:space="preserve">Low Growth </v>
      </c>
      <c r="D21" s="1" t="s">
        <v>440</v>
      </c>
      <c r="E21" s="308" t="s">
        <v>462</v>
      </c>
    </row>
    <row r="22" spans="2:6">
      <c r="B22" s="2" t="s">
        <v>56</v>
      </c>
      <c r="C22" s="48" t="s">
        <v>460</v>
      </c>
      <c r="D22" s="1" t="str">
        <f>IF(valuation_method="DDM","DDM Terminal Value","")</f>
        <v/>
      </c>
      <c r="E22" s="313"/>
    </row>
    <row r="23" spans="2:6">
      <c r="B23" s="1" t="s">
        <v>435</v>
      </c>
      <c r="C23" s="262" t="s">
        <v>461</v>
      </c>
    </row>
    <row r="24" spans="2:6">
      <c r="B24" s="1" t="s">
        <v>436</v>
      </c>
      <c r="C24" s="262" t="s">
        <v>461</v>
      </c>
    </row>
    <row r="25" spans="2:6">
      <c r="B25" s="4" t="s">
        <v>348</v>
      </c>
      <c r="C25" s="48" t="s">
        <v>415</v>
      </c>
      <c r="D25" s="32" t="str">
        <f>IF(D11="","",Market_currency&amp;"/"&amp;D13&amp;":")</f>
        <v/>
      </c>
      <c r="E25" s="299" t="str">
        <f>IF(D11="","",1/Exchange_Rate*D16)</f>
        <v/>
      </c>
    </row>
    <row r="26" spans="2:6">
      <c r="B26" s="1" t="str">
        <f>"Expected Equity Value ("&amp;C13&amp;") :"</f>
        <v>Expected Equity Value (CNY) :</v>
      </c>
      <c r="C26" s="304">
        <f>C132</f>
        <v>64.714648137522119</v>
      </c>
      <c r="D26" s="1" t="s">
        <v>400</v>
      </c>
      <c r="E26" s="301">
        <f ca="1">Scenarios!C87</f>
        <v>0.14060796047169277</v>
      </c>
    </row>
    <row r="27" spans="2:6">
      <c r="D27" s="5"/>
      <c r="E27" s="5"/>
    </row>
    <row r="28" spans="2:6">
      <c r="B28" s="45" t="s">
        <v>434</v>
      </c>
      <c r="C28" s="309" t="str">
        <f>C145&amp;" ("&amp;Market_currency&amp;")"</f>
        <v>603338.SS (CNY)</v>
      </c>
      <c r="D28" s="309" t="str">
        <f>IF(D11="","",D145&amp;" ("&amp;D13&amp;")")</f>
        <v/>
      </c>
      <c r="E28" s="305" t="s">
        <v>430</v>
      </c>
      <c r="F28" s="303">
        <v>3</v>
      </c>
    </row>
    <row r="29" spans="2:6">
      <c r="B29" s="1" t="s">
        <v>426</v>
      </c>
      <c r="C29" s="310">
        <f>C149</f>
        <v>28.803263731047231</v>
      </c>
      <c r="D29" s="310" t="str">
        <f>D149</f>
        <v/>
      </c>
      <c r="E29" s="306" t="s">
        <v>425</v>
      </c>
      <c r="F29" s="302">
        <v>0.33700000000000002</v>
      </c>
    </row>
    <row r="30" spans="2:6">
      <c r="B30" s="1" t="s">
        <v>427</v>
      </c>
      <c r="C30" s="311">
        <f>C157</f>
        <v>40.844732114544499</v>
      </c>
      <c r="D30" s="311" t="str">
        <f>D157</f>
        <v/>
      </c>
      <c r="E30" s="307" t="s">
        <v>438</v>
      </c>
      <c r="F30" s="312">
        <v>0.187</v>
      </c>
    </row>
    <row r="31" spans="2:6">
      <c r="B31" s="1" t="s">
        <v>428</v>
      </c>
      <c r="C31" s="311">
        <f>C165</f>
        <v>57.008678420375631</v>
      </c>
      <c r="D31" s="311" t="str">
        <f>D165</f>
        <v/>
      </c>
      <c r="E31" s="307" t="s">
        <v>437</v>
      </c>
      <c r="F31" s="312">
        <v>0.06</v>
      </c>
    </row>
    <row r="32" spans="2:6">
      <c r="B32" s="1" t="s">
        <v>429</v>
      </c>
      <c r="C32" s="311">
        <f>C173</f>
        <v>52.931363368704652</v>
      </c>
      <c r="D32" s="311" t="str">
        <f>D173</f>
        <v/>
      </c>
      <c r="E32" s="307" t="s">
        <v>439</v>
      </c>
      <c r="F32" s="312">
        <v>8.6999999999999994E-2</v>
      </c>
    </row>
    <row r="33" spans="1:6">
      <c r="D33" s="5"/>
      <c r="E33" s="5"/>
    </row>
    <row r="34" spans="1:6" ht="13.9">
      <c r="A34" s="222" t="s">
        <v>355</v>
      </c>
      <c r="B34" s="36"/>
      <c r="C34" s="36"/>
      <c r="D34" s="36"/>
      <c r="E34" s="36"/>
      <c r="F34" s="36"/>
    </row>
    <row r="36" spans="1:6" ht="24.5" customHeight="1">
      <c r="B36" s="357" t="s">
        <v>361</v>
      </c>
      <c r="C36" s="357"/>
      <c r="D36" s="357"/>
      <c r="E36" s="357"/>
      <c r="F36" s="357"/>
    </row>
    <row r="37" spans="1:6" ht="24.5" customHeight="1">
      <c r="B37" s="359" t="s">
        <v>340</v>
      </c>
      <c r="C37" s="359"/>
      <c r="D37" s="359"/>
      <c r="E37" s="359"/>
      <c r="F37" s="359"/>
    </row>
    <row r="39" spans="1:6">
      <c r="B39" s="210" t="s">
        <v>231</v>
      </c>
      <c r="C39" s="108">
        <f>scaling_factor</f>
        <v>1</v>
      </c>
    </row>
    <row r="40" spans="1:6" ht="24.5" customHeight="1">
      <c r="B40" s="358" t="s">
        <v>232</v>
      </c>
      <c r="C40" s="358"/>
      <c r="D40" s="358"/>
      <c r="E40" s="358"/>
      <c r="F40" s="358"/>
    </row>
    <row r="41" spans="1:6">
      <c r="B41" s="47" t="s">
        <v>233</v>
      </c>
      <c r="C41" s="355">
        <f>Normalized_FCF!C8</f>
        <v>1462055536.8163233</v>
      </c>
      <c r="D41" s="1" t="str">
        <f>Reporting_currency</f>
        <v>CNY</v>
      </c>
    </row>
    <row r="42" spans="1:6">
      <c r="B42" s="47"/>
      <c r="C42" s="76"/>
    </row>
    <row r="43" spans="1:6" ht="24.5" customHeight="1">
      <c r="B43" s="358" t="s">
        <v>234</v>
      </c>
      <c r="C43" s="358"/>
      <c r="D43" s="358"/>
      <c r="E43" s="358"/>
      <c r="F43" s="358"/>
    </row>
    <row r="44" spans="1:6">
      <c r="B44" s="47" t="s">
        <v>235</v>
      </c>
      <c r="C44" s="355">
        <f>Normalized_FCF!C9</f>
        <v>213032611</v>
      </c>
      <c r="D44" s="1" t="str">
        <f>Reporting_currency</f>
        <v>CNY</v>
      </c>
    </row>
    <row r="45" spans="1:6">
      <c r="B45" s="52" t="s">
        <v>236</v>
      </c>
      <c r="C45" s="355">
        <f>Normalized_FCF!C10</f>
        <v>-213032611.00000003</v>
      </c>
      <c r="D45" s="1" t="str">
        <f>Reporting_currency</f>
        <v>CNY</v>
      </c>
    </row>
    <row r="47" spans="1:6">
      <c r="B47" s="358" t="s">
        <v>237</v>
      </c>
      <c r="C47" s="358"/>
      <c r="D47" s="358"/>
      <c r="E47" s="358"/>
      <c r="F47" s="358"/>
    </row>
    <row r="48" spans="1:6">
      <c r="B48" s="47" t="s">
        <v>238</v>
      </c>
      <c r="C48" s="355">
        <f>Normalized_FCF!C11</f>
        <v>0</v>
      </c>
      <c r="D48" s="1" t="str">
        <f>Reporting_currency</f>
        <v>CNY</v>
      </c>
    </row>
    <row r="50" spans="2:6">
      <c r="B50" s="358" t="s">
        <v>241</v>
      </c>
      <c r="C50" s="358"/>
      <c r="D50" s="358"/>
      <c r="E50" s="358"/>
      <c r="F50" s="358"/>
    </row>
    <row r="51" spans="2:6">
      <c r="B51" s="47" t="s">
        <v>341</v>
      </c>
      <c r="C51" s="356">
        <f>Normalized_FCF!C48</f>
        <v>9271615.2714172397</v>
      </c>
      <c r="D51" s="1" t="str">
        <f>Reporting_currency</f>
        <v>CNY</v>
      </c>
      <c r="E51" s="286"/>
      <c r="F51" s="286"/>
    </row>
    <row r="52" spans="2:6">
      <c r="B52" s="47" t="s">
        <v>342</v>
      </c>
      <c r="C52" s="356">
        <f>Normalized_FCF!C47</f>
        <v>-10773913</v>
      </c>
      <c r="D52" s="1" t="str">
        <f>Reporting_currency</f>
        <v>CNY</v>
      </c>
      <c r="E52" s="286"/>
      <c r="F52" s="286"/>
    </row>
    <row r="53" spans="2:6">
      <c r="B53" s="47" t="s">
        <v>239</v>
      </c>
      <c r="C53" s="355">
        <f>Normalized_FCF!C12</f>
        <v>-1502297.7285827603</v>
      </c>
      <c r="D53" s="1" t="str">
        <f>Reporting_currency</f>
        <v>CNY</v>
      </c>
    </row>
    <row r="55" spans="2:6">
      <c r="B55" s="1" t="s">
        <v>247</v>
      </c>
    </row>
    <row r="56" spans="2:6">
      <c r="B56" s="47" t="s">
        <v>266</v>
      </c>
      <c r="C56" s="355">
        <f>Normalized_FCF!C15</f>
        <v>-194943.10109087895</v>
      </c>
      <c r="D56" s="1" t="str">
        <f>Reporting_currency</f>
        <v>CNY</v>
      </c>
    </row>
    <row r="58" spans="2:6">
      <c r="B58" s="358" t="s">
        <v>242</v>
      </c>
      <c r="C58" s="358"/>
      <c r="D58" s="358"/>
      <c r="E58" s="358"/>
      <c r="F58" s="358"/>
    </row>
    <row r="59" spans="2:6">
      <c r="B59" s="47" t="s">
        <v>240</v>
      </c>
      <c r="C59" s="355">
        <f>Normalized_FCF!C14</f>
        <v>-365138309.77193511</v>
      </c>
      <c r="D59" s="1" t="str">
        <f>Reporting_currency</f>
        <v>CNY</v>
      </c>
    </row>
    <row r="61" spans="2:6">
      <c r="B61" s="358" t="s">
        <v>339</v>
      </c>
      <c r="C61" s="361"/>
      <c r="D61" s="361"/>
      <c r="E61" s="361"/>
      <c r="F61" s="361"/>
    </row>
    <row r="62" spans="2:6">
      <c r="B62" s="47" t="s">
        <v>243</v>
      </c>
      <c r="C62" s="355">
        <f>Normalized_FCF!C17</f>
        <v>0</v>
      </c>
      <c r="D62" s="1" t="str">
        <f>Reporting_currency</f>
        <v>CNY</v>
      </c>
    </row>
    <row r="64" spans="2:6" ht="24.5" customHeight="1">
      <c r="B64" s="357" t="s">
        <v>344</v>
      </c>
      <c r="C64" s="357"/>
      <c r="D64" s="357"/>
      <c r="E64" s="357"/>
      <c r="F64" s="357"/>
    </row>
    <row r="65" spans="1:6" ht="24.5" customHeight="1">
      <c r="B65" s="357" t="s">
        <v>362</v>
      </c>
      <c r="C65" s="357"/>
      <c r="D65" s="357"/>
      <c r="E65" s="357"/>
      <c r="F65" s="357"/>
    </row>
    <row r="67" spans="1:6">
      <c r="B67" s="47" t="s">
        <v>271</v>
      </c>
      <c r="C67" s="355">
        <f>Normalized_FCF!G19</f>
        <v>1588040749.2687776</v>
      </c>
      <c r="D67" s="1" t="str">
        <f>Reporting_currency</f>
        <v>CNY</v>
      </c>
    </row>
    <row r="68" spans="1:6">
      <c r="B68" s="47" t="s">
        <v>249</v>
      </c>
      <c r="C68" s="355">
        <f>Normalized_FCF!C19</f>
        <v>1095219986.2147145</v>
      </c>
      <c r="D68" s="1" t="str">
        <f>Reporting_currency</f>
        <v>CNY</v>
      </c>
    </row>
    <row r="69" spans="1:6">
      <c r="B69" s="227" t="s">
        <v>391</v>
      </c>
      <c r="C69" s="92">
        <f>Normalized_FCF!C125</f>
        <v>4.7092952548307393E-2</v>
      </c>
      <c r="F69" s="314"/>
    </row>
    <row r="70" spans="1:6">
      <c r="B70" s="227" t="s">
        <v>309</v>
      </c>
      <c r="C70" s="92">
        <f>Normalized_FCF!C93</f>
        <v>2.1772262138036142E-2</v>
      </c>
      <c r="E70" s="47" t="s">
        <v>449</v>
      </c>
      <c r="F70" s="315">
        <f>Normalized_FCF!C92</f>
        <v>0.46232527288881309</v>
      </c>
    </row>
    <row r="72" spans="1:6">
      <c r="B72" s="210" t="s">
        <v>451</v>
      </c>
      <c r="C72" s="329" t="s">
        <v>453</v>
      </c>
      <c r="D72" s="329" t="s">
        <v>454</v>
      </c>
    </row>
    <row r="73" spans="1:6">
      <c r="B73" s="47" t="s">
        <v>452</v>
      </c>
      <c r="C73" s="92">
        <f>Normalized_FCF!C120</f>
        <v>0.14549955248916155</v>
      </c>
      <c r="D73" s="92">
        <f>Normalized_FCF!G120</f>
        <v>0.18902580584937359</v>
      </c>
    </row>
    <row r="74" spans="1:6">
      <c r="B74" s="259" t="str">
        <f>Normalized_FCF!B117</f>
        <v>Pre-tax Profit/Sales</v>
      </c>
      <c r="C74" s="328">
        <f>Normalized_FCF!C117</f>
        <v>0.22405670341828193</v>
      </c>
      <c r="D74" s="328">
        <f>Normalized_FCF!G117</f>
        <v>0.24330033263324671</v>
      </c>
    </row>
    <row r="75" spans="1:6">
      <c r="B75" s="259" t="str">
        <f>Normalized_FCF!B118</f>
        <v>Sales/Total Assets</v>
      </c>
      <c r="C75" s="330">
        <f>Normalized_FCF!C118</f>
        <v>0.42456310191863128</v>
      </c>
      <c r="D75" s="330">
        <f>Normalized_FCF!G118</f>
        <v>0.50794527810050039</v>
      </c>
    </row>
    <row r="76" spans="1:6">
      <c r="B76" s="259" t="str">
        <f>Normalized_FCF!B119</f>
        <v>Total Assets/Equity</v>
      </c>
      <c r="C76" s="330">
        <f>Normalized_FCF!C119</f>
        <v>1.5295422156001708</v>
      </c>
      <c r="D76" s="330">
        <f>Normalized_FCF!G119</f>
        <v>1.5295422156001706</v>
      </c>
    </row>
    <row r="78" spans="1:6" ht="13.9">
      <c r="A78" s="222" t="s">
        <v>356</v>
      </c>
      <c r="B78" s="36"/>
      <c r="C78" s="36"/>
      <c r="D78" s="36"/>
      <c r="E78" s="36"/>
      <c r="F78" s="36"/>
    </row>
    <row r="79" spans="1:6">
      <c r="A79" s="209"/>
    </row>
    <row r="80" spans="1:6" ht="24.5" customHeight="1">
      <c r="A80" s="17"/>
      <c r="B80" s="357" t="s">
        <v>363</v>
      </c>
      <c r="C80" s="357"/>
      <c r="D80" s="357"/>
      <c r="E80" s="357"/>
      <c r="F80" s="357"/>
    </row>
    <row r="81" spans="1:6">
      <c r="B81" s="359" t="s">
        <v>253</v>
      </c>
      <c r="C81" s="359"/>
      <c r="D81" s="359"/>
      <c r="E81" s="359"/>
      <c r="F81" s="359"/>
    </row>
    <row r="83" spans="1:6">
      <c r="B83" s="210" t="s">
        <v>231</v>
      </c>
    </row>
    <row r="84" spans="1:6">
      <c r="B84" s="1" t="s">
        <v>432</v>
      </c>
      <c r="C84" s="92">
        <f>F31</f>
        <v>0.06</v>
      </c>
    </row>
    <row r="85" spans="1:6">
      <c r="B85" s="1" t="s">
        <v>431</v>
      </c>
      <c r="C85" s="92">
        <f>IF(C23="Y",1%,0)+IF(C24="Y",1%,0)</f>
        <v>0</v>
      </c>
    </row>
    <row r="86" spans="1:6">
      <c r="B86" s="80" t="s">
        <v>248</v>
      </c>
      <c r="C86" s="236">
        <f>F31+C85</f>
        <v>0.06</v>
      </c>
    </row>
    <row r="87" spans="1:6">
      <c r="C87" s="121"/>
    </row>
    <row r="88" spans="1:6">
      <c r="B88" s="293" t="s">
        <v>357</v>
      </c>
      <c r="C88" s="121"/>
    </row>
    <row r="89" spans="1:6" ht="24.5" customHeight="1">
      <c r="B89" s="357" t="s">
        <v>364</v>
      </c>
      <c r="C89" s="357"/>
      <c r="D89" s="357"/>
      <c r="E89" s="357"/>
      <c r="F89" s="357"/>
    </row>
    <row r="90" spans="1:6" ht="24.5" customHeight="1">
      <c r="B90" s="357" t="s">
        <v>365</v>
      </c>
      <c r="C90" s="357"/>
      <c r="D90" s="357"/>
      <c r="E90" s="357"/>
      <c r="F90" s="357"/>
    </row>
    <row r="92" spans="1:6">
      <c r="B92" s="47" t="s">
        <v>252</v>
      </c>
      <c r="C92" s="236">
        <v>0</v>
      </c>
    </row>
    <row r="93" spans="1:6">
      <c r="B93" s="47" t="s">
        <v>281</v>
      </c>
      <c r="C93" s="223">
        <f>DCF!C6*scaling_factor*Exchange_Rate/Common_Shares</f>
        <v>36.049655175729313</v>
      </c>
      <c r="D93" s="1" t="str">
        <f>Market_currency</f>
        <v>CNY</v>
      </c>
    </row>
    <row r="95" spans="1:6" ht="13.9">
      <c r="A95" s="222" t="s">
        <v>358</v>
      </c>
      <c r="B95" s="36"/>
      <c r="C95" s="36"/>
      <c r="D95" s="36"/>
      <c r="E95" s="36"/>
      <c r="F95" s="36"/>
    </row>
    <row r="96" spans="1:6">
      <c r="A96" s="209"/>
    </row>
    <row r="97" spans="2:6">
      <c r="B97" s="357" t="s">
        <v>366</v>
      </c>
      <c r="C97" s="357"/>
      <c r="D97" s="357"/>
      <c r="E97" s="357"/>
      <c r="F97" s="357"/>
    </row>
    <row r="98" spans="2:6">
      <c r="B98" s="1" t="s">
        <v>254</v>
      </c>
    </row>
    <row r="100" spans="2:6">
      <c r="B100" s="210" t="s">
        <v>231</v>
      </c>
    </row>
    <row r="101" spans="2:6" ht="24.5" customHeight="1">
      <c r="B101" s="357" t="s">
        <v>345</v>
      </c>
      <c r="C101" s="357"/>
      <c r="D101" s="357"/>
      <c r="E101" s="357"/>
      <c r="F101" s="357"/>
    </row>
    <row r="102" spans="2:6">
      <c r="B102" s="47" t="s">
        <v>256</v>
      </c>
      <c r="C102" s="355">
        <f>DCF!C7</f>
        <v>533481194.11000001</v>
      </c>
      <c r="D102" s="1" t="str">
        <f>Reporting_currency</f>
        <v>CNY</v>
      </c>
    </row>
    <row r="103" spans="2:6">
      <c r="B103" s="47" t="s">
        <v>282</v>
      </c>
      <c r="C103" s="223">
        <f>C102*scaling_factor*Exchange_Rate/Common_Shares</f>
        <v>1.0535863113786244</v>
      </c>
      <c r="D103" s="1" t="str">
        <f>Market_currency</f>
        <v>CNY</v>
      </c>
    </row>
    <row r="104" spans="2:6">
      <c r="B104" s="296" t="s">
        <v>405</v>
      </c>
      <c r="C104" s="331">
        <f>IF(BS!G31/BS!G27&gt;300%,"nm",BS!G31/BS!G27)</f>
        <v>5.3145118525683231E-2</v>
      </c>
    </row>
    <row r="105" spans="2:6">
      <c r="B105" s="296" t="s">
        <v>407</v>
      </c>
      <c r="C105" s="332">
        <f>IF(BS!C50&gt;30,"nm",BS!C50)</f>
        <v>0.36488435676778314</v>
      </c>
    </row>
    <row r="107" spans="2:6">
      <c r="B107" s="1" t="s">
        <v>255</v>
      </c>
    </row>
    <row r="108" spans="2:6">
      <c r="B108" s="47" t="s">
        <v>265</v>
      </c>
      <c r="C108" s="355">
        <f>BS!C66</f>
        <v>5078017354.46</v>
      </c>
      <c r="D108" s="1" t="str">
        <f>Reporting_currency</f>
        <v>CNY</v>
      </c>
    </row>
    <row r="109" spans="2:6">
      <c r="B109" s="47" t="s">
        <v>267</v>
      </c>
      <c r="C109" s="355">
        <f>DCF!C8</f>
        <v>4150855827.3182759</v>
      </c>
      <c r="D109" s="1" t="str">
        <f>Reporting_currency</f>
        <v>CNY</v>
      </c>
    </row>
    <row r="110" spans="2:6">
      <c r="B110" s="47" t="s">
        <v>283</v>
      </c>
      <c r="C110" s="223">
        <f>C109*scaling_factor*Exchange_Rate/Common_Shares</f>
        <v>8.1976364461443243</v>
      </c>
      <c r="D110" s="1" t="str">
        <f>Market_currency</f>
        <v>CNY</v>
      </c>
    </row>
    <row r="112" spans="2:6">
      <c r="B112" s="1" t="s">
        <v>257</v>
      </c>
    </row>
    <row r="113" spans="1:6">
      <c r="B113" s="47" t="s">
        <v>258</v>
      </c>
      <c r="C113" s="355">
        <f>DCF!C9</f>
        <v>125240754.68399999</v>
      </c>
      <c r="D113" s="1" t="str">
        <f>Reporting_currency</f>
        <v>CNY</v>
      </c>
    </row>
    <row r="114" spans="1:6">
      <c r="B114" s="47" t="s">
        <v>284</v>
      </c>
      <c r="C114" s="223">
        <f>C113*scaling_factor*Exchange_Rate/Common_Shares</f>
        <v>0.2473413237779159</v>
      </c>
      <c r="D114" s="1" t="str">
        <f>Market_currency</f>
        <v>CNY</v>
      </c>
    </row>
    <row r="116" spans="1:6" ht="24.5" customHeight="1">
      <c r="B116" s="357" t="s">
        <v>367</v>
      </c>
      <c r="C116" s="357"/>
      <c r="D116" s="357"/>
      <c r="E116" s="357"/>
      <c r="F116" s="357"/>
    </row>
    <row r="118" spans="1:6">
      <c r="B118" s="47" t="s">
        <v>450</v>
      </c>
      <c r="C118" s="223">
        <f>IF(valuation_method="DCF",DCF!C12,DDM!C7)</f>
        <v>43.441046634272922</v>
      </c>
      <c r="D118" s="1" t="str">
        <f>Market_currency</f>
        <v>CNY</v>
      </c>
    </row>
    <row r="119" spans="1:6">
      <c r="B119" s="296" t="s">
        <v>406</v>
      </c>
      <c r="C119" s="223">
        <f>BS!D47</f>
        <v>5.6082458208015922</v>
      </c>
      <c r="D119" s="1" t="str">
        <f>Market_currency</f>
        <v>CNY</v>
      </c>
    </row>
    <row r="121" spans="1:6" ht="13.9">
      <c r="A121" s="222" t="s">
        <v>359</v>
      </c>
      <c r="B121" s="36"/>
      <c r="C121" s="36"/>
      <c r="D121" s="36"/>
      <c r="E121" s="36"/>
      <c r="F121" s="36"/>
    </row>
    <row r="123" spans="1:6" ht="24.5" customHeight="1">
      <c r="B123" s="358" t="s">
        <v>368</v>
      </c>
      <c r="C123" s="358"/>
      <c r="D123" s="358"/>
      <c r="E123" s="358"/>
      <c r="F123" s="358"/>
    </row>
    <row r="125" spans="1:6" ht="12.4">
      <c r="B125" s="233" t="s">
        <v>118</v>
      </c>
      <c r="C125" s="233" t="s">
        <v>133</v>
      </c>
      <c r="D125" s="233" t="s">
        <v>113</v>
      </c>
      <c r="E125" s="233" t="s">
        <v>260</v>
      </c>
      <c r="F125" s="233" t="s">
        <v>148</v>
      </c>
    </row>
    <row r="126" spans="1:6">
      <c r="B126" s="228" t="str">
        <f>DCF!B74</f>
        <v>Snowball Scenario</v>
      </c>
      <c r="C126" s="229">
        <f>DCF!C74</f>
        <v>0.08</v>
      </c>
      <c r="D126" s="230">
        <f>DCF!D74</f>
        <v>30</v>
      </c>
      <c r="E126" s="231" t="str">
        <f>ROUND(IF(valuation_method="DCF",DCF!E74,DDM!E69),2)&amp;" "&amp;Market_currency</f>
        <v>102.01 CNY</v>
      </c>
      <c r="F126" s="232">
        <f>DCF!F74</f>
        <v>0.05</v>
      </c>
    </row>
    <row r="127" spans="1:6">
      <c r="B127" s="218" t="str">
        <f>DCF!B75</f>
        <v>Optimistic</v>
      </c>
      <c r="C127" s="219">
        <f>DCF!C75</f>
        <v>0.06</v>
      </c>
      <c r="D127" s="220">
        <f>DCF!D75</f>
        <v>30</v>
      </c>
      <c r="E127" s="231" t="str">
        <f>ROUND(IF(valuation_method="DCF",DCF!E75,DDM!E70),2)&amp;" "&amp;Market_currency</f>
        <v>78.93 CNY</v>
      </c>
      <c r="F127" s="221">
        <f>DCF!F75</f>
        <v>0.18</v>
      </c>
    </row>
    <row r="128" spans="1:6">
      <c r="B128" s="218" t="str">
        <f>DCF!B76</f>
        <v>Base</v>
      </c>
      <c r="C128" s="219">
        <f>DCF!C76</f>
        <v>0.04</v>
      </c>
      <c r="D128" s="220">
        <f>DCF!D76</f>
        <v>30</v>
      </c>
      <c r="E128" s="231" t="str">
        <f>ROUND(IF(valuation_method="DCF",DCF!E76,DDM!E71),2)&amp;" "&amp;Market_currency</f>
        <v>62.88 CNY</v>
      </c>
      <c r="F128" s="221">
        <f>DCF!F76</f>
        <v>0.53999999999999992</v>
      </c>
    </row>
    <row r="129" spans="1:6">
      <c r="B129" s="218" t="str">
        <f>DCF!B77</f>
        <v>Pessimistic</v>
      </c>
      <c r="C129" s="219">
        <f>DCF!C77</f>
        <v>0.02</v>
      </c>
      <c r="D129" s="220">
        <f>DCF!D77</f>
        <v>30</v>
      </c>
      <c r="E129" s="231" t="str">
        <f>ROUND(IF(valuation_method="DCF",DCF!E77,DDM!E72),2)&amp;" "&amp;Market_currency</f>
        <v>51.55 CNY</v>
      </c>
      <c r="F129" s="221">
        <f>DCF!F77</f>
        <v>0.18</v>
      </c>
    </row>
    <row r="130" spans="1:6">
      <c r="B130" s="218" t="str">
        <f>DCF!B78</f>
        <v>Devil's advocate</v>
      </c>
      <c r="C130" s="219">
        <f>DCF!C78</f>
        <v>0</v>
      </c>
      <c r="D130" s="220">
        <f>DCF!D78</f>
        <v>30</v>
      </c>
      <c r="E130" s="231" t="str">
        <f>ROUND(IF(valuation_method="DCF",DCF!E78,DDM!E73),2)&amp;" "&amp;Market_currency</f>
        <v>43.44 CNY</v>
      </c>
      <c r="F130" s="221">
        <f>DCF!F78</f>
        <v>0.05</v>
      </c>
    </row>
    <row r="132" spans="1:6">
      <c r="B132" s="211" t="s">
        <v>259</v>
      </c>
      <c r="C132" s="217">
        <f>Scenarios!C60</f>
        <v>64.714648137522119</v>
      </c>
      <c r="D132" s="212" t="str">
        <f>Market_currency</f>
        <v>CNY</v>
      </c>
    </row>
    <row r="134" spans="1:6" ht="24.5" customHeight="1">
      <c r="B134" s="362" t="s">
        <v>371</v>
      </c>
      <c r="C134" s="362"/>
      <c r="D134" s="362"/>
      <c r="E134" s="362"/>
      <c r="F134" s="362"/>
    </row>
    <row r="136" spans="1:6" ht="13.9">
      <c r="A136" s="222" t="s">
        <v>403</v>
      </c>
      <c r="B136" s="36"/>
      <c r="C136" s="36"/>
      <c r="D136" s="36"/>
      <c r="E136" s="36"/>
      <c r="F136" s="36"/>
    </row>
    <row r="138" spans="1:6">
      <c r="B138" s="360" t="s">
        <v>369</v>
      </c>
      <c r="C138" s="360"/>
      <c r="D138" s="360"/>
      <c r="E138" s="360"/>
      <c r="F138" s="360"/>
    </row>
    <row r="139" spans="1:6" ht="24.5" customHeight="1">
      <c r="B139" s="357" t="s">
        <v>370</v>
      </c>
      <c r="C139" s="357"/>
      <c r="D139" s="357"/>
      <c r="E139" s="357"/>
      <c r="F139" s="357"/>
    </row>
    <row r="140" spans="1:6">
      <c r="B140" s="210" t="s">
        <v>231</v>
      </c>
    </row>
    <row r="141" spans="1:6">
      <c r="B141" s="1" t="s">
        <v>264</v>
      </c>
      <c r="C141" s="225">
        <f>F28</f>
        <v>3</v>
      </c>
    </row>
    <row r="142" spans="1:6">
      <c r="B142" s="1" t="s">
        <v>277</v>
      </c>
      <c r="C142" s="224">
        <f>F29</f>
        <v>0.33700000000000002</v>
      </c>
    </row>
    <row r="143" spans="1:6">
      <c r="B143" s="212" t="s">
        <v>262</v>
      </c>
      <c r="C143" s="213">
        <f>Scenarios!C77</f>
        <v>1</v>
      </c>
      <c r="D143" s="212" t="str">
        <f>Market_currency</f>
        <v>CNY</v>
      </c>
    </row>
    <row r="145" spans="2:4">
      <c r="B145" s="210" t="s">
        <v>409</v>
      </c>
      <c r="C145" s="241" t="str">
        <f>C11</f>
        <v>603338.SS</v>
      </c>
      <c r="D145" s="241" t="str">
        <f>IF(D11="","",D11)</f>
        <v/>
      </c>
    </row>
    <row r="146" spans="2:4">
      <c r="B146" s="1" t="s">
        <v>408</v>
      </c>
      <c r="C146" s="297">
        <f>F29</f>
        <v>0.33700000000000002</v>
      </c>
    </row>
    <row r="147" spans="2:4">
      <c r="B147" s="212" t="str">
        <f>"PV("&amp;C141&amp;" yrs of Dividends)"</f>
        <v>PV(3 yrs of Dividends)</v>
      </c>
      <c r="C147" s="216">
        <f>Scenarios!C81</f>
        <v>1.7257757078580571</v>
      </c>
    </row>
    <row r="148" spans="2:4">
      <c r="B148" s="212" t="str">
        <f>"+ PV(Equity Value realized at year "&amp;C141&amp;")"</f>
        <v>+ PV(Equity Value realized at year 3)</v>
      </c>
      <c r="C148" s="216">
        <f>Scenarios!C82</f>
        <v>27.077488023189172</v>
      </c>
    </row>
    <row r="149" spans="2:4">
      <c r="B149" s="80" t="s">
        <v>261</v>
      </c>
      <c r="C149" s="215">
        <f>Scenarios!C83</f>
        <v>28.803263731047231</v>
      </c>
      <c r="D149" s="300" t="str">
        <f>IF($D$11="","",C149*$E$25)</f>
        <v/>
      </c>
    </row>
    <row r="150" spans="2:4">
      <c r="B150" s="259" t="s">
        <v>417</v>
      </c>
      <c r="C150" s="298" t="str">
        <f>Market_currency</f>
        <v>CNY</v>
      </c>
      <c r="D150" s="298" t="str">
        <f>IF($D$11="","",D$13)</f>
        <v/>
      </c>
    </row>
    <row r="151" spans="2:4">
      <c r="B151" s="214" t="s">
        <v>263</v>
      </c>
      <c r="C151" s="92">
        <f>Scenarios!F83</f>
        <v>0.55491894710083656</v>
      </c>
    </row>
    <row r="153" spans="2:4">
      <c r="B153" s="210" t="s">
        <v>412</v>
      </c>
    </row>
    <row r="154" spans="2:4">
      <c r="B154" s="1" t="s">
        <v>411</v>
      </c>
      <c r="C154" s="297">
        <f>Scenarios!C90</f>
        <v>0.187</v>
      </c>
    </row>
    <row r="155" spans="2:4">
      <c r="B155" s="212" t="str">
        <f>"PV("&amp;C141&amp;" yrs of Dividends)"</f>
        <v>PV(3 yrs of Dividends)</v>
      </c>
      <c r="C155" s="216">
        <f>Scenarios!C91</f>
        <v>2.1501253634045896</v>
      </c>
    </row>
    <row r="156" spans="2:4">
      <c r="B156" s="212" t="str">
        <f>"+ PV(Equity Value realized at year "&amp;C141&amp;")"</f>
        <v>+ PV(Equity Value realized at year 3)</v>
      </c>
      <c r="C156" s="216">
        <f>Scenarios!C92</f>
        <v>38.694606751139908</v>
      </c>
    </row>
    <row r="157" spans="2:4">
      <c r="B157" s="80" t="s">
        <v>261</v>
      </c>
      <c r="C157" s="215">
        <f>Scenarios!C93</f>
        <v>40.844732114544499</v>
      </c>
      <c r="D157" s="300" t="str">
        <f>IF($D$11="","",C157*$E$25)</f>
        <v/>
      </c>
    </row>
    <row r="158" spans="2:4">
      <c r="B158" s="259" t="s">
        <v>417</v>
      </c>
      <c r="C158" s="298" t="str">
        <f>Market_currency</f>
        <v>CNY</v>
      </c>
      <c r="D158" s="298" t="str">
        <f>IF($D$11="","",D$13)</f>
        <v/>
      </c>
    </row>
    <row r="159" spans="2:4">
      <c r="B159" s="214" t="s">
        <v>263</v>
      </c>
      <c r="C159" s="92">
        <f>Scenarios!F93</f>
        <v>0.36884873378671179</v>
      </c>
    </row>
    <row r="161" spans="2:4">
      <c r="B161" s="210" t="s">
        <v>401</v>
      </c>
    </row>
    <row r="162" spans="2:4">
      <c r="B162" s="1" t="s">
        <v>410</v>
      </c>
      <c r="C162" s="92">
        <f>Scenarios!C96</f>
        <v>0.06</v>
      </c>
    </row>
    <row r="163" spans="2:4">
      <c r="B163" s="212" t="str">
        <f>"PV("&amp;C141&amp;" yrs of Dividends)"</f>
        <v>PV(3 yrs of Dividends)</v>
      </c>
      <c r="C163" s="216">
        <f>Scenarios!C97</f>
        <v>2.6730119494616398</v>
      </c>
    </row>
    <row r="164" spans="2:4">
      <c r="B164" s="212" t="str">
        <f>"+ PV(Equity Value realized at year "&amp;C141&amp;")"</f>
        <v>+ PV(Equity Value realized at year 3)</v>
      </c>
      <c r="C164" s="216">
        <f>Scenarios!C98</f>
        <v>54.335666470913992</v>
      </c>
    </row>
    <row r="165" spans="2:4">
      <c r="B165" s="80" t="s">
        <v>402</v>
      </c>
      <c r="C165" s="215">
        <f>Scenarios!C99</f>
        <v>57.008678420375631</v>
      </c>
      <c r="D165" s="300" t="str">
        <f>IF($D$11="","",C165*$E$25)</f>
        <v/>
      </c>
    </row>
    <row r="166" spans="2:4">
      <c r="B166" s="259" t="s">
        <v>417</v>
      </c>
      <c r="C166" s="298" t="str">
        <f>Market_currency</f>
        <v>CNY</v>
      </c>
      <c r="D166" s="298" t="str">
        <f>IF($D$11="","",D$13)</f>
        <v/>
      </c>
    </row>
    <row r="167" spans="2:4">
      <c r="B167" s="214" t="s">
        <v>263</v>
      </c>
      <c r="C167" s="92">
        <f>Scenarios!F99</f>
        <v>0.11907612787712119</v>
      </c>
    </row>
    <row r="169" spans="2:4">
      <c r="B169" s="210" t="s">
        <v>433</v>
      </c>
    </row>
    <row r="170" spans="2:4">
      <c r="B170" s="1" t="s">
        <v>424</v>
      </c>
      <c r="C170" s="92">
        <f>F32</f>
        <v>8.6999999999999994E-2</v>
      </c>
    </row>
    <row r="171" spans="2:4">
      <c r="B171" s="212" t="str">
        <f>"PV("&amp;C141&amp;" yrs of Dividends)"</f>
        <v>PV(3 yrs of Dividends)</v>
      </c>
      <c r="C171" s="216">
        <f>Scenarios!C103</f>
        <v>2.5448900584493499</v>
      </c>
    </row>
    <row r="172" spans="2:4">
      <c r="B172" s="212" t="str">
        <f>"+ PV(Equity Value realized at year "&amp;C141&amp;")"</f>
        <v>+ PV(Equity Value realized at year 3)</v>
      </c>
      <c r="C172" s="216">
        <f>Scenarios!C104</f>
        <v>50.386473310255305</v>
      </c>
    </row>
    <row r="173" spans="2:4">
      <c r="B173" s="80" t="s">
        <v>402</v>
      </c>
      <c r="C173" s="215">
        <f>Scenarios!C105</f>
        <v>52.931363368704652</v>
      </c>
      <c r="D173" s="300" t="str">
        <f>IF($D$11="","",C173*$E$25)</f>
        <v/>
      </c>
    </row>
    <row r="174" spans="2:4">
      <c r="B174" s="259" t="s">
        <v>417</v>
      </c>
      <c r="C174" s="298" t="str">
        <f>Market_currency</f>
        <v>CNY</v>
      </c>
      <c r="D174" s="298" t="str">
        <f>IF($D$11="","",D$13)</f>
        <v/>
      </c>
    </row>
    <row r="175" spans="2:4">
      <c r="B175" s="214" t="s">
        <v>263</v>
      </c>
      <c r="C175" s="92">
        <f>Scenarios!F105</f>
        <v>0.18057341576207186</v>
      </c>
    </row>
    <row r="177" spans="1:6" ht="13.9">
      <c r="A177" s="222" t="s">
        <v>375</v>
      </c>
      <c r="B177" s="36"/>
      <c r="C177" s="36"/>
      <c r="D177" s="36"/>
      <c r="E177" s="36"/>
      <c r="F177" s="36"/>
    </row>
    <row r="179" spans="1:6">
      <c r="B179" s="364" t="s">
        <v>377</v>
      </c>
      <c r="C179" s="357"/>
      <c r="D179" s="357"/>
      <c r="E179" s="357"/>
      <c r="F179" s="357"/>
    </row>
    <row r="181" spans="1:6">
      <c r="B181" s="210" t="s">
        <v>376</v>
      </c>
    </row>
    <row r="182" spans="1:6">
      <c r="B182" s="361" t="s">
        <v>381</v>
      </c>
      <c r="C182" s="361"/>
      <c r="D182" s="361"/>
      <c r="E182" s="361"/>
      <c r="F182" s="361"/>
    </row>
    <row r="183" spans="1:6">
      <c r="B183" s="214" t="s">
        <v>378</v>
      </c>
    </row>
    <row r="184" spans="1:6">
      <c r="B184" s="214" t="s">
        <v>379</v>
      </c>
    </row>
    <row r="185" spans="1:6">
      <c r="B185" s="214" t="s">
        <v>380</v>
      </c>
    </row>
    <row r="187" spans="1:6">
      <c r="B187" s="1" t="s">
        <v>385</v>
      </c>
    </row>
    <row r="188" spans="1:6" ht="46.5" customHeight="1">
      <c r="B188" s="358" t="s">
        <v>382</v>
      </c>
      <c r="C188" s="358"/>
      <c r="D188" s="358"/>
      <c r="E188" s="358"/>
      <c r="F188" s="358"/>
    </row>
    <row r="190" spans="1:6">
      <c r="B190" s="1" t="s">
        <v>386</v>
      </c>
    </row>
    <row r="191" spans="1:6" ht="24.5" customHeight="1">
      <c r="B191" s="363" t="s">
        <v>383</v>
      </c>
      <c r="C191" s="363"/>
      <c r="D191" s="363"/>
      <c r="E191" s="363"/>
      <c r="F191" s="363"/>
    </row>
    <row r="192" spans="1:6" ht="24.5" customHeight="1">
      <c r="B192" s="363" t="s">
        <v>384</v>
      </c>
      <c r="C192" s="363"/>
      <c r="D192" s="363"/>
      <c r="E192" s="363"/>
      <c r="F192" s="363"/>
    </row>
    <row r="194" spans="2:2">
      <c r="B194" s="1" t="s">
        <v>390</v>
      </c>
    </row>
    <row r="195" spans="2:2">
      <c r="B195" s="214" t="s">
        <v>387</v>
      </c>
    </row>
    <row r="196" spans="2:2">
      <c r="B196" s="214" t="s">
        <v>388</v>
      </c>
    </row>
    <row r="197" spans="2:2">
      <c r="B197" s="214" t="s">
        <v>389</v>
      </c>
    </row>
  </sheetData>
  <mergeCells count="27">
    <mergeCell ref="B191:F191"/>
    <mergeCell ref="B192:F192"/>
    <mergeCell ref="B179:F179"/>
    <mergeCell ref="B188:F188"/>
    <mergeCell ref="B182:F182"/>
    <mergeCell ref="B81:F81"/>
    <mergeCell ref="B123:F123"/>
    <mergeCell ref="B89:F89"/>
    <mergeCell ref="B134:F134"/>
    <mergeCell ref="B64:F64"/>
    <mergeCell ref="B101:F101"/>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5"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D9" sqref="D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90" t="str">
        <f>Thesis!C25</f>
        <v>CNY</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v>
      </c>
    </row>
    <row r="4" spans="2:13">
      <c r="B4" s="32" t="s">
        <v>2</v>
      </c>
      <c r="C4" s="321">
        <v>7798913979</v>
      </c>
      <c r="D4" s="321">
        <v>6311963850</v>
      </c>
      <c r="E4" s="321">
        <v>5445152633</v>
      </c>
      <c r="F4" s="321">
        <v>4939315985</v>
      </c>
      <c r="G4" s="321">
        <v>2956758302</v>
      </c>
      <c r="H4" s="321">
        <v>2389355321</v>
      </c>
      <c r="I4" s="321">
        <v>1707538304</v>
      </c>
      <c r="J4" s="321">
        <v>1139183826</v>
      </c>
      <c r="K4" s="321">
        <v>694657422</v>
      </c>
      <c r="L4" s="321">
        <v>479151199</v>
      </c>
      <c r="M4" s="321"/>
    </row>
    <row r="5" spans="2:13">
      <c r="B5" s="40" t="s">
        <v>43</v>
      </c>
      <c r="C5" s="321">
        <v>5114327878</v>
      </c>
      <c r="D5" s="321">
        <v>3915820963</v>
      </c>
      <c r="E5" s="321">
        <v>3767200164</v>
      </c>
      <c r="F5" s="321">
        <v>3505125804</v>
      </c>
      <c r="G5" s="321">
        <v>1936776307</v>
      </c>
      <c r="H5" s="321">
        <v>1447475772</v>
      </c>
      <c r="I5" s="321">
        <v>1008193651</v>
      </c>
      <c r="J5" s="321">
        <v>672472586</v>
      </c>
      <c r="K5" s="321">
        <v>406608482</v>
      </c>
      <c r="L5" s="321">
        <v>285219753</v>
      </c>
      <c r="M5" s="321"/>
    </row>
    <row r="6" spans="2:13">
      <c r="B6" s="40" t="s">
        <v>54</v>
      </c>
      <c r="C6" s="321">
        <v>478714939</v>
      </c>
      <c r="D6" s="321">
        <v>373685879</v>
      </c>
      <c r="E6" s="321">
        <v>280986971</v>
      </c>
      <c r="F6" s="321">
        <v>199250773</v>
      </c>
      <c r="G6" s="321">
        <v>157114047</v>
      </c>
      <c r="H6" s="321">
        <v>162036874</v>
      </c>
      <c r="I6" s="321">
        <v>148533985</v>
      </c>
      <c r="J6" s="321">
        <v>122587394</v>
      </c>
      <c r="K6" s="321">
        <v>111709735</v>
      </c>
      <c r="L6" s="321">
        <v>77990782</v>
      </c>
      <c r="M6" s="321"/>
    </row>
    <row r="7" spans="2:13">
      <c r="B7" s="69" t="s">
        <v>61</v>
      </c>
      <c r="C7" s="322">
        <v>253881041</v>
      </c>
      <c r="D7" s="322">
        <v>232460848</v>
      </c>
      <c r="E7" s="322">
        <v>157533022</v>
      </c>
      <c r="F7" s="322">
        <v>110815428</v>
      </c>
      <c r="G7" s="322">
        <v>99736422</v>
      </c>
      <c r="H7" s="322">
        <v>104708887</v>
      </c>
      <c r="I7" s="322">
        <v>91880229</v>
      </c>
      <c r="J7" s="322">
        <v>50830792</v>
      </c>
      <c r="K7" s="322">
        <v>39460173</v>
      </c>
      <c r="L7" s="322">
        <v>32507628</v>
      </c>
      <c r="M7" s="322"/>
    </row>
    <row r="8" spans="2:13">
      <c r="B8" s="40" t="s">
        <v>49</v>
      </c>
      <c r="C8" s="321">
        <v>255918596</v>
      </c>
      <c r="D8" s="321">
        <v>220006702</v>
      </c>
      <c r="E8" s="321">
        <v>202331051</v>
      </c>
      <c r="F8" s="321">
        <v>154945424</v>
      </c>
      <c r="G8" s="321">
        <v>104720121</v>
      </c>
      <c r="H8" s="321">
        <v>79166101</v>
      </c>
      <c r="I8" s="321">
        <v>61487163</v>
      </c>
      <c r="J8" s="321"/>
      <c r="K8" s="321"/>
      <c r="L8" s="321"/>
      <c r="M8" s="321"/>
    </row>
    <row r="9" spans="2:13">
      <c r="B9" s="40" t="s">
        <v>160</v>
      </c>
      <c r="C9" s="321">
        <v>-70283969</v>
      </c>
      <c r="D9" s="321">
        <v>76220632</v>
      </c>
      <c r="E9" s="321">
        <v>20133006</v>
      </c>
      <c r="F9" s="321">
        <v>1499444</v>
      </c>
      <c r="G9" s="321">
        <v>11085542</v>
      </c>
      <c r="H9" s="321">
        <v>38861023</v>
      </c>
      <c r="I9" s="321">
        <v>-12704453</v>
      </c>
      <c r="J9" s="321">
        <v>0</v>
      </c>
      <c r="K9" s="321">
        <v>0</v>
      </c>
      <c r="L9" s="321">
        <v>0</v>
      </c>
      <c r="M9" s="321"/>
    </row>
    <row r="10" spans="2:13">
      <c r="B10" s="40" t="s">
        <v>168</v>
      </c>
      <c r="C10" s="321"/>
      <c r="D10" s="321"/>
      <c r="E10" s="321"/>
      <c r="F10" s="321"/>
      <c r="G10" s="321"/>
      <c r="H10" s="321"/>
      <c r="I10" s="321"/>
      <c r="J10" s="321"/>
      <c r="K10" s="321"/>
      <c r="L10" s="321"/>
      <c r="M10" s="321"/>
    </row>
    <row r="11" spans="2:13">
      <c r="B11" s="40" t="s">
        <v>159</v>
      </c>
      <c r="C11" s="321"/>
      <c r="D11" s="321"/>
      <c r="E11" s="321"/>
      <c r="F11" s="321"/>
      <c r="G11" s="321"/>
      <c r="H11" s="321"/>
      <c r="I11" s="321"/>
      <c r="J11" s="321"/>
      <c r="K11" s="321"/>
      <c r="L11" s="321"/>
      <c r="M11" s="321"/>
    </row>
    <row r="12" spans="2:13">
      <c r="B12" s="40" t="s">
        <v>39</v>
      </c>
      <c r="C12" s="321">
        <v>10773913</v>
      </c>
      <c r="D12" s="321">
        <v>19213222</v>
      </c>
      <c r="E12" s="321">
        <v>16787986</v>
      </c>
      <c r="F12" s="321">
        <v>5280756</v>
      </c>
      <c r="G12" s="321">
        <v>1093564</v>
      </c>
      <c r="H12" s="321">
        <v>2759318</v>
      </c>
      <c r="I12" s="321">
        <v>1307356</v>
      </c>
      <c r="J12" s="321"/>
      <c r="K12" s="321"/>
      <c r="L12" s="321"/>
      <c r="M12" s="321"/>
    </row>
    <row r="13" spans="2:13">
      <c r="B13" s="40" t="s">
        <v>67</v>
      </c>
      <c r="C13" s="321">
        <v>156551394</v>
      </c>
      <c r="D13" s="321">
        <v>159297476</v>
      </c>
      <c r="E13" s="321">
        <v>52423241</v>
      </c>
      <c r="F13" s="321">
        <v>16165039</v>
      </c>
      <c r="G13" s="321">
        <v>12495464</v>
      </c>
      <c r="H13" s="321">
        <v>24748172</v>
      </c>
      <c r="I13" s="321">
        <v>14095046</v>
      </c>
      <c r="J13" s="321"/>
      <c r="K13" s="321"/>
      <c r="L13" s="321"/>
      <c r="M13" s="321"/>
    </row>
    <row r="14" spans="2:13">
      <c r="B14" s="40" t="s">
        <v>50</v>
      </c>
      <c r="C14" s="321">
        <v>309204387</v>
      </c>
      <c r="D14" s="321">
        <v>307004817</v>
      </c>
      <c r="E14" s="321">
        <v>202660810</v>
      </c>
      <c r="F14" s="321">
        <v>136628407</v>
      </c>
      <c r="G14" s="321">
        <v>109313998</v>
      </c>
      <c r="H14" s="321">
        <v>110812786</v>
      </c>
      <c r="I14" s="321">
        <v>84670792</v>
      </c>
      <c r="J14" s="321">
        <v>49833797</v>
      </c>
      <c r="K14" s="321">
        <v>31011793</v>
      </c>
      <c r="L14" s="321">
        <v>21880350</v>
      </c>
      <c r="M14" s="321"/>
    </row>
    <row r="15" spans="2:13">
      <c r="B15" s="43" t="s">
        <v>42</v>
      </c>
      <c r="C15" s="323">
        <v>1629038383</v>
      </c>
      <c r="D15" s="323">
        <v>1867145469</v>
      </c>
      <c r="E15" s="323">
        <v>1257239986</v>
      </c>
      <c r="F15" s="323">
        <v>884463388</v>
      </c>
      <c r="G15" s="323">
        <v>664140193</v>
      </c>
      <c r="H15" s="323">
        <v>694081237</v>
      </c>
      <c r="I15" s="323">
        <v>480468472</v>
      </c>
      <c r="J15" s="323">
        <v>283145541</v>
      </c>
      <c r="K15" s="323">
        <v>174985183</v>
      </c>
      <c r="L15" s="323">
        <v>125750467</v>
      </c>
      <c r="M15" s="323"/>
    </row>
    <row r="16" spans="2:13">
      <c r="B16" s="28" t="s">
        <v>44</v>
      </c>
      <c r="C16" s="321">
        <v>233229</v>
      </c>
      <c r="D16" s="321">
        <v>0</v>
      </c>
      <c r="E16" s="321">
        <v>0</v>
      </c>
      <c r="F16" s="321">
        <v>0</v>
      </c>
      <c r="G16" s="321">
        <v>0</v>
      </c>
      <c r="H16" s="321">
        <v>0</v>
      </c>
      <c r="I16" s="321">
        <v>0</v>
      </c>
      <c r="J16" s="321">
        <v>0</v>
      </c>
      <c r="K16" s="321">
        <v>202868</v>
      </c>
      <c r="L16" s="321">
        <v>16241</v>
      </c>
      <c r="M16" s="321"/>
    </row>
    <row r="18" spans="2:13">
      <c r="B18" s="16" t="s">
        <v>51</v>
      </c>
      <c r="C18" s="9"/>
    </row>
    <row r="19" spans="2:13">
      <c r="B19" s="27" t="s">
        <v>47</v>
      </c>
      <c r="C19" s="321">
        <v>213032611</v>
      </c>
      <c r="D19" s="321">
        <v>135475921</v>
      </c>
      <c r="E19" s="321">
        <v>104602959</v>
      </c>
      <c r="F19" s="321">
        <v>78877993</v>
      </c>
      <c r="G19" s="321">
        <v>40782935</v>
      </c>
      <c r="H19" s="321">
        <v>28330776</v>
      </c>
      <c r="I19" s="321">
        <v>25091208</v>
      </c>
      <c r="J19" s="321"/>
      <c r="K19" s="321"/>
      <c r="L19" s="321"/>
      <c r="M19" s="321"/>
    </row>
    <row r="20" spans="2:13">
      <c r="B20" s="27" t="s">
        <v>53</v>
      </c>
      <c r="C20" s="321"/>
      <c r="D20" s="321"/>
      <c r="E20" s="321"/>
      <c r="F20" s="321"/>
      <c r="G20" s="321"/>
      <c r="H20" s="321"/>
      <c r="I20" s="321"/>
      <c r="J20" s="321"/>
      <c r="K20" s="321"/>
      <c r="L20" s="321"/>
      <c r="M20" s="321"/>
    </row>
    <row r="21" spans="2:13">
      <c r="B21" s="27" t="s">
        <v>52</v>
      </c>
      <c r="C21" s="321"/>
      <c r="D21" s="321"/>
      <c r="E21" s="321"/>
      <c r="F21" s="321"/>
      <c r="G21" s="321"/>
      <c r="H21" s="321"/>
      <c r="I21" s="321"/>
      <c r="J21" s="321"/>
      <c r="K21" s="321"/>
      <c r="L21" s="321"/>
      <c r="M21" s="321"/>
    </row>
    <row r="22" spans="2:13">
      <c r="B22" s="27" t="s">
        <v>372</v>
      </c>
      <c r="C22" s="321">
        <v>1916547999</v>
      </c>
      <c r="D22" s="321">
        <v>2227397039</v>
      </c>
      <c r="E22" s="321">
        <v>936702406</v>
      </c>
      <c r="F22" s="321">
        <v>373661725</v>
      </c>
      <c r="G22" s="321">
        <v>891764853</v>
      </c>
      <c r="H22" s="321">
        <v>696158346</v>
      </c>
      <c r="I22" s="321">
        <v>415714136</v>
      </c>
      <c r="J22" s="321">
        <v>348706422</v>
      </c>
      <c r="K22" s="321">
        <v>142342727</v>
      </c>
      <c r="L22" s="321">
        <v>112359422</v>
      </c>
      <c r="M22" s="321"/>
    </row>
    <row r="23" spans="2:13">
      <c r="B23" s="27" t="s">
        <v>374</v>
      </c>
      <c r="C23" s="321">
        <v>-178527168</v>
      </c>
      <c r="D23" s="321">
        <v>-862617775</v>
      </c>
      <c r="E23" s="321">
        <v>-1221538814</v>
      </c>
      <c r="F23" s="321">
        <v>-69051239</v>
      </c>
      <c r="G23" s="321">
        <v>-707286524</v>
      </c>
      <c r="H23" s="321">
        <v>-666330101</v>
      </c>
      <c r="I23" s="321">
        <v>156611794</v>
      </c>
      <c r="J23" s="321">
        <v>-1034615747</v>
      </c>
      <c r="K23" s="321">
        <v>-185922892</v>
      </c>
      <c r="L23" s="321">
        <v>-345198556</v>
      </c>
      <c r="M23" s="321"/>
    </row>
    <row r="24" spans="2:13">
      <c r="B24" s="27" t="s">
        <v>373</v>
      </c>
      <c r="C24" s="321">
        <v>-996799146</v>
      </c>
      <c r="D24" s="321">
        <v>-520447150</v>
      </c>
      <c r="E24" s="321">
        <v>44534961</v>
      </c>
      <c r="F24" s="321">
        <v>2069283867</v>
      </c>
      <c r="G24" s="321">
        <v>-192224576</v>
      </c>
      <c r="H24" s="321">
        <v>147431845</v>
      </c>
      <c r="I24" s="321">
        <v>83396087</v>
      </c>
      <c r="J24" s="321">
        <v>893792882</v>
      </c>
      <c r="K24" s="321">
        <v>-14815942</v>
      </c>
      <c r="L24" s="321">
        <v>409943115</v>
      </c>
      <c r="M24" s="321"/>
    </row>
    <row r="25" spans="2:13">
      <c r="B25" s="24" t="str">
        <f>"Dividend per share ("&amp;Market_currency&amp;")"</f>
        <v>Dividend per share (CNY)</v>
      </c>
      <c r="C25" s="39">
        <f>10/10</f>
        <v>1</v>
      </c>
      <c r="D25" s="39">
        <f>10/10</f>
        <v>1</v>
      </c>
      <c r="E25" s="39">
        <f>5/10</f>
        <v>0.5</v>
      </c>
      <c r="F25" s="39"/>
      <c r="G25" s="39"/>
      <c r="H25" s="39"/>
      <c r="I25" s="39"/>
      <c r="J25" s="39"/>
      <c r="K25" s="39"/>
      <c r="L25" s="39"/>
      <c r="M25" s="39"/>
    </row>
    <row r="27" spans="2:13">
      <c r="B27" s="16" t="s">
        <v>28</v>
      </c>
      <c r="C27" s="97" t="s">
        <v>463</v>
      </c>
    </row>
    <row r="28" spans="2:13">
      <c r="B28" s="26" t="s">
        <v>24</v>
      </c>
      <c r="C28" s="318">
        <f>BS!C4</f>
        <v>2470363699.1300001</v>
      </c>
      <c r="D28" s="321">
        <v>2391271680</v>
      </c>
      <c r="E28" s="321">
        <v>2078427810</v>
      </c>
      <c r="F28" s="321">
        <v>1620191874</v>
      </c>
      <c r="G28" s="321">
        <v>635971724</v>
      </c>
      <c r="H28" s="321">
        <v>797615199</v>
      </c>
      <c r="I28" s="321">
        <v>525650211</v>
      </c>
      <c r="J28" s="321">
        <v>299236277</v>
      </c>
      <c r="K28" s="321">
        <v>180459802</v>
      </c>
      <c r="L28" s="321">
        <v>105834918</v>
      </c>
      <c r="M28" s="321"/>
    </row>
    <row r="29" spans="2:13">
      <c r="B29" s="26" t="s">
        <v>32</v>
      </c>
      <c r="C29" s="318">
        <f>BS!C6</f>
        <v>2342136338.9299998</v>
      </c>
      <c r="D29" s="321">
        <v>1921374942</v>
      </c>
      <c r="E29" s="321">
        <v>1795225840</v>
      </c>
      <c r="F29" s="321">
        <v>1387177645</v>
      </c>
      <c r="G29" s="321">
        <v>941597028</v>
      </c>
      <c r="H29" s="321">
        <v>460791109</v>
      </c>
      <c r="I29" s="321">
        <v>359087239</v>
      </c>
      <c r="J29" s="321">
        <v>243055593</v>
      </c>
      <c r="K29" s="321">
        <v>179108332</v>
      </c>
      <c r="L29" s="321">
        <v>137707371</v>
      </c>
      <c r="M29" s="321"/>
    </row>
    <row r="30" spans="2:13">
      <c r="B30" s="29" t="s">
        <v>40</v>
      </c>
      <c r="C30" s="319">
        <f>BS!C33+BS!C42</f>
        <v>5315649326.7300005</v>
      </c>
      <c r="D30" s="323">
        <v>5242067251</v>
      </c>
      <c r="E30" s="323">
        <v>4736625835</v>
      </c>
      <c r="F30" s="323">
        <v>3596300871</v>
      </c>
      <c r="G30" s="323">
        <v>2124874675</v>
      </c>
      <c r="H30" s="323">
        <v>1651958950</v>
      </c>
      <c r="I30" s="323">
        <v>1032202540</v>
      </c>
      <c r="J30" s="323">
        <v>576053698</v>
      </c>
      <c r="K30" s="323">
        <v>285486746</v>
      </c>
      <c r="L30" s="323">
        <v>172274845</v>
      </c>
      <c r="M30" s="323"/>
    </row>
    <row r="31" spans="2:13">
      <c r="B31" s="29" t="s">
        <v>30</v>
      </c>
      <c r="C31" s="319">
        <f>BS!G27</f>
        <v>10038197465.91</v>
      </c>
      <c r="D31" s="323">
        <v>8965233891</v>
      </c>
      <c r="E31" s="323">
        <v>7065182676</v>
      </c>
      <c r="F31" s="323">
        <v>5978168759</v>
      </c>
      <c r="G31" s="323">
        <v>3744157600</v>
      </c>
      <c r="H31" s="323">
        <v>3207493644</v>
      </c>
      <c r="I31" s="323">
        <v>2601382187</v>
      </c>
      <c r="J31" s="323">
        <v>2202505763</v>
      </c>
      <c r="K31" s="323">
        <v>1085805361</v>
      </c>
      <c r="L31" s="323">
        <v>922655590</v>
      </c>
      <c r="M31" s="323"/>
    </row>
    <row r="32" spans="2:13">
      <c r="B32" s="26" t="s">
        <v>173</v>
      </c>
      <c r="C32" s="318">
        <f>BS!G28</f>
        <v>2901653.62</v>
      </c>
      <c r="D32" s="321">
        <v>0</v>
      </c>
      <c r="E32" s="321">
        <v>0</v>
      </c>
      <c r="F32" s="321">
        <v>0</v>
      </c>
      <c r="G32" s="321">
        <v>0</v>
      </c>
      <c r="H32" s="321">
        <v>0</v>
      </c>
      <c r="I32" s="321">
        <v>0</v>
      </c>
      <c r="J32" s="321">
        <v>0</v>
      </c>
      <c r="K32" s="321">
        <v>0</v>
      </c>
      <c r="L32" s="321">
        <v>6016241</v>
      </c>
      <c r="M32" s="321"/>
    </row>
    <row r="34" spans="2:13" ht="13.9">
      <c r="B34" s="36" t="s">
        <v>82</v>
      </c>
      <c r="C34" s="37"/>
      <c r="D34" s="37"/>
      <c r="E34" s="37"/>
      <c r="F34" s="37"/>
      <c r="G34" s="37"/>
      <c r="H34" s="37"/>
      <c r="I34" s="37"/>
      <c r="J34" s="37"/>
      <c r="K34" s="37"/>
      <c r="L34" s="37"/>
      <c r="M34" s="37"/>
    </row>
    <row r="35" spans="2:13">
      <c r="B35" s="16" t="s">
        <v>27</v>
      </c>
    </row>
    <row r="36" spans="2:13">
      <c r="B36" s="32" t="s">
        <v>2</v>
      </c>
      <c r="C36" s="318">
        <f t="shared" ref="C36:M36" si="1">IF(C$4="","",C4)</f>
        <v>7798913979</v>
      </c>
      <c r="D36" s="318">
        <f t="shared" si="1"/>
        <v>6311963850</v>
      </c>
      <c r="E36" s="318">
        <f t="shared" si="1"/>
        <v>5445152633</v>
      </c>
      <c r="F36" s="318">
        <f t="shared" si="1"/>
        <v>4939315985</v>
      </c>
      <c r="G36" s="318">
        <f t="shared" si="1"/>
        <v>2956758302</v>
      </c>
      <c r="H36" s="318">
        <f t="shared" si="1"/>
        <v>2389355321</v>
      </c>
      <c r="I36" s="318">
        <f t="shared" si="1"/>
        <v>1707538304</v>
      </c>
      <c r="J36" s="318">
        <f t="shared" si="1"/>
        <v>1139183826</v>
      </c>
      <c r="K36" s="318">
        <f t="shared" si="1"/>
        <v>694657422</v>
      </c>
      <c r="L36" s="318">
        <f t="shared" si="1"/>
        <v>479151199</v>
      </c>
      <c r="M36" s="318" t="str">
        <f t="shared" si="1"/>
        <v/>
      </c>
    </row>
    <row r="37" spans="2:13">
      <c r="B37" s="40" t="s">
        <v>43</v>
      </c>
      <c r="C37" s="318">
        <f t="shared" ref="C37:M37" si="2">IF(C$4="","",-C5)</f>
        <v>-5114327878</v>
      </c>
      <c r="D37" s="318">
        <f t="shared" si="2"/>
        <v>-3915820963</v>
      </c>
      <c r="E37" s="318">
        <f t="shared" si="2"/>
        <v>-3767200164</v>
      </c>
      <c r="F37" s="318">
        <f t="shared" si="2"/>
        <v>-3505125804</v>
      </c>
      <c r="G37" s="318">
        <f t="shared" si="2"/>
        <v>-1936776307</v>
      </c>
      <c r="H37" s="318">
        <f t="shared" si="2"/>
        <v>-1447475772</v>
      </c>
      <c r="I37" s="318">
        <f t="shared" si="2"/>
        <v>-1008193651</v>
      </c>
      <c r="J37" s="318">
        <f t="shared" si="2"/>
        <v>-672472586</v>
      </c>
      <c r="K37" s="318">
        <f t="shared" si="2"/>
        <v>-406608482</v>
      </c>
      <c r="L37" s="318">
        <f t="shared" si="2"/>
        <v>-285219753</v>
      </c>
      <c r="M37" s="318" t="str">
        <f t="shared" si="2"/>
        <v/>
      </c>
    </row>
    <row r="38" spans="2:13">
      <c r="B38" s="31" t="s">
        <v>58</v>
      </c>
      <c r="C38" s="317">
        <f>IF(C36="","",C36+C37)</f>
        <v>2684586101</v>
      </c>
      <c r="D38" s="317">
        <f t="shared" ref="D38" si="3">IF(D36="","",D36+D37)</f>
        <v>2396142887</v>
      </c>
      <c r="E38" s="317">
        <f t="shared" ref="E38" si="4">IF(E36="","",E36+E37)</f>
        <v>1677952469</v>
      </c>
      <c r="F38" s="317">
        <f t="shared" ref="F38" si="5">IF(F36="","",F36+F37)</f>
        <v>1434190181</v>
      </c>
      <c r="G38" s="317">
        <f t="shared" ref="G38" si="6">IF(G36="","",G36+G37)</f>
        <v>1019981995</v>
      </c>
      <c r="H38" s="317">
        <f t="shared" ref="H38" si="7">IF(H36="","",H36+H37)</f>
        <v>941879549</v>
      </c>
      <c r="I38" s="317">
        <f t="shared" ref="I38" si="8">IF(I36="","",I36+I37)</f>
        <v>699344653</v>
      </c>
      <c r="J38" s="317">
        <f t="shared" ref="J38" si="9">IF(J36="","",J36+J37)</f>
        <v>466711240</v>
      </c>
      <c r="K38" s="317">
        <f t="shared" ref="K38" si="10">IF(K36="","",K36+K37)</f>
        <v>288048940</v>
      </c>
      <c r="L38" s="317">
        <f t="shared" ref="L38" si="11">IF(L36="","",L36+L37)</f>
        <v>193931446</v>
      </c>
      <c r="M38" s="317" t="str">
        <f t="shared" ref="M38" si="12">IF(M36="","",M36+M37)</f>
        <v/>
      </c>
    </row>
    <row r="39" spans="2:13">
      <c r="B39" s="40" t="s">
        <v>54</v>
      </c>
      <c r="C39" s="318">
        <f t="shared" ref="C39:M39" si="13">IF(C$4="","",-C6)</f>
        <v>-478714939</v>
      </c>
      <c r="D39" s="318">
        <f t="shared" si="13"/>
        <v>-373685879</v>
      </c>
      <c r="E39" s="318">
        <f t="shared" si="13"/>
        <v>-280986971</v>
      </c>
      <c r="F39" s="318">
        <f t="shared" si="13"/>
        <v>-199250773</v>
      </c>
      <c r="G39" s="318">
        <f t="shared" si="13"/>
        <v>-157114047</v>
      </c>
      <c r="H39" s="318">
        <f t="shared" si="13"/>
        <v>-162036874</v>
      </c>
      <c r="I39" s="318">
        <f t="shared" si="13"/>
        <v>-148533985</v>
      </c>
      <c r="J39" s="318">
        <f t="shared" si="13"/>
        <v>-122587394</v>
      </c>
      <c r="K39" s="318">
        <f t="shared" si="13"/>
        <v>-111709735</v>
      </c>
      <c r="L39" s="318">
        <f t="shared" si="13"/>
        <v>-77990782</v>
      </c>
      <c r="M39" s="318" t="str">
        <f t="shared" si="13"/>
        <v/>
      </c>
    </row>
    <row r="40" spans="2:13">
      <c r="B40" s="69" t="s">
        <v>61</v>
      </c>
      <c r="C40" s="320">
        <f t="shared" ref="C40:M40" si="14">IF(C$4="","",-C7)</f>
        <v>-253881041</v>
      </c>
      <c r="D40" s="320">
        <f t="shared" si="14"/>
        <v>-232460848</v>
      </c>
      <c r="E40" s="320">
        <f t="shared" si="14"/>
        <v>-157533022</v>
      </c>
      <c r="F40" s="320">
        <f t="shared" si="14"/>
        <v>-110815428</v>
      </c>
      <c r="G40" s="320">
        <f t="shared" si="14"/>
        <v>-99736422</v>
      </c>
      <c r="H40" s="320">
        <f t="shared" si="14"/>
        <v>-104708887</v>
      </c>
      <c r="I40" s="320">
        <f t="shared" si="14"/>
        <v>-91880229</v>
      </c>
      <c r="J40" s="320">
        <f t="shared" si="14"/>
        <v>-50830792</v>
      </c>
      <c r="K40" s="320">
        <f t="shared" si="14"/>
        <v>-39460173</v>
      </c>
      <c r="L40" s="320">
        <f t="shared" si="14"/>
        <v>-32507628</v>
      </c>
      <c r="M40" s="320" t="str">
        <f t="shared" si="14"/>
        <v/>
      </c>
    </row>
    <row r="41" spans="2:13">
      <c r="B41" s="69" t="s">
        <v>64</v>
      </c>
      <c r="C41" s="320">
        <f>IF(C$4="","",C39-C40)</f>
        <v>-224833898</v>
      </c>
      <c r="D41" s="320">
        <f t="shared" ref="D41:M41" si="15">IF(D$4="","",D39-D40)</f>
        <v>-141225031</v>
      </c>
      <c r="E41" s="320">
        <f t="shared" si="15"/>
        <v>-123453949</v>
      </c>
      <c r="F41" s="320">
        <f t="shared" si="15"/>
        <v>-88435345</v>
      </c>
      <c r="G41" s="320">
        <f t="shared" si="15"/>
        <v>-57377625</v>
      </c>
      <c r="H41" s="320">
        <f t="shared" si="15"/>
        <v>-57327987</v>
      </c>
      <c r="I41" s="320">
        <f t="shared" si="15"/>
        <v>-56653756</v>
      </c>
      <c r="J41" s="320">
        <f t="shared" si="15"/>
        <v>-71756602</v>
      </c>
      <c r="K41" s="320">
        <f t="shared" si="15"/>
        <v>-72249562</v>
      </c>
      <c r="L41" s="320">
        <f t="shared" si="15"/>
        <v>-45483154</v>
      </c>
      <c r="M41" s="320" t="str">
        <f t="shared" si="15"/>
        <v/>
      </c>
    </row>
    <row r="42" spans="2:13">
      <c r="B42" s="40" t="s">
        <v>49</v>
      </c>
      <c r="C42" s="318">
        <f t="shared" ref="C42:M42" si="16">IF(C$4="","",-C8)</f>
        <v>-255918596</v>
      </c>
      <c r="D42" s="318">
        <f t="shared" si="16"/>
        <v>-220006702</v>
      </c>
      <c r="E42" s="318">
        <f t="shared" si="16"/>
        <v>-202331051</v>
      </c>
      <c r="F42" s="318">
        <f t="shared" si="16"/>
        <v>-154945424</v>
      </c>
      <c r="G42" s="318">
        <f t="shared" si="16"/>
        <v>-104720121</v>
      </c>
      <c r="H42" s="318">
        <f t="shared" si="16"/>
        <v>-79166101</v>
      </c>
      <c r="I42" s="318">
        <f t="shared" si="16"/>
        <v>-61487163</v>
      </c>
      <c r="J42" s="318">
        <f t="shared" si="16"/>
        <v>0</v>
      </c>
      <c r="K42" s="318">
        <f t="shared" si="16"/>
        <v>0</v>
      </c>
      <c r="L42" s="318">
        <f t="shared" si="16"/>
        <v>0</v>
      </c>
      <c r="M42" s="318" t="str">
        <f t="shared" si="16"/>
        <v/>
      </c>
    </row>
    <row r="43" spans="2:13">
      <c r="B43" s="43" t="s">
        <v>153</v>
      </c>
      <c r="C43" s="319">
        <f>IF(C$4="","",C38+C39+C42)</f>
        <v>1949952566</v>
      </c>
      <c r="D43" s="319">
        <f t="shared" ref="D43:M43" si="17">IF(D$4="","",D38+D39+D42)</f>
        <v>1802450306</v>
      </c>
      <c r="E43" s="319">
        <f t="shared" si="17"/>
        <v>1194634447</v>
      </c>
      <c r="F43" s="319">
        <f t="shared" si="17"/>
        <v>1079993984</v>
      </c>
      <c r="G43" s="319">
        <f t="shared" si="17"/>
        <v>758147827</v>
      </c>
      <c r="H43" s="319">
        <f t="shared" si="17"/>
        <v>700676574</v>
      </c>
      <c r="I43" s="319">
        <f t="shared" si="17"/>
        <v>489323505</v>
      </c>
      <c r="J43" s="319">
        <f t="shared" si="17"/>
        <v>344123846</v>
      </c>
      <c r="K43" s="319">
        <f t="shared" si="17"/>
        <v>176339205</v>
      </c>
      <c r="L43" s="319">
        <f t="shared" si="17"/>
        <v>115940664</v>
      </c>
      <c r="M43" s="319" t="str">
        <f t="shared" si="17"/>
        <v/>
      </c>
    </row>
    <row r="44" spans="2:13">
      <c r="B44" s="43" t="s">
        <v>169</v>
      </c>
      <c r="C44" s="180">
        <f t="shared" ref="C44:M44" si="18">IF(C$4="","",C47-C46-C45-C43)</f>
        <v>-157487277</v>
      </c>
      <c r="D44" s="180">
        <f t="shared" si="18"/>
        <v>231615726</v>
      </c>
      <c r="E44" s="180">
        <f t="shared" si="18"/>
        <v>229631094</v>
      </c>
      <c r="F44" s="180">
        <f t="shared" si="18"/>
        <v>-69786472</v>
      </c>
      <c r="G44" s="180">
        <f t="shared" si="18"/>
        <v>3904464</v>
      </c>
      <c r="H44" s="180">
        <f t="shared" si="18"/>
        <v>82228595</v>
      </c>
      <c r="I44" s="180">
        <f t="shared" si="18"/>
        <v>63028069</v>
      </c>
      <c r="J44" s="180">
        <f t="shared" si="18"/>
        <v>-11144508</v>
      </c>
      <c r="K44" s="180">
        <f t="shared" si="18"/>
        <v>29657771</v>
      </c>
      <c r="L44" s="180">
        <f t="shared" si="18"/>
        <v>31690153</v>
      </c>
      <c r="M44" s="180" t="str">
        <f t="shared" si="18"/>
        <v/>
      </c>
    </row>
    <row r="45" spans="2:13">
      <c r="B45" s="40" t="s">
        <v>68</v>
      </c>
      <c r="C45" s="76">
        <f t="shared" ref="C45:M45" si="19">IF(C$4="","",C51+C52)</f>
        <v>145777481</v>
      </c>
      <c r="D45" s="76">
        <f t="shared" si="19"/>
        <v>140084254</v>
      </c>
      <c r="E45" s="76">
        <f t="shared" si="19"/>
        <v>35635255</v>
      </c>
      <c r="F45" s="76">
        <f t="shared" si="19"/>
        <v>10884283</v>
      </c>
      <c r="G45" s="76">
        <f t="shared" si="19"/>
        <v>11401900</v>
      </c>
      <c r="H45" s="76">
        <f t="shared" si="19"/>
        <v>21988854</v>
      </c>
      <c r="I45" s="76">
        <f t="shared" si="19"/>
        <v>12787690</v>
      </c>
      <c r="J45" s="76">
        <f t="shared" si="19"/>
        <v>0</v>
      </c>
      <c r="K45" s="76">
        <f t="shared" si="19"/>
        <v>0</v>
      </c>
      <c r="L45" s="76">
        <f t="shared" si="19"/>
        <v>0</v>
      </c>
      <c r="M45" s="76" t="str">
        <f t="shared" si="19"/>
        <v/>
      </c>
    </row>
    <row r="46" spans="2:13">
      <c r="B46" s="40" t="s">
        <v>50</v>
      </c>
      <c r="C46" s="318">
        <f t="shared" ref="C46:M46" si="20">IF(C$4="","",-C14)</f>
        <v>-309204387</v>
      </c>
      <c r="D46" s="318">
        <f t="shared" si="20"/>
        <v>-307004817</v>
      </c>
      <c r="E46" s="318">
        <f t="shared" si="20"/>
        <v>-202660810</v>
      </c>
      <c r="F46" s="318">
        <f t="shared" si="20"/>
        <v>-136628407</v>
      </c>
      <c r="G46" s="318">
        <f t="shared" si="20"/>
        <v>-109313998</v>
      </c>
      <c r="H46" s="318">
        <f t="shared" si="20"/>
        <v>-110812786</v>
      </c>
      <c r="I46" s="318">
        <f t="shared" si="20"/>
        <v>-84670792</v>
      </c>
      <c r="J46" s="318">
        <f t="shared" si="20"/>
        <v>-49833797</v>
      </c>
      <c r="K46" s="318">
        <f t="shared" si="20"/>
        <v>-31011793</v>
      </c>
      <c r="L46" s="318">
        <f t="shared" si="20"/>
        <v>-21880350</v>
      </c>
      <c r="M46" s="318" t="str">
        <f t="shared" si="20"/>
        <v/>
      </c>
    </row>
    <row r="47" spans="2:13">
      <c r="B47" s="43" t="s">
        <v>42</v>
      </c>
      <c r="C47" s="319">
        <f t="shared" ref="C47:M47" si="21">IF(C$4="","",C15)</f>
        <v>1629038383</v>
      </c>
      <c r="D47" s="319">
        <f t="shared" si="21"/>
        <v>1867145469</v>
      </c>
      <c r="E47" s="319">
        <f t="shared" si="21"/>
        <v>1257239986</v>
      </c>
      <c r="F47" s="319">
        <f t="shared" si="21"/>
        <v>884463388</v>
      </c>
      <c r="G47" s="319">
        <f t="shared" si="21"/>
        <v>664140193</v>
      </c>
      <c r="H47" s="319">
        <f t="shared" si="21"/>
        <v>694081237</v>
      </c>
      <c r="I47" s="319">
        <f t="shared" si="21"/>
        <v>480468472</v>
      </c>
      <c r="J47" s="319">
        <f t="shared" si="21"/>
        <v>283145541</v>
      </c>
      <c r="K47" s="319">
        <f t="shared" si="21"/>
        <v>174985183</v>
      </c>
      <c r="L47" s="319">
        <f t="shared" si="21"/>
        <v>125750467</v>
      </c>
      <c r="M47" s="319" t="str">
        <f t="shared" si="21"/>
        <v/>
      </c>
    </row>
    <row r="48" spans="2:13">
      <c r="B48" s="28" t="s">
        <v>44</v>
      </c>
      <c r="C48" s="318">
        <f t="shared" ref="C48:M48" si="22">IF(C$4="","",MIN(-C16,0))</f>
        <v>-233229</v>
      </c>
      <c r="D48" s="318">
        <f t="shared" si="22"/>
        <v>0</v>
      </c>
      <c r="E48" s="318">
        <f t="shared" si="22"/>
        <v>0</v>
      </c>
      <c r="F48" s="318">
        <f t="shared" si="22"/>
        <v>0</v>
      </c>
      <c r="G48" s="318">
        <f t="shared" si="22"/>
        <v>0</v>
      </c>
      <c r="H48" s="318">
        <f t="shared" si="22"/>
        <v>0</v>
      </c>
      <c r="I48" s="318">
        <f t="shared" si="22"/>
        <v>0</v>
      </c>
      <c r="J48" s="318">
        <f t="shared" si="22"/>
        <v>0</v>
      </c>
      <c r="K48" s="318">
        <f t="shared" si="22"/>
        <v>-202868</v>
      </c>
      <c r="L48" s="318">
        <f t="shared" si="22"/>
        <v>-16241</v>
      </c>
      <c r="M48" s="318" t="str">
        <f t="shared" si="22"/>
        <v/>
      </c>
    </row>
    <row r="50" spans="2:13">
      <c r="B50" s="16" t="s">
        <v>68</v>
      </c>
    </row>
    <row r="51" spans="2:13">
      <c r="B51" s="40" t="s">
        <v>39</v>
      </c>
      <c r="C51" s="318">
        <f t="shared" ref="C51:M51" si="23">IF(C$4="","",-C12)</f>
        <v>-10773913</v>
      </c>
      <c r="D51" s="318">
        <f t="shared" si="23"/>
        <v>-19213222</v>
      </c>
      <c r="E51" s="318">
        <f t="shared" si="23"/>
        <v>-16787986</v>
      </c>
      <c r="F51" s="318">
        <f t="shared" si="23"/>
        <v>-5280756</v>
      </c>
      <c r="G51" s="318">
        <f t="shared" si="23"/>
        <v>-1093564</v>
      </c>
      <c r="H51" s="318">
        <f t="shared" si="23"/>
        <v>-2759318</v>
      </c>
      <c r="I51" s="318">
        <f t="shared" si="23"/>
        <v>-1307356</v>
      </c>
      <c r="J51" s="318">
        <f t="shared" si="23"/>
        <v>0</v>
      </c>
      <c r="K51" s="318">
        <f t="shared" si="23"/>
        <v>0</v>
      </c>
      <c r="L51" s="318">
        <f t="shared" si="23"/>
        <v>0</v>
      </c>
      <c r="M51" s="318" t="str">
        <f t="shared" si="23"/>
        <v/>
      </c>
    </row>
    <row r="52" spans="2:13">
      <c r="B52" s="40" t="s">
        <v>67</v>
      </c>
      <c r="C52" s="318">
        <f t="shared" ref="C52:M52" si="24">IF(C$4="","",C13)</f>
        <v>156551394</v>
      </c>
      <c r="D52" s="318">
        <f t="shared" si="24"/>
        <v>159297476</v>
      </c>
      <c r="E52" s="318">
        <f t="shared" si="24"/>
        <v>52423241</v>
      </c>
      <c r="F52" s="318">
        <f t="shared" si="24"/>
        <v>16165039</v>
      </c>
      <c r="G52" s="318">
        <f t="shared" si="24"/>
        <v>12495464</v>
      </c>
      <c r="H52" s="318">
        <f t="shared" si="24"/>
        <v>24748172</v>
      </c>
      <c r="I52" s="318">
        <f t="shared" si="24"/>
        <v>14095046</v>
      </c>
      <c r="J52" s="318">
        <f t="shared" si="24"/>
        <v>0</v>
      </c>
      <c r="K52" s="318">
        <f t="shared" si="24"/>
        <v>0</v>
      </c>
      <c r="L52" s="318">
        <f t="shared" si="24"/>
        <v>0</v>
      </c>
      <c r="M52" s="318" t="str">
        <f t="shared" si="24"/>
        <v/>
      </c>
    </row>
    <row r="54" spans="2:13">
      <c r="B54" s="174" t="s">
        <v>169</v>
      </c>
    </row>
    <row r="55" spans="2:13">
      <c r="B55" s="40" t="s">
        <v>160</v>
      </c>
      <c r="C55" s="76">
        <f t="shared" ref="C55:M55" si="25">IF(C$4="","",C9)</f>
        <v>-70283969</v>
      </c>
      <c r="D55" s="76">
        <f t="shared" si="25"/>
        <v>76220632</v>
      </c>
      <c r="E55" s="76">
        <f t="shared" si="25"/>
        <v>20133006</v>
      </c>
      <c r="F55" s="76">
        <f t="shared" si="25"/>
        <v>1499444</v>
      </c>
      <c r="G55" s="76">
        <f t="shared" si="25"/>
        <v>11085542</v>
      </c>
      <c r="H55" s="76">
        <f t="shared" si="25"/>
        <v>38861023</v>
      </c>
      <c r="I55" s="76">
        <f t="shared" si="25"/>
        <v>-12704453</v>
      </c>
      <c r="J55" s="76">
        <f t="shared" si="25"/>
        <v>0</v>
      </c>
      <c r="K55" s="76">
        <f t="shared" si="25"/>
        <v>0</v>
      </c>
      <c r="L55" s="76">
        <f t="shared" si="25"/>
        <v>0</v>
      </c>
      <c r="M55" s="76" t="str">
        <f t="shared" si="25"/>
        <v/>
      </c>
    </row>
    <row r="56" spans="2:13">
      <c r="B56" s="40" t="s">
        <v>168</v>
      </c>
      <c r="C56" s="76">
        <f t="shared" ref="C56:M56" si="26">IF(C$4="","",C10)</f>
        <v>0</v>
      </c>
      <c r="D56" s="76">
        <f t="shared" si="26"/>
        <v>0</v>
      </c>
      <c r="E56" s="76">
        <f t="shared" si="26"/>
        <v>0</v>
      </c>
      <c r="F56" s="76">
        <f t="shared" si="26"/>
        <v>0</v>
      </c>
      <c r="G56" s="76">
        <f t="shared" si="26"/>
        <v>0</v>
      </c>
      <c r="H56" s="76">
        <f t="shared" si="26"/>
        <v>0</v>
      </c>
      <c r="I56" s="76">
        <f t="shared" si="26"/>
        <v>0</v>
      </c>
      <c r="J56" s="76">
        <f t="shared" si="26"/>
        <v>0</v>
      </c>
      <c r="K56" s="76">
        <f t="shared" si="26"/>
        <v>0</v>
      </c>
      <c r="L56" s="76">
        <f t="shared" si="26"/>
        <v>0</v>
      </c>
      <c r="M56" s="76" t="str">
        <f t="shared" si="26"/>
        <v/>
      </c>
    </row>
    <row r="57" spans="2:13">
      <c r="B57" s="40" t="s">
        <v>159</v>
      </c>
      <c r="C57" s="76">
        <f t="shared" ref="C57:M57" si="27">IF(C$4="","",C11)</f>
        <v>0</v>
      </c>
      <c r="D57" s="76">
        <f t="shared" si="27"/>
        <v>0</v>
      </c>
      <c r="E57" s="76">
        <f t="shared" si="27"/>
        <v>0</v>
      </c>
      <c r="F57" s="76">
        <f t="shared" si="27"/>
        <v>0</v>
      </c>
      <c r="G57" s="76">
        <f t="shared" si="27"/>
        <v>0</v>
      </c>
      <c r="H57" s="76">
        <f t="shared" si="27"/>
        <v>0</v>
      </c>
      <c r="I57" s="76">
        <f t="shared" si="27"/>
        <v>0</v>
      </c>
      <c r="J57" s="76">
        <f t="shared" si="27"/>
        <v>0</v>
      </c>
      <c r="K57" s="76">
        <f t="shared" si="27"/>
        <v>0</v>
      </c>
      <c r="L57" s="76">
        <f t="shared" si="27"/>
        <v>0</v>
      </c>
      <c r="M57" s="76" t="str">
        <f t="shared" si="27"/>
        <v/>
      </c>
    </row>
    <row r="58" spans="2:13">
      <c r="B58" s="40" t="s">
        <v>161</v>
      </c>
      <c r="C58" s="76">
        <f>IF(C$4="","",C44-C55-C56-C57)</f>
        <v>-87203308</v>
      </c>
      <c r="D58" s="76">
        <f t="shared" ref="D58:M58" si="28">IF(D$4="","",D44-D55-D56-D57)</f>
        <v>155395094</v>
      </c>
      <c r="E58" s="76">
        <f t="shared" si="28"/>
        <v>209498088</v>
      </c>
      <c r="F58" s="76">
        <f t="shared" si="28"/>
        <v>-71285916</v>
      </c>
      <c r="G58" s="76">
        <f t="shared" si="28"/>
        <v>-7181078</v>
      </c>
      <c r="H58" s="76">
        <f t="shared" si="28"/>
        <v>43367572</v>
      </c>
      <c r="I58" s="76">
        <f t="shared" si="28"/>
        <v>75732522</v>
      </c>
      <c r="J58" s="76">
        <f t="shared" si="28"/>
        <v>-11144508</v>
      </c>
      <c r="K58" s="76">
        <f t="shared" si="28"/>
        <v>29657771</v>
      </c>
      <c r="L58" s="76">
        <f t="shared" si="28"/>
        <v>31690153</v>
      </c>
      <c r="M58" s="76" t="str">
        <f t="shared" si="28"/>
        <v/>
      </c>
    </row>
    <row r="60" spans="2:13">
      <c r="B60" s="16" t="s">
        <v>51</v>
      </c>
      <c r="C60" s="9"/>
    </row>
    <row r="61" spans="2:13">
      <c r="B61" s="27" t="s">
        <v>47</v>
      </c>
      <c r="C61" s="318">
        <f>IF(C$4="","",-C19)</f>
        <v>-213032611</v>
      </c>
      <c r="D61" s="318">
        <f t="shared" ref="D61:M61" si="29">IF(D$4="","",-D19)</f>
        <v>-135475921</v>
      </c>
      <c r="E61" s="318">
        <f t="shared" si="29"/>
        <v>-104602959</v>
      </c>
      <c r="F61" s="318">
        <f t="shared" si="29"/>
        <v>-78877993</v>
      </c>
      <c r="G61" s="318">
        <f t="shared" si="29"/>
        <v>-40782935</v>
      </c>
      <c r="H61" s="318">
        <f t="shared" si="29"/>
        <v>-28330776</v>
      </c>
      <c r="I61" s="318">
        <f t="shared" si="29"/>
        <v>-25091208</v>
      </c>
      <c r="J61" s="318">
        <f t="shared" si="29"/>
        <v>0</v>
      </c>
      <c r="K61" s="318">
        <f t="shared" si="29"/>
        <v>0</v>
      </c>
      <c r="L61" s="318">
        <f t="shared" si="29"/>
        <v>0</v>
      </c>
      <c r="M61" s="318" t="str">
        <f t="shared" si="29"/>
        <v/>
      </c>
    </row>
    <row r="62" spans="2:13">
      <c r="B62" s="27" t="s">
        <v>53</v>
      </c>
      <c r="C62" s="318">
        <f>IF(C$4="","",IF(C20=0,C61,-C20))</f>
        <v>-213032611</v>
      </c>
      <c r="D62" s="318">
        <f t="shared" ref="D62:M62" si="30">IF(D$4="","",IF(D20=0,D61,-D20))</f>
        <v>-135475921</v>
      </c>
      <c r="E62" s="318">
        <f t="shared" si="30"/>
        <v>-104602959</v>
      </c>
      <c r="F62" s="318">
        <f t="shared" si="30"/>
        <v>-78877993</v>
      </c>
      <c r="G62" s="318">
        <f t="shared" si="30"/>
        <v>-40782935</v>
      </c>
      <c r="H62" s="318">
        <f t="shared" si="30"/>
        <v>-28330776</v>
      </c>
      <c r="I62" s="318">
        <f t="shared" si="30"/>
        <v>-25091208</v>
      </c>
      <c r="J62" s="318">
        <f t="shared" si="30"/>
        <v>0</v>
      </c>
      <c r="K62" s="318">
        <f t="shared" si="30"/>
        <v>0</v>
      </c>
      <c r="L62" s="318">
        <f t="shared" si="30"/>
        <v>0</v>
      </c>
      <c r="M62" s="318" t="str">
        <f t="shared" si="30"/>
        <v/>
      </c>
    </row>
    <row r="63" spans="2:13">
      <c r="B63" s="27" t="s">
        <v>52</v>
      </c>
      <c r="C63" s="318">
        <f>IF(C$4="","",-C21)</f>
        <v>0</v>
      </c>
      <c r="D63" s="318">
        <f t="shared" ref="D63:M63" si="31">IF(D$4="","",-D21)</f>
        <v>0</v>
      </c>
      <c r="E63" s="318">
        <f t="shared" si="31"/>
        <v>0</v>
      </c>
      <c r="F63" s="318">
        <f t="shared" si="31"/>
        <v>0</v>
      </c>
      <c r="G63" s="318">
        <f t="shared" si="31"/>
        <v>0</v>
      </c>
      <c r="H63" s="318">
        <f t="shared" si="31"/>
        <v>0</v>
      </c>
      <c r="I63" s="318">
        <f t="shared" si="31"/>
        <v>0</v>
      </c>
      <c r="J63" s="318">
        <f t="shared" si="31"/>
        <v>0</v>
      </c>
      <c r="K63" s="318">
        <f t="shared" si="31"/>
        <v>0</v>
      </c>
      <c r="L63" s="318">
        <f t="shared" si="31"/>
        <v>0</v>
      </c>
      <c r="M63" s="318" t="str">
        <f t="shared" si="31"/>
        <v/>
      </c>
    </row>
    <row r="64" spans="2:13">
      <c r="B64" s="27" t="s">
        <v>394</v>
      </c>
      <c r="C64" s="318">
        <f>IF(C$4="","",C22+C23+C24)</f>
        <v>741221685</v>
      </c>
      <c r="D64" s="318">
        <f t="shared" ref="D64:M64" si="32">IF(D$4="","",D22+D23+D24)</f>
        <v>844332114</v>
      </c>
      <c r="E64" s="318">
        <f t="shared" si="32"/>
        <v>-240301447</v>
      </c>
      <c r="F64" s="318">
        <f t="shared" si="32"/>
        <v>2373894353</v>
      </c>
      <c r="G64" s="318">
        <f t="shared" si="32"/>
        <v>-7746247</v>
      </c>
      <c r="H64" s="318">
        <f t="shared" si="32"/>
        <v>177260090</v>
      </c>
      <c r="I64" s="318">
        <f t="shared" si="32"/>
        <v>655722017</v>
      </c>
      <c r="J64" s="318">
        <f t="shared" si="32"/>
        <v>207883557</v>
      </c>
      <c r="K64" s="318">
        <f t="shared" si="32"/>
        <v>-58396107</v>
      </c>
      <c r="L64" s="318">
        <f t="shared" si="32"/>
        <v>177103981</v>
      </c>
      <c r="M64" s="318" t="str">
        <f t="shared" si="32"/>
        <v/>
      </c>
    </row>
    <row r="65" spans="2:13">
      <c r="B65" s="24" t="s">
        <v>36</v>
      </c>
      <c r="C65" s="73">
        <f>IF(C$4="","",C25)</f>
        <v>1</v>
      </c>
      <c r="D65" s="73">
        <f t="shared" ref="D65:M65" si="33">IF(D$4="","",D25)</f>
        <v>1</v>
      </c>
      <c r="E65" s="73">
        <f t="shared" si="33"/>
        <v>0.5</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85</v>
      </c>
    </row>
    <row r="68" spans="2:13">
      <c r="B68" s="1" t="str">
        <f>B36</f>
        <v>Sales</v>
      </c>
      <c r="C68" s="92">
        <f t="shared" ref="C68:M68" si="34">IF(D$36="","",C36/D36-1)</f>
        <v>0.23557646468460058</v>
      </c>
      <c r="D68" s="92">
        <f t="shared" si="34"/>
        <v>0.15918951688273086</v>
      </c>
      <c r="E68" s="92">
        <f t="shared" si="34"/>
        <v>0.10241026278459486</v>
      </c>
      <c r="F68" s="92">
        <f t="shared" si="34"/>
        <v>0.67051733030020255</v>
      </c>
      <c r="G68" s="92">
        <f t="shared" si="34"/>
        <v>0.2374711605315063</v>
      </c>
      <c r="H68" s="92">
        <f t="shared" si="34"/>
        <v>0.39929822681154925</v>
      </c>
      <c r="I68" s="92">
        <f t="shared" si="34"/>
        <v>0.49891375301179886</v>
      </c>
      <c r="J68" s="92">
        <f t="shared" si="34"/>
        <v>0.63992176563831493</v>
      </c>
      <c r="K68" s="92">
        <f t="shared" si="34"/>
        <v>0.44976663618867407</v>
      </c>
      <c r="L68" s="92" t="str">
        <f t="shared" si="34"/>
        <v/>
      </c>
      <c r="M68" s="92" t="str">
        <f t="shared" si="34"/>
        <v/>
      </c>
    </row>
    <row r="69" spans="2:13">
      <c r="B69" s="31" t="s">
        <v>58</v>
      </c>
      <c r="C69" s="92">
        <f>IF(D$36="","",C38/D38-1)</f>
        <v>0.12037813586364821</v>
      </c>
      <c r="D69" s="92">
        <f t="shared" ref="D69:M69" si="35">IF(E$36="","",D38/E38-1)</f>
        <v>0.42801594876404092</v>
      </c>
      <c r="E69" s="92">
        <f t="shared" si="35"/>
        <v>0.1699651072984163</v>
      </c>
      <c r="F69" s="92">
        <f t="shared" si="35"/>
        <v>0.40609362521149217</v>
      </c>
      <c r="G69" s="92">
        <f t="shared" si="35"/>
        <v>8.2921904486536357E-2</v>
      </c>
      <c r="H69" s="92">
        <f t="shared" si="35"/>
        <v>0.34680310339056808</v>
      </c>
      <c r="I69" s="92">
        <f t="shared" si="35"/>
        <v>0.49845256137392369</v>
      </c>
      <c r="J69" s="92">
        <f t="shared" si="35"/>
        <v>0.62024980893871717</v>
      </c>
      <c r="K69" s="92">
        <f t="shared" si="35"/>
        <v>0.48531321733144805</v>
      </c>
      <c r="L69" s="92" t="str">
        <f t="shared" si="35"/>
        <v/>
      </c>
      <c r="M69" s="92" t="str">
        <f t="shared" si="35"/>
        <v/>
      </c>
    </row>
    <row r="70" spans="2:13">
      <c r="B70" s="80" t="str">
        <f>B43</f>
        <v>Operating EBIT</v>
      </c>
      <c r="C70" s="101">
        <f>IF(D$36="","",C43/D43-1)</f>
        <v>8.1834300512471314E-2</v>
      </c>
      <c r="D70" s="101">
        <f t="shared" ref="D70:M70" si="36">IF(E$36="","",D43/E43-1)</f>
        <v>0.50878815735337657</v>
      </c>
      <c r="E70" s="101">
        <f t="shared" si="36"/>
        <v>0.10614916814203301</v>
      </c>
      <c r="F70" s="101">
        <f t="shared" si="36"/>
        <v>0.42451636150373084</v>
      </c>
      <c r="G70" s="101">
        <f t="shared" si="36"/>
        <v>8.2022512429536398E-2</v>
      </c>
      <c r="H70" s="101">
        <f t="shared" si="36"/>
        <v>0.43192911609672224</v>
      </c>
      <c r="I70" s="101">
        <f t="shared" si="36"/>
        <v>0.42194012617190157</v>
      </c>
      <c r="J70" s="101">
        <f t="shared" si="36"/>
        <v>0.95148801992160514</v>
      </c>
      <c r="K70" s="101">
        <f t="shared" si="36"/>
        <v>0.52094354919340469</v>
      </c>
      <c r="L70" s="101" t="str">
        <f t="shared" si="36"/>
        <v/>
      </c>
      <c r="M70" s="101" t="str">
        <f t="shared" si="36"/>
        <v/>
      </c>
    </row>
    <row r="71" spans="2:13">
      <c r="B71" s="43" t="s">
        <v>169</v>
      </c>
      <c r="C71" s="101">
        <f>IF(D$36="","",C44/D44-1)</f>
        <v>-1.6799507085283147</v>
      </c>
      <c r="D71" s="101">
        <f t="shared" ref="D71:M71" si="37">IF(E$36="","",D44/E44-1)</f>
        <v>8.6426971427484567E-3</v>
      </c>
      <c r="E71" s="101">
        <f t="shared" si="37"/>
        <v>-4.2904814847209929</v>
      </c>
      <c r="F71" s="101">
        <f t="shared" si="37"/>
        <v>-18.87350888623893</v>
      </c>
      <c r="G71" s="101">
        <f t="shared" si="37"/>
        <v>-0.95251695593242225</v>
      </c>
      <c r="H71" s="101">
        <f t="shared" si="37"/>
        <v>0.30463452719771578</v>
      </c>
      <c r="I71" s="101">
        <f t="shared" si="37"/>
        <v>-6.6555272785483215</v>
      </c>
      <c r="J71" s="101">
        <f t="shared" si="37"/>
        <v>-1.3757702492206849</v>
      </c>
      <c r="K71" s="101">
        <f t="shared" si="37"/>
        <v>-6.4132918512573966E-2</v>
      </c>
      <c r="L71" s="101" t="str">
        <f t="shared" si="37"/>
        <v/>
      </c>
      <c r="M71" s="101" t="str">
        <f t="shared" si="37"/>
        <v/>
      </c>
    </row>
    <row r="72" spans="2:13">
      <c r="B72" s="80" t="str">
        <f>B47</f>
        <v>Reported Net Income</v>
      </c>
      <c r="C72" s="101">
        <f>IF(D$36="","",C47/D47-1)</f>
        <v>-0.12752465726600548</v>
      </c>
      <c r="D72" s="101">
        <f t="shared" ref="D72:M72" si="38">IF(E$36="","",D47/E47-1)</f>
        <v>0.48511460802361084</v>
      </c>
      <c r="E72" s="101">
        <f t="shared" si="38"/>
        <v>0.42147205080240124</v>
      </c>
      <c r="F72" s="101">
        <f t="shared" si="38"/>
        <v>0.33174199863552012</v>
      </c>
      <c r="G72" s="101">
        <f t="shared" si="38"/>
        <v>-4.3137665166419148E-2</v>
      </c>
      <c r="H72" s="101">
        <f t="shared" si="38"/>
        <v>0.44459267870546149</v>
      </c>
      <c r="I72" s="101">
        <f t="shared" si="38"/>
        <v>0.69689577417713955</v>
      </c>
      <c r="J72" s="101">
        <f t="shared" si="38"/>
        <v>0.61811152319108076</v>
      </c>
      <c r="K72" s="101">
        <f t="shared" si="38"/>
        <v>0.39152710263891111</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76">
        <f>IF(C$4="","",C79+C80)</f>
        <v>15353846792.639999</v>
      </c>
      <c r="D76" s="76">
        <f t="shared" ref="D76:M76" si="39">IF(D$4="","",D79+D80)</f>
        <v>14207301142</v>
      </c>
      <c r="E76" s="76">
        <f t="shared" si="39"/>
        <v>11801808511</v>
      </c>
      <c r="F76" s="76">
        <f t="shared" si="39"/>
        <v>9574469630</v>
      </c>
      <c r="G76" s="76">
        <f t="shared" si="39"/>
        <v>5869032275</v>
      </c>
      <c r="H76" s="76">
        <f t="shared" si="39"/>
        <v>4859452594</v>
      </c>
      <c r="I76" s="76">
        <f t="shared" si="39"/>
        <v>3633584727</v>
      </c>
      <c r="J76" s="76">
        <f t="shared" si="39"/>
        <v>2778559461</v>
      </c>
      <c r="K76" s="76">
        <f t="shared" si="39"/>
        <v>1371292107</v>
      </c>
      <c r="L76" s="76">
        <f t="shared" si="39"/>
        <v>1094930435</v>
      </c>
      <c r="M76" s="76" t="str">
        <f t="shared" si="39"/>
        <v/>
      </c>
    </row>
    <row r="77" spans="2:13">
      <c r="B77" s="93" t="s">
        <v>86</v>
      </c>
      <c r="C77" s="320">
        <f t="shared" ref="C77:H78" si="40">IF(C$4="","",C28)</f>
        <v>2470363699.1300001</v>
      </c>
      <c r="D77" s="320">
        <f t="shared" si="40"/>
        <v>2391271680</v>
      </c>
      <c r="E77" s="320">
        <f t="shared" si="40"/>
        <v>2078427810</v>
      </c>
      <c r="F77" s="320">
        <f t="shared" si="40"/>
        <v>1620191874</v>
      </c>
      <c r="G77" s="320">
        <f t="shared" si="40"/>
        <v>635971724</v>
      </c>
      <c r="H77" s="320">
        <f t="shared" si="40"/>
        <v>797615199</v>
      </c>
      <c r="I77" s="324"/>
      <c r="J77" s="324"/>
      <c r="K77" s="324"/>
      <c r="L77" s="324"/>
      <c r="M77" s="324"/>
    </row>
    <row r="78" spans="2:13">
      <c r="B78" s="93" t="s">
        <v>87</v>
      </c>
      <c r="C78" s="320">
        <f t="shared" si="40"/>
        <v>2342136338.9299998</v>
      </c>
      <c r="D78" s="320">
        <f t="shared" si="40"/>
        <v>1921374942</v>
      </c>
      <c r="E78" s="320">
        <f t="shared" si="40"/>
        <v>1795225840</v>
      </c>
      <c r="F78" s="320">
        <f t="shared" si="40"/>
        <v>1387177645</v>
      </c>
      <c r="G78" s="320">
        <f t="shared" si="40"/>
        <v>941597028</v>
      </c>
      <c r="H78" s="320">
        <f t="shared" si="40"/>
        <v>460791109</v>
      </c>
      <c r="I78" s="324"/>
      <c r="J78" s="324"/>
      <c r="K78" s="324"/>
      <c r="L78" s="324"/>
      <c r="M78" s="324"/>
    </row>
    <row r="79" spans="2:13">
      <c r="B79" s="26" t="s">
        <v>40</v>
      </c>
      <c r="C79" s="318">
        <f t="shared" ref="C79:M79" si="41">IF(C$4="","",C30)</f>
        <v>5315649326.7300005</v>
      </c>
      <c r="D79" s="318">
        <f t="shared" si="41"/>
        <v>5242067251</v>
      </c>
      <c r="E79" s="318">
        <f t="shared" si="41"/>
        <v>4736625835</v>
      </c>
      <c r="F79" s="318">
        <f t="shared" si="41"/>
        <v>3596300871</v>
      </c>
      <c r="G79" s="318">
        <f t="shared" si="41"/>
        <v>2124874675</v>
      </c>
      <c r="H79" s="318">
        <f t="shared" si="41"/>
        <v>1651958950</v>
      </c>
      <c r="I79" s="318">
        <f t="shared" si="41"/>
        <v>1032202540</v>
      </c>
      <c r="J79" s="318">
        <f t="shared" si="41"/>
        <v>576053698</v>
      </c>
      <c r="K79" s="318">
        <f t="shared" si="41"/>
        <v>285486746</v>
      </c>
      <c r="L79" s="318">
        <f t="shared" si="41"/>
        <v>172274845</v>
      </c>
      <c r="M79" s="318" t="str">
        <f t="shared" si="41"/>
        <v/>
      </c>
    </row>
    <row r="80" spans="2:13">
      <c r="B80" s="26" t="s">
        <v>30</v>
      </c>
      <c r="C80" s="318">
        <f t="shared" ref="C80:M80" si="42">IF(C$4="","",C31)</f>
        <v>10038197465.91</v>
      </c>
      <c r="D80" s="318">
        <f t="shared" si="42"/>
        <v>8965233891</v>
      </c>
      <c r="E80" s="318">
        <f t="shared" si="42"/>
        <v>7065182676</v>
      </c>
      <c r="F80" s="318">
        <f t="shared" si="42"/>
        <v>5978168759</v>
      </c>
      <c r="G80" s="318">
        <f t="shared" si="42"/>
        <v>3744157600</v>
      </c>
      <c r="H80" s="318">
        <f t="shared" si="42"/>
        <v>3207493644</v>
      </c>
      <c r="I80" s="318">
        <f t="shared" si="42"/>
        <v>2601382187</v>
      </c>
      <c r="J80" s="318">
        <f t="shared" si="42"/>
        <v>2202505763</v>
      </c>
      <c r="K80" s="318">
        <f t="shared" si="42"/>
        <v>1085805361</v>
      </c>
      <c r="L80" s="318">
        <f t="shared" si="42"/>
        <v>922655590</v>
      </c>
      <c r="M80" s="318"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C93" sqref="C93"/>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8" t="s">
        <v>37</v>
      </c>
      <c r="C1" s="99">
        <v>45657</v>
      </c>
      <c r="F1" s="86" t="str">
        <f>IF(MONTH(C1)=MONTH(Normalized_FCF!G1),"FY","Quarter")&amp;" Report"</f>
        <v>FY Report</v>
      </c>
      <c r="H1" s="107">
        <f>scaling_factor</f>
        <v>1</v>
      </c>
    </row>
    <row r="2" spans="2:8" ht="15" customHeight="1">
      <c r="B2" s="79" t="s">
        <v>157</v>
      </c>
      <c r="C2" s="37"/>
      <c r="D2" s="37"/>
      <c r="E2" s="37"/>
      <c r="F2" s="37"/>
      <c r="G2" s="37"/>
      <c r="H2" s="37"/>
    </row>
    <row r="3" spans="2:8" ht="15" customHeight="1">
      <c r="B3" s="16" t="s">
        <v>185</v>
      </c>
      <c r="C3" s="182" t="s">
        <v>137</v>
      </c>
      <c r="D3" s="183" t="s">
        <v>35</v>
      </c>
      <c r="F3" s="16" t="s">
        <v>186</v>
      </c>
      <c r="G3" s="182" t="s">
        <v>137</v>
      </c>
      <c r="H3" s="183" t="s">
        <v>35</v>
      </c>
    </row>
    <row r="4" spans="2:8" ht="15" customHeight="1">
      <c r="B4" s="4" t="s">
        <v>24</v>
      </c>
      <c r="C4" s="19">
        <f>20196142.69+2309129845.46+18315265.15+122722445.83</f>
        <v>2470363699.1300001</v>
      </c>
      <c r="D4" s="261">
        <v>0.6</v>
      </c>
      <c r="E4" s="25"/>
      <c r="F4" s="4" t="s">
        <v>78</v>
      </c>
      <c r="G4" s="19">
        <v>5078017354.46</v>
      </c>
      <c r="H4" s="261">
        <v>0.9</v>
      </c>
    </row>
    <row r="5" spans="2:8" ht="15" customHeight="1">
      <c r="B5" s="1" t="s">
        <v>33</v>
      </c>
      <c r="C5" s="19">
        <v>14974286.779999999</v>
      </c>
      <c r="D5" s="261">
        <v>0.6</v>
      </c>
      <c r="E5" s="25"/>
      <c r="F5" s="1" t="s">
        <v>29</v>
      </c>
      <c r="G5" s="19">
        <v>0</v>
      </c>
      <c r="H5" s="261">
        <v>0.7</v>
      </c>
    </row>
    <row r="6" spans="2:8" ht="15" customHeight="1">
      <c r="B6" s="4" t="s">
        <v>10</v>
      </c>
      <c r="C6" s="19">
        <v>2342136338.9299998</v>
      </c>
      <c r="D6" s="261">
        <v>0.5</v>
      </c>
      <c r="E6" s="25"/>
      <c r="F6" s="4" t="s">
        <v>178</v>
      </c>
      <c r="G6" s="19">
        <v>0</v>
      </c>
      <c r="H6" s="261">
        <v>0.6</v>
      </c>
    </row>
    <row r="7" spans="2:8" ht="15" customHeight="1">
      <c r="B7" s="1" t="s">
        <v>69</v>
      </c>
      <c r="C7" s="19">
        <v>0</v>
      </c>
      <c r="D7" s="261">
        <v>0.6</v>
      </c>
      <c r="E7" s="25"/>
      <c r="F7" s="4" t="s">
        <v>179</v>
      </c>
      <c r="G7" s="19">
        <v>208734591.13999999</v>
      </c>
      <c r="H7" s="261">
        <v>0.6</v>
      </c>
    </row>
    <row r="8" spans="2:8" ht="15" customHeight="1">
      <c r="B8" s="1" t="s">
        <v>174</v>
      </c>
      <c r="C8" s="19">
        <v>0</v>
      </c>
      <c r="D8" s="261">
        <v>0.6</v>
      </c>
      <c r="E8" s="25"/>
      <c r="F8" s="1" t="s">
        <v>180</v>
      </c>
      <c r="G8" s="19">
        <v>0</v>
      </c>
      <c r="H8" s="261">
        <v>0.6</v>
      </c>
    </row>
    <row r="9" spans="2:8" ht="15" customHeight="1">
      <c r="B9" s="4" t="s">
        <v>25</v>
      </c>
      <c r="C9" s="19">
        <v>26411605.120000001</v>
      </c>
      <c r="D9" s="261">
        <v>0.1</v>
      </c>
      <c r="E9" s="25"/>
      <c r="F9" s="4" t="s">
        <v>181</v>
      </c>
      <c r="G9" s="19">
        <v>0</v>
      </c>
      <c r="H9" s="261">
        <v>0.6</v>
      </c>
    </row>
    <row r="10" spans="2:8" ht="15" customHeight="1">
      <c r="B10" s="4" t="s">
        <v>11</v>
      </c>
      <c r="C10" s="19">
        <v>0</v>
      </c>
      <c r="D10" s="261">
        <v>0.9</v>
      </c>
      <c r="H10" s="262"/>
    </row>
    <row r="11" spans="2:8" ht="15" customHeight="1">
      <c r="B11" s="4" t="s">
        <v>12</v>
      </c>
      <c r="C11" s="19">
        <f>1154749077.73+69993040.32</f>
        <v>1224742118.05</v>
      </c>
      <c r="D11" s="261">
        <v>0.05</v>
      </c>
      <c r="H11" s="262"/>
    </row>
    <row r="12" spans="2:8" ht="15" customHeight="1">
      <c r="B12" s="80" t="s">
        <v>72</v>
      </c>
      <c r="C12" s="81">
        <f>SUM(C4:C11)</f>
        <v>6078628048.0100002</v>
      </c>
      <c r="D12" s="20">
        <f>C4*D4+C5*D5+C9*D9+C6*D6+C8*D8+C7*D7+C10*D10+C11*D11</f>
        <v>2726149227.4254999</v>
      </c>
      <c r="F12" s="80" t="s">
        <v>70</v>
      </c>
      <c r="G12" s="81">
        <f>SUM(G4:G9)</f>
        <v>5286751945.6000004</v>
      </c>
      <c r="H12" s="20">
        <f>G4*H4+G5*H5+G6*H6+G7*H7+G8*H8+G9*H9</f>
        <v>4695456373.698</v>
      </c>
    </row>
    <row r="13" spans="2:8" ht="15" customHeight="1">
      <c r="F13" s="80"/>
      <c r="G13" s="81"/>
      <c r="H13" s="20"/>
    </row>
    <row r="14" spans="2:8" ht="15" customHeight="1">
      <c r="B14" s="16" t="s">
        <v>184</v>
      </c>
      <c r="C14" s="182" t="s">
        <v>137</v>
      </c>
      <c r="D14" s="183" t="s">
        <v>35</v>
      </c>
      <c r="F14" s="16" t="s">
        <v>187</v>
      </c>
      <c r="G14" s="182" t="s">
        <v>137</v>
      </c>
      <c r="H14" s="183" t="s">
        <v>35</v>
      </c>
    </row>
    <row r="15" spans="2:8" ht="15" customHeight="1">
      <c r="B15" s="4" t="s">
        <v>73</v>
      </c>
      <c r="C15" s="19">
        <v>1017151265.9299999</v>
      </c>
      <c r="D15" s="261">
        <v>0.4</v>
      </c>
      <c r="F15" s="4" t="s">
        <v>79</v>
      </c>
      <c r="G15" s="19">
        <v>0</v>
      </c>
      <c r="H15" s="261">
        <v>0.8</v>
      </c>
    </row>
    <row r="16" spans="2:8" ht="15" customHeight="1">
      <c r="B16" s="1" t="s">
        <v>34</v>
      </c>
      <c r="C16" s="19">
        <v>0</v>
      </c>
      <c r="D16" s="261">
        <v>0.5</v>
      </c>
      <c r="F16" s="4" t="s">
        <v>178</v>
      </c>
      <c r="G16" s="19">
        <v>40867997.270000003</v>
      </c>
      <c r="H16" s="261">
        <v>0.6</v>
      </c>
    </row>
    <row r="17" spans="2:8" ht="15" customHeight="1">
      <c r="B17" s="1" t="s">
        <v>69</v>
      </c>
      <c r="C17" s="19">
        <v>0</v>
      </c>
      <c r="D17" s="261">
        <v>0.6</v>
      </c>
      <c r="F17" s="4" t="s">
        <v>179</v>
      </c>
      <c r="G17" s="19">
        <v>0</v>
      </c>
      <c r="H17" s="261">
        <v>0.6</v>
      </c>
    </row>
    <row r="18" spans="2:8" ht="15" customHeight="1">
      <c r="B18" s="4" t="s">
        <v>174</v>
      </c>
      <c r="C18" s="19">
        <v>0</v>
      </c>
      <c r="D18" s="261">
        <v>0.6</v>
      </c>
      <c r="F18" s="4" t="s">
        <v>182</v>
      </c>
      <c r="G18" s="19">
        <v>0</v>
      </c>
      <c r="H18" s="261">
        <v>0.1</v>
      </c>
    </row>
    <row r="19" spans="2:8" ht="15" customHeight="1">
      <c r="B19" s="4" t="s">
        <v>26</v>
      </c>
      <c r="C19" s="19">
        <f>1799948914+58349007.87+51120522.33</f>
        <v>1909418444.1999998</v>
      </c>
      <c r="D19" s="261">
        <v>0.1</v>
      </c>
      <c r="F19" s="4" t="s">
        <v>183</v>
      </c>
      <c r="G19" s="19">
        <v>0</v>
      </c>
      <c r="H19" s="261">
        <v>0.1</v>
      </c>
    </row>
    <row r="20" spans="2:8" ht="15" customHeight="1">
      <c r="B20" s="4" t="s">
        <v>18</v>
      </c>
      <c r="C20" s="19">
        <v>0</v>
      </c>
      <c r="D20" s="261">
        <v>0.05</v>
      </c>
      <c r="F20" s="4" t="s">
        <v>180</v>
      </c>
      <c r="G20" s="19">
        <v>0</v>
      </c>
      <c r="H20" s="261">
        <v>0.2</v>
      </c>
    </row>
    <row r="21" spans="2:8" ht="15" customHeight="1">
      <c r="B21" s="4" t="s">
        <v>19</v>
      </c>
      <c r="C21" s="19">
        <v>783590440.46000004</v>
      </c>
      <c r="D21" s="261">
        <v>0.05</v>
      </c>
      <c r="F21" s="1" t="s">
        <v>181</v>
      </c>
      <c r="G21" s="19">
        <v>0</v>
      </c>
      <c r="H21" s="261">
        <v>0.1</v>
      </c>
    </row>
    <row r="22" spans="2:8" ht="15" customHeight="1">
      <c r="B22" s="4" t="s">
        <v>20</v>
      </c>
      <c r="C22" s="19">
        <v>83517871.469999999</v>
      </c>
      <c r="D22" s="261">
        <v>0.9</v>
      </c>
      <c r="H22" s="262"/>
    </row>
    <row r="23" spans="2:8" ht="15" customHeight="1">
      <c r="B23" s="4" t="s">
        <v>21</v>
      </c>
      <c r="C23" s="19">
        <f>140139590.91+2936428.79+10844760</f>
        <v>153920779.69999999</v>
      </c>
      <c r="D23" s="261">
        <v>0</v>
      </c>
      <c r="H23" s="262"/>
    </row>
    <row r="24" spans="2:8" ht="15" customHeight="1">
      <c r="B24" s="80" t="s">
        <v>74</v>
      </c>
      <c r="C24" s="81">
        <f>SUM(C15:C23)</f>
        <v>3947598801.7599993</v>
      </c>
      <c r="D24" s="20">
        <f>C15*D15+C16*D16+C18*D18+C17*D17+C19*D19+C20*D20+C21*D21+C22*D22+C23*D23</f>
        <v>712147957.13799989</v>
      </c>
      <c r="F24" s="80" t="s">
        <v>71</v>
      </c>
      <c r="G24" s="81">
        <f>SUM(G15:G21)</f>
        <v>40867997.270000003</v>
      </c>
      <c r="H24" s="20">
        <f>G15*H15+G16*H16+G17*H17+G18*H18+G19*H19+G20*H20+G21*H21</f>
        <v>24520798.362</v>
      </c>
    </row>
    <row r="26" spans="2:8" ht="15" customHeight="1">
      <c r="B26" s="16" t="s">
        <v>201</v>
      </c>
      <c r="C26" s="182" t="s">
        <v>137</v>
      </c>
      <c r="F26" s="184" t="s">
        <v>197</v>
      </c>
      <c r="G26" s="185" t="s">
        <v>137</v>
      </c>
      <c r="H26" s="186" t="s">
        <v>35</v>
      </c>
    </row>
    <row r="27" spans="2:8" ht="15" customHeight="1">
      <c r="B27" s="4" t="s">
        <v>5</v>
      </c>
      <c r="C27" s="19">
        <v>110070694.45</v>
      </c>
      <c r="F27" s="187" t="s">
        <v>30</v>
      </c>
      <c r="G27" s="85">
        <f>G32-G30</f>
        <v>10038197465.91</v>
      </c>
      <c r="H27" s="188">
        <f>H32-G30</f>
        <v>2842625029.8935003</v>
      </c>
    </row>
    <row r="28" spans="2:8" ht="15" customHeight="1">
      <c r="B28" s="4" t="s">
        <v>6</v>
      </c>
      <c r="C28" s="19">
        <v>0</v>
      </c>
      <c r="F28" s="189" t="s">
        <v>245</v>
      </c>
      <c r="G28" s="12">
        <v>2901653.62</v>
      </c>
      <c r="H28" s="188"/>
    </row>
    <row r="29" spans="2:8" ht="15" customHeight="1">
      <c r="B29" s="4" t="s">
        <v>7</v>
      </c>
      <c r="C29" s="19">
        <v>0</v>
      </c>
      <c r="F29" s="190" t="s">
        <v>76</v>
      </c>
      <c r="G29" s="14">
        <f>G27-G28</f>
        <v>10035295812.289999</v>
      </c>
      <c r="H29" s="188">
        <f>H27-G28</f>
        <v>2839723376.2735004</v>
      </c>
    </row>
    <row r="30" spans="2:8" ht="15" customHeight="1">
      <c r="B30" s="2" t="s">
        <v>8</v>
      </c>
      <c r="C30" s="19">
        <v>999897.45</v>
      </c>
      <c r="F30" s="187" t="s">
        <v>23</v>
      </c>
      <c r="G30" s="85">
        <f>C33+C42</f>
        <v>5315649326.7300005</v>
      </c>
      <c r="H30" s="188"/>
    </row>
    <row r="31" spans="2:8" ht="15" customHeight="1">
      <c r="B31" s="80" t="s">
        <v>204</v>
      </c>
      <c r="C31" s="81">
        <f>SUM(C27:C30)</f>
        <v>111070591.90000001</v>
      </c>
      <c r="F31" s="190" t="s">
        <v>77</v>
      </c>
      <c r="G31" s="191">
        <f>C31+C40</f>
        <v>533481194.11000001</v>
      </c>
      <c r="H31" s="188"/>
    </row>
    <row r="32" spans="2:8" ht="15" customHeight="1">
      <c r="B32" s="4" t="s">
        <v>9</v>
      </c>
      <c r="C32" s="21">
        <f>C33-C31</f>
        <v>4411635716.5700006</v>
      </c>
      <c r="F32" s="192" t="s">
        <v>75</v>
      </c>
      <c r="G32" s="193">
        <f>G35+G40</f>
        <v>15353846792.640001</v>
      </c>
      <c r="H32" s="188">
        <f>H35+H40</f>
        <v>8158274356.6235008</v>
      </c>
    </row>
    <row r="33" spans="2:8" ht="15" customHeight="1">
      <c r="B33" s="83" t="s">
        <v>4</v>
      </c>
      <c r="C33" s="84">
        <v>4522706308.4700003</v>
      </c>
      <c r="F33" s="194"/>
      <c r="G33" s="2"/>
      <c r="H33" s="195"/>
    </row>
    <row r="34" spans="2:8" ht="15" customHeight="1">
      <c r="B34" s="83"/>
      <c r="C34" s="84"/>
      <c r="F34" s="196" t="s">
        <v>203</v>
      </c>
      <c r="G34" s="197" t="s">
        <v>137</v>
      </c>
      <c r="H34" s="198" t="s">
        <v>35</v>
      </c>
    </row>
    <row r="35" spans="2:8" ht="15" customHeight="1">
      <c r="B35" s="16" t="s">
        <v>202</v>
      </c>
      <c r="C35" s="182" t="s">
        <v>137</v>
      </c>
      <c r="F35" s="199" t="s">
        <v>31</v>
      </c>
      <c r="G35" s="193">
        <f>C12+C24</f>
        <v>10026226849.77</v>
      </c>
      <c r="H35" s="200">
        <f>D12+D24</f>
        <v>3438297184.5634999</v>
      </c>
    </row>
    <row r="36" spans="2:8" ht="15" customHeight="1">
      <c r="B36" s="4" t="s">
        <v>13</v>
      </c>
      <c r="C36" s="19">
        <v>378055365.97000003</v>
      </c>
      <c r="F36" s="190" t="s">
        <v>198</v>
      </c>
      <c r="G36" s="191">
        <f>C4+C15</f>
        <v>3487514965.0599999</v>
      </c>
      <c r="H36" s="195"/>
    </row>
    <row r="37" spans="2:8" ht="15" customHeight="1">
      <c r="B37" s="4" t="s">
        <v>14</v>
      </c>
      <c r="C37" s="19">
        <v>44355236.240000002</v>
      </c>
      <c r="F37" s="190" t="s">
        <v>199</v>
      </c>
      <c r="G37" s="191">
        <f>C6</f>
        <v>2342136338.9299998</v>
      </c>
      <c r="H37" s="195"/>
    </row>
    <row r="38" spans="2:8" ht="15" customHeight="1">
      <c r="B38" s="4" t="s">
        <v>15</v>
      </c>
      <c r="C38" s="19">
        <v>0</v>
      </c>
      <c r="F38" s="190" t="s">
        <v>200</v>
      </c>
      <c r="G38" s="191">
        <f>C7+C17</f>
        <v>0</v>
      </c>
      <c r="H38" s="195"/>
    </row>
    <row r="39" spans="2:8" ht="15" customHeight="1">
      <c r="B39" s="2" t="s">
        <v>16</v>
      </c>
      <c r="C39" s="19">
        <v>0</v>
      </c>
      <c r="F39" s="190" t="s">
        <v>80</v>
      </c>
      <c r="G39" s="191">
        <f>C7+C17+C19+C20</f>
        <v>1909418444.1999998</v>
      </c>
      <c r="H39" s="188">
        <f>C7*D7+C17*D17+C19*D19+C20*D20</f>
        <v>190941844.41999999</v>
      </c>
    </row>
    <row r="40" spans="2:8" ht="15" customHeight="1">
      <c r="B40" s="80" t="s">
        <v>205</v>
      </c>
      <c r="C40" s="81">
        <f>SUM(C36:C39)</f>
        <v>422410602.21000004</v>
      </c>
      <c r="F40" s="199" t="s">
        <v>139</v>
      </c>
      <c r="G40" s="193">
        <f>G12+G24</f>
        <v>5327619942.8700008</v>
      </c>
      <c r="H40" s="200">
        <f>H12+H24</f>
        <v>4719977172.0600004</v>
      </c>
    </row>
    <row r="41" spans="2:8" ht="15" customHeight="1">
      <c r="B41" s="4" t="s">
        <v>17</v>
      </c>
      <c r="C41" s="21">
        <f>C42-C40</f>
        <v>370532416.04999995</v>
      </c>
      <c r="F41" s="190" t="s">
        <v>192</v>
      </c>
      <c r="G41" s="191">
        <f>C70</f>
        <v>5118885351.7300005</v>
      </c>
      <c r="H41" s="200">
        <f>H40-H42</f>
        <v>4594736417.3760004</v>
      </c>
    </row>
    <row r="42" spans="2:8" ht="15" customHeight="1">
      <c r="B42" s="83" t="s">
        <v>22</v>
      </c>
      <c r="C42" s="84">
        <v>792943018.25999999</v>
      </c>
      <c r="F42" s="201" t="s">
        <v>193</v>
      </c>
      <c r="G42" s="202">
        <f>C82</f>
        <v>208734591.13999999</v>
      </c>
      <c r="H42" s="203">
        <f>D82</f>
        <v>125240754.68399999</v>
      </c>
    </row>
    <row r="44" spans="2:8" ht="15" customHeight="1">
      <c r="B44" s="79" t="s">
        <v>97</v>
      </c>
      <c r="C44" s="37"/>
      <c r="D44" s="37"/>
      <c r="E44" s="37"/>
      <c r="F44" s="37"/>
      <c r="G44" s="37"/>
      <c r="H44" s="37"/>
    </row>
    <row r="45" spans="2:8" ht="15" customHeight="1">
      <c r="B45" s="16" t="s">
        <v>272</v>
      </c>
      <c r="C45" s="234" t="s">
        <v>137</v>
      </c>
      <c r="D45" s="182" t="s">
        <v>406</v>
      </c>
      <c r="F45" s="256" t="s">
        <v>59</v>
      </c>
    </row>
    <row r="46" spans="2:8" ht="15" customHeight="1">
      <c r="B46" s="1" t="s">
        <v>274</v>
      </c>
      <c r="C46" s="76">
        <f>G29</f>
        <v>10035295812.289999</v>
      </c>
      <c r="D46" s="76">
        <f>H29</f>
        <v>2839723376.2735004</v>
      </c>
      <c r="F46" s="253"/>
    </row>
    <row r="47" spans="2:8" ht="15" customHeight="1">
      <c r="B47" s="1" t="str">
        <f>"Equity per share ("&amp;Market_currency&amp;")"</f>
        <v>Equity per share (CNY)</v>
      </c>
      <c r="C47" s="147">
        <f>C46*H1/Common_Shares*Exchange_Rate</f>
        <v>19.81897471775526</v>
      </c>
      <c r="D47" s="147">
        <f>D46*H1/Common_Shares*Exchange_Rate</f>
        <v>5.6082458208015922</v>
      </c>
      <c r="F47" s="253"/>
    </row>
    <row r="48" spans="2:8" ht="15" customHeight="1">
      <c r="F48" s="253"/>
    </row>
    <row r="49" spans="2:8" ht="15" customHeight="1">
      <c r="B49" s="157" t="s">
        <v>144</v>
      </c>
      <c r="C49" s="235" t="s">
        <v>57</v>
      </c>
      <c r="D49" s="197" t="s">
        <v>96</v>
      </c>
      <c r="E49" s="2"/>
      <c r="F49" s="253"/>
    </row>
    <row r="50" spans="2:8" ht="15" customHeight="1">
      <c r="B50" s="8" t="s">
        <v>94</v>
      </c>
      <c r="C50" s="95">
        <f>G31/Normalized_FCF!C8</f>
        <v>0.36488435676778314</v>
      </c>
      <c r="D50" s="95">
        <f>G31/Normalized_FCF!G8</f>
        <v>0.27358675457647003</v>
      </c>
      <c r="F50" s="253"/>
    </row>
    <row r="51" spans="2:8" ht="15" customHeight="1">
      <c r="B51" s="1" t="s">
        <v>177</v>
      </c>
      <c r="C51" s="181"/>
      <c r="D51" s="92">
        <f>G29/G32</f>
        <v>0.6536014034672083</v>
      </c>
      <c r="F51" s="253"/>
    </row>
    <row r="52" spans="2:8" ht="15" customHeight="1">
      <c r="F52" s="253"/>
    </row>
    <row r="53" spans="2:8" ht="15" customHeight="1">
      <c r="B53" s="157" t="s">
        <v>143</v>
      </c>
      <c r="C53" s="235" t="s">
        <v>57</v>
      </c>
      <c r="D53" s="197" t="s">
        <v>96</v>
      </c>
      <c r="F53" s="253"/>
    </row>
    <row r="54" spans="2:8" ht="15" customHeight="1">
      <c r="B54" s="1" t="s">
        <v>140</v>
      </c>
      <c r="C54" s="92">
        <f>Normalized_FCF!C8/G35</f>
        <v>0.14582310561324099</v>
      </c>
      <c r="D54" s="92">
        <f>Normalized_FCF!G8/G35</f>
        <v>0.19448518323168915</v>
      </c>
      <c r="F54" s="253"/>
    </row>
    <row r="55" spans="2:8" ht="15" customHeight="1">
      <c r="B55" s="1" t="s">
        <v>142</v>
      </c>
      <c r="C55" s="92">
        <f>Normalized_FCF!C11/G40</f>
        <v>0</v>
      </c>
      <c r="D55" s="92">
        <f>Normalized_FCF!G11/G40</f>
        <v>-1.3192376662314593E-2</v>
      </c>
      <c r="F55" s="253"/>
    </row>
    <row r="56" spans="2:8" ht="15" customHeight="1">
      <c r="F56" s="253"/>
    </row>
    <row r="57" spans="2:8" ht="15" customHeight="1">
      <c r="B57" s="157" t="s">
        <v>176</v>
      </c>
      <c r="C57" s="235" t="s">
        <v>57</v>
      </c>
      <c r="D57" s="197" t="s">
        <v>96</v>
      </c>
      <c r="F57" s="253"/>
    </row>
    <row r="58" spans="2:8" ht="15" customHeight="1">
      <c r="B58" s="2" t="s">
        <v>90</v>
      </c>
      <c r="C58" s="98"/>
      <c r="D58" s="23">
        <f>Normalized_FCF!G9/BS!$G$39</f>
        <v>0.11156936901238299</v>
      </c>
      <c r="F58" s="5"/>
    </row>
    <row r="59" spans="2:8" ht="15" customHeight="1">
      <c r="B59" s="1" t="s">
        <v>93</v>
      </c>
      <c r="C59" s="98"/>
      <c r="D59" s="92">
        <f>G39/G32</f>
        <v>0.12436091554041662</v>
      </c>
      <c r="F59" s="253"/>
    </row>
    <row r="60" spans="2:8" ht="15" customHeight="1">
      <c r="F60" s="253"/>
    </row>
    <row r="61" spans="2:8" ht="15" customHeight="1">
      <c r="B61" s="157" t="s">
        <v>275</v>
      </c>
      <c r="C61" s="235" t="s">
        <v>138</v>
      </c>
      <c r="D61" s="197" t="s">
        <v>96</v>
      </c>
      <c r="F61" s="253"/>
    </row>
    <row r="62" spans="2:8" ht="15" customHeight="1">
      <c r="B62" s="1" t="s">
        <v>246</v>
      </c>
      <c r="C62" s="92">
        <f>IF(G28&lt;=0,0,G28/G29)</f>
        <v>2.8914480193462864E-4</v>
      </c>
      <c r="D62" s="92">
        <f>G28/G29</f>
        <v>2.8914480193462864E-4</v>
      </c>
      <c r="F62" s="253" t="s">
        <v>273</v>
      </c>
    </row>
    <row r="64" spans="2:8" ht="15" customHeight="1">
      <c r="B64" s="79" t="s">
        <v>194</v>
      </c>
      <c r="C64" s="37"/>
      <c r="D64" s="37"/>
      <c r="E64" s="37"/>
      <c r="F64" s="37"/>
      <c r="G64" s="37"/>
      <c r="H64" s="37"/>
    </row>
    <row r="65" spans="2:6" ht="15" customHeight="1">
      <c r="B65" s="16" t="s">
        <v>189</v>
      </c>
      <c r="C65" s="234" t="s">
        <v>137</v>
      </c>
      <c r="D65" s="183" t="s">
        <v>286</v>
      </c>
      <c r="F65" s="256" t="s">
        <v>59</v>
      </c>
    </row>
    <row r="66" spans="2:6" ht="15" customHeight="1">
      <c r="B66" s="105" t="s">
        <v>188</v>
      </c>
      <c r="C66" s="20">
        <f>G4+G5+G15</f>
        <v>5078017354.46</v>
      </c>
      <c r="D66" s="76">
        <f>C66-D75</f>
        <v>4150855827.3182759</v>
      </c>
      <c r="F66" s="5" t="s">
        <v>227</v>
      </c>
    </row>
    <row r="67" spans="2:6" ht="15" customHeight="1">
      <c r="B67" s="105" t="s">
        <v>178</v>
      </c>
      <c r="C67" s="20">
        <f>G6+G16</f>
        <v>40867997.270000003</v>
      </c>
      <c r="F67" s="253"/>
    </row>
    <row r="68" spans="2:6" ht="15" customHeight="1">
      <c r="B68" s="105" t="s">
        <v>182</v>
      </c>
      <c r="C68" s="20">
        <f>G18</f>
        <v>0</v>
      </c>
      <c r="F68" s="253"/>
    </row>
    <row r="69" spans="2:6" ht="15" customHeight="1">
      <c r="B69" s="105" t="s">
        <v>180</v>
      </c>
      <c r="C69" s="20">
        <f>G8+G20</f>
        <v>0</v>
      </c>
      <c r="F69" s="253"/>
    </row>
    <row r="70" spans="2:6" ht="15" customHeight="1">
      <c r="B70" s="80" t="s">
        <v>189</v>
      </c>
      <c r="C70" s="81">
        <f>SUM(C66:C69)</f>
        <v>5118885351.7300005</v>
      </c>
      <c r="F70" s="253"/>
    </row>
    <row r="71" spans="2:6" ht="15" customHeight="1">
      <c r="F71" s="253"/>
    </row>
    <row r="72" spans="2:6" ht="15" customHeight="1">
      <c r="B72" s="255" t="s">
        <v>319</v>
      </c>
      <c r="C72" s="234" t="s">
        <v>96</v>
      </c>
      <c r="D72" s="182" t="s">
        <v>57</v>
      </c>
      <c r="F72" s="253"/>
    </row>
    <row r="73" spans="2:6" ht="15" customHeight="1">
      <c r="B73" s="105" t="s">
        <v>318</v>
      </c>
      <c r="C73" s="355">
        <f>(Normalized_FCF!G25+Normalized_FCF!G35-Normalized_FCF!G91)/12</f>
        <v>-529609107.66666669</v>
      </c>
      <c r="D73" s="355">
        <f>(Normalized_FCF!C25+Normalized_FCF!C35-Normalized_FCF!C91)/12</f>
        <v>-463580763.570862</v>
      </c>
      <c r="F73" s="1" t="s">
        <v>352</v>
      </c>
    </row>
    <row r="74" spans="2:6" ht="15" customHeight="1">
      <c r="B74" s="257" t="s">
        <v>322</v>
      </c>
      <c r="C74" s="258">
        <f>-$C$66/C73</f>
        <v>9.5882364577009476</v>
      </c>
      <c r="D74" s="258">
        <f>-$C$66/D73</f>
        <v>10.953900061221555</v>
      </c>
      <c r="F74" s="253" t="s">
        <v>320</v>
      </c>
    </row>
    <row r="75" spans="2:6" ht="15" customHeight="1">
      <c r="B75" s="80" t="s">
        <v>321</v>
      </c>
      <c r="C75" s="326"/>
      <c r="D75" s="327">
        <f>MAX(-D73*D76,G5)</f>
        <v>927161527.14172399</v>
      </c>
      <c r="F75" s="253" t="s">
        <v>353</v>
      </c>
    </row>
    <row r="76" spans="2:6" ht="15" customHeight="1">
      <c r="B76" s="259" t="s">
        <v>323</v>
      </c>
      <c r="C76" s="260"/>
      <c r="D76" s="290">
        <f>IF(valuation_method="DCF",IF(D74&lt;=3,1,IF(D74&gt;18,6,2)),-C66/D73)</f>
        <v>2</v>
      </c>
      <c r="F76" s="253" t="s">
        <v>324</v>
      </c>
    </row>
    <row r="77" spans="2:6" ht="15" customHeight="1">
      <c r="F77" s="253"/>
    </row>
    <row r="78" spans="2:6" ht="15" customHeight="1">
      <c r="B78" s="16" t="s">
        <v>190</v>
      </c>
      <c r="C78" s="234" t="s">
        <v>137</v>
      </c>
      <c r="D78" s="183" t="s">
        <v>35</v>
      </c>
      <c r="F78" s="253"/>
    </row>
    <row r="79" spans="2:6" ht="15" customHeight="1">
      <c r="B79" s="105" t="s">
        <v>179</v>
      </c>
      <c r="C79" s="20">
        <f>G7+G17</f>
        <v>208734591.13999999</v>
      </c>
      <c r="D79" s="76">
        <f>G7*H7+G17*H17</f>
        <v>125240754.68399999</v>
      </c>
      <c r="F79" s="253"/>
    </row>
    <row r="80" spans="2:6" ht="15" customHeight="1">
      <c r="B80" s="105" t="s">
        <v>183</v>
      </c>
      <c r="C80" s="20">
        <f>G19</f>
        <v>0</v>
      </c>
      <c r="D80" s="76">
        <f>G19*H19</f>
        <v>0</v>
      </c>
      <c r="F80" s="253"/>
    </row>
    <row r="81" spans="2:8" ht="15" customHeight="1">
      <c r="B81" s="105" t="s">
        <v>181</v>
      </c>
      <c r="C81" s="20">
        <f>G9+G21</f>
        <v>0</v>
      </c>
      <c r="D81" s="76">
        <f>G9*H9+G21*H21</f>
        <v>0</v>
      </c>
      <c r="F81" s="253"/>
    </row>
    <row r="82" spans="2:8" ht="15" customHeight="1">
      <c r="B82" s="80" t="s">
        <v>190</v>
      </c>
      <c r="C82" s="81">
        <f>SUM(C79:C81)</f>
        <v>208734591.13999999</v>
      </c>
      <c r="D82" s="81">
        <f>SUM(D79:D81)</f>
        <v>125240754.68399999</v>
      </c>
      <c r="F82" s="253"/>
    </row>
    <row r="84" spans="2:8" ht="15" customHeight="1">
      <c r="B84" s="79" t="s">
        <v>289</v>
      </c>
      <c r="C84" s="37"/>
      <c r="D84" s="37"/>
      <c r="E84" s="37"/>
      <c r="F84" s="37"/>
      <c r="G84" s="37"/>
      <c r="H84" s="37"/>
    </row>
    <row r="85" spans="2:8" ht="15" customHeight="1">
      <c r="B85" s="16" t="s">
        <v>290</v>
      </c>
      <c r="D85" s="241" t="s">
        <v>291</v>
      </c>
    </row>
    <row r="86" spans="2:8" ht="15" customHeight="1">
      <c r="B86" s="238" t="s">
        <v>287</v>
      </c>
      <c r="C86" s="76">
        <f>-DCF!C7*Exchange_Rate</f>
        <v>-533481194.11000001</v>
      </c>
      <c r="D86" s="223">
        <f>C86*scaling_factor/Common_Shares</f>
        <v>-1.0535863113786244</v>
      </c>
      <c r="E86" s="240" t="str">
        <f>Market_currency</f>
        <v>CNY</v>
      </c>
    </row>
    <row r="87" spans="2:8" ht="15" customHeight="1">
      <c r="B87" s="238" t="s">
        <v>288</v>
      </c>
      <c r="C87" s="76">
        <f>DCF!C8*Exchange_Rate</f>
        <v>4150855827.3182759</v>
      </c>
      <c r="D87" s="223">
        <f>C87*scaling_factor/Common_Shares</f>
        <v>8.1976364461443243</v>
      </c>
      <c r="E87" s="240" t="str">
        <f>Market_currency</f>
        <v>CNY</v>
      </c>
    </row>
    <row r="88" spans="2:8" ht="15" customHeight="1">
      <c r="B88" s="239" t="s">
        <v>190</v>
      </c>
      <c r="C88" s="76">
        <f>DCF!C9*Exchange_Rate</f>
        <v>125240754.68399999</v>
      </c>
      <c r="D88" s="223">
        <f>C88*scaling_factor/Common_Shares</f>
        <v>0.2473413237779159</v>
      </c>
      <c r="E88" s="240" t="str">
        <f>Market_currency</f>
        <v>CNY</v>
      </c>
    </row>
    <row r="89" spans="2:8" ht="15" customHeight="1">
      <c r="B89" s="80" t="s">
        <v>292</v>
      </c>
      <c r="C89" s="180">
        <f>SUM(C86:C88)</f>
        <v>3742615387.8922758</v>
      </c>
      <c r="D89" s="242">
        <f>SUM(D86:D88)</f>
        <v>7.391391458543616</v>
      </c>
      <c r="E89" s="240" t="str">
        <f>Market_currency</f>
        <v>CNY</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C17" sqref="C17"/>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90" t="str">
        <f>Thesis!C25</f>
        <v>CNY</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v>
      </c>
      <c r="D3" s="9"/>
      <c r="E3" s="268"/>
      <c r="F3" s="9"/>
      <c r="G3" s="9"/>
    </row>
    <row r="4" spans="1:17" ht="15.75" customHeight="1">
      <c r="A4" s="10"/>
      <c r="B4" s="26" t="s">
        <v>2</v>
      </c>
      <c r="C4" s="333">
        <f>AVERAGE(G4:I4)</f>
        <v>6518676820.666667</v>
      </c>
      <c r="D4" s="57"/>
      <c r="E4" s="266"/>
      <c r="F4" s="57"/>
      <c r="G4" s="339">
        <f>Data!C36</f>
        <v>7798913979</v>
      </c>
      <c r="H4" s="339">
        <f>Data!D36</f>
        <v>6311963850</v>
      </c>
      <c r="I4" s="339">
        <f>Data!E36</f>
        <v>5445152633</v>
      </c>
      <c r="J4" s="339">
        <f>Data!F36</f>
        <v>4939315985</v>
      </c>
      <c r="K4" s="339">
        <f>Data!G36</f>
        <v>2956758302</v>
      </c>
      <c r="L4" s="339">
        <f>Data!H36</f>
        <v>2389355321</v>
      </c>
      <c r="M4" s="339">
        <f>Data!I36</f>
        <v>1707538304</v>
      </c>
      <c r="N4" s="339">
        <f>Data!J36</f>
        <v>1139183826</v>
      </c>
      <c r="O4" s="339">
        <f>Data!K36</f>
        <v>694657422</v>
      </c>
      <c r="P4" s="339">
        <f>Data!L36</f>
        <v>479151199</v>
      </c>
      <c r="Q4" s="339" t="str">
        <f>Data!M36</f>
        <v/>
      </c>
    </row>
    <row r="5" spans="1:17" ht="15.75" customHeight="1">
      <c r="A5" s="10"/>
      <c r="B5" s="2" t="s">
        <v>46</v>
      </c>
      <c r="C5" s="334">
        <f>C25</f>
        <v>-4575868789.8503437</v>
      </c>
      <c r="E5" s="268"/>
      <c r="G5" s="339">
        <f t="shared" ref="G5:Q5" si="1">G25</f>
        <v>-5368208919</v>
      </c>
      <c r="H5" s="339">
        <f t="shared" si="1"/>
        <v>-4148281811</v>
      </c>
      <c r="I5" s="339">
        <f t="shared" si="1"/>
        <v>-3924733186</v>
      </c>
      <c r="J5" s="339">
        <f t="shared" si="1"/>
        <v>-3615941232</v>
      </c>
      <c r="K5" s="339">
        <f t="shared" si="1"/>
        <v>-2036512729</v>
      </c>
      <c r="L5" s="339">
        <f t="shared" si="1"/>
        <v>-1552184659</v>
      </c>
      <c r="M5" s="339">
        <f t="shared" si="1"/>
        <v>-1100073880</v>
      </c>
      <c r="N5" s="339">
        <f t="shared" si="1"/>
        <v>-723303378</v>
      </c>
      <c r="O5" s="339">
        <f t="shared" si="1"/>
        <v>-446068655</v>
      </c>
      <c r="P5" s="339">
        <f t="shared" si="1"/>
        <v>-317727381</v>
      </c>
      <c r="Q5" s="339" t="str">
        <f t="shared" si="1"/>
        <v/>
      </c>
    </row>
    <row r="6" spans="1:17" ht="15.75" customHeight="1">
      <c r="A6" s="10"/>
      <c r="B6" s="31" t="s">
        <v>48</v>
      </c>
      <c r="C6" s="335">
        <f>C4+C5</f>
        <v>1942808030.8163233</v>
      </c>
      <c r="E6" s="268"/>
      <c r="G6" s="335">
        <f>IF(G4="","",G4+G5)</f>
        <v>2430705060</v>
      </c>
      <c r="H6" s="335">
        <f t="shared" ref="H6:Q6" si="2">IF(H4="","",H4+H5)</f>
        <v>2163682039</v>
      </c>
      <c r="I6" s="335">
        <f t="shared" si="2"/>
        <v>1520419447</v>
      </c>
      <c r="J6" s="335">
        <f t="shared" si="2"/>
        <v>1323374753</v>
      </c>
      <c r="K6" s="335">
        <f t="shared" si="2"/>
        <v>920245573</v>
      </c>
      <c r="L6" s="335">
        <f t="shared" si="2"/>
        <v>837170662</v>
      </c>
      <c r="M6" s="335">
        <f t="shared" si="2"/>
        <v>607464424</v>
      </c>
      <c r="N6" s="335">
        <f t="shared" si="2"/>
        <v>415880448</v>
      </c>
      <c r="O6" s="335">
        <f t="shared" si="2"/>
        <v>248588767</v>
      </c>
      <c r="P6" s="335">
        <f t="shared" si="2"/>
        <v>161423818</v>
      </c>
      <c r="Q6" s="335" t="str">
        <f t="shared" si="2"/>
        <v/>
      </c>
    </row>
    <row r="7" spans="1:17" ht="15.75" customHeight="1">
      <c r="A7" s="10"/>
      <c r="B7" s="8" t="s">
        <v>45</v>
      </c>
      <c r="C7" s="334">
        <f>C35</f>
        <v>-480752494</v>
      </c>
      <c r="E7" s="268"/>
      <c r="G7" s="334">
        <f t="shared" ref="G7:Q7" si="3">G35</f>
        <v>-480752494</v>
      </c>
      <c r="H7" s="334">
        <f t="shared" si="3"/>
        <v>-361231733</v>
      </c>
      <c r="I7" s="334">
        <f t="shared" si="3"/>
        <v>-325785000</v>
      </c>
      <c r="J7" s="334">
        <f t="shared" si="3"/>
        <v>-243380769</v>
      </c>
      <c r="K7" s="334">
        <f t="shared" si="3"/>
        <v>-162097746</v>
      </c>
      <c r="L7" s="334">
        <f t="shared" si="3"/>
        <v>-136494088</v>
      </c>
      <c r="M7" s="334">
        <f t="shared" si="3"/>
        <v>-118140919</v>
      </c>
      <c r="N7" s="334">
        <f t="shared" si="3"/>
        <v>-71756602</v>
      </c>
      <c r="O7" s="334">
        <f t="shared" si="3"/>
        <v>-72249562</v>
      </c>
      <c r="P7" s="334">
        <f t="shared" si="3"/>
        <v>-45483154</v>
      </c>
      <c r="Q7" s="334" t="str">
        <f t="shared" si="3"/>
        <v/>
      </c>
    </row>
    <row r="8" spans="1:17" ht="15.75" customHeight="1">
      <c r="A8" s="10"/>
      <c r="B8" s="29" t="s">
        <v>153</v>
      </c>
      <c r="C8" s="336">
        <f>C6+C7</f>
        <v>1462055536.8163233</v>
      </c>
      <c r="D8" s="59"/>
      <c r="E8" s="274"/>
      <c r="F8" s="59"/>
      <c r="G8" s="335">
        <f>IF(G$4="","",G6+G7)</f>
        <v>1949952566</v>
      </c>
      <c r="H8" s="335">
        <f t="shared" ref="H8:Q8" si="4">IF(H$4="","",H6+H7)</f>
        <v>1802450306</v>
      </c>
      <c r="I8" s="335">
        <f t="shared" si="4"/>
        <v>1194634447</v>
      </c>
      <c r="J8" s="335">
        <f t="shared" si="4"/>
        <v>1079993984</v>
      </c>
      <c r="K8" s="335">
        <f t="shared" si="4"/>
        <v>758147827</v>
      </c>
      <c r="L8" s="335">
        <f t="shared" si="4"/>
        <v>700676574</v>
      </c>
      <c r="M8" s="335">
        <f t="shared" si="4"/>
        <v>489323505</v>
      </c>
      <c r="N8" s="335">
        <f t="shared" si="4"/>
        <v>344123846</v>
      </c>
      <c r="O8" s="335">
        <f t="shared" si="4"/>
        <v>176339205</v>
      </c>
      <c r="P8" s="335">
        <f t="shared" si="4"/>
        <v>115940664</v>
      </c>
      <c r="Q8" s="335" t="str">
        <f t="shared" si="4"/>
        <v/>
      </c>
    </row>
    <row r="9" spans="1:17" ht="15.75" customHeight="1">
      <c r="A9" s="10"/>
      <c r="B9" s="2" t="s">
        <v>65</v>
      </c>
      <c r="C9" s="334">
        <f>BS!$G$39*BS!D58</f>
        <v>213032611</v>
      </c>
      <c r="E9" s="268"/>
      <c r="G9" s="334">
        <f>IF(Data!C61="","",-Data!C61)</f>
        <v>213032611</v>
      </c>
      <c r="H9" s="334">
        <f>IF(Data!D61="","",-Data!D61)</f>
        <v>135475921</v>
      </c>
      <c r="I9" s="334">
        <f>IF(Data!E61="","",-Data!E61)</f>
        <v>104602959</v>
      </c>
      <c r="J9" s="334">
        <f>IF(Data!F61="","",-Data!F61)</f>
        <v>78877993</v>
      </c>
      <c r="K9" s="334">
        <f>IF(Data!G61="","",-Data!G61)</f>
        <v>40782935</v>
      </c>
      <c r="L9" s="334">
        <f>IF(Data!H61="","",-Data!H61)</f>
        <v>28330776</v>
      </c>
      <c r="M9" s="334">
        <f>IF(Data!I61="","",-Data!I61)</f>
        <v>25091208</v>
      </c>
      <c r="N9" s="334">
        <f>IF(Data!J61="","",-Data!J61)</f>
        <v>0</v>
      </c>
      <c r="O9" s="334">
        <f>IF(Data!K61="","",-Data!K61)</f>
        <v>0</v>
      </c>
      <c r="P9" s="334">
        <f>IF(Data!L61="","",-Data!L61)</f>
        <v>0</v>
      </c>
      <c r="Q9" s="334" t="str">
        <f>IF(Data!M61="","",-Data!M61)</f>
        <v/>
      </c>
    </row>
    <row r="10" spans="1:17" ht="15.75" customHeight="1">
      <c r="A10" s="10"/>
      <c r="B10" s="2" t="s">
        <v>81</v>
      </c>
      <c r="C10" s="334">
        <f>-C4*C78</f>
        <v>-213032611.00000003</v>
      </c>
      <c r="E10" s="268"/>
      <c r="G10" s="334">
        <f>Data!C62</f>
        <v>-213032611</v>
      </c>
      <c r="H10" s="334">
        <f>Data!D62</f>
        <v>-135475921</v>
      </c>
      <c r="I10" s="334">
        <f>Data!E62</f>
        <v>-104602959</v>
      </c>
      <c r="J10" s="334">
        <f>Data!F62</f>
        <v>-78877993</v>
      </c>
      <c r="K10" s="334">
        <f>Data!G62</f>
        <v>-40782935</v>
      </c>
      <c r="L10" s="334">
        <f>Data!H62</f>
        <v>-28330776</v>
      </c>
      <c r="M10" s="334">
        <f>Data!I62</f>
        <v>-25091208</v>
      </c>
      <c r="N10" s="334">
        <f>Data!J62</f>
        <v>0</v>
      </c>
      <c r="O10" s="334">
        <f>Data!K62</f>
        <v>0</v>
      </c>
      <c r="P10" s="334">
        <f>Data!L62</f>
        <v>0</v>
      </c>
      <c r="Q10" s="334" t="str">
        <f>Data!M62</f>
        <v/>
      </c>
    </row>
    <row r="11" spans="1:17" ht="15.75" customHeight="1">
      <c r="A11" s="10"/>
      <c r="B11" s="31" t="s">
        <v>195</v>
      </c>
      <c r="C11" s="337">
        <f>C63</f>
        <v>0</v>
      </c>
      <c r="D11" s="168"/>
      <c r="E11" s="267"/>
      <c r="F11" s="168"/>
      <c r="G11" s="340">
        <f>G61</f>
        <v>-70283969</v>
      </c>
      <c r="H11" s="340">
        <f t="shared" ref="H11:Q11" si="5">H61</f>
        <v>76220632</v>
      </c>
      <c r="I11" s="340">
        <f t="shared" si="5"/>
        <v>20133006</v>
      </c>
      <c r="J11" s="340">
        <f t="shared" si="5"/>
        <v>1499444</v>
      </c>
      <c r="K11" s="340">
        <f t="shared" si="5"/>
        <v>11085542</v>
      </c>
      <c r="L11" s="340">
        <f t="shared" si="5"/>
        <v>38861023</v>
      </c>
      <c r="M11" s="340">
        <f t="shared" si="5"/>
        <v>-12704453</v>
      </c>
      <c r="N11" s="340">
        <f t="shared" si="5"/>
        <v>0</v>
      </c>
      <c r="O11" s="340">
        <f t="shared" si="5"/>
        <v>0</v>
      </c>
      <c r="P11" s="340">
        <f t="shared" si="5"/>
        <v>0</v>
      </c>
      <c r="Q11" s="340" t="str">
        <f t="shared" si="5"/>
        <v/>
      </c>
    </row>
    <row r="12" spans="1:17" ht="15.75" customHeight="1">
      <c r="A12" s="10"/>
      <c r="B12" s="2" t="s">
        <v>68</v>
      </c>
      <c r="C12" s="334">
        <f>C50</f>
        <v>-1502297.7285827603</v>
      </c>
      <c r="E12" s="268"/>
      <c r="G12" s="334">
        <f>G50</f>
        <v>17809768.268777564</v>
      </c>
      <c r="H12" s="334">
        <f t="shared" ref="H12:Q12" si="6">H50</f>
        <v>9871848.1776871048</v>
      </c>
      <c r="I12" s="334">
        <f t="shared" si="6"/>
        <v>-7216373.9336116798</v>
      </c>
      <c r="J12" s="334">
        <f t="shared" si="6"/>
        <v>-2329288.6852256656</v>
      </c>
      <c r="K12" s="334">
        <f t="shared" si="6"/>
        <v>1187899.9407266113</v>
      </c>
      <c r="L12" s="334">
        <f t="shared" si="6"/>
        <v>1759286.672615598</v>
      </c>
      <c r="M12" s="334">
        <f t="shared" si="6"/>
        <v>1266165.0146564273</v>
      </c>
      <c r="N12" s="334">
        <f t="shared" si="6"/>
        <v>0</v>
      </c>
      <c r="O12" s="334">
        <f t="shared" si="6"/>
        <v>0</v>
      </c>
      <c r="P12" s="334">
        <f t="shared" si="6"/>
        <v>0</v>
      </c>
      <c r="Q12" s="334" t="str">
        <f t="shared" si="6"/>
        <v/>
      </c>
    </row>
    <row r="13" spans="1:17" ht="15.75" customHeight="1">
      <c r="A13" s="10"/>
      <c r="B13" s="70" t="s">
        <v>165</v>
      </c>
      <c r="C13" s="335">
        <f>SUM(C8:C12)</f>
        <v>1460553239.0877404</v>
      </c>
      <c r="E13" s="268"/>
      <c r="G13" s="335">
        <f>IF(G$4="","",SUM(G8:G12))</f>
        <v>1897478365.2687776</v>
      </c>
      <c r="H13" s="335">
        <f t="shared" ref="H13:Q13" si="7">IF(H$4="","",SUM(H8:H12))</f>
        <v>1888542786.1776872</v>
      </c>
      <c r="I13" s="335">
        <f t="shared" si="7"/>
        <v>1207551079.0663884</v>
      </c>
      <c r="J13" s="335">
        <f t="shared" si="7"/>
        <v>1079164139.3147743</v>
      </c>
      <c r="K13" s="335">
        <f t="shared" si="7"/>
        <v>770421268.94072664</v>
      </c>
      <c r="L13" s="335">
        <f t="shared" si="7"/>
        <v>741296883.67261565</v>
      </c>
      <c r="M13" s="335">
        <f t="shared" si="7"/>
        <v>477885217.01465642</v>
      </c>
      <c r="N13" s="335">
        <f t="shared" si="7"/>
        <v>344123846</v>
      </c>
      <c r="O13" s="335">
        <f t="shared" si="7"/>
        <v>176339205</v>
      </c>
      <c r="P13" s="335">
        <f t="shared" si="7"/>
        <v>115940664</v>
      </c>
      <c r="Q13" s="335" t="str">
        <f t="shared" si="7"/>
        <v/>
      </c>
    </row>
    <row r="14" spans="1:17" ht="15.75" customHeight="1">
      <c r="A14" s="10"/>
      <c r="B14" s="2" t="s">
        <v>63</v>
      </c>
      <c r="C14" s="334">
        <f>-SUM(C8+C11,C12)*C43</f>
        <v>-365138309.77193511</v>
      </c>
      <c r="E14" s="268"/>
      <c r="G14" s="334">
        <f>Data!C46</f>
        <v>-309204387</v>
      </c>
      <c r="H14" s="334">
        <f>Data!D46</f>
        <v>-307004817</v>
      </c>
      <c r="I14" s="334">
        <f>Data!E46</f>
        <v>-202660810</v>
      </c>
      <c r="J14" s="334">
        <f>Data!F46</f>
        <v>-136628407</v>
      </c>
      <c r="K14" s="334">
        <f>Data!G46</f>
        <v>-109313998</v>
      </c>
      <c r="L14" s="334">
        <f>Data!H46</f>
        <v>-110812786</v>
      </c>
      <c r="M14" s="334">
        <f>Data!I46</f>
        <v>-84670792</v>
      </c>
      <c r="N14" s="334">
        <f>Data!J46</f>
        <v>-49833797</v>
      </c>
      <c r="O14" s="334">
        <f>Data!K46</f>
        <v>-31011793</v>
      </c>
      <c r="P14" s="334">
        <f>Data!L46</f>
        <v>-21880350</v>
      </c>
      <c r="Q14" s="334" t="str">
        <f>Data!M46</f>
        <v/>
      </c>
    </row>
    <row r="15" spans="1:17" ht="15.75" customHeight="1">
      <c r="A15" s="10"/>
      <c r="B15" s="40" t="s">
        <v>244</v>
      </c>
      <c r="C15" s="334">
        <f>-C4*C83</f>
        <v>-194943.10109087895</v>
      </c>
      <c r="D15" s="60"/>
      <c r="E15" s="275"/>
      <c r="F15" s="60"/>
      <c r="G15" s="339">
        <f>Data!C48</f>
        <v>-233229</v>
      </c>
      <c r="H15" s="339">
        <f>Data!D48</f>
        <v>0</v>
      </c>
      <c r="I15" s="339">
        <f>Data!E48</f>
        <v>0</v>
      </c>
      <c r="J15" s="339">
        <f>Data!F48</f>
        <v>0</v>
      </c>
      <c r="K15" s="339">
        <f>Data!G48</f>
        <v>0</v>
      </c>
      <c r="L15" s="339">
        <f>Data!H48</f>
        <v>0</v>
      </c>
      <c r="M15" s="339">
        <f>Data!I48</f>
        <v>0</v>
      </c>
      <c r="N15" s="339">
        <f>Data!J48</f>
        <v>0</v>
      </c>
      <c r="O15" s="339">
        <f>Data!K48</f>
        <v>-202868</v>
      </c>
      <c r="P15" s="339">
        <f>Data!L48</f>
        <v>-16241</v>
      </c>
      <c r="Q15" s="339" t="str">
        <f>Data!M48</f>
        <v/>
      </c>
    </row>
    <row r="16" spans="1:17" ht="15.75" customHeight="1">
      <c r="A16" s="10"/>
      <c r="B16" s="41" t="s">
        <v>155</v>
      </c>
      <c r="C16" s="338">
        <f>SUM(C13:C15)</f>
        <v>1095219986.2147145</v>
      </c>
      <c r="D16" s="61"/>
      <c r="E16" s="276"/>
      <c r="F16" s="61"/>
      <c r="G16" s="335">
        <f>IF(G$4="","",SUM(G13:G15))</f>
        <v>1588040749.2687776</v>
      </c>
      <c r="H16" s="335">
        <f t="shared" ref="H16:Q16" si="8">IF(H$4="","",SUM(H13:H15))</f>
        <v>1581537969.1776872</v>
      </c>
      <c r="I16" s="335">
        <f t="shared" si="8"/>
        <v>1004890269.0663884</v>
      </c>
      <c r="J16" s="335">
        <f t="shared" si="8"/>
        <v>942535732.31477427</v>
      </c>
      <c r="K16" s="335">
        <f t="shared" si="8"/>
        <v>661107270.94072664</v>
      </c>
      <c r="L16" s="335">
        <f t="shared" si="8"/>
        <v>630484097.67261565</v>
      </c>
      <c r="M16" s="335">
        <f t="shared" si="8"/>
        <v>393214425.01465642</v>
      </c>
      <c r="N16" s="335">
        <f t="shared" si="8"/>
        <v>294290049</v>
      </c>
      <c r="O16" s="335">
        <f t="shared" si="8"/>
        <v>145124544</v>
      </c>
      <c r="P16" s="335">
        <f t="shared" si="8"/>
        <v>94044073</v>
      </c>
      <c r="Q16" s="335" t="str">
        <f t="shared" si="8"/>
        <v/>
      </c>
    </row>
    <row r="17" spans="1:17" ht="15.75" customHeight="1">
      <c r="A17" s="10"/>
      <c r="B17" s="27" t="s">
        <v>52</v>
      </c>
      <c r="C17" s="334">
        <f>-C4*C85</f>
        <v>0</v>
      </c>
      <c r="D17" s="58"/>
      <c r="E17" s="267" t="s">
        <v>332</v>
      </c>
      <c r="F17" s="58"/>
      <c r="G17" s="341"/>
      <c r="H17" s="341"/>
      <c r="I17" s="341"/>
      <c r="J17" s="341"/>
      <c r="K17" s="341"/>
      <c r="L17" s="341"/>
      <c r="M17" s="341"/>
      <c r="N17" s="341"/>
      <c r="O17" s="341"/>
      <c r="P17" s="341"/>
      <c r="Q17" s="341"/>
    </row>
    <row r="18" spans="1:17" ht="15.75" customHeight="1">
      <c r="A18" s="10"/>
      <c r="B18" s="27" t="s">
        <v>99</v>
      </c>
      <c r="C18" s="334">
        <v>0</v>
      </c>
      <c r="D18" s="58"/>
      <c r="E18" s="267" t="s">
        <v>333</v>
      </c>
      <c r="F18" s="58"/>
      <c r="G18" s="342"/>
      <c r="H18" s="342"/>
      <c r="I18" s="342"/>
      <c r="J18" s="342"/>
      <c r="K18" s="342"/>
      <c r="L18" s="342"/>
      <c r="M18" s="342"/>
      <c r="N18" s="342"/>
      <c r="O18" s="342"/>
      <c r="P18" s="342"/>
      <c r="Q18" s="342"/>
    </row>
    <row r="19" spans="1:17" ht="15.75" customHeight="1">
      <c r="A19" s="10"/>
      <c r="B19" s="31" t="s">
        <v>66</v>
      </c>
      <c r="C19" s="335">
        <f>C16+C17</f>
        <v>1095219986.2147145</v>
      </c>
      <c r="D19" s="27"/>
      <c r="E19" s="265"/>
      <c r="F19" s="27"/>
      <c r="G19" s="340">
        <f>IF(G$4="","",G16+G17)</f>
        <v>1588040749.2687776</v>
      </c>
      <c r="H19" s="340">
        <f t="shared" ref="H19:Q19" si="9">IF(H$4="","",H16+H17)</f>
        <v>1581537969.1776872</v>
      </c>
      <c r="I19" s="340">
        <f t="shared" si="9"/>
        <v>1004890269.0663884</v>
      </c>
      <c r="J19" s="340">
        <f t="shared" si="9"/>
        <v>942535732.31477427</v>
      </c>
      <c r="K19" s="340">
        <f t="shared" si="9"/>
        <v>661107270.94072664</v>
      </c>
      <c r="L19" s="340">
        <f t="shared" si="9"/>
        <v>630484097.67261565</v>
      </c>
      <c r="M19" s="340">
        <f t="shared" si="9"/>
        <v>393214425.01465642</v>
      </c>
      <c r="N19" s="340">
        <f t="shared" si="9"/>
        <v>294290049</v>
      </c>
      <c r="O19" s="340">
        <f t="shared" si="9"/>
        <v>145124544</v>
      </c>
      <c r="P19" s="340">
        <f t="shared" si="9"/>
        <v>94044073</v>
      </c>
      <c r="Q19" s="340"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43">
        <f>-C4*C28</f>
        <v>-4363663800.5877705</v>
      </c>
      <c r="D23" s="58"/>
      <c r="E23" s="267"/>
      <c r="F23" s="58"/>
      <c r="G23" s="339">
        <f>Data!C37</f>
        <v>-5114327878</v>
      </c>
      <c r="H23" s="339">
        <f>Data!D37</f>
        <v>-3915820963</v>
      </c>
      <c r="I23" s="339">
        <f>Data!E37</f>
        <v>-3767200164</v>
      </c>
      <c r="J23" s="339">
        <f>Data!F37</f>
        <v>-3505125804</v>
      </c>
      <c r="K23" s="339">
        <f>Data!G37</f>
        <v>-1936776307</v>
      </c>
      <c r="L23" s="339">
        <f>Data!H37</f>
        <v>-1447475772</v>
      </c>
      <c r="M23" s="339">
        <f>Data!I37</f>
        <v>-1008193651</v>
      </c>
      <c r="N23" s="339">
        <f>Data!J37</f>
        <v>-672472586</v>
      </c>
      <c r="O23" s="339">
        <f>Data!K37</f>
        <v>-406608482</v>
      </c>
      <c r="P23" s="339">
        <f>Data!L37</f>
        <v>-285219753</v>
      </c>
      <c r="Q23" s="339" t="str">
        <f>Data!M37</f>
        <v/>
      </c>
    </row>
    <row r="24" spans="1:17" ht="15.75" customHeight="1">
      <c r="A24" s="10"/>
      <c r="B24" s="68" t="s">
        <v>62</v>
      </c>
      <c r="C24" s="334">
        <f>-C4*C29</f>
        <v>-212204989.26257277</v>
      </c>
      <c r="D24" s="27"/>
      <c r="E24" s="265"/>
      <c r="F24" s="27"/>
      <c r="G24" s="339">
        <f>Data!C40</f>
        <v>-253881041</v>
      </c>
      <c r="H24" s="339">
        <f>Data!D40</f>
        <v>-232460848</v>
      </c>
      <c r="I24" s="339">
        <f>Data!E40</f>
        <v>-157533022</v>
      </c>
      <c r="J24" s="339">
        <f>Data!F40</f>
        <v>-110815428</v>
      </c>
      <c r="K24" s="339">
        <f>Data!G40</f>
        <v>-99736422</v>
      </c>
      <c r="L24" s="339">
        <f>Data!H40</f>
        <v>-104708887</v>
      </c>
      <c r="M24" s="339">
        <f>Data!I40</f>
        <v>-91880229</v>
      </c>
      <c r="N24" s="339">
        <f>Data!J40</f>
        <v>-50830792</v>
      </c>
      <c r="O24" s="339">
        <f>Data!K40</f>
        <v>-39460173</v>
      </c>
      <c r="P24" s="339">
        <f>Data!L40</f>
        <v>-32507628</v>
      </c>
      <c r="Q24" s="339" t="str">
        <f>Data!M40</f>
        <v/>
      </c>
    </row>
    <row r="25" spans="1:17" ht="15.75" customHeight="1">
      <c r="A25" s="10"/>
      <c r="B25" s="70" t="s">
        <v>46</v>
      </c>
      <c r="C25" s="335">
        <f>C23+C24</f>
        <v>-4575868789.8503437</v>
      </c>
      <c r="D25" s="9"/>
      <c r="E25" s="273"/>
      <c r="F25" s="9"/>
      <c r="G25" s="335">
        <f t="shared" ref="G25:Q25" si="10">IF(G$4="","",G23+G24)</f>
        <v>-5368208919</v>
      </c>
      <c r="H25" s="335">
        <f t="shared" si="10"/>
        <v>-4148281811</v>
      </c>
      <c r="I25" s="335">
        <f t="shared" si="10"/>
        <v>-3924733186</v>
      </c>
      <c r="J25" s="335">
        <f t="shared" si="10"/>
        <v>-3615941232</v>
      </c>
      <c r="K25" s="335">
        <f t="shared" si="10"/>
        <v>-2036512729</v>
      </c>
      <c r="L25" s="335">
        <f t="shared" si="10"/>
        <v>-1552184659</v>
      </c>
      <c r="M25" s="335">
        <f t="shared" si="10"/>
        <v>-1100073880</v>
      </c>
      <c r="N25" s="335">
        <f t="shared" si="10"/>
        <v>-723303378</v>
      </c>
      <c r="O25" s="335">
        <f t="shared" si="10"/>
        <v>-446068655</v>
      </c>
      <c r="P25" s="335">
        <f t="shared" si="10"/>
        <v>-317727381</v>
      </c>
      <c r="Q25" s="335" t="str">
        <f t="shared" si="10"/>
        <v/>
      </c>
    </row>
    <row r="26" spans="1:17" ht="15.75" customHeight="1">
      <c r="A26" s="10"/>
      <c r="E26" s="268"/>
    </row>
    <row r="27" spans="1:17" ht="15.75" customHeight="1">
      <c r="A27" s="10"/>
      <c r="B27" s="64" t="s">
        <v>207</v>
      </c>
      <c r="E27" s="268"/>
    </row>
    <row r="28" spans="1:17" ht="15.75" customHeight="1">
      <c r="A28" s="10"/>
      <c r="B28" s="26" t="s">
        <v>43</v>
      </c>
      <c r="C28" s="63">
        <f>AVERAGE(G28:J28)</f>
        <v>0.66940944008043302</v>
      </c>
      <c r="D28" s="26"/>
      <c r="E28" s="266" t="s">
        <v>334</v>
      </c>
      <c r="F28" s="26"/>
      <c r="G28" s="13">
        <f t="shared" ref="G28:Q28" si="11">IF(G$4="","",ABS(G23/G$4))</f>
        <v>0.6557743670171593</v>
      </c>
      <c r="H28" s="13">
        <f t="shared" si="11"/>
        <v>0.62038076517184104</v>
      </c>
      <c r="I28" s="13">
        <f t="shared" si="11"/>
        <v>0.69184473198586283</v>
      </c>
      <c r="J28" s="13">
        <f t="shared" si="11"/>
        <v>0.70963789614686901</v>
      </c>
      <c r="K28" s="13">
        <f t="shared" si="11"/>
        <v>0.65503369203019823</v>
      </c>
      <c r="L28" s="13">
        <f t="shared" si="11"/>
        <v>0.60580180740727929</v>
      </c>
      <c r="M28" s="13">
        <f t="shared" si="11"/>
        <v>0.59043691648863883</v>
      </c>
      <c r="N28" s="13">
        <f t="shared" si="11"/>
        <v>0.59031086173444325</v>
      </c>
      <c r="O28" s="13">
        <f t="shared" si="11"/>
        <v>0.58533669852591019</v>
      </c>
      <c r="P28" s="13">
        <f t="shared" si="11"/>
        <v>0.59526043886618762</v>
      </c>
      <c r="Q28" s="13" t="str">
        <f t="shared" si="11"/>
        <v/>
      </c>
    </row>
    <row r="29" spans="1:17" ht="15.75" customHeight="1">
      <c r="A29" s="10"/>
      <c r="B29" s="68" t="str">
        <f>B24</f>
        <v>Selling Expenses</v>
      </c>
      <c r="C29" s="63">
        <f>G29</f>
        <v>3.2553383930585857E-2</v>
      </c>
      <c r="D29" s="26"/>
      <c r="E29" s="266" t="s">
        <v>334</v>
      </c>
      <c r="F29" s="26"/>
      <c r="G29" s="13">
        <f t="shared" ref="G29:Q29" si="12">IF(G$4="","",ABS(G24/G$4))</f>
        <v>3.2553383930585857E-2</v>
      </c>
      <c r="H29" s="13">
        <f t="shared" si="12"/>
        <v>3.682860889642136E-2</v>
      </c>
      <c r="I29" s="13">
        <f t="shared" si="12"/>
        <v>2.8930873497517988E-2</v>
      </c>
      <c r="J29" s="13">
        <f t="shared" si="12"/>
        <v>2.2435379379762439E-2</v>
      </c>
      <c r="K29" s="13">
        <f t="shared" si="12"/>
        <v>3.3731679025822518E-2</v>
      </c>
      <c r="L29" s="13">
        <f t="shared" si="12"/>
        <v>4.3823070633201983E-2</v>
      </c>
      <c r="M29" s="13">
        <f t="shared" si="12"/>
        <v>5.3808590287412958E-2</v>
      </c>
      <c r="N29" s="13">
        <f t="shared" si="12"/>
        <v>4.462035962929832E-2</v>
      </c>
      <c r="O29" s="13">
        <f t="shared" si="12"/>
        <v>5.6805227656518152E-2</v>
      </c>
      <c r="P29" s="13">
        <f t="shared" si="12"/>
        <v>6.7844196295123949E-2</v>
      </c>
      <c r="Q29" s="13" t="str">
        <f t="shared" si="12"/>
        <v/>
      </c>
    </row>
    <row r="30" spans="1:17" ht="15.75" customHeight="1">
      <c r="A30" s="10"/>
      <c r="B30" s="70" t="s">
        <v>46</v>
      </c>
      <c r="C30" s="71">
        <f>ABS(C25/$C$4)</f>
        <v>0.70196282401101884</v>
      </c>
      <c r="E30" s="268"/>
      <c r="G30" s="30">
        <f t="shared" ref="G30:Q30" si="13">IF(G$4="","",ABS(G25/G$4))</f>
        <v>0.68832775094774512</v>
      </c>
      <c r="H30" s="30">
        <f t="shared" si="13"/>
        <v>0.65720937406826241</v>
      </c>
      <c r="I30" s="30">
        <f t="shared" si="13"/>
        <v>0.72077560548338071</v>
      </c>
      <c r="J30" s="30">
        <f t="shared" si="13"/>
        <v>0.73207327552663148</v>
      </c>
      <c r="K30" s="30">
        <f t="shared" si="13"/>
        <v>0.68876537105602076</v>
      </c>
      <c r="L30" s="30">
        <f t="shared" si="13"/>
        <v>0.6496248780404813</v>
      </c>
      <c r="M30" s="30">
        <f t="shared" si="13"/>
        <v>0.64424550677605175</v>
      </c>
      <c r="N30" s="30">
        <f t="shared" si="13"/>
        <v>0.63493122136374147</v>
      </c>
      <c r="O30" s="30">
        <f t="shared" si="13"/>
        <v>0.64214192618242838</v>
      </c>
      <c r="P30" s="30">
        <f t="shared" si="13"/>
        <v>0.66310463516131157</v>
      </c>
      <c r="Q30" s="30" t="str">
        <f t="shared" si="13"/>
        <v/>
      </c>
    </row>
    <row r="31" spans="1:17" ht="15.75" customHeight="1">
      <c r="A31" s="10"/>
      <c r="E31" s="268"/>
    </row>
    <row r="32" spans="1:17" ht="15.75" customHeight="1">
      <c r="A32" s="10"/>
      <c r="B32" s="64" t="s">
        <v>45</v>
      </c>
      <c r="E32" s="268"/>
    </row>
    <row r="33" spans="1:17" ht="15.75" customHeight="1">
      <c r="A33" s="10"/>
      <c r="B33" s="8" t="s">
        <v>175</v>
      </c>
      <c r="C33" s="346">
        <f>G33</f>
        <v>-224833898</v>
      </c>
      <c r="E33" s="266" t="s">
        <v>334</v>
      </c>
      <c r="G33" s="334">
        <f>Data!C41</f>
        <v>-224833898</v>
      </c>
      <c r="H33" s="334">
        <f>Data!D41</f>
        <v>-141225031</v>
      </c>
      <c r="I33" s="334">
        <f>Data!E41</f>
        <v>-123453949</v>
      </c>
      <c r="J33" s="334">
        <f>Data!F41</f>
        <v>-88435345</v>
      </c>
      <c r="K33" s="334">
        <f>Data!G41</f>
        <v>-57377625</v>
      </c>
      <c r="L33" s="334">
        <f>Data!H41</f>
        <v>-57327987</v>
      </c>
      <c r="M33" s="334">
        <f>Data!I41</f>
        <v>-56653756</v>
      </c>
      <c r="N33" s="334">
        <f>Data!J41</f>
        <v>-71756602</v>
      </c>
      <c r="O33" s="334">
        <f>Data!K41</f>
        <v>-72249562</v>
      </c>
      <c r="P33" s="334">
        <f>Data!L41</f>
        <v>-45483154</v>
      </c>
      <c r="Q33" s="334" t="str">
        <f>Data!M41</f>
        <v/>
      </c>
    </row>
    <row r="34" spans="1:17" ht="15.75" customHeight="1">
      <c r="A34" s="10"/>
      <c r="B34" s="27" t="s">
        <v>49</v>
      </c>
      <c r="C34" s="346">
        <f>G34</f>
        <v>-255918596</v>
      </c>
      <c r="D34" s="58"/>
      <c r="E34" s="266" t="s">
        <v>334</v>
      </c>
      <c r="F34" s="58"/>
      <c r="G34" s="339">
        <f>Data!C42</f>
        <v>-255918596</v>
      </c>
      <c r="H34" s="339">
        <f>Data!D42</f>
        <v>-220006702</v>
      </c>
      <c r="I34" s="339">
        <f>Data!E42</f>
        <v>-202331051</v>
      </c>
      <c r="J34" s="339">
        <f>Data!F42</f>
        <v>-154945424</v>
      </c>
      <c r="K34" s="339">
        <f>Data!G42</f>
        <v>-104720121</v>
      </c>
      <c r="L34" s="339">
        <f>Data!H42</f>
        <v>-79166101</v>
      </c>
      <c r="M34" s="339">
        <f>Data!I42</f>
        <v>-61487163</v>
      </c>
      <c r="N34" s="339">
        <f>Data!J42</f>
        <v>0</v>
      </c>
      <c r="O34" s="339">
        <f>Data!K42</f>
        <v>0</v>
      </c>
      <c r="P34" s="339">
        <f>Data!L42</f>
        <v>0</v>
      </c>
      <c r="Q34" s="339" t="str">
        <f>Data!M42</f>
        <v/>
      </c>
    </row>
    <row r="35" spans="1:17" ht="15.75" customHeight="1">
      <c r="A35" s="10"/>
      <c r="B35" s="70" t="s">
        <v>45</v>
      </c>
      <c r="C35" s="335">
        <f>C33+C34</f>
        <v>-480752494</v>
      </c>
      <c r="D35" s="58"/>
      <c r="E35" s="267"/>
      <c r="F35" s="58"/>
      <c r="G35" s="335">
        <f t="shared" ref="G35:Q35" si="14">IF(G4="","",G33+G34)</f>
        <v>-480752494</v>
      </c>
      <c r="H35" s="335">
        <f t="shared" si="14"/>
        <v>-361231733</v>
      </c>
      <c r="I35" s="335">
        <f t="shared" si="14"/>
        <v>-325785000</v>
      </c>
      <c r="J35" s="335">
        <f t="shared" si="14"/>
        <v>-243380769</v>
      </c>
      <c r="K35" s="335">
        <f t="shared" si="14"/>
        <v>-162097746</v>
      </c>
      <c r="L35" s="335">
        <f t="shared" si="14"/>
        <v>-136494088</v>
      </c>
      <c r="M35" s="335">
        <f t="shared" si="14"/>
        <v>-118140919</v>
      </c>
      <c r="N35" s="335">
        <f t="shared" si="14"/>
        <v>-71756602</v>
      </c>
      <c r="O35" s="335">
        <f t="shared" si="14"/>
        <v>-72249562</v>
      </c>
      <c r="P35" s="335">
        <f t="shared" si="14"/>
        <v>-45483154</v>
      </c>
      <c r="Q35" s="335" t="str">
        <f t="shared" si="14"/>
        <v/>
      </c>
    </row>
    <row r="36" spans="1:17" ht="15.75" customHeight="1">
      <c r="A36" s="10"/>
      <c r="E36" s="268"/>
    </row>
    <row r="37" spans="1:17" ht="15.75" customHeight="1">
      <c r="A37" s="10"/>
      <c r="B37" s="64" t="s">
        <v>208</v>
      </c>
      <c r="E37" s="268"/>
    </row>
    <row r="38" spans="1:17" ht="15.75" customHeight="1">
      <c r="A38" s="10"/>
      <c r="B38" s="2" t="str">
        <f>B33</f>
        <v>G&amp;A and other Opex</v>
      </c>
      <c r="C38" s="23">
        <f>ABS(C33/$C$4)</f>
        <v>3.449072629083124E-2</v>
      </c>
      <c r="D38" s="27"/>
      <c r="E38" s="265"/>
      <c r="F38" s="27"/>
      <c r="G38" s="13">
        <f t="shared" ref="G38:Q38" si="15">IF(G$4="","",ABS(G33/G$4))</f>
        <v>2.8828872661681656E-2</v>
      </c>
      <c r="H38" s="13">
        <f t="shared" si="15"/>
        <v>2.2374182482049546E-2</v>
      </c>
      <c r="I38" s="13">
        <f t="shared" si="15"/>
        <v>2.2672266017267399E-2</v>
      </c>
      <c r="J38" s="13">
        <f t="shared" si="15"/>
        <v>1.7904370821499486E-2</v>
      </c>
      <c r="K38" s="13">
        <f t="shared" si="15"/>
        <v>1.9405585150869056E-2</v>
      </c>
      <c r="L38" s="13">
        <f t="shared" si="15"/>
        <v>2.3993077336026743E-2</v>
      </c>
      <c r="M38" s="13">
        <f t="shared" si="15"/>
        <v>3.3178615008099988E-2</v>
      </c>
      <c r="N38" s="13">
        <f t="shared" si="15"/>
        <v>6.2989484543471738E-2</v>
      </c>
      <c r="O38" s="13">
        <f t="shared" si="15"/>
        <v>0.10400747146987224</v>
      </c>
      <c r="P38" s="13">
        <f t="shared" si="15"/>
        <v>9.4924429063152571E-2</v>
      </c>
      <c r="Q38" s="13" t="str">
        <f t="shared" si="15"/>
        <v/>
      </c>
    </row>
    <row r="39" spans="1:17" ht="15.75" customHeight="1">
      <c r="A39" s="10"/>
      <c r="B39" s="27" t="str">
        <f>B34</f>
        <v>R&amp;D</v>
      </c>
      <c r="C39" s="23">
        <f>ABS(C34/$C$4)</f>
        <v>3.9259285747782653E-2</v>
      </c>
      <c r="D39" s="27"/>
      <c r="E39" s="265"/>
      <c r="F39" s="27"/>
      <c r="G39" s="13">
        <f t="shared" ref="G39:Q39" si="16">IF(G$4="","",ABS(G34/G$4))</f>
        <v>3.2814645306911645E-2</v>
      </c>
      <c r="H39" s="13">
        <f t="shared" si="16"/>
        <v>3.4855507291918345E-2</v>
      </c>
      <c r="I39" s="13">
        <f t="shared" si="16"/>
        <v>3.7158012756848283E-2</v>
      </c>
      <c r="J39" s="13">
        <f t="shared" si="16"/>
        <v>3.1369814053311677E-2</v>
      </c>
      <c r="K39" s="13">
        <f t="shared" si="16"/>
        <v>3.5417207057190161E-2</v>
      </c>
      <c r="L39" s="13">
        <f t="shared" si="16"/>
        <v>3.3132828886608283E-2</v>
      </c>
      <c r="M39" s="13">
        <f t="shared" si="16"/>
        <v>3.600924374929864E-2</v>
      </c>
      <c r="N39" s="13">
        <f t="shared" si="16"/>
        <v>0</v>
      </c>
      <c r="O39" s="13">
        <f t="shared" si="16"/>
        <v>0</v>
      </c>
      <c r="P39" s="13">
        <f t="shared" si="16"/>
        <v>0</v>
      </c>
      <c r="Q39" s="13" t="str">
        <f t="shared" si="16"/>
        <v/>
      </c>
    </row>
    <row r="40" spans="1:17" ht="15.75" customHeight="1">
      <c r="A40" s="10"/>
      <c r="B40" s="70" t="s">
        <v>45</v>
      </c>
      <c r="C40" s="71">
        <f>ABS(C35/$C$4)</f>
        <v>7.3750012038613894E-2</v>
      </c>
      <c r="E40" s="268"/>
      <c r="G40" s="30">
        <f t="shared" ref="G40:Q40" si="17">IF(G$4="","",ABS(G35/G$4))</f>
        <v>6.1643517968593305E-2</v>
      </c>
      <c r="H40" s="30">
        <f t="shared" si="17"/>
        <v>5.722968977396789E-2</v>
      </c>
      <c r="I40" s="30">
        <f t="shared" si="17"/>
        <v>5.9830278774115682E-2</v>
      </c>
      <c r="J40" s="30">
        <f t="shared" si="17"/>
        <v>4.927418487481116E-2</v>
      </c>
      <c r="K40" s="30">
        <f t="shared" si="17"/>
        <v>5.4822792208059218E-2</v>
      </c>
      <c r="L40" s="30">
        <f t="shared" si="17"/>
        <v>5.7125906222635019E-2</v>
      </c>
      <c r="M40" s="30">
        <f t="shared" si="17"/>
        <v>6.9187858757398621E-2</v>
      </c>
      <c r="N40" s="30">
        <f t="shared" si="17"/>
        <v>6.2989484543471738E-2</v>
      </c>
      <c r="O40" s="30">
        <f t="shared" si="17"/>
        <v>0.10400747146987224</v>
      </c>
      <c r="P40" s="30">
        <f t="shared" si="17"/>
        <v>9.4924429063152571E-2</v>
      </c>
      <c r="Q40" s="30" t="str">
        <f t="shared" si="17"/>
        <v/>
      </c>
    </row>
    <row r="41" spans="1:17" ht="15.75" customHeight="1">
      <c r="A41" s="10"/>
      <c r="E41" s="268"/>
    </row>
    <row r="42" spans="1:17" ht="15.75" customHeight="1">
      <c r="A42" s="10"/>
      <c r="B42" s="64" t="s">
        <v>209</v>
      </c>
      <c r="E42" s="268"/>
    </row>
    <row r="43" spans="1:17" ht="15.75" customHeight="1">
      <c r="A43" s="10"/>
      <c r="B43" s="27" t="s">
        <v>172</v>
      </c>
      <c r="C43" s="263">
        <v>0.25</v>
      </c>
      <c r="D43" s="27"/>
      <c r="E43" s="265" t="s">
        <v>335</v>
      </c>
      <c r="F43" s="27"/>
      <c r="G43" s="6">
        <f t="shared" ref="G43:Q43" si="18">IF(G$4="","",-G14/SUM(G8+G11,G12))</f>
        <v>0.16295542160566412</v>
      </c>
      <c r="H43" s="6">
        <f t="shared" si="18"/>
        <v>0.16256174826801878</v>
      </c>
      <c r="I43" s="6">
        <f t="shared" si="18"/>
        <v>0.16782793996315759</v>
      </c>
      <c r="J43" s="6">
        <f t="shared" si="18"/>
        <v>0.12660577017204586</v>
      </c>
      <c r="K43" s="6">
        <f t="shared" si="18"/>
        <v>0.14188860355620611</v>
      </c>
      <c r="L43" s="6">
        <f t="shared" si="18"/>
        <v>0.14948502879305109</v>
      </c>
      <c r="M43" s="6">
        <f t="shared" si="18"/>
        <v>0.17717809420625624</v>
      </c>
      <c r="N43" s="6">
        <f t="shared" si="18"/>
        <v>0.14481355354839315</v>
      </c>
      <c r="O43" s="6">
        <f t="shared" si="18"/>
        <v>0.17586442561085608</v>
      </c>
      <c r="P43" s="6">
        <f t="shared" si="18"/>
        <v>0.18872024055339204</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34">
        <f>-BS!G31*Normalized_FCF!C54</f>
        <v>-10773913</v>
      </c>
      <c r="E47" s="268"/>
      <c r="G47" s="334">
        <f>Data!C51</f>
        <v>-10773913</v>
      </c>
      <c r="H47" s="334">
        <f>Data!D51</f>
        <v>-19213222</v>
      </c>
      <c r="I47" s="334">
        <f>Data!E51</f>
        <v>-16787986</v>
      </c>
      <c r="J47" s="334">
        <f>Data!F51</f>
        <v>-5280756</v>
      </c>
      <c r="K47" s="334">
        <f>Data!G51</f>
        <v>-1093564</v>
      </c>
      <c r="L47" s="334">
        <f>Data!H51</f>
        <v>-2759318</v>
      </c>
      <c r="M47" s="334">
        <f>Data!I51</f>
        <v>-1307356</v>
      </c>
      <c r="N47" s="334">
        <f>Data!J51</f>
        <v>0</v>
      </c>
      <c r="O47" s="334">
        <f>Data!K51</f>
        <v>0</v>
      </c>
      <c r="P47" s="334">
        <f>Data!L51</f>
        <v>0</v>
      </c>
      <c r="Q47" s="334" t="str">
        <f>Data!M51</f>
        <v/>
      </c>
    </row>
    <row r="48" spans="1:17" ht="15.75" customHeight="1">
      <c r="A48" s="10"/>
      <c r="B48" s="2" t="s">
        <v>346</v>
      </c>
      <c r="C48" s="334">
        <f>BS!D75*C53</f>
        <v>9271615.2714172397</v>
      </c>
      <c r="E48" s="268"/>
      <c r="G48" s="343">
        <f>IFERROR(IF(G$4="","",($C$48/$C$49)*G49),0)</f>
        <v>28583681.268777564</v>
      </c>
      <c r="H48" s="343">
        <f t="shared" ref="H48:Q48" si="19">IFERROR(IF(H$4="","",($C$48/$C$49)*H49),0)</f>
        <v>29085070.177687105</v>
      </c>
      <c r="I48" s="343">
        <f t="shared" si="19"/>
        <v>9571612.0663883202</v>
      </c>
      <c r="J48" s="343">
        <f t="shared" si="19"/>
        <v>2951467.3147743344</v>
      </c>
      <c r="K48" s="343">
        <f t="shared" si="19"/>
        <v>2281463.9407266113</v>
      </c>
      <c r="L48" s="343">
        <f t="shared" si="19"/>
        <v>4518604.672615598</v>
      </c>
      <c r="M48" s="343">
        <f t="shared" si="19"/>
        <v>2573521.0146564273</v>
      </c>
      <c r="N48" s="343">
        <f t="shared" si="19"/>
        <v>0</v>
      </c>
      <c r="O48" s="343">
        <f t="shared" si="19"/>
        <v>0</v>
      </c>
      <c r="P48" s="343">
        <f t="shared" si="19"/>
        <v>0</v>
      </c>
      <c r="Q48" s="343" t="str">
        <f t="shared" si="19"/>
        <v/>
      </c>
    </row>
    <row r="49" spans="1:17" ht="15.75" customHeight="1">
      <c r="A49" s="10"/>
      <c r="B49" s="287" t="s">
        <v>343</v>
      </c>
      <c r="C49" s="348">
        <f>BS!$C$66*C53</f>
        <v>50780173.544600002</v>
      </c>
      <c r="D49" s="288"/>
      <c r="E49" s="289"/>
      <c r="F49" s="288"/>
      <c r="G49" s="348">
        <f>Data!C52</f>
        <v>156551394</v>
      </c>
      <c r="H49" s="348">
        <f>Data!D52</f>
        <v>159297476</v>
      </c>
      <c r="I49" s="348">
        <f>Data!E52</f>
        <v>52423241</v>
      </c>
      <c r="J49" s="348">
        <f>Data!F52</f>
        <v>16165039</v>
      </c>
      <c r="K49" s="348">
        <f>Data!G52</f>
        <v>12495464</v>
      </c>
      <c r="L49" s="348">
        <f>Data!H52</f>
        <v>24748172</v>
      </c>
      <c r="M49" s="348">
        <f>Data!I52</f>
        <v>14095046</v>
      </c>
      <c r="N49" s="348">
        <f>Data!J52</f>
        <v>0</v>
      </c>
      <c r="O49" s="348">
        <f>Data!K52</f>
        <v>0</v>
      </c>
      <c r="P49" s="348">
        <f>Data!L52</f>
        <v>0</v>
      </c>
      <c r="Q49" s="348" t="str">
        <f>Data!M52</f>
        <v/>
      </c>
    </row>
    <row r="50" spans="1:17" ht="15.75" customHeight="1">
      <c r="A50" s="10"/>
      <c r="B50" s="70" t="s">
        <v>68</v>
      </c>
      <c r="C50" s="335">
        <f>C47+C48</f>
        <v>-1502297.7285827603</v>
      </c>
      <c r="E50" s="268"/>
      <c r="G50" s="335">
        <f>IF(G$4="","",(G47+G48))</f>
        <v>17809768.268777564</v>
      </c>
      <c r="H50" s="335">
        <f t="shared" ref="H50:Q50" si="20">IF(H$4="","",(H47+H48))</f>
        <v>9871848.1776871048</v>
      </c>
      <c r="I50" s="335">
        <f t="shared" si="20"/>
        <v>-7216373.9336116798</v>
      </c>
      <c r="J50" s="335">
        <f t="shared" si="20"/>
        <v>-2329288.6852256656</v>
      </c>
      <c r="K50" s="335">
        <f t="shared" si="20"/>
        <v>1187899.9407266113</v>
      </c>
      <c r="L50" s="335">
        <f t="shared" si="20"/>
        <v>1759286.672615598</v>
      </c>
      <c r="M50" s="335">
        <f t="shared" si="20"/>
        <v>1266165.0146564273</v>
      </c>
      <c r="N50" s="335">
        <f t="shared" si="20"/>
        <v>0</v>
      </c>
      <c r="O50" s="335">
        <f t="shared" si="20"/>
        <v>0</v>
      </c>
      <c r="P50" s="335">
        <f t="shared" si="20"/>
        <v>0</v>
      </c>
      <c r="Q50" s="335" t="str">
        <f t="shared" si="20"/>
        <v/>
      </c>
    </row>
    <row r="51" spans="1:17" ht="15.75" customHeight="1">
      <c r="A51" s="10"/>
      <c r="E51" s="268"/>
    </row>
    <row r="52" spans="1:17" ht="15.75" customHeight="1">
      <c r="A52" s="10"/>
      <c r="B52" s="72" t="s">
        <v>156</v>
      </c>
      <c r="E52" s="268"/>
      <c r="G52" s="97" t="s">
        <v>220</v>
      </c>
    </row>
    <row r="53" spans="1:17" ht="15.75" customHeight="1">
      <c r="A53" s="10"/>
      <c r="B53" s="8" t="s">
        <v>89</v>
      </c>
      <c r="C53" s="87">
        <v>0.01</v>
      </c>
      <c r="E53" s="265" t="s">
        <v>336</v>
      </c>
      <c r="G53" s="6">
        <f>IF(Normalized_FCF!G4="","",Normalized_FCF!G49/BS!$C$66)</f>
        <v>3.082923571785386E-2</v>
      </c>
      <c r="H53" s="169"/>
      <c r="I53" s="169"/>
      <c r="J53" s="169"/>
      <c r="K53" s="169"/>
      <c r="L53" s="169"/>
      <c r="M53" s="169"/>
      <c r="N53" s="169"/>
      <c r="O53" s="169"/>
      <c r="P53" s="169"/>
      <c r="Q53" s="169"/>
    </row>
    <row r="54" spans="1:17" ht="15.75" customHeight="1">
      <c r="A54" s="10"/>
      <c r="B54" s="8" t="s">
        <v>88</v>
      </c>
      <c r="C54" s="82">
        <f>G54</f>
        <v>2.0195487899013917E-2</v>
      </c>
      <c r="E54" s="265" t="s">
        <v>337</v>
      </c>
      <c r="G54" s="23">
        <f>IFERROR(ABS(Normalized_FCF!G47/BS!$G$31),0)</f>
        <v>2.0195487899013917E-2</v>
      </c>
      <c r="H54" s="169"/>
      <c r="I54" s="169"/>
      <c r="J54" s="169"/>
      <c r="K54" s="169"/>
      <c r="L54" s="169"/>
      <c r="M54" s="169"/>
      <c r="N54" s="169"/>
      <c r="O54" s="169"/>
      <c r="P54" s="169"/>
      <c r="Q54" s="169"/>
    </row>
    <row r="55" spans="1:17" ht="15.75" customHeight="1">
      <c r="A55" s="10"/>
      <c r="B55" s="26" t="s">
        <v>91</v>
      </c>
      <c r="C55" s="42">
        <f>-C8/C47</f>
        <v>135.7032989607697</v>
      </c>
      <c r="E55" s="268"/>
      <c r="G55" s="42">
        <f t="shared" ref="G55:Q55" si="21">IF(G4="","",-G8/G47)</f>
        <v>180.98833413635325</v>
      </c>
      <c r="H55" s="42">
        <f t="shared" si="21"/>
        <v>93.813016161474636</v>
      </c>
      <c r="I55" s="42">
        <f t="shared" si="21"/>
        <v>71.160081203308124</v>
      </c>
      <c r="J55" s="42">
        <f t="shared" si="21"/>
        <v>204.51503231734245</v>
      </c>
      <c r="K55" s="42">
        <f t="shared" si="21"/>
        <v>693.28162503520593</v>
      </c>
      <c r="L55" s="42">
        <f t="shared" si="21"/>
        <v>253.93107064861681</v>
      </c>
      <c r="M55" s="42">
        <f t="shared" si="21"/>
        <v>374.28481989603443</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169</v>
      </c>
      <c r="E57" s="268"/>
      <c r="G57" s="97" t="s">
        <v>220</v>
      </c>
    </row>
    <row r="58" spans="1:17" ht="15.75" customHeight="1">
      <c r="A58" s="10"/>
      <c r="B58" s="40" t="s">
        <v>168</v>
      </c>
      <c r="C58" s="334">
        <f>BS!$C67*C66</f>
        <v>0</v>
      </c>
      <c r="E58" s="268"/>
      <c r="G58" s="334">
        <f>Data!C56</f>
        <v>0</v>
      </c>
      <c r="H58" s="334">
        <f>Data!D56</f>
        <v>0</v>
      </c>
      <c r="I58" s="334">
        <f>Data!E56</f>
        <v>0</v>
      </c>
      <c r="J58" s="334">
        <f>Data!F56</f>
        <v>0</v>
      </c>
      <c r="K58" s="334">
        <f>Data!G56</f>
        <v>0</v>
      </c>
      <c r="L58" s="334">
        <f>Data!H56</f>
        <v>0</v>
      </c>
      <c r="M58" s="334">
        <f>Data!I56</f>
        <v>0</v>
      </c>
      <c r="N58" s="334">
        <f>Data!J56</f>
        <v>0</v>
      </c>
      <c r="O58" s="334">
        <f>Data!K56</f>
        <v>0</v>
      </c>
      <c r="P58" s="334">
        <f>Data!L56</f>
        <v>0</v>
      </c>
      <c r="Q58" s="334" t="str">
        <f>Data!M56</f>
        <v/>
      </c>
    </row>
    <row r="59" spans="1:17" ht="15.75" customHeight="1">
      <c r="A59" s="10"/>
      <c r="B59" s="40" t="s">
        <v>160</v>
      </c>
      <c r="C59" s="334">
        <f>BS!$C68*C67</f>
        <v>0</v>
      </c>
      <c r="E59" s="268"/>
      <c r="G59" s="334">
        <f>Data!C55</f>
        <v>-70283969</v>
      </c>
      <c r="H59" s="334">
        <f>Data!D55</f>
        <v>76220632</v>
      </c>
      <c r="I59" s="334">
        <f>Data!E55</f>
        <v>20133006</v>
      </c>
      <c r="J59" s="334">
        <f>Data!F55</f>
        <v>1499444</v>
      </c>
      <c r="K59" s="334">
        <f>Data!G55</f>
        <v>11085542</v>
      </c>
      <c r="L59" s="334">
        <f>Data!H55</f>
        <v>38861023</v>
      </c>
      <c r="M59" s="334">
        <f>Data!I55</f>
        <v>-12704453</v>
      </c>
      <c r="N59" s="334">
        <f>Data!J55</f>
        <v>0</v>
      </c>
      <c r="O59" s="334">
        <f>Data!K55</f>
        <v>0</v>
      </c>
      <c r="P59" s="334">
        <f>Data!L55</f>
        <v>0</v>
      </c>
      <c r="Q59" s="334" t="str">
        <f>Data!M55</f>
        <v/>
      </c>
    </row>
    <row r="60" spans="1:17" ht="15.75" customHeight="1">
      <c r="A60" s="10"/>
      <c r="B60" s="40" t="s">
        <v>159</v>
      </c>
      <c r="C60" s="334">
        <f>BS!$C69*C68</f>
        <v>0</v>
      </c>
      <c r="E60" s="268"/>
      <c r="G60" s="334">
        <f>Data!C57</f>
        <v>0</v>
      </c>
      <c r="H60" s="334">
        <f>Data!D57</f>
        <v>0</v>
      </c>
      <c r="I60" s="334">
        <f>Data!E57</f>
        <v>0</v>
      </c>
      <c r="J60" s="334">
        <f>Data!F57</f>
        <v>0</v>
      </c>
      <c r="K60" s="334">
        <f>Data!G57</f>
        <v>0</v>
      </c>
      <c r="L60" s="334">
        <f>Data!H57</f>
        <v>0</v>
      </c>
      <c r="M60" s="334">
        <f>Data!I57</f>
        <v>0</v>
      </c>
      <c r="N60" s="334">
        <f>Data!J57</f>
        <v>0</v>
      </c>
      <c r="O60" s="334">
        <f>Data!K57</f>
        <v>0</v>
      </c>
      <c r="P60" s="334">
        <f>Data!L57</f>
        <v>0</v>
      </c>
      <c r="Q60" s="334" t="str">
        <f>Data!M57</f>
        <v/>
      </c>
    </row>
    <row r="61" spans="1:17" ht="15.75" customHeight="1">
      <c r="A61" s="10"/>
      <c r="B61" s="31" t="s">
        <v>195</v>
      </c>
      <c r="C61" s="335">
        <f>SUM(C58:C60)</f>
        <v>0</v>
      </c>
      <c r="E61" s="268"/>
      <c r="G61" s="335">
        <f t="shared" ref="G61:Q61" si="22">IF(G4="","",SUM(G58:G60))</f>
        <v>-70283969</v>
      </c>
      <c r="H61" s="335">
        <f t="shared" si="22"/>
        <v>76220632</v>
      </c>
      <c r="I61" s="335">
        <f t="shared" si="22"/>
        <v>20133006</v>
      </c>
      <c r="J61" s="335">
        <f t="shared" si="22"/>
        <v>1499444</v>
      </c>
      <c r="K61" s="335">
        <f t="shared" si="22"/>
        <v>11085542</v>
      </c>
      <c r="L61" s="335">
        <f t="shared" si="22"/>
        <v>38861023</v>
      </c>
      <c r="M61" s="335">
        <f t="shared" si="22"/>
        <v>-12704453</v>
      </c>
      <c r="N61" s="335">
        <f t="shared" si="22"/>
        <v>0</v>
      </c>
      <c r="O61" s="335">
        <f t="shared" si="22"/>
        <v>0</v>
      </c>
      <c r="P61" s="335">
        <f t="shared" si="22"/>
        <v>0</v>
      </c>
      <c r="Q61" s="335" t="str">
        <f t="shared" si="22"/>
        <v/>
      </c>
    </row>
    <row r="62" spans="1:17" ht="15.75" customHeight="1">
      <c r="A62" s="10"/>
      <c r="B62" s="40" t="s">
        <v>161</v>
      </c>
      <c r="C62" s="349">
        <v>0</v>
      </c>
      <c r="E62" s="266" t="s">
        <v>338</v>
      </c>
      <c r="G62" s="334">
        <f>Data!C58</f>
        <v>-87203308</v>
      </c>
      <c r="H62" s="334">
        <f>Data!D58</f>
        <v>155395094</v>
      </c>
      <c r="I62" s="334">
        <f>Data!E58</f>
        <v>209498088</v>
      </c>
      <c r="J62" s="334">
        <f>Data!F58</f>
        <v>-71285916</v>
      </c>
      <c r="K62" s="334">
        <f>Data!G58</f>
        <v>-7181078</v>
      </c>
      <c r="L62" s="334">
        <f>Data!H58</f>
        <v>43367572</v>
      </c>
      <c r="M62" s="334">
        <f>Data!I58</f>
        <v>75732522</v>
      </c>
      <c r="N62" s="334">
        <f>Data!J58</f>
        <v>-11144508</v>
      </c>
      <c r="O62" s="334">
        <f>Data!K58</f>
        <v>29657771</v>
      </c>
      <c r="P62" s="334">
        <f>Data!L58</f>
        <v>31690153</v>
      </c>
      <c r="Q62" s="334" t="str">
        <f>Data!M58</f>
        <v/>
      </c>
    </row>
    <row r="63" spans="1:17" ht="15.75" customHeight="1">
      <c r="A63" s="10"/>
      <c r="B63" s="31" t="s">
        <v>196</v>
      </c>
      <c r="C63" s="335">
        <f>C61+C62</f>
        <v>0</v>
      </c>
      <c r="E63" s="268"/>
      <c r="G63" s="335">
        <f t="shared" ref="G63:Q63" si="23">IF(G4="","",G61+G62)</f>
        <v>-157487277</v>
      </c>
      <c r="H63" s="335">
        <f t="shared" si="23"/>
        <v>231615726</v>
      </c>
      <c r="I63" s="335">
        <f t="shared" si="23"/>
        <v>229631094</v>
      </c>
      <c r="J63" s="335">
        <f t="shared" si="23"/>
        <v>-69786472</v>
      </c>
      <c r="K63" s="335">
        <f t="shared" si="23"/>
        <v>3904464</v>
      </c>
      <c r="L63" s="335">
        <f t="shared" si="23"/>
        <v>82228595</v>
      </c>
      <c r="M63" s="335">
        <f t="shared" si="23"/>
        <v>63028069</v>
      </c>
      <c r="N63" s="335">
        <f t="shared" si="23"/>
        <v>-11144508</v>
      </c>
      <c r="O63" s="335">
        <f t="shared" si="23"/>
        <v>29657771</v>
      </c>
      <c r="P63" s="335">
        <f t="shared" si="23"/>
        <v>31690153</v>
      </c>
      <c r="Q63" s="335" t="str">
        <f t="shared" si="23"/>
        <v/>
      </c>
    </row>
    <row r="64" spans="1:17" ht="15.75" customHeight="1">
      <c r="A64" s="10"/>
      <c r="E64" s="268"/>
    </row>
    <row r="65" spans="1:17" ht="15.75" customHeight="1">
      <c r="A65" s="10"/>
      <c r="B65" s="96" t="s">
        <v>170</v>
      </c>
      <c r="E65" s="268"/>
      <c r="G65" s="97" t="s">
        <v>220</v>
      </c>
    </row>
    <row r="66" spans="1:17" ht="15.75" customHeight="1">
      <c r="A66" s="10"/>
      <c r="B66" s="40" t="s">
        <v>168</v>
      </c>
      <c r="C66" s="176">
        <f>G66</f>
        <v>0</v>
      </c>
      <c r="E66" s="268"/>
      <c r="G66" s="23">
        <f>IFERROR(G58/BS!$C$67,0)</f>
        <v>0</v>
      </c>
      <c r="H66" s="175"/>
      <c r="I66" s="175"/>
      <c r="J66" s="175"/>
      <c r="K66" s="175"/>
      <c r="L66" s="175"/>
      <c r="M66" s="175"/>
      <c r="N66" s="175"/>
      <c r="O66" s="175"/>
      <c r="P66" s="175"/>
      <c r="Q66" s="175"/>
    </row>
    <row r="67" spans="1:17" ht="15.75" customHeight="1">
      <c r="A67" s="10"/>
      <c r="B67" s="105" t="s">
        <v>158</v>
      </c>
      <c r="C67" s="176">
        <f>G67</f>
        <v>0</v>
      </c>
      <c r="E67" s="268"/>
      <c r="G67" s="23">
        <f>IFERROR(G59/BS!$C$68,0)</f>
        <v>0</v>
      </c>
      <c r="H67" s="175"/>
      <c r="I67" s="175"/>
      <c r="J67" s="175"/>
      <c r="K67" s="175"/>
      <c r="L67" s="175"/>
      <c r="M67" s="175"/>
      <c r="N67" s="175"/>
      <c r="O67" s="175"/>
      <c r="P67" s="175"/>
      <c r="Q67" s="175"/>
    </row>
    <row r="68" spans="1:17" ht="15.75" customHeight="1">
      <c r="A68" s="10"/>
      <c r="B68" s="105" t="s">
        <v>159</v>
      </c>
      <c r="C68" s="176">
        <f>G68</f>
        <v>0</v>
      </c>
      <c r="E68" s="268"/>
      <c r="G68" s="23">
        <f>IFERROR(G60/BS!$C$69,0)</f>
        <v>0</v>
      </c>
      <c r="H68" s="175"/>
      <c r="I68" s="175"/>
      <c r="J68" s="175"/>
      <c r="K68" s="175"/>
      <c r="L68" s="175"/>
      <c r="M68" s="175"/>
      <c r="N68" s="175"/>
      <c r="O68" s="175"/>
      <c r="P68" s="175"/>
      <c r="Q68" s="175"/>
    </row>
    <row r="69" spans="1:17" ht="15.75" customHeight="1">
      <c r="A69" s="10"/>
      <c r="B69" s="31" t="s">
        <v>195</v>
      </c>
      <c r="C69" s="71">
        <f>C61/BS!C70</f>
        <v>0</v>
      </c>
      <c r="D69" s="9"/>
      <c r="E69" s="273"/>
      <c r="F69" s="9"/>
      <c r="G69" s="71">
        <f>G61/BS!C70</f>
        <v>-1.3730326852553267E-2</v>
      </c>
      <c r="H69" s="175"/>
      <c r="I69" s="175"/>
      <c r="J69" s="175"/>
      <c r="K69" s="175"/>
      <c r="L69" s="175"/>
      <c r="M69" s="175"/>
      <c r="N69" s="175"/>
      <c r="O69" s="175"/>
      <c r="P69" s="175"/>
      <c r="Q69" s="175"/>
    </row>
    <row r="70" spans="1:17" ht="15.75" customHeight="1">
      <c r="A70" s="10"/>
    </row>
    <row r="71" spans="1:17" ht="15.75" customHeight="1">
      <c r="A71" s="10"/>
      <c r="B71" s="54" t="s">
        <v>213</v>
      </c>
      <c r="C71" s="54"/>
      <c r="D71" s="56"/>
      <c r="E71" s="66" t="s">
        <v>464</v>
      </c>
      <c r="F71" s="56"/>
      <c r="G71" s="37"/>
      <c r="H71" s="37"/>
      <c r="I71" s="37"/>
      <c r="J71" s="37"/>
      <c r="K71" s="37"/>
      <c r="L71" s="37"/>
      <c r="M71" s="37"/>
      <c r="N71" s="37"/>
      <c r="O71" s="37"/>
      <c r="P71" s="37"/>
      <c r="Q71" s="37"/>
    </row>
    <row r="72" spans="1:17" ht="15.75" customHeight="1">
      <c r="A72" s="10"/>
      <c r="B72" s="72" t="s">
        <v>217</v>
      </c>
      <c r="C72" s="62"/>
      <c r="D72" s="27"/>
      <c r="E72" s="265"/>
      <c r="F72" s="27"/>
      <c r="G72" s="97"/>
      <c r="H72" s="12"/>
      <c r="I72" s="12"/>
      <c r="J72" s="12"/>
      <c r="K72" s="12"/>
      <c r="L72" s="12"/>
      <c r="M72" s="12"/>
      <c r="N72" s="12"/>
      <c r="O72" s="12"/>
      <c r="P72" s="12"/>
      <c r="Q72" s="12"/>
    </row>
    <row r="73" spans="1:17" ht="15.75" customHeight="1">
      <c r="A73" s="10"/>
      <c r="B73" s="2" t="s">
        <v>46</v>
      </c>
      <c r="C73" s="77">
        <f>ABS(C5/C$4)</f>
        <v>0.70196282401101884</v>
      </c>
      <c r="D73" s="27"/>
      <c r="E73" s="265"/>
      <c r="F73" s="27"/>
      <c r="G73" s="6">
        <f t="shared" ref="G73:Q73" si="24">IF(G$4="","",ABS(G5/G$4))</f>
        <v>0.68832775094774512</v>
      </c>
      <c r="H73" s="6">
        <f t="shared" si="24"/>
        <v>0.65720937406826241</v>
      </c>
      <c r="I73" s="6">
        <f t="shared" si="24"/>
        <v>0.72077560548338071</v>
      </c>
      <c r="J73" s="6">
        <f t="shared" si="24"/>
        <v>0.73207327552663148</v>
      </c>
      <c r="K73" s="6">
        <f t="shared" si="24"/>
        <v>0.68876537105602076</v>
      </c>
      <c r="L73" s="6">
        <f t="shared" si="24"/>
        <v>0.6496248780404813</v>
      </c>
      <c r="M73" s="6">
        <f t="shared" si="24"/>
        <v>0.64424550677605175</v>
      </c>
      <c r="N73" s="6">
        <f t="shared" si="24"/>
        <v>0.63493122136374147</v>
      </c>
      <c r="O73" s="6">
        <f t="shared" si="24"/>
        <v>0.64214192618242838</v>
      </c>
      <c r="P73" s="6">
        <f t="shared" si="24"/>
        <v>0.66310463516131157</v>
      </c>
      <c r="Q73" s="6" t="str">
        <f t="shared" si="24"/>
        <v/>
      </c>
    </row>
    <row r="74" spans="1:17" ht="15.75" customHeight="1">
      <c r="A74" s="10"/>
      <c r="B74" s="31" t="s">
        <v>48</v>
      </c>
      <c r="C74" s="78">
        <f>ABS(C6/C$4)</f>
        <v>0.29803717598898111</v>
      </c>
      <c r="D74" s="27"/>
      <c r="E74" s="265"/>
      <c r="F74" s="27"/>
      <c r="G74" s="65">
        <f t="shared" ref="G74:Q74" si="25">IF(G$4="","",ABS(G6/G$4))</f>
        <v>0.31167224905225488</v>
      </c>
      <c r="H74" s="65">
        <f t="shared" si="25"/>
        <v>0.34279062593173754</v>
      </c>
      <c r="I74" s="65">
        <f t="shared" si="25"/>
        <v>0.27922439451661923</v>
      </c>
      <c r="J74" s="65">
        <f t="shared" si="25"/>
        <v>0.26792672447336857</v>
      </c>
      <c r="K74" s="65">
        <f t="shared" si="25"/>
        <v>0.31123462894397919</v>
      </c>
      <c r="L74" s="65">
        <f t="shared" si="25"/>
        <v>0.3503751219595187</v>
      </c>
      <c r="M74" s="65">
        <f t="shared" si="25"/>
        <v>0.3557544932239482</v>
      </c>
      <c r="N74" s="65">
        <f t="shared" si="25"/>
        <v>0.36506877863625847</v>
      </c>
      <c r="O74" s="65">
        <f t="shared" si="25"/>
        <v>0.35785807381757162</v>
      </c>
      <c r="P74" s="65">
        <f t="shared" si="25"/>
        <v>0.33689536483868843</v>
      </c>
      <c r="Q74" s="65" t="str">
        <f t="shared" si="25"/>
        <v/>
      </c>
    </row>
    <row r="75" spans="1:17" ht="15.75" customHeight="1">
      <c r="A75" s="10"/>
      <c r="B75" s="8" t="s">
        <v>45</v>
      </c>
      <c r="C75" s="77">
        <f>ABS(C7/C$4)</f>
        <v>7.3750012038613894E-2</v>
      </c>
      <c r="D75" s="27"/>
      <c r="E75" s="265"/>
      <c r="F75" s="27"/>
      <c r="G75" s="6">
        <f t="shared" ref="G75:Q75" si="26">IF(G$4="","",ABS(G7/G$4))</f>
        <v>6.1643517968593305E-2</v>
      </c>
      <c r="H75" s="6">
        <f t="shared" si="26"/>
        <v>5.722968977396789E-2</v>
      </c>
      <c r="I75" s="6">
        <f t="shared" si="26"/>
        <v>5.9830278774115682E-2</v>
      </c>
      <c r="J75" s="6">
        <f t="shared" si="26"/>
        <v>4.927418487481116E-2</v>
      </c>
      <c r="K75" s="6">
        <f t="shared" si="26"/>
        <v>5.4822792208059218E-2</v>
      </c>
      <c r="L75" s="6">
        <f t="shared" si="26"/>
        <v>5.7125906222635019E-2</v>
      </c>
      <c r="M75" s="6">
        <f t="shared" si="26"/>
        <v>6.9187858757398621E-2</v>
      </c>
      <c r="N75" s="6">
        <f t="shared" si="26"/>
        <v>6.2989484543471738E-2</v>
      </c>
      <c r="O75" s="6">
        <f t="shared" si="26"/>
        <v>0.10400747146987224</v>
      </c>
      <c r="P75" s="6">
        <f t="shared" si="26"/>
        <v>9.4924429063152571E-2</v>
      </c>
      <c r="Q75" s="6" t="str">
        <f t="shared" si="26"/>
        <v/>
      </c>
    </row>
    <row r="76" spans="1:17" ht="15.75" customHeight="1">
      <c r="A76" s="10"/>
      <c r="B76" s="29" t="s">
        <v>153</v>
      </c>
      <c r="C76" s="78">
        <f>ABS(C8/C$4)</f>
        <v>0.22428716395036721</v>
      </c>
      <c r="D76" s="27"/>
      <c r="E76" s="265"/>
      <c r="F76" s="27"/>
      <c r="G76" s="65">
        <f t="shared" ref="G76:Q76" si="27">IF(G$4="","",ABS(G8/G$4))</f>
        <v>0.25002873108366158</v>
      </c>
      <c r="H76" s="65">
        <f t="shared" si="27"/>
        <v>0.28556093615776967</v>
      </c>
      <c r="I76" s="65">
        <f t="shared" si="27"/>
        <v>0.21939411574250356</v>
      </c>
      <c r="J76" s="65">
        <f t="shared" si="27"/>
        <v>0.21865253959855738</v>
      </c>
      <c r="K76" s="65">
        <f t="shared" si="27"/>
        <v>0.25641183673592</v>
      </c>
      <c r="L76" s="65">
        <f t="shared" si="27"/>
        <v>0.29324921573688367</v>
      </c>
      <c r="M76" s="65">
        <f t="shared" si="27"/>
        <v>0.28656663446654956</v>
      </c>
      <c r="N76" s="65">
        <f t="shared" si="27"/>
        <v>0.30207929409278672</v>
      </c>
      <c r="O76" s="65">
        <f t="shared" si="27"/>
        <v>0.25385060234769941</v>
      </c>
      <c r="P76" s="65">
        <f t="shared" si="27"/>
        <v>0.24197093577553586</v>
      </c>
      <c r="Q76" s="65" t="str">
        <f t="shared" si="27"/>
        <v/>
      </c>
    </row>
    <row r="77" spans="1:17" ht="15.75" customHeight="1">
      <c r="A77" s="10"/>
      <c r="B77" s="2" t="s">
        <v>65</v>
      </c>
      <c r="C77" s="77">
        <f>ABS(C9/C$4)</f>
        <v>3.2680345545679793E-2</v>
      </c>
      <c r="D77" s="27"/>
      <c r="E77" s="265"/>
      <c r="F77" s="27"/>
      <c r="G77" s="6">
        <f t="shared" ref="G77:Q77" si="28">IF(G$4="","",G9/G$4)</f>
        <v>2.731567646131618E-2</v>
      </c>
      <c r="H77" s="6">
        <f t="shared" si="28"/>
        <v>2.1463355022224975E-2</v>
      </c>
      <c r="I77" s="6">
        <f t="shared" si="28"/>
        <v>1.9210289600710261E-2</v>
      </c>
      <c r="J77" s="6">
        <f t="shared" si="28"/>
        <v>1.5969416259162452E-2</v>
      </c>
      <c r="K77" s="6">
        <f t="shared" si="28"/>
        <v>1.3793124372869352E-2</v>
      </c>
      <c r="L77" s="6">
        <f t="shared" si="28"/>
        <v>1.1857079502157478E-2</v>
      </c>
      <c r="M77" s="6">
        <f t="shared" si="28"/>
        <v>1.4694374902877727E-2</v>
      </c>
      <c r="N77" s="6">
        <f t="shared" si="28"/>
        <v>0</v>
      </c>
      <c r="O77" s="6">
        <f t="shared" si="28"/>
        <v>0</v>
      </c>
      <c r="P77" s="6">
        <f t="shared" si="28"/>
        <v>0</v>
      </c>
      <c r="Q77" s="6" t="str">
        <f t="shared" si="28"/>
        <v/>
      </c>
    </row>
    <row r="78" spans="1:17" ht="15.75" customHeight="1">
      <c r="A78" s="10"/>
      <c r="B78" s="2" t="s">
        <v>81</v>
      </c>
      <c r="C78" s="88">
        <f>MAX(AVERAGE(G78:J78),C77)</f>
        <v>3.2680345545679793E-2</v>
      </c>
      <c r="D78" s="27"/>
      <c r="E78" s="266" t="s">
        <v>465</v>
      </c>
      <c r="F78" s="27"/>
      <c r="G78" s="6">
        <f t="shared" ref="G78:Q78" si="29">IF(G$4="","",-G10/G$4)</f>
        <v>2.731567646131618E-2</v>
      </c>
      <c r="H78" s="6">
        <f t="shared" si="29"/>
        <v>2.1463355022224975E-2</v>
      </c>
      <c r="I78" s="6">
        <f t="shared" si="29"/>
        <v>1.9210289600710261E-2</v>
      </c>
      <c r="J78" s="6">
        <f t="shared" si="29"/>
        <v>1.5969416259162452E-2</v>
      </c>
      <c r="K78" s="6">
        <f t="shared" si="29"/>
        <v>1.3793124372869352E-2</v>
      </c>
      <c r="L78" s="6">
        <f t="shared" si="29"/>
        <v>1.1857079502157478E-2</v>
      </c>
      <c r="M78" s="6">
        <f t="shared" si="29"/>
        <v>1.4694374902877727E-2</v>
      </c>
      <c r="N78" s="6">
        <f t="shared" si="29"/>
        <v>0</v>
      </c>
      <c r="O78" s="6">
        <f t="shared" si="29"/>
        <v>0</v>
      </c>
      <c r="P78" s="6">
        <f t="shared" si="29"/>
        <v>0</v>
      </c>
      <c r="Q78" s="6" t="str">
        <f t="shared" si="29"/>
        <v/>
      </c>
    </row>
    <row r="79" spans="1:17" ht="15.75" customHeight="1">
      <c r="A79" s="10"/>
      <c r="B79" s="31" t="s">
        <v>154</v>
      </c>
      <c r="C79" s="78">
        <f>ABS(C11/C$4)</f>
        <v>0</v>
      </c>
      <c r="D79" s="27"/>
      <c r="E79" s="265"/>
      <c r="F79" s="27"/>
      <c r="G79" s="65">
        <f t="shared" ref="G79:Q79" si="30">IF(G$4="","",G11/G$4)</f>
        <v>-9.0120200311546474E-3</v>
      </c>
      <c r="H79" s="65">
        <f t="shared" si="30"/>
        <v>1.2075581199661022E-2</v>
      </c>
      <c r="I79" s="65">
        <f t="shared" si="30"/>
        <v>3.6974181179027384E-3</v>
      </c>
      <c r="J79" s="65">
        <f t="shared" si="30"/>
        <v>3.0357320822429627E-4</v>
      </c>
      <c r="K79" s="65">
        <f t="shared" si="30"/>
        <v>3.7492215689397261E-3</v>
      </c>
      <c r="L79" s="65">
        <f t="shared" si="30"/>
        <v>1.6264229375367985E-2</v>
      </c>
      <c r="M79" s="65">
        <f t="shared" si="30"/>
        <v>-7.4402155256131815E-3</v>
      </c>
      <c r="N79" s="65">
        <f t="shared" si="30"/>
        <v>0</v>
      </c>
      <c r="O79" s="65">
        <f t="shared" si="30"/>
        <v>0</v>
      </c>
      <c r="P79" s="65">
        <f t="shared" si="30"/>
        <v>0</v>
      </c>
      <c r="Q79" s="65" t="str">
        <f t="shared" si="30"/>
        <v/>
      </c>
    </row>
    <row r="80" spans="1:17" ht="15.75" customHeight="1">
      <c r="A80" s="10"/>
      <c r="B80" s="2" t="s">
        <v>68</v>
      </c>
      <c r="C80" s="77">
        <f>ABS(C12/C$4)</f>
        <v>2.3046053208527063E-4</v>
      </c>
      <c r="D80" s="27"/>
      <c r="E80" s="265"/>
      <c r="F80" s="27"/>
      <c r="G80" s="6">
        <f t="shared" ref="G80:Q80" si="31">IF(G$4="","",ABS(G12/G$4))</f>
        <v>2.2836215807397822E-3</v>
      </c>
      <c r="H80" s="6">
        <f t="shared" si="31"/>
        <v>1.5639899740058087E-3</v>
      </c>
      <c r="I80" s="6">
        <f t="shared" si="31"/>
        <v>1.3252840498680066E-3</v>
      </c>
      <c r="J80" s="6">
        <f t="shared" si="31"/>
        <v>4.7158122547724906E-4</v>
      </c>
      <c r="K80" s="6">
        <f t="shared" si="31"/>
        <v>4.0175753964167318E-4</v>
      </c>
      <c r="L80" s="6">
        <f t="shared" si="31"/>
        <v>7.3630182047569896E-4</v>
      </c>
      <c r="M80" s="6">
        <f t="shared" si="31"/>
        <v>7.4151485310189986E-4</v>
      </c>
      <c r="N80" s="6">
        <f t="shared" si="31"/>
        <v>0</v>
      </c>
      <c r="O80" s="6">
        <f t="shared" si="31"/>
        <v>0</v>
      </c>
      <c r="P80" s="6">
        <f t="shared" si="31"/>
        <v>0</v>
      </c>
      <c r="Q80" s="6" t="str">
        <f t="shared" si="31"/>
        <v/>
      </c>
    </row>
    <row r="81" spans="1:17" ht="15.75" customHeight="1">
      <c r="A81" s="10"/>
      <c r="B81" s="70" t="s">
        <v>165</v>
      </c>
      <c r="C81" s="78">
        <f>C13/C4</f>
        <v>0.22405670341828193</v>
      </c>
      <c r="D81" s="27"/>
      <c r="E81" s="265"/>
      <c r="F81" s="27"/>
      <c r="G81" s="65">
        <f t="shared" ref="G81:Q81" si="32">IF(G$4="","",G13/G$4)</f>
        <v>0.24330033263324671</v>
      </c>
      <c r="H81" s="65">
        <f t="shared" si="32"/>
        <v>0.29920050733143649</v>
      </c>
      <c r="I81" s="65">
        <f t="shared" si="32"/>
        <v>0.2217662498105383</v>
      </c>
      <c r="J81" s="65">
        <f t="shared" si="32"/>
        <v>0.21848453158130443</v>
      </c>
      <c r="K81" s="65">
        <f t="shared" si="32"/>
        <v>0.26056281584450142</v>
      </c>
      <c r="L81" s="65">
        <f t="shared" si="32"/>
        <v>0.31024974693272739</v>
      </c>
      <c r="M81" s="65">
        <f t="shared" si="32"/>
        <v>0.27986793379403829</v>
      </c>
      <c r="N81" s="65">
        <f t="shared" si="32"/>
        <v>0.30207929409278672</v>
      </c>
      <c r="O81" s="65">
        <f t="shared" si="32"/>
        <v>0.25385060234769941</v>
      </c>
      <c r="P81" s="65">
        <f t="shared" si="32"/>
        <v>0.24197093577553586</v>
      </c>
      <c r="Q81" s="65" t="str">
        <f t="shared" si="32"/>
        <v/>
      </c>
    </row>
    <row r="82" spans="1:17" ht="15.75" customHeight="1">
      <c r="A82" s="10"/>
      <c r="B82" s="2" t="s">
        <v>63</v>
      </c>
      <c r="C82" s="77">
        <f>ABS(C14/C$4)</f>
        <v>5.6014175854570483E-2</v>
      </c>
      <c r="D82" s="27"/>
      <c r="E82" s="265"/>
      <c r="F82" s="27"/>
      <c r="G82" s="6">
        <f t="shared" ref="G82:Q82" si="33">IF(G$4="","",ABS(G14/G$4))</f>
        <v>3.9647108281049039E-2</v>
      </c>
      <c r="H82" s="6">
        <f t="shared" si="33"/>
        <v>4.8638557554476491E-2</v>
      </c>
      <c r="I82" s="6">
        <f t="shared" si="33"/>
        <v>3.7218572859057629E-2</v>
      </c>
      <c r="J82" s="6">
        <f t="shared" si="33"/>
        <v>2.7661402391529723E-2</v>
      </c>
      <c r="K82" s="6">
        <f t="shared" si="33"/>
        <v>3.6970894078849195E-2</v>
      </c>
      <c r="L82" s="6">
        <f t="shared" si="33"/>
        <v>4.6377692353275574E-2</v>
      </c>
      <c r="M82" s="6">
        <f t="shared" si="33"/>
        <v>4.9586467139070396E-2</v>
      </c>
      <c r="N82" s="6">
        <f t="shared" si="33"/>
        <v>4.374517603096658E-2</v>
      </c>
      <c r="O82" s="6">
        <f t="shared" si="33"/>
        <v>4.4643290372847984E-2</v>
      </c>
      <c r="P82" s="6">
        <f t="shared" si="33"/>
        <v>4.5664813206488498E-2</v>
      </c>
      <c r="Q82" s="6" t="str">
        <f t="shared" si="33"/>
        <v/>
      </c>
    </row>
    <row r="83" spans="1:17" ht="15.75" customHeight="1">
      <c r="A83" s="10"/>
      <c r="B83" s="40" t="str">
        <f>B15</f>
        <v>NCI’s Share of Profits</v>
      </c>
      <c r="C83" s="264">
        <f>MIN(BS!C62,MAX(G83:K83))</f>
        <v>2.9905317667051036E-5</v>
      </c>
      <c r="D83" s="27"/>
      <c r="E83" s="265"/>
      <c r="F83" s="27"/>
      <c r="G83" s="6">
        <f t="shared" ref="G83:Q83" si="34">IF(G$4="","",-G15/G$4)</f>
        <v>2.9905317667051036E-5</v>
      </c>
      <c r="H83" s="6">
        <f t="shared" si="34"/>
        <v>0</v>
      </c>
      <c r="I83" s="6">
        <f t="shared" si="34"/>
        <v>0</v>
      </c>
      <c r="J83" s="6">
        <f t="shared" si="34"/>
        <v>0</v>
      </c>
      <c r="K83" s="6">
        <f t="shared" si="34"/>
        <v>0</v>
      </c>
      <c r="L83" s="6">
        <f t="shared" si="34"/>
        <v>0</v>
      </c>
      <c r="M83" s="6">
        <f t="shared" si="34"/>
        <v>0</v>
      </c>
      <c r="N83" s="6">
        <f t="shared" si="34"/>
        <v>0</v>
      </c>
      <c r="O83" s="6">
        <f t="shared" si="34"/>
        <v>2.9204035482111355E-4</v>
      </c>
      <c r="P83" s="6">
        <f t="shared" si="34"/>
        <v>3.3895355023415065E-5</v>
      </c>
      <c r="Q83" s="6" t="str">
        <f t="shared" si="34"/>
        <v/>
      </c>
    </row>
    <row r="84" spans="1:17" ht="15.75" customHeight="1">
      <c r="A84" s="10"/>
      <c r="B84" s="41" t="s">
        <v>155</v>
      </c>
      <c r="C84" s="78">
        <f>ABS(C16/C$4)</f>
        <v>0.16801262224604441</v>
      </c>
      <c r="D84" s="27"/>
      <c r="E84" s="265"/>
      <c r="F84" s="27"/>
      <c r="G84" s="65">
        <f t="shared" ref="G84:Q84" si="35">IF(G$4="","",ABS(G16/G$4))</f>
        <v>0.20362331903453063</v>
      </c>
      <c r="H84" s="65">
        <f t="shared" si="35"/>
        <v>0.25056194977696</v>
      </c>
      <c r="I84" s="65">
        <f t="shared" si="35"/>
        <v>0.18454767695148067</v>
      </c>
      <c r="J84" s="65">
        <f t="shared" si="35"/>
        <v>0.1908231291897747</v>
      </c>
      <c r="K84" s="65">
        <f t="shared" si="35"/>
        <v>0.22359192176565221</v>
      </c>
      <c r="L84" s="65">
        <f t="shared" si="35"/>
        <v>0.26387205457945184</v>
      </c>
      <c r="M84" s="65">
        <f t="shared" si="35"/>
        <v>0.2302814666549679</v>
      </c>
      <c r="N84" s="65">
        <f t="shared" si="35"/>
        <v>0.25833411806182016</v>
      </c>
      <c r="O84" s="65">
        <f t="shared" si="35"/>
        <v>0.20891527162003029</v>
      </c>
      <c r="P84" s="65">
        <f t="shared" si="35"/>
        <v>0.19627222721402393</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99</v>
      </c>
      <c r="C86" s="77">
        <v>0</v>
      </c>
      <c r="E86" s="267" t="str">
        <f>E18</f>
        <v>Net borrowing is excluded</v>
      </c>
      <c r="G86" s="169"/>
      <c r="H86" s="169"/>
      <c r="I86" s="169"/>
      <c r="J86" s="169"/>
      <c r="K86" s="169"/>
      <c r="L86" s="169"/>
      <c r="M86" s="169"/>
      <c r="N86" s="169"/>
      <c r="O86" s="169"/>
      <c r="P86" s="169"/>
      <c r="Q86" s="169"/>
    </row>
    <row r="87" spans="1:17" ht="15.75" customHeight="1">
      <c r="A87" s="10"/>
      <c r="B87" s="31" t="s">
        <v>141</v>
      </c>
      <c r="C87" s="78">
        <f>ABS(C19/C$4)</f>
        <v>0.16801262224604441</v>
      </c>
      <c r="D87" s="75"/>
      <c r="E87" s="265"/>
      <c r="F87" s="75"/>
      <c r="G87" s="65">
        <f t="shared" ref="G87:Q87" si="36">IF(G$4="","",ABS(G19/G$4))</f>
        <v>0.20362331903453063</v>
      </c>
      <c r="H87" s="65">
        <f t="shared" si="36"/>
        <v>0.25056194977696</v>
      </c>
      <c r="I87" s="65">
        <f t="shared" si="36"/>
        <v>0.18454767695148067</v>
      </c>
      <c r="J87" s="65">
        <f t="shared" si="36"/>
        <v>0.1908231291897747</v>
      </c>
      <c r="K87" s="65">
        <f t="shared" si="36"/>
        <v>0.22359192176565221</v>
      </c>
      <c r="L87" s="65">
        <f t="shared" si="36"/>
        <v>0.26387205457945184</v>
      </c>
      <c r="M87" s="65">
        <f t="shared" si="36"/>
        <v>0.2302814666549679</v>
      </c>
      <c r="N87" s="65">
        <f t="shared" si="36"/>
        <v>0.25833411806182016</v>
      </c>
      <c r="O87" s="65">
        <f t="shared" si="36"/>
        <v>0.20891527162003029</v>
      </c>
      <c r="P87" s="65">
        <f t="shared" si="36"/>
        <v>0.19627222721402393</v>
      </c>
      <c r="Q87" s="65" t="str">
        <f t="shared" si="36"/>
        <v/>
      </c>
    </row>
    <row r="88" spans="1:17" ht="15.75" customHeight="1">
      <c r="A88" s="10"/>
      <c r="E88" s="268"/>
    </row>
    <row r="89" spans="1:17" ht="15.75" customHeight="1">
      <c r="A89" s="10"/>
      <c r="B89" s="64" t="s">
        <v>215</v>
      </c>
      <c r="E89" s="268"/>
    </row>
    <row r="90" spans="1:17" ht="15.75" customHeight="1">
      <c r="A90" s="10"/>
      <c r="B90" s="2" t="str">
        <f>"Dividend per share ("&amp;Market_currency&amp;")"</f>
        <v>Dividend per share (CNY)</v>
      </c>
      <c r="C90" s="113">
        <f>G90</f>
        <v>1</v>
      </c>
      <c r="E90" s="268"/>
      <c r="G90" s="112">
        <f>Data!C65</f>
        <v>1</v>
      </c>
      <c r="H90" s="112">
        <f>Data!D65</f>
        <v>1</v>
      </c>
      <c r="I90" s="112">
        <f>Data!E65</f>
        <v>0.5</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(CNY)</v>
      </c>
      <c r="C91" s="74">
        <f>C90*Common_Shares/scaling_factor</f>
        <v>506347879</v>
      </c>
      <c r="E91" s="268"/>
      <c r="G91" s="74">
        <f t="shared" ref="G91:Q91" si="37">IF(G$4="","",G90*Common_Shares/scaling_factor)</f>
        <v>506347879</v>
      </c>
      <c r="H91" s="74">
        <f t="shared" si="37"/>
        <v>506347879</v>
      </c>
      <c r="I91" s="74">
        <f t="shared" si="37"/>
        <v>253173939.5</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214</v>
      </c>
      <c r="C92" s="23">
        <f>C90/(C19*scaling_factor/Common_Shares)</f>
        <v>0.46232527288881309</v>
      </c>
      <c r="E92" s="268"/>
      <c r="G92" s="170">
        <f t="shared" ref="G92:Q92" si="38">IF(G$4="","",G90/(G19*scaling_factor/Common_Shares))</f>
        <v>0.3188506839217764</v>
      </c>
      <c r="H92" s="170">
        <f t="shared" si="38"/>
        <v>0.32016169631594305</v>
      </c>
      <c r="I92" s="170">
        <f t="shared" si="38"/>
        <v>0.25194187593757461</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310</v>
      </c>
      <c r="C93" s="23">
        <f>C90/Market_Price</f>
        <v>2.1772262138036142E-2</v>
      </c>
      <c r="E93" s="268"/>
      <c r="G93" s="23">
        <f t="shared" ref="G93:Q93" si="39">IF(G$4="","",G90/Market_Price)</f>
        <v>2.1772262138036142E-2</v>
      </c>
      <c r="H93" s="23">
        <f t="shared" si="39"/>
        <v>2.1772262138036142E-2</v>
      </c>
      <c r="I93" s="23">
        <f t="shared" si="39"/>
        <v>1.0886131069018071E-2</v>
      </c>
      <c r="J93" s="23">
        <f t="shared" si="39"/>
        <v>0</v>
      </c>
      <c r="K93" s="23">
        <f t="shared" si="39"/>
        <v>0</v>
      </c>
      <c r="L93" s="23">
        <f t="shared" si="39"/>
        <v>0</v>
      </c>
      <c r="M93" s="23">
        <f t="shared" si="39"/>
        <v>0</v>
      </c>
      <c r="N93" s="23">
        <f t="shared" si="39"/>
        <v>0</v>
      </c>
      <c r="O93" s="23">
        <f t="shared" si="39"/>
        <v>0</v>
      </c>
      <c r="P93" s="23">
        <f t="shared" si="39"/>
        <v>0</v>
      </c>
      <c r="Q93" s="23" t="str">
        <f t="shared" si="39"/>
        <v/>
      </c>
    </row>
    <row r="94" spans="1:17" ht="15.75" customHeight="1">
      <c r="A94" s="10"/>
      <c r="E94" s="268"/>
    </row>
    <row r="95" spans="1:17" ht="15.75" customHeight="1">
      <c r="A95" s="10"/>
      <c r="B95" s="157" t="s">
        <v>85</v>
      </c>
      <c r="C95" s="62"/>
      <c r="D95" s="27"/>
      <c r="E95" s="265"/>
      <c r="F95" s="27"/>
      <c r="G95" s="12"/>
      <c r="H95" s="12"/>
      <c r="I95" s="12"/>
      <c r="J95" s="12"/>
      <c r="K95" s="12"/>
      <c r="L95" s="12"/>
      <c r="M95" s="12"/>
      <c r="N95" s="12"/>
      <c r="O95" s="12"/>
      <c r="P95" s="12"/>
      <c r="Q95" s="12"/>
    </row>
    <row r="96" spans="1:17" ht="15.75" customHeight="1">
      <c r="A96" s="10"/>
      <c r="B96" s="27" t="s">
        <v>145</v>
      </c>
      <c r="C96" s="77">
        <f>C4/G4-1</f>
        <v>-0.16415582500084058</v>
      </c>
      <c r="D96" s="27"/>
      <c r="E96" s="265"/>
      <c r="F96" s="27"/>
      <c r="G96" s="6">
        <f t="shared" ref="G96:Q96" si="40">IF(H4="","",G4/H4-1)</f>
        <v>0.23557646468460058</v>
      </c>
      <c r="H96" s="6">
        <f t="shared" si="40"/>
        <v>0.15918951688273086</v>
      </c>
      <c r="I96" s="6">
        <f t="shared" si="40"/>
        <v>0.10241026278459486</v>
      </c>
      <c r="J96" s="6">
        <f t="shared" si="40"/>
        <v>0.67051733030020255</v>
      </c>
      <c r="K96" s="6">
        <f t="shared" si="40"/>
        <v>0.2374711605315063</v>
      </c>
      <c r="L96" s="6">
        <f t="shared" si="40"/>
        <v>0.39929822681154925</v>
      </c>
      <c r="M96" s="6">
        <f t="shared" si="40"/>
        <v>0.49891375301179886</v>
      </c>
      <c r="N96" s="6">
        <f t="shared" si="40"/>
        <v>0.63992176563831493</v>
      </c>
      <c r="O96" s="6">
        <f t="shared" si="40"/>
        <v>0.44976663618867407</v>
      </c>
      <c r="P96" s="6" t="str">
        <f t="shared" si="40"/>
        <v/>
      </c>
      <c r="Q96" s="6" t="str">
        <f t="shared" si="40"/>
        <v/>
      </c>
    </row>
    <row r="97" spans="1:17" ht="15.75" customHeight="1">
      <c r="A97" s="10"/>
      <c r="B97" s="70" t="s">
        <v>165</v>
      </c>
      <c r="C97" s="77">
        <f>C13/G13-1</f>
        <v>-0.23026619653665814</v>
      </c>
      <c r="D97" s="27"/>
      <c r="E97" s="265"/>
      <c r="F97" s="27"/>
      <c r="G97" s="6">
        <f t="shared" ref="G97:Q97" si="41">IF(H5="","",G13/H13-1)</f>
        <v>4.7314676461081007E-3</v>
      </c>
      <c r="H97" s="6">
        <f t="shared" si="41"/>
        <v>0.56394443176499331</v>
      </c>
      <c r="I97" s="6">
        <f t="shared" si="41"/>
        <v>0.11896887143890322</v>
      </c>
      <c r="J97" s="6">
        <f t="shared" si="41"/>
        <v>0.40074551783668522</v>
      </c>
      <c r="K97" s="6">
        <f t="shared" si="41"/>
        <v>3.9288422640898935E-2</v>
      </c>
      <c r="L97" s="6">
        <f t="shared" si="41"/>
        <v>0.55120279364046643</v>
      </c>
      <c r="M97" s="6">
        <f t="shared" si="41"/>
        <v>0.38870125557836643</v>
      </c>
      <c r="N97" s="6">
        <f t="shared" si="41"/>
        <v>0.95148801992160514</v>
      </c>
      <c r="O97" s="6">
        <f t="shared" si="41"/>
        <v>0.52094354919340469</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268"/>
      <c r="G100" s="97" t="s">
        <v>220</v>
      </c>
    </row>
    <row r="101" spans="1:17" ht="15.75" customHeight="1">
      <c r="A101" s="10"/>
      <c r="B101" s="26" t="s">
        <v>3</v>
      </c>
      <c r="C101" s="350">
        <f>BS!G32</f>
        <v>15353846792.640001</v>
      </c>
      <c r="D101" s="26"/>
      <c r="E101" s="269"/>
      <c r="F101" s="26"/>
      <c r="G101" s="339">
        <f t="shared" ref="G101:Q101" si="42">IF(G$4="","",G105+G104)</f>
        <v>15353846792.639999</v>
      </c>
      <c r="H101" s="339">
        <f t="shared" si="42"/>
        <v>14207301142</v>
      </c>
      <c r="I101" s="339">
        <f t="shared" si="42"/>
        <v>11801808511</v>
      </c>
      <c r="J101" s="339">
        <f t="shared" si="42"/>
        <v>9574469630</v>
      </c>
      <c r="K101" s="339">
        <f t="shared" si="42"/>
        <v>5869032275</v>
      </c>
      <c r="L101" s="339">
        <f t="shared" si="42"/>
        <v>4859452594</v>
      </c>
      <c r="M101" s="339">
        <f t="shared" si="42"/>
        <v>3633584727</v>
      </c>
      <c r="N101" s="339">
        <f t="shared" si="42"/>
        <v>2778559461</v>
      </c>
      <c r="O101" s="339">
        <f t="shared" si="42"/>
        <v>1371292107</v>
      </c>
      <c r="P101" s="339">
        <f t="shared" si="42"/>
        <v>1094930435</v>
      </c>
      <c r="Q101" s="339" t="str">
        <f t="shared" si="42"/>
        <v/>
      </c>
    </row>
    <row r="102" spans="1:17" ht="15.75" customHeight="1">
      <c r="A102" s="10"/>
      <c r="B102" s="93" t="s">
        <v>211</v>
      </c>
      <c r="C102" s="351">
        <f>BS!C4</f>
        <v>2470363699.1300001</v>
      </c>
      <c r="D102" s="89"/>
      <c r="E102" s="270"/>
      <c r="F102" s="89"/>
      <c r="G102" s="352">
        <f>IF(G$4="","",Data!D77)</f>
        <v>2391271680</v>
      </c>
      <c r="H102" s="352">
        <f>IF(H$4="","",Data!E77)</f>
        <v>2078427810</v>
      </c>
      <c r="I102" s="352">
        <f>IF(I$4="","",Data!F77)</f>
        <v>1620191874</v>
      </c>
      <c r="J102" s="352">
        <f>IF(J$4="","",Data!G77)</f>
        <v>635971724</v>
      </c>
      <c r="K102" s="352">
        <f>IF(K$4="","",Data!H77)</f>
        <v>797615199</v>
      </c>
      <c r="L102" s="352">
        <f>IF(L$4="","",Data!I77)</f>
        <v>0</v>
      </c>
      <c r="M102" s="352">
        <f>IF(M$4="","",Data!J77)</f>
        <v>0</v>
      </c>
      <c r="N102" s="352">
        <f>IF(N$4="","",Data!K77)</f>
        <v>0</v>
      </c>
      <c r="O102" s="352">
        <f>IF(O$4="","",Data!L77)</f>
        <v>0</v>
      </c>
      <c r="P102" s="352">
        <f>IF(P$4="","",Data!M77)</f>
        <v>0</v>
      </c>
      <c r="Q102" s="352" t="str">
        <f>IF(Q$4="","",Data!N77)</f>
        <v/>
      </c>
    </row>
    <row r="103" spans="1:17" ht="15.75" customHeight="1">
      <c r="A103" s="10"/>
      <c r="B103" s="93" t="s">
        <v>212</v>
      </c>
      <c r="C103" s="351">
        <f>BS!C6+BS!C7</f>
        <v>2342136338.9299998</v>
      </c>
      <c r="D103" s="89"/>
      <c r="E103" s="270"/>
      <c r="F103" s="89"/>
      <c r="G103" s="352">
        <f>IF(G$4="","",Data!D78)</f>
        <v>1921374942</v>
      </c>
      <c r="H103" s="352">
        <f>IF(H$4="","",Data!E78)</f>
        <v>1795225840</v>
      </c>
      <c r="I103" s="352">
        <f>IF(I$4="","",Data!F78)</f>
        <v>1387177645</v>
      </c>
      <c r="J103" s="352">
        <f>IF(J$4="","",Data!G78)</f>
        <v>941597028</v>
      </c>
      <c r="K103" s="352">
        <f>IF(K$4="","",Data!H78)</f>
        <v>460791109</v>
      </c>
      <c r="L103" s="352">
        <f>IF(L$4="","",Data!I78)</f>
        <v>0</v>
      </c>
      <c r="M103" s="352">
        <f>IF(M$4="","",Data!J78)</f>
        <v>0</v>
      </c>
      <c r="N103" s="352">
        <f>IF(N$4="","",Data!K78)</f>
        <v>0</v>
      </c>
      <c r="O103" s="352">
        <f>IF(O$4="","",Data!L78)</f>
        <v>0</v>
      </c>
      <c r="P103" s="352">
        <f>IF(P$4="","",Data!M78)</f>
        <v>0</v>
      </c>
      <c r="Q103" s="352" t="str">
        <f>IF(Q$4="","",Data!N78)</f>
        <v/>
      </c>
    </row>
    <row r="104" spans="1:17" ht="15.75" customHeight="1">
      <c r="A104" s="10"/>
      <c r="B104" s="26" t="s">
        <v>40</v>
      </c>
      <c r="C104" s="350">
        <f>BS!G30</f>
        <v>5315649326.7300005</v>
      </c>
      <c r="D104" s="26"/>
      <c r="E104" s="269"/>
      <c r="F104" s="26"/>
      <c r="G104" s="339">
        <f>Data!C79</f>
        <v>5315649326.7300005</v>
      </c>
      <c r="H104" s="339">
        <f>Data!D79</f>
        <v>5242067251</v>
      </c>
      <c r="I104" s="339">
        <f>Data!E79</f>
        <v>4736625835</v>
      </c>
      <c r="J104" s="339">
        <f>Data!F79</f>
        <v>3596300871</v>
      </c>
      <c r="K104" s="339">
        <f>Data!G79</f>
        <v>2124874675</v>
      </c>
      <c r="L104" s="339">
        <f>Data!H79</f>
        <v>1651958950</v>
      </c>
      <c r="M104" s="339">
        <f>Data!I79</f>
        <v>1032202540</v>
      </c>
      <c r="N104" s="339">
        <f>Data!J79</f>
        <v>576053698</v>
      </c>
      <c r="O104" s="339">
        <f>Data!K79</f>
        <v>285486746</v>
      </c>
      <c r="P104" s="339">
        <f>Data!L79</f>
        <v>172274845</v>
      </c>
      <c r="Q104" s="339" t="str">
        <f>Data!M79</f>
        <v/>
      </c>
    </row>
    <row r="105" spans="1:17" ht="15.75" customHeight="1">
      <c r="A105" s="10"/>
      <c r="B105" s="26" t="s">
        <v>30</v>
      </c>
      <c r="C105" s="350">
        <f>BS!G27</f>
        <v>10038197465.91</v>
      </c>
      <c r="D105" s="26"/>
      <c r="E105" s="269"/>
      <c r="F105" s="26"/>
      <c r="G105" s="339">
        <f>Data!C80</f>
        <v>10038197465.91</v>
      </c>
      <c r="H105" s="339">
        <f>Data!D80</f>
        <v>8965233891</v>
      </c>
      <c r="I105" s="339">
        <f>Data!E80</f>
        <v>7065182676</v>
      </c>
      <c r="J105" s="339">
        <f>Data!F80</f>
        <v>5978168759</v>
      </c>
      <c r="K105" s="339">
        <f>Data!G80</f>
        <v>3744157600</v>
      </c>
      <c r="L105" s="339">
        <f>Data!H80</f>
        <v>3207493644</v>
      </c>
      <c r="M105" s="339">
        <f>Data!I80</f>
        <v>2601382187</v>
      </c>
      <c r="N105" s="339">
        <f>Data!J80</f>
        <v>2202505763</v>
      </c>
      <c r="O105" s="339">
        <f>Data!K80</f>
        <v>1085805361</v>
      </c>
      <c r="P105" s="339">
        <f>Data!L80</f>
        <v>922655590</v>
      </c>
      <c r="Q105" s="339" t="str">
        <f>Data!M80</f>
        <v/>
      </c>
    </row>
    <row r="106" spans="1:17" ht="15.75" customHeight="1">
      <c r="A106" s="10"/>
      <c r="E106" s="268"/>
    </row>
    <row r="107" spans="1:17" ht="15.75" customHeight="1">
      <c r="A107" s="10"/>
      <c r="B107" s="91" t="s">
        <v>221</v>
      </c>
      <c r="C107" s="26"/>
      <c r="D107" s="26"/>
      <c r="E107" s="269"/>
      <c r="F107" s="26"/>
      <c r="G107" s="97" t="s">
        <v>220</v>
      </c>
      <c r="H107" s="12"/>
      <c r="I107" s="12"/>
      <c r="J107" s="12"/>
      <c r="K107" s="12"/>
      <c r="L107" s="12"/>
      <c r="M107" s="12"/>
      <c r="N107" s="12"/>
      <c r="O107" s="12"/>
      <c r="P107" s="12"/>
      <c r="Q107" s="12"/>
    </row>
    <row r="108" spans="1:17" ht="15.75" customHeight="1">
      <c r="A108" s="10"/>
      <c r="B108" s="26" t="s">
        <v>218</v>
      </c>
      <c r="C108" s="94">
        <f>C102/C$4</f>
        <v>0.37896704608794446</v>
      </c>
      <c r="D108" s="26"/>
      <c r="E108" s="269"/>
      <c r="F108" s="26"/>
      <c r="G108" s="94">
        <f t="shared" ref="G108:Q108" si="43">IF(G$4="","",G102/G$4)</f>
        <v>0.30661598351243974</v>
      </c>
      <c r="H108" s="94">
        <f t="shared" si="43"/>
        <v>0.32928385830346607</v>
      </c>
      <c r="I108" s="94">
        <f t="shared" si="43"/>
        <v>0.29754755893910678</v>
      </c>
      <c r="J108" s="94">
        <f t="shared" si="43"/>
        <v>0.12875704367393292</v>
      </c>
      <c r="K108" s="94">
        <f t="shared" si="43"/>
        <v>0.26976002687148287</v>
      </c>
      <c r="L108" s="94">
        <f t="shared" si="43"/>
        <v>0</v>
      </c>
      <c r="M108" s="94">
        <f t="shared" si="43"/>
        <v>0</v>
      </c>
      <c r="N108" s="94">
        <f t="shared" si="43"/>
        <v>0</v>
      </c>
      <c r="O108" s="94">
        <f t="shared" si="43"/>
        <v>0</v>
      </c>
      <c r="P108" s="94">
        <f t="shared" si="43"/>
        <v>0</v>
      </c>
      <c r="Q108" s="94" t="str">
        <f t="shared" si="43"/>
        <v/>
      </c>
    </row>
    <row r="109" spans="1:17" ht="15.75" customHeight="1">
      <c r="A109" s="10"/>
      <c r="B109" s="26" t="s">
        <v>219</v>
      </c>
      <c r="C109" s="94">
        <f>C103/C$4</f>
        <v>0.35929628103429567</v>
      </c>
      <c r="D109" s="26"/>
      <c r="E109" s="269"/>
      <c r="F109" s="26"/>
      <c r="G109" s="94">
        <f t="shared" ref="G109:Q109" si="44">IF(G$4="","",G103/G$4)</f>
        <v>0.24636442294063671</v>
      </c>
      <c r="H109" s="94">
        <f t="shared" si="44"/>
        <v>0.28441636908297568</v>
      </c>
      <c r="I109" s="94">
        <f t="shared" si="44"/>
        <v>0.25475459339617007</v>
      </c>
      <c r="J109" s="94">
        <f t="shared" si="44"/>
        <v>0.19063308175858687</v>
      </c>
      <c r="K109" s="94">
        <f t="shared" si="44"/>
        <v>0.15584334664362431</v>
      </c>
      <c r="L109" s="94">
        <f t="shared" si="44"/>
        <v>0</v>
      </c>
      <c r="M109" s="94">
        <f t="shared" si="44"/>
        <v>0</v>
      </c>
      <c r="N109" s="94">
        <f t="shared" si="44"/>
        <v>0</v>
      </c>
      <c r="O109" s="94">
        <f t="shared" si="44"/>
        <v>0</v>
      </c>
      <c r="P109" s="94">
        <f t="shared" si="44"/>
        <v>0</v>
      </c>
      <c r="Q109" s="94" t="str">
        <f t="shared" si="44"/>
        <v/>
      </c>
    </row>
    <row r="110" spans="1:17" ht="15.75" customHeight="1">
      <c r="A110" s="10"/>
      <c r="B110" s="26" t="s">
        <v>69</v>
      </c>
      <c r="C110" s="94">
        <f>BS!$G$38/C$4</f>
        <v>0</v>
      </c>
      <c r="D110" s="26"/>
      <c r="E110" s="269"/>
      <c r="F110" s="26"/>
      <c r="G110" s="94">
        <f>BS!$G$38/G$4</f>
        <v>0</v>
      </c>
      <c r="H110" s="204"/>
      <c r="I110" s="204"/>
      <c r="J110" s="204"/>
      <c r="K110" s="204"/>
      <c r="L110" s="204"/>
      <c r="M110" s="204"/>
      <c r="N110" s="204"/>
      <c r="O110" s="204"/>
      <c r="P110" s="204"/>
      <c r="Q110" s="204"/>
    </row>
    <row r="111" spans="1:17" ht="15.75" customHeight="1">
      <c r="A111" s="10"/>
      <c r="E111" s="268"/>
    </row>
    <row r="112" spans="1:17" ht="15.75" customHeight="1">
      <c r="A112" s="10"/>
      <c r="B112" s="64" t="s">
        <v>51</v>
      </c>
      <c r="E112" s="268"/>
    </row>
    <row r="113" spans="1:17" ht="15.75" customHeight="1">
      <c r="A113" s="10"/>
      <c r="B113" s="2" t="s">
        <v>392</v>
      </c>
      <c r="C113" s="169"/>
      <c r="E113" s="268"/>
      <c r="G113" s="295">
        <f>IF(G$4="","",Data!C$22/Data!C15)</f>
        <v>1.1764903878265465</v>
      </c>
      <c r="H113" s="295">
        <f>IF(H$4="","",Data!D$22/Data!D15)</f>
        <v>1.1929424225274436</v>
      </c>
      <c r="I113" s="295">
        <f>IF(I$4="","",Data!E$22/Data!E15)</f>
        <v>0.74504662310350667</v>
      </c>
      <c r="J113" s="295">
        <f>IF(J$4="","",Data!F$22/Data!F15)</f>
        <v>0.42247280110140634</v>
      </c>
      <c r="K113" s="295">
        <f>IF(K$4="","",Data!G$22/Data!G15)</f>
        <v>1.3427358596861791</v>
      </c>
      <c r="L113" s="295">
        <f>IF(L$4="","",Data!H$22/Data!H15)</f>
        <v>1.0029926021469444</v>
      </c>
      <c r="M113" s="295">
        <f>IF(M$4="","",Data!I$22/Data!I15)</f>
        <v>0.86522666985733043</v>
      </c>
      <c r="N113" s="295">
        <f>IF(N$4="","",Data!J$22/Data!J15)</f>
        <v>1.2315448117899197</v>
      </c>
      <c r="O113" s="295">
        <f>IF(O$4="","",Data!K$22/Data!K15)</f>
        <v>0.81345588557632331</v>
      </c>
      <c r="P113" s="295">
        <f>IF(P$4="","",Data!L$22/Data!L15)</f>
        <v>0.89351097201094287</v>
      </c>
      <c r="Q113" s="295" t="str">
        <f>IF(Q$4="","",Data!M$22/Data!M15)</f>
        <v/>
      </c>
    </row>
    <row r="114" spans="1:17" ht="15.75" customHeight="1">
      <c r="A114" s="10"/>
      <c r="B114" s="2" t="s">
        <v>393</v>
      </c>
      <c r="C114" s="169"/>
      <c r="E114" s="268"/>
      <c r="G114" s="295">
        <f>IF(G$4="","",Data!C$22/G19)</f>
        <v>1.2068632369052781</v>
      </c>
      <c r="H114" s="295">
        <f>IF(H$4="","",Data!D$22/H19)</f>
        <v>1.408374052605341</v>
      </c>
      <c r="I114" s="295">
        <f>IF(I$4="","",Data!E$22/I19)</f>
        <v>0.93214397117235537</v>
      </c>
      <c r="J114" s="295">
        <f>IF(J$4="","",Data!F$22/J19)</f>
        <v>0.39644303360502192</v>
      </c>
      <c r="K114" s="295">
        <f>IF(K$4="","",Data!G$22/K19)</f>
        <v>1.3488958482199989</v>
      </c>
      <c r="L114" s="295">
        <f>IF(L$4="","",Data!H$22/L19)</f>
        <v>1.1041647974466222</v>
      </c>
      <c r="M114" s="295">
        <f>IF(M$4="","",Data!I$22/M19)</f>
        <v>1.0572199531706012</v>
      </c>
      <c r="N114" s="295">
        <f>IF(N$4="","",Data!J$22/N19)</f>
        <v>1.1849072817273547</v>
      </c>
      <c r="O114" s="295">
        <f>IF(O$4="","",Data!K$22/O19)</f>
        <v>0.98083151944305158</v>
      </c>
      <c r="P114" s="295">
        <f>IF(P$4="","",Data!L$22/P19)</f>
        <v>1.1947528261563065</v>
      </c>
      <c r="Q114" s="295" t="str">
        <f>IF(Q$4="","",Data!M$22/Q19)</f>
        <v/>
      </c>
    </row>
    <row r="115" spans="1:17" ht="15.75" customHeight="1">
      <c r="A115" s="10"/>
      <c r="E115" s="268"/>
    </row>
    <row r="116" spans="1:17" ht="15.75" customHeight="1">
      <c r="A116" s="10"/>
      <c r="B116" s="91" t="s">
        <v>38</v>
      </c>
      <c r="C116" s="55"/>
      <c r="D116" s="55"/>
      <c r="E116" s="271"/>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IF(valuation_method="DDM",C13/(C4+C12),C81)</f>
        <v>0.22405670341828193</v>
      </c>
      <c r="E117" s="268"/>
      <c r="G117" s="23">
        <f t="shared" ref="G117:Q117" si="45">IF(G4="","",IF(valuation_method="DDM",G13/(G4+G12),G81))</f>
        <v>0.24330033263324671</v>
      </c>
      <c r="H117" s="23">
        <f t="shared" si="45"/>
        <v>0.29920050733143649</v>
      </c>
      <c r="I117" s="23">
        <f t="shared" si="45"/>
        <v>0.2217662498105383</v>
      </c>
      <c r="J117" s="23">
        <f t="shared" si="45"/>
        <v>0.21848453158130443</v>
      </c>
      <c r="K117" s="23">
        <f t="shared" si="45"/>
        <v>0.26056281584450142</v>
      </c>
      <c r="L117" s="23">
        <f t="shared" si="45"/>
        <v>0.31024974693272739</v>
      </c>
      <c r="M117" s="23">
        <f t="shared" si="45"/>
        <v>0.27986793379403829</v>
      </c>
      <c r="N117" s="23">
        <f t="shared" si="45"/>
        <v>0.30207929409278672</v>
      </c>
      <c r="O117" s="23">
        <f t="shared" si="45"/>
        <v>0.25385060234769941</v>
      </c>
      <c r="P117" s="23">
        <f t="shared" si="45"/>
        <v>0.24197093577553586</v>
      </c>
      <c r="Q117" s="23" t="str">
        <f t="shared" si="45"/>
        <v/>
      </c>
    </row>
    <row r="118" spans="1:17" ht="15.75" customHeight="1">
      <c r="B118" s="7" t="s">
        <v>84</v>
      </c>
      <c r="C118" s="42">
        <f>IF(valuation_method="DDM",(C4+C12)/C101,C4/C101)</f>
        <v>0.42456310191863128</v>
      </c>
      <c r="E118" s="268"/>
      <c r="G118" s="42">
        <f t="shared" ref="G118:Q118" si="46">IF(G4="","",IF(valuation_method="DDM",(G4+G12)/G101,G4/G101))</f>
        <v>0.50794527810050039</v>
      </c>
      <c r="H118" s="42">
        <f t="shared" si="46"/>
        <v>0.44427606530704167</v>
      </c>
      <c r="I118" s="42">
        <f t="shared" si="46"/>
        <v>0.46138289974157676</v>
      </c>
      <c r="J118" s="42">
        <f t="shared" si="46"/>
        <v>0.51588403074813449</v>
      </c>
      <c r="K118" s="42">
        <f t="shared" si="46"/>
        <v>0.50378974990387149</v>
      </c>
      <c r="L118" s="42">
        <f t="shared" si="46"/>
        <v>0.49169227907483937</v>
      </c>
      <c r="M118" s="42">
        <f t="shared" si="46"/>
        <v>0.46993215578869862</v>
      </c>
      <c r="N118" s="42">
        <f t="shared" si="46"/>
        <v>0.40999080350434869</v>
      </c>
      <c r="O118" s="42">
        <f t="shared" si="46"/>
        <v>0.50657144342478155</v>
      </c>
      <c r="P118" s="42">
        <f t="shared" si="46"/>
        <v>0.43760880480046205</v>
      </c>
      <c r="Q118" s="42" t="str">
        <f t="shared" si="46"/>
        <v/>
      </c>
    </row>
    <row r="119" spans="1:17" ht="15.75" customHeight="1">
      <c r="B119" s="7" t="s">
        <v>92</v>
      </c>
      <c r="C119" s="15">
        <f>C101/C105</f>
        <v>1.5295422156001708</v>
      </c>
      <c r="D119" s="11"/>
      <c r="E119" s="272"/>
      <c r="F119" s="11"/>
      <c r="G119" s="15">
        <f t="shared" ref="G119:Q119" si="47">IF(G$4="","",G101/G105)</f>
        <v>1.5295422156001706</v>
      </c>
      <c r="H119" s="15">
        <f t="shared" si="47"/>
        <v>1.5847105959234813</v>
      </c>
      <c r="I119" s="15">
        <f t="shared" si="47"/>
        <v>1.6704180277022465</v>
      </c>
      <c r="J119" s="15">
        <f t="shared" si="47"/>
        <v>1.6015723235624368</v>
      </c>
      <c r="K119" s="15">
        <f t="shared" si="47"/>
        <v>1.5675174236789606</v>
      </c>
      <c r="L119" s="15">
        <f t="shared" si="47"/>
        <v>1.51503109073659</v>
      </c>
      <c r="M119" s="15">
        <f t="shared" si="47"/>
        <v>1.3967900392177168</v>
      </c>
      <c r="N119" s="15">
        <f t="shared" si="47"/>
        <v>1.2615446949911113</v>
      </c>
      <c r="O119" s="15">
        <f t="shared" si="47"/>
        <v>1.2629262630800364</v>
      </c>
      <c r="P119" s="15">
        <f t="shared" si="47"/>
        <v>1.1867163076527829</v>
      </c>
      <c r="Q119" s="15" t="str">
        <f t="shared" si="47"/>
        <v/>
      </c>
    </row>
    <row r="120" spans="1:17" ht="15.75" customHeight="1">
      <c r="A120" s="10"/>
      <c r="B120" s="70" t="s">
        <v>223</v>
      </c>
      <c r="C120" s="102">
        <f>C13/C105</f>
        <v>0.14549955248916155</v>
      </c>
      <c r="D120" s="103"/>
      <c r="E120" s="271"/>
      <c r="F120" s="103"/>
      <c r="G120" s="102">
        <f>IF(G$4="","",G13/G105)</f>
        <v>0.18902580584937359</v>
      </c>
      <c r="H120" s="102">
        <f t="shared" ref="H120:Q120" si="48">IF(H$4="","",H13/H105)</f>
        <v>0.21065181445779718</v>
      </c>
      <c r="I120" s="102">
        <f t="shared" si="48"/>
        <v>0.17091576176343842</v>
      </c>
      <c r="J120" s="102">
        <f t="shared" si="48"/>
        <v>0.18051751009707057</v>
      </c>
      <c r="K120" s="102">
        <f t="shared" si="48"/>
        <v>0.20576625004800189</v>
      </c>
      <c r="L120" s="102">
        <f t="shared" si="48"/>
        <v>0.23111406161608458</v>
      </c>
      <c r="M120" s="102">
        <f t="shared" si="48"/>
        <v>0.18370434740531896</v>
      </c>
      <c r="N120" s="102">
        <f t="shared" si="48"/>
        <v>0.15624197302043563</v>
      </c>
      <c r="O120" s="102">
        <f t="shared" si="48"/>
        <v>0.16240406552938358</v>
      </c>
      <c r="P120" s="102">
        <f t="shared" si="48"/>
        <v>0.12565974265652041</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8" t="s">
        <v>171</v>
      </c>
      <c r="C123" s="179"/>
      <c r="D123" s="27"/>
      <c r="E123" s="265"/>
      <c r="F123" s="27"/>
      <c r="G123" s="12"/>
      <c r="H123" s="12"/>
      <c r="I123" s="12"/>
      <c r="J123" s="12"/>
      <c r="K123" s="12"/>
      <c r="L123" s="12"/>
      <c r="M123" s="12"/>
      <c r="N123" s="12"/>
      <c r="O123" s="12"/>
      <c r="P123" s="12"/>
      <c r="Q123" s="12"/>
    </row>
    <row r="124" spans="1:17" ht="15.75" customHeight="1">
      <c r="A124" s="10"/>
      <c r="B124" s="27" t="str">
        <f>"FCFE per share ("&amp;Market_currency&amp;")"</f>
        <v>FCFE per share (CNY)</v>
      </c>
      <c r="C124" s="177">
        <f>C16*$C$3/Common_Shares*Exchange_Rate</f>
        <v>2.1629793105437587</v>
      </c>
      <c r="D124" s="27"/>
      <c r="E124" s="265"/>
      <c r="F124" s="27"/>
      <c r="G124" s="177">
        <f t="shared" ref="G124:Q124" si="49">IF(G$4="","",G16*$C$3/Common_Shares*Exchange_Rate)</f>
        <v>3.1362642466381847</v>
      </c>
      <c r="H124" s="177">
        <f t="shared" si="49"/>
        <v>3.1234217319150401</v>
      </c>
      <c r="I124" s="177">
        <f t="shared" si="49"/>
        <v>1.9845847306617994</v>
      </c>
      <c r="J124" s="177">
        <f t="shared" si="49"/>
        <v>1.8614390844812332</v>
      </c>
      <c r="K124" s="177">
        <f t="shared" si="49"/>
        <v>1.3056384718078904</v>
      </c>
      <c r="L124" s="177">
        <f t="shared" si="49"/>
        <v>1.2451599459995282</v>
      </c>
      <c r="M124" s="177">
        <f t="shared" si="49"/>
        <v>0.77656970893454935</v>
      </c>
      <c r="N124" s="177">
        <f t="shared" si="49"/>
        <v>0.58120130685883642</v>
      </c>
      <c r="O124" s="177">
        <f t="shared" si="49"/>
        <v>0.28661035232656717</v>
      </c>
      <c r="P124" s="177">
        <f t="shared" si="49"/>
        <v>0.1857301608248664</v>
      </c>
      <c r="Q124" s="177" t="str">
        <f t="shared" si="49"/>
        <v/>
      </c>
    </row>
    <row r="125" spans="1:17" ht="15.75" customHeight="1">
      <c r="A125" s="10"/>
      <c r="B125" s="27" t="s">
        <v>270</v>
      </c>
      <c r="C125" s="77">
        <f>C19*Exchange_Rate*$C$3/(Market_Price*Common_Shares)</f>
        <v>4.7092952548307393E-2</v>
      </c>
      <c r="D125" s="27"/>
      <c r="E125" s="265"/>
      <c r="F125" s="27"/>
      <c r="G125" s="77">
        <f t="shared" ref="G125" si="50">IF(G$4="","",G124/Market_Price)</f>
        <v>6.8283567311956991E-2</v>
      </c>
      <c r="H125" s="77">
        <f t="shared" ref="H125" si="51">IF(H$4="","",H124/Market_Price)</f>
        <v>6.8003956714893107E-2</v>
      </c>
      <c r="I125" s="77">
        <f t="shared" ref="I125" si="52">IF(I$4="","",I124/Market_Price)</f>
        <v>4.3208898991112549E-2</v>
      </c>
      <c r="J125" s="77">
        <f t="shared" ref="J125" si="53">IF(J$4="","",J124/Market_Price)</f>
        <v>4.0527739701311412E-2</v>
      </c>
      <c r="K125" s="77">
        <f t="shared" ref="K125" si="54">IF(K$4="","",K124/Market_Price)</f>
        <v>2.8426703065706299E-2</v>
      </c>
      <c r="L125" s="77">
        <f t="shared" ref="L125" si="55">IF(L$4="","",L124/Market_Price)</f>
        <v>2.7109948748084655E-2</v>
      </c>
      <c r="M125" s="77">
        <f t="shared" ref="M125" si="56">IF(M$4="","",M124/Market_Price)</f>
        <v>1.6907679271381437E-2</v>
      </c>
      <c r="N125" s="77">
        <f t="shared" ref="N125" si="57">IF(N$4="","",N124/Market_Price)</f>
        <v>1.265406720789977E-2</v>
      </c>
      <c r="O125" s="77">
        <f t="shared" ref="O125" si="58">IF(O$4="","",O124/Market_Price)</f>
        <v>6.240155722328917E-3</v>
      </c>
      <c r="P125" s="77">
        <f t="shared" ref="P125" si="59">IF(P$4="","",P124/Market_Price)</f>
        <v>4.0437657484186026E-3</v>
      </c>
      <c r="Q125" s="77" t="str">
        <f t="shared" ref="Q125" si="60">IF(Q$4="","",Q124/Market_Price)</f>
        <v/>
      </c>
    </row>
    <row r="126" spans="1:17" ht="15.75" customHeight="1">
      <c r="B126" s="2" t="s">
        <v>395</v>
      </c>
      <c r="C126" s="169"/>
      <c r="G126" s="23">
        <f>IF(G$4="","",(Data!C47*$C$3)/(Market_Price*Common_Shares))</f>
        <v>7.0046409155786193E-2</v>
      </c>
      <c r="H126" s="23">
        <f>IF(H$4="","",(Data!D47*$C$3)/(Market_Price*Common_Shares))</f>
        <v>8.0284686254041629E-2</v>
      </c>
      <c r="I126" s="23">
        <f>IF(I$4="","",(Data!E47*$C$3)/(Market_Price*Common_Shares))</f>
        <v>5.4059589623782919E-2</v>
      </c>
      <c r="J126" s="23">
        <f>IF(J$4="","",(Data!F47*$C$3)/(Market_Price*Common_Shares))</f>
        <v>3.8030708794637942E-2</v>
      </c>
      <c r="K126" s="23">
        <f>IF(K$4="","",(Data!G47*$C$3)/(Market_Price*Common_Shares))</f>
        <v>2.8557114541407837E-2</v>
      </c>
      <c r="L126" s="23">
        <f>IF(L$4="","",(Data!H47*$C$3)/(Market_Price*Common_Shares))</f>
        <v>2.9844538239008581E-2</v>
      </c>
      <c r="M126" s="23">
        <f>IF(M$4="","",(Data!I47*$C$3)/(Market_Price*Common_Shares))</f>
        <v>2.0659483243230248E-2</v>
      </c>
      <c r="N126" s="23">
        <f>IF(N$4="","",(Data!J47*$C$3)/(Market_Price*Common_Shares))</f>
        <v>1.2174868697076263E-2</v>
      </c>
      <c r="O126" s="23">
        <f>IF(O$4="","",(Data!K47*$C$3)/(Market_Price*Common_Shares))</f>
        <v>7.5241221155549175E-3</v>
      </c>
      <c r="P126" s="23">
        <f>IF(P$4="","",(Data!L47*$C$3)/(Market_Price*Common_Shares))</f>
        <v>5.4070970671617315E-3</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796875" defaultRowHeight="12.75"/>
  <cols>
    <col min="1" max="1" width="6.1328125" customWidth="1"/>
    <col min="2" max="2" width="24.6640625" customWidth="1"/>
    <col min="3" max="6" width="20.6640625" customWidth="1"/>
    <col min="7" max="7" width="5.6640625" customWidth="1"/>
    <col min="8" max="8" width="56.796875" bestFit="1" customWidth="1"/>
  </cols>
  <sheetData>
    <row r="2" spans="2:8" ht="13.9">
      <c r="B2" s="36" t="s">
        <v>55</v>
      </c>
      <c r="C2" s="37"/>
      <c r="D2" s="37"/>
      <c r="E2" s="37"/>
      <c r="F2" s="37"/>
      <c r="H2" s="130" t="s">
        <v>59</v>
      </c>
    </row>
    <row r="3" spans="2:8" ht="13.15">
      <c r="B3" s="109" t="s">
        <v>164</v>
      </c>
      <c r="C3" s="107">
        <f>scaling_factor</f>
        <v>1</v>
      </c>
      <c r="E3" s="109" t="s">
        <v>125</v>
      </c>
      <c r="H3" s="120"/>
    </row>
    <row r="4" spans="2:8">
      <c r="B4" s="100" t="s">
        <v>129</v>
      </c>
      <c r="C4" s="344">
        <f>Normalized_FCF!C19</f>
        <v>1095219986.2147145</v>
      </c>
      <c r="D4" t="str">
        <f>Reporting_currency</f>
        <v>CNY</v>
      </c>
      <c r="E4" s="100" t="s">
        <v>251</v>
      </c>
      <c r="F4" s="134">
        <f>Terminal_Growth</f>
        <v>0</v>
      </c>
      <c r="H4" s="120"/>
    </row>
    <row r="5" spans="2:8">
      <c r="B5" s="205" t="s">
        <v>124</v>
      </c>
      <c r="C5" s="206">
        <f>Equity_Cost</f>
        <v>0.06</v>
      </c>
      <c r="E5" s="148"/>
      <c r="H5" s="120"/>
    </row>
    <row r="6" spans="2:8" ht="13.25" customHeight="1">
      <c r="B6" s="149" t="s">
        <v>229</v>
      </c>
      <c r="C6" s="353">
        <f>(C4*(1+Terminal_Growth))/(Equity_Cost-Terminal_Growth)</f>
        <v>18253666436.911911</v>
      </c>
      <c r="D6" t="str">
        <f>Reporting_currency</f>
        <v>CNY</v>
      </c>
      <c r="E6" s="365" t="s">
        <v>250</v>
      </c>
      <c r="F6" s="365"/>
      <c r="H6" s="120"/>
    </row>
    <row r="7" spans="2:8">
      <c r="B7" s="148" t="s">
        <v>225</v>
      </c>
      <c r="C7" s="344">
        <f>BS!G31</f>
        <v>533481194.11000001</v>
      </c>
      <c r="D7" t="str">
        <f>Reporting_currency</f>
        <v>CNY</v>
      </c>
      <c r="E7" s="365"/>
      <c r="F7" s="365"/>
      <c r="H7" s="120"/>
    </row>
    <row r="8" spans="2:8">
      <c r="B8" s="148" t="s">
        <v>226</v>
      </c>
      <c r="C8" s="344">
        <f>BS!D66</f>
        <v>4150855827.3182759</v>
      </c>
      <c r="D8" t="str">
        <f>Reporting_currency</f>
        <v>CNY</v>
      </c>
      <c r="E8" s="365"/>
      <c r="F8" s="365"/>
      <c r="H8" s="120"/>
    </row>
    <row r="9" spans="2:8">
      <c r="B9" s="205" t="s">
        <v>191</v>
      </c>
      <c r="C9" s="354">
        <f>BS!H42</f>
        <v>125240754.68399999</v>
      </c>
      <c r="D9" t="str">
        <f>Reporting_currency</f>
        <v>CNY</v>
      </c>
      <c r="E9" s="365"/>
      <c r="F9" s="365"/>
      <c r="H9" s="120"/>
    </row>
    <row r="10" spans="2:8" ht="13.15">
      <c r="B10" s="149" t="s">
        <v>228</v>
      </c>
      <c r="C10" s="353">
        <f>C6-C7+C8+C9</f>
        <v>21996281824.804184</v>
      </c>
      <c r="D10" t="str">
        <f>Reporting_currency</f>
        <v>CNY</v>
      </c>
      <c r="H10" s="120"/>
    </row>
    <row r="11" spans="2:8" ht="13.15" thickBot="1">
      <c r="B11" s="207" t="s">
        <v>167</v>
      </c>
      <c r="C11" s="208">
        <f>Exchange_Rate</f>
        <v>1</v>
      </c>
      <c r="D11" t="str">
        <f>Thesis!C15</f>
        <v>CNY</v>
      </c>
      <c r="H11" s="120"/>
    </row>
    <row r="12" spans="2:8" ht="13.5" thickTop="1">
      <c r="B12" s="149" t="s">
        <v>103</v>
      </c>
      <c r="C12" s="111">
        <f>(C10*scaling_factor)/Common_Shares*Exchange_Rate</f>
        <v>43.441046634272922</v>
      </c>
      <c r="D12" t="str">
        <f>Market_currency</f>
        <v>CNY</v>
      </c>
      <c r="H12" s="120"/>
    </row>
    <row r="13" spans="2:8">
      <c r="H13" s="120"/>
    </row>
    <row r="14" spans="2:8" ht="13.9">
      <c r="B14" s="36" t="s">
        <v>230</v>
      </c>
      <c r="C14" s="37"/>
      <c r="D14" s="37"/>
      <c r="E14" s="37"/>
      <c r="F14" s="37"/>
      <c r="H14" s="120"/>
    </row>
    <row r="15" spans="2:8" ht="13.15">
      <c r="B15" s="119" t="s">
        <v>136</v>
      </c>
      <c r="H15" s="120"/>
    </row>
    <row r="16" spans="2:8" ht="13.25" customHeight="1">
      <c r="B16" s="152" t="s">
        <v>134</v>
      </c>
      <c r="C16" s="161">
        <f>Scenarios!C65</f>
        <v>4.25103165866728E-2</v>
      </c>
      <c r="H16" s="120"/>
    </row>
    <row r="17" spans="2:17" ht="13.25" customHeight="1">
      <c r="B17" s="118" t="s">
        <v>135</v>
      </c>
      <c r="C17" s="162">
        <f>Scenarios!C64</f>
        <v>30</v>
      </c>
      <c r="H17" s="120"/>
    </row>
    <row r="18" spans="2:17" ht="13.25" customHeight="1">
      <c r="B18" s="153" t="s">
        <v>107</v>
      </c>
      <c r="C18" s="140">
        <f>(F52-C7+C8+C9)*Exchange_Rate/Common_Shares*scaling_factor</f>
        <v>64.595614038969885</v>
      </c>
      <c r="D18" t="str">
        <f>Market_currency</f>
        <v>CNY</v>
      </c>
      <c r="H18" s="120"/>
    </row>
    <row r="19" spans="2:17">
      <c r="H19" s="120"/>
    </row>
    <row r="20" spans="2:17" ht="13.15">
      <c r="B20" s="128" t="s">
        <v>108</v>
      </c>
      <c r="C20" s="128" t="s">
        <v>109</v>
      </c>
      <c r="D20" s="128" t="s">
        <v>119</v>
      </c>
      <c r="E20" s="128" t="s">
        <v>110</v>
      </c>
      <c r="F20" s="129" t="s">
        <v>111</v>
      </c>
      <c r="H20" s="120"/>
    </row>
    <row r="21" spans="2:17">
      <c r="B21" s="122">
        <v>1</v>
      </c>
      <c r="C21" s="123">
        <f>C4*(1+D21)</f>
        <v>1141778134.5607533</v>
      </c>
      <c r="D21" s="138">
        <f>IF($C$17&lt;B21,0,DCF!$C$16)</f>
        <v>4.25103165866728E-2</v>
      </c>
      <c r="E21" s="124">
        <f t="shared" ref="E21:E50" si="0">IF($C$17&lt;B21,0,1/(1+Equity_Cost)^B21)</f>
        <v>0.94339622641509424</v>
      </c>
      <c r="F21" s="125">
        <f t="shared" ref="F21:F51" si="1">C21*E21</f>
        <v>1077149183.5478804</v>
      </c>
      <c r="H21" s="120"/>
    </row>
    <row r="22" spans="2:17">
      <c r="B22" s="122">
        <v>2</v>
      </c>
      <c r="C22" s="123">
        <f t="shared" ref="C22:C50" si="2">IF(ROW()-ROW($C$21)&lt;$C$17, $C$21*(1+D22)^(ROW()-ROW($C$21)), 0)</f>
        <v>1190315484.5326715</v>
      </c>
      <c r="D22" s="138">
        <f>IF($C$17&lt;B22,0,DCF!$C$16)</f>
        <v>4.25103165866728E-2</v>
      </c>
      <c r="E22" s="124">
        <f t="shared" si="0"/>
        <v>0.88999644001423983</v>
      </c>
      <c r="F22" s="125">
        <f t="shared" si="1"/>
        <v>1059376543.7279025</v>
      </c>
      <c r="H22" s="120"/>
    </row>
    <row r="23" spans="2:17">
      <c r="B23" s="122">
        <v>3</v>
      </c>
      <c r="C23" s="123">
        <f t="shared" si="2"/>
        <v>1240916172.6181741</v>
      </c>
      <c r="D23" s="138">
        <f>IF($C$17&lt;B23,0,DCF!$C$16)</f>
        <v>4.25103165866728E-2</v>
      </c>
      <c r="E23" s="124">
        <f t="shared" si="0"/>
        <v>0.8396192830323016</v>
      </c>
      <c r="F23" s="125">
        <f t="shared" si="1"/>
        <v>1041897147.1568592</v>
      </c>
      <c r="G23" s="344"/>
      <c r="H23" s="345"/>
      <c r="I23" s="344"/>
      <c r="J23" s="344"/>
      <c r="K23" s="344"/>
      <c r="L23" s="344"/>
      <c r="M23" s="344"/>
      <c r="N23" s="344"/>
      <c r="O23" s="344"/>
      <c r="P23" s="344"/>
      <c r="Q23" s="344"/>
    </row>
    <row r="24" spans="2:17">
      <c r="B24" s="122">
        <v>4</v>
      </c>
      <c r="C24" s="123">
        <f t="shared" si="2"/>
        <v>1293667911.9736948</v>
      </c>
      <c r="D24" s="138">
        <f>IF($C$17&lt;B24,0,DCF!$C$16)</f>
        <v>4.25103165866728E-2</v>
      </c>
      <c r="E24" s="124">
        <f t="shared" si="0"/>
        <v>0.79209366323802044</v>
      </c>
      <c r="F24" s="125">
        <f t="shared" si="1"/>
        <v>1024706155.4087249</v>
      </c>
      <c r="G24" s="344"/>
      <c r="H24" s="345"/>
      <c r="I24" s="344"/>
      <c r="J24" s="344"/>
      <c r="K24" s="344"/>
      <c r="L24" s="344"/>
      <c r="M24" s="344"/>
      <c r="N24" s="344"/>
      <c r="O24" s="344"/>
      <c r="P24" s="344"/>
      <c r="Q24" s="344"/>
    </row>
    <row r="25" spans="2:17">
      <c r="B25" s="122">
        <v>5</v>
      </c>
      <c r="C25" s="123">
        <f t="shared" si="2"/>
        <v>1348662144.4697165</v>
      </c>
      <c r="D25" s="138">
        <f>IF($C$17&lt;B25,0,DCF!$C$16)</f>
        <v>4.25103165866728E-2</v>
      </c>
      <c r="E25" s="124">
        <f t="shared" si="0"/>
        <v>0.74725817286605689</v>
      </c>
      <c r="F25" s="125">
        <f t="shared" si="1"/>
        <v>1007798809.8900584</v>
      </c>
      <c r="G25" s="344"/>
      <c r="H25" s="345"/>
      <c r="I25" s="344"/>
      <c r="J25" s="344"/>
      <c r="K25" s="344"/>
      <c r="L25" s="344"/>
      <c r="M25" s="344"/>
      <c r="N25" s="344"/>
      <c r="O25" s="344"/>
      <c r="P25" s="344"/>
      <c r="Q25" s="344"/>
    </row>
    <row r="26" spans="2:17">
      <c r="B26" s="122">
        <v>6</v>
      </c>
      <c r="C26" s="123">
        <f t="shared" si="2"/>
        <v>1405994199.199585</v>
      </c>
      <c r="D26" s="138">
        <f>IF($C$17&lt;B26,0,DCF!$C$16)</f>
        <v>4.25103165866728E-2</v>
      </c>
      <c r="E26" s="124">
        <f t="shared" si="0"/>
        <v>0.70496054043967626</v>
      </c>
      <c r="F26" s="125">
        <f t="shared" si="1"/>
        <v>991170430.52278924</v>
      </c>
      <c r="H26" s="120"/>
    </row>
    <row r="27" spans="2:17">
      <c r="B27" s="122">
        <v>7</v>
      </c>
      <c r="C27" s="123">
        <f t="shared" si="2"/>
        <v>1465763457.7265849</v>
      </c>
      <c r="D27" s="138">
        <f>IF($C$17&lt;B27,0,DCF!$C$16)</f>
        <v>4.25103165866728E-2</v>
      </c>
      <c r="E27" s="124">
        <f t="shared" si="0"/>
        <v>0.66505711362233599</v>
      </c>
      <c r="F27" s="125">
        <f t="shared" si="1"/>
        <v>974816414.4487375</v>
      </c>
      <c r="H27" s="120"/>
    </row>
    <row r="28" spans="2:17">
      <c r="B28" s="122">
        <v>8</v>
      </c>
      <c r="C28" s="123">
        <f t="shared" si="2"/>
        <v>1528073526.3557179</v>
      </c>
      <c r="D28" s="138">
        <f>IF($C$17&lt;B28,0,DCF!$C$16)</f>
        <v>4.25103165866728E-2</v>
      </c>
      <c r="E28" s="124">
        <f t="shared" si="0"/>
        <v>0.62741237134182648</v>
      </c>
      <c r="F28" s="125">
        <f t="shared" si="1"/>
        <v>958732234.75550795</v>
      </c>
      <c r="H28" s="120"/>
    </row>
    <row r="29" spans="2:17">
      <c r="B29" s="122">
        <v>9</v>
      </c>
      <c r="C29" s="123">
        <f t="shared" si="2"/>
        <v>1593032415.7288129</v>
      </c>
      <c r="D29" s="138">
        <f>IF($C$17&lt;B29,0,DCF!$C$16)</f>
        <v>4.25103165866728E-2</v>
      </c>
      <c r="E29" s="124">
        <f t="shared" si="0"/>
        <v>0.59189846353002495</v>
      </c>
      <c r="F29" s="125">
        <f t="shared" si="1"/>
        <v>942913439.22340834</v>
      </c>
      <c r="H29" s="120"/>
    </row>
    <row r="30" spans="2:17">
      <c r="B30" s="122">
        <v>10</v>
      </c>
      <c r="C30" s="123">
        <f t="shared" si="2"/>
        <v>1660752728.0542767</v>
      </c>
      <c r="D30" s="138">
        <f>IF($C$17&lt;B30,0,DCF!$C$16)</f>
        <v>4.25103165866728E-2</v>
      </c>
      <c r="E30" s="124">
        <f t="shared" si="0"/>
        <v>0.55839477691511785</v>
      </c>
      <c r="F30" s="125">
        <f t="shared" si="1"/>
        <v>927355649.09304118</v>
      </c>
      <c r="H30" s="120"/>
    </row>
    <row r="31" spans="2:17">
      <c r="B31" s="122">
        <v>11</v>
      </c>
      <c r="C31" s="123">
        <f t="shared" si="2"/>
        <v>1731351852.2960443</v>
      </c>
      <c r="D31" s="138">
        <f>IF($C$17&lt;B31,0,DCF!$C$16)</f>
        <v>4.25103165866728E-2</v>
      </c>
      <c r="E31" s="124">
        <f t="shared" si="0"/>
        <v>0.52678752539162055</v>
      </c>
      <c r="F31" s="125">
        <f t="shared" si="1"/>
        <v>912054557.85323179</v>
      </c>
      <c r="H31" s="120"/>
    </row>
    <row r="32" spans="2:17">
      <c r="B32" s="122">
        <v>12</v>
      </c>
      <c r="C32" s="123">
        <f t="shared" si="2"/>
        <v>1804952167.6600714</v>
      </c>
      <c r="D32" s="138">
        <f>IF($C$17&lt;B32,0,DCF!$C$16)</f>
        <v>4.25103165866728E-2</v>
      </c>
      <c r="E32" s="124">
        <f t="shared" si="0"/>
        <v>0.4969693635770005</v>
      </c>
      <c r="F32" s="125">
        <f t="shared" si="1"/>
        <v>897005930.04895318</v>
      </c>
      <c r="H32" s="120"/>
    </row>
    <row r="33" spans="2:17">
      <c r="B33" s="122">
        <v>13</v>
      </c>
      <c r="C33" s="347">
        <f t="shared" si="2"/>
        <v>1881681255.7311022</v>
      </c>
      <c r="D33" s="138">
        <f>IF($C$17&lt;B33,0,DCF!$C$16)</f>
        <v>4.25103165866728E-2</v>
      </c>
      <c r="E33" s="124">
        <f t="shared" si="0"/>
        <v>0.46883902224245327</v>
      </c>
      <c r="F33" s="125">
        <f t="shared" si="1"/>
        <v>882205600.10892165</v>
      </c>
      <c r="G33" s="344"/>
      <c r="H33" s="345"/>
      <c r="I33" s="344"/>
      <c r="J33" s="344"/>
      <c r="K33" s="344"/>
      <c r="L33" s="344"/>
      <c r="M33" s="344"/>
      <c r="N33" s="344"/>
      <c r="O33" s="344"/>
      <c r="P33" s="344"/>
      <c r="Q33" s="344"/>
    </row>
    <row r="34" spans="2:17">
      <c r="B34" s="122">
        <v>14</v>
      </c>
      <c r="C34" s="347">
        <f t="shared" si="2"/>
        <v>1961672121.627439</v>
      </c>
      <c r="D34" s="138">
        <f>IF($C$17&lt;B34,0,DCF!$C$16)</f>
        <v>4.25103165866728E-2</v>
      </c>
      <c r="E34" s="124">
        <f t="shared" si="0"/>
        <v>0.44230096437967292</v>
      </c>
      <c r="F34" s="125">
        <f t="shared" si="1"/>
        <v>867649471.19253528</v>
      </c>
      <c r="G34" s="344"/>
      <c r="H34" s="345"/>
      <c r="I34" s="344"/>
      <c r="J34" s="344"/>
      <c r="K34" s="344"/>
      <c r="L34" s="344"/>
      <c r="M34" s="344"/>
      <c r="N34" s="344"/>
      <c r="O34" s="344"/>
      <c r="P34" s="344"/>
      <c r="Q34" s="344"/>
    </row>
    <row r="35" spans="2:17">
      <c r="B35" s="122">
        <v>15</v>
      </c>
      <c r="C35" s="347">
        <f t="shared" si="2"/>
        <v>2045063424.5570717</v>
      </c>
      <c r="D35" s="138">
        <f>IF($C$17&lt;B35,0,DCF!$C$16)</f>
        <v>4.25103165866728E-2</v>
      </c>
      <c r="E35" s="124">
        <f t="shared" si="0"/>
        <v>0.41726506073554037</v>
      </c>
      <c r="F35" s="125">
        <f t="shared" si="1"/>
        <v>853333514.0558387</v>
      </c>
      <c r="G35" s="344"/>
      <c r="H35" s="345"/>
      <c r="I35" s="344"/>
      <c r="J35" s="344"/>
      <c r="K35" s="344"/>
      <c r="L35" s="344"/>
      <c r="M35" s="344"/>
      <c r="N35" s="344"/>
      <c r="O35" s="344"/>
      <c r="P35" s="344"/>
      <c r="Q35" s="344"/>
    </row>
    <row r="36" spans="2:17">
      <c r="B36" s="122">
        <v>16</v>
      </c>
      <c r="C36" s="123">
        <f t="shared" si="2"/>
        <v>2131999718.1748176</v>
      </c>
      <c r="D36" s="138">
        <f>IF($C$17&lt;B36,0,DCF!$C$16)</f>
        <v>4.25103165866728E-2</v>
      </c>
      <c r="E36" s="124">
        <f t="shared" si="0"/>
        <v>0.39364628371277405</v>
      </c>
      <c r="F36" s="125">
        <f t="shared" si="1"/>
        <v>839253765.93619859</v>
      </c>
      <c r="H36" s="120"/>
    </row>
    <row r="37" spans="2:17">
      <c r="B37" s="122">
        <v>17</v>
      </c>
      <c r="C37" s="123">
        <f t="shared" si="2"/>
        <v>2222631701.1571259</v>
      </c>
      <c r="D37" s="138">
        <f>IF($C$17&lt;B37,0,DCF!$C$16)</f>
        <v>4.25103165866728E-2</v>
      </c>
      <c r="E37" s="124">
        <f t="shared" si="0"/>
        <v>0.37136441859695657</v>
      </c>
      <c r="F37" s="125">
        <f t="shared" si="1"/>
        <v>825406329.45538056</v>
      </c>
      <c r="H37" s="120"/>
    </row>
    <row r="38" spans="2:17">
      <c r="B38" s="122">
        <v>18</v>
      </c>
      <c r="C38" s="123">
        <f t="shared" si="2"/>
        <v>2317116478.4288907</v>
      </c>
      <c r="D38" s="138">
        <f>IF($C$17&lt;B38,0,DCF!$C$16)</f>
        <v>4.25103165866728E-2</v>
      </c>
      <c r="E38" s="124">
        <f t="shared" si="0"/>
        <v>0.35034379112920433</v>
      </c>
      <c r="F38" s="125">
        <f t="shared" si="1"/>
        <v>811787371.54072881</v>
      </c>
      <c r="H38" s="120"/>
    </row>
    <row r="39" spans="2:17">
      <c r="B39" s="122">
        <v>19</v>
      </c>
      <c r="C39" s="123">
        <f t="shared" si="2"/>
        <v>2415617833.4950991</v>
      </c>
      <c r="D39" s="138">
        <f>IF($C$17&lt;B39,0,DCF!$C$16)</f>
        <v>4.25103165866728E-2</v>
      </c>
      <c r="E39" s="124">
        <f t="shared" si="0"/>
        <v>0.3305130104992493</v>
      </c>
      <c r="F39" s="125">
        <f t="shared" si="1"/>
        <v>798393122.36413956</v>
      </c>
      <c r="H39" s="120"/>
    </row>
    <row r="40" spans="2:17">
      <c r="B40" s="122">
        <v>20</v>
      </c>
      <c r="C40" s="123">
        <f t="shared" si="2"/>
        <v>2518306512.3493881</v>
      </c>
      <c r="D40" s="138">
        <f>IF($C$17&lt;B40,0,DCF!$C$16)</f>
        <v>4.25103165866728E-2</v>
      </c>
      <c r="E40" s="124">
        <f t="shared" si="0"/>
        <v>0.31180472688608429</v>
      </c>
      <c r="F40" s="125">
        <f t="shared" si="1"/>
        <v>785219874.29854846</v>
      </c>
      <c r="H40" s="120"/>
    </row>
    <row r="41" spans="2:17">
      <c r="B41" s="122">
        <v>21</v>
      </c>
      <c r="C41" s="123">
        <f t="shared" si="2"/>
        <v>2625360519.4516397</v>
      </c>
      <c r="D41" s="138">
        <f>IF($C$17&lt;B41,0,DCF!$C$16)</f>
        <v>4.25103165866728E-2</v>
      </c>
      <c r="E41" s="124">
        <f t="shared" si="0"/>
        <v>0.29415540272272095</v>
      </c>
      <c r="F41" s="125">
        <f t="shared" si="1"/>
        <v>772263980.89162898</v>
      </c>
      <c r="H41" s="120"/>
    </row>
    <row r="42" spans="2:17">
      <c r="B42" s="122">
        <v>22</v>
      </c>
      <c r="C42" s="123">
        <f t="shared" si="2"/>
        <v>2736965426.2876806</v>
      </c>
      <c r="D42" s="138">
        <f>IF($C$17&lt;B42,0,DCF!$C$16)</f>
        <v>4.25103165866728E-2</v>
      </c>
      <c r="E42" s="124">
        <f t="shared" si="0"/>
        <v>0.27750509690822728</v>
      </c>
      <c r="F42" s="125">
        <f t="shared" si="1"/>
        <v>759521855.85643041</v>
      </c>
      <c r="H42" s="120"/>
    </row>
    <row r="43" spans="2:17">
      <c r="B43" s="122">
        <v>23</v>
      </c>
      <c r="C43" s="123">
        <f t="shared" si="2"/>
        <v>2853314693.0459476</v>
      </c>
      <c r="D43" s="138">
        <f>IF($C$17&lt;B43,0,DCF!$C$16)</f>
        <v>4.25103165866728E-2</v>
      </c>
      <c r="E43" s="124">
        <f t="shared" si="0"/>
        <v>0.26179726123417668</v>
      </c>
      <c r="F43" s="125">
        <f t="shared" si="1"/>
        <v>746989972.07866454</v>
      </c>
      <c r="H43" s="120"/>
    </row>
    <row r="44" spans="2:17">
      <c r="B44" s="122">
        <v>24</v>
      </c>
      <c r="C44" s="123">
        <f t="shared" si="2"/>
        <v>2974610003.9687357</v>
      </c>
      <c r="D44" s="138">
        <f>IF($C$17&lt;B44,0,DCF!$C$16)</f>
        <v>4.25103165866728E-2</v>
      </c>
      <c r="E44" s="124">
        <f t="shared" si="0"/>
        <v>0.24697854833412897</v>
      </c>
      <c r="F44" s="125">
        <f t="shared" si="1"/>
        <v>734664860.64037597</v>
      </c>
      <c r="H44" s="120"/>
    </row>
    <row r="45" spans="2:17">
      <c r="B45" s="122">
        <v>25</v>
      </c>
      <c r="C45" s="123">
        <f t="shared" si="2"/>
        <v>3101061616.9593301</v>
      </c>
      <c r="D45" s="138">
        <f>IF($C$17&lt;B45,0,DCF!$C$16)</f>
        <v>4.25103165866728E-2</v>
      </c>
      <c r="E45" s="124">
        <f t="shared" si="0"/>
        <v>0.23299863050389524</v>
      </c>
      <c r="F45" s="125">
        <f t="shared" si="1"/>
        <v>722543109.85971892</v>
      </c>
      <c r="H45" s="120"/>
    </row>
    <row r="46" spans="2:17">
      <c r="B46" s="122">
        <v>26</v>
      </c>
      <c r="C46" s="123">
        <f t="shared" si="2"/>
        <v>3232888728.0510507</v>
      </c>
      <c r="D46" s="138">
        <f>IF($C$17&lt;B46,0,DCF!$C$16)</f>
        <v>4.25103165866728E-2</v>
      </c>
      <c r="E46" s="124">
        <f t="shared" si="0"/>
        <v>0.21981002877725966</v>
      </c>
      <c r="F46" s="125">
        <f t="shared" si="1"/>
        <v>710621364.34657979</v>
      </c>
      <c r="H46" s="120"/>
    </row>
    <row r="47" spans="2:17">
      <c r="B47" s="122">
        <v>27</v>
      </c>
      <c r="C47" s="347">
        <f t="shared" si="2"/>
        <v>3370319851.3699865</v>
      </c>
      <c r="D47" s="138">
        <f>IF($C$17&lt;B47,0,DCF!$C$16)</f>
        <v>4.25103165866728E-2</v>
      </c>
      <c r="E47" s="124">
        <f t="shared" si="0"/>
        <v>0.20736795167666003</v>
      </c>
      <c r="F47" s="125">
        <f t="shared" si="1"/>
        <v>698896324.07377934</v>
      </c>
      <c r="G47" s="344"/>
      <c r="H47" s="345"/>
      <c r="I47" s="344"/>
      <c r="J47" s="344"/>
      <c r="K47" s="344"/>
      <c r="L47" s="344"/>
      <c r="M47" s="344"/>
      <c r="N47" s="344"/>
      <c r="O47" s="344"/>
      <c r="P47" s="344"/>
      <c r="Q47" s="344"/>
    </row>
    <row r="48" spans="2:17">
      <c r="B48" s="122">
        <v>28</v>
      </c>
      <c r="C48" s="347">
        <f t="shared" si="2"/>
        <v>3513593215.250072</v>
      </c>
      <c r="D48" s="138">
        <f>IF($C$17&lt;B48,0,DCF!$C$16)</f>
        <v>4.25103165866728E-2</v>
      </c>
      <c r="E48" s="124">
        <f t="shared" si="0"/>
        <v>0.1956301430911887</v>
      </c>
      <c r="F48" s="125">
        <f t="shared" si="1"/>
        <v>687364743.46360135</v>
      </c>
      <c r="G48" s="344"/>
      <c r="H48" s="345"/>
      <c r="I48" s="344"/>
      <c r="J48" s="344"/>
      <c r="K48" s="344"/>
      <c r="L48" s="344"/>
      <c r="M48" s="344"/>
      <c r="N48" s="344"/>
      <c r="O48" s="344"/>
      <c r="P48" s="344"/>
      <c r="Q48" s="344"/>
    </row>
    <row r="49" spans="1:17">
      <c r="B49" s="122">
        <v>29</v>
      </c>
      <c r="C49" s="347">
        <f t="shared" si="2"/>
        <v>3662957175.1871381</v>
      </c>
      <c r="D49" s="138">
        <f>IF($C$17&lt;B49,0,DCF!$C$16)</f>
        <v>4.25103165866728E-2</v>
      </c>
      <c r="E49" s="124">
        <f t="shared" si="0"/>
        <v>0.18455673876527234</v>
      </c>
      <c r="F49" s="125">
        <f t="shared" si="1"/>
        <v>676023430.48939252</v>
      </c>
      <c r="G49" s="344"/>
      <c r="H49" s="345"/>
      <c r="I49" s="344"/>
      <c r="J49" s="344"/>
      <c r="K49" s="344"/>
      <c r="L49" s="344"/>
      <c r="M49" s="344"/>
      <c r="N49" s="344"/>
      <c r="O49" s="344"/>
      <c r="P49" s="344"/>
      <c r="Q49" s="344"/>
    </row>
    <row r="50" spans="1:17">
      <c r="B50" s="122">
        <v>30</v>
      </c>
      <c r="C50" s="347">
        <f t="shared" si="2"/>
        <v>3818670644.3477669</v>
      </c>
      <c r="D50" s="138">
        <f>IF($C$17&lt;B50,0,DCF!$C$16)</f>
        <v>4.25103165866728E-2</v>
      </c>
      <c r="E50" s="124">
        <f t="shared" si="0"/>
        <v>0.17411013091063426</v>
      </c>
      <c r="F50" s="125">
        <f t="shared" si="1"/>
        <v>664869245.79198575</v>
      </c>
      <c r="G50" s="344"/>
      <c r="H50" s="345"/>
      <c r="I50" s="344"/>
      <c r="J50" s="344"/>
      <c r="K50" s="344"/>
      <c r="L50" s="344"/>
      <c r="M50" s="344"/>
      <c r="N50" s="344"/>
      <c r="O50" s="344"/>
      <c r="P50" s="344"/>
      <c r="Q50" s="344"/>
    </row>
    <row r="51" spans="1:17">
      <c r="B51" s="126" t="s">
        <v>132</v>
      </c>
      <c r="C51" s="123">
        <f>C$21*(1+Terminal_Growth)^$C$17/Equity_Cost</f>
        <v>19029635576.012558</v>
      </c>
      <c r="D51" s="139">
        <f>Terminal_Growth</f>
        <v>0</v>
      </c>
      <c r="E51" s="124">
        <f>1/(1+Equity_Cost)^C17</f>
        <v>0.17411013091063426</v>
      </c>
      <c r="F51" s="125">
        <f t="shared" si="1"/>
        <v>3313252341.3212094</v>
      </c>
      <c r="H51" s="120"/>
    </row>
    <row r="52" spans="1:17">
      <c r="C52" s="114"/>
      <c r="E52" s="127" t="s">
        <v>101</v>
      </c>
      <c r="F52" s="137">
        <f>SUM(F21:F51)</f>
        <v>28965236773.442753</v>
      </c>
      <c r="H52" s="120"/>
    </row>
    <row r="53" spans="1:17">
      <c r="C53" s="114"/>
      <c r="H53" s="120"/>
    </row>
    <row r="54" spans="1:17" ht="13.15">
      <c r="B54" s="119" t="s">
        <v>130</v>
      </c>
      <c r="C54" s="136"/>
      <c r="D54" s="136"/>
      <c r="E54" s="117"/>
      <c r="F54" s="117"/>
      <c r="H54" s="120"/>
    </row>
    <row r="55" spans="1:17" ht="13.15">
      <c r="A55" s="133">
        <f>F52</f>
        <v>28965236773.442753</v>
      </c>
      <c r="B55" s="131">
        <f>C78</f>
        <v>0</v>
      </c>
      <c r="C55" s="131">
        <f>C77</f>
        <v>0.02</v>
      </c>
      <c r="D55" s="131">
        <f>C76</f>
        <v>0.04</v>
      </c>
      <c r="E55" s="131">
        <f>C75</f>
        <v>0.06</v>
      </c>
      <c r="F55" s="131">
        <f>C74</f>
        <v>0.08</v>
      </c>
      <c r="H55" s="120"/>
    </row>
    <row r="56" spans="1:17" ht="13.15">
      <c r="A56" s="143">
        <v>5</v>
      </c>
      <c r="B56" s="123">
        <f t="dataTable" ref="B56:F61" dt2D="1" dtr="1" r1="C16" r2="C17"/>
        <v>18253666436.911903</v>
      </c>
      <c r="C56" s="123">
        <v>18799491744.754734</v>
      </c>
      <c r="D56" s="123">
        <v>19359629914.559135</v>
      </c>
      <c r="E56" s="123">
        <v>19934713446.61203</v>
      </c>
      <c r="F56" s="123">
        <v>20525394514.517418</v>
      </c>
      <c r="H56" s="120"/>
    </row>
    <row r="57" spans="1:17" ht="13.15">
      <c r="A57" s="143">
        <v>10</v>
      </c>
      <c r="B57" s="123">
        <v>18253666436.911903</v>
      </c>
      <c r="C57" s="123">
        <v>19314607737.273598</v>
      </c>
      <c r="D57" s="123">
        <v>20478081136.358673</v>
      </c>
      <c r="E57" s="123">
        <v>21756516979.944885</v>
      </c>
      <c r="F57" s="123">
        <v>23163747039.148102</v>
      </c>
      <c r="H57" s="120"/>
    </row>
    <row r="58" spans="1:17" ht="13.15">
      <c r="A58" s="143">
        <v>15</v>
      </c>
      <c r="B58" s="123">
        <v>18253666436.911896</v>
      </c>
      <c r="C58" s="347">
        <v>20013084336.720451</v>
      </c>
      <c r="D58" s="123">
        <v>22075377498.996925</v>
      </c>
      <c r="E58" s="123">
        <v>24501914061.731716</v>
      </c>
      <c r="F58" s="123">
        <v>27366348701.915016</v>
      </c>
      <c r="G58" s="344"/>
      <c r="H58" s="345"/>
      <c r="I58" s="344"/>
      <c r="J58" s="344"/>
      <c r="K58" s="344"/>
      <c r="L58" s="344"/>
      <c r="M58" s="344"/>
      <c r="N58" s="344"/>
      <c r="O58" s="344"/>
      <c r="P58" s="344"/>
      <c r="Q58" s="344"/>
    </row>
    <row r="59" spans="1:17" ht="13.15">
      <c r="A59" s="144">
        <v>20</v>
      </c>
      <c r="B59" s="123">
        <v>18253666436.911896</v>
      </c>
      <c r="C59" s="347">
        <v>20793717528.359291</v>
      </c>
      <c r="D59" s="123">
        <v>23961313214.366631</v>
      </c>
      <c r="E59" s="123">
        <v>27937473971.007149</v>
      </c>
      <c r="F59" s="123">
        <v>32956420591.122528</v>
      </c>
      <c r="G59" s="344"/>
      <c r="H59" s="345"/>
      <c r="I59" s="344"/>
      <c r="J59" s="344"/>
      <c r="K59" s="344"/>
      <c r="L59" s="344"/>
      <c r="M59" s="344"/>
      <c r="N59" s="344"/>
      <c r="O59" s="344"/>
      <c r="P59" s="344"/>
      <c r="Q59" s="344"/>
    </row>
    <row r="60" spans="1:17" ht="13.15">
      <c r="A60" s="144">
        <v>25</v>
      </c>
      <c r="B60" s="123">
        <v>18253666436.911892</v>
      </c>
      <c r="C60" s="347">
        <v>21590480648.473019</v>
      </c>
      <c r="D60" s="123">
        <v>26000040335.82856</v>
      </c>
      <c r="E60" s="123">
        <v>31888763693.73177</v>
      </c>
      <c r="F60" s="123">
        <v>39823276180.631668</v>
      </c>
      <c r="G60" s="344"/>
      <c r="H60" s="345"/>
      <c r="I60" s="344"/>
      <c r="J60" s="344"/>
      <c r="K60" s="344"/>
      <c r="L60" s="344"/>
      <c r="M60" s="344"/>
      <c r="N60" s="344"/>
      <c r="O60" s="344"/>
      <c r="P60" s="344"/>
      <c r="Q60" s="344"/>
    </row>
    <row r="61" spans="1:17" ht="13.15">
      <c r="A61" s="144">
        <v>30</v>
      </c>
      <c r="B61" s="123">
        <v>18253666436.911892</v>
      </c>
      <c r="C61" s="347">
        <v>22361954115.932011</v>
      </c>
      <c r="D61" s="123">
        <v>28095759300.45348</v>
      </c>
      <c r="E61" s="123">
        <v>36225436734.546997</v>
      </c>
      <c r="F61" s="123">
        <v>47907714791.933189</v>
      </c>
      <c r="G61" s="344"/>
      <c r="H61" s="345"/>
      <c r="I61" s="344"/>
      <c r="J61" s="344"/>
      <c r="K61" s="344"/>
      <c r="L61" s="344"/>
      <c r="M61" s="344"/>
      <c r="N61" s="344"/>
      <c r="O61" s="344"/>
      <c r="P61" s="344"/>
      <c r="Q61" s="344"/>
    </row>
    <row r="62" spans="1:17">
      <c r="C62" s="344"/>
      <c r="D62" s="114"/>
      <c r="E62" s="114"/>
      <c r="F62" s="114"/>
      <c r="G62" s="344"/>
      <c r="H62" s="345"/>
      <c r="I62" s="344"/>
      <c r="J62" s="344"/>
      <c r="K62" s="344"/>
      <c r="L62" s="344"/>
      <c r="M62" s="344"/>
      <c r="N62" s="344"/>
      <c r="O62" s="344"/>
      <c r="P62" s="344"/>
      <c r="Q62" s="344"/>
    </row>
    <row r="63" spans="1:17" ht="13.15">
      <c r="B63" s="119" t="s">
        <v>131</v>
      </c>
      <c r="C63" s="344"/>
      <c r="D63" s="114"/>
      <c r="E63" s="114"/>
      <c r="F63" s="114"/>
      <c r="G63" s="344"/>
      <c r="H63" s="345"/>
      <c r="I63" s="344"/>
      <c r="J63" s="344"/>
      <c r="K63" s="344"/>
      <c r="L63" s="344"/>
      <c r="M63" s="344"/>
      <c r="N63" s="344"/>
      <c r="O63" s="344"/>
      <c r="P63" s="344"/>
      <c r="Q63" s="344"/>
    </row>
    <row r="64" spans="1:17" ht="13.15">
      <c r="B64" s="132">
        <f>B55</f>
        <v>0</v>
      </c>
      <c r="C64" s="132">
        <f>C55</f>
        <v>0.02</v>
      </c>
      <c r="D64" s="132">
        <f>D55</f>
        <v>0.04</v>
      </c>
      <c r="E64" s="132">
        <f>E55</f>
        <v>0.06</v>
      </c>
      <c r="F64" s="132">
        <f>F55</f>
        <v>0.08</v>
      </c>
      <c r="H64" s="120"/>
    </row>
    <row r="65" spans="1:8" ht="13.15">
      <c r="A65" s="143">
        <v>0</v>
      </c>
      <c r="B65" s="124">
        <f>C12</f>
        <v>43.441046634272922</v>
      </c>
      <c r="C65" s="124">
        <f>C12</f>
        <v>43.441046634272922</v>
      </c>
      <c r="D65" s="124">
        <f>C12</f>
        <v>43.441046634272922</v>
      </c>
      <c r="E65" s="141">
        <f>C12</f>
        <v>43.441046634272922</v>
      </c>
      <c r="F65" s="124">
        <f>C12</f>
        <v>43.441046634272922</v>
      </c>
      <c r="H65" s="120"/>
    </row>
    <row r="66" spans="1:8" ht="13.15">
      <c r="A66" s="143">
        <f t="shared" ref="A66:A71" si="3">A56</f>
        <v>5</v>
      </c>
      <c r="B66" s="124">
        <f t="shared" ref="B66:F71" si="4">(B56-$C$7+$C$8+$C$9)/Common_Shares*$C$3*Exchange_Rate</f>
        <v>43.441046634272908</v>
      </c>
      <c r="C66" s="124">
        <f t="shared" si="4"/>
        <v>44.51901166677348</v>
      </c>
      <c r="D66" s="124">
        <f t="shared" si="4"/>
        <v>45.625243554049547</v>
      </c>
      <c r="E66" s="124">
        <f t="shared" si="4"/>
        <v>46.760991437873294</v>
      </c>
      <c r="F66" s="124">
        <f t="shared" si="4"/>
        <v>47.927543313378216</v>
      </c>
      <c r="H66" s="120"/>
    </row>
    <row r="67" spans="1:8" ht="13.15">
      <c r="A67" s="143">
        <f t="shared" si="3"/>
        <v>10</v>
      </c>
      <c r="B67" s="124">
        <f t="shared" si="4"/>
        <v>43.441046634272908</v>
      </c>
      <c r="C67" s="124">
        <f t="shared" si="4"/>
        <v>45.536328049210354</v>
      </c>
      <c r="D67" s="124">
        <f t="shared" si="4"/>
        <v>47.834102854513873</v>
      </c>
      <c r="E67" s="124">
        <f t="shared" si="4"/>
        <v>50.358920073282576</v>
      </c>
      <c r="F67" s="124">
        <f t="shared" si="4"/>
        <v>53.138096441084087</v>
      </c>
      <c r="H67" s="120"/>
    </row>
    <row r="68" spans="1:8" ht="13.15">
      <c r="A68" s="143">
        <f t="shared" si="3"/>
        <v>15</v>
      </c>
      <c r="B68" s="124">
        <f t="shared" si="4"/>
        <v>43.441046634272894</v>
      </c>
      <c r="C68" s="124">
        <f t="shared" si="4"/>
        <v>46.915768209651617</v>
      </c>
      <c r="D68" s="124">
        <f t="shared" si="4"/>
        <v>50.988646260112404</v>
      </c>
      <c r="E68" s="124">
        <f t="shared" si="4"/>
        <v>55.780878366479719</v>
      </c>
      <c r="F68" s="124">
        <f t="shared" si="4"/>
        <v>61.437927124816277</v>
      </c>
      <c r="H68" s="120"/>
    </row>
    <row r="69" spans="1:8" ht="13.15">
      <c r="A69" s="144">
        <f t="shared" si="3"/>
        <v>20</v>
      </c>
      <c r="B69" s="124">
        <f t="shared" si="4"/>
        <v>43.441046634272894</v>
      </c>
      <c r="C69" s="124">
        <f t="shared" si="4"/>
        <v>48.457461626400068</v>
      </c>
      <c r="D69" s="124">
        <f t="shared" si="4"/>
        <v>54.71323126102974</v>
      </c>
      <c r="E69" s="124">
        <f t="shared" si="4"/>
        <v>62.565857729008918</v>
      </c>
      <c r="F69" s="124">
        <f t="shared" si="4"/>
        <v>72.477909952921522</v>
      </c>
      <c r="H69" s="120"/>
    </row>
    <row r="70" spans="1:8" ht="13.15">
      <c r="A70" s="144">
        <f t="shared" si="3"/>
        <v>25</v>
      </c>
      <c r="B70" s="124">
        <f t="shared" si="4"/>
        <v>43.441046634272887</v>
      </c>
      <c r="C70" s="124">
        <f t="shared" si="4"/>
        <v>50.031010471291602</v>
      </c>
      <c r="D70" s="124">
        <f t="shared" si="4"/>
        <v>58.739568105746585</v>
      </c>
      <c r="E70" s="124">
        <f t="shared" si="4"/>
        <v>70.369365725385109</v>
      </c>
      <c r="F70" s="124">
        <f t="shared" si="4"/>
        <v>86.039447137733433</v>
      </c>
    </row>
    <row r="71" spans="1:8" ht="13.15">
      <c r="A71" s="144">
        <f t="shared" si="3"/>
        <v>30</v>
      </c>
      <c r="B71" s="124">
        <f t="shared" si="4"/>
        <v>43.441046634272887</v>
      </c>
      <c r="C71" s="124">
        <f t="shared" si="4"/>
        <v>51.554614103210817</v>
      </c>
      <c r="D71" s="124">
        <f t="shared" si="4"/>
        <v>62.878459669317095</v>
      </c>
      <c r="E71" s="124">
        <f t="shared" si="4"/>
        <v>78.933977567701575</v>
      </c>
      <c r="F71" s="124">
        <f t="shared" si="4"/>
        <v>102.00562167226035</v>
      </c>
    </row>
    <row r="73" spans="1:8" ht="13.15">
      <c r="B73" s="171" t="s">
        <v>118</v>
      </c>
      <c r="C73" s="171" t="s">
        <v>133</v>
      </c>
      <c r="D73" s="171" t="s">
        <v>113</v>
      </c>
      <c r="E73" s="172" t="s">
        <v>114</v>
      </c>
      <c r="F73" s="172" t="s">
        <v>120</v>
      </c>
    </row>
    <row r="74" spans="1:8">
      <c r="B74" s="127" t="str">
        <f>Scenarios!B54</f>
        <v>Snowball Scenario</v>
      </c>
      <c r="C74" s="142">
        <f>Scenarios!C56</f>
        <v>0.08</v>
      </c>
      <c r="D74" s="145">
        <f>Scenarios!C55</f>
        <v>30</v>
      </c>
      <c r="E74" s="135">
        <f>INDEX(B$65:F$71, MATCH(D74, A$65:A$71, 0), MATCH(C74, B$64:F$64, 0))</f>
        <v>102.00562167226035</v>
      </c>
      <c r="F74" s="142">
        <f>Scenarios!C58</f>
        <v>0.05</v>
      </c>
    </row>
    <row r="75" spans="1:8">
      <c r="B75" s="127" t="str">
        <f>Scenarios!B36</f>
        <v>Optimistic</v>
      </c>
      <c r="C75" s="142">
        <f>Scenarios!C38</f>
        <v>0.06</v>
      </c>
      <c r="D75" s="145">
        <f>Scenarios!C37</f>
        <v>30</v>
      </c>
      <c r="E75" s="135">
        <f>INDEX(B$65:F$71, MATCH(D75, A$65:A$71, 0), MATCH(C75, B$64:F$64, 0))</f>
        <v>78.933977567701575</v>
      </c>
      <c r="F75" s="142">
        <f>Scenarios!C40*(1-F$74-F$78)</f>
        <v>0.18</v>
      </c>
      <c r="H75" s="120"/>
    </row>
    <row r="76" spans="1:8">
      <c r="B76" s="127" t="str">
        <f>Scenarios!B24</f>
        <v>Base</v>
      </c>
      <c r="C76" s="142">
        <f>Scenarios!C26</f>
        <v>0.04</v>
      </c>
      <c r="D76" s="145">
        <f>Scenarios!C25</f>
        <v>30</v>
      </c>
      <c r="E76" s="135">
        <f>INDEX(B$65:F$71, MATCH(D76, A$65:A$71, 0), MATCH(C76, B$64:F$64, 0))</f>
        <v>62.878459669317095</v>
      </c>
      <c r="F76" s="142">
        <f>Scenarios!C28*(1-F$74-F$78)</f>
        <v>0.53999999999999992</v>
      </c>
      <c r="H76" s="120"/>
    </row>
    <row r="77" spans="1:8">
      <c r="B77" s="127" t="str">
        <f>Scenarios!B30</f>
        <v>Pessimistic</v>
      </c>
      <c r="C77" s="142">
        <f>Scenarios!C32</f>
        <v>0.02</v>
      </c>
      <c r="D77" s="145">
        <f>Scenarios!C31</f>
        <v>30</v>
      </c>
      <c r="E77" s="135">
        <f>INDEX(B$65:F$71, MATCH(D77, A$65:A$71, 0), MATCH(C77, B$64:F$64, 0))</f>
        <v>51.554614103210817</v>
      </c>
      <c r="F77" s="142">
        <f>Scenarios!C34*(1-F$74-F$78)</f>
        <v>0.18</v>
      </c>
      <c r="H77" s="120"/>
    </row>
    <row r="78" spans="1:8">
      <c r="B78" s="127" t="str">
        <f>Scenarios!B48</f>
        <v>Devil's advocate</v>
      </c>
      <c r="C78" s="142">
        <f>Scenarios!C50</f>
        <v>0</v>
      </c>
      <c r="D78" s="145">
        <f>Scenarios!C49</f>
        <v>30</v>
      </c>
      <c r="E78" s="135">
        <f>INDEX(B$65:F$71, MATCH(D78, A$65:A$71, 0), MATCH(C78, B$64:F$64, 0))</f>
        <v>43.441046634272887</v>
      </c>
      <c r="F78" s="142">
        <f>Scenarios!C52</f>
        <v>0.05</v>
      </c>
    </row>
    <row r="79" spans="1:8">
      <c r="B79" s="155"/>
      <c r="C79" s="155"/>
      <c r="D79" s="155"/>
      <c r="E79" s="155"/>
      <c r="F79" s="156"/>
    </row>
    <row r="80" spans="1:8">
      <c r="B80" s="155" t="s">
        <v>311</v>
      </c>
      <c r="C80" s="155" t="s">
        <v>106</v>
      </c>
    </row>
    <row r="81" spans="3:3">
      <c r="C81" s="155" t="s">
        <v>105</v>
      </c>
    </row>
    <row r="82" spans="3:3">
      <c r="C82" s="155" t="s">
        <v>104</v>
      </c>
    </row>
    <row r="92" spans="3:3">
      <c r="C92" s="115"/>
    </row>
    <row r="93" spans="3:3">
      <c r="C93" s="115"/>
    </row>
    <row r="94" spans="3:3">
      <c r="C94" s="115"/>
    </row>
    <row r="101" spans="3:17">
      <c r="C101" s="344"/>
      <c r="G101" s="344"/>
      <c r="H101" s="344"/>
      <c r="I101" s="344"/>
      <c r="J101" s="344"/>
      <c r="K101" s="344"/>
      <c r="L101" s="344"/>
      <c r="M101" s="344"/>
      <c r="N101" s="344"/>
      <c r="O101" s="344"/>
      <c r="P101" s="344"/>
      <c r="Q101" s="344"/>
    </row>
    <row r="102" spans="3:17">
      <c r="C102" s="344"/>
      <c r="G102" s="344"/>
      <c r="H102" s="344"/>
      <c r="I102" s="344"/>
      <c r="J102" s="344"/>
      <c r="K102" s="344"/>
      <c r="L102" s="344"/>
      <c r="M102" s="344"/>
      <c r="N102" s="344"/>
      <c r="O102" s="344"/>
      <c r="P102" s="344"/>
      <c r="Q102" s="344"/>
    </row>
    <row r="103" spans="3:17">
      <c r="C103" s="344"/>
      <c r="G103" s="344"/>
      <c r="H103" s="344"/>
      <c r="I103" s="344"/>
      <c r="J103" s="344"/>
      <c r="K103" s="344"/>
      <c r="L103" s="344"/>
      <c r="M103" s="344"/>
      <c r="N103" s="344"/>
      <c r="O103" s="344"/>
      <c r="P103" s="344"/>
      <c r="Q103" s="344"/>
    </row>
    <row r="104" spans="3:17">
      <c r="C104" s="344"/>
      <c r="G104" s="344"/>
      <c r="H104" s="344"/>
      <c r="I104" s="344"/>
      <c r="J104" s="344"/>
      <c r="K104" s="344"/>
      <c r="L104" s="344"/>
      <c r="M104" s="344"/>
      <c r="N104" s="344"/>
      <c r="O104" s="344"/>
      <c r="P104" s="344"/>
      <c r="Q104" s="344"/>
    </row>
    <row r="105" spans="3:17">
      <c r="C105" s="344"/>
      <c r="G105" s="344"/>
      <c r="H105" s="344"/>
      <c r="I105" s="344"/>
      <c r="J105" s="344"/>
      <c r="K105" s="344"/>
      <c r="L105" s="344"/>
      <c r="M105" s="344"/>
      <c r="N105" s="344"/>
      <c r="O105" s="344"/>
      <c r="P105" s="344"/>
      <c r="Q105" s="344"/>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7" sqref="C7"/>
    </sheetView>
  </sheetViews>
  <sheetFormatPr defaultColWidth="8.796875" defaultRowHeight="12.75"/>
  <cols>
    <col min="1" max="1" width="6.1328125" customWidth="1"/>
    <col min="2" max="2" width="24.6640625" customWidth="1"/>
    <col min="3" max="6" width="20.6640625" customWidth="1"/>
    <col min="7" max="7" width="5.6640625" customWidth="1"/>
    <col min="8" max="8" width="56.796875" bestFit="1" customWidth="1"/>
  </cols>
  <sheetData>
    <row r="2" spans="2:8" ht="13.9">
      <c r="B2" s="36" t="s">
        <v>444</v>
      </c>
      <c r="C2" s="37"/>
      <c r="D2" s="37"/>
      <c r="E2" s="37"/>
      <c r="F2" s="37"/>
      <c r="H2" s="130" t="s">
        <v>59</v>
      </c>
    </row>
    <row r="3" spans="2:8" ht="13.15">
      <c r="B3" s="109" t="s">
        <v>443</v>
      </c>
      <c r="C3" s="107">
        <f>scaling_factor</f>
        <v>1</v>
      </c>
      <c r="E3" s="109" t="s">
        <v>125</v>
      </c>
      <c r="H3" s="120"/>
    </row>
    <row r="4" spans="2:8">
      <c r="B4" s="100" t="s">
        <v>441</v>
      </c>
      <c r="C4" s="114">
        <f>Normalized_FCF!C91</f>
        <v>506347879</v>
      </c>
      <c r="D4" t="str">
        <f>Market_currency</f>
        <v>CNY</v>
      </c>
      <c r="E4" s="100" t="s">
        <v>251</v>
      </c>
      <c r="F4" s="134">
        <f>Thesis!E22</f>
        <v>0</v>
      </c>
      <c r="H4" s="120"/>
    </row>
    <row r="5" spans="2:8">
      <c r="B5" s="205" t="s">
        <v>124</v>
      </c>
      <c r="C5" s="206">
        <f>Equity_Cost</f>
        <v>0.06</v>
      </c>
      <c r="E5" s="148"/>
      <c r="H5" s="120"/>
    </row>
    <row r="6" spans="2:8" ht="13.25" customHeight="1">
      <c r="B6" s="149" t="s">
        <v>442</v>
      </c>
      <c r="C6" s="325">
        <f>(C4*(1+Terminal_Growth))/(Equity_Cost-Terminal_Growth)</f>
        <v>8439131316.666667</v>
      </c>
      <c r="D6" t="str">
        <f>Reporting_currency</f>
        <v>CNY</v>
      </c>
      <c r="E6" s="365"/>
      <c r="F6" s="365"/>
      <c r="H6" s="120"/>
    </row>
    <row r="7" spans="2:8" ht="13.15">
      <c r="B7" s="149" t="s">
        <v>445</v>
      </c>
      <c r="C7" s="111">
        <f>(C6*scaling_factor)/Common_Shares*Exchange_Rate</f>
        <v>16.666666666666668</v>
      </c>
      <c r="D7" t="str">
        <f>Market_currency</f>
        <v>CNY</v>
      </c>
      <c r="H7" s="120"/>
    </row>
    <row r="8" spans="2:8">
      <c r="H8" s="120"/>
    </row>
    <row r="9" spans="2:8" ht="13.9">
      <c r="B9" s="36" t="s">
        <v>230</v>
      </c>
      <c r="C9" s="37"/>
      <c r="D9" s="37"/>
      <c r="E9" s="37"/>
      <c r="F9" s="37"/>
      <c r="H9" s="120"/>
    </row>
    <row r="10" spans="2:8" ht="13.15">
      <c r="B10" s="119" t="s">
        <v>136</v>
      </c>
      <c r="H10" s="120"/>
    </row>
    <row r="11" spans="2:8" ht="13.25" customHeight="1">
      <c r="B11" s="152" t="s">
        <v>134</v>
      </c>
      <c r="C11" s="161">
        <f>Scenarios!C65</f>
        <v>4.25103165866728E-2</v>
      </c>
      <c r="H11" s="120"/>
    </row>
    <row r="12" spans="2:8" ht="13.25" customHeight="1">
      <c r="B12" s="118" t="s">
        <v>135</v>
      </c>
      <c r="C12" s="162">
        <f>Scenarios!C64</f>
        <v>30</v>
      </c>
      <c r="H12" s="120"/>
    </row>
    <row r="13" spans="2:8" ht="13.25" customHeight="1">
      <c r="B13" s="153" t="s">
        <v>107</v>
      </c>
      <c r="C13" s="140">
        <f>F47/Common_Shares*scaling_factor</f>
        <v>26.446957814887984</v>
      </c>
      <c r="D13" t="str">
        <f>Market_currency</f>
        <v>CNY</v>
      </c>
      <c r="H13" s="120"/>
    </row>
    <row r="14" spans="2:8">
      <c r="H14" s="120"/>
    </row>
    <row r="15" spans="2:8" ht="13.15">
      <c r="B15" s="128" t="s">
        <v>108</v>
      </c>
      <c r="C15" s="128" t="s">
        <v>447</v>
      </c>
      <c r="D15" s="128" t="s">
        <v>119</v>
      </c>
      <c r="E15" s="128" t="s">
        <v>110</v>
      </c>
      <c r="F15" s="129" t="s">
        <v>446</v>
      </c>
      <c r="H15" s="120"/>
    </row>
    <row r="16" spans="2:8">
      <c r="B16" s="122">
        <v>1</v>
      </c>
      <c r="C16" s="123">
        <f>C4*(1+D16)</f>
        <v>527872887.63928026</v>
      </c>
      <c r="D16" s="138">
        <f>IF($C$12&lt;B16,0,DDM!$C$11)</f>
        <v>4.25103165866728E-2</v>
      </c>
      <c r="E16" s="124">
        <f t="shared" ref="E16:E45" si="0">IF($C$12&lt;B16,0,1/(1+Equity_Cost)^B16)</f>
        <v>0.94339622641509424</v>
      </c>
      <c r="F16" s="125">
        <f t="shared" ref="F16:F46" si="1">C16*E16</f>
        <v>497993290.22573602</v>
      </c>
      <c r="H16" s="120"/>
    </row>
    <row r="17" spans="2:8">
      <c r="B17" s="122">
        <v>2</v>
      </c>
      <c r="C17" s="123">
        <f t="shared" ref="C17:C45" si="2">IF(ROW()-ROW($C$16)&lt;$C$12, $C$16*(1+D17)^(ROW()-ROW($C$16)), 0)</f>
        <v>550312931.21034718</v>
      </c>
      <c r="D17" s="138">
        <f>IF($C$12&lt;B17,0,DDM!$C$11)</f>
        <v>4.25103165866728E-2</v>
      </c>
      <c r="E17" s="124">
        <f t="shared" si="0"/>
        <v>0.88999644001423983</v>
      </c>
      <c r="F17" s="125">
        <f t="shared" si="1"/>
        <v>489776549.67101026</v>
      </c>
      <c r="H17" s="120"/>
    </row>
    <row r="18" spans="2:8">
      <c r="B18" s="122">
        <v>3</v>
      </c>
      <c r="C18" s="123">
        <f t="shared" si="2"/>
        <v>573706908.13783884</v>
      </c>
      <c r="D18" s="138">
        <f>IF($C$12&lt;B18,0,DDM!$C$11)</f>
        <v>4.25103165866728E-2</v>
      </c>
      <c r="E18" s="124">
        <f t="shared" si="0"/>
        <v>0.8396192830323016</v>
      </c>
      <c r="F18" s="125">
        <f t="shared" si="1"/>
        <v>481695382.88137078</v>
      </c>
      <c r="H18" s="120"/>
    </row>
    <row r="19" spans="2:8">
      <c r="B19" s="122">
        <v>4</v>
      </c>
      <c r="C19" s="123">
        <f t="shared" si="2"/>
        <v>598095370.43073952</v>
      </c>
      <c r="D19" s="138">
        <f>IF($C$12&lt;B19,0,DDM!$C$11)</f>
        <v>4.25103165866728E-2</v>
      </c>
      <c r="E19" s="124">
        <f t="shared" si="0"/>
        <v>0.79209366323802044</v>
      </c>
      <c r="F19" s="125">
        <f t="shared" si="1"/>
        <v>473747552.93018526</v>
      </c>
      <c r="H19" s="120"/>
    </row>
    <row r="20" spans="2:8">
      <c r="B20" s="122">
        <v>5</v>
      </c>
      <c r="C20" s="123">
        <f t="shared" si="2"/>
        <v>623520593.97677362</v>
      </c>
      <c r="D20" s="138">
        <f>IF($C$12&lt;B20,0,DDM!$C$11)</f>
        <v>4.25103165866728E-2</v>
      </c>
      <c r="E20" s="124">
        <f t="shared" si="0"/>
        <v>0.74725817286605689</v>
      </c>
      <c r="F20" s="125">
        <f t="shared" si="1"/>
        <v>465930859.79944235</v>
      </c>
      <c r="H20" s="120"/>
    </row>
    <row r="21" spans="2:8">
      <c r="B21" s="122">
        <v>6</v>
      </c>
      <c r="C21" s="123">
        <f t="shared" si="2"/>
        <v>650026651.82503641</v>
      </c>
      <c r="D21" s="138">
        <f>IF($C$12&lt;B21,0,DDM!$C$11)</f>
        <v>4.25103165866728E-2</v>
      </c>
      <c r="E21" s="124">
        <f t="shared" si="0"/>
        <v>0.70496054043967626</v>
      </c>
      <c r="F21" s="125">
        <f t="shared" si="1"/>
        <v>458243139.77077097</v>
      </c>
      <c r="H21" s="120"/>
    </row>
    <row r="22" spans="2:8">
      <c r="B22" s="122">
        <v>7</v>
      </c>
      <c r="C22" s="123">
        <f t="shared" si="2"/>
        <v>677659490.58389366</v>
      </c>
      <c r="D22" s="138">
        <f>IF($C$12&lt;B22,0,DDM!$C$11)</f>
        <v>4.25103165866728E-2</v>
      </c>
      <c r="E22" s="124">
        <f t="shared" si="0"/>
        <v>0.66505711362233599</v>
      </c>
      <c r="F22" s="125">
        <f t="shared" si="1"/>
        <v>450682264.82650691</v>
      </c>
      <c r="H22" s="120"/>
    </row>
    <row r="23" spans="2:8">
      <c r="B23" s="122">
        <v>8</v>
      </c>
      <c r="C23" s="123">
        <f t="shared" si="2"/>
        <v>706467010.06657827</v>
      </c>
      <c r="D23" s="138">
        <f>IF($C$12&lt;B23,0,DDM!$C$11)</f>
        <v>4.25103165866728E-2</v>
      </c>
      <c r="E23" s="124">
        <f t="shared" si="0"/>
        <v>0.62741237134182648</v>
      </c>
      <c r="F23" s="125">
        <f t="shared" si="1"/>
        <v>443246142.06064188</v>
      </c>
      <c r="H23" s="120"/>
    </row>
    <row r="24" spans="2:8">
      <c r="B24" s="122">
        <v>9</v>
      </c>
      <c r="C24" s="123">
        <f t="shared" si="2"/>
        <v>736499146.32254863</v>
      </c>
      <c r="D24" s="138">
        <f>IF($C$12&lt;B24,0,DDM!$C$11)</f>
        <v>4.25103165866728E-2</v>
      </c>
      <c r="E24" s="124">
        <f t="shared" si="0"/>
        <v>0.59189846353002495</v>
      </c>
      <c r="F24" s="125">
        <f t="shared" si="1"/>
        <v>435932713.09949154</v>
      </c>
      <c r="H24" s="120"/>
    </row>
    <row r="25" spans="2:8">
      <c r="B25" s="122">
        <v>10</v>
      </c>
      <c r="C25" s="123">
        <f t="shared" si="2"/>
        <v>767807958.19853437</v>
      </c>
      <c r="D25" s="138">
        <f>IF($C$12&lt;B25,0,DDM!$C$11)</f>
        <v>4.25103165866728E-2</v>
      </c>
      <c r="E25" s="124">
        <f t="shared" si="0"/>
        <v>0.55839477691511785</v>
      </c>
      <c r="F25" s="125">
        <f t="shared" si="1"/>
        <v>428739953.53192276</v>
      </c>
      <c r="H25" s="120"/>
    </row>
    <row r="26" spans="2:8">
      <c r="B26" s="122">
        <v>11</v>
      </c>
      <c r="C26" s="123">
        <f t="shared" si="2"/>
        <v>800447717.57932067</v>
      </c>
      <c r="D26" s="138">
        <f>IF($C$12&lt;B26,0,DDM!$C$11)</f>
        <v>4.25103165866728E-2</v>
      </c>
      <c r="E26" s="124">
        <f t="shared" si="0"/>
        <v>0.52678752539162055</v>
      </c>
      <c r="F26" s="125">
        <f t="shared" si="1"/>
        <v>421665872.34898108</v>
      </c>
      <c r="H26" s="120"/>
    </row>
    <row r="27" spans="2:8">
      <c r="B27" s="122">
        <v>12</v>
      </c>
      <c r="C27" s="123">
        <f t="shared" si="2"/>
        <v>834475003.46469724</v>
      </c>
      <c r="D27" s="138">
        <f>IF($C$12&lt;B27,0,DDM!$C$11)</f>
        <v>4.25103165866728E-2</v>
      </c>
      <c r="E27" s="124">
        <f t="shared" si="0"/>
        <v>0.4969693635770005</v>
      </c>
      <c r="F27" s="125">
        <f t="shared" si="1"/>
        <v>414708511.39276588</v>
      </c>
      <c r="H27" s="120"/>
    </row>
    <row r="28" spans="2:8">
      <c r="B28" s="122">
        <v>13</v>
      </c>
      <c r="C28" s="123">
        <f t="shared" si="2"/>
        <v>869948800.04564643</v>
      </c>
      <c r="D28" s="138">
        <f>IF($C$12&lt;B28,0,DDM!$C$11)</f>
        <v>4.25103165866728E-2</v>
      </c>
      <c r="E28" s="124">
        <f t="shared" si="0"/>
        <v>0.46883902224245327</v>
      </c>
      <c r="F28" s="125">
        <f t="shared" si="1"/>
        <v>407865944.81439638</v>
      </c>
      <c r="H28" s="120"/>
    </row>
    <row r="29" spans="2:8">
      <c r="B29" s="122">
        <v>14</v>
      </c>
      <c r="C29" s="123">
        <f t="shared" si="2"/>
        <v>906930598.94978273</v>
      </c>
      <c r="D29" s="138">
        <f>IF($C$12&lt;B29,0,DDM!$C$11)</f>
        <v>4.25103165866728E-2</v>
      </c>
      <c r="E29" s="124">
        <f t="shared" si="0"/>
        <v>0.44230096437967292</v>
      </c>
      <c r="F29" s="125">
        <f t="shared" si="1"/>
        <v>401136278.5409233</v>
      </c>
      <c r="H29" s="120"/>
    </row>
    <row r="30" spans="2:8">
      <c r="B30" s="122">
        <v>15</v>
      </c>
      <c r="C30" s="123">
        <f t="shared" si="2"/>
        <v>945484505.83327878</v>
      </c>
      <c r="D30" s="138">
        <f>IF($C$12&lt;B30,0,DDM!$C$11)</f>
        <v>4.25103165866728E-2</v>
      </c>
      <c r="E30" s="124">
        <f t="shared" si="0"/>
        <v>0.41726506073554037</v>
      </c>
      <c r="F30" s="125">
        <f t="shared" si="1"/>
        <v>394517649.75103545</v>
      </c>
      <c r="H30" s="120"/>
    </row>
    <row r="31" spans="2:8">
      <c r="B31" s="122">
        <v>16</v>
      </c>
      <c r="C31" s="123">
        <f t="shared" si="2"/>
        <v>985677351.50404525</v>
      </c>
      <c r="D31" s="138">
        <f>IF($C$12&lt;B31,0,DDM!$C$11)</f>
        <v>4.25103165866728E-2</v>
      </c>
      <c r="E31" s="124">
        <f t="shared" si="0"/>
        <v>0.39364628371277405</v>
      </c>
      <c r="F31" s="125">
        <f t="shared" si="1"/>
        <v>388008226.35941708</v>
      </c>
      <c r="H31" s="120"/>
    </row>
    <row r="32" spans="2:8">
      <c r="B32" s="122">
        <v>17</v>
      </c>
      <c r="C32" s="123">
        <f t="shared" si="2"/>
        <v>1027578807.7687953</v>
      </c>
      <c r="D32" s="138">
        <f>IF($C$12&lt;B32,0,DDM!$C$11)</f>
        <v>4.25103165866728E-2</v>
      </c>
      <c r="E32" s="124">
        <f t="shared" si="0"/>
        <v>0.37136441859695657</v>
      </c>
      <c r="F32" s="125">
        <f t="shared" si="1"/>
        <v>381606206.50961244</v>
      </c>
      <c r="H32" s="120"/>
    </row>
    <row r="33" spans="2:8">
      <c r="B33" s="122">
        <v>18</v>
      </c>
      <c r="C33" s="123">
        <f t="shared" si="2"/>
        <v>1071261508.2048025</v>
      </c>
      <c r="D33" s="138">
        <f>IF($C$12&lt;B33,0,DDM!$C$11)</f>
        <v>4.25103165866728E-2</v>
      </c>
      <c r="E33" s="124">
        <f t="shared" si="0"/>
        <v>0.35034379112920433</v>
      </c>
      <c r="F33" s="125">
        <f t="shared" si="1"/>
        <v>375309818.07525975</v>
      </c>
      <c r="H33" s="120"/>
    </row>
    <row r="34" spans="2:8">
      <c r="B34" s="122">
        <v>19</v>
      </c>
      <c r="C34" s="123">
        <f t="shared" si="2"/>
        <v>1116801174.0657051</v>
      </c>
      <c r="D34" s="138">
        <f>IF($C$12&lt;B34,0,DDM!$C$11)</f>
        <v>4.25103165866728E-2</v>
      </c>
      <c r="E34" s="124">
        <f t="shared" si="0"/>
        <v>0.3305130104992493</v>
      </c>
      <c r="F34" s="125">
        <f t="shared" si="1"/>
        <v>369117318.16955233</v>
      </c>
      <c r="H34" s="120"/>
    </row>
    <row r="35" spans="2:8">
      <c r="B35" s="122">
        <v>20</v>
      </c>
      <c r="C35" s="123">
        <f t="shared" si="2"/>
        <v>1164276745.5396061</v>
      </c>
      <c r="D35" s="138">
        <f>IF($C$12&lt;B35,0,DDM!$C$11)</f>
        <v>4.25103165866728E-2</v>
      </c>
      <c r="E35" s="124">
        <f t="shared" si="0"/>
        <v>0.31180472688608429</v>
      </c>
      <c r="F35" s="125">
        <f t="shared" si="1"/>
        <v>363026992.66279596</v>
      </c>
      <c r="H35" s="120"/>
    </row>
    <row r="36" spans="2:8">
      <c r="B36" s="122">
        <v>21</v>
      </c>
      <c r="C36" s="123">
        <f t="shared" si="2"/>
        <v>1213770518.5869956</v>
      </c>
      <c r="D36" s="138">
        <f>IF($C$12&lt;B36,0,DDM!$C$11)</f>
        <v>4.25103165866728E-2</v>
      </c>
      <c r="E36" s="124">
        <f t="shared" si="0"/>
        <v>0.29415540272272095</v>
      </c>
      <c r="F36" s="125">
        <f t="shared" si="1"/>
        <v>357037155.70792353</v>
      </c>
      <c r="H36" s="120"/>
    </row>
    <row r="37" spans="2:8">
      <c r="B37" s="122">
        <v>22</v>
      </c>
      <c r="C37" s="123">
        <f t="shared" si="2"/>
        <v>1265368287.5956986</v>
      </c>
      <c r="D37" s="138">
        <f>IF($C$12&lt;B37,0,DDM!$C$11)</f>
        <v>4.25103165866728E-2</v>
      </c>
      <c r="E37" s="124">
        <f t="shared" si="0"/>
        <v>0.27750509690822728</v>
      </c>
      <c r="F37" s="125">
        <f t="shared" si="1"/>
        <v>351146149.27384192</v>
      </c>
      <c r="H37" s="120"/>
    </row>
    <row r="38" spans="2:8">
      <c r="B38" s="122">
        <v>23</v>
      </c>
      <c r="C38" s="123">
        <f t="shared" si="2"/>
        <v>1319159494.1001277</v>
      </c>
      <c r="D38" s="138">
        <f>IF($C$12&lt;B38,0,DDM!$C$11)</f>
        <v>4.25103165866728E-2</v>
      </c>
      <c r="E38" s="124">
        <f t="shared" si="0"/>
        <v>0.26179726123417668</v>
      </c>
      <c r="F38" s="125">
        <f t="shared" si="1"/>
        <v>345352342.68647546</v>
      </c>
      <c r="H38" s="120"/>
    </row>
    <row r="39" spans="2:8">
      <c r="B39" s="122">
        <v>24</v>
      </c>
      <c r="C39" s="123">
        <f t="shared" si="2"/>
        <v>1375237381.8226392</v>
      </c>
      <c r="D39" s="138">
        <f>IF($C$12&lt;B39,0,DDM!$C$11)</f>
        <v>4.25103165866728E-2</v>
      </c>
      <c r="E39" s="124">
        <f t="shared" si="0"/>
        <v>0.24697854833412897</v>
      </c>
      <c r="F39" s="125">
        <f t="shared" si="1"/>
        <v>339654132.17738366</v>
      </c>
      <c r="H39" s="120"/>
    </row>
    <row r="40" spans="2:8">
      <c r="B40" s="122">
        <v>25</v>
      </c>
      <c r="C40" s="123">
        <f t="shared" si="2"/>
        <v>1433699158.3057463</v>
      </c>
      <c r="D40" s="138">
        <f>IF($C$12&lt;B40,0,DDM!$C$11)</f>
        <v>4.25103165866728E-2</v>
      </c>
      <c r="E40" s="124">
        <f t="shared" si="0"/>
        <v>0.23299863050389524</v>
      </c>
      <c r="F40" s="125">
        <f t="shared" si="1"/>
        <v>334049940.43982619</v>
      </c>
      <c r="H40" s="120"/>
    </row>
    <row r="41" spans="2:8">
      <c r="B41" s="122">
        <v>26</v>
      </c>
      <c r="C41" s="123">
        <f t="shared" si="2"/>
        <v>1494646163.41537</v>
      </c>
      <c r="D41" s="138">
        <f>IF($C$12&lt;B41,0,DDM!$C$11)</f>
        <v>4.25103165866728E-2</v>
      </c>
      <c r="E41" s="124">
        <f t="shared" si="0"/>
        <v>0.21981002877725966</v>
      </c>
      <c r="F41" s="125">
        <f t="shared" si="1"/>
        <v>328538216.19215322</v>
      </c>
      <c r="H41" s="120"/>
    </row>
    <row r="42" spans="2:8">
      <c r="B42" s="122">
        <v>27</v>
      </c>
      <c r="C42" s="123">
        <f t="shared" si="2"/>
        <v>1558184045.0072131</v>
      </c>
      <c r="D42" s="138">
        <f>IF($C$12&lt;B42,0,DDM!$C$11)</f>
        <v>4.25103165866728E-2</v>
      </c>
      <c r="E42" s="124">
        <f t="shared" si="0"/>
        <v>0.20736795167666003</v>
      </c>
      <c r="F42" s="125">
        <f t="shared" si="1"/>
        <v>323117433.74839842</v>
      </c>
      <c r="H42" s="120"/>
    </row>
    <row r="43" spans="2:8">
      <c r="B43" s="122">
        <v>28</v>
      </c>
      <c r="C43" s="123">
        <f t="shared" si="2"/>
        <v>1624422942.0607719</v>
      </c>
      <c r="D43" s="138">
        <f>IF($C$12&lt;B43,0,DDM!$C$11)</f>
        <v>4.25103165866728E-2</v>
      </c>
      <c r="E43" s="124">
        <f t="shared" si="0"/>
        <v>0.1956301430911887</v>
      </c>
      <c r="F43" s="125">
        <f t="shared" si="1"/>
        <v>317786092.59595853</v>
      </c>
      <c r="H43" s="120"/>
    </row>
    <row r="44" spans="2:8">
      <c r="B44" s="122">
        <v>29</v>
      </c>
      <c r="C44" s="123">
        <f t="shared" si="2"/>
        <v>1693477675.5984297</v>
      </c>
      <c r="D44" s="138">
        <f>IF($C$12&lt;B44,0,DDM!$C$11)</f>
        <v>4.25103165866728E-2</v>
      </c>
      <c r="E44" s="124">
        <f t="shared" si="0"/>
        <v>0.18455673876527234</v>
      </c>
      <c r="F44" s="125">
        <f t="shared" si="1"/>
        <v>312542716.98023999</v>
      </c>
      <c r="H44" s="120"/>
    </row>
    <row r="45" spans="2:8">
      <c r="B45" s="122">
        <v>30</v>
      </c>
      <c r="C45" s="123">
        <f t="shared" si="2"/>
        <v>1765467947.7205813</v>
      </c>
      <c r="D45" s="138">
        <f>IF($C$12&lt;B45,0,DDM!$C$11)</f>
        <v>4.25103165866728E-2</v>
      </c>
      <c r="E45" s="124">
        <f t="shared" si="0"/>
        <v>0.17411013091063426</v>
      </c>
      <c r="F45" s="125">
        <f t="shared" si="1"/>
        <v>307385855.4961592</v>
      </c>
      <c r="H45" s="120"/>
    </row>
    <row r="46" spans="2:8">
      <c r="B46" s="126" t="s">
        <v>132</v>
      </c>
      <c r="C46" s="123">
        <f>C$16*(1+F4)^$C$12/Equity_Cost</f>
        <v>8797881460.6546707</v>
      </c>
      <c r="D46" s="139">
        <f>Terminal_Growth</f>
        <v>0</v>
      </c>
      <c r="E46" s="124">
        <f>1/(1+Equity_Cost)^C12</f>
        <v>0.17411013091063426</v>
      </c>
      <c r="F46" s="125">
        <f t="shared" si="1"/>
        <v>1531800292.850827</v>
      </c>
      <c r="H46" s="120"/>
    </row>
    <row r="47" spans="2:8">
      <c r="C47" s="114"/>
      <c r="E47" s="127" t="s">
        <v>101</v>
      </c>
      <c r="F47" s="137">
        <f>SUM(F16:F46)</f>
        <v>13391360995.571005</v>
      </c>
      <c r="H47" s="120"/>
    </row>
    <row r="48" spans="2:8">
      <c r="C48" s="114"/>
      <c r="H48" s="120"/>
    </row>
    <row r="49" spans="1:8" ht="13.15">
      <c r="B49" s="119" t="s">
        <v>130</v>
      </c>
      <c r="C49" s="136"/>
      <c r="D49" s="136"/>
      <c r="E49" s="117"/>
      <c r="F49" s="117"/>
      <c r="H49" s="120"/>
    </row>
    <row r="50" spans="1:8" ht="13.15">
      <c r="A50" s="133">
        <f>F47</f>
        <v>13391360995.571005</v>
      </c>
      <c r="B50" s="131">
        <f>C73</f>
        <v>0</v>
      </c>
      <c r="C50" s="131">
        <f>C72</f>
        <v>0.02</v>
      </c>
      <c r="D50" s="131">
        <f>C71</f>
        <v>0.04</v>
      </c>
      <c r="E50" s="131">
        <f>C70</f>
        <v>0.06</v>
      </c>
      <c r="F50" s="131">
        <f>C69</f>
        <v>0.08</v>
      </c>
      <c r="H50" s="120"/>
    </row>
    <row r="51" spans="1:8" ht="13.15">
      <c r="A51" s="143">
        <v>5</v>
      </c>
      <c r="B51" s="123">
        <f t="dataTable" ref="B51:F56" dt2D="1" dtr="1" r1="C11" r2="C12"/>
        <v>8439131316.6666641</v>
      </c>
      <c r="C51" s="123">
        <v>8691480151.0647202</v>
      </c>
      <c r="D51" s="123">
        <v>8950446183.2749805</v>
      </c>
      <c r="E51" s="123">
        <v>9216321834.1651993</v>
      </c>
      <c r="F51" s="123">
        <v>9489408620.0748119</v>
      </c>
      <c r="H51" s="120"/>
    </row>
    <row r="52" spans="1:8" ht="13.15">
      <c r="A52" s="143">
        <v>10</v>
      </c>
      <c r="B52" s="123">
        <v>8439131316.6666622</v>
      </c>
      <c r="C52" s="123">
        <v>8929631292.8753948</v>
      </c>
      <c r="D52" s="123">
        <v>9467534449.6062794</v>
      </c>
      <c r="E52" s="123">
        <v>10058587649.863117</v>
      </c>
      <c r="F52" s="123">
        <v>10709185671.001583</v>
      </c>
      <c r="H52" s="120"/>
    </row>
    <row r="53" spans="1:8" ht="13.15">
      <c r="A53" s="143">
        <v>15</v>
      </c>
      <c r="B53" s="123">
        <v>8439131316.6666613</v>
      </c>
      <c r="C53" s="123">
        <v>9252554677.3211136</v>
      </c>
      <c r="D53" s="123">
        <v>10206004926.347317</v>
      </c>
      <c r="E53" s="123">
        <v>11327854104.888365</v>
      </c>
      <c r="F53" s="123">
        <v>12652154631.583279</v>
      </c>
      <c r="H53" s="120"/>
    </row>
    <row r="54" spans="1:8" ht="13.15">
      <c r="A54" s="144">
        <v>20</v>
      </c>
      <c r="B54" s="123">
        <v>8439131316.6666622</v>
      </c>
      <c r="C54" s="123">
        <v>9613461130.6716042</v>
      </c>
      <c r="D54" s="123">
        <v>11077920670.606377</v>
      </c>
      <c r="E54" s="123">
        <v>12916200277.469994</v>
      </c>
      <c r="F54" s="123">
        <v>15236586143.229223</v>
      </c>
      <c r="H54" s="120"/>
    </row>
    <row r="55" spans="1:8" ht="13.15">
      <c r="A55" s="144">
        <v>25</v>
      </c>
      <c r="B55" s="123">
        <v>8439131316.6666613</v>
      </c>
      <c r="C55" s="123">
        <v>9981824857.6059265</v>
      </c>
      <c r="D55" s="123">
        <v>12020475743.382088</v>
      </c>
      <c r="E55" s="123">
        <v>14742981376.79142</v>
      </c>
      <c r="F55" s="123">
        <v>18411307027.537109</v>
      </c>
      <c r="H55" s="120"/>
    </row>
    <row r="56" spans="1:8" ht="13.15">
      <c r="A56" s="144">
        <v>30</v>
      </c>
      <c r="B56" s="123">
        <v>8439131316.6666603</v>
      </c>
      <c r="C56" s="123">
        <v>10338496538.975384</v>
      </c>
      <c r="D56" s="123">
        <v>12989379585.600565</v>
      </c>
      <c r="E56" s="123">
        <v>16747934923.81588</v>
      </c>
      <c r="F56" s="123">
        <v>22148947314.659946</v>
      </c>
      <c r="H56" s="120"/>
    </row>
    <row r="57" spans="1:8">
      <c r="C57" s="114"/>
      <c r="D57" s="114"/>
      <c r="E57" s="114"/>
      <c r="F57" s="114"/>
      <c r="H57" s="120"/>
    </row>
    <row r="58" spans="1:8" ht="13.15">
      <c r="B58" s="119" t="s">
        <v>131</v>
      </c>
      <c r="C58" s="114"/>
      <c r="D58" s="114"/>
      <c r="E58" s="114"/>
      <c r="F58" s="114"/>
      <c r="H58" s="120"/>
    </row>
    <row r="59" spans="1:8" ht="13.15">
      <c r="B59" s="132">
        <f>B50</f>
        <v>0</v>
      </c>
      <c r="C59" s="132">
        <f>C50</f>
        <v>0.02</v>
      </c>
      <c r="D59" s="132">
        <f>D50</f>
        <v>0.04</v>
      </c>
      <c r="E59" s="132">
        <f>E50</f>
        <v>0.06</v>
      </c>
      <c r="F59" s="132">
        <f>F50</f>
        <v>0.08</v>
      </c>
      <c r="H59" s="120"/>
    </row>
    <row r="60" spans="1:8" ht="13.15">
      <c r="A60" s="143">
        <v>0</v>
      </c>
      <c r="B60" s="124">
        <f>C7</f>
        <v>16.666666666666668</v>
      </c>
      <c r="C60" s="124">
        <f>C7</f>
        <v>16.666666666666668</v>
      </c>
      <c r="D60" s="124">
        <f>C7</f>
        <v>16.666666666666668</v>
      </c>
      <c r="E60" s="141">
        <f>C7</f>
        <v>16.666666666666668</v>
      </c>
      <c r="F60" s="124">
        <f>C7</f>
        <v>16.666666666666668</v>
      </c>
      <c r="H60" s="120"/>
    </row>
    <row r="61" spans="1:8" ht="13.15">
      <c r="A61" s="143">
        <f t="shared" ref="A61:A66" si="3">A51</f>
        <v>5</v>
      </c>
      <c r="B61" s="124">
        <f t="shared" ref="B61:F66" si="4">B51/Common_Shares*$C$3*Exchange_Rate</f>
        <v>16.666666666666661</v>
      </c>
      <c r="C61" s="124">
        <f t="shared" si="4"/>
        <v>17.165037144482085</v>
      </c>
      <c r="D61" s="124">
        <f t="shared" si="4"/>
        <v>17.676476103645296</v>
      </c>
      <c r="E61" s="124">
        <f t="shared" si="4"/>
        <v>18.201561053967009</v>
      </c>
      <c r="F61" s="124">
        <f t="shared" si="4"/>
        <v>18.740887468148774</v>
      </c>
      <c r="H61" s="120"/>
    </row>
    <row r="62" spans="1:8" ht="13.15">
      <c r="A62" s="143">
        <f t="shared" si="3"/>
        <v>10</v>
      </c>
      <c r="B62" s="124">
        <f t="shared" si="4"/>
        <v>16.666666666666657</v>
      </c>
      <c r="C62" s="124">
        <f t="shared" si="4"/>
        <v>17.63536821860647</v>
      </c>
      <c r="D62" s="124">
        <f t="shared" si="4"/>
        <v>18.697687582505463</v>
      </c>
      <c r="E62" s="124">
        <f t="shared" si="4"/>
        <v>19.864974392167085</v>
      </c>
      <c r="F62" s="124">
        <f t="shared" si="4"/>
        <v>21.149857864817051</v>
      </c>
      <c r="H62" s="120"/>
    </row>
    <row r="63" spans="1:8" ht="13.15">
      <c r="A63" s="143">
        <f t="shared" si="3"/>
        <v>15</v>
      </c>
      <c r="B63" s="124">
        <f t="shared" si="4"/>
        <v>16.666666666666657</v>
      </c>
      <c r="C63" s="124">
        <f t="shared" si="4"/>
        <v>18.273118267216269</v>
      </c>
      <c r="D63" s="124">
        <f t="shared" si="4"/>
        <v>20.15611272333841</v>
      </c>
      <c r="E63" s="124">
        <f t="shared" si="4"/>
        <v>22.371682739661214</v>
      </c>
      <c r="F63" s="124">
        <f t="shared" si="4"/>
        <v>24.987079350604485</v>
      </c>
      <c r="H63" s="120"/>
    </row>
    <row r="64" spans="1:8" ht="13.15">
      <c r="A64" s="144">
        <f t="shared" si="3"/>
        <v>20</v>
      </c>
      <c r="B64" s="124">
        <f t="shared" si="4"/>
        <v>16.666666666666657</v>
      </c>
      <c r="C64" s="124">
        <f t="shared" si="4"/>
        <v>18.985882096825382</v>
      </c>
      <c r="D64" s="124">
        <f t="shared" si="4"/>
        <v>21.8780825002851</v>
      </c>
      <c r="E64" s="124">
        <f t="shared" si="4"/>
        <v>25.508550174987487</v>
      </c>
      <c r="F64" s="124">
        <f t="shared" si="4"/>
        <v>30.091142424296052</v>
      </c>
      <c r="H64" s="120"/>
    </row>
    <row r="65" spans="1:8" ht="13.15">
      <c r="A65" s="144">
        <f t="shared" si="3"/>
        <v>25</v>
      </c>
      <c r="B65" s="124">
        <f t="shared" si="4"/>
        <v>16.666666666666657</v>
      </c>
      <c r="C65" s="124">
        <f t="shared" si="4"/>
        <v>19.713373495943738</v>
      </c>
      <c r="D65" s="124">
        <f t="shared" si="4"/>
        <v>23.739559780761098</v>
      </c>
      <c r="E65" s="124">
        <f t="shared" si="4"/>
        <v>29.11630913890215</v>
      </c>
      <c r="F65" s="124">
        <f t="shared" si="4"/>
        <v>36.360983804056005</v>
      </c>
    </row>
    <row r="66" spans="1:8" ht="13.15">
      <c r="A66" s="144">
        <f t="shared" si="3"/>
        <v>30</v>
      </c>
      <c r="B66" s="124">
        <f t="shared" si="4"/>
        <v>16.666666666666654</v>
      </c>
      <c r="C66" s="124">
        <f t="shared" si="4"/>
        <v>20.417773960845174</v>
      </c>
      <c r="D66" s="124">
        <f t="shared" si="4"/>
        <v>25.653073952346041</v>
      </c>
      <c r="E66" s="124">
        <f t="shared" si="4"/>
        <v>33.075945646087874</v>
      </c>
      <c r="F66" s="124">
        <f t="shared" si="4"/>
        <v>43.742549802721591</v>
      </c>
    </row>
    <row r="68" spans="1:8" ht="13.15">
      <c r="B68" s="171" t="s">
        <v>118</v>
      </c>
      <c r="C68" s="171" t="s">
        <v>133</v>
      </c>
      <c r="D68" s="171" t="s">
        <v>113</v>
      </c>
      <c r="E68" s="172" t="s">
        <v>114</v>
      </c>
      <c r="F68" s="172" t="s">
        <v>120</v>
      </c>
    </row>
    <row r="69" spans="1:8">
      <c r="B69" s="127" t="str">
        <f>Scenarios!B54</f>
        <v>Snowball Scenario</v>
      </c>
      <c r="C69" s="142">
        <f>Scenarios!C56</f>
        <v>0.08</v>
      </c>
      <c r="D69" s="145">
        <f>Scenarios!C55</f>
        <v>30</v>
      </c>
      <c r="E69" s="135">
        <f>INDEX(B$60:F$66, MATCH(D69, A$60:A$66, 0), MATCH(C69, B$59:F$59, 0))</f>
        <v>43.742549802721591</v>
      </c>
      <c r="F69" s="142">
        <f>Scenarios!C58</f>
        <v>0.05</v>
      </c>
    </row>
    <row r="70" spans="1:8">
      <c r="B70" s="127" t="str">
        <f>Scenarios!B36</f>
        <v>Optimistic</v>
      </c>
      <c r="C70" s="142">
        <f>Scenarios!C38</f>
        <v>0.06</v>
      </c>
      <c r="D70" s="145">
        <f>Scenarios!C37</f>
        <v>30</v>
      </c>
      <c r="E70" s="135">
        <f>INDEX(B$60:F$66, MATCH(D70, A$60:A$66, 0), MATCH(C70, B$59:F$59, 0))</f>
        <v>33.075945646087874</v>
      </c>
      <c r="F70" s="142">
        <f>Scenarios!C40*(1-F$69-F$73)</f>
        <v>0.18</v>
      </c>
      <c r="H70" s="120"/>
    </row>
    <row r="71" spans="1:8">
      <c r="B71" s="127" t="str">
        <f>Scenarios!B24</f>
        <v>Base</v>
      </c>
      <c r="C71" s="142">
        <f>Scenarios!C26</f>
        <v>0.04</v>
      </c>
      <c r="D71" s="145">
        <f>Scenarios!C25</f>
        <v>30</v>
      </c>
      <c r="E71" s="135">
        <f>INDEX(B$60:F$66, MATCH(D71, A$60:A$66, 0), MATCH(C71, B$59:F$59, 0))</f>
        <v>25.653073952346041</v>
      </c>
      <c r="F71" s="142">
        <f>Scenarios!C28*(1-F$69-F$73)</f>
        <v>0.53999999999999992</v>
      </c>
      <c r="H71" s="120"/>
    </row>
    <row r="72" spans="1:8">
      <c r="B72" s="127" t="str">
        <f>Scenarios!B30</f>
        <v>Pessimistic</v>
      </c>
      <c r="C72" s="142">
        <f>Scenarios!C32</f>
        <v>0.02</v>
      </c>
      <c r="D72" s="145">
        <f>Scenarios!C31</f>
        <v>30</v>
      </c>
      <c r="E72" s="135">
        <f>INDEX(B$60:F$66, MATCH(D72, A$60:A$66, 0), MATCH(C72, B$59:F$59, 0))</f>
        <v>20.417773960845174</v>
      </c>
      <c r="F72" s="142">
        <f>Scenarios!C34*(1-F$69-F$73)</f>
        <v>0.18</v>
      </c>
      <c r="H72" s="120"/>
    </row>
    <row r="73" spans="1:8">
      <c r="B73" s="127" t="str">
        <f>Scenarios!B48</f>
        <v>Devil's advocate</v>
      </c>
      <c r="C73" s="142">
        <f>Scenarios!C50</f>
        <v>0</v>
      </c>
      <c r="D73" s="145">
        <f>Scenarios!C49</f>
        <v>30</v>
      </c>
      <c r="E73" s="135">
        <f>INDEX(B$60:F$66, MATCH(D73, A$60:A$66, 0), MATCH(C73, B$59:F$59, 0))</f>
        <v>16.666666666666654</v>
      </c>
      <c r="F73" s="142">
        <f>Scenarios!C52</f>
        <v>0.05</v>
      </c>
    </row>
    <row r="74" spans="1:8">
      <c r="B74" s="155"/>
      <c r="C74" s="155"/>
      <c r="D74" s="155"/>
      <c r="E74" s="155"/>
      <c r="F74" s="156"/>
    </row>
    <row r="75" spans="1:8">
      <c r="B75" s="155" t="s">
        <v>311</v>
      </c>
      <c r="C75" s="155" t="s">
        <v>106</v>
      </c>
    </row>
    <row r="76" spans="1:8">
      <c r="C76" s="155" t="s">
        <v>105</v>
      </c>
    </row>
    <row r="77" spans="1:8">
      <c r="C77" s="155" t="s">
        <v>104</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zoomScale="75" zoomScaleNormal="100" workbookViewId="0">
      <selection activeCell="C7" sqref="C7:C9"/>
    </sheetView>
  </sheetViews>
  <sheetFormatPr defaultColWidth="8.796875" defaultRowHeight="12.75"/>
  <cols>
    <col min="1" max="1" width="2.6640625" customWidth="1"/>
    <col min="2" max="2" width="22.6640625" customWidth="1"/>
    <col min="3" max="3" width="14" bestFit="1" customWidth="1"/>
    <col min="4" max="4" width="10.6640625" customWidth="1"/>
    <col min="5" max="6" width="42.6640625" customWidth="1"/>
    <col min="8" max="9" width="15.6640625" customWidth="1"/>
  </cols>
  <sheetData>
    <row r="2" spans="2:9" ht="13.9">
      <c r="B2" s="36" t="s">
        <v>146</v>
      </c>
      <c r="C2" s="37"/>
      <c r="D2" s="37"/>
      <c r="E2" s="37"/>
      <c r="F2" s="37"/>
      <c r="H2" s="248" t="s">
        <v>296</v>
      </c>
      <c r="I2" s="249"/>
    </row>
    <row r="3" spans="2:9" ht="13.15">
      <c r="B3" s="159" t="s">
        <v>149</v>
      </c>
      <c r="H3" s="247">
        <v>0</v>
      </c>
      <c r="I3" s="124">
        <f>-Market_Price</f>
        <v>-45.93</v>
      </c>
    </row>
    <row r="4" spans="2:9">
      <c r="B4" s="152" t="s">
        <v>147</v>
      </c>
      <c r="C4" s="120">
        <v>3</v>
      </c>
      <c r="D4" s="120"/>
      <c r="E4" s="155" t="s">
        <v>151</v>
      </c>
      <c r="F4" s="155"/>
      <c r="H4" s="247">
        <v>1</v>
      </c>
      <c r="I4" s="124">
        <f t="shared" ref="I4:I13" si="0">IF(ROW()-3 &lt; $C$76, $C$77, IF(ROW()-3 = $C$76, $C$77 + $C$60, ""))</f>
        <v>1</v>
      </c>
    </row>
    <row r="5" spans="2:9">
      <c r="H5" s="247">
        <v>2</v>
      </c>
      <c r="I5" s="124">
        <f t="shared" si="0"/>
        <v>1</v>
      </c>
    </row>
    <row r="6" spans="2:9" ht="13.15">
      <c r="B6" s="159" t="s">
        <v>96</v>
      </c>
      <c r="C6" s="107">
        <f>DCF!C3</f>
        <v>1</v>
      </c>
      <c r="E6" s="100" t="s">
        <v>280</v>
      </c>
      <c r="F6" s="100"/>
      <c r="H6" s="247">
        <v>3</v>
      </c>
      <c r="I6" s="124">
        <f t="shared" si="0"/>
        <v>65.714648137522119</v>
      </c>
    </row>
    <row r="7" spans="2:9" ht="12.75" customHeight="1">
      <c r="B7" s="100" t="s">
        <v>276</v>
      </c>
      <c r="C7" s="344">
        <f>Normalized_FCF!G8</f>
        <v>1949952566</v>
      </c>
      <c r="D7" t="str">
        <f>Reporting_currency</f>
        <v>CNY</v>
      </c>
      <c r="E7" s="367"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30-year scenarios (Base Case, Pessimistic Case, Optimistic Case) and two extreme 30-year scenarios (Success Scenario, Devil’s Advocate Scenario) for 浙江鼎力(603338.SS). Each scenario should include the Compound Growth Rate, the Probability Assessment, and the Business Narrative.</v>
      </c>
      <c r="F7" s="367"/>
      <c r="H7" s="247">
        <v>4</v>
      </c>
      <c r="I7" s="124" t="str">
        <f t="shared" si="0"/>
        <v/>
      </c>
    </row>
    <row r="8" spans="2:9">
      <c r="B8" s="100" t="s">
        <v>66</v>
      </c>
      <c r="C8" s="344">
        <f>Normalized_FCF!G19</f>
        <v>1588040749.2687776</v>
      </c>
      <c r="D8" t="str">
        <f>Reporting_currency</f>
        <v>CNY</v>
      </c>
      <c r="E8" s="367"/>
      <c r="F8" s="367"/>
      <c r="H8" s="247">
        <v>5</v>
      </c>
      <c r="I8" s="124" t="str">
        <f t="shared" si="0"/>
        <v/>
      </c>
    </row>
    <row r="9" spans="2:9">
      <c r="B9" s="100" t="s">
        <v>57</v>
      </c>
      <c r="C9" s="344">
        <f>Normalized_FCF!C19</f>
        <v>1095219986.2147145</v>
      </c>
      <c r="D9" t="str">
        <f>Reporting_currency</f>
        <v>CNY</v>
      </c>
      <c r="E9" s="367"/>
      <c r="F9" s="367"/>
      <c r="H9" s="247">
        <v>6</v>
      </c>
      <c r="I9" s="124" t="str">
        <f t="shared" si="0"/>
        <v/>
      </c>
    </row>
    <row r="10" spans="2:9">
      <c r="E10" s="367"/>
      <c r="F10" s="367"/>
      <c r="H10" s="247">
        <v>7</v>
      </c>
      <c r="I10" s="124" t="str">
        <f t="shared" si="0"/>
        <v/>
      </c>
    </row>
    <row r="11" spans="2:9" ht="13.15">
      <c r="B11" s="159" t="s">
        <v>448</v>
      </c>
      <c r="E11" s="367"/>
      <c r="F11" s="367"/>
      <c r="H11" s="247">
        <v>8</v>
      </c>
      <c r="I11" s="124" t="str">
        <f t="shared" si="0"/>
        <v/>
      </c>
    </row>
    <row r="12" spans="2:9">
      <c r="B12" s="118" t="s">
        <v>145</v>
      </c>
      <c r="C12" s="158">
        <f ca="1">(Normalized_FCF!G4/OFFSET(Normalized_FCF!G4, 0, $C$4))^(1/$C$4) - 1</f>
        <v>0.16445427582528804</v>
      </c>
      <c r="D12" s="158"/>
      <c r="E12" s="367"/>
      <c r="F12" s="367"/>
      <c r="H12" s="247">
        <v>9</v>
      </c>
      <c r="I12" s="124" t="str">
        <f t="shared" si="0"/>
        <v/>
      </c>
    </row>
    <row r="13" spans="2:9">
      <c r="B13" s="148" t="s">
        <v>153</v>
      </c>
      <c r="C13" s="158">
        <f ca="1">(Normalized_FCF!G8/OFFSET(Normalized_FCF!G8, 0, $C$4))^(1/$C$4) - 1</f>
        <v>0.21768298308972489</v>
      </c>
      <c r="E13" s="367"/>
      <c r="F13" s="367"/>
      <c r="H13" s="247">
        <v>10</v>
      </c>
      <c r="I13" s="124" t="str">
        <f t="shared" si="0"/>
        <v/>
      </c>
    </row>
    <row r="14" spans="2:9">
      <c r="B14" s="100" t="s">
        <v>66</v>
      </c>
      <c r="C14" s="158">
        <f ca="1">(Normalized_FCF!G19/OFFSET(Normalized_FCF!G19, 0, $C$4))^(1/$C$4) - 1</f>
        <v>0.18992961357468019</v>
      </c>
      <c r="E14" s="367"/>
      <c r="F14" s="367"/>
    </row>
    <row r="16" spans="2:9" ht="13.9">
      <c r="B16" s="36" t="s">
        <v>163</v>
      </c>
      <c r="C16" s="37"/>
      <c r="D16" s="37"/>
      <c r="E16" s="37"/>
      <c r="F16" s="37"/>
    </row>
    <row r="17" spans="2:6" ht="13.15">
      <c r="B17" s="109" t="s">
        <v>152</v>
      </c>
      <c r="E17" s="159" t="s">
        <v>330</v>
      </c>
    </row>
    <row r="18" spans="2:6">
      <c r="B18" s="152" t="s">
        <v>134</v>
      </c>
      <c r="C18" s="150">
        <v>30</v>
      </c>
      <c r="E18" s="367" t="s">
        <v>331</v>
      </c>
      <c r="F18" s="368"/>
    </row>
    <row r="19" spans="2:6">
      <c r="E19" s="368"/>
      <c r="F19" s="368"/>
    </row>
    <row r="20" spans="2:6" ht="13.15">
      <c r="B20" s="159" t="s">
        <v>304</v>
      </c>
      <c r="E20" s="368"/>
      <c r="F20" s="368"/>
    </row>
    <row r="21" spans="2:6">
      <c r="B21" s="100" t="s">
        <v>278</v>
      </c>
      <c r="C21" s="160">
        <f>Market_Price</f>
        <v>45.93</v>
      </c>
      <c r="D21" t="str">
        <f>Market_currency</f>
        <v>CNY</v>
      </c>
      <c r="E21" s="368"/>
      <c r="F21" s="368"/>
    </row>
    <row r="22" spans="2:6">
      <c r="B22" s="100" t="s">
        <v>279</v>
      </c>
      <c r="C22" s="160">
        <f>IF(valuation_method="DCF",DCF!C12,DDM!C7)</f>
        <v>43.441046634272922</v>
      </c>
      <c r="D22" t="str">
        <f>Market_currency</f>
        <v>CNY</v>
      </c>
      <c r="E22" s="368"/>
      <c r="F22" s="368"/>
    </row>
    <row r="24" spans="2:6" ht="13.15">
      <c r="B24" s="159" t="s">
        <v>116</v>
      </c>
      <c r="E24" s="159" t="s">
        <v>150</v>
      </c>
      <c r="F24" s="159"/>
    </row>
    <row r="25" spans="2:6">
      <c r="B25" s="152" t="s">
        <v>134</v>
      </c>
      <c r="C25" s="166">
        <f>C18</f>
        <v>30</v>
      </c>
      <c r="D25" s="163"/>
      <c r="E25" s="366"/>
      <c r="F25" s="366"/>
    </row>
    <row r="26" spans="2:6">
      <c r="B26" s="118" t="s">
        <v>135</v>
      </c>
      <c r="C26" s="164">
        <v>0.04</v>
      </c>
      <c r="D26" s="164"/>
      <c r="E26" s="366"/>
      <c r="F26" s="366"/>
    </row>
    <row r="27" spans="2:6">
      <c r="B27" s="100" t="s">
        <v>114</v>
      </c>
      <c r="C27" s="160">
        <f>IF(valuation_method="DCF",DCF!E76,DDM!E71)</f>
        <v>62.878459669317095</v>
      </c>
      <c r="D27" s="160" t="str">
        <f>Market_currency</f>
        <v>CNY</v>
      </c>
      <c r="E27" s="366"/>
      <c r="F27" s="366"/>
    </row>
    <row r="28" spans="2:6">
      <c r="B28" s="100" t="s">
        <v>148</v>
      </c>
      <c r="C28" s="165">
        <v>0.6</v>
      </c>
      <c r="D28" s="165"/>
      <c r="E28" s="366"/>
      <c r="F28" s="366"/>
    </row>
    <row r="30" spans="2:6" ht="13.15">
      <c r="B30" s="159" t="s">
        <v>117</v>
      </c>
      <c r="E30" s="159" t="s">
        <v>150</v>
      </c>
      <c r="F30" s="159"/>
    </row>
    <row r="31" spans="2:6">
      <c r="B31" s="152" t="s">
        <v>134</v>
      </c>
      <c r="C31" s="166">
        <f>C18</f>
        <v>30</v>
      </c>
      <c r="D31" s="163"/>
      <c r="E31" s="366"/>
      <c r="F31" s="366"/>
    </row>
    <row r="32" spans="2:6">
      <c r="B32" s="118" t="s">
        <v>135</v>
      </c>
      <c r="C32" s="164">
        <v>0.02</v>
      </c>
      <c r="D32" s="164"/>
      <c r="E32" s="366"/>
      <c r="F32" s="366"/>
    </row>
    <row r="33" spans="2:6">
      <c r="B33" s="100" t="s">
        <v>114</v>
      </c>
      <c r="C33" s="160">
        <f>IF(valuation_method="DCF",DCF!E77,DDM!E72)</f>
        <v>51.554614103210817</v>
      </c>
      <c r="D33" t="str">
        <f>Market_currency</f>
        <v>CNY</v>
      </c>
      <c r="E33" s="366"/>
      <c r="F33" s="366"/>
    </row>
    <row r="34" spans="2:6">
      <c r="B34" s="100" t="s">
        <v>148</v>
      </c>
      <c r="C34" s="165">
        <v>0.2</v>
      </c>
      <c r="D34" s="165"/>
      <c r="E34" s="366"/>
      <c r="F34" s="366"/>
    </row>
    <row r="36" spans="2:6" ht="13.15">
      <c r="B36" s="159" t="s">
        <v>115</v>
      </c>
      <c r="E36" s="159" t="s">
        <v>150</v>
      </c>
      <c r="F36" s="159"/>
    </row>
    <row r="37" spans="2:6">
      <c r="B37" s="152" t="s">
        <v>134</v>
      </c>
      <c r="C37" s="166">
        <f>C18</f>
        <v>30</v>
      </c>
      <c r="D37" s="163"/>
      <c r="E37" s="366"/>
      <c r="F37" s="366"/>
    </row>
    <row r="38" spans="2:6">
      <c r="B38" s="118" t="s">
        <v>135</v>
      </c>
      <c r="C38" s="164">
        <v>0.06</v>
      </c>
      <c r="D38" s="164"/>
      <c r="E38" s="366"/>
      <c r="F38" s="366"/>
    </row>
    <row r="39" spans="2:6">
      <c r="B39" s="100" t="s">
        <v>114</v>
      </c>
      <c r="C39" s="160">
        <f>IF(valuation_method="DCF",DCF!E75,DDM!E70)</f>
        <v>78.933977567701575</v>
      </c>
      <c r="D39" t="str">
        <f>Market_currency</f>
        <v>CNY</v>
      </c>
      <c r="E39" s="366"/>
      <c r="F39" s="366"/>
    </row>
    <row r="40" spans="2:6">
      <c r="B40" s="100" t="s">
        <v>148</v>
      </c>
      <c r="C40" s="167">
        <f>1-C28-C34</f>
        <v>0.2</v>
      </c>
      <c r="D40" s="165"/>
      <c r="E40" s="366"/>
      <c r="F40" s="366"/>
    </row>
    <row r="42" spans="2:6" ht="13.15">
      <c r="B42" s="100" t="s">
        <v>121</v>
      </c>
      <c r="C42" s="154">
        <f>C27*C28+C33*C34+C39*C40</f>
        <v>63.824794135772734</v>
      </c>
      <c r="D42" t="str">
        <f>Market_currency</f>
        <v>CNY</v>
      </c>
    </row>
    <row r="44" spans="2:6" ht="13.9">
      <c r="B44" s="36" t="s">
        <v>162</v>
      </c>
      <c r="C44" s="37"/>
      <c r="D44" s="37"/>
      <c r="E44" s="37"/>
      <c r="F44" s="37"/>
    </row>
    <row r="45" spans="2:6" ht="13.15">
      <c r="B45" s="109" t="s">
        <v>152</v>
      </c>
    </row>
    <row r="46" spans="2:6">
      <c r="B46" s="152" t="s">
        <v>134</v>
      </c>
      <c r="C46" s="150">
        <v>30</v>
      </c>
      <c r="E46" s="100"/>
      <c r="F46" s="100"/>
    </row>
    <row r="47" spans="2:6" ht="13.15">
      <c r="B47" s="159"/>
      <c r="E47" s="159"/>
      <c r="F47" s="159"/>
    </row>
    <row r="48" spans="2:6" ht="13.15">
      <c r="B48" s="159" t="s">
        <v>166</v>
      </c>
      <c r="E48" s="159" t="s">
        <v>150</v>
      </c>
      <c r="F48" s="159"/>
    </row>
    <row r="49" spans="2:6" ht="12.75" customHeight="1">
      <c r="B49" s="152" t="s">
        <v>134</v>
      </c>
      <c r="C49" s="166">
        <f>C46</f>
        <v>30</v>
      </c>
      <c r="D49" s="163"/>
      <c r="E49" s="366"/>
      <c r="F49" s="366"/>
    </row>
    <row r="50" spans="2:6">
      <c r="B50" s="118" t="s">
        <v>135</v>
      </c>
      <c r="C50" s="164">
        <v>0</v>
      </c>
      <c r="D50" s="164"/>
      <c r="E50" s="366"/>
      <c r="F50" s="366"/>
    </row>
    <row r="51" spans="2:6">
      <c r="B51" s="100" t="s">
        <v>114</v>
      </c>
      <c r="C51" s="160">
        <f>IF(valuation_method="DCF",DCF!E78,DDM!E73)</f>
        <v>43.441046634272887</v>
      </c>
      <c r="D51" t="str">
        <f>Market_currency</f>
        <v>CNY</v>
      </c>
      <c r="E51" s="366"/>
      <c r="F51" s="366"/>
    </row>
    <row r="52" spans="2:6">
      <c r="B52" s="100" t="s">
        <v>148</v>
      </c>
      <c r="C52" s="165">
        <v>0.05</v>
      </c>
      <c r="D52" s="165"/>
      <c r="E52" s="366"/>
      <c r="F52" s="366"/>
    </row>
    <row r="54" spans="2:6" ht="13.15">
      <c r="B54" s="159" t="s">
        <v>317</v>
      </c>
      <c r="E54" s="159" t="s">
        <v>150</v>
      </c>
      <c r="F54" s="159"/>
    </row>
    <row r="55" spans="2:6">
      <c r="B55" s="152" t="s">
        <v>134</v>
      </c>
      <c r="C55" s="166">
        <f>C46</f>
        <v>30</v>
      </c>
      <c r="D55" s="163"/>
      <c r="E55" s="366"/>
      <c r="F55" s="366"/>
    </row>
    <row r="56" spans="2:6">
      <c r="B56" s="118" t="s">
        <v>135</v>
      </c>
      <c r="C56" s="164">
        <v>0.08</v>
      </c>
      <c r="D56" s="164"/>
      <c r="E56" s="366"/>
      <c r="F56" s="366"/>
    </row>
    <row r="57" spans="2:6">
      <c r="B57" s="100" t="s">
        <v>114</v>
      </c>
      <c r="C57" s="160">
        <f>IF(valuation_method="DCF",DCF!E74,DDM!E69)</f>
        <v>102.00562167226035</v>
      </c>
      <c r="D57" t="str">
        <f>Market_currency</f>
        <v>CNY</v>
      </c>
      <c r="E57" s="366"/>
      <c r="F57" s="366"/>
    </row>
    <row r="58" spans="2:6">
      <c r="B58" s="100" t="s">
        <v>148</v>
      </c>
      <c r="C58" s="165">
        <v>0.05</v>
      </c>
      <c r="D58" s="165"/>
      <c r="E58" s="366"/>
      <c r="F58" s="366"/>
    </row>
    <row r="60" spans="2:6" ht="13.15">
      <c r="B60" s="100" t="s">
        <v>121</v>
      </c>
      <c r="C60" s="154">
        <f>C51*C52+C57*C58+C42*(1-C52-C58)</f>
        <v>64.714648137522119</v>
      </c>
      <c r="D60" t="str">
        <f>Market_currency</f>
        <v>CNY</v>
      </c>
      <c r="E60" s="100" t="s">
        <v>297</v>
      </c>
      <c r="F60" s="277">
        <f>Thesis!F28</f>
        <v>3</v>
      </c>
    </row>
    <row r="62" spans="2:6" ht="13.9">
      <c r="B62" s="36" t="s">
        <v>350</v>
      </c>
      <c r="C62" s="37"/>
      <c r="D62" s="37"/>
      <c r="E62" s="37"/>
      <c r="F62" s="37"/>
    </row>
    <row r="63" spans="2:6" ht="13.15">
      <c r="B63" s="109" t="s">
        <v>305</v>
      </c>
      <c r="E63" s="252" t="s">
        <v>312</v>
      </c>
    </row>
    <row r="64" spans="2:6">
      <c r="B64" s="152" t="s">
        <v>134</v>
      </c>
      <c r="C64" s="166">
        <f>C18</f>
        <v>30</v>
      </c>
      <c r="D64" s="150"/>
      <c r="E64" s="251" t="s">
        <v>396</v>
      </c>
    </row>
    <row r="65" spans="2:6">
      <c r="B65" s="118" t="s">
        <v>135</v>
      </c>
      <c r="C65" s="151">
        <v>4.25103165866728E-2</v>
      </c>
      <c r="D65" s="151"/>
      <c r="E65" s="251" t="s">
        <v>313</v>
      </c>
    </row>
    <row r="66" spans="2:6">
      <c r="B66" s="100" t="s">
        <v>103</v>
      </c>
      <c r="C66" s="160">
        <f>IF(valuation_method="DCF",DCF!C18,DDM!C13)</f>
        <v>64.595614038969885</v>
      </c>
      <c r="D66" s="160" t="str">
        <f>Market_currency</f>
        <v>CNY</v>
      </c>
      <c r="E66" s="251" t="s">
        <v>314</v>
      </c>
    </row>
    <row r="68" spans="2:6" ht="13.15">
      <c r="B68" s="109" t="s">
        <v>351</v>
      </c>
      <c r="E68" s="252" t="s">
        <v>315</v>
      </c>
    </row>
    <row r="69" spans="2:6">
      <c r="B69" s="100" t="s">
        <v>306</v>
      </c>
      <c r="C69" s="244" t="str">
        <f>IF(C60&lt;C22,"Y","N")</f>
        <v>N</v>
      </c>
      <c r="E69" s="134"/>
    </row>
    <row r="70" spans="2:6">
      <c r="B70" s="100" t="s">
        <v>294</v>
      </c>
      <c r="C70" s="244" t="str">
        <f>IF(C69="Y","N",IF(C65&gt;8%,"N","Y"))</f>
        <v>Y</v>
      </c>
      <c r="E70" s="251" t="s">
        <v>295</v>
      </c>
    </row>
    <row r="71" spans="2:6">
      <c r="B71" s="100" t="s">
        <v>293</v>
      </c>
      <c r="C71" s="244" t="str">
        <f>IF(C65&gt;8%,"Y","N")</f>
        <v>N</v>
      </c>
      <c r="E71" s="251"/>
    </row>
    <row r="72" spans="2:6">
      <c r="B72" s="100" t="s">
        <v>285</v>
      </c>
      <c r="C72" s="243" t="str">
        <f>IF(F72&gt;50%,"Y","N")</f>
        <v>N</v>
      </c>
      <c r="E72" s="134" t="s">
        <v>347</v>
      </c>
      <c r="F72" s="291">
        <f>BS!D89/C60</f>
        <v>0.11421512240685464</v>
      </c>
    </row>
    <row r="74" spans="2:6" ht="13.9">
      <c r="B74" s="36" t="s">
        <v>128</v>
      </c>
      <c r="C74" s="37"/>
      <c r="D74" s="37"/>
      <c r="E74" s="37"/>
      <c r="F74" s="37"/>
    </row>
    <row r="75" spans="2:6" ht="13.15">
      <c r="B75" s="109" t="s">
        <v>126</v>
      </c>
    </row>
    <row r="76" spans="2:6">
      <c r="B76" s="246" t="s">
        <v>298</v>
      </c>
      <c r="C76" s="245">
        <f>F60</f>
        <v>3</v>
      </c>
      <c r="D76" s="134"/>
    </row>
    <row r="77" spans="2:6">
      <c r="B77" s="100" t="s">
        <v>112</v>
      </c>
      <c r="C77" s="173">
        <f>Normalized_FCF!C90</f>
        <v>1</v>
      </c>
      <c r="D77" t="str">
        <f>Market_currency</f>
        <v>CNY</v>
      </c>
    </row>
    <row r="79" spans="2:6" ht="13.15">
      <c r="B79" s="109" t="s">
        <v>302</v>
      </c>
    </row>
    <row r="80" spans="2:6">
      <c r="B80" s="148" t="s">
        <v>300</v>
      </c>
      <c r="C80" s="167">
        <f>Thesis!F29</f>
        <v>0.33700000000000002</v>
      </c>
    </row>
    <row r="81" spans="2:8">
      <c r="B81" s="100" t="s">
        <v>122</v>
      </c>
      <c r="C81" s="116">
        <f>PV(C80, C76, -C77, 0)</f>
        <v>1.7257757078580571</v>
      </c>
      <c r="D81" s="116"/>
      <c r="E81" s="100"/>
      <c r="F81" s="100"/>
    </row>
    <row r="82" spans="2:8">
      <c r="B82" s="100" t="s">
        <v>123</v>
      </c>
      <c r="C82" s="116">
        <f>C60/(1+C80)^C76</f>
        <v>27.077488023189172</v>
      </c>
      <c r="D82" s="116"/>
    </row>
    <row r="83" spans="2:8" ht="13.15">
      <c r="B83" s="110" t="s">
        <v>102</v>
      </c>
      <c r="C83" s="111">
        <f>C81+C82</f>
        <v>28.803263731047231</v>
      </c>
      <c r="D83" t="str">
        <f>Market_currency</f>
        <v>CNY</v>
      </c>
      <c r="E83" s="146" t="s">
        <v>127</v>
      </c>
      <c r="F83" s="291">
        <f>(1-C83/C60)</f>
        <v>0.55491894710083656</v>
      </c>
    </row>
    <row r="84" spans="2:8">
      <c r="E84" s="120"/>
    </row>
    <row r="85" spans="2:8" ht="13.15">
      <c r="B85" s="109" t="s">
        <v>303</v>
      </c>
    </row>
    <row r="86" spans="2:8">
      <c r="B86" s="148" t="s">
        <v>301</v>
      </c>
      <c r="C86" s="116">
        <f>Market_Price</f>
        <v>45.93</v>
      </c>
      <c r="D86" t="str">
        <f>Market_currency</f>
        <v>CNY</v>
      </c>
    </row>
    <row r="87" spans="2:8" ht="13.15">
      <c r="B87" s="100" t="s">
        <v>299</v>
      </c>
      <c r="C87" s="237">
        <f ca="1">IRR(OFFSET($I$3, 0, 0, $C$76 + 1, 1))</f>
        <v>0.14060796047169277</v>
      </c>
    </row>
    <row r="88" spans="2:8">
      <c r="B88" s="100"/>
    </row>
    <row r="89" spans="2:8" ht="13.15">
      <c r="B89" s="109" t="s">
        <v>413</v>
      </c>
    </row>
    <row r="90" spans="2:8">
      <c r="B90" s="148" t="s">
        <v>414</v>
      </c>
      <c r="C90" s="167">
        <f>Thesis!F30</f>
        <v>0.187</v>
      </c>
    </row>
    <row r="91" spans="2:8">
      <c r="B91" s="100" t="s">
        <v>122</v>
      </c>
      <c r="C91" s="116">
        <f>PV(C90, C76, -C77, 0)</f>
        <v>2.1501253634045896</v>
      </c>
      <c r="D91" s="116"/>
      <c r="E91" s="100"/>
      <c r="F91" s="100"/>
    </row>
    <row r="92" spans="2:8">
      <c r="B92" s="100" t="s">
        <v>123</v>
      </c>
      <c r="C92" s="116">
        <f>C60/(1+C90)^C76</f>
        <v>38.694606751139908</v>
      </c>
      <c r="D92" s="116"/>
    </row>
    <row r="93" spans="2:8" ht="13.15">
      <c r="B93" s="110" t="s">
        <v>102</v>
      </c>
      <c r="C93" s="111">
        <f>C91+C92</f>
        <v>40.844732114544499</v>
      </c>
      <c r="D93" t="str">
        <f>Market_currency</f>
        <v>CNY</v>
      </c>
      <c r="E93" s="146" t="s">
        <v>127</v>
      </c>
      <c r="F93" s="291">
        <f>(1-C93/C60)</f>
        <v>0.36884873378671179</v>
      </c>
    </row>
    <row r="95" spans="2:8" ht="13.15">
      <c r="B95" s="109" t="s">
        <v>398</v>
      </c>
      <c r="G95" s="2"/>
      <c r="H95" s="281"/>
    </row>
    <row r="96" spans="2:8">
      <c r="B96" s="148" t="s">
        <v>404</v>
      </c>
      <c r="C96" s="134">
        <f>Thesis!F31</f>
        <v>0.06</v>
      </c>
      <c r="G96" s="2"/>
      <c r="H96" s="281"/>
    </row>
    <row r="97" spans="2:8">
      <c r="B97" s="100" t="s">
        <v>122</v>
      </c>
      <c r="C97" s="116">
        <f>PV(C96, C76, -C77, 0)</f>
        <v>2.6730119494616398</v>
      </c>
      <c r="D97" s="116"/>
      <c r="G97" s="2"/>
      <c r="H97" s="281"/>
    </row>
    <row r="98" spans="2:8">
      <c r="B98" s="100" t="s">
        <v>123</v>
      </c>
      <c r="C98" s="116">
        <f>C60/(1+C96)^C76</f>
        <v>54.335666470913992</v>
      </c>
      <c r="D98" s="116"/>
      <c r="G98" s="2"/>
      <c r="H98" s="281"/>
    </row>
    <row r="99" spans="2:8" ht="13.15">
      <c r="B99" s="110" t="s">
        <v>399</v>
      </c>
      <c r="C99" s="111">
        <f>C97+C98</f>
        <v>57.008678420375631</v>
      </c>
      <c r="D99" t="s">
        <v>397</v>
      </c>
      <c r="E99" s="146" t="s">
        <v>127</v>
      </c>
      <c r="F99" s="291">
        <f>(1-C99/C60)</f>
        <v>0.11907612787712119</v>
      </c>
    </row>
    <row r="100" spans="2:8">
      <c r="B100" s="100"/>
    </row>
    <row r="101" spans="2:8" ht="13.15">
      <c r="B101" s="109" t="s">
        <v>423</v>
      </c>
    </row>
    <row r="102" spans="2:8">
      <c r="B102" s="148" t="s">
        <v>422</v>
      </c>
      <c r="C102" s="134">
        <f>Thesis!F32</f>
        <v>8.6999999999999994E-2</v>
      </c>
    </row>
    <row r="103" spans="2:8">
      <c r="B103" s="100" t="s">
        <v>122</v>
      </c>
      <c r="C103" s="116">
        <f>PV(C102, C76, -C77, 0)</f>
        <v>2.5448900584493499</v>
      </c>
      <c r="D103" s="116"/>
    </row>
    <row r="104" spans="2:8">
      <c r="B104" s="100" t="s">
        <v>123</v>
      </c>
      <c r="C104" s="116">
        <f>C60/(1+C102)^C76</f>
        <v>50.386473310255305</v>
      </c>
      <c r="D104" s="116"/>
    </row>
    <row r="105" spans="2:8" ht="13.15">
      <c r="B105" s="110" t="s">
        <v>399</v>
      </c>
      <c r="C105" s="111">
        <f>C103+C104</f>
        <v>52.931363368704652</v>
      </c>
      <c r="D105" t="s">
        <v>397</v>
      </c>
      <c r="E105" s="146" t="s">
        <v>127</v>
      </c>
      <c r="F105" s="291">
        <f>(1-C105/C66)</f>
        <v>0.18057341576207186</v>
      </c>
    </row>
    <row r="106" spans="2:8">
      <c r="B106" s="100"/>
    </row>
    <row r="107" spans="2:8" ht="14.65">
      <c r="E107" s="285" t="s">
        <v>325</v>
      </c>
      <c r="F107" s="282"/>
    </row>
    <row r="108" spans="2:8" ht="13.9">
      <c r="E108" s="278" t="s">
        <v>326</v>
      </c>
      <c r="F108" s="283" t="s">
        <v>327</v>
      </c>
    </row>
    <row r="109" spans="2:8" ht="13.9">
      <c r="E109" s="279" t="s">
        <v>326</v>
      </c>
      <c r="F109" s="283" t="s">
        <v>328</v>
      </c>
    </row>
    <row r="110" spans="2:8" ht="13.9">
      <c r="E110" s="280" t="s">
        <v>326</v>
      </c>
      <c r="F110" s="284" t="s">
        <v>329</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9</vt:i4>
      </vt:variant>
    </vt:vector>
  </HeadingPairs>
  <TitlesOfParts>
    <vt:vector size="16" baseType="lpstr">
      <vt:lpstr>Thesis</vt:lpstr>
      <vt:lpstr>Data</vt:lpstr>
      <vt:lpstr>BS</vt:lpstr>
      <vt:lpstr>Normalized_FCF</vt:lpstr>
      <vt:lpstr>DCF</vt:lpstr>
      <vt:lpstr>DDM</vt:lpstr>
      <vt:lpstr>Scenarios</vt:lpstr>
      <vt:lpstr>Common_Shares</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2025-05-23T02:00:26Z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