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D84E051-8987-4501-91BA-6C6D4D7CA8C4}"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I94" i="2"/>
  <c r="N94" i="2"/>
  <c r="J94" i="2"/>
  <c r="K94" i="2"/>
  <c r="C44" i="6"/>
  <c r="C44" i="12"/>
  <c r="P94" i="2"/>
  <c r="L94" i="2"/>
  <c r="Q92" i="2"/>
  <c r="Q94" i="2"/>
  <c r="M94" i="2"/>
  <c r="H94" i="2"/>
  <c r="C147" i="6"/>
  <c r="C147" i="12"/>
  <c r="C163" i="6"/>
  <c r="C163" i="12"/>
  <c r="C171" i="6"/>
  <c r="C171" i="12"/>
  <c r="C155" i="6"/>
  <c r="C155" i="12"/>
  <c r="L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<sst xmlns="http://schemas.openxmlformats.org/spreadsheetml/2006/main" count="836" uniqueCount="561">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</sst>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984EA59-9213-4EAC-B7E4-B2DAF7B0498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506347879</v>
          </cell>
        </row>
        <row r="12">
          <cell r="C12">
            <v>49.24</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54.13</v>
      </c>
      <c r="D12" s="50"/>
      <c r="E12" s="48"/>
    </row>
    <row r="13" spans="1:10">
      <c r="B13" s="1" t="s">
        <v>464</v>
      </c>
      <c r="C13" s="48" t="s">
        <v>394</v>
      </c>
      <c r="D13" s="48"/>
      <c r="E13" s="5"/>
    </row>
    <row r="14" spans="1:10">
      <c r="B14" s="4" t="s">
        <v>465</v>
      </c>
      <c r="C14" s="35">
        <f>Thesis!C12*Common_Shares/1000000</f>
        <v>27408.610690270001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7.4155343955202291E-3</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1462055536.8163233</v>
      </c>
      <c r="D41" s="1" t="str">
        <f>Reporting_currency</f>
        <v>CNY</v>
      </c>
    </row>
    <row r="42" spans="1:6">
      <c r="B42" s="47"/>
      <c r="C42" s="76"/>
    </row>
    <row r="43" spans="1:6" ht="24.6" customHeight="1">
      <c r="B43" s="371" t="s">
        <v>229</v>
      </c>
      <c r="C43" s="371"/>
      <c r="D43" s="371"/>
      <c r="E43" s="371"/>
      <c r="F43" s="371"/>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1" t="s">
        <v>237</v>
      </c>
      <c r="C58" s="371"/>
      <c r="D58" s="371"/>
      <c r="E58" s="371"/>
      <c r="F58" s="371"/>
    </row>
    <row r="59" spans="2:6">
      <c r="B59" s="47" t="s">
        <v>235</v>
      </c>
      <c r="C59" s="349">
        <f>Normalized_FCF!C14</f>
        <v>-365138309.77193511</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3.9958974885345624E-2</v>
      </c>
      <c r="F69" s="314"/>
    </row>
    <row r="70" spans="1:6">
      <c r="B70" s="227" t="s">
        <v>434</v>
      </c>
      <c r="C70" s="92">
        <f>Normalized_FCF!C94</f>
        <v>1.6626639571402181E-2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0" t="s">
        <v>352</v>
      </c>
      <c r="C116" s="370"/>
      <c r="D116" s="370"/>
      <c r="E116" s="370"/>
      <c r="F116" s="370"/>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1.6626639571402181E-2</v>
      </c>
      <c r="E94" s="268"/>
      <c r="G94" s="23">
        <f t="shared" ref="G94:Q94" si="39">IF(G$4="","",(G90*(1-dividend_tax_rate))/Market_Price)</f>
        <v>1.6626639571402181E-2</v>
      </c>
      <c r="H94" s="23">
        <f t="shared" si="39"/>
        <v>1.6626639571402181E-2</v>
      </c>
      <c r="I94" s="23">
        <f t="shared" si="39"/>
        <v>8.3133197857010906E-3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3.9958974885345624E-2</v>
      </c>
      <c r="D126" s="27"/>
      <c r="E126" s="265"/>
      <c r="F126" s="27"/>
      <c r="G126" s="77">
        <f t="shared" ref="G126" si="50">IF(G$4="","",G125/Market_Price)</f>
        <v>5.793948358836476E-2</v>
      </c>
      <c r="H126" s="77">
        <f t="shared" ref="H126" si="51">IF(H$4="","",H125/Market_Price)</f>
        <v>5.7702230406706814E-2</v>
      </c>
      <c r="I126" s="77">
        <f t="shared" ref="I126" si="52">IF(I$4="","",I125/Market_Price)</f>
        <v>3.6663305572913342E-2</v>
      </c>
      <c r="J126" s="77">
        <f t="shared" ref="J126" si="53">IF(J$4="","",J125/Market_Price)</f>
        <v>3.438830749087813E-2</v>
      </c>
      <c r="K126" s="77">
        <f t="shared" ref="K126" si="54">IF(K$4="","",K125/Market_Price)</f>
        <v>2.4120422534784598E-2</v>
      </c>
      <c r="L126" s="77">
        <f t="shared" ref="L126" si="55">IF(L$4="","",L125/Market_Price)</f>
        <v>2.3003139589867508E-2</v>
      </c>
      <c r="M126" s="77">
        <f t="shared" ref="M126" si="56">IF(M$4="","",M125/Market_Price)</f>
        <v>1.4346382947248279E-2</v>
      </c>
      <c r="N126" s="77">
        <f t="shared" ref="N126" si="57">IF(N$4="","",N125/Market_Price)</f>
        <v>1.0737138497299768E-2</v>
      </c>
      <c r="O126" s="77">
        <f t="shared" ref="O126" si="58">IF(O$4="","",O125/Market_Price)</f>
        <v>5.2948522506293585E-3</v>
      </c>
      <c r="P126" s="77">
        <f t="shared" ref="P126" si="59">IF(P$4="","",P125/Market_Price)</f>
        <v>3.4311871573040162E-3</v>
      </c>
      <c r="Q126" s="77" t="str">
        <f t="shared" ref="Q126" si="60">IF(Q$4="","",Q125/Market_Price)</f>
        <v/>
      </c>
    </row>
    <row r="127" spans="1:17" ht="15.75" customHeight="1">
      <c r="B127" s="2" t="s">
        <v>375</v>
      </c>
      <c r="C127" s="169"/>
      <c r="G127" s="23">
        <f>IF(G$4="","",(Data!C47*$C$3)/(Market_Price*Common_Shares))</f>
        <v>5.943527752679216E-2</v>
      </c>
      <c r="H127" s="23">
        <f>IF(H$4="","",(Data!D47*$C$3)/(Market_Price*Common_Shares))</f>
        <v>6.8122587098616891E-2</v>
      </c>
      <c r="I127" s="23">
        <f>IF(I$4="","",(Data!E47*$C$3)/(Market_Price*Common_Shares))</f>
        <v>4.5870255891748556E-2</v>
      </c>
      <c r="J127" s="23">
        <f>IF(J$4="","",(Data!F47*$C$3)/(Market_Price*Common_Shares))</f>
        <v>3.2269544706035852E-2</v>
      </c>
      <c r="K127" s="23">
        <f>IF(K$4="","",(Data!G47*$C$3)/(Market_Price*Common_Shares))</f>
        <v>2.4231078346330353E-2</v>
      </c>
      <c r="L127" s="23">
        <f>IF(L$4="","",(Data!H47*$C$3)/(Market_Price*Common_Shares))</f>
        <v>2.5323473883570369E-2</v>
      </c>
      <c r="M127" s="23">
        <f>IF(M$4="","",(Data!I47*$C$3)/(Market_Price*Common_Shares))</f>
        <v>1.7529836788501115E-2</v>
      </c>
      <c r="N127" s="23">
        <f>IF(N$4="","",(Data!J47*$C$3)/(Market_Price*Common_Shares))</f>
        <v>1.0330532408215643E-2</v>
      </c>
      <c r="O127" s="23">
        <f>IF(O$4="","",(Data!K47*$C$3)/(Market_Price*Common_Shares))</f>
        <v>6.3843142207174837E-3</v>
      </c>
      <c r="P127" s="23">
        <f>IF(P$4="","",(Data!L47*$C$3)/(Market_Price*Common_Shares))</f>
        <v>4.5879912856962562E-3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-54.13</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54.13</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54.13</v>
      </c>
      <c r="D86" t="str">
        <f>Market_currency</f>
        <v>CNY</v>
      </c>
    </row>
    <row r="87" spans="2:8" ht="13.15">
      <c r="B87" s="100" t="s">
        <v>293</v>
      </c>
      <c r="C87" s="237">
        <f ca="1">IRR(OFFSET($I$3, 0, 0, $C$76 + 1, 1))</f>
        <v>7.4155343955202291E-3</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54.13</v>
      </c>
      <c r="D12" s="50"/>
      <c r="E12" s="48"/>
    </row>
    <row r="13" spans="1:10">
      <c r="B13" s="1" t="s">
        <v>485</v>
      </c>
      <c r="C13" s="32" t="str">
        <f>Market_currency</f>
        <v>CNY</v>
      </c>
      <c r="D13" s="48"/>
      <c r="E13" s="5"/>
    </row>
    <row r="14" spans="1:10">
      <c r="B14" s="4" t="s">
        <v>486</v>
      </c>
      <c r="C14" s="35">
        <f>投资主题!C12*Common_Shares/1000000</f>
        <v>27408.610690270001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7.4155343955202291E-3</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1462055536.8163233</v>
      </c>
      <c r="D41" s="1" t="str">
        <f>Reporting_currency</f>
        <v>CNY</v>
      </c>
    </row>
    <row r="42" spans="1:6">
      <c r="B42" s="47"/>
      <c r="C42" s="76"/>
    </row>
    <row r="43" spans="1:6" ht="24.6" customHeight="1">
      <c r="B43" s="371" t="s">
        <v>495</v>
      </c>
      <c r="C43" s="371"/>
      <c r="D43" s="371"/>
      <c r="E43" s="371"/>
      <c r="F43" s="371"/>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1" t="s">
        <v>237</v>
      </c>
      <c r="C58" s="371"/>
      <c r="D58" s="371"/>
      <c r="E58" s="371"/>
      <c r="F58" s="371"/>
    </row>
    <row r="59" spans="2:6">
      <c r="B59" s="47" t="s">
        <v>235</v>
      </c>
      <c r="C59" s="349">
        <f>Normalized_FCF!C14</f>
        <v>-365138309.77193511</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3.9958974885345624E-2</v>
      </c>
      <c r="F69" s="314"/>
    </row>
    <row r="70" spans="1:6">
      <c r="B70" s="227" t="s">
        <v>434</v>
      </c>
      <c r="C70" s="92">
        <f>Normalized_FCF!C94</f>
        <v>1.6626639571402181E-2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0" t="s">
        <v>516</v>
      </c>
      <c r="C116" s="370"/>
      <c r="D116" s="370"/>
      <c r="E116" s="370"/>
      <c r="F116" s="370"/>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6733C-021E-4ACE-8766-4F1AF6FFB2D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