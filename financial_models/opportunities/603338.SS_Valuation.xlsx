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BE97FA4-31C7-4EBD-8FA3-6174C2041C69}"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<sst xmlns="http://schemas.openxmlformats.org/spreadsheetml/2006/main" count="836" uniqueCount="561">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</sst>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168CF21-D529-4BDD-92B4-C21E1484ACA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506347879</v>
          </cell>
        </row>
        <row r="12">
          <cell r="C12">
            <v>46.5</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50.31</v>
      </c>
      <c r="D12" s="50"/>
      <c r="E12" s="48"/>
    </row>
    <row r="13" spans="1:10">
      <c r="B13" s="1" t="s">
        <v>485</v>
      </c>
      <c r="C13" s="32" t="str">
        <f>Market_currency</f>
        <v>CNY</v>
      </c>
      <c r="D13" s="48"/>
      <c r="E13" s="5"/>
    </row>
    <row r="14" spans="1:10">
      <c r="B14" s="4" t="s">
        <v>486</v>
      </c>
      <c r="C14" s="35">
        <f>投资主题!C12*Common_Shares/1000000</f>
        <v>25474.361792490003</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3.2723914312429825E-2</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495</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4.2993029428418969E-2</v>
      </c>
      <c r="F69" s="314"/>
    </row>
    <row r="70" spans="1:6">
      <c r="B70" s="227" t="s">
        <v>434</v>
      </c>
      <c r="C70" s="92">
        <f>Normalized_FCF!C94</f>
        <v>1.7889087656529516E-2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1" t="s">
        <v>516</v>
      </c>
      <c r="C116" s="371"/>
      <c r="D116" s="371"/>
      <c r="E116" s="371"/>
      <c r="F116" s="371"/>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50.31</v>
      </c>
      <c r="D12" s="50"/>
      <c r="E12" s="48"/>
    </row>
    <row r="13" spans="1:10">
      <c r="B13" s="1" t="s">
        <v>464</v>
      </c>
      <c r="C13" s="48" t="s">
        <v>394</v>
      </c>
      <c r="D13" s="48"/>
      <c r="E13" s="5"/>
    </row>
    <row r="14" spans="1:10">
      <c r="B14" s="4" t="s">
        <v>465</v>
      </c>
      <c r="C14" s="35">
        <f>Thesis!C12*Common_Shares/1000000</f>
        <v>25474.361792490003</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3.2723914312429825E-2</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229</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4.2993029428418969E-2</v>
      </c>
      <c r="F69" s="314"/>
    </row>
    <row r="70" spans="1:6">
      <c r="B70" s="227" t="s">
        <v>434</v>
      </c>
      <c r="C70" s="92">
        <f>Normalized_FCF!C94</f>
        <v>1.7889087656529516E-2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1" t="s">
        <v>352</v>
      </c>
      <c r="C116" s="371"/>
      <c r="D116" s="371"/>
      <c r="E116" s="371"/>
      <c r="F116" s="371"/>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1.7889087656529516E-2</v>
      </c>
      <c r="E94" s="268"/>
      <c r="G94" s="23">
        <f t="shared" ref="G94:Q94" si="39">IF(G$4="","",(G90*(1-dividend_tax_rate))/Market_Price)</f>
        <v>1.7889087656529516E-2</v>
      </c>
      <c r="H94" s="23">
        <f t="shared" si="39"/>
        <v>1.7889087656529516E-2</v>
      </c>
      <c r="I94" s="23">
        <f t="shared" si="39"/>
        <v>8.9445438282647581E-3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4.2993029428418969E-2</v>
      </c>
      <c r="D126" s="27"/>
      <c r="E126" s="265"/>
      <c r="F126" s="27"/>
      <c r="G126" s="77">
        <f t="shared" ref="G126" si="50">IF(G$4="","",G125/Market_Price)</f>
        <v>6.2338784469055546E-2</v>
      </c>
      <c r="H126" s="77">
        <f t="shared" ref="H126" si="51">IF(H$4="","",H125/Market_Price)</f>
        <v>6.208351683393043E-2</v>
      </c>
      <c r="I126" s="77">
        <f t="shared" ref="I126" si="52">IF(I$4="","",I125/Market_Price)</f>
        <v>3.9447122454021058E-2</v>
      </c>
      <c r="J126" s="77">
        <f t="shared" ref="J126" si="53">IF(J$4="","",J125/Market_Price)</f>
        <v>3.6999385499527589E-2</v>
      </c>
      <c r="K126" s="77">
        <f t="shared" ref="K126" si="54">IF(K$4="","",K125/Market_Price)</f>
        <v>2.5951867855453992E-2</v>
      </c>
      <c r="L126" s="77">
        <f t="shared" ref="L126" si="55">IF(L$4="","",L125/Market_Price)</f>
        <v>2.4749750467094576E-2</v>
      </c>
      <c r="M126" s="77">
        <f t="shared" ref="M126" si="56">IF(M$4="","",M125/Market_Price)</f>
        <v>1.5435692882817518E-2</v>
      </c>
      <c r="N126" s="77">
        <f t="shared" ref="N126" si="57">IF(N$4="","",N125/Market_Price)</f>
        <v>1.155240124943026E-2</v>
      </c>
      <c r="O126" s="77">
        <f t="shared" ref="O126" si="58">IF(O$4="","",O125/Market_Price)</f>
        <v>5.6968863511541873E-3</v>
      </c>
      <c r="P126" s="77">
        <f t="shared" ref="P126" si="59">IF(P$4="","",P125/Market_Price)</f>
        <v>3.6917145860637327E-3</v>
      </c>
      <c r="Q126" s="77" t="str">
        <f t="shared" ref="Q126" si="60">IF(Q$4="","",Q125/Market_Price)</f>
        <v/>
      </c>
    </row>
    <row r="127" spans="1:17" ht="15.75" customHeight="1">
      <c r="B127" s="2" t="s">
        <v>375</v>
      </c>
      <c r="C127" s="169"/>
      <c r="G127" s="23">
        <f>IF(G$4="","",(Data!C47*$C$3)/(Market_Price*Common_Shares))</f>
        <v>6.3948152902509631E-2</v>
      </c>
      <c r="H127" s="23">
        <f>IF(H$4="","",(Data!D47*$C$3)/(Market_Price*Common_Shares))</f>
        <v>7.3295083276647424E-2</v>
      </c>
      <c r="I127" s="23">
        <f>IF(I$4="","",(Data!E47*$C$3)/(Market_Price*Common_Shares))</f>
        <v>4.9353149501497703E-2</v>
      </c>
      <c r="J127" s="23">
        <f>IF(J$4="","",(Data!F47*$C$3)/(Market_Price*Common_Shares))</f>
        <v>3.4719746669404111E-2</v>
      </c>
      <c r="K127" s="23">
        <f>IF(K$4="","",(Data!G47*$C$3)/(Market_Price*Common_Shares))</f>
        <v>2.6070925678530348E-2</v>
      </c>
      <c r="L127" s="23">
        <f>IF(L$4="","",(Data!H47*$C$3)/(Market_Price*Common_Shares))</f>
        <v>2.7246265977294057E-2</v>
      </c>
      <c r="M127" s="23">
        <f>IF(M$4="","",(Data!I47*$C$3)/(Market_Price*Common_Shares))</f>
        <v>1.8860863950736738E-2</v>
      </c>
      <c r="N127" s="23">
        <f>IF(N$4="","",(Data!J47*$C$3)/(Market_Price*Common_Shares))</f>
        <v>1.1114921869543088E-2</v>
      </c>
      <c r="O127" s="23">
        <f>IF(O$4="","",(Data!K47*$C$3)/(Market_Price*Common_Shares))</f>
        <v>6.8690703392454257E-3</v>
      </c>
      <c r="P127" s="23">
        <f>IF(P$4="","",(Data!L47*$C$3)/(Market_Price*Common_Shares))</f>
        <v>4.9363539712728747E-3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8" t="s">
        <v>245</v>
      </c>
      <c r="F6" s="378"/>
      <c r="H6" s="120"/>
    </row>
    <row r="7" spans="2:8">
      <c r="B7" s="148" t="s">
        <v>220</v>
      </c>
      <c r="C7" s="338">
        <f>BS!G31</f>
        <v>533481194.11000001</v>
      </c>
      <c r="D7" t="str">
        <f>Reporting_currency</f>
        <v>CNY</v>
      </c>
      <c r="E7" s="378"/>
      <c r="F7" s="378"/>
      <c r="H7" s="120"/>
    </row>
    <row r="8" spans="2:8">
      <c r="B8" s="148" t="s">
        <v>221</v>
      </c>
      <c r="C8" s="338">
        <f>BS!D66</f>
        <v>4150855827.3182759</v>
      </c>
      <c r="D8" t="str">
        <f>Reporting_currency</f>
        <v>CNY</v>
      </c>
      <c r="E8" s="378"/>
      <c r="F8" s="378"/>
      <c r="H8" s="120"/>
    </row>
    <row r="9" spans="2:8">
      <c r="B9" s="205" t="s">
        <v>186</v>
      </c>
      <c r="C9" s="348">
        <f>BS!H42</f>
        <v>125240754.68399999</v>
      </c>
      <c r="D9" t="str">
        <f>Reporting_currency</f>
        <v>CNY</v>
      </c>
      <c r="E9" s="378"/>
      <c r="F9" s="378"/>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8"/>
      <c r="F6" s="378"/>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-50.31</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c r="B8" s="100" t="s">
        <v>64</v>
      </c>
      <c r="C8" s="338">
        <f>Normalized_FCF!G19</f>
        <v>1588040749.2687776</v>
      </c>
      <c r="D8" t="str">
        <f>Reporting_currency</f>
        <v>CNY</v>
      </c>
      <c r="E8" s="380"/>
      <c r="F8" s="380"/>
      <c r="H8" s="247">
        <v>5</v>
      </c>
      <c r="I8" s="124" t="str">
        <f t="shared" si="0"/>
        <v/>
      </c>
    </row>
    <row r="9" spans="2:9">
      <c r="B9" s="100" t="s">
        <v>55</v>
      </c>
      <c r="C9" s="338">
        <f>Normalized_FCF!C19</f>
        <v>1095219986.2147145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0.16445427582528804</v>
      </c>
      <c r="D12" s="158"/>
      <c r="E12" s="380"/>
      <c r="F12" s="380"/>
      <c r="H12" s="247">
        <v>9</v>
      </c>
      <c r="I12" s="124" t="str">
        <f t="shared" si="0"/>
        <v/>
      </c>
    </row>
    <row r="13" spans="2:9">
      <c r="B13" s="148" t="s">
        <v>148</v>
      </c>
      <c r="C13" s="158">
        <f ca="1">(Normalized_FCF!G8/OFFSET(Normalized_FCF!G8, 0, $C$4))^(1/$C$4) - 1</f>
        <v>0.21768298308972489</v>
      </c>
      <c r="E13" s="380"/>
      <c r="F13" s="380"/>
      <c r="H13" s="247">
        <v>10</v>
      </c>
      <c r="I13" s="124" t="str">
        <f t="shared" si="0"/>
        <v/>
      </c>
    </row>
    <row r="14" spans="2:9">
      <c r="B14" s="100" t="s">
        <v>64</v>
      </c>
      <c r="C14" s="158">
        <f ca="1">(Normalized_FCF!G19/OFFSET(Normalized_FCF!G19, 0, $C$4))^(1/$C$4) - 1</f>
        <v>0.18992961357468019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50.31</v>
      </c>
      <c r="D21" t="str">
        <f>Market_currency</f>
        <v>CNY</v>
      </c>
      <c r="E21" s="381"/>
      <c r="F21" s="381"/>
    </row>
    <row r="22" spans="2:6">
      <c r="B22" s="100" t="s">
        <v>273</v>
      </c>
      <c r="C22" s="160">
        <f>IF(valuation_method="DCF",DCF!C12,DDM!C7)</f>
        <v>36.231115599127065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51.278396200455838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42.565518469575856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63.459525658008971</v>
      </c>
      <c r="D39" t="str">
        <f>Market_currency</f>
        <v>CNY</v>
      </c>
      <c r="E39" s="379"/>
      <c r="F39" s="379"/>
    </row>
    <row r="40" spans="2:6">
      <c r="B40" s="100" t="s">
        <v>143</v>
      </c>
      <c r="C40" s="167">
        <f>1-C28-C34</f>
        <v>0.2</v>
      </c>
      <c r="D40" s="165"/>
      <c r="E40" s="379"/>
      <c r="F40" s="379"/>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36.231115599127079</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80.733828980747901</v>
      </c>
      <c r="D57" t="str">
        <f>Market_currency</f>
        <v>CNY</v>
      </c>
      <c r="E57" s="379"/>
      <c r="F57" s="379"/>
    </row>
    <row r="58" spans="2:6">
      <c r="B58" s="100" t="s">
        <v>143</v>
      </c>
      <c r="C58" s="165">
        <v>0.05</v>
      </c>
      <c r="D58" s="165"/>
      <c r="E58" s="379"/>
      <c r="F58" s="379"/>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50.31</v>
      </c>
      <c r="D86" t="str">
        <f>Market_currency</f>
        <v>CNY</v>
      </c>
    </row>
    <row r="87" spans="2:8" ht="13.15">
      <c r="B87" s="100" t="s">
        <v>293</v>
      </c>
      <c r="C87" s="237">
        <f ca="1">IRR(OFFSET($I$3, 0, 0, $C$76 + 1, 1))</f>
        <v>3.2723914312429825E-2</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034BF-5890-4C7B-94D1-41EB4223C6D7}">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