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E7771FC-D303-471C-B9D7-253C69FE767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C67" i="8"/>
  <c r="D71" i="8"/>
  <c r="D70" i="8"/>
  <c r="E67" i="8"/>
  <c r="E70" i="8"/>
  <c r="F71" i="8"/>
  <c r="B67" i="8"/>
  <c r="G54" i="2"/>
  <c r="F66" i="8" l="1"/>
  <c r="D69" i="8"/>
  <c r="B66" i="8"/>
  <c r="C66" i="8"/>
  <c r="E66" i="8"/>
  <c r="E68" i="8"/>
  <c r="D66" i="8"/>
  <c r="B70" i="8"/>
  <c r="C70" i="8"/>
  <c r="B69" i="8"/>
  <c r="C69" i="8"/>
  <c r="C68" i="8"/>
  <c r="D67" i="8"/>
  <c r="E71" i="8"/>
  <c r="B68" i="8"/>
  <c r="F70" i="8"/>
  <c r="F67"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<sst xmlns="http://schemas.openxmlformats.org/spreadsheetml/2006/main" count="626" uniqueCount="440">
  <si>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</si>
  <si>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</si>
  <si>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</si>
  <si>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</si>
  <si>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</si>
  <si>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</si>
  <si>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</si>
  <si>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</si>
  <si>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</si>
  <si>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</si>
  <si>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</si>
  <si>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</si>
  <si>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</si>
  <si>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</si>
  <si>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</si>
  <si>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</si>
  <si>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</si>
  <si>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</si>
  <si>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</si>
  <si>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</si>
  <si>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</si>
  <si>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</si>
  <si>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</si>
  <si>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</si>
  <si>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</si>
  <si>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</si>
  <si>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</si>
  <si>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</si>
  <si>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</si>
  <si>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</si>
  <si>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</si>
  <si>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</si>
  <si>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</si>
  <si>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</si>
  <si>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</si>
  <si>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</si>
  <si>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</si>
  <si>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</si>
  <si>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</si>
  <si>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</si>
  <si>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</si>
  <si>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</si>
  <si>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</si>
  <si>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</si>
  <si>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</si>
  <si>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</si>
  <si>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</si>
  <si>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</si>
  <si>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</si>
  <si>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</si>
  <si>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</si>
  <si>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</si>
  <si>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</si>
  <si>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</si>
  <si>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</si>
  <si>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</si>
  <si>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</si>
  <si>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</si>
  <si>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</si>
  <si>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</si>
  <si>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</si>
  <si>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</si>
  <si>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</si>
  <si>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</si>
  <si>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</si>
  <si>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</si>
  <si>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</si>
  <si>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</si>
  <si>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</si>
  <si>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</si>
  <si>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</si>
  <si>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</si>
  <si>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</si>
  <si>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</si>
  <si>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</si>
  <si>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</si>
  <si>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</si>
  <si>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</si>
  <si>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</si>
  <si>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</si>
  <si>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</si>
  <si>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</si>
  <si>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</si>
  <si>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</si>
  <si>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</si>
  <si>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</si>
  <si>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</si>
  <si>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</si>
  <si>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</si>
  <si>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</si>
  <si>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</si>
  <si>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</si>
  <si>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</si>
  <si>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</si>
  <si>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</si>
  <si>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</si>
  <si>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</si>
  <si>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</si>
  <si>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</si>
  <si>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</si>
  <si>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</si>
  <si>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</si>
  <si>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</si>
  <si>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</si>
  <si>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</si>
  <si>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</si>
  <si>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</si>
  <si>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</si>
  <si>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</si>
  <si>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</si>
  <si>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</si>
  <si>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</si>
  <si>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</si>
  <si>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</si>
  <si>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</si>
  <si>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</si>
  <si>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</si>
  <si>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</si>
  <si>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</si>
  <si>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</si>
  <si>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</si>
  <si>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</si>
  <si>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</si>
  <si>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</si>
  <si>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</si>
  <si>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</si>
  <si>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</si>
  <si>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</si>
  <si>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</si>
  <si>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</si>
  <si>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</si>
  <si>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</si>
  <si>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</si>
  <si>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</si>
  <si>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</si>
  <si>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</si>
  <si>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</si>
  <si>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</si>
  <si>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</si>
  <si>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</si>
  <si>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</si>
  <si>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</si>
  <si>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</si>
  <si>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</si>
  <si>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</si>
  <si>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</si>
  <si>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</si>
  <si>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</si>
  <si>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</si>
  <si>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</si>
  <si>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</si>
  <si>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</si>
  <si>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</si>
  <si>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</si>
  <si>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</si>
  <si>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</si>
  <si>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</si>
  <si>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</si>
  <si>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</si>
  <si>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</si>
  <si>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</si>
  <si>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</si>
  <si>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</si>
  <si>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</si>
  <si>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</si>
  <si>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</si>
  <si>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</si>
  <si>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</si>
  <si>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</si>
  <si>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</si>
  <si>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</si>
  <si>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</si>
  <si>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</si>
  <si>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</si>
  <si>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</si>
  <si>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</si>
  <si>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</si>
  <si>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</si>
  <si>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</si>
  <si>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</si>
  <si>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</si>
  <si>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</si>
  <si>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</si>
  <si>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</si>
  <si>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</si>
  <si>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</si>
  <si>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</si>
  <si>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</si>
  <si>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</si>
  <si>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</si>
  <si>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</si>
  <si>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</si>
  <si>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</si>
  <si>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</si>
  <si>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</si>
  <si>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</si>
  <si>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</si>
  <si>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</si>
  <si>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</si>
  <si>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</si>
  <si>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</si>
  <si>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</si>
  <si>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</si>
  <si>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</si>
  <si>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</si>
  <si>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</si>
  <si>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</si>
  <si>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</si>
  <si>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</si>
  <si>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</si>
  <si>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</si>
  <si>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</si>
  <si>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</si>
  <si>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</si>
  <si>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</si>
  <si>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</si>
  <si>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</si>
  <si>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</si>
  <si>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</si>
  <si>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</si>
  <si>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</si>
  <si>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</si>
  <si>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</si>
  <si>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</si>
  <si>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</si>
  <si>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</si>
  <si>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</si>
  <si>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</si>
  <si>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</si>
  <si>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</si>
  <si>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</si>
  <si>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</si>
  <si>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</si>
  <si>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</si>
  <si>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</si>
  <si>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</si>
  <si>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</si>
  <si>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</si>
  <si>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</si>
  <si>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</si>
  <si>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</si>
  <si>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</si>
  <si>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</si>
  <si>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</si>
  <si>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</si>
  <si>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</si>
  <si>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</si>
  <si>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</si>
  <si>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</si>
  <si>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</si>
  <si>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</si>
  <si>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</si>
  <si>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</si>
  <si>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</si>
  <si>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</si>
  <si>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</si>
  <si>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</si>
  <si>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</si>
  <si>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</si>
  <si>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</si>
  <si>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</si>
  <si>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</si>
  <si>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</si>
  <si>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</si>
  <si>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</si>
  <si>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</si>
  <si>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</si>
  <si>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</si>
  <si>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</si>
  <si>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</si>
  <si>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</si>
  <si>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</si>
  <si>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</si>
  <si>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</si>
  <si>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</si>
  <si>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</si>
  <si>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</si>
  <si>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</si>
  <si>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</si>
  <si>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</si>
  <si>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</si>
  <si>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</si>
  <si>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</si>
  <si>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</si>
  <si>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</si>
  <si>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</si>
  <si>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</si>
  <si>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</si>
  <si>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</si>
  <si>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</si>
  <si>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</si>
  <si>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</si>
  <si>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</si>
  <si>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</si>
  <si>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</si>
  <si>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</si>
  <si>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</si>
  <si>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</si>
  <si>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</si>
  <si>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</si>
  <si>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</si>
  <si>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</si>
  <si>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</si>
  <si>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</si>
  <si>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</si>
  <si>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</si>
  <si>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</si>
  <si>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</si>
  <si>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</si>
  <si>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</si>
  <si>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</si>
  <si>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</si>
  <si>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</si>
  <si>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</si>
  <si>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</si>
  <si>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</si>
  <si>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</si>
  <si>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</si>
  <si>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</si>
  <si>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</si>
  <si>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</si>
  <si>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</si>
  <si>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</si>
  <si>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</si>
  <si>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</si>
  <si>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</si>
  <si>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</si>
  <si>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</si>
  <si>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</si>
  <si>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</si>
  <si>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</si>
  <si>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</si>
  <si>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</si>
  <si>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</si>
  <si>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</si>
  <si>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</si>
  <si>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</si>
  <si>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</si>
  <si>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</si>
  <si>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</si>
  <si>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</si>
  <si>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</si>
  <si>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</si>
  <si>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</si>
  <si>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</si>
  <si>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</si>
  <si>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</si>
  <si>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</si>
  <si>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</si>
  <si>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</si>
  <si>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</si>
  <si>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</si>
  <si>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</si>
  <si>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</si>
  <si>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</si>
  <si>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</si>
  <si>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</si>
  <si>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</si>
  <si>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</si>
  <si>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</si>
  <si>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</si>
  <si>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</si>
  <si>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</si>
  <si>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</si>
  <si>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</si>
  <si>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</si>
  <si>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</si>
  <si>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</si>
  <si>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</si>
  <si>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</si>
  <si>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</si>
  <si>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</si>
  <si>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</si>
  <si>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</si>
  <si>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</si>
  <si>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</si>
  <si>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</si>
  <si>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</si>
  <si>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</si>
  <si>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</si>
  <si>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</si>
  <si>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</si>
  <si>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</si>
  <si>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</si>
  <si>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</si>
  <si>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</si>
  <si>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</si>
  <si>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</si>
  <si>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</si>
  <si>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</si>
  <si>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</si>
  <si>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</si>
  <si>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</si>
  <si>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</si>
  <si>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</si>
  <si>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</si>
  <si>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</si>
  <si>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</si>
  <si>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</si>
  <si>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</si>
  <si>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</si>
  <si>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</si>
  <si>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</si>
  <si>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</si>
  <si>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</si>
  <si>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</si>
  <si>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</si>
  <si>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</si>
  <si>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</si>
  <si>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</si>
  <si>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</si>
  <si>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</si>
  <si>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</si>
  <si>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</si>
  <si>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</si>
  <si>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</si>
  <si>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</si>
  <si>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</si>
  <si>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</si>
  <si>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</si>
  <si>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</si>
  <si>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</si>
  <si>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</si>
  <si>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</si>
  <si>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</si>
  <si>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</si>
  <si>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</si>
  <si>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</si>
  <si>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</si>
  <si>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</si>
  <si>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</si>
  <si>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偉易達</t>
  </si>
  <si>
    <t>0303.HK</t>
  </si>
  <si>
    <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</si>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</sst>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253109133</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55.65</v>
      </c>
      <c r="D12" s="50"/>
      <c r="E12" s="48"/>
    </row>
    <row r="13" spans="1:10">
      <c r="B13" s="1" t="s">
        <v>425</v>
      </c>
      <c r="C13" s="48" t="s">
        <v>404</v>
      </c>
      <c r="D13" s="48"/>
      <c r="E13" s="5"/>
    </row>
    <row r="14" spans="1:10">
      <c r="B14" s="4" t="s">
        <v>429</v>
      </c>
      <c r="C14" s="35">
        <f>Thesis!C12*Common_Shares/1000000</f>
        <v>14085.523251449998</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7.7786</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38.719486313520228</v>
      </c>
      <c r="D25" s="1" t="s">
        <v>315</v>
      </c>
      <c r="E25" s="330">
        <v>3</v>
      </c>
    </row>
    <row r="26" spans="1:6">
      <c r="B26" s="1" t="s">
        <v>407</v>
      </c>
      <c r="C26" s="280">
        <f ca="1">Scenarios!C87</f>
        <v>0.13918053194738822</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210.2763260031652</v>
      </c>
      <c r="D35" s="1" t="str">
        <f>Reporting_currency</f>
        <v>USD</v>
      </c>
    </row>
    <row r="36" spans="2:6">
      <c r="B36" s="47"/>
      <c r="C36" s="76"/>
    </row>
    <row r="37" spans="2:6" ht="24.4" customHeight="1">
      <c r="B37" s="346" t="s">
        <v>234</v>
      </c>
      <c r="C37" s="346"/>
      <c r="D37" s="346"/>
      <c r="E37" s="346"/>
      <c r="F37" s="346"/>
    </row>
    <row r="38" spans="2:6">
      <c r="B38" s="47" t="s">
        <v>235</v>
      </c>
      <c r="C38" s="188">
        <f>Normalized_FCF!C9</f>
        <v>0</v>
      </c>
      <c r="D38" s="1" t="str">
        <f>Reporting_currency</f>
        <v>USD</v>
      </c>
    </row>
    <row r="39" spans="2:6">
      <c r="B39" s="52" t="s">
        <v>236</v>
      </c>
      <c r="C39" s="188">
        <f>Normalized_FCF!C10</f>
        <v>0</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-4.9000000000000004</v>
      </c>
      <c r="D46" s="1" t="str">
        <f>Reporting_currency</f>
        <v>USD</v>
      </c>
      <c r="E46" s="321"/>
      <c r="F46" s="321"/>
    </row>
    <row r="47" spans="2:6">
      <c r="B47" s="47" t="s">
        <v>239</v>
      </c>
      <c r="C47" s="188">
        <f>Normalized_FCF!C12</f>
        <v>-4.9000000000000004</v>
      </c>
      <c r="D47" s="1" t="str">
        <f>Reporting_currency</f>
        <v>USD</v>
      </c>
    </row>
    <row r="49" spans="2:6">
      <c r="B49" s="1" t="s">
        <v>247</v>
      </c>
    </row>
    <row r="50" spans="2:6">
      <c r="B50" s="47" t="s">
        <v>266</v>
      </c>
      <c r="C50" s="188">
        <f>Normalized_FCF!C15</f>
        <v>0</v>
      </c>
      <c r="D50" s="1" t="str">
        <f>Reporting_currency</f>
        <v>USD</v>
      </c>
    </row>
    <row r="52" spans="2:6">
      <c r="B52" s="346" t="s">
        <v>242</v>
      </c>
      <c r="C52" s="346"/>
      <c r="D52" s="346"/>
      <c r="E52" s="346"/>
      <c r="F52" s="346"/>
    </row>
    <row r="53" spans="2:6">
      <c r="B53" s="47" t="s">
        <v>240</v>
      </c>
      <c r="C53" s="188">
        <f>Normalized_FCF!C14</f>
        <v>-33.887093790522258</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199.70000000000005</v>
      </c>
      <c r="D61" s="1" t="str">
        <f>Reporting_currency</f>
        <v>USD</v>
      </c>
    </row>
    <row r="62" spans="2:6">
      <c r="B62" s="47" t="s">
        <v>249</v>
      </c>
      <c r="C62" s="188">
        <f>Normalized_FCF!C19</f>
        <v>171.48923221264295</v>
      </c>
      <c r="D62" s="1" t="str">
        <f>Reporting_currency</f>
        <v>USD</v>
      </c>
    </row>
    <row r="63" spans="2:6">
      <c r="B63" s="254" t="s">
        <v>398</v>
      </c>
      <c r="C63" s="92">
        <f>Normalized_FCF!C125</f>
        <v>9.4703343132953519E-2</v>
      </c>
    </row>
    <row r="64" spans="2:6">
      <c r="B64" s="254" t="s">
        <v>316</v>
      </c>
      <c r="C64" s="92">
        <f>Normalized_FCF!C93</f>
        <v>9.085516621743038E-2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65.878013066860788</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155.30000000000001</v>
      </c>
      <c r="D91" s="1" t="str">
        <f>Reporting_currency</f>
        <v>USD</v>
      </c>
    </row>
    <row r="92" spans="1:6">
      <c r="B92" s="47" t="s">
        <v>285</v>
      </c>
      <c r="C92" s="248">
        <f>C91*scaling_factor*Exchange_Rate/Common_Shares</f>
        <v>4.7727103549440075</v>
      </c>
      <c r="D92" s="1" t="str">
        <f>Market_currency</f>
        <v>HKD</v>
      </c>
    </row>
    <row r="93" spans="1:6">
      <c r="B93" s="336" t="s">
        <v>412</v>
      </c>
      <c r="C93" s="337">
        <f>BS!G30/BS!G27</f>
        <v>1.2907496012759174</v>
      </c>
    </row>
    <row r="94" spans="1:6">
      <c r="B94" s="336" t="s">
        <v>413</v>
      </c>
      <c r="C94" s="337">
        <f>BS!G31/BS!G27</f>
        <v>0.24768740031897937</v>
      </c>
    </row>
    <row r="95" spans="1:6">
      <c r="B95" s="336" t="s">
        <v>415</v>
      </c>
      <c r="C95" s="338">
        <f>BS!C50</f>
        <v>0.73855199466278643</v>
      </c>
    </row>
    <row r="97" spans="1:6">
      <c r="B97" s="1" t="s">
        <v>255</v>
      </c>
    </row>
    <row r="98" spans="1:6">
      <c r="B98" s="47" t="s">
        <v>265</v>
      </c>
      <c r="C98" s="188">
        <f>BS!C66</f>
        <v>150.19999999999999</v>
      </c>
      <c r="D98" s="1" t="str">
        <f>Reporting_currency</f>
        <v>USD</v>
      </c>
    </row>
    <row r="99" spans="1:6">
      <c r="B99" s="47" t="s">
        <v>267</v>
      </c>
      <c r="C99" s="188">
        <f>Valuation_Model!C8</f>
        <v>-129.13468585556711</v>
      </c>
      <c r="D99" s="1" t="str">
        <f>Reporting_currency</f>
        <v>USD</v>
      </c>
    </row>
    <row r="100" spans="1:6">
      <c r="B100" s="47" t="s">
        <v>286</v>
      </c>
      <c r="C100" s="248">
        <f>C99*scaling_factor*Exchange_Rate/Common_Shares</f>
        <v>-3.968592738991028</v>
      </c>
      <c r="D100" s="1" t="str">
        <f>Market_currency</f>
        <v>HKD</v>
      </c>
    </row>
    <row r="102" spans="1:6">
      <c r="B102" s="1" t="s">
        <v>257</v>
      </c>
    </row>
    <row r="103" spans="1:6">
      <c r="B103" s="47" t="s">
        <v>258</v>
      </c>
      <c r="C103" s="188">
        <f>Valuation_Model!C9</f>
        <v>0.39</v>
      </c>
      <c r="D103" s="1" t="str">
        <f>Reporting_currency</f>
        <v>USD</v>
      </c>
    </row>
    <row r="104" spans="1:6">
      <c r="B104" s="47" t="s">
        <v>287</v>
      </c>
      <c r="C104" s="248">
        <f>C103*scaling_factor*Exchange_Rate/Common_Shares</f>
        <v>1.1985557233922492E-2</v>
      </c>
      <c r="D104" s="1" t="str">
        <f>Market_currency</f>
        <v>HKD</v>
      </c>
    </row>
    <row r="106" spans="1:6" ht="24.4" customHeight="1">
      <c r="B106" s="345" t="s">
        <v>374</v>
      </c>
      <c r="C106" s="345"/>
      <c r="D106" s="345"/>
      <c r="E106" s="345"/>
      <c r="F106" s="345"/>
    </row>
    <row r="108" spans="1:6">
      <c r="B108" s="47" t="s">
        <v>283</v>
      </c>
      <c r="C108" s="248">
        <f>Valuation_Model!C12</f>
        <v>57.148695530159671</v>
      </c>
      <c r="D108" s="1" t="str">
        <f>Market_currency</f>
        <v>HKD</v>
      </c>
    </row>
    <row r="109" spans="1:6">
      <c r="B109" s="336" t="s">
        <v>414</v>
      </c>
      <c r="C109" s="248">
        <f>BS!D47</f>
        <v>-2.6504984195888377</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92.75 HKD</v>
      </c>
      <c r="F116" s="259">
        <f>Valuation_Model!F74</f>
        <v>0.05</v>
      </c>
    </row>
    <row r="117" spans="1:6">
      <c r="B117" s="242" t="str">
        <f>Valuation_Model!B75</f>
        <v>Optimistic</v>
      </c>
      <c r="C117" s="243">
        <f>Valuation_Model!C75</f>
        <v>0.05</v>
      </c>
      <c r="D117" s="244">
        <f>Valuation_Model!D75</f>
        <v>10</v>
      </c>
      <c r="E117" s="245" t="str">
        <f>ROUND(Valuation_Model!E75,2)&amp;" "&amp;Market_currency</f>
        <v>68.6 HKD</v>
      </c>
      <c r="F117" s="246">
        <f>Valuation_Model!F75</f>
        <v>0.18</v>
      </c>
    </row>
    <row r="118" spans="1:6">
      <c r="B118" s="242" t="str">
        <f>Valuation_Model!B76</f>
        <v>Base</v>
      </c>
      <c r="C118" s="243">
        <f>Valuation_Model!C76</f>
        <v>0.03</v>
      </c>
      <c r="D118" s="244">
        <f>Valuation_Model!D76</f>
        <v>10</v>
      </c>
      <c r="E118" s="245" t="str">
        <f>ROUND(Valuation_Model!E76,2)&amp;" "&amp;Market_currency</f>
        <v>63.69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59.22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57.15 HKD</v>
      </c>
      <c r="F120" s="246">
        <f>Valuation_Model!F78</f>
        <v>0.05</v>
      </c>
    </row>
    <row r="122" spans="1:6">
      <c r="B122" s="235" t="s">
        <v>259</v>
      </c>
      <c r="C122" s="241">
        <f>Scenarios!C60</f>
        <v>64.892912330803952</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5.0560900000000002</v>
      </c>
      <c r="D133" s="236" t="str">
        <f>Market_currency</f>
        <v>HKD</v>
      </c>
    </row>
    <row r="135" spans="2:6">
      <c r="B135" s="234" t="s">
        <v>418</v>
      </c>
      <c r="C135" s="270" t="str">
        <f>C11</f>
        <v>0303.HK</v>
      </c>
      <c r="D135" s="270" t="str">
        <f>IF(D11="","",D11)</f>
        <v/>
      </c>
    </row>
    <row r="136" spans="2:6">
      <c r="B136" s="1" t="s">
        <v>416</v>
      </c>
      <c r="C136" s="337">
        <f>C24</f>
        <v>0.3</v>
      </c>
    </row>
    <row r="137" spans="2:6">
      <c r="B137" s="236" t="str">
        <f>"PV("&amp;C131&amp;" yrs of Dividends)"</f>
        <v>PV(3 yrs of Dividends)</v>
      </c>
      <c r="C137" s="240">
        <f>Scenarios!C81</f>
        <v>9.1824301775147958</v>
      </c>
    </row>
    <row r="138" spans="2:6">
      <c r="B138" s="236" t="str">
        <f>"+ PV(Equity Value realized at year "&amp;C131&amp;")"</f>
        <v>+ PV(Equity Value realized at year 3)</v>
      </c>
      <c r="C138" s="240">
        <f>Scenarios!C82</f>
        <v>29.537056136005432</v>
      </c>
    </row>
    <row r="139" spans="2:6">
      <c r="B139" s="80" t="s">
        <v>261</v>
      </c>
      <c r="C139" s="239">
        <f>Scenarios!C83</f>
        <v>38.719486313520228</v>
      </c>
      <c r="D139" s="342" t="str">
        <f>IF($D$11="","",C139*$E$22)</f>
        <v/>
      </c>
    </row>
    <row r="140" spans="2:6">
      <c r="B140" s="290" t="s">
        <v>425</v>
      </c>
      <c r="C140" s="340" t="str">
        <f>Market_currency</f>
        <v>HKD</v>
      </c>
      <c r="D140" s="340" t="str">
        <f>IF($D$11="","",D$13)</f>
        <v/>
      </c>
    </row>
    <row r="141" spans="2:6">
      <c r="B141" s="238" t="s">
        <v>263</v>
      </c>
      <c r="C141" s="92">
        <f>Scenarios!F83</f>
        <v>0.40333258405570871</v>
      </c>
    </row>
    <row r="143" spans="2:6">
      <c r="B143" s="234" t="s">
        <v>421</v>
      </c>
    </row>
    <row r="144" spans="2:6">
      <c r="B144" s="1" t="s">
        <v>420</v>
      </c>
      <c r="C144" s="337">
        <f>Scenarios!C90</f>
        <v>0.2</v>
      </c>
    </row>
    <row r="145" spans="1:6">
      <c r="B145" s="236" t="str">
        <f>"PV("&amp;C131&amp;" yrs of Dividends)"</f>
        <v>PV(3 yrs of Dividends)</v>
      </c>
      <c r="C145" s="240">
        <f>Scenarios!C91</f>
        <v>10.650559953703702</v>
      </c>
    </row>
    <row r="146" spans="1:6">
      <c r="B146" s="236" t="str">
        <f>"+ PV(Equity Value realized at year "&amp;C131&amp;")"</f>
        <v>+ PV(Equity Value realized at year 3)</v>
      </c>
      <c r="C146" s="240">
        <f>Scenarios!C92</f>
        <v>37.553768709955989</v>
      </c>
    </row>
    <row r="147" spans="1:6">
      <c r="B147" s="80" t="s">
        <v>261</v>
      </c>
      <c r="C147" s="239">
        <f>Scenarios!C93</f>
        <v>48.204328663659695</v>
      </c>
      <c r="D147" s="342" t="str">
        <f>IF($D$11="","",C147*$E$22)</f>
        <v/>
      </c>
    </row>
    <row r="148" spans="1:6">
      <c r="B148" s="290" t="s">
        <v>425</v>
      </c>
      <c r="C148" s="340" t="str">
        <f>Market_currency</f>
        <v>HKD</v>
      </c>
      <c r="D148" s="340" t="str">
        <f>IF($D$11="","",D$13)</f>
        <v/>
      </c>
    </row>
    <row r="149" spans="1:6">
      <c r="B149" s="238" t="s">
        <v>263</v>
      </c>
      <c r="C149" s="92">
        <f>Scenarios!F93</f>
        <v>0.2571711311409639</v>
      </c>
    </row>
    <row r="151" spans="1:6">
      <c r="B151" s="234" t="s">
        <v>408</v>
      </c>
    </row>
    <row r="152" spans="1:6">
      <c r="B152" s="1" t="s">
        <v>419</v>
      </c>
      <c r="C152" s="92">
        <f>Scenarios!C96</f>
        <v>0.08</v>
      </c>
    </row>
    <row r="153" spans="1:6">
      <c r="B153" s="236" t="str">
        <f>"PV("&amp;C131&amp;" yrs of Dividends)"</f>
        <v>PV(3 yrs of Dividends)</v>
      </c>
      <c r="C153" s="240">
        <f>Scenarios!C97</f>
        <v>13.030034306254134</v>
      </c>
    </row>
    <row r="154" spans="1:6">
      <c r="B154" s="236" t="str">
        <f>"+ PV(Equity Value realized at year "&amp;C131&amp;")"</f>
        <v>+ PV(Equity Value realized at year 3)</v>
      </c>
      <c r="C154" s="240">
        <f>Scenarios!C98</f>
        <v>51.514086021887501</v>
      </c>
    </row>
    <row r="155" spans="1:6">
      <c r="B155" s="80" t="s">
        <v>409</v>
      </c>
      <c r="C155" s="239">
        <f>Scenarios!C99</f>
        <v>64.544120328141631</v>
      </c>
      <c r="D155" s="342" t="str">
        <f>IF($D$11="","",C155*$E$22)</f>
        <v/>
      </c>
    </row>
    <row r="156" spans="1:6">
      <c r="B156" s="290" t="s">
        <v>425</v>
      </c>
      <c r="C156" s="340" t="str">
        <f>Market_currency</f>
        <v>HKD</v>
      </c>
      <c r="D156" s="340" t="str">
        <f>IF($D$11="","",D$13)</f>
        <v/>
      </c>
    </row>
    <row r="157" spans="1:6">
      <c r="B157" s="238" t="s">
        <v>263</v>
      </c>
      <c r="C157" s="92">
        <f>Scenarios!F99</f>
        <v>5.3748859487811051E-3</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5.0560900000000002</v>
      </c>
      <c r="D25" s="39">
        <f>(0.17+0.42)*Exchange_Rate</f>
        <v>4.5893739999999994</v>
      </c>
      <c r="E25" s="39"/>
      <c r="F25" s="39"/>
      <c r="G25" s="39"/>
      <c r="H25" s="39"/>
      <c r="I25" s="39"/>
      <c r="J25" s="39"/>
      <c r="K25" s="39"/>
      <c r="L25" s="39"/>
      <c r="M25" s="39"/>
    </row>
    <row r="27" spans="2:13">
      <c r="B27" s="16" t="s">
        <v>28</v>
      </c>
      <c r="C27" s="97" t="s">
        <v>437</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5.0560900000000002</v>
      </c>
      <c r="D65" s="73">
        <f t="shared" ref="D65:M65" si="33">IF(D$4="","",D25)</f>
        <v>4.5893739999999994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19.269088168383075</v>
      </c>
      <c r="D47" s="148">
        <f>D46*H1/Common_Shares*Exchange_Rate</f>
        <v>-2.6504984195888377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-129.13468585556711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-269.04521302249748</v>
      </c>
      <c r="D73" s="188">
        <f>(Normalized_FCF!C25+Normalized_FCF!C35-Normalized_FCF!C91)/12</f>
        <v>-279.3346858555671</v>
      </c>
      <c r="F73" s="1" t="s">
        <v>359</v>
      </c>
    </row>
    <row r="74" spans="2:6" ht="15" customHeight="1">
      <c r="B74" s="288" t="s">
        <v>329</v>
      </c>
      <c r="C74" s="289">
        <f>-$C$66/C73</f>
        <v>0.55827047919800865</v>
      </c>
      <c r="D74" s="289">
        <f>-$C$66/D73</f>
        <v>0.53770622699417447</v>
      </c>
      <c r="F74" s="283" t="s">
        <v>327</v>
      </c>
    </row>
    <row r="75" spans="2:6" ht="15" customHeight="1">
      <c r="B75" s="80" t="s">
        <v>328</v>
      </c>
      <c r="C75" s="293"/>
      <c r="D75" s="292">
        <f>MAX(-D73*D76,G5)</f>
        <v>279.3346858555671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-1208.01658</v>
      </c>
      <c r="D86" s="248">
        <f>C86*scaling_factor/Common_Shares</f>
        <v>-4.7727103549440075</v>
      </c>
      <c r="E86" s="269" t="str">
        <f>Market_currency</f>
        <v>HKD</v>
      </c>
    </row>
    <row r="87" spans="2:8" ht="15" customHeight="1">
      <c r="B87" s="267" t="s">
        <v>294</v>
      </c>
      <c r="C87" s="188">
        <f>Valuation_Model!C8*Exchange_Rate</f>
        <v>-1004.4870673961143</v>
      </c>
      <c r="D87" s="248">
        <f>C87*scaling_factor/Common_Shares</f>
        <v>-3.968592738991028</v>
      </c>
      <c r="E87" s="269" t="str">
        <f>Market_currency</f>
        <v>HKD</v>
      </c>
    </row>
    <row r="88" spans="2:8" ht="15" customHeight="1">
      <c r="B88" s="268" t="s">
        <v>190</v>
      </c>
      <c r="C88" s="188">
        <f>Valuation_Model!C9*Exchange_Rate</f>
        <v>3.0336540000000003</v>
      </c>
      <c r="D88" s="248">
        <f>C88*scaling_factor/Common_Shares</f>
        <v>1.1985557233922493E-2</v>
      </c>
      <c r="E88" s="269" t="str">
        <f>Market_currency</f>
        <v>HKD</v>
      </c>
    </row>
    <row r="89" spans="2:8" ht="15" customHeight="1">
      <c r="B89" s="80" t="s">
        <v>298</v>
      </c>
      <c r="C89" s="187">
        <f>SUM(C86:C88)</f>
        <v>-2209.4699933961147</v>
      </c>
      <c r="D89" s="271">
        <f>SUM(D86:D88)</f>
        <v>-8.7293175367011138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439</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5.0560900000000002</v>
      </c>
      <c r="E90" s="302"/>
      <c r="G90" s="113">
        <f>Data!C65</f>
        <v>5.0560900000000002</v>
      </c>
      <c r="H90" s="113">
        <f>Data!D65</f>
        <v>4.5893739999999994</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1279.74255626997</v>
      </c>
      <c r="E91" s="302"/>
      <c r="G91" s="74">
        <f t="shared" ref="G91:Q91" si="37">IF(G$4="","",G90*Common_Shares/scaling_factor)</f>
        <v>1279.74255626997</v>
      </c>
      <c r="H91" s="74">
        <f t="shared" si="37"/>
        <v>1161.6124741527419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7.4625242632325559</v>
      </c>
      <c r="E92" s="302"/>
      <c r="G92" s="171">
        <f t="shared" ref="G92:Q92" si="38">IF(G$4="","",G90/(G19*scaling_factor/Common_Shares))</f>
        <v>6.4083252692537283</v>
      </c>
      <c r="H92" s="171">
        <f t="shared" si="38"/>
        <v>6.4569898507656651</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9.085516621743038E-2</v>
      </c>
      <c r="E93" s="302"/>
      <c r="G93" s="23">
        <f t="shared" ref="G93:Q93" si="39">IF(G$4="","",G90/Market_Price)</f>
        <v>9.085516621743038E-2</v>
      </c>
      <c r="H93" s="23">
        <f t="shared" si="39"/>
        <v>8.2468535489667552E-2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5.2702410453488628</v>
      </c>
      <c r="D124" s="27"/>
      <c r="E124" s="299"/>
      <c r="F124" s="27"/>
      <c r="G124" s="178">
        <f t="shared" ref="G124:Q124" si="49">IF(G$4="","",G16*$C$3/Common_Shares*Exchange_Rate)</f>
        <v>6.1372199477290312</v>
      </c>
      <c r="H124" s="178">
        <f t="shared" si="49"/>
        <v>5.5287224266221893</v>
      </c>
      <c r="I124" s="178">
        <f t="shared" si="49"/>
        <v>6.1679521457647217</v>
      </c>
      <c r="J124" s="178">
        <f t="shared" si="49"/>
        <v>8.282327370620802</v>
      </c>
      <c r="K124" s="178">
        <f t="shared" si="49"/>
        <v>7.3818739681748262</v>
      </c>
      <c r="L124" s="178">
        <f t="shared" si="49"/>
        <v>5.1107645333366971</v>
      </c>
      <c r="M124" s="178">
        <f t="shared" si="49"/>
        <v>6.2201968824254141</v>
      </c>
      <c r="N124" s="178">
        <f t="shared" si="49"/>
        <v>5.4979902285865005</v>
      </c>
      <c r="O124" s="178">
        <f t="shared" si="49"/>
        <v>5.5502349652471841</v>
      </c>
      <c r="P124" s="178" t="str">
        <f t="shared" si="49"/>
        <v/>
      </c>
      <c r="Q124" s="178" t="str">
        <f t="shared" si="49"/>
        <v/>
      </c>
    </row>
    <row r="125" spans="1:17" ht="15.75" customHeight="1">
      <c r="A125" s="10"/>
      <c r="B125" s="27" t="s">
        <v>270</v>
      </c>
      <c r="C125" s="77">
        <f>C19*Exchange_Rate*$C$3/(Market_Price*Common_Shares)</f>
        <v>9.4703343132953519E-2</v>
      </c>
      <c r="D125" s="27"/>
      <c r="E125" s="299"/>
      <c r="F125" s="27"/>
      <c r="G125" s="77">
        <f t="shared" ref="G125" si="50">IF(G$4="","",G124/Market_Price)</f>
        <v>0.11028247884508592</v>
      </c>
      <c r="H125" s="77">
        <f t="shared" ref="H125" si="51">IF(H$4="","",H124/Market_Price)</f>
        <v>9.9348111888988136E-2</v>
      </c>
      <c r="I125" s="77">
        <f t="shared" ref="I125" si="52">IF(I$4="","",I124/Market_Price)</f>
        <v>0.11083471960044423</v>
      </c>
      <c r="J125" s="77">
        <f t="shared" ref="J125" si="53">IF(J$4="","",J124/Market_Price)</f>
        <v>0.14882888356910695</v>
      </c>
      <c r="K125" s="77">
        <f t="shared" ref="K125" si="54">IF(K$4="","",K124/Market_Price)</f>
        <v>0.1326482294371038</v>
      </c>
      <c r="L125" s="77">
        <f t="shared" ref="L125" si="55">IF(L$4="","",L124/Market_Price)</f>
        <v>9.183763761611316E-2</v>
      </c>
      <c r="M125" s="77">
        <f t="shared" ref="M125" si="56">IF(M$4="","",M124/Market_Price)</f>
        <v>0.11177352888455372</v>
      </c>
      <c r="N125" s="77">
        <f t="shared" ref="N125" si="57">IF(N$4="","",N124/Market_Price)</f>
        <v>9.8795871133629837E-2</v>
      </c>
      <c r="O125" s="77">
        <f t="shared" ref="O125" si="58">IF(O$4="","",O124/Market_Price)</f>
        <v>9.9734680417739155E-2</v>
      </c>
      <c r="P125" s="77" t="str">
        <f t="shared" ref="P125" si="59">IF(P$4="","",P124/Market_Price)</f>
        <v/>
      </c>
      <c r="Q125" s="77" t="str">
        <f t="shared" ref="Q125" si="60">IF(Q$4="","",Q124/Market_Price)</f>
        <v/>
      </c>
    </row>
    <row r="126" spans="1:17" ht="15.75" customHeight="1">
      <c r="B126" s="2" t="s">
        <v>402</v>
      </c>
      <c r="C126" s="170"/>
      <c r="G126" s="23">
        <f>IF(G$4="","",(Data!C47*$C$3)/(Market_Price*Common_Shares))</f>
        <v>1.1827746617993037E-2</v>
      </c>
      <c r="H126" s="23">
        <f>IF(H$4="","",(Data!D47*$C$3)/(Market_Price*Common_Shares))</f>
        <v>1.0592435746726057E-2</v>
      </c>
      <c r="I126" s="23">
        <f>IF(I$4="","",(Data!E47*$C$3)/(Market_Price*Common_Shares))</f>
        <v>1.226081537171307E-2</v>
      </c>
      <c r="J126" s="23">
        <f>IF(J$4="","",(Data!F47*$C$3)/(Market_Price*Common_Shares))</f>
        <v>1.6392717251468139E-2</v>
      </c>
      <c r="K126" s="23">
        <f>IF(K$4="","",(Data!G47*$C$3)/(Market_Price*Common_Shares))</f>
        <v>1.3538723169575462E-2</v>
      </c>
      <c r="L126" s="23">
        <f>IF(L$4="","",(Data!H47*$C$3)/(Market_Price*Common_Shares))</f>
        <v>1.2161422542990439E-2</v>
      </c>
      <c r="M126" s="23">
        <f>IF(M$4="","",(Data!I47*$C$3)/(Market_Price*Common_Shares))</f>
        <v>1.4646243261056202E-2</v>
      </c>
      <c r="N126" s="23">
        <f>IF(N$4="","",(Data!J47*$C$3)/(Market_Price*Common_Shares))</f>
        <v>1.2708083100964907E-2</v>
      </c>
      <c r="O126" s="23">
        <f>IF(O$4="","",(Data!K47*$C$3)/(Market_Price*Common_Shares))</f>
        <v>1.2878470807346559E-2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2143.6154026580366</v>
      </c>
      <c r="D6" t="str">
        <f>Reporting_currency</f>
        <v>USD</v>
      </c>
      <c r="E6" s="351" t="s">
        <v>250</v>
      </c>
      <c r="F6" s="351"/>
      <c r="H6" s="121"/>
    </row>
    <row r="7" spans="2:8">
      <c r="B7" s="149" t="s">
        <v>225</v>
      </c>
      <c r="C7" s="226">
        <f>BS!G31</f>
        <v>155.30000000000001</v>
      </c>
      <c r="D7" t="str">
        <f>Reporting_currency</f>
        <v>USD</v>
      </c>
      <c r="E7" s="351"/>
      <c r="F7" s="351"/>
      <c r="H7" s="121"/>
    </row>
    <row r="8" spans="2:8">
      <c r="B8" s="149" t="s">
        <v>226</v>
      </c>
      <c r="C8" s="201">
        <f>BS!D66</f>
        <v>-129.13468585556711</v>
      </c>
      <c r="D8" t="str">
        <f>Reporting_currency</f>
        <v>USD</v>
      </c>
      <c r="E8" s="351"/>
      <c r="F8" s="351"/>
      <c r="H8" s="121"/>
    </row>
    <row r="9" spans="2:8">
      <c r="B9" s="227" t="s">
        <v>191</v>
      </c>
      <c r="C9" s="229">
        <f>BS!H42</f>
        <v>0.39</v>
      </c>
      <c r="D9" t="str">
        <f>Reporting_currency</f>
        <v>USD</v>
      </c>
      <c r="E9" s="351"/>
      <c r="F9" s="351"/>
      <c r="H9" s="121"/>
    </row>
    <row r="10" spans="2:8" ht="13.15">
      <c r="B10" s="150" t="s">
        <v>228</v>
      </c>
      <c r="C10" s="232">
        <f>C6-C7+C8+C9</f>
        <v>1859.5707168024696</v>
      </c>
      <c r="D10" t="str">
        <f>Reporting_currency</f>
        <v>USD</v>
      </c>
      <c r="H10" s="121"/>
    </row>
    <row r="11" spans="2:8" ht="13.15" thickBot="1">
      <c r="B11" s="230" t="s">
        <v>167</v>
      </c>
      <c r="C11" s="231">
        <f>Exchange_Rate</f>
        <v>7.7786</v>
      </c>
      <c r="D11" t="str">
        <f>Thesis!C15</f>
        <v>USD/HKD</v>
      </c>
      <c r="H11" s="121"/>
    </row>
    <row r="12" spans="2:8" ht="13.5" thickTop="1">
      <c r="B12" s="150" t="s">
        <v>103</v>
      </c>
      <c r="C12" s="112">
        <f>(C10*scaling_factor)/Common_Shares*Exchange_Rate</f>
        <v>57.148695530159671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64.892647274488766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57.148695530159671</v>
      </c>
      <c r="C65" s="125">
        <f>C12</f>
        <v>57.148695530159671</v>
      </c>
      <c r="D65" s="125">
        <f>C12</f>
        <v>57.148695530159671</v>
      </c>
      <c r="E65" s="142">
        <f>C12</f>
        <v>57.148695530159671</v>
      </c>
      <c r="F65" s="125">
        <f>C12</f>
        <v>57.148695530159671</v>
      </c>
      <c r="H65" s="121"/>
    </row>
    <row r="66" spans="1:8" ht="13.15">
      <c r="A66" s="144">
        <f t="shared" ref="A66:A71" si="3">A56</f>
        <v>5</v>
      </c>
      <c r="B66" s="125">
        <f t="shared" ref="B66:F71" si="4">(B56-$C$7+$C$8+$C$9)/Common_Shares*$C$3*Exchange_Rate</f>
        <v>57.148695530159657</v>
      </c>
      <c r="C66" s="125">
        <f t="shared" si="4"/>
        <v>58.203694081652934</v>
      </c>
      <c r="D66" s="125">
        <f t="shared" si="4"/>
        <v>60.3607497293576</v>
      </c>
      <c r="E66" s="125">
        <f t="shared" si="4"/>
        <v>62.582851332208861</v>
      </c>
      <c r="F66" s="125">
        <f t="shared" si="4"/>
        <v>66.044193937100715</v>
      </c>
      <c r="H66" s="121"/>
    </row>
    <row r="67" spans="1:8" ht="13.15">
      <c r="A67" s="144">
        <f t="shared" si="3"/>
        <v>10</v>
      </c>
      <c r="B67" s="125">
        <f t="shared" si="4"/>
        <v>57.148695530159657</v>
      </c>
      <c r="C67" s="125">
        <f t="shared" si="4"/>
        <v>59.224939519201975</v>
      </c>
      <c r="D67" s="125">
        <f t="shared" si="4"/>
        <v>63.68513233491673</v>
      </c>
      <c r="E67" s="125">
        <f t="shared" si="4"/>
        <v>68.59642903457798</v>
      </c>
      <c r="F67" s="125">
        <f t="shared" si="4"/>
        <v>76.928500910157368</v>
      </c>
      <c r="H67" s="121"/>
    </row>
    <row r="68" spans="1:8" ht="13.15">
      <c r="A68" s="144">
        <f t="shared" si="3"/>
        <v>15</v>
      </c>
      <c r="B68" s="125">
        <f t="shared" si="4"/>
        <v>57.148695530159657</v>
      </c>
      <c r="C68" s="125">
        <f t="shared" si="4"/>
        <v>60.457591188612597</v>
      </c>
      <c r="D68" s="125">
        <f t="shared" si="4"/>
        <v>67.906991807292314</v>
      </c>
      <c r="E68" s="125">
        <f t="shared" si="4"/>
        <v>76.647412900504776</v>
      </c>
      <c r="F68" s="125">
        <f t="shared" si="4"/>
        <v>92.753195075211181</v>
      </c>
      <c r="H68" s="121"/>
    </row>
    <row r="69" spans="1:8" ht="13.15">
      <c r="A69" s="145">
        <f t="shared" si="3"/>
        <v>20</v>
      </c>
      <c r="B69" s="125">
        <f t="shared" si="4"/>
        <v>57.148695530159642</v>
      </c>
      <c r="C69" s="125">
        <f t="shared" si="4"/>
        <v>61.681064934062384</v>
      </c>
      <c r="D69" s="125">
        <f t="shared" si="4"/>
        <v>72.326203727801555</v>
      </c>
      <c r="E69" s="125">
        <f t="shared" si="4"/>
        <v>85.564970400109843</v>
      </c>
      <c r="F69" s="125">
        <f t="shared" si="4"/>
        <v>111.940233749979</v>
      </c>
      <c r="H69" s="121"/>
    </row>
    <row r="70" spans="1:8" ht="13.15">
      <c r="A70" s="145">
        <f t="shared" si="3"/>
        <v>25</v>
      </c>
      <c r="B70" s="125">
        <f t="shared" si="4"/>
        <v>57.148695530159642</v>
      </c>
      <c r="C70" s="125">
        <f t="shared" si="4"/>
        <v>62.788810376139061</v>
      </c>
      <c r="D70" s="125">
        <f t="shared" si="4"/>
        <v>76.553521487956203</v>
      </c>
      <c r="E70" s="125">
        <f t="shared" si="4"/>
        <v>94.62057904818603</v>
      </c>
      <c r="F70" s="125">
        <f t="shared" si="4"/>
        <v>133.41562760069687</v>
      </c>
    </row>
    <row r="71" spans="1:8" ht="13.15">
      <c r="A71" s="145">
        <f t="shared" si="3"/>
        <v>30</v>
      </c>
      <c r="B71" s="125">
        <f t="shared" si="4"/>
        <v>57.148695530159642</v>
      </c>
      <c r="C71" s="125">
        <f t="shared" si="4"/>
        <v>63.73948065579755</v>
      </c>
      <c r="D71" s="125">
        <f t="shared" si="4"/>
        <v>80.39286619183018</v>
      </c>
      <c r="E71" s="125">
        <f t="shared" si="4"/>
        <v>103.37776812542148</v>
      </c>
      <c r="F71" s="125">
        <f t="shared" si="4"/>
        <v>156.44843753301163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92.753195075211181</v>
      </c>
      <c r="F74" s="143">
        <f>Scenarios!C58</f>
        <v>0.05</v>
      </c>
    </row>
    <row r="75" spans="1:8">
      <c r="B75" s="128" t="str">
        <f>Scenarios!B36</f>
        <v>Optimistic</v>
      </c>
      <c r="C75" s="143">
        <f>Scenarios!C38</f>
        <v>0.05</v>
      </c>
      <c r="D75" s="146">
        <f>Scenarios!C37</f>
        <v>10</v>
      </c>
      <c r="E75" s="136">
        <f>INDEX(B$65:F$71, MATCH(D75, A$65:A$71, 0), MATCH(C75, B$64:F$64, 0))</f>
        <v>68.59642903457798</v>
      </c>
      <c r="F75" s="143">
        <f>Scenarios!C40*(1-F$74-F$78)</f>
        <v>0.18</v>
      </c>
      <c r="H75" s="121"/>
    </row>
    <row r="76" spans="1:8">
      <c r="B76" s="128" t="str">
        <f>Scenarios!B24</f>
        <v>Base</v>
      </c>
      <c r="C76" s="143">
        <f>Scenarios!C26</f>
        <v>0.03</v>
      </c>
      <c r="D76" s="146">
        <f>Scenarios!C25</f>
        <v>10</v>
      </c>
      <c r="E76" s="136">
        <f>INDEX(B$65:F$71, MATCH(D76, A$65:A$71, 0), MATCH(C76, B$64:F$64, 0))</f>
        <v>63.68513233491673</v>
      </c>
      <c r="F76" s="143">
        <f>Scenarios!C28*(1-F$74-F$78)</f>
        <v>0.53999999999999992</v>
      </c>
      <c r="H76" s="121"/>
    </row>
    <row r="77" spans="1:8">
      <c r="B77" s="128" t="str">
        <f>Scenarios!B30</f>
        <v>Pessimistic</v>
      </c>
      <c r="C77" s="143">
        <f>Scenarios!C32</f>
        <v>0.01</v>
      </c>
      <c r="D77" s="146">
        <f>Scenarios!C31</f>
        <v>10</v>
      </c>
      <c r="E77" s="136">
        <f>INDEX(B$65:F$71, MATCH(D77, A$65:A$71, 0), MATCH(C77, B$64:F$64, 0))</f>
        <v>59.224939519201975</v>
      </c>
      <c r="F77" s="143">
        <f>Scenarios!C34*(1-F$74-F$78)</f>
        <v>0.18</v>
      </c>
      <c r="H77" s="121"/>
    </row>
    <row r="78" spans="1:8">
      <c r="B78" s="128" t="str">
        <f>Scenarios!B48</f>
        <v>Devil's advocate</v>
      </c>
      <c r="C78" s="143">
        <f>Scenarios!C50</f>
        <v>0</v>
      </c>
      <c r="D78" s="146">
        <f>Scenarios!C49</f>
        <v>15</v>
      </c>
      <c r="E78" s="136">
        <f>INDEX(B$65:F$71, MATCH(D78, A$65:A$71, 0), MATCH(C78, B$64:F$64, 0))</f>
        <v>57.148695530159657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-55.65</v>
      </c>
    </row>
    <row r="4" spans="2:9">
      <c r="B4" s="153" t="s">
        <v>147</v>
      </c>
      <c r="C4" s="121">
        <v>3</v>
      </c>
      <c r="D4" s="121"/>
      <c r="E4" s="156" t="s">
        <v>151</v>
      </c>
      <c r="F4" s="156"/>
      <c r="H4" s="276">
        <v>1</v>
      </c>
      <c r="I4" s="264">
        <f t="shared" ref="I4:I13" si="0">IF(ROW()-3 &lt; $C$76, $C$77, IF(ROW()-3 = $C$76, $C$77 + $C$60, ""))</f>
        <v>5.0560900000000002</v>
      </c>
    </row>
    <row r="5" spans="2:9">
      <c r="H5" s="276">
        <v>2</v>
      </c>
      <c r="I5" s="264">
        <f t="shared" si="0"/>
        <v>5.0560900000000002</v>
      </c>
    </row>
    <row r="6" spans="2:9" ht="13.15">
      <c r="B6" s="160" t="s">
        <v>96</v>
      </c>
      <c r="C6" s="107">
        <f>Valuation_Model!C3</f>
        <v>1000000</v>
      </c>
      <c r="E6" s="100" t="s">
        <v>282</v>
      </c>
      <c r="F6" s="100"/>
      <c r="H6" s="276">
        <v>3</v>
      </c>
      <c r="I6" s="264">
        <f t="shared" si="0"/>
        <v>69.94900233080395</v>
      </c>
    </row>
    <row r="7" spans="2:9" ht="12.75" customHeight="1">
      <c r="B7" s="100" t="s">
        <v>276</v>
      </c>
      <c r="C7" s="115">
        <f>Normalized_FCF!G8</f>
        <v>196.90000000000003</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3"/>
      <c r="H7" s="276">
        <v>4</v>
      </c>
      <c r="I7" s="264" t="str">
        <f t="shared" si="0"/>
        <v/>
      </c>
    </row>
    <row r="8" spans="2:9">
      <c r="B8" s="100" t="s">
        <v>66</v>
      </c>
      <c r="C8" s="115">
        <f>Normalized_FCF!G19</f>
        <v>199.70000000000005</v>
      </c>
      <c r="D8" t="str">
        <f>Reporting_currency</f>
        <v>USD</v>
      </c>
      <c r="E8" s="353"/>
      <c r="F8" s="353"/>
      <c r="H8" s="276">
        <v>5</v>
      </c>
      <c r="I8" s="264" t="str">
        <f t="shared" si="0"/>
        <v/>
      </c>
    </row>
    <row r="9" spans="2:9">
      <c r="B9" s="100" t="s">
        <v>57</v>
      </c>
      <c r="C9" s="201">
        <f>Normalized_FCF!C19</f>
        <v>171.48923221264295</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-3.2910954099016121E-2</v>
      </c>
      <c r="D12" s="159"/>
      <c r="E12" s="353"/>
      <c r="F12" s="353"/>
      <c r="H12" s="276">
        <v>9</v>
      </c>
      <c r="I12" s="264" t="str">
        <f t="shared" si="0"/>
        <v/>
      </c>
    </row>
    <row r="13" spans="2:9">
      <c r="B13" s="149" t="s">
        <v>153</v>
      </c>
      <c r="C13" s="159">
        <f ca="1">(Normalized_FCF!G8/OFFSET(Normalized_FCF!G8, 0, $C$4))^(1/$C$4) - 1</f>
        <v>-9.0823625892916704E-2</v>
      </c>
      <c r="E13" s="353"/>
      <c r="F13" s="353"/>
      <c r="H13" s="276">
        <v>10</v>
      </c>
      <c r="I13" s="264" t="str">
        <f t="shared" si="0"/>
        <v/>
      </c>
    </row>
    <row r="14" spans="2:9">
      <c r="B14" s="100" t="s">
        <v>66</v>
      </c>
      <c r="C14" s="159">
        <f ca="1">(Normalized_FCF!G19/OFFSET(Normalized_FCF!G19, 0, $C$4))^(1/$C$4) - 1</f>
        <v>-9.5087824202677584E-2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55.65</v>
      </c>
      <c r="D21" t="str">
        <f>Market_currency</f>
        <v>HKD</v>
      </c>
      <c r="E21" s="354"/>
      <c r="F21" s="354"/>
    </row>
    <row r="22" spans="2:6">
      <c r="B22" s="100" t="s">
        <v>281</v>
      </c>
      <c r="C22" s="161">
        <f>Valuation_Model!C12</f>
        <v>57.148695530159671</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0.03</v>
      </c>
      <c r="D26" s="165"/>
      <c r="E26" s="352"/>
      <c r="F26" s="352"/>
    </row>
    <row r="27" spans="2:6">
      <c r="B27" s="100" t="s">
        <v>114</v>
      </c>
      <c r="C27" s="161">
        <f>Valuation_Model!E76</f>
        <v>63.68513233491673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59.224939519201975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0.05</v>
      </c>
      <c r="D38" s="165"/>
      <c r="E38" s="352"/>
      <c r="F38" s="352"/>
    </row>
    <row r="39" spans="2:6">
      <c r="B39" s="100" t="s">
        <v>114</v>
      </c>
      <c r="C39" s="161">
        <f>Valuation_Model!E75</f>
        <v>68.59642903457798</v>
      </c>
      <c r="D39" t="str">
        <f>Market_currency</f>
        <v>HKD</v>
      </c>
      <c r="E39" s="352"/>
      <c r="F39" s="352"/>
    </row>
    <row r="40" spans="2:6">
      <c r="B40" s="100" t="s">
        <v>148</v>
      </c>
      <c r="C40" s="168">
        <f>1-C28-C34</f>
        <v>0.2</v>
      </c>
      <c r="D40" s="166"/>
      <c r="E40" s="352"/>
      <c r="F40" s="352"/>
    </row>
    <row r="42" spans="2:6" ht="13.15">
      <c r="B42" s="100" t="s">
        <v>121</v>
      </c>
      <c r="C42" s="155">
        <f>C27*C28+C33*C34+C39*C40</f>
        <v>63.775353111706025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57.148695530159657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92.753195075211181</v>
      </c>
      <c r="D57" t="str">
        <f>Market_currency</f>
        <v>HKD</v>
      </c>
      <c r="E57" s="352"/>
      <c r="F57" s="352"/>
    </row>
    <row r="58" spans="2:6">
      <c r="B58" s="100" t="s">
        <v>148</v>
      </c>
      <c r="C58" s="166">
        <v>0.05</v>
      </c>
      <c r="D58" s="166"/>
      <c r="E58" s="352"/>
      <c r="F58" s="352"/>
    </row>
    <row r="60" spans="2:6" ht="13.15">
      <c r="B60" s="100" t="s">
        <v>121</v>
      </c>
      <c r="C60" s="155">
        <f>C51*C52+C57*C58+C42*(1-C52-C58)</f>
        <v>64.892912330803952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64.892647274488766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-0.13451881296684234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5.0560900000000002</v>
      </c>
      <c r="D77" t="str">
        <f>Market_currency</f>
        <v>HKD</v>
      </c>
    </row>
    <row r="79" spans="2:6" ht="13.15">
      <c r="B79" s="109" t="s">
        <v>308</v>
      </c>
    </row>
    <row r="80" spans="2:6">
      <c r="B80" s="149" t="s">
        <v>306</v>
      </c>
      <c r="C80" s="168">
        <f>Thesis!C132</f>
        <v>0.3</v>
      </c>
    </row>
    <row r="81" spans="2:8">
      <c r="B81" s="100" t="s">
        <v>122</v>
      </c>
      <c r="C81" s="117">
        <f>PV(C80, C76, -C77, 0)</f>
        <v>9.1824301775147958</v>
      </c>
      <c r="D81" s="117"/>
      <c r="E81" s="100"/>
      <c r="F81" s="100"/>
    </row>
    <row r="82" spans="2:8">
      <c r="B82" s="100" t="s">
        <v>123</v>
      </c>
      <c r="C82" s="117">
        <f>C60/(1+C80)^C76</f>
        <v>29.537056136005432</v>
      </c>
      <c r="D82" s="117"/>
    </row>
    <row r="83" spans="2:8" ht="13.15">
      <c r="B83" s="111" t="s">
        <v>102</v>
      </c>
      <c r="C83" s="112">
        <f>C81+C82</f>
        <v>38.719486313520228</v>
      </c>
      <c r="D83" t="str">
        <f>Market_currency</f>
        <v>HKD</v>
      </c>
      <c r="E83" s="147" t="s">
        <v>127</v>
      </c>
      <c r="F83" s="329">
        <f>(1-C83/C60)</f>
        <v>0.40333258405570871</v>
      </c>
    </row>
    <row r="84" spans="2:8">
      <c r="E84" s="121"/>
    </row>
    <row r="85" spans="2:8" ht="13.15">
      <c r="B85" s="109" t="s">
        <v>309</v>
      </c>
    </row>
    <row r="86" spans="2:8">
      <c r="B86" s="149" t="s">
        <v>307</v>
      </c>
      <c r="C86" s="266">
        <f>Market_Price</f>
        <v>55.65</v>
      </c>
      <c r="D86" t="str">
        <f>Market_currency</f>
        <v>HKD</v>
      </c>
    </row>
    <row r="87" spans="2:8" ht="13.15">
      <c r="B87" s="100" t="s">
        <v>305</v>
      </c>
      <c r="C87" s="265">
        <f ca="1">IRR(OFFSET($I$3, 0, 0, $C$76 + 1, 1))</f>
        <v>0.13918053194738822</v>
      </c>
    </row>
    <row r="88" spans="2:8">
      <c r="B88" s="100"/>
    </row>
    <row r="89" spans="2:8" ht="13.15">
      <c r="B89" s="109" t="s">
        <v>422</v>
      </c>
    </row>
    <row r="90" spans="2:8">
      <c r="B90" s="149" t="s">
        <v>423</v>
      </c>
      <c r="C90" s="168">
        <f>Thesis!E24</f>
        <v>0.2</v>
      </c>
    </row>
    <row r="91" spans="2:8">
      <c r="B91" s="100" t="s">
        <v>122</v>
      </c>
      <c r="C91" s="117">
        <f>PV(C90, C76, -C77, 0)</f>
        <v>10.650559953703702</v>
      </c>
      <c r="D91" s="117"/>
      <c r="E91" s="100"/>
      <c r="F91" s="100"/>
    </row>
    <row r="92" spans="2:8">
      <c r="B92" s="100" t="s">
        <v>123</v>
      </c>
      <c r="C92" s="117">
        <f>C60/(1+C90)^C76</f>
        <v>37.553768709955989</v>
      </c>
      <c r="D92" s="117"/>
    </row>
    <row r="93" spans="2:8" ht="13.15">
      <c r="B93" s="111" t="s">
        <v>102</v>
      </c>
      <c r="C93" s="112">
        <f>C91+C92</f>
        <v>48.204328663659695</v>
      </c>
      <c r="D93" t="str">
        <f>Market_currency</f>
        <v>HKD</v>
      </c>
      <c r="E93" s="147" t="s">
        <v>127</v>
      </c>
      <c r="F93" s="329">
        <f>(1-C93/C60)</f>
        <v>0.2571711311409639</v>
      </c>
    </row>
    <row r="95" spans="2:8" ht="13.15">
      <c r="B95" s="109" t="s">
        <v>405</v>
      </c>
      <c r="G95" s="2"/>
      <c r="H95" s="316"/>
    </row>
    <row r="96" spans="2:8">
      <c r="B96" s="149" t="s">
        <v>411</v>
      </c>
      <c r="C96" s="135">
        <f>Thesis!C72</f>
        <v>0.08</v>
      </c>
      <c r="G96" s="2"/>
      <c r="H96" s="316"/>
    </row>
    <row r="97" spans="2:8">
      <c r="B97" s="100" t="s">
        <v>122</v>
      </c>
      <c r="C97" s="117">
        <f>PV(C96, C76, -C77, 0)</f>
        <v>13.030034306254134</v>
      </c>
      <c r="D97" s="117"/>
      <c r="G97" s="2"/>
      <c r="H97" s="316"/>
    </row>
    <row r="98" spans="2:8">
      <c r="B98" s="100" t="s">
        <v>123</v>
      </c>
      <c r="C98" s="117">
        <f>C60/(1+C96)^C76</f>
        <v>51.514086021887501</v>
      </c>
      <c r="D98" s="117"/>
      <c r="G98" s="2"/>
      <c r="H98" s="316"/>
    </row>
    <row r="99" spans="2:8" ht="13.15">
      <c r="B99" s="111" t="s">
        <v>406</v>
      </c>
      <c r="C99" s="112">
        <f>C97+C98</f>
        <v>64.544120328141631</v>
      </c>
      <c r="D99" t="s">
        <v>404</v>
      </c>
      <c r="E99" s="147" t="s">
        <v>127</v>
      </c>
      <c r="F99" s="329">
        <f>(1-C99/C60)</f>
        <v>5.3748859487811051E-3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