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06E61DEB-7244-E04A-88B5-886F8D00E16F}" xr6:coauthVersionLast="47" xr6:coauthVersionMax="47" xr10:uidLastSave="{00000000-0000-0000-0000-000000000000}"/>
  <bookViews>
    <workbookView xWindow="2840" yWindow="148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C62" i="10"/>
  <c r="C64" i="10"/>
  <c r="C66" i="10"/>
  <c r="B66" i="10"/>
  <c r="E66" i="10"/>
  <c r="D61" i="10"/>
  <c r="E61" i="10"/>
  <c r="B64" i="10"/>
  <c r="F63" i="10"/>
  <c r="D62" i="10"/>
  <c r="D64" i="10"/>
  <c r="D66" i="10"/>
  <c r="B61" i="10"/>
  <c r="E64" i="10"/>
  <c r="C65" i="10"/>
  <c r="D65" i="10"/>
  <c r="F61" i="10"/>
  <c r="E62" i="10"/>
  <c r="F66" i="10"/>
  <c r="C63" i="10"/>
  <c r="B62" i="10"/>
  <c r="D63" i="10"/>
  <c r="E65" i="10"/>
  <c r="F65" i="10"/>
  <c r="F62" i="10"/>
  <c r="F64" i="10"/>
  <c r="C61" i="10"/>
  <c r="B63" i="10"/>
  <c r="E63" i="10"/>
  <c r="B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59" i="2" l="1"/>
  <c r="C67" i="2"/>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C4" i="2"/>
  <c r="C33"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70" i="8"/>
  <c r="E66" i="8"/>
  <c r="D71" i="8"/>
  <c r="D70" i="8"/>
  <c r="B70" i="8"/>
  <c r="B68" i="8"/>
  <c r="B67" i="8"/>
  <c r="G54" i="2"/>
  <c r="C54" i="2" s="1"/>
  <c r="F71" i="8" l="1"/>
  <c r="C67" i="8"/>
  <c r="E70" i="8"/>
  <c r="F66" i="8"/>
  <c r="C66" i="8"/>
  <c r="C96" i="6"/>
  <c r="C97" i="6" s="1"/>
  <c r="B66" i="8"/>
  <c r="E67" i="8"/>
  <c r="D69"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82" i="9" s="1"/>
  <c r="I6" i="9" l="1"/>
  <c r="C87" i="9" s="1"/>
  <c r="C98" i="9"/>
  <c r="C99" i="9" s="1"/>
  <c r="F72" i="9"/>
  <c r="C72" i="9" s="1"/>
  <c r="C104" i="9"/>
  <c r="C167" i="6" s="1"/>
  <c r="C92" i="9"/>
  <c r="C151" i="6" s="1"/>
  <c r="C127" i="6"/>
  <c r="C26" i="6" s="1"/>
  <c r="C83" i="9"/>
  <c r="F83" i="9" s="1"/>
  <c r="C143" i="6"/>
  <c r="H76" i="2"/>
  <c r="H120" i="2"/>
  <c r="H116" i="2" s="1"/>
  <c r="H13" i="2"/>
  <c r="C105" i="9" l="1"/>
  <c r="C168" i="6" s="1"/>
  <c r="C32" i="6" s="1"/>
  <c r="C159" i="6"/>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<sst xmlns="http://schemas.openxmlformats.org/spreadsheetml/2006/main" count="682" uniqueCount="463">
  <si>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</si>
  <si>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</si>
  <si>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</si>
  <si>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</si>
  <si>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</si>
  <si>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</si>
  <si>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</si>
  <si>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</si>
  <si>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</si>
  <si>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</si>
  <si>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</si>
  <si>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</si>
  <si>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</si>
  <si>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</si>
  <si>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</si>
  <si>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</si>
  <si>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</si>
  <si>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</si>
  <si>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</si>
  <si>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</si>
  <si>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</si>
  <si>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</si>
  <si>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</si>
  <si>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</si>
  <si>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</si>
  <si>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</si>
  <si>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</si>
  <si>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</si>
  <si>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</si>
  <si>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</si>
  <si>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</si>
  <si>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</si>
  <si>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</si>
  <si>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</si>
  <si>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</si>
  <si>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</si>
  <si>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</si>
  <si>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</si>
  <si>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</si>
  <si>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</si>
  <si>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</si>
  <si>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</si>
  <si>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</si>
  <si>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</si>
  <si>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</si>
  <si>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</si>
  <si>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</si>
  <si>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</si>
  <si>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</si>
  <si>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</si>
  <si>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</si>
  <si>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</si>
  <si>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</si>
  <si>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</si>
  <si>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</si>
  <si>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</si>
  <si>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</si>
  <si>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</si>
  <si>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</si>
  <si>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</si>
  <si>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</si>
  <si>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</si>
  <si>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</si>
  <si>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</si>
  <si>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</si>
  <si>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</si>
  <si>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</si>
  <si>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</si>
  <si>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</si>
  <si>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</si>
  <si>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</si>
  <si>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</si>
  <si>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</si>
  <si>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</si>
  <si>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</si>
  <si>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</si>
  <si>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</si>
  <si>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</si>
  <si>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</si>
  <si>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</si>
  <si>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</si>
  <si>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</si>
  <si>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</si>
  <si>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</si>
  <si>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</si>
  <si>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</si>
  <si>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</si>
  <si>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</si>
  <si>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</si>
  <si>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</si>
  <si>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</si>
  <si>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</si>
  <si>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</si>
  <si>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</si>
  <si>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</si>
  <si>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</si>
  <si>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</si>
  <si>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</si>
  <si>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</si>
  <si>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</si>
  <si>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</si>
  <si>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</si>
  <si>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</si>
  <si>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</si>
  <si>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</si>
  <si>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</si>
  <si>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</si>
  <si>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</si>
  <si>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</si>
  <si>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</si>
  <si>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</si>
  <si>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</si>
  <si>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</si>
  <si>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</si>
  <si>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</si>
  <si>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</si>
  <si>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</si>
  <si>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</si>
  <si>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</si>
  <si>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</si>
  <si>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</si>
  <si>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</si>
  <si>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</si>
  <si>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</si>
  <si>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</si>
  <si>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</si>
  <si>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</si>
  <si>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</si>
  <si>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</si>
  <si>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</si>
  <si>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</si>
  <si>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</si>
  <si>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</si>
  <si>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</si>
  <si>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</si>
  <si>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</si>
  <si>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</si>
  <si>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</si>
  <si>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</si>
  <si>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</si>
  <si>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</si>
  <si>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</si>
  <si>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</si>
  <si>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</si>
  <si>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</si>
  <si>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</si>
  <si>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</si>
  <si>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</si>
  <si>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</si>
  <si>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</si>
  <si>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</si>
  <si>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</si>
  <si>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</si>
  <si>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</si>
  <si>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</si>
  <si>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</si>
  <si>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</si>
  <si>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</si>
  <si>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</si>
  <si>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</si>
  <si>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</si>
  <si>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</si>
  <si>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</si>
  <si>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</si>
  <si>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</si>
  <si>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</si>
  <si>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</si>
  <si>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</si>
  <si>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</si>
  <si>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</si>
  <si>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</si>
  <si>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</si>
  <si>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</si>
  <si>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</si>
  <si>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</si>
  <si>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</si>
  <si>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</si>
  <si>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</si>
  <si>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</si>
  <si>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</si>
  <si>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</si>
  <si>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</si>
  <si>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</si>
  <si>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</si>
  <si>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</si>
  <si>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</si>
  <si>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</si>
  <si>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</si>
  <si>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</si>
  <si>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</si>
  <si>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</si>
  <si>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</si>
  <si>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</si>
  <si>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</si>
  <si>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</si>
  <si>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</si>
  <si>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</si>
  <si>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</si>
  <si>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</si>
  <si>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</si>
  <si>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</si>
  <si>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</si>
  <si>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</si>
  <si>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</si>
  <si>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</si>
  <si>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</si>
  <si>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</si>
  <si>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</si>
  <si>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</si>
  <si>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</si>
  <si>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</si>
  <si>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</si>
  <si>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</si>
  <si>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</si>
  <si>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</si>
  <si>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</si>
  <si>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</si>
  <si>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</si>
  <si>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</si>
  <si>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</si>
  <si>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</si>
  <si>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</si>
  <si>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</si>
  <si>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</si>
  <si>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</si>
  <si>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</si>
  <si>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</si>
  <si>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</si>
  <si>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</si>
  <si>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</si>
  <si>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</si>
  <si>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</si>
  <si>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</si>
  <si>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</si>
  <si>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</si>
  <si>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</si>
  <si>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</si>
  <si>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</si>
  <si>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</si>
  <si>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</si>
  <si>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</si>
  <si>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</si>
  <si>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</si>
  <si>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</si>
  <si>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</si>
  <si>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</si>
  <si>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</si>
  <si>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</si>
  <si>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</si>
  <si>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</si>
  <si>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</si>
  <si>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</si>
  <si>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</si>
  <si>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</si>
  <si>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</si>
  <si>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</si>
  <si>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</si>
  <si>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</si>
  <si>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</si>
  <si>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</si>
  <si>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</si>
  <si>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</si>
  <si>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</si>
  <si>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</si>
  <si>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</si>
  <si>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</si>
  <si>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</si>
  <si>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</si>
  <si>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</si>
  <si>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</si>
  <si>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</si>
  <si>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</si>
  <si>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</si>
  <si>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</si>
  <si>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</si>
  <si>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</si>
  <si>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</si>
  <si>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</si>
  <si>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</si>
  <si>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</si>
  <si>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</si>
  <si>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</si>
  <si>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</si>
  <si>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</si>
  <si>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</si>
  <si>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</si>
  <si>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</si>
  <si>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</si>
  <si>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</si>
  <si>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</si>
  <si>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</si>
  <si>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</si>
  <si>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</si>
  <si>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</si>
  <si>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</si>
  <si>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</si>
  <si>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</si>
  <si>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</si>
  <si>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</si>
  <si>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</si>
  <si>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</si>
  <si>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</si>
  <si>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</si>
  <si>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</si>
  <si>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</si>
  <si>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</si>
  <si>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</si>
  <si>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</si>
  <si>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</si>
  <si>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</si>
  <si>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</si>
  <si>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</si>
  <si>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</si>
  <si>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</si>
  <si>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</si>
  <si>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</si>
  <si>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</si>
  <si>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</si>
  <si>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</si>
  <si>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</si>
  <si>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</si>
  <si>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</si>
  <si>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</si>
  <si>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</si>
  <si>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</si>
  <si>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</si>
  <si>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</si>
  <si>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</si>
  <si>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</si>
  <si>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</si>
  <si>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</si>
  <si>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</si>
  <si>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</si>
  <si>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</si>
  <si>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</si>
  <si>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</si>
  <si>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</si>
  <si>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</si>
  <si>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</si>
  <si>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</si>
  <si>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</si>
  <si>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</si>
  <si>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</si>
  <si>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</si>
  <si>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</si>
  <si>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</si>
  <si>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</si>
  <si>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</si>
  <si>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</si>
  <si>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</si>
  <si>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</si>
  <si>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</si>
  <si>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</si>
  <si>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</si>
  <si>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</si>
  <si>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</si>
  <si>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</si>
  <si>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</si>
  <si>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</si>
  <si>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</si>
  <si>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</si>
  <si>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</si>
  <si>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</si>
  <si>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</si>
  <si>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</si>
  <si>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</si>
  <si>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</si>
  <si>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</si>
  <si>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</si>
  <si>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</si>
  <si>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</si>
  <si>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</si>
  <si>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</si>
  <si>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</si>
  <si>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</si>
  <si>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</si>
  <si>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</si>
  <si>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</si>
  <si>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</si>
  <si>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</si>
  <si>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</si>
  <si>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</si>
  <si>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</si>
  <si>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</si>
  <si>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</si>
  <si>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</si>
  <si>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</si>
  <si>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</si>
  <si>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</si>
  <si>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</si>
  <si>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</si>
  <si>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</si>
  <si>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</si>
  <si>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</si>
  <si>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</si>
  <si>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</si>
  <si>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</si>
  <si>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</si>
  <si>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</si>
  <si>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</si>
  <si>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</si>
  <si>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</si>
  <si>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</si>
  <si>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</si>
  <si>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</si>
  <si>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</si>
  <si>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</si>
  <si>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</si>
  <si>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</si>
  <si>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</si>
  <si>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</si>
  <si>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</si>
  <si>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</si>
  <si>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</si>
  <si>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</si>
  <si>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</si>
  <si>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</si>
  <si>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</si>
  <si>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</si>
  <si>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</si>
  <si>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</si>
  <si>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</si>
  <si>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</si>
  <si>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</si>
  <si>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</si>
  <si>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</si>
  <si>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</si>
  <si>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</si>
  <si>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</si>
  <si>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</si>
  <si>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</si>
  <si>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</si>
  <si>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</si>
  <si>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</si>
  <si>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</si>
  <si>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</si>
  <si>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</si>
  <si>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</si>
  <si>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</si>
  <si>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</si>
  <si>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</si>
  <si>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</si>
  <si>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</si>
  <si>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</si>
  <si>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</si>
  <si>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</si>
  <si>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</si>
  <si>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</si>
  <si>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</si>
  <si>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</si>
  <si>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</si>
  <si>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</si>
  <si>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偉易達</t>
  </si>
  <si>
    <t>0303.HK</t>
  </si>
  <si>
    <t/>
  </si>
  <si>
    <t>CNS_02</t>
  </si>
  <si>
    <t>N</t>
  </si>
  <si>
    <t>USD</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</si>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</sst>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4" sqref="D4"/>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46" t="s">
        <v>462</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253109133</v>
      </c>
      <c r="E6" s="48"/>
    </row>
    <row r="7" spans="1:10" x14ac:dyDescent="0.15">
      <c r="B7" s="2" t="s">
        <v>308</v>
      </c>
      <c r="C7" s="272">
        <v>6</v>
      </c>
      <c r="D7" s="48"/>
      <c r="E7" s="48"/>
    </row>
    <row r="8" spans="1:10" x14ac:dyDescent="0.15">
      <c r="B8" s="1" t="s">
        <v>269</v>
      </c>
      <c r="C8" s="33">
        <f>EOMONTH(EDATE(BS!C1,C7+2),0)</f>
        <v>45808</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51.75</v>
      </c>
      <c r="D12" s="50"/>
      <c r="E12" s="48"/>
    </row>
    <row r="13" spans="1:10" x14ac:dyDescent="0.15">
      <c r="B13" s="1" t="s">
        <v>417</v>
      </c>
      <c r="C13" s="48" t="s">
        <v>397</v>
      </c>
      <c r="D13" s="48"/>
      <c r="E13" s="5"/>
    </row>
    <row r="14" spans="1:10" x14ac:dyDescent="0.15">
      <c r="B14" s="4" t="s">
        <v>421</v>
      </c>
      <c r="C14" s="35">
        <f>Thesis!C12*Common_Shares/1000000</f>
        <v>13098.39763275</v>
      </c>
      <c r="D14" s="35" t="str">
        <f>IF(D11="","",Thesis!D12*Common_Shares/1000000)</f>
        <v/>
      </c>
      <c r="E14" s="5"/>
    </row>
    <row r="15" spans="1:10" x14ac:dyDescent="0.15">
      <c r="B15" s="4" t="s">
        <v>420</v>
      </c>
      <c r="C15" s="32" t="str">
        <f>IF(C25=C13,C13,C25&amp;"/"&amp;C13)</f>
        <v>USD/HKD</v>
      </c>
      <c r="D15" s="32" t="str">
        <f>IF(D11="","",IF(C25=D13,D13,C25&amp;"/"&amp;D13))</f>
        <v/>
      </c>
      <c r="E15" s="5"/>
    </row>
    <row r="16" spans="1:10" x14ac:dyDescent="0.15">
      <c r="B16" s="4" t="s">
        <v>1</v>
      </c>
      <c r="C16" s="50">
        <v>7.8137999999999996</v>
      </c>
      <c r="D16" s="50"/>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38" t="s">
        <v>458</v>
      </c>
    </row>
    <row r="22" spans="2:6" x14ac:dyDescent="0.15">
      <c r="B22" s="2" t="s">
        <v>56</v>
      </c>
      <c r="C22" s="48" t="s">
        <v>455</v>
      </c>
      <c r="D22" s="1" t="str">
        <f>IF(valuation_method="DDM","DDM Terminal Value","")</f>
        <v/>
      </c>
      <c r="E22" s="343"/>
    </row>
    <row r="23" spans="2:6" x14ac:dyDescent="0.15">
      <c r="B23" s="1" t="s">
        <v>435</v>
      </c>
      <c r="C23" s="286" t="s">
        <v>456</v>
      </c>
    </row>
    <row r="24" spans="2:6" x14ac:dyDescent="0.15">
      <c r="B24" s="1" t="s">
        <v>436</v>
      </c>
      <c r="C24" s="286" t="s">
        <v>456</v>
      </c>
    </row>
    <row r="25" spans="2:6" x14ac:dyDescent="0.15">
      <c r="B25" s="4" t="s">
        <v>348</v>
      </c>
      <c r="C25" s="48" t="s">
        <v>457</v>
      </c>
      <c r="D25" s="32" t="str">
        <f>IF(D11="","",Market_currency&amp;"/"&amp;D13&amp;":")</f>
        <v/>
      </c>
      <c r="E25" s="329" t="str">
        <f>IF(D11="","",1/Exchange_Rate*D16)</f>
        <v/>
      </c>
    </row>
    <row r="26" spans="2:6" x14ac:dyDescent="0.15">
      <c r="B26" s="1" t="str">
        <f>"Expected Equity Value ("&amp;C13&amp;") :"</f>
        <v>Expected Equity Value (HKD) :</v>
      </c>
      <c r="C26" s="334">
        <f>C127</f>
        <v>65.171669755574641</v>
      </c>
      <c r="D26" s="1" t="s">
        <v>400</v>
      </c>
      <c r="E26" s="331">
        <f ca="1">Scenarios!C87</f>
        <v>0.17133897517982155</v>
      </c>
    </row>
    <row r="27" spans="2:6" x14ac:dyDescent="0.15">
      <c r="D27" s="5"/>
      <c r="E27" s="5"/>
    </row>
    <row r="28" spans="2:6" x14ac:dyDescent="0.15">
      <c r="B28" s="45" t="s">
        <v>434</v>
      </c>
      <c r="C28" s="339" t="str">
        <f>C140&amp;" ("&amp;Market_currency&amp;")"</f>
        <v>0303.HK (HKD)</v>
      </c>
      <c r="D28" s="339" t="str">
        <f>IF(D11="","",D140&amp;" ("&amp;D13&amp;")")</f>
        <v/>
      </c>
      <c r="E28" s="335" t="s">
        <v>430</v>
      </c>
      <c r="F28" s="333">
        <v>3</v>
      </c>
    </row>
    <row r="29" spans="2:6" x14ac:dyDescent="0.15">
      <c r="B29" s="1" t="s">
        <v>426</v>
      </c>
      <c r="C29" s="340">
        <f>C144</f>
        <v>31.820692039203585</v>
      </c>
      <c r="D29" s="340" t="str">
        <f>D144</f>
        <v/>
      </c>
      <c r="E29" s="336" t="s">
        <v>425</v>
      </c>
      <c r="F29" s="332">
        <v>0.4</v>
      </c>
    </row>
    <row r="30" spans="2:6" x14ac:dyDescent="0.15">
      <c r="B30" s="1" t="s">
        <v>427</v>
      </c>
      <c r="C30" s="341">
        <f>C152</f>
        <v>46.53485696680815</v>
      </c>
      <c r="D30" s="341" t="str">
        <f>D152</f>
        <v/>
      </c>
      <c r="E30" s="337" t="s">
        <v>438</v>
      </c>
      <c r="F30" s="342">
        <v>0.21740000000000001</v>
      </c>
    </row>
    <row r="31" spans="2:6" x14ac:dyDescent="0.15">
      <c r="B31" s="1" t="s">
        <v>428</v>
      </c>
      <c r="C31" s="341">
        <f>C160</f>
        <v>64.824370938416592</v>
      </c>
      <c r="D31" s="341" t="str">
        <f>D160</f>
        <v/>
      </c>
      <c r="E31" s="337" t="s">
        <v>437</v>
      </c>
      <c r="F31" s="342">
        <v>0.08</v>
      </c>
    </row>
    <row r="32" spans="2:6" x14ac:dyDescent="0.15">
      <c r="B32" s="1" t="s">
        <v>429</v>
      </c>
      <c r="C32" s="341">
        <f>C168</f>
        <v>58.966010525985226</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1000000</v>
      </c>
    </row>
    <row r="40" spans="1:6" ht="24.5" customHeight="1" x14ac:dyDescent="0.15">
      <c r="B40" s="348" t="s">
        <v>232</v>
      </c>
      <c r="C40" s="348"/>
      <c r="D40" s="348"/>
      <c r="E40" s="348"/>
      <c r="F40" s="348"/>
    </row>
    <row r="41" spans="1:6" x14ac:dyDescent="0.15">
      <c r="B41" s="47" t="s">
        <v>233</v>
      </c>
      <c r="C41" s="76">
        <f>Normalized_FCF!C8</f>
        <v>210.2763260031652</v>
      </c>
      <c r="D41" s="1" t="str">
        <f>Reporting_currency</f>
        <v>USD</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0</v>
      </c>
      <c r="D44" s="1" t="str">
        <f>Reporting_currency</f>
        <v>USD</v>
      </c>
    </row>
    <row r="45" spans="1:6" x14ac:dyDescent="0.15">
      <c r="B45" s="52" t="s">
        <v>236</v>
      </c>
      <c r="C45" s="76">
        <f>Normalized_FCF!C10</f>
        <v>0</v>
      </c>
      <c r="D45" s="1" t="str">
        <f>Reporting_currency</f>
        <v>USD</v>
      </c>
    </row>
    <row r="47" spans="1:6" x14ac:dyDescent="0.15">
      <c r="B47" s="348" t="s">
        <v>237</v>
      </c>
      <c r="C47" s="348"/>
      <c r="D47" s="348"/>
      <c r="E47" s="348"/>
      <c r="F47" s="348"/>
    </row>
    <row r="48" spans="1:6" x14ac:dyDescent="0.15">
      <c r="B48" s="47" t="s">
        <v>238</v>
      </c>
      <c r="C48" s="76">
        <f>Normalized_FCF!C11</f>
        <v>0</v>
      </c>
      <c r="D48" s="1" t="str">
        <f>Reporting_currency</f>
        <v>USD</v>
      </c>
    </row>
    <row r="50" spans="2:6" x14ac:dyDescent="0.15">
      <c r="B50" s="348" t="s">
        <v>241</v>
      </c>
      <c r="C50" s="348"/>
      <c r="D50" s="348"/>
      <c r="E50" s="348"/>
      <c r="F50" s="348"/>
    </row>
    <row r="51" spans="2:6" x14ac:dyDescent="0.15">
      <c r="B51" s="47" t="s">
        <v>341</v>
      </c>
      <c r="C51" s="312">
        <f>Normalized_FCF!C48</f>
        <v>0</v>
      </c>
      <c r="D51" s="1" t="str">
        <f>Reporting_currency</f>
        <v>USD</v>
      </c>
      <c r="E51" s="311"/>
      <c r="F51" s="311"/>
    </row>
    <row r="52" spans="2:6" x14ac:dyDescent="0.15">
      <c r="B52" s="47" t="s">
        <v>342</v>
      </c>
      <c r="C52" s="312">
        <f>Normalized_FCF!C47</f>
        <v>-4.9000000000000004</v>
      </c>
      <c r="D52" s="1" t="str">
        <f>Reporting_currency</f>
        <v>USD</v>
      </c>
      <c r="E52" s="311"/>
      <c r="F52" s="311"/>
    </row>
    <row r="53" spans="2:6" x14ac:dyDescent="0.15">
      <c r="B53" s="47" t="s">
        <v>239</v>
      </c>
      <c r="C53" s="76">
        <f>Normalized_FCF!C12</f>
        <v>-4.9000000000000004</v>
      </c>
      <c r="D53" s="1" t="str">
        <f>Reporting_currency</f>
        <v>USD</v>
      </c>
    </row>
    <row r="55" spans="2:6" x14ac:dyDescent="0.15">
      <c r="B55" s="1" t="s">
        <v>247</v>
      </c>
    </row>
    <row r="56" spans="2:6" x14ac:dyDescent="0.15">
      <c r="B56" s="47" t="s">
        <v>266</v>
      </c>
      <c r="C56" s="76">
        <f>Normalized_FCF!C15</f>
        <v>0</v>
      </c>
      <c r="D56" s="1" t="str">
        <f>Reporting_currency</f>
        <v>USD</v>
      </c>
    </row>
    <row r="58" spans="2:6" x14ac:dyDescent="0.15">
      <c r="B58" s="348" t="s">
        <v>242</v>
      </c>
      <c r="C58" s="348"/>
      <c r="D58" s="348"/>
      <c r="E58" s="348"/>
      <c r="F58" s="348"/>
    </row>
    <row r="59" spans="2:6" x14ac:dyDescent="0.15">
      <c r="B59" s="47" t="s">
        <v>240</v>
      </c>
      <c r="C59" s="76">
        <f>Normalized_FCF!C14</f>
        <v>-33.887093790522258</v>
      </c>
      <c r="D59" s="1" t="str">
        <f>Reporting_currency</f>
        <v>USD</v>
      </c>
    </row>
    <row r="61" spans="2:6" x14ac:dyDescent="0.15">
      <c r="B61" s="348" t="s">
        <v>339</v>
      </c>
      <c r="C61" s="351"/>
      <c r="D61" s="351"/>
      <c r="E61" s="351"/>
      <c r="F61" s="351"/>
    </row>
    <row r="62" spans="2:6" x14ac:dyDescent="0.15">
      <c r="B62" s="47" t="s">
        <v>243</v>
      </c>
      <c r="C62" s="1">
        <f>Normalized_FCF!C17</f>
        <v>0</v>
      </c>
      <c r="D62" s="1" t="str">
        <f>Reporting_currency</f>
        <v>USD</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199.70000000000005</v>
      </c>
      <c r="D67" s="1" t="str">
        <f>Reporting_currency</f>
        <v>USD</v>
      </c>
    </row>
    <row r="68" spans="1:6" x14ac:dyDescent="0.15">
      <c r="B68" s="47" t="s">
        <v>249</v>
      </c>
      <c r="C68" s="76">
        <f>Normalized_FCF!C19</f>
        <v>171.48923221264295</v>
      </c>
      <c r="D68" s="1" t="str">
        <f>Reporting_currency</f>
        <v>USD</v>
      </c>
    </row>
    <row r="69" spans="1:6" x14ac:dyDescent="0.15">
      <c r="B69" s="249" t="s">
        <v>391</v>
      </c>
      <c r="C69" s="92">
        <f>Normalized_FCF!C125</f>
        <v>0.10230125853812708</v>
      </c>
      <c r="F69" s="344"/>
    </row>
    <row r="70" spans="1:6" x14ac:dyDescent="0.15">
      <c r="B70" s="249" t="s">
        <v>309</v>
      </c>
      <c r="C70" s="92">
        <f>Normalized_FCF!C93</f>
        <v>9.8144347826086956E-2</v>
      </c>
      <c r="E70" s="47" t="s">
        <v>449</v>
      </c>
      <c r="F70" s="345">
        <f>Normalized_FCF!C92</f>
        <v>7.4962939459602689</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432</v>
      </c>
      <c r="C78" s="92">
        <f>F31</f>
        <v>0.08</v>
      </c>
    </row>
    <row r="79" spans="1:6" x14ac:dyDescent="0.15">
      <c r="B79" s="1" t="s">
        <v>431</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66.176126616850951</v>
      </c>
      <c r="D87" s="1" t="str">
        <f>Market_currency</f>
        <v>HKD</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155.30000000000001</v>
      </c>
      <c r="D96" s="1" t="str">
        <f>Reporting_currency</f>
        <v>USD</v>
      </c>
    </row>
    <row r="97" spans="2:6" x14ac:dyDescent="0.15">
      <c r="B97" s="47" t="s">
        <v>282</v>
      </c>
      <c r="C97" s="245">
        <f>C96*scaling_factor*Exchange_Rate/Common_Shares</f>
        <v>4.7943079951998415</v>
      </c>
      <c r="D97" s="1" t="str">
        <f>Market_currency</f>
        <v>HKD</v>
      </c>
    </row>
    <row r="98" spans="2:6" x14ac:dyDescent="0.15">
      <c r="B98" s="325" t="s">
        <v>405</v>
      </c>
      <c r="C98" s="326">
        <f>BS!G30/BS!G27</f>
        <v>1.2907496012759174</v>
      </c>
    </row>
    <row r="99" spans="2:6" x14ac:dyDescent="0.15">
      <c r="B99" s="325" t="s">
        <v>406</v>
      </c>
      <c r="C99" s="326">
        <f>BS!G31/BS!G27</f>
        <v>0.24768740031897937</v>
      </c>
    </row>
    <row r="100" spans="2:6" x14ac:dyDescent="0.15">
      <c r="B100" s="325" t="s">
        <v>408</v>
      </c>
      <c r="C100" s="327">
        <f>BS!C50</f>
        <v>0.73855199466278643</v>
      </c>
    </row>
    <row r="102" spans="2:6" x14ac:dyDescent="0.15">
      <c r="B102" s="1" t="s">
        <v>255</v>
      </c>
    </row>
    <row r="103" spans="2:6" x14ac:dyDescent="0.15">
      <c r="B103" s="47" t="s">
        <v>265</v>
      </c>
      <c r="C103" s="76">
        <f>BS!C66</f>
        <v>150.19999999999999</v>
      </c>
      <c r="D103" s="1" t="str">
        <f>Reporting_currency</f>
        <v>USD</v>
      </c>
    </row>
    <row r="104" spans="2:6" x14ac:dyDescent="0.15">
      <c r="B104" s="47" t="s">
        <v>267</v>
      </c>
      <c r="C104" s="76">
        <f>DCF!C8</f>
        <v>-129.61728060248709</v>
      </c>
      <c r="D104" s="1" t="str">
        <f>Reporting_currency</f>
        <v>USD</v>
      </c>
    </row>
    <row r="105" spans="2:6" x14ac:dyDescent="0.15">
      <c r="B105" s="47" t="s">
        <v>283</v>
      </c>
      <c r="C105" s="245">
        <f>C104*scaling_factor*Exchange_Rate/Common_Shares</f>
        <v>-4.0014498693404068</v>
      </c>
      <c r="D105" s="1" t="str">
        <f>Market_currency</f>
        <v>HKD</v>
      </c>
    </row>
    <row r="107" spans="2:6" x14ac:dyDescent="0.15">
      <c r="B107" s="1" t="s">
        <v>257</v>
      </c>
    </row>
    <row r="108" spans="2:6" x14ac:dyDescent="0.15">
      <c r="B108" s="47" t="s">
        <v>258</v>
      </c>
      <c r="C108" s="76">
        <f>DCF!C9</f>
        <v>0.39</v>
      </c>
      <c r="D108" s="1" t="str">
        <f>Reporting_currency</f>
        <v>USD</v>
      </c>
    </row>
    <row r="109" spans="2:6" x14ac:dyDescent="0.15">
      <c r="B109" s="47" t="s">
        <v>284</v>
      </c>
      <c r="C109" s="245">
        <f>C108*scaling_factor*Exchange_Rate/Common_Shares</f>
        <v>1.2039794707842486E-2</v>
      </c>
      <c r="D109" s="1" t="str">
        <f>Market_currency</f>
        <v>HKD</v>
      </c>
    </row>
    <row r="111" spans="2:6" ht="24.5" customHeight="1" x14ac:dyDescent="0.15">
      <c r="B111" s="347" t="s">
        <v>367</v>
      </c>
      <c r="C111" s="347"/>
      <c r="D111" s="347"/>
      <c r="E111" s="347"/>
      <c r="F111" s="347"/>
    </row>
    <row r="113" spans="1:6" x14ac:dyDescent="0.15">
      <c r="B113" s="47" t="s">
        <v>450</v>
      </c>
      <c r="C113" s="245">
        <f>IF(valuation_method="DCF",DCF!C12,DDM!C7)</f>
        <v>57.39240854701854</v>
      </c>
      <c r="D113" s="1" t="str">
        <f>Market_currency</f>
        <v>HKD</v>
      </c>
    </row>
    <row r="114" spans="1:6" x14ac:dyDescent="0.15">
      <c r="B114" s="325" t="s">
        <v>407</v>
      </c>
      <c r="C114" s="245">
        <f>BS!D47</f>
        <v>-2.6624925501996839</v>
      </c>
      <c r="D114" s="1" t="str">
        <f>Market_currency</f>
        <v>HKD</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0.08</v>
      </c>
      <c r="D121" s="252">
        <f>DCF!D74</f>
        <v>15</v>
      </c>
      <c r="E121" s="253" t="str">
        <f>ROUND(IF(valuation_method="DCF",DCF!E74,DDM!E69),2)&amp;" "&amp;Market_currency</f>
        <v>93.16 HKD</v>
      </c>
      <c r="F121" s="254">
        <f>DCF!F74</f>
        <v>0.05</v>
      </c>
    </row>
    <row r="122" spans="1:6" x14ac:dyDescent="0.15">
      <c r="B122" s="240" t="str">
        <f>DCF!B75</f>
        <v>Optimistic</v>
      </c>
      <c r="C122" s="241">
        <f>DCF!C75</f>
        <v>0.05</v>
      </c>
      <c r="D122" s="242">
        <f>DCF!D75</f>
        <v>10</v>
      </c>
      <c r="E122" s="253" t="str">
        <f>ROUND(IF(valuation_method="DCF",DCF!E75,DDM!E70),2)&amp;" "&amp;Market_currency</f>
        <v>68.89 HKD</v>
      </c>
      <c r="F122" s="243">
        <f>DCF!F75</f>
        <v>0.18</v>
      </c>
    </row>
    <row r="123" spans="1:6" x14ac:dyDescent="0.15">
      <c r="B123" s="240" t="str">
        <f>DCF!B76</f>
        <v>Base</v>
      </c>
      <c r="C123" s="241">
        <f>DCF!C76</f>
        <v>0.03</v>
      </c>
      <c r="D123" s="242">
        <f>DCF!D76</f>
        <v>10</v>
      </c>
      <c r="E123" s="253" t="str">
        <f>ROUND(IF(valuation_method="DCF",DCF!E76,DDM!E71),2)&amp;" "&amp;Market_currency</f>
        <v>63.96 HKD</v>
      </c>
      <c r="F123" s="243">
        <f>DCF!F76</f>
        <v>0.53999999999999992</v>
      </c>
    </row>
    <row r="124" spans="1:6" x14ac:dyDescent="0.15">
      <c r="B124" s="240" t="str">
        <f>DCF!B77</f>
        <v>Pessimistic</v>
      </c>
      <c r="C124" s="241">
        <f>DCF!C77</f>
        <v>0.01</v>
      </c>
      <c r="D124" s="242">
        <f>DCF!D77</f>
        <v>10</v>
      </c>
      <c r="E124" s="253" t="str">
        <f>ROUND(IF(valuation_method="DCF",DCF!E77,DDM!E72),2)&amp;" "&amp;Market_currency</f>
        <v>59.48 HKD</v>
      </c>
      <c r="F124" s="243">
        <f>DCF!F77</f>
        <v>0.18</v>
      </c>
    </row>
    <row r="125" spans="1:6" x14ac:dyDescent="0.15">
      <c r="B125" s="240" t="str">
        <f>DCF!B78</f>
        <v>Devil's advocate</v>
      </c>
      <c r="C125" s="241">
        <f>DCF!C78</f>
        <v>0</v>
      </c>
      <c r="D125" s="242">
        <f>DCF!D78</f>
        <v>15</v>
      </c>
      <c r="E125" s="253" t="str">
        <f>ROUND(IF(valuation_method="DCF",DCF!E78,DDM!E73),2)&amp;" "&amp;Market_currency</f>
        <v>57.39 HKD</v>
      </c>
      <c r="F125" s="243">
        <f>DCF!F78</f>
        <v>0.05</v>
      </c>
    </row>
    <row r="127" spans="1:6" x14ac:dyDescent="0.15">
      <c r="B127" s="233" t="s">
        <v>259</v>
      </c>
      <c r="C127" s="239">
        <f>Scenarios!C60</f>
        <v>65.171669755574641</v>
      </c>
      <c r="D127" s="234" t="str">
        <f>Market_currency</f>
        <v>HKD</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5.07897</v>
      </c>
      <c r="D138" s="234" t="str">
        <f>Market_currency</f>
        <v>HKD</v>
      </c>
    </row>
    <row r="140" spans="1:6" x14ac:dyDescent="0.15">
      <c r="B140" s="232" t="s">
        <v>410</v>
      </c>
      <c r="C140" s="263" t="str">
        <f>C11</f>
        <v>0303.HK</v>
      </c>
      <c r="D140" s="263" t="str">
        <f>IF(D11="","",D11)</f>
        <v/>
      </c>
    </row>
    <row r="141" spans="1:6" x14ac:dyDescent="0.15">
      <c r="B141" s="1" t="s">
        <v>409</v>
      </c>
      <c r="C141" s="326">
        <f>F29</f>
        <v>0.4</v>
      </c>
    </row>
    <row r="142" spans="1:6" x14ac:dyDescent="0.15">
      <c r="B142" s="234" t="str">
        <f>"PV("&amp;C136&amp;" yrs of Dividends)"</f>
        <v>PV(3 yrs of Dividends)</v>
      </c>
      <c r="C142" s="238">
        <f>Scenarios!C81</f>
        <v>8.0700835276967897</v>
      </c>
    </row>
    <row r="143" spans="1:6" x14ac:dyDescent="0.15">
      <c r="B143" s="234" t="str">
        <f>"+ PV(Equity Value realized at year "&amp;C136&amp;")"</f>
        <v>+ PV(Equity Value realized at year 3)</v>
      </c>
      <c r="C143" s="238">
        <f>Scenarios!C82</f>
        <v>23.750608511506798</v>
      </c>
    </row>
    <row r="144" spans="1:6" x14ac:dyDescent="0.15">
      <c r="B144" s="80" t="s">
        <v>261</v>
      </c>
      <c r="C144" s="237">
        <f>Scenarios!C83</f>
        <v>31.820692039203585</v>
      </c>
      <c r="D144" s="330" t="str">
        <f>IF($D$11="","",C144*$E$25)</f>
        <v/>
      </c>
    </row>
    <row r="145" spans="2:4" x14ac:dyDescent="0.15">
      <c r="B145" s="281" t="s">
        <v>417</v>
      </c>
      <c r="C145" s="328" t="str">
        <f>Market_currency</f>
        <v>HKD</v>
      </c>
      <c r="D145" s="328" t="str">
        <f>IF($D$11="","",D$13)</f>
        <v/>
      </c>
    </row>
    <row r="146" spans="2:4" x14ac:dyDescent="0.15">
      <c r="B146" s="236" t="s">
        <v>263</v>
      </c>
      <c r="C146" s="92">
        <f>Scenarios!F83</f>
        <v>0.51174042097514749</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10.413924272385298</v>
      </c>
    </row>
    <row r="151" spans="2:4" x14ac:dyDescent="0.15">
      <c r="B151" s="234" t="str">
        <f>"+ PV(Equity Value realized at year "&amp;C136&amp;")"</f>
        <v>+ PV(Equity Value realized at year 3)</v>
      </c>
      <c r="C151" s="238">
        <f>Scenarios!C92</f>
        <v>36.120932694422855</v>
      </c>
    </row>
    <row r="152" spans="2:4" x14ac:dyDescent="0.15">
      <c r="B152" s="80" t="s">
        <v>261</v>
      </c>
      <c r="C152" s="237">
        <f>Scenarios!C93</f>
        <v>46.53485696680815</v>
      </c>
      <c r="D152" s="330" t="str">
        <f>IF($D$11="","",C152*$E$25)</f>
        <v/>
      </c>
    </row>
    <row r="153" spans="2:4" x14ac:dyDescent="0.15">
      <c r="B153" s="281" t="s">
        <v>417</v>
      </c>
      <c r="C153" s="328" t="str">
        <f>Market_currency</f>
        <v>HKD</v>
      </c>
      <c r="D153" s="328" t="str">
        <f>IF($D$11="","",D$13)</f>
        <v/>
      </c>
    </row>
    <row r="154" spans="2:4" x14ac:dyDescent="0.15">
      <c r="B154" s="236" t="s">
        <v>263</v>
      </c>
      <c r="C154" s="92">
        <f>Scenarios!F93</f>
        <v>0.28596494241537118</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13.088998285322367</v>
      </c>
    </row>
    <row r="159" spans="2:4" x14ac:dyDescent="0.15">
      <c r="B159" s="234" t="str">
        <f>"+ PV(Equity Value realized at year "&amp;C136&amp;")"</f>
        <v>+ PV(Equity Value realized at year 3)</v>
      </c>
      <c r="C159" s="238">
        <f>Scenarios!C98</f>
        <v>51.735372653094224</v>
      </c>
    </row>
    <row r="160" spans="2:4" x14ac:dyDescent="0.15">
      <c r="B160" s="80" t="s">
        <v>402</v>
      </c>
      <c r="C160" s="237">
        <f>Scenarios!C99</f>
        <v>64.824370938416592</v>
      </c>
      <c r="D160" s="330" t="str">
        <f>IF($D$11="","",C160*$E$25)</f>
        <v/>
      </c>
    </row>
    <row r="161" spans="1:6" x14ac:dyDescent="0.15">
      <c r="B161" s="281" t="s">
        <v>417</v>
      </c>
      <c r="C161" s="328" t="str">
        <f>Market_currency</f>
        <v>HKD</v>
      </c>
      <c r="D161" s="328" t="str">
        <f>IF($D$11="","",D$13)</f>
        <v/>
      </c>
    </row>
    <row r="162" spans="1:6" x14ac:dyDescent="0.15">
      <c r="B162" s="236" t="s">
        <v>263</v>
      </c>
      <c r="C162" s="92">
        <f>Scenarios!F99</f>
        <v>5.3289844875938908E-3</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12.253538898548621</v>
      </c>
    </row>
    <row r="167" spans="1:6" x14ac:dyDescent="0.15">
      <c r="B167" s="234" t="str">
        <f>"+ PV(Equity Value realized at year "&amp;C136&amp;")"</f>
        <v>+ PV(Equity Value realized at year 3)</v>
      </c>
      <c r="C167" s="238">
        <f>Scenarios!C104</f>
        <v>46.712471627436607</v>
      </c>
    </row>
    <row r="168" spans="1:6" x14ac:dyDescent="0.15">
      <c r="B168" s="80" t="s">
        <v>402</v>
      </c>
      <c r="C168" s="237">
        <f>Scenarios!C105</f>
        <v>58.966010525985226</v>
      </c>
      <c r="D168" s="330" t="str">
        <f>IF($D$11="","",C168*$E$25)</f>
        <v/>
      </c>
    </row>
    <row r="169" spans="1:6" x14ac:dyDescent="0.15">
      <c r="B169" s="281" t="s">
        <v>417</v>
      </c>
      <c r="C169" s="328" t="str">
        <f>Market_currency</f>
        <v>HKD</v>
      </c>
      <c r="D169" s="328" t="str">
        <f>IF($D$11="","",D$13)</f>
        <v/>
      </c>
    </row>
    <row r="170" spans="1:6" x14ac:dyDescent="0.15">
      <c r="B170" s="236" t="s">
        <v>263</v>
      </c>
      <c r="C170" s="92">
        <f>Scenarios!F105</f>
        <v>9.5216500498555012E-2</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x14ac:dyDescent="0.15">
      <c r="B5" s="40" t="s">
        <v>43</v>
      </c>
      <c r="C5" s="181">
        <v>1510.8</v>
      </c>
      <c r="D5" s="181">
        <v>1608</v>
      </c>
      <c r="E5" s="181">
        <v>1701.4</v>
      </c>
      <c r="F5" s="181">
        <v>1645.7</v>
      </c>
      <c r="G5" s="181">
        <v>1501.9</v>
      </c>
      <c r="H5" s="181">
        <v>1525.5</v>
      </c>
      <c r="I5" s="181">
        <v>1428.1</v>
      </c>
      <c r="J5" s="181">
        <v>1389.9</v>
      </c>
      <c r="K5" s="181">
        <v>1273.2</v>
      </c>
      <c r="L5" s="181"/>
      <c r="M5" s="181"/>
    </row>
    <row r="6" spans="2:13" x14ac:dyDescent="0.15">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x14ac:dyDescent="0.15">
      <c r="B7" s="69" t="s">
        <v>61</v>
      </c>
      <c r="C7" s="188">
        <v>278.39999999999998</v>
      </c>
      <c r="D7" s="188">
        <v>294</v>
      </c>
      <c r="E7" s="188">
        <v>304.89999999999998</v>
      </c>
      <c r="F7" s="188">
        <v>295.5</v>
      </c>
      <c r="G7" s="188">
        <v>296.3</v>
      </c>
      <c r="H7" s="188">
        <v>294</v>
      </c>
      <c r="I7" s="188">
        <v>318.89999999999998</v>
      </c>
      <c r="J7" s="188">
        <v>319</v>
      </c>
      <c r="K7" s="188">
        <v>254.3</v>
      </c>
      <c r="L7" s="188"/>
      <c r="M7" s="188"/>
    </row>
    <row r="8" spans="2:13" x14ac:dyDescent="0.15">
      <c r="B8" s="40" t="s">
        <v>49</v>
      </c>
      <c r="C8" s="181">
        <v>81.7</v>
      </c>
      <c r="D8" s="181">
        <v>83.3</v>
      </c>
      <c r="E8" s="181">
        <v>84.3</v>
      </c>
      <c r="F8" s="181">
        <v>86.4</v>
      </c>
      <c r="G8" s="181">
        <v>81.7</v>
      </c>
      <c r="H8" s="181">
        <v>77.2</v>
      </c>
      <c r="I8" s="181">
        <v>77.599999999999994</v>
      </c>
      <c r="J8" s="181">
        <v>77.2</v>
      </c>
      <c r="K8" s="181">
        <v>56.3</v>
      </c>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4.9000000000000004</v>
      </c>
      <c r="D12" s="181">
        <v>12</v>
      </c>
      <c r="E12" s="181">
        <v>9.6</v>
      </c>
      <c r="F12" s="181">
        <v>0</v>
      </c>
      <c r="G12" s="181">
        <v>0</v>
      </c>
      <c r="H12" s="181">
        <v>0</v>
      </c>
      <c r="I12" s="181">
        <v>0</v>
      </c>
      <c r="J12" s="181">
        <v>0</v>
      </c>
      <c r="K12" s="181">
        <v>0</v>
      </c>
      <c r="L12" s="181"/>
      <c r="M12" s="181"/>
    </row>
    <row r="13" spans="2:13" x14ac:dyDescent="0.15">
      <c r="B13" s="40" t="s">
        <v>67</v>
      </c>
      <c r="C13" s="181"/>
      <c r="D13" s="181"/>
      <c r="E13" s="181"/>
      <c r="F13" s="181"/>
      <c r="G13" s="181"/>
      <c r="H13" s="181"/>
      <c r="I13" s="181"/>
      <c r="J13" s="181"/>
      <c r="K13" s="181"/>
      <c r="L13" s="181"/>
      <c r="M13" s="181"/>
    </row>
    <row r="14" spans="2:13" x14ac:dyDescent="0.15">
      <c r="B14" s="40" t="s">
        <v>50</v>
      </c>
      <c r="C14" s="181">
        <v>24.7</v>
      </c>
      <c r="D14" s="181">
        <v>19.3</v>
      </c>
      <c r="E14" s="181">
        <v>21.9</v>
      </c>
      <c r="F14" s="181">
        <v>28.4</v>
      </c>
      <c r="G14" s="181">
        <v>21.6</v>
      </c>
      <c r="H14" s="181">
        <v>21</v>
      </c>
      <c r="I14" s="181">
        <v>24.7</v>
      </c>
      <c r="J14" s="181">
        <v>21.1</v>
      </c>
      <c r="K14" s="181">
        <v>21.7</v>
      </c>
      <c r="L14" s="181"/>
      <c r="M14" s="181"/>
    </row>
    <row r="15" spans="2:13" x14ac:dyDescent="0.15">
      <c r="B15" s="43" t="s">
        <v>42</v>
      </c>
      <c r="C15" s="182">
        <v>166.6</v>
      </c>
      <c r="D15" s="182">
        <v>149.19999999999999</v>
      </c>
      <c r="E15" s="182">
        <v>172.7</v>
      </c>
      <c r="F15" s="182">
        <v>230.9</v>
      </c>
      <c r="G15" s="182">
        <v>190.7</v>
      </c>
      <c r="H15" s="182">
        <v>171.3</v>
      </c>
      <c r="I15" s="182">
        <v>206.3</v>
      </c>
      <c r="J15" s="182">
        <v>179</v>
      </c>
      <c r="K15" s="182">
        <v>181.4</v>
      </c>
      <c r="L15" s="182"/>
      <c r="M15" s="182"/>
    </row>
    <row r="16" spans="2:13" x14ac:dyDescent="0.15">
      <c r="B16" s="28" t="s">
        <v>44</v>
      </c>
      <c r="C16" s="181">
        <v>0</v>
      </c>
      <c r="D16" s="181">
        <v>0</v>
      </c>
      <c r="E16" s="181">
        <v>0</v>
      </c>
      <c r="F16" s="181">
        <v>0</v>
      </c>
      <c r="G16" s="181">
        <v>0</v>
      </c>
      <c r="H16" s="181">
        <v>0</v>
      </c>
      <c r="I16" s="181">
        <v>0</v>
      </c>
      <c r="J16" s="181">
        <v>0</v>
      </c>
      <c r="K16" s="181">
        <v>0</v>
      </c>
      <c r="L16" s="181"/>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v>-32.4</v>
      </c>
      <c r="D20" s="181">
        <v>-32.4</v>
      </c>
      <c r="E20" s="181">
        <v>-27.9</v>
      </c>
      <c r="F20" s="181">
        <v>-35.9</v>
      </c>
      <c r="G20" s="181">
        <v>-48</v>
      </c>
      <c r="H20" s="181"/>
      <c r="I20" s="181"/>
      <c r="J20" s="181"/>
      <c r="K20" s="181"/>
      <c r="L20" s="181"/>
      <c r="M20" s="181"/>
    </row>
    <row r="21" spans="2:13" ht="13" x14ac:dyDescent="0.15">
      <c r="B21" s="27" t="s">
        <v>52</v>
      </c>
      <c r="C21" s="181">
        <v>117.9</v>
      </c>
      <c r="D21" s="181">
        <v>117.9</v>
      </c>
      <c r="E21" s="181">
        <v>34.5</v>
      </c>
      <c r="F21" s="181">
        <v>-91.8</v>
      </c>
      <c r="G21" s="181">
        <v>-21.2</v>
      </c>
      <c r="H21" s="181">
        <v>-11.5</v>
      </c>
      <c r="I21" s="181"/>
      <c r="J21" s="181"/>
      <c r="K21" s="181"/>
      <c r="L21" s="181"/>
      <c r="M21" s="181"/>
    </row>
    <row r="22" spans="2:13" ht="13" x14ac:dyDescent="0.15">
      <c r="B22" s="27" t="s">
        <v>372</v>
      </c>
      <c r="C22" s="181">
        <v>355.2</v>
      </c>
      <c r="D22" s="181">
        <v>238.8</v>
      </c>
      <c r="E22" s="181">
        <v>139.6</v>
      </c>
      <c r="F22" s="181">
        <v>280.3</v>
      </c>
      <c r="G22" s="181">
        <v>237</v>
      </c>
      <c r="H22" s="181">
        <v>249.3</v>
      </c>
      <c r="I22" s="181">
        <v>175.7</v>
      </c>
      <c r="J22" s="181">
        <v>185.3</v>
      </c>
      <c r="K22" s="181">
        <v>216.7</v>
      </c>
      <c r="L22" s="181"/>
      <c r="M22" s="181"/>
    </row>
    <row r="23" spans="2:13" ht="13" x14ac:dyDescent="0.15">
      <c r="B23" s="27" t="s">
        <v>374</v>
      </c>
      <c r="C23" s="181">
        <v>-54.4</v>
      </c>
      <c r="D23" s="181">
        <v>-27.5</v>
      </c>
      <c r="E23" s="181">
        <v>-32</v>
      </c>
      <c r="F23" s="181">
        <v>-47.8</v>
      </c>
      <c r="G23" s="181">
        <v>-34.5</v>
      </c>
      <c r="H23" s="181">
        <v>-45.9</v>
      </c>
      <c r="I23" s="181">
        <v>-35.5</v>
      </c>
      <c r="J23" s="181">
        <v>-62.4</v>
      </c>
      <c r="K23" s="181">
        <v>25.7</v>
      </c>
      <c r="L23" s="181"/>
      <c r="M23" s="181"/>
    </row>
    <row r="24" spans="2:13" ht="13" x14ac:dyDescent="0.15">
      <c r="B24" s="27" t="s">
        <v>373</v>
      </c>
      <c r="C24" s="181">
        <v>-171.1</v>
      </c>
      <c r="D24" s="181">
        <v>-191.2</v>
      </c>
      <c r="E24" s="181">
        <v>-249.8</v>
      </c>
      <c r="F24" s="181">
        <v>-155.69999999999999</v>
      </c>
      <c r="G24" s="181">
        <v>-187</v>
      </c>
      <c r="H24" s="181">
        <v>-204.7</v>
      </c>
      <c r="I24" s="181">
        <v>-181.7</v>
      </c>
      <c r="J24" s="181">
        <v>-112.8</v>
      </c>
      <c r="K24" s="181">
        <v>-196.9</v>
      </c>
      <c r="L24" s="181"/>
      <c r="M24" s="181"/>
    </row>
    <row r="25" spans="2:13" x14ac:dyDescent="0.15">
      <c r="B25" s="24" t="str">
        <f>"Dividend per share ("&amp;Market_currency&amp;")"</f>
        <v>Dividend per share (HKD)</v>
      </c>
      <c r="C25" s="39">
        <f>(0.17+0.48)*Exchange_Rate</f>
        <v>5.07897</v>
      </c>
      <c r="D25" s="39">
        <f>(0.17+0.42)*Exchange_Rate</f>
        <v>4.6101419999999997</v>
      </c>
      <c r="E25" s="39"/>
      <c r="F25" s="39"/>
      <c r="G25" s="39"/>
      <c r="H25" s="39"/>
      <c r="I25" s="39"/>
      <c r="J25" s="39"/>
      <c r="K25" s="39"/>
      <c r="L25" s="39"/>
      <c r="M25" s="39"/>
    </row>
    <row r="27" spans="2:13" x14ac:dyDescent="0.15">
      <c r="B27" s="16" t="s">
        <v>28</v>
      </c>
      <c r="C27" s="97" t="s">
        <v>459</v>
      </c>
    </row>
    <row r="28" spans="2:13" ht="13" x14ac:dyDescent="0.15">
      <c r="B28" s="26" t="s">
        <v>24</v>
      </c>
      <c r="C28" s="183">
        <f>BS!C4</f>
        <v>547.9</v>
      </c>
      <c r="D28" s="181">
        <v>224.6</v>
      </c>
      <c r="E28" s="181">
        <v>277.2</v>
      </c>
      <c r="F28" s="181">
        <v>325.39999999999998</v>
      </c>
      <c r="G28" s="181">
        <v>270.7</v>
      </c>
      <c r="H28" s="181"/>
      <c r="I28" s="181"/>
      <c r="J28" s="181"/>
      <c r="K28" s="181"/>
      <c r="L28" s="181"/>
      <c r="M28" s="181"/>
    </row>
    <row r="29" spans="2:13" ht="13" x14ac:dyDescent="0.15">
      <c r="B29" s="26" t="s">
        <v>32</v>
      </c>
      <c r="C29" s="183">
        <f>BS!C6</f>
        <v>425.2</v>
      </c>
      <c r="D29" s="181">
        <v>348</v>
      </c>
      <c r="E29" s="181">
        <v>475.5</v>
      </c>
      <c r="F29" s="181">
        <v>553.29999999999995</v>
      </c>
      <c r="G29" s="181">
        <v>414</v>
      </c>
      <c r="H29" s="181"/>
      <c r="I29" s="181"/>
      <c r="J29" s="181"/>
      <c r="K29" s="181"/>
      <c r="L29" s="181"/>
      <c r="M29" s="181"/>
    </row>
    <row r="30" spans="2:13" ht="13" x14ac:dyDescent="0.15">
      <c r="B30" s="29" t="s">
        <v>40</v>
      </c>
      <c r="C30" s="186">
        <f>BS!C33+BS!C42</f>
        <v>809.3</v>
      </c>
      <c r="D30" s="182">
        <v>683.7</v>
      </c>
      <c r="E30" s="182">
        <v>448.1</v>
      </c>
      <c r="F30" s="182">
        <v>714.5</v>
      </c>
      <c r="G30" s="182">
        <v>593.9</v>
      </c>
      <c r="H30" s="182">
        <v>479.9</v>
      </c>
      <c r="I30" s="182">
        <v>456.1</v>
      </c>
      <c r="J30" s="182">
        <v>475.3</v>
      </c>
      <c r="K30" s="182">
        <v>385.5</v>
      </c>
      <c r="L30" s="182"/>
      <c r="M30" s="182"/>
    </row>
    <row r="31" spans="2:13" ht="13" x14ac:dyDescent="0.15">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ht="13" x14ac:dyDescent="0.15">
      <c r="B32" s="26" t="s">
        <v>173</v>
      </c>
      <c r="C32" s="183">
        <f>BS!G28</f>
        <v>0</v>
      </c>
      <c r="D32" s="181">
        <v>0</v>
      </c>
      <c r="E32" s="181">
        <v>0</v>
      </c>
      <c r="F32" s="181">
        <v>0</v>
      </c>
      <c r="G32" s="182">
        <v>0</v>
      </c>
      <c r="H32" s="182">
        <v>0</v>
      </c>
      <c r="I32" s="182">
        <v>0</v>
      </c>
      <c r="J32" s="182">
        <v>0</v>
      </c>
      <c r="K32" s="182">
        <v>0</v>
      </c>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x14ac:dyDescent="0.15">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ht="13" x14ac:dyDescent="0.15">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x14ac:dyDescent="0.15">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x14ac:dyDescent="0.15">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x14ac:dyDescent="0.15">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x14ac:dyDescent="0.15">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x14ac:dyDescent="0.15">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x14ac:dyDescent="0.15">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x14ac:dyDescent="0.15">
      <c r="B45" s="40" t="s">
        <v>68</v>
      </c>
      <c r="C45" s="76">
        <f t="shared" ref="C45:M45" si="19">IF(C$4="","",C51+C52)</f>
        <v>-4.9000000000000004</v>
      </c>
      <c r="D45" s="76">
        <f t="shared" si="19"/>
        <v>-12</v>
      </c>
      <c r="E45" s="76">
        <f t="shared" si="19"/>
        <v>-9.6</v>
      </c>
      <c r="F45" s="76">
        <f t="shared" si="19"/>
        <v>0</v>
      </c>
      <c r="G45" s="76">
        <f t="shared" si="19"/>
        <v>0</v>
      </c>
      <c r="H45" s="76">
        <f t="shared" si="19"/>
        <v>0</v>
      </c>
      <c r="I45" s="76">
        <f t="shared" si="19"/>
        <v>0</v>
      </c>
      <c r="J45" s="76">
        <f t="shared" si="19"/>
        <v>0</v>
      </c>
      <c r="K45" s="76">
        <f t="shared" si="19"/>
        <v>0</v>
      </c>
      <c r="L45" s="76" t="str">
        <f t="shared" si="19"/>
        <v/>
      </c>
      <c r="M45" s="76" t="str">
        <f t="shared" si="19"/>
        <v/>
      </c>
    </row>
    <row r="46" spans="2:13" x14ac:dyDescent="0.15">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x14ac:dyDescent="0.15">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x14ac:dyDescent="0.15">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x14ac:dyDescent="0.15">
      <c r="B50" s="16" t="s">
        <v>68</v>
      </c>
    </row>
    <row r="51" spans="2:13" x14ac:dyDescent="0.15">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x14ac:dyDescent="0.1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x14ac:dyDescent="0.15">
      <c r="B58" s="40" t="s">
        <v>161</v>
      </c>
      <c r="C58" s="76">
        <f>IF(C$4="","",C44-C55-C56-C57)</f>
        <v>-0.69999999999993179</v>
      </c>
      <c r="D58" s="76">
        <f t="shared" ref="D58:M58" si="28">IF(D$4="","",D44-D55-D56-D57)</f>
        <v>1.700000000000216</v>
      </c>
      <c r="E58" s="76">
        <f t="shared" si="28"/>
        <v>-9.9999999999909051E-2</v>
      </c>
      <c r="F58" s="76">
        <f t="shared" si="28"/>
        <v>-2.7000000000001023</v>
      </c>
      <c r="G58" s="76">
        <f t="shared" si="28"/>
        <v>-1.4999999999999147</v>
      </c>
      <c r="H58" s="76">
        <f t="shared" si="28"/>
        <v>4.9999999999998863</v>
      </c>
      <c r="I58" s="76">
        <f t="shared" si="28"/>
        <v>3.8999999999999488</v>
      </c>
      <c r="J58" s="76">
        <f t="shared" si="28"/>
        <v>9.9999999999880629E-2</v>
      </c>
      <c r="K58" s="76">
        <f t="shared" si="28"/>
        <v>0.80000000000009663</v>
      </c>
      <c r="L58" s="76" t="str">
        <f t="shared" si="28"/>
        <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ht="13" x14ac:dyDescent="0.15">
      <c r="B62" s="27" t="s">
        <v>53</v>
      </c>
      <c r="C62" s="183">
        <f>IF(C$4="","",IF(C20=0,C61,-C20))</f>
        <v>32.4</v>
      </c>
      <c r="D62" s="183">
        <f t="shared" ref="D62:M62" si="30">IF(D$4="","",IF(D20=0,D61,-D20))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ht="13" x14ac:dyDescent="0.15">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ht="13" x14ac:dyDescent="0.15">
      <c r="B64" s="27" t="s">
        <v>394</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x14ac:dyDescent="0.15">
      <c r="B65" s="24" t="s">
        <v>36</v>
      </c>
      <c r="C65" s="73">
        <f>IF(C$4="","",C25)</f>
        <v>5.07897</v>
      </c>
      <c r="D65" s="73">
        <f t="shared" ref="D65:M65" si="33">IF(D$4="","",D25)</f>
        <v>4.6101419999999997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x14ac:dyDescent="0.15">
      <c r="B67" s="91" t="s">
        <v>85</v>
      </c>
    </row>
    <row r="68" spans="2:13" x14ac:dyDescent="0.15">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ht="13" x14ac:dyDescent="0.15">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x14ac:dyDescent="0.15">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x14ac:dyDescent="0.15">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x14ac:dyDescent="0.15">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1436.2999999999997</v>
      </c>
      <c r="D76" s="76">
        <f t="shared" ref="D76:M76" si="39">IF(D$4="","",D79+D80)</f>
        <v>1318.4</v>
      </c>
      <c r="E76" s="76">
        <f t="shared" si="39"/>
        <v>1126.9000000000001</v>
      </c>
      <c r="F76" s="76">
        <f t="shared" si="39"/>
        <v>1445.6</v>
      </c>
      <c r="G76" s="76">
        <f t="shared" si="39"/>
        <v>1195.4000000000001</v>
      </c>
      <c r="H76" s="76">
        <f t="shared" si="39"/>
        <v>1086.9000000000001</v>
      </c>
      <c r="I76" s="76">
        <f t="shared" si="39"/>
        <v>1102.7</v>
      </c>
      <c r="J76" s="76">
        <f t="shared" si="39"/>
        <v>1060</v>
      </c>
      <c r="K76" s="76">
        <f t="shared" si="39"/>
        <v>910.5</v>
      </c>
      <c r="L76" s="76" t="str">
        <f t="shared" si="39"/>
        <v/>
      </c>
      <c r="M76" s="76" t="str">
        <f t="shared" si="39"/>
        <v/>
      </c>
    </row>
    <row r="77" spans="2:13" ht="13" x14ac:dyDescent="0.15">
      <c r="B77" s="93" t="s">
        <v>86</v>
      </c>
      <c r="C77" s="185">
        <f t="shared" ref="C77:H78" si="40">IF(C$4="","",C28)</f>
        <v>547.9</v>
      </c>
      <c r="D77" s="185">
        <f t="shared" si="40"/>
        <v>224.6</v>
      </c>
      <c r="E77" s="185">
        <f t="shared" si="40"/>
        <v>277.2</v>
      </c>
      <c r="F77" s="185">
        <f t="shared" si="40"/>
        <v>325.39999999999998</v>
      </c>
      <c r="G77" s="185">
        <f t="shared" si="40"/>
        <v>270.7</v>
      </c>
      <c r="H77" s="185">
        <f t="shared" si="40"/>
        <v>0</v>
      </c>
      <c r="I77" s="324"/>
      <c r="J77" s="324"/>
      <c r="K77" s="324"/>
      <c r="L77" s="324"/>
      <c r="M77" s="324"/>
    </row>
    <row r="78" spans="2:13" ht="13" x14ac:dyDescent="0.15">
      <c r="B78" s="93" t="s">
        <v>87</v>
      </c>
      <c r="C78" s="185">
        <f t="shared" si="40"/>
        <v>425.2</v>
      </c>
      <c r="D78" s="185">
        <f t="shared" si="40"/>
        <v>348</v>
      </c>
      <c r="E78" s="185">
        <f t="shared" si="40"/>
        <v>475.5</v>
      </c>
      <c r="F78" s="185">
        <f t="shared" si="40"/>
        <v>553.29999999999995</v>
      </c>
      <c r="G78" s="185">
        <f t="shared" si="40"/>
        <v>414</v>
      </c>
      <c r="H78" s="185">
        <f t="shared" si="40"/>
        <v>0</v>
      </c>
      <c r="I78" s="324"/>
      <c r="J78" s="324"/>
      <c r="K78" s="324"/>
      <c r="L78" s="324"/>
      <c r="M78" s="324"/>
    </row>
    <row r="79" spans="2:13" ht="13" x14ac:dyDescent="0.15">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ht="13" x14ac:dyDescent="0.15">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45565</v>
      </c>
      <c r="F1" s="86" t="str">
        <f>IF(MONTH(C1)=MONTH(Normalized_FCF!G1),"FY","Quarter")&amp;" Report"</f>
        <v>Quarter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547.9</v>
      </c>
      <c r="D4" s="285">
        <v>0.6</v>
      </c>
      <c r="E4" s="25"/>
      <c r="F4" s="4" t="s">
        <v>78</v>
      </c>
      <c r="G4" s="19">
        <v>150.19999999999999</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425.2</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5.9</v>
      </c>
      <c r="D10" s="285">
        <v>0.9</v>
      </c>
      <c r="H10" s="286"/>
    </row>
    <row r="11" spans="2:8" ht="15" customHeight="1" x14ac:dyDescent="0.15">
      <c r="B11" s="4" t="s">
        <v>12</v>
      </c>
      <c r="C11" s="19">
        <v>0</v>
      </c>
      <c r="D11" s="285">
        <v>0.05</v>
      </c>
      <c r="H11" s="286"/>
    </row>
    <row r="12" spans="2:8" ht="15" customHeight="1" x14ac:dyDescent="0.15">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f>1.2+6.2</f>
        <v>7.4</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97.3+136.4+14.3</f>
        <v>248</v>
      </c>
      <c r="D19" s="285">
        <v>0.1</v>
      </c>
      <c r="F19" s="4" t="s">
        <v>183</v>
      </c>
      <c r="G19" s="19">
        <v>3.9</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36.1</v>
      </c>
      <c r="D21" s="285">
        <v>0.05</v>
      </c>
      <c r="F21" s="1" t="s">
        <v>181</v>
      </c>
      <c r="G21" s="19">
        <v>0</v>
      </c>
      <c r="H21" s="285">
        <v>0.1</v>
      </c>
    </row>
    <row r="22" spans="2:8" ht="15" customHeight="1" x14ac:dyDescent="0.15">
      <c r="B22" s="4" t="s">
        <v>20</v>
      </c>
      <c r="C22" s="19">
        <v>11.7</v>
      </c>
      <c r="D22" s="285">
        <v>0.9</v>
      </c>
      <c r="H22" s="286"/>
    </row>
    <row r="23" spans="2:8" ht="15" customHeight="1" x14ac:dyDescent="0.15">
      <c r="B23" s="4" t="s">
        <v>21</v>
      </c>
      <c r="C23" s="19">
        <v>0</v>
      </c>
      <c r="D23" s="285">
        <v>0</v>
      </c>
      <c r="H23" s="286"/>
    </row>
    <row r="24" spans="2:8" ht="15" customHeight="1" x14ac:dyDescent="0.15">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626.99999999999977</v>
      </c>
      <c r="H27" s="207">
        <f>H32-G30</f>
        <v>-86.245000000000118</v>
      </c>
    </row>
    <row r="28" spans="2:8" ht="15" customHeight="1" x14ac:dyDescent="0.15">
      <c r="B28" s="4" t="s">
        <v>6</v>
      </c>
      <c r="C28" s="19">
        <v>19.5</v>
      </c>
      <c r="F28" s="208" t="s">
        <v>245</v>
      </c>
      <c r="G28" s="12">
        <v>0</v>
      </c>
      <c r="H28" s="207"/>
    </row>
    <row r="29" spans="2:8" ht="15" customHeight="1" x14ac:dyDescent="0.15">
      <c r="B29" s="4" t="s">
        <v>7</v>
      </c>
      <c r="C29" s="19">
        <v>0</v>
      </c>
      <c r="F29" s="209" t="s">
        <v>76</v>
      </c>
      <c r="G29" s="14">
        <f>G27-G28</f>
        <v>626.99999999999977</v>
      </c>
      <c r="H29" s="207">
        <f>H27-G28</f>
        <v>-86.245000000000118</v>
      </c>
    </row>
    <row r="30" spans="2:8" ht="15" customHeight="1" x14ac:dyDescent="0.15">
      <c r="B30" s="2" t="s">
        <v>8</v>
      </c>
      <c r="C30" s="19">
        <v>0</v>
      </c>
      <c r="F30" s="206" t="s">
        <v>23</v>
      </c>
      <c r="G30" s="85">
        <f>C33+C42</f>
        <v>809.3</v>
      </c>
      <c r="H30" s="207"/>
    </row>
    <row r="31" spans="2:8" ht="15" customHeight="1" x14ac:dyDescent="0.15">
      <c r="B31" s="80" t="s">
        <v>204</v>
      </c>
      <c r="C31" s="81">
        <f>SUM(C27:C30)</f>
        <v>19.5</v>
      </c>
      <c r="F31" s="209" t="s">
        <v>77</v>
      </c>
      <c r="G31" s="210">
        <f>C31+C40</f>
        <v>155.30000000000001</v>
      </c>
      <c r="H31" s="207"/>
    </row>
    <row r="32" spans="2:8" ht="15" customHeight="1" x14ac:dyDescent="0.15">
      <c r="B32" s="4" t="s">
        <v>9</v>
      </c>
      <c r="C32" s="21">
        <f>C33-C31</f>
        <v>650.29999999999995</v>
      </c>
      <c r="F32" s="211" t="s">
        <v>75</v>
      </c>
      <c r="G32" s="212">
        <f>G35+G40</f>
        <v>1436.2999999999997</v>
      </c>
      <c r="H32" s="207">
        <f>H35+H40</f>
        <v>723.05499999999984</v>
      </c>
    </row>
    <row r="33" spans="2:8" ht="15" customHeight="1" x14ac:dyDescent="0.15">
      <c r="B33" s="83" t="s">
        <v>4</v>
      </c>
      <c r="C33" s="84">
        <v>669.8</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1282.1999999999998</v>
      </c>
      <c r="H35" s="219">
        <f>D12+D24</f>
        <v>587.4849999999999</v>
      </c>
    </row>
    <row r="36" spans="2:8" ht="15" customHeight="1" x14ac:dyDescent="0.15">
      <c r="B36" s="4" t="s">
        <v>13</v>
      </c>
      <c r="C36" s="19">
        <v>0</v>
      </c>
      <c r="F36" s="209" t="s">
        <v>198</v>
      </c>
      <c r="G36" s="210">
        <f>C4+C15</f>
        <v>547.9</v>
      </c>
      <c r="H36" s="214"/>
    </row>
    <row r="37" spans="2:8" ht="15" customHeight="1" x14ac:dyDescent="0.15">
      <c r="B37" s="4" t="s">
        <v>14</v>
      </c>
      <c r="C37" s="19">
        <v>135.80000000000001</v>
      </c>
      <c r="F37" s="209" t="s">
        <v>199</v>
      </c>
      <c r="G37" s="210">
        <f>C6</f>
        <v>425.2</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248</v>
      </c>
      <c r="H39" s="207">
        <f>C7*D7+C17*D17+C19*D19+C20*D20</f>
        <v>24.8</v>
      </c>
    </row>
    <row r="40" spans="2:8" ht="15" customHeight="1" x14ac:dyDescent="0.15">
      <c r="B40" s="80" t="s">
        <v>205</v>
      </c>
      <c r="C40" s="81">
        <f>SUM(C36:C39)</f>
        <v>135.80000000000001</v>
      </c>
      <c r="F40" s="218" t="s">
        <v>139</v>
      </c>
      <c r="G40" s="212">
        <f>G12+G24</f>
        <v>154.1</v>
      </c>
      <c r="H40" s="219">
        <f>H12+H24</f>
        <v>135.57</v>
      </c>
    </row>
    <row r="41" spans="2:8" ht="15" customHeight="1" x14ac:dyDescent="0.15">
      <c r="B41" s="4" t="s">
        <v>17</v>
      </c>
      <c r="C41" s="21">
        <f>C42-C40</f>
        <v>3.6999999999999886</v>
      </c>
      <c r="F41" s="209" t="s">
        <v>192</v>
      </c>
      <c r="G41" s="210">
        <f>C70</f>
        <v>150.19999999999999</v>
      </c>
      <c r="H41" s="219">
        <f>H40-H42</f>
        <v>135.18</v>
      </c>
    </row>
    <row r="42" spans="2:8" ht="15" customHeight="1" x14ac:dyDescent="0.15">
      <c r="B42" s="83" t="s">
        <v>22</v>
      </c>
      <c r="C42" s="84">
        <v>139.5</v>
      </c>
      <c r="F42" s="220" t="s">
        <v>193</v>
      </c>
      <c r="G42" s="221">
        <f>C82</f>
        <v>3.9</v>
      </c>
      <c r="H42" s="222">
        <f>D82</f>
        <v>0.39</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626.99999999999977</v>
      </c>
      <c r="D46" s="76">
        <f>H29</f>
        <v>-86.245000000000118</v>
      </c>
      <c r="F46" s="275"/>
    </row>
    <row r="47" spans="2:8" ht="15" customHeight="1" x14ac:dyDescent="0.15">
      <c r="B47" s="1" t="str">
        <f>"Equity per share ("&amp;Market_currency&amp;")"</f>
        <v>Equity per share (HKD)</v>
      </c>
      <c r="C47" s="148">
        <f>C46*H1/Common_Shares*Exchange_Rate</f>
        <v>19.356285337992912</v>
      </c>
      <c r="D47" s="148">
        <f>D46*H1/Common_Shares*Exchange_Rate</f>
        <v>-2.6624925501996839</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0.73855199466278643</v>
      </c>
      <c r="D50" s="95">
        <f>G31/Normalized_FCF!G8</f>
        <v>0.78872524123920762</v>
      </c>
      <c r="F50" s="275"/>
    </row>
    <row r="51" spans="2:8" ht="15" customHeight="1" x14ac:dyDescent="0.15">
      <c r="B51" s="1" t="s">
        <v>177</v>
      </c>
      <c r="C51" s="200"/>
      <c r="D51" s="92">
        <f>G29/G32</f>
        <v>0.43653832764742734</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0.16399651068722915</v>
      </c>
      <c r="D54" s="92">
        <f>Normalized_FCF!G8/G35</f>
        <v>0.15356418655435974</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0.17266587760217228</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v>
      </c>
      <c r="D62" s="92">
        <f>G28/G29</f>
        <v>0</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150.19999999999999</v>
      </c>
      <c r="D66" s="76">
        <f>C66-D75</f>
        <v>-129.61728060248709</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150.19999999999999</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-269.52780776941751</v>
      </c>
      <c r="D73" s="76">
        <f>(Normalized_FCF!C25+Normalized_FCF!C35-Normalized_FCF!C91)/12</f>
        <v>-279.81728060248707</v>
      </c>
      <c r="F73" s="1" t="s">
        <v>352</v>
      </c>
    </row>
    <row r="74" spans="2:6" ht="15" customHeight="1" x14ac:dyDescent="0.15">
      <c r="B74" s="279" t="s">
        <v>322</v>
      </c>
      <c r="C74" s="280">
        <f>-$C$66/C73</f>
        <v>0.55727088511956768</v>
      </c>
      <c r="D74" s="280">
        <f>-$C$66/D73</f>
        <v>0.53677885681898441</v>
      </c>
      <c r="F74" s="275" t="s">
        <v>320</v>
      </c>
    </row>
    <row r="75" spans="2:6" ht="15" customHeight="1" x14ac:dyDescent="0.15">
      <c r="B75" s="80" t="s">
        <v>321</v>
      </c>
      <c r="C75" s="284"/>
      <c r="D75" s="283">
        <f>MAX(-D73*D76,G5)</f>
        <v>279.81728060248707</v>
      </c>
      <c r="F75" s="275" t="s">
        <v>353</v>
      </c>
    </row>
    <row r="76" spans="2:6" ht="15" customHeight="1" x14ac:dyDescent="0.15">
      <c r="B76" s="281" t="s">
        <v>323</v>
      </c>
      <c r="C76" s="282"/>
      <c r="D76" s="317">
        <f>IF(D74&lt;=3,1,IF(D74&gt;18,6,2))</f>
        <v>1</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3.9</v>
      </c>
      <c r="D80" s="76">
        <f>G19*H19</f>
        <v>0.39</v>
      </c>
      <c r="F80" s="275"/>
    </row>
    <row r="81" spans="2:8" ht="15" customHeight="1" x14ac:dyDescent="0.15">
      <c r="B81" s="105" t="s">
        <v>181</v>
      </c>
      <c r="C81" s="20">
        <f>G9+G21</f>
        <v>0</v>
      </c>
      <c r="D81" s="76">
        <f>G9*H9+G21*H21</f>
        <v>0</v>
      </c>
      <c r="F81" s="275"/>
    </row>
    <row r="82" spans="2:8" ht="15" customHeight="1" x14ac:dyDescent="0.15">
      <c r="B82" s="80" t="s">
        <v>190</v>
      </c>
      <c r="C82" s="81">
        <f>SUM(C79:C81)</f>
        <v>3.9</v>
      </c>
      <c r="D82" s="81">
        <f>SUM(D79:D81)</f>
        <v>0.39</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-1213.48314</v>
      </c>
      <c r="D86" s="245">
        <f>C86*scaling_factor/Common_Shares</f>
        <v>-4.7943079951998415</v>
      </c>
      <c r="E86" s="262" t="str">
        <f>Market_currency</f>
        <v>HKD</v>
      </c>
    </row>
    <row r="87" spans="2:8" ht="15" customHeight="1" x14ac:dyDescent="0.15">
      <c r="B87" s="260" t="s">
        <v>288</v>
      </c>
      <c r="C87" s="76">
        <f>DCF!C8*Exchange_Rate</f>
        <v>-1012.8035071717136</v>
      </c>
      <c r="D87" s="245">
        <f>C87*scaling_factor/Common_Shares</f>
        <v>-4.0014498693404068</v>
      </c>
      <c r="E87" s="262" t="str">
        <f>Market_currency</f>
        <v>HKD</v>
      </c>
    </row>
    <row r="88" spans="2:8" ht="15" customHeight="1" x14ac:dyDescent="0.15">
      <c r="B88" s="261" t="s">
        <v>190</v>
      </c>
      <c r="C88" s="76">
        <f>DCF!C9*Exchange_Rate</f>
        <v>3.0473819999999998</v>
      </c>
      <c r="D88" s="245">
        <f>C88*scaling_factor/Common_Shares</f>
        <v>1.2039794707842486E-2</v>
      </c>
      <c r="E88" s="262" t="str">
        <f>Market_currency</f>
        <v>HKD</v>
      </c>
    </row>
    <row r="89" spans="2:8" ht="15" customHeight="1" x14ac:dyDescent="0.15">
      <c r="B89" s="80" t="s">
        <v>292</v>
      </c>
      <c r="C89" s="187">
        <f>SUM(C86:C88)</f>
        <v>-2223.2392651717132</v>
      </c>
      <c r="D89" s="264">
        <f>SUM(D86:D88)</f>
        <v>-8.7837180698324069</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2282.5500000000002</v>
      </c>
      <c r="D4" s="57"/>
      <c r="E4" s="291"/>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x14ac:dyDescent="0.15">
      <c r="A5" s="10"/>
      <c r="B5" s="2" t="s">
        <v>46</v>
      </c>
      <c r="C5" s="190">
        <f>C25</f>
        <v>-1909.898673996835</v>
      </c>
      <c r="E5" s="293"/>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x14ac:dyDescent="0.15">
      <c r="A6" s="10"/>
      <c r="B6" s="31" t="s">
        <v>48</v>
      </c>
      <c r="C6" s="184">
        <f>C4+C5</f>
        <v>372.6513260031652</v>
      </c>
      <c r="E6" s="293"/>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x14ac:dyDescent="0.15">
      <c r="A7" s="10"/>
      <c r="B7" s="8" t="s">
        <v>45</v>
      </c>
      <c r="C7" s="190">
        <f>C35</f>
        <v>-162.375</v>
      </c>
      <c r="E7" s="293"/>
      <c r="G7" s="190">
        <f t="shared" ref="G7:Q7" si="3">G35</f>
        <v>-159.59999999999997</v>
      </c>
      <c r="H7" s="190">
        <f t="shared" si="3"/>
        <v>-160.90000000000003</v>
      </c>
      <c r="I7" s="190">
        <f t="shared" si="3"/>
        <v>-159.90000000000003</v>
      </c>
      <c r="J7" s="190">
        <f t="shared" si="3"/>
        <v>-169.1</v>
      </c>
      <c r="K7" s="190">
        <f t="shared" si="3"/>
        <v>-153.5</v>
      </c>
      <c r="L7" s="190">
        <f t="shared" si="3"/>
        <v>-155.09999999999997</v>
      </c>
      <c r="M7" s="190">
        <f t="shared" si="3"/>
        <v>-155.99999999999997</v>
      </c>
      <c r="N7" s="190">
        <f t="shared" si="3"/>
        <v>-170.39999999999998</v>
      </c>
      <c r="O7" s="190">
        <f t="shared" si="3"/>
        <v>-126.70000000000003</v>
      </c>
      <c r="P7" s="190" t="str">
        <f t="shared" si="3"/>
        <v/>
      </c>
      <c r="Q7" s="190" t="str">
        <f t="shared" si="3"/>
        <v/>
      </c>
    </row>
    <row r="8" spans="1:17" ht="15.75" customHeight="1" x14ac:dyDescent="0.15">
      <c r="A8" s="10"/>
      <c r="B8" s="29" t="s">
        <v>153</v>
      </c>
      <c r="C8" s="191">
        <f>C6+C7</f>
        <v>210.2763260031652</v>
      </c>
      <c r="D8" s="59"/>
      <c r="E8" s="299"/>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t="str">
        <f>IF(Data!L61="","",-Data!L61)</f>
        <v/>
      </c>
      <c r="Q9" s="190" t="str">
        <f>IF(Data!M61="","",-Data!M61)</f>
        <v/>
      </c>
    </row>
    <row r="10" spans="1:17" ht="15.75" customHeight="1" x14ac:dyDescent="0.15">
      <c r="A10" s="10"/>
      <c r="B10" s="2" t="s">
        <v>81</v>
      </c>
      <c r="C10" s="190">
        <f>-C4*C78</f>
        <v>0</v>
      </c>
      <c r="E10" s="293"/>
      <c r="G10" s="190">
        <f>Data!C62</f>
        <v>32.4</v>
      </c>
      <c r="H10" s="190">
        <f>Data!D62</f>
        <v>32.4</v>
      </c>
      <c r="I10" s="190">
        <f>Data!E62</f>
        <v>27.9</v>
      </c>
      <c r="J10" s="190">
        <f>Data!F62</f>
        <v>35.9</v>
      </c>
      <c r="K10" s="190">
        <f>Data!G62</f>
        <v>48</v>
      </c>
      <c r="L10" s="190">
        <f>Data!H62</f>
        <v>0</v>
      </c>
      <c r="M10" s="190">
        <f>Data!I62</f>
        <v>0</v>
      </c>
      <c r="N10" s="190">
        <f>Data!J62</f>
        <v>0</v>
      </c>
      <c r="O10" s="190">
        <f>Data!K62</f>
        <v>0</v>
      </c>
      <c r="P10" s="190" t="str">
        <f>Data!L62</f>
        <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x14ac:dyDescent="0.15">
      <c r="A12" s="10"/>
      <c r="B12" s="2" t="s">
        <v>68</v>
      </c>
      <c r="C12" s="190">
        <f>C50</f>
        <v>-4.9000000000000004</v>
      </c>
      <c r="E12" s="293"/>
      <c r="G12" s="190">
        <f>G50</f>
        <v>-4.9000000000000004</v>
      </c>
      <c r="H12" s="190">
        <f t="shared" ref="H12:Q12" si="6">H50</f>
        <v>-12</v>
      </c>
      <c r="I12" s="190">
        <f t="shared" si="6"/>
        <v>-9.6</v>
      </c>
      <c r="J12" s="190">
        <f t="shared" si="6"/>
        <v>0</v>
      </c>
      <c r="K12" s="190">
        <f t="shared" si="6"/>
        <v>0</v>
      </c>
      <c r="L12" s="190">
        <f t="shared" si="6"/>
        <v>0</v>
      </c>
      <c r="M12" s="190">
        <f t="shared" si="6"/>
        <v>0</v>
      </c>
      <c r="N12" s="190">
        <f t="shared" si="6"/>
        <v>0</v>
      </c>
      <c r="O12" s="190">
        <f t="shared" si="6"/>
        <v>0</v>
      </c>
      <c r="P12" s="190" t="str">
        <f t="shared" si="6"/>
        <v/>
      </c>
      <c r="Q12" s="190" t="str">
        <f t="shared" si="6"/>
        <v/>
      </c>
    </row>
    <row r="13" spans="1:17" ht="15.75" customHeight="1" x14ac:dyDescent="0.15">
      <c r="A13" s="10"/>
      <c r="B13" s="70" t="s">
        <v>165</v>
      </c>
      <c r="C13" s="184">
        <f>SUM(C8:C12)</f>
        <v>205.37632600316519</v>
      </c>
      <c r="E13" s="293"/>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x14ac:dyDescent="0.15">
      <c r="A14" s="10"/>
      <c r="B14" s="2" t="s">
        <v>63</v>
      </c>
      <c r="C14" s="190">
        <f>-SUM(C8+C11,C12)*C43</f>
        <v>-33.887093790522258</v>
      </c>
      <c r="E14" s="293"/>
      <c r="G14" s="190">
        <f>Data!C46</f>
        <v>-24.7</v>
      </c>
      <c r="H14" s="190">
        <f>Data!D46</f>
        <v>-19.3</v>
      </c>
      <c r="I14" s="190">
        <f>Data!E46</f>
        <v>-21.9</v>
      </c>
      <c r="J14" s="190">
        <f>Data!F46</f>
        <v>-28.4</v>
      </c>
      <c r="K14" s="190">
        <f>Data!G46</f>
        <v>-21.6</v>
      </c>
      <c r="L14" s="190">
        <f>Data!H46</f>
        <v>-21</v>
      </c>
      <c r="M14" s="190">
        <f>Data!I46</f>
        <v>-24.7</v>
      </c>
      <c r="N14" s="190">
        <f>Data!J46</f>
        <v>-21.1</v>
      </c>
      <c r="O14" s="190">
        <f>Data!K46</f>
        <v>-21.7</v>
      </c>
      <c r="P14" s="190" t="str">
        <f>Data!L46</f>
        <v/>
      </c>
      <c r="Q14" s="190" t="str">
        <f>Data!M46</f>
        <v/>
      </c>
    </row>
    <row r="15" spans="1:17" ht="15.75" customHeight="1" x14ac:dyDescent="0.15">
      <c r="A15" s="10"/>
      <c r="B15" s="40" t="s">
        <v>244</v>
      </c>
      <c r="C15" s="190">
        <f>-C4*C83</f>
        <v>0</v>
      </c>
      <c r="D15" s="60"/>
      <c r="E15" s="300"/>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x14ac:dyDescent="0.15">
      <c r="A16" s="10"/>
      <c r="B16" s="41" t="s">
        <v>155</v>
      </c>
      <c r="C16" s="193">
        <f>SUM(C13:C15)</f>
        <v>171.48923221264295</v>
      </c>
      <c r="D16" s="61"/>
      <c r="E16" s="301"/>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171.48923221264295</v>
      </c>
      <c r="D19" s="27"/>
      <c r="E19" s="290"/>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-1616.5432662254061</v>
      </c>
      <c r="D23" s="58"/>
      <c r="E23" s="292"/>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x14ac:dyDescent="0.2">
      <c r="A24" s="10"/>
      <c r="B24" s="68" t="s">
        <v>62</v>
      </c>
      <c r="C24" s="190">
        <f>-C4*C29</f>
        <v>-293.35540777142882</v>
      </c>
      <c r="D24" s="27"/>
      <c r="E24" s="290"/>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x14ac:dyDescent="0.15">
      <c r="A25" s="10"/>
      <c r="B25" s="70" t="s">
        <v>46</v>
      </c>
      <c r="C25" s="184">
        <f>C23+C24</f>
        <v>-1909.898673996835</v>
      </c>
      <c r="D25" s="9"/>
      <c r="E25" s="298"/>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0.70821811843131843</v>
      </c>
      <c r="D28" s="26"/>
      <c r="E28" s="291" t="s">
        <v>334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x14ac:dyDescent="0.2">
      <c r="A29" s="10"/>
      <c r="B29" s="68" t="str">
        <f>B24</f>
        <v>Selling Expenses</v>
      </c>
      <c r="C29" s="63">
        <f>AVERAGE(G29:J29)</f>
        <v>0.12852091203760216</v>
      </c>
      <c r="D29" s="26"/>
      <c r="E29" s="291" t="s">
        <v>334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x14ac:dyDescent="0.15">
      <c r="A30" s="10"/>
      <c r="B30" s="70" t="s">
        <v>46</v>
      </c>
      <c r="C30" s="71">
        <f>ABS(C25/$C$4)</f>
        <v>0.83673903046892062</v>
      </c>
      <c r="E30" s="293"/>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-78.45</v>
      </c>
      <c r="E33" s="291" t="s">
        <v>334</v>
      </c>
      <c r="G33" s="190">
        <f>Data!C41</f>
        <v>-77.899999999999977</v>
      </c>
      <c r="H33" s="190">
        <f>Data!D41</f>
        <v>-77.600000000000023</v>
      </c>
      <c r="I33" s="190">
        <f>Data!E41</f>
        <v>-75.600000000000023</v>
      </c>
      <c r="J33" s="190">
        <f>Data!F41</f>
        <v>-82.699999999999989</v>
      </c>
      <c r="K33" s="190">
        <f>Data!G41</f>
        <v>-71.800000000000011</v>
      </c>
      <c r="L33" s="190">
        <f>Data!H41</f>
        <v>-77.899999999999977</v>
      </c>
      <c r="M33" s="190">
        <f>Data!I41</f>
        <v>-78.399999999999977</v>
      </c>
      <c r="N33" s="190">
        <f>Data!J41</f>
        <v>-93.199999999999989</v>
      </c>
      <c r="O33" s="190">
        <f>Data!K41</f>
        <v>-70.400000000000034</v>
      </c>
      <c r="P33" s="190" t="str">
        <f>Data!L41</f>
        <v/>
      </c>
      <c r="Q33" s="190" t="str">
        <f>Data!M41</f>
        <v/>
      </c>
    </row>
    <row r="34" spans="1:17" ht="15.75" customHeight="1" x14ac:dyDescent="0.15">
      <c r="A34" s="10"/>
      <c r="B34" s="27" t="s">
        <v>49</v>
      </c>
      <c r="C34" s="197">
        <f>AVERAGE(G34:J34)</f>
        <v>-83.925000000000011</v>
      </c>
      <c r="D34" s="58"/>
      <c r="E34" s="291" t="s">
        <v>334</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x14ac:dyDescent="0.15">
      <c r="A35" s="10"/>
      <c r="B35" s="70" t="s">
        <v>45</v>
      </c>
      <c r="C35" s="184">
        <f>C33+C34</f>
        <v>-162.375</v>
      </c>
      <c r="D35" s="58"/>
      <c r="E35" s="292"/>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3.4369455214562659E-2</v>
      </c>
      <c r="D38" s="27"/>
      <c r="E38" s="290"/>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x14ac:dyDescent="0.15">
      <c r="A39" s="10"/>
      <c r="B39" s="27" t="str">
        <f>B34</f>
        <v>R&amp;D</v>
      </c>
      <c r="C39" s="23">
        <f>ABS(C34/$C$4)</f>
        <v>3.6768088322271145E-2</v>
      </c>
      <c r="D39" s="27"/>
      <c r="E39" s="290"/>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x14ac:dyDescent="0.15">
      <c r="A40" s="10"/>
      <c r="B40" s="70" t="s">
        <v>45</v>
      </c>
      <c r="C40" s="71">
        <f>ABS(C35/$C$4)</f>
        <v>7.1137543536833797E-2</v>
      </c>
      <c r="E40" s="293"/>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0.16500000000000001</v>
      </c>
      <c r="D43" s="27"/>
      <c r="E43" s="290" t="s">
        <v>335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-4.9000000000000004</v>
      </c>
      <c r="E47" s="293"/>
      <c r="G47" s="190">
        <f>Data!C51</f>
        <v>-4.9000000000000004</v>
      </c>
      <c r="H47" s="190">
        <f>Data!D51</f>
        <v>-12</v>
      </c>
      <c r="I47" s="190">
        <f>Data!E51</f>
        <v>-9.6</v>
      </c>
      <c r="J47" s="190">
        <f>Data!F51</f>
        <v>0</v>
      </c>
      <c r="K47" s="190">
        <f>Data!G51</f>
        <v>0</v>
      </c>
      <c r="L47" s="190">
        <f>Data!H51</f>
        <v>0</v>
      </c>
      <c r="M47" s="190">
        <f>Data!I51</f>
        <v>0</v>
      </c>
      <c r="N47" s="190">
        <f>Data!J51</f>
        <v>0</v>
      </c>
      <c r="O47" s="190">
        <f>Data!K51</f>
        <v>0</v>
      </c>
      <c r="P47" s="190" t="str">
        <f>Data!L51</f>
        <v/>
      </c>
      <c r="Q47" s="190" t="str">
        <f>Data!M51</f>
        <v/>
      </c>
    </row>
    <row r="48" spans="1:17" ht="15.75" customHeight="1" x14ac:dyDescent="0.15">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t="str">
        <f t="shared" si="19"/>
        <v/>
      </c>
      <c r="Q48" s="318" t="str">
        <f t="shared" si="19"/>
        <v/>
      </c>
    </row>
    <row r="49" spans="1:17" ht="15.75" customHeight="1" x14ac:dyDescent="0.15">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t="str">
        <f>Data!L52</f>
        <v/>
      </c>
      <c r="Q49" s="314" t="str">
        <f>Data!M52</f>
        <v/>
      </c>
    </row>
    <row r="50" spans="1:17" ht="15.75" customHeight="1" x14ac:dyDescent="0.15">
      <c r="A50" s="10"/>
      <c r="B50" s="70" t="s">
        <v>68</v>
      </c>
      <c r="C50" s="184">
        <f>C47+C48</f>
        <v>-4.9000000000000004</v>
      </c>
      <c r="E50" s="293"/>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x14ac:dyDescent="0.15">
      <c r="A54" s="10"/>
      <c r="B54" s="8" t="s">
        <v>88</v>
      </c>
      <c r="C54" s="82">
        <f>G54</f>
        <v>3.1551835157759174E-2</v>
      </c>
      <c r="E54" s="290" t="s">
        <v>337</v>
      </c>
      <c r="G54" s="23">
        <f>IFERROR(ABS(Normalized_FCF!G47/BS!$G$31),0)</f>
        <v>3.1551835157759174E-2</v>
      </c>
      <c r="H54" s="170"/>
      <c r="I54" s="170"/>
      <c r="J54" s="170"/>
      <c r="K54" s="170"/>
      <c r="L54" s="170"/>
      <c r="M54" s="170"/>
      <c r="N54" s="170"/>
      <c r="O54" s="170"/>
      <c r="P54" s="170"/>
      <c r="Q54" s="170"/>
    </row>
    <row r="55" spans="1:17" ht="15.75" customHeight="1" x14ac:dyDescent="0.15">
      <c r="A55" s="10"/>
      <c r="B55" s="26" t="s">
        <v>91</v>
      </c>
      <c r="C55" s="42">
        <f>-C8/C47</f>
        <v>42.913535919013299</v>
      </c>
      <c r="E55" s="293"/>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t="str">
        <f>Data!L56</f>
        <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t="str">
        <f>Data!L57</f>
        <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x14ac:dyDescent="0.15">
      <c r="A62" s="10"/>
      <c r="B62" s="40" t="s">
        <v>161</v>
      </c>
      <c r="C62" s="288">
        <v>0</v>
      </c>
      <c r="E62" s="291" t="s">
        <v>338</v>
      </c>
      <c r="G62" s="190">
        <f>Data!C58</f>
        <v>-0.69999999999993179</v>
      </c>
      <c r="H62" s="190">
        <f>Data!D58</f>
        <v>1.700000000000216</v>
      </c>
      <c r="I62" s="190">
        <f>Data!E58</f>
        <v>-9.9999999999909051E-2</v>
      </c>
      <c r="J62" s="190">
        <f>Data!F58</f>
        <v>-2.7000000000001023</v>
      </c>
      <c r="K62" s="190">
        <f>Data!G58</f>
        <v>-1.4999999999999147</v>
      </c>
      <c r="L62" s="190">
        <f>Data!H58</f>
        <v>4.9999999999998863</v>
      </c>
      <c r="M62" s="190">
        <f>Data!I58</f>
        <v>3.8999999999999488</v>
      </c>
      <c r="N62" s="190">
        <f>Data!J58</f>
        <v>9.9999999999880629E-2</v>
      </c>
      <c r="O62" s="190">
        <f>Data!K58</f>
        <v>0.80000000000009663</v>
      </c>
      <c r="P62" s="190" t="str">
        <f>Data!L58</f>
        <v/>
      </c>
      <c r="Q62" s="190" t="str">
        <f>Data!M58</f>
        <v/>
      </c>
    </row>
    <row r="63" spans="1:17" ht="15.75" customHeight="1" x14ac:dyDescent="0.15">
      <c r="A63" s="10"/>
      <c r="B63" s="31" t="s">
        <v>196</v>
      </c>
      <c r="C63" s="184">
        <f>C61+C62</f>
        <v>0</v>
      </c>
      <c r="E63" s="293"/>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460</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0.83673903046892062</v>
      </c>
      <c r="D73" s="27"/>
      <c r="E73" s="290"/>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x14ac:dyDescent="0.15">
      <c r="A74" s="10"/>
      <c r="B74" s="31" t="s">
        <v>48</v>
      </c>
      <c r="C74" s="78">
        <f>ABS(C6/C$4)</f>
        <v>0.16326096953107935</v>
      </c>
      <c r="D74" s="27"/>
      <c r="E74" s="290"/>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x14ac:dyDescent="0.15">
      <c r="A75" s="10"/>
      <c r="B75" s="8" t="s">
        <v>45</v>
      </c>
      <c r="C75" s="77">
        <f>ABS(C7/C$4)</f>
        <v>7.1137543536833797E-2</v>
      </c>
      <c r="D75" s="27"/>
      <c r="E75" s="290"/>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x14ac:dyDescent="0.15">
      <c r="A76" s="10"/>
      <c r="B76" s="29" t="s">
        <v>153</v>
      </c>
      <c r="C76" s="78">
        <f>ABS(C8/C$4)</f>
        <v>9.2123425994245556E-2</v>
      </c>
      <c r="D76" s="27"/>
      <c r="E76" s="290"/>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15">
      <c r="A78" s="10"/>
      <c r="B78" s="2" t="s">
        <v>81</v>
      </c>
      <c r="C78" s="88">
        <f>MAX(AVERAGE(G78:J78),C77)</f>
        <v>0</v>
      </c>
      <c r="D78" s="27"/>
      <c r="E78" s="291" t="s">
        <v>461</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15">
      <c r="A80" s="10"/>
      <c r="B80" s="2" t="s">
        <v>68</v>
      </c>
      <c r="C80" s="77">
        <f>ABS(C12/C$4)</f>
        <v>2.1467218680861319E-3</v>
      </c>
      <c r="D80" s="27"/>
      <c r="E80" s="290"/>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x14ac:dyDescent="0.15">
      <c r="A81" s="10"/>
      <c r="B81" s="70" t="s">
        <v>165</v>
      </c>
      <c r="C81" s="78">
        <f>C13/C4</f>
        <v>8.9976704126159421E-2</v>
      </c>
      <c r="D81" s="27"/>
      <c r="E81" s="290"/>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x14ac:dyDescent="0.15">
      <c r="A82" s="10"/>
      <c r="B82" s="2" t="s">
        <v>63</v>
      </c>
      <c r="C82" s="77">
        <f>ABS(C14/C$4)</f>
        <v>1.4846156180816304E-2</v>
      </c>
      <c r="D82" s="27"/>
      <c r="E82" s="290"/>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x14ac:dyDescent="0.15">
      <c r="A83" s="10"/>
      <c r="B83" s="40" t="str">
        <f>B15</f>
        <v>NCI’s Share of Profits</v>
      </c>
      <c r="C83" s="289">
        <f>MIN(BS!C62,MAX(G83:K83))</f>
        <v>0</v>
      </c>
      <c r="D83" s="27"/>
      <c r="E83" s="290"/>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15">
      <c r="A84" s="10"/>
      <c r="B84" s="41" t="s">
        <v>155</v>
      </c>
      <c r="C84" s="78">
        <f>ABS(C16/C$4)</f>
        <v>7.5130547945343115E-2</v>
      </c>
      <c r="D84" s="27"/>
      <c r="E84" s="290"/>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7.5130547945343115E-2</v>
      </c>
      <c r="D87" s="75"/>
      <c r="E87" s="290"/>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5.07897</v>
      </c>
      <c r="E90" s="293"/>
      <c r="G90" s="113">
        <f>Data!C65</f>
        <v>5.07897</v>
      </c>
      <c r="H90" s="113">
        <f>Data!D65</f>
        <v>4.6101419999999997</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x14ac:dyDescent="0.15">
      <c r="A91" s="10"/>
      <c r="B91" s="2" t="str">
        <f>"Dividend ("&amp;Market_currency&amp;")"</f>
        <v>Dividend (HKD)</v>
      </c>
      <c r="C91" s="74">
        <f>C90*Common_Shares/scaling_factor</f>
        <v>1285.5336932330101</v>
      </c>
      <c r="E91" s="293"/>
      <c r="G91" s="74">
        <f t="shared" ref="G91:Q91" si="37">IF(G$4="","",G90*Common_Shares/scaling_factor)</f>
        <v>1285.5336932330101</v>
      </c>
      <c r="H91" s="74">
        <f t="shared" si="37"/>
        <v>1166.8690446268859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15">
      <c r="A92" s="10"/>
      <c r="B92" s="2" t="s">
        <v>214</v>
      </c>
      <c r="C92" s="23">
        <f>C90/(C19*scaling_factor/Common_Shares)</f>
        <v>7.4962939459602689</v>
      </c>
      <c r="E92" s="293"/>
      <c r="G92" s="171">
        <f t="shared" ref="G92:Q92" si="38">IF(G$4="","",G90/(G19*scaling_factor/Common_Shares))</f>
        <v>6.4373244528443143</v>
      </c>
      <c r="H92" s="171">
        <f t="shared" si="38"/>
        <v>6.4862092530677442</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x14ac:dyDescent="0.15">
      <c r="A93" s="10"/>
      <c r="B93" s="2" t="s">
        <v>310</v>
      </c>
      <c r="C93" s="23">
        <f>C90/Market_Price</f>
        <v>9.8144347826086956E-2</v>
      </c>
      <c r="E93" s="293"/>
      <c r="G93" s="23">
        <f t="shared" ref="G93:Q93" si="39">IF(G$4="","",G90/Market_Price)</f>
        <v>9.8144347826086956E-2</v>
      </c>
      <c r="H93" s="23">
        <f t="shared" si="39"/>
        <v>8.9084869565217384E-2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6.3778720231160158E-2</v>
      </c>
      <c r="D96" s="27"/>
      <c r="E96" s="290"/>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x14ac:dyDescent="0.15">
      <c r="A97" s="10"/>
      <c r="B97" s="70" t="s">
        <v>165</v>
      </c>
      <c r="C97" s="77">
        <f>C13/G13-1</f>
        <v>-8.4775730823684725E-2</v>
      </c>
      <c r="D97" s="27"/>
      <c r="E97" s="290"/>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1436.2999999999997</v>
      </c>
      <c r="D101" s="26"/>
      <c r="E101" s="294"/>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x14ac:dyDescent="0.15">
      <c r="A102" s="10"/>
      <c r="B102" s="93" t="s">
        <v>211</v>
      </c>
      <c r="C102" s="199">
        <f>BS!C4</f>
        <v>547.9</v>
      </c>
      <c r="D102" s="89"/>
      <c r="E102" s="295"/>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x14ac:dyDescent="0.15">
      <c r="A103" s="10"/>
      <c r="B103" s="93" t="s">
        <v>212</v>
      </c>
      <c r="C103" s="199">
        <f>BS!C6+BS!C7</f>
        <v>425.2</v>
      </c>
      <c r="D103" s="89"/>
      <c r="E103" s="295"/>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x14ac:dyDescent="0.15">
      <c r="A104" s="10"/>
      <c r="B104" s="26" t="s">
        <v>40</v>
      </c>
      <c r="C104" s="198">
        <f>BS!G30</f>
        <v>809.3</v>
      </c>
      <c r="D104" s="26"/>
      <c r="E104" s="294"/>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x14ac:dyDescent="0.15">
      <c r="A105" s="10"/>
      <c r="B105" s="26" t="s">
        <v>30</v>
      </c>
      <c r="C105" s="198">
        <f>BS!G27</f>
        <v>626.99999999999977</v>
      </c>
      <c r="D105" s="26"/>
      <c r="E105" s="294"/>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0.24003855337232477</v>
      </c>
      <c r="D108" s="26"/>
      <c r="E108" s="294"/>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x14ac:dyDescent="0.15">
      <c r="A109" s="10"/>
      <c r="B109" s="26" t="s">
        <v>219</v>
      </c>
      <c r="C109" s="94">
        <f>C103/C$4</f>
        <v>0.1862828853694333</v>
      </c>
      <c r="D109" s="26"/>
      <c r="E109" s="294"/>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2.1320528211284513</v>
      </c>
      <c r="H113" s="323">
        <f>IF(H$4="","",Data!D$22/Data!D15)</f>
        <v>1.6005361930294908</v>
      </c>
      <c r="I113" s="323">
        <f>IF(I$4="","",Data!E$22/Data!E15)</f>
        <v>0.80833815865663006</v>
      </c>
      <c r="J113" s="323">
        <f>IF(J$4="","",Data!F$22/Data!F15)</f>
        <v>1.2139454309224773</v>
      </c>
      <c r="K113" s="323">
        <f>IF(K$4="","",Data!G$22/Data!G15)</f>
        <v>1.24278972207656</v>
      </c>
      <c r="L113" s="323">
        <f>IF(L$4="","",Data!H$22/Data!H15)</f>
        <v>1.4553415061295971</v>
      </c>
      <c r="M113" s="323">
        <f>IF(M$4="","",Data!I$22/Data!I15)</f>
        <v>0.85167232186136688</v>
      </c>
      <c r="N113" s="323">
        <f>IF(N$4="","",Data!J$22/Data!J15)</f>
        <v>1.035195530726257</v>
      </c>
      <c r="O113" s="323">
        <f>IF(O$4="","",Data!K$22/Data!K15)</f>
        <v>1.1945975744211685</v>
      </c>
      <c r="P113" s="323" t="str">
        <f>IF(P$4="","",Data!L$22/Data!L15)</f>
        <v/>
      </c>
      <c r="Q113" s="323" t="str">
        <f>IF(Q$4="","",Data!M$22/Data!M15)</f>
        <v/>
      </c>
    </row>
    <row r="114" spans="1:17" ht="15.75" customHeight="1" x14ac:dyDescent="0.15">
      <c r="A114" s="10"/>
      <c r="B114" s="2" t="s">
        <v>393</v>
      </c>
      <c r="C114" s="170"/>
      <c r="E114" s="293"/>
      <c r="G114" s="323">
        <f>IF(G$4="","",Data!C$22/G19)</f>
        <v>1.7786680020030041</v>
      </c>
      <c r="H114" s="323">
        <f>IF(H$4="","",Data!D$22/H19)</f>
        <v>1.327404113396333</v>
      </c>
      <c r="I114" s="323">
        <f>IF(I$4="","",Data!E$22/I19)</f>
        <v>0.695565520677629</v>
      </c>
      <c r="J114" s="323">
        <f>IF(J$4="","",Data!F$22/J19)</f>
        <v>1.0400742115027826</v>
      </c>
      <c r="K114" s="323">
        <f>IF(K$4="","",Data!G$22/K19)</f>
        <v>0.98667776852622835</v>
      </c>
      <c r="L114" s="323">
        <f>IF(L$4="","",Data!H$22/L19)</f>
        <v>1.4990980156343947</v>
      </c>
      <c r="M114" s="323">
        <f>IF(M$4="","",Data!I$22/M19)</f>
        <v>0.86808300395256932</v>
      </c>
      <c r="N114" s="323">
        <f>IF(N$4="","",Data!J$22/N19)</f>
        <v>1.035774175517048</v>
      </c>
      <c r="O114" s="323">
        <f>IF(O$4="","",Data!K$22/O19)</f>
        <v>1.199889258028793</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8.9976704126159421E-2</v>
      </c>
      <c r="E117" s="293"/>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x14ac:dyDescent="0.15">
      <c r="B118" s="7" t="s">
        <v>84</v>
      </c>
      <c r="C118" s="42">
        <f>C4/C101</f>
        <v>1.5891874956485419</v>
      </c>
      <c r="E118" s="293"/>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x14ac:dyDescent="0.15">
      <c r="B119" s="7" t="s">
        <v>92</v>
      </c>
      <c r="C119" s="15">
        <f>C101/C105</f>
        <v>2.2907496012759174</v>
      </c>
      <c r="D119" s="11"/>
      <c r="E119" s="297"/>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x14ac:dyDescent="0.15">
      <c r="A120" s="10"/>
      <c r="B120" s="70" t="s">
        <v>223</v>
      </c>
      <c r="C120" s="102">
        <f>C8/C105</f>
        <v>0.33536894099388398</v>
      </c>
      <c r="D120" s="103"/>
      <c r="E120" s="296"/>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5.294090129348076</v>
      </c>
      <c r="D124" s="27"/>
      <c r="E124" s="290"/>
      <c r="F124" s="27"/>
      <c r="G124" s="178">
        <f t="shared" ref="G124:Q124" si="49">IF(G$4="","",G16*$C$3/Common_Shares*Exchange_Rate)</f>
        <v>6.1649923157849873</v>
      </c>
      <c r="H124" s="178">
        <f t="shared" si="49"/>
        <v>5.5537411998483606</v>
      </c>
      <c r="I124" s="178">
        <f t="shared" si="49"/>
        <v>6.1958635842666263</v>
      </c>
      <c r="J124" s="178">
        <f t="shared" si="49"/>
        <v>8.3198068558039768</v>
      </c>
      <c r="K124" s="178">
        <f t="shared" si="49"/>
        <v>7.4152786892917044</v>
      </c>
      <c r="L124" s="178">
        <f t="shared" si="49"/>
        <v>5.1338919484979666</v>
      </c>
      <c r="M124" s="178">
        <f t="shared" si="49"/>
        <v>6.2483447406854324</v>
      </c>
      <c r="N124" s="178">
        <f t="shared" si="49"/>
        <v>5.5228699313667233</v>
      </c>
      <c r="O124" s="178">
        <f t="shared" si="49"/>
        <v>5.5753510877855197</v>
      </c>
      <c r="P124" s="178" t="str">
        <f t="shared" si="49"/>
        <v/>
      </c>
      <c r="Q124" s="178" t="str">
        <f t="shared" si="49"/>
        <v/>
      </c>
    </row>
    <row r="125" spans="1:17" ht="15.75" customHeight="1" x14ac:dyDescent="0.15">
      <c r="A125" s="10"/>
      <c r="B125" s="27" t="s">
        <v>270</v>
      </c>
      <c r="C125" s="77">
        <f>C19*Exchange_Rate*$C$3/(Market_Price*Common_Shares)</f>
        <v>0.10230125853812708</v>
      </c>
      <c r="D125" s="27"/>
      <c r="E125" s="290"/>
      <c r="F125" s="27"/>
      <c r="G125" s="77">
        <f t="shared" ref="G125" si="50">IF(G$4="","",G124/Market_Price)</f>
        <v>0.11913028629536207</v>
      </c>
      <c r="H125" s="77">
        <f t="shared" ref="H125" si="51">IF(H$4="","",H124/Market_Price)</f>
        <v>0.10731867052847073</v>
      </c>
      <c r="I125" s="77">
        <f t="shared" ref="I125" si="52">IF(I$4="","",I124/Market_Price)</f>
        <v>0.119726832546215</v>
      </c>
      <c r="J125" s="77">
        <f t="shared" ref="J125" si="53">IF(J$4="","",J124/Market_Price)</f>
        <v>0.16076921460490776</v>
      </c>
      <c r="K125" s="77">
        <f t="shared" ref="K125" si="54">IF(K$4="","",K124/Market_Price)</f>
        <v>0.14329040945491217</v>
      </c>
      <c r="L125" s="77">
        <f t="shared" ref="L125" si="55">IF(L$4="","",L124/Market_Price)</f>
        <v>9.920564151686892E-2</v>
      </c>
      <c r="M125" s="77">
        <f t="shared" ref="M125" si="56">IF(M$4="","",M124/Market_Price)</f>
        <v>0.12074096117266536</v>
      </c>
      <c r="N125" s="77">
        <f t="shared" ref="N125" si="57">IF(N$4="","",N124/Market_Price)</f>
        <v>0.10672212427761785</v>
      </c>
      <c r="O125" s="77">
        <f t="shared" ref="O125" si="58">IF(O$4="","",O124/Market_Price)</f>
        <v>0.10773625290406802</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1.2719113029783815E-2</v>
      </c>
      <c r="H126" s="23">
        <f>IF(H$4="","",(Data!D47*$C$3)/(Market_Price*Common_Shares))</f>
        <v>1.1390706266769178E-2</v>
      </c>
      <c r="I126" s="23">
        <f>IF(I$4="","",(Data!E47*$C$3)/(Market_Price*Common_Shares))</f>
        <v>1.3184818849001589E-2</v>
      </c>
      <c r="J126" s="23">
        <f>IF(J$4="","",(Data!F47*$C$3)/(Market_Price*Common_Shares))</f>
        <v>1.7628110435636751E-2</v>
      </c>
      <c r="K126" s="23">
        <f>IF(K$4="","",(Data!G47*$C$3)/(Market_Price*Common_Shares))</f>
        <v>1.4559032741775351E-2</v>
      </c>
      <c r="L126" s="23">
        <f>IF(L$4="","",(Data!H47*$C$3)/(Market_Price*Common_Shares))</f>
        <v>1.3077935546230298E-2</v>
      </c>
      <c r="M126" s="23">
        <f>IF(M$4="","",(Data!I47*$C$3)/(Market_Price*Common_Shares))</f>
        <v>1.5750018115512611E-2</v>
      </c>
      <c r="N126" s="23">
        <f>IF(N$4="","",(Data!J47*$C$3)/(Market_Price*Common_Shares))</f>
        <v>1.3665793711472406E-2</v>
      </c>
      <c r="O126" s="23">
        <f>IF(O$4="","",(Data!K47*$C$3)/(Market_Price*Common_Shares))</f>
        <v>1.3849022230508908E-2</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171.48923221264295</v>
      </c>
      <c r="D4" t="str">
        <f>Reporting_currency</f>
        <v>USD</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2143.6154026580366</v>
      </c>
      <c r="D6" t="str">
        <f>Reporting_currency</f>
        <v>USD</v>
      </c>
      <c r="E6" s="355" t="s">
        <v>250</v>
      </c>
      <c r="F6" s="355"/>
      <c r="H6" s="121"/>
    </row>
    <row r="7" spans="2:8" x14ac:dyDescent="0.15">
      <c r="B7" s="149" t="s">
        <v>225</v>
      </c>
      <c r="C7" s="224">
        <f>BS!G31</f>
        <v>155.30000000000001</v>
      </c>
      <c r="D7" t="str">
        <f>Reporting_currency</f>
        <v>USD</v>
      </c>
      <c r="E7" s="355"/>
      <c r="F7" s="355"/>
      <c r="H7" s="121"/>
    </row>
    <row r="8" spans="2:8" x14ac:dyDescent="0.15">
      <c r="B8" s="149" t="s">
        <v>226</v>
      </c>
      <c r="C8" s="115">
        <f>BS!D66</f>
        <v>-129.61728060248709</v>
      </c>
      <c r="D8" t="str">
        <f>Reporting_currency</f>
        <v>USD</v>
      </c>
      <c r="E8" s="355"/>
      <c r="F8" s="355"/>
      <c r="H8" s="121"/>
    </row>
    <row r="9" spans="2:8" x14ac:dyDescent="0.15">
      <c r="B9" s="225" t="s">
        <v>191</v>
      </c>
      <c r="C9" s="227">
        <f>BS!H42</f>
        <v>0.39</v>
      </c>
      <c r="D9" t="str">
        <f>Reporting_currency</f>
        <v>USD</v>
      </c>
      <c r="E9" s="355"/>
      <c r="F9" s="355"/>
      <c r="H9" s="121"/>
    </row>
    <row r="10" spans="2:8" x14ac:dyDescent="0.15">
      <c r="B10" s="150" t="s">
        <v>228</v>
      </c>
      <c r="C10" s="230">
        <f>C6-C7+C8+C9</f>
        <v>1859.0881220555495</v>
      </c>
      <c r="D10" t="str">
        <f>Reporting_currency</f>
        <v>USD</v>
      </c>
      <c r="H10" s="121"/>
    </row>
    <row r="11" spans="2:8" ht="14" thickBot="1" x14ac:dyDescent="0.2">
      <c r="B11" s="228" t="s">
        <v>167</v>
      </c>
      <c r="C11" s="229">
        <f>Exchange_Rate</f>
        <v>7.8137999999999996</v>
      </c>
      <c r="D11" t="str">
        <f>Thesis!C15</f>
        <v>USD/HKD</v>
      </c>
      <c r="H11" s="121"/>
    </row>
    <row r="12" spans="2:8" ht="14" thickTop="1" x14ac:dyDescent="0.15">
      <c r="B12" s="150" t="s">
        <v>103</v>
      </c>
      <c r="C12" s="112">
        <f>(C10*scaling_factor)/Common_Shares*Exchange_Rate</f>
        <v>57.39240854701854</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3.5100095863245001E-2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65.171403499817089</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177.50852070282099</v>
      </c>
      <c r="D21" s="139">
        <f>IF($C$17&lt;B21,0,DCF!$C$16)</f>
        <v>3.5100095863245001E-2</v>
      </c>
      <c r="E21" s="125">
        <f t="shared" ref="E21:E50" si="0">IF($C$17&lt;B21,0,1/(1+Equity_Cost)^B21)</f>
        <v>0.92592592592592582</v>
      </c>
      <c r="F21" s="126">
        <f t="shared" ref="F21:F51" si="1">C21*E21</f>
        <v>164.3597413915009</v>
      </c>
      <c r="H21" s="121"/>
    </row>
    <row r="22" spans="2:8" x14ac:dyDescent="0.15">
      <c r="B22" s="123">
        <v>2</v>
      </c>
      <c r="C22" s="124">
        <f t="shared" ref="C22:C50" si="2">IF(ROW()-ROW($C$21)&lt;$C$17, $C$21*(1+D22)^(ROW()-ROW($C$21)), 0)</f>
        <v>183.73908679603281</v>
      </c>
      <c r="D22" s="139">
        <f>IF($C$17&lt;B22,0,DCF!$C$16)</f>
        <v>3.5100095863245001E-2</v>
      </c>
      <c r="E22" s="125">
        <f t="shared" si="0"/>
        <v>0.85733882030178321</v>
      </c>
      <c r="F22" s="126">
        <f t="shared" si="1"/>
        <v>157.52665191703773</v>
      </c>
      <c r="H22" s="121"/>
    </row>
    <row r="23" spans="2:8" x14ac:dyDescent="0.15">
      <c r="B23" s="123">
        <v>3</v>
      </c>
      <c r="C23" s="124">
        <f t="shared" si="2"/>
        <v>190.18834635639865</v>
      </c>
      <c r="D23" s="139">
        <f>IF($C$17&lt;B23,0,DCF!$C$16)</f>
        <v>3.5100095863245001E-2</v>
      </c>
      <c r="E23" s="125">
        <f t="shared" si="0"/>
        <v>0.79383224102016958</v>
      </c>
      <c r="F23" s="126">
        <f t="shared" si="1"/>
        <v>150.97764120402016</v>
      </c>
      <c r="H23" s="121"/>
    </row>
    <row r="24" spans="2:8" x14ac:dyDescent="0.15">
      <c r="B24" s="123">
        <v>4</v>
      </c>
      <c r="C24" s="124">
        <f t="shared" si="2"/>
        <v>196.86397554558027</v>
      </c>
      <c r="D24" s="139">
        <f>IF($C$17&lt;B24,0,DCF!$C$16)</f>
        <v>3.5100095863245001E-2</v>
      </c>
      <c r="E24" s="125">
        <f t="shared" si="0"/>
        <v>0.73502985279645328</v>
      </c>
      <c r="F24" s="126">
        <f t="shared" si="1"/>
        <v>144.70089896619245</v>
      </c>
      <c r="H24" s="121"/>
    </row>
    <row r="25" spans="2:8" x14ac:dyDescent="0.15">
      <c r="B25" s="123">
        <v>5</v>
      </c>
      <c r="C25" s="124">
        <f t="shared" si="2"/>
        <v>203.77391995924967</v>
      </c>
      <c r="D25" s="139">
        <f>IF($C$17&lt;B25,0,DCF!$C$16)</f>
        <v>3.5100095863245001E-2</v>
      </c>
      <c r="E25" s="125">
        <f t="shared" si="0"/>
        <v>0.68058319703375303</v>
      </c>
      <c r="F25" s="126">
        <f t="shared" si="1"/>
        <v>138.68510591796624</v>
      </c>
      <c r="H25" s="121"/>
    </row>
    <row r="26" spans="2:8" x14ac:dyDescent="0.15">
      <c r="B26" s="123">
        <v>6</v>
      </c>
      <c r="C26" s="124">
        <f t="shared" si="2"/>
        <v>210.92640408424856</v>
      </c>
      <c r="D26" s="139">
        <f>IF($C$17&lt;B26,0,DCF!$C$16)</f>
        <v>3.5100095863245001E-2</v>
      </c>
      <c r="E26" s="125">
        <f t="shared" si="0"/>
        <v>0.63016962688310452</v>
      </c>
      <c r="F26" s="126">
        <f t="shared" si="1"/>
        <v>132.91941336156586</v>
      </c>
      <c r="H26" s="121"/>
    </row>
    <row r="27" spans="2:8" x14ac:dyDescent="0.15">
      <c r="B27" s="123">
        <v>7</v>
      </c>
      <c r="C27" s="124">
        <f t="shared" si="2"/>
        <v>218.3299410876952</v>
      </c>
      <c r="D27" s="139">
        <f>IF($C$17&lt;B27,0,DCF!$C$16)</f>
        <v>3.5100095863245001E-2</v>
      </c>
      <c r="E27" s="125">
        <f t="shared" si="0"/>
        <v>0.58349039526213387</v>
      </c>
      <c r="F27" s="126">
        <f t="shared" si="1"/>
        <v>127.39342362281768</v>
      </c>
      <c r="H27" s="121"/>
    </row>
    <row r="28" spans="2:8" x14ac:dyDescent="0.15">
      <c r="B28" s="123">
        <v>8</v>
      </c>
      <c r="C28" s="124">
        <f t="shared" si="2"/>
        <v>225.99334294968995</v>
      </c>
      <c r="D28" s="139">
        <f>IF($C$17&lt;B28,0,DCF!$C$16)</f>
        <v>3.5100095863245001E-2</v>
      </c>
      <c r="E28" s="125">
        <f t="shared" si="0"/>
        <v>0.54026888450197574</v>
      </c>
      <c r="F28" s="126">
        <f t="shared" si="1"/>
        <v>122.09717130030143</v>
      </c>
      <c r="H28" s="121"/>
    </row>
    <row r="29" spans="2:8" x14ac:dyDescent="0.15">
      <c r="B29" s="123">
        <v>9</v>
      </c>
      <c r="C29" s="124">
        <f t="shared" si="2"/>
        <v>233.9257309516793</v>
      </c>
      <c r="D29" s="139">
        <f>IF($C$17&lt;B29,0,DCF!$C$16)</f>
        <v>3.5100095863245001E-2</v>
      </c>
      <c r="E29" s="125">
        <f t="shared" si="0"/>
        <v>0.50024896713145905</v>
      </c>
      <c r="F29" s="126">
        <f t="shared" si="1"/>
        <v>117.02110529404915</v>
      </c>
      <c r="H29" s="121"/>
    </row>
    <row r="30" spans="2:8" x14ac:dyDescent="0.15">
      <c r="B30" s="123">
        <v>10</v>
      </c>
      <c r="C30" s="124">
        <f t="shared" si="2"/>
        <v>242.13654653296291</v>
      </c>
      <c r="D30" s="139">
        <f>IF($C$17&lt;B30,0,DCF!$C$16)</f>
        <v>3.5100095863245001E-2</v>
      </c>
      <c r="E30" s="125">
        <f t="shared" si="0"/>
        <v>0.46319348808468425</v>
      </c>
      <c r="F30" s="126">
        <f t="shared" si="1"/>
        <v>112.15607158138255</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2218.8565087852621</v>
      </c>
      <c r="D51" s="140">
        <f>Terminal_Growth</f>
        <v>0</v>
      </c>
      <c r="E51" s="125">
        <f>1/(1+Equity_Cost)^C17</f>
        <v>0.46319348808468425</v>
      </c>
      <c r="F51" s="126">
        <f t="shared" si="1"/>
        <v>1027.7598858636504</v>
      </c>
      <c r="H51" s="121"/>
    </row>
    <row r="52" spans="1:8" x14ac:dyDescent="0.15">
      <c r="C52" s="115"/>
      <c r="E52" s="128" t="s">
        <v>101</v>
      </c>
      <c r="F52" s="138">
        <f>SUM(F21:F51)</f>
        <v>2395.5971104204846</v>
      </c>
      <c r="H52" s="121"/>
    </row>
    <row r="53" spans="1:8" x14ac:dyDescent="0.15">
      <c r="C53" s="115"/>
      <c r="H53" s="121"/>
    </row>
    <row r="54" spans="1:8" x14ac:dyDescent="0.15">
      <c r="B54" s="120" t="s">
        <v>130</v>
      </c>
      <c r="C54" s="137"/>
      <c r="D54" s="137"/>
      <c r="E54" s="118"/>
      <c r="F54" s="118"/>
      <c r="H54" s="121"/>
    </row>
    <row r="55" spans="1:8" x14ac:dyDescent="0.15">
      <c r="A55" s="134">
        <f>F52</f>
        <v>2395.5971104204846</v>
      </c>
      <c r="B55" s="132">
        <f>C78</f>
        <v>0</v>
      </c>
      <c r="C55" s="132">
        <f>C77</f>
        <v>0.01</v>
      </c>
      <c r="D55" s="132">
        <f>C76</f>
        <v>0.03</v>
      </c>
      <c r="E55" s="132">
        <f>C75</f>
        <v>0.05</v>
      </c>
      <c r="F55" s="132">
        <f>C74</f>
        <v>0.08</v>
      </c>
      <c r="H55" s="121"/>
    </row>
    <row r="56" spans="1:8" x14ac:dyDescent="0.15">
      <c r="A56" s="144">
        <v>5</v>
      </c>
      <c r="B56" s="124">
        <f t="dataTable" ref="B56:F61" dt2D="1" dtr="1" r1="C16" r2="C17"/>
        <v>2143.6154026580361</v>
      </c>
      <c r="C56" s="124">
        <v>2177.944172447551</v>
      </c>
      <c r="D56" s="124">
        <v>2248.1329576818198</v>
      </c>
      <c r="E56" s="124">
        <v>2320.4382838504866</v>
      </c>
      <c r="F56" s="124">
        <v>2433.0674749311615</v>
      </c>
      <c r="H56" s="121"/>
    </row>
    <row r="57" spans="1:8" x14ac:dyDescent="0.15">
      <c r="A57" s="144">
        <v>10</v>
      </c>
      <c r="B57" s="124">
        <v>2143.6154026580361</v>
      </c>
      <c r="C57" s="124">
        <v>2211.1746441620298</v>
      </c>
      <c r="D57" s="124">
        <v>2356.3055850252176</v>
      </c>
      <c r="E57" s="124">
        <v>2516.1150686799911</v>
      </c>
      <c r="F57" s="124">
        <v>2787.2337132331991</v>
      </c>
      <c r="H57" s="121"/>
    </row>
    <row r="58" spans="1:8" x14ac:dyDescent="0.15">
      <c r="A58" s="144">
        <v>15</v>
      </c>
      <c r="B58" s="124">
        <v>2143.6154026580361</v>
      </c>
      <c r="C58" s="124">
        <v>2251.284097705794</v>
      </c>
      <c r="D58" s="124">
        <v>2493.6813583907101</v>
      </c>
      <c r="E58" s="124">
        <v>2778.0873446810347</v>
      </c>
      <c r="F58" s="124">
        <v>3302.1560154607114</v>
      </c>
      <c r="H58" s="121"/>
    </row>
    <row r="59" spans="1:8" x14ac:dyDescent="0.15">
      <c r="A59" s="145">
        <v>20</v>
      </c>
      <c r="B59" s="124">
        <v>2143.6154026580357</v>
      </c>
      <c r="C59" s="124">
        <v>2291.0949092861629</v>
      </c>
      <c r="D59" s="124">
        <v>2637.4788152265623</v>
      </c>
      <c r="E59" s="124">
        <v>3068.257201365102</v>
      </c>
      <c r="F59" s="124">
        <v>3926.486193617186</v>
      </c>
      <c r="H59" s="121"/>
    </row>
    <row r="60" spans="1:8" x14ac:dyDescent="0.15">
      <c r="A60" s="145">
        <v>25</v>
      </c>
      <c r="B60" s="124">
        <v>2143.6154026580357</v>
      </c>
      <c r="C60" s="124">
        <v>2327.1400187439999</v>
      </c>
      <c r="D60" s="124">
        <v>2775.0321967075802</v>
      </c>
      <c r="E60" s="124">
        <v>3362.9191268660743</v>
      </c>
      <c r="F60" s="124">
        <v>4625.2775337540652</v>
      </c>
      <c r="H60" s="121"/>
    </row>
    <row r="61" spans="1:8" x14ac:dyDescent="0.15">
      <c r="A61" s="145">
        <v>30</v>
      </c>
      <c r="B61" s="124">
        <v>2143.6154026580357</v>
      </c>
      <c r="C61" s="124">
        <v>2358.0740338949558</v>
      </c>
      <c r="D61" s="124">
        <v>2899.9612596862244</v>
      </c>
      <c r="E61" s="124">
        <v>3647.8707293210327</v>
      </c>
      <c r="F61" s="124">
        <v>5374.7458895664186</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0.01</v>
      </c>
      <c r="D64" s="133">
        <f>D55</f>
        <v>0.03</v>
      </c>
      <c r="E64" s="133">
        <f>E55</f>
        <v>0.05</v>
      </c>
      <c r="F64" s="133">
        <f>F55</f>
        <v>0.08</v>
      </c>
      <c r="H64" s="121"/>
    </row>
    <row r="65" spans="1:8" x14ac:dyDescent="0.15">
      <c r="A65" s="144">
        <v>0</v>
      </c>
      <c r="B65" s="125">
        <f>C12</f>
        <v>57.39240854701854</v>
      </c>
      <c r="C65" s="125">
        <f>C12</f>
        <v>57.39240854701854</v>
      </c>
      <c r="D65" s="125">
        <f>C12</f>
        <v>57.39240854701854</v>
      </c>
      <c r="E65" s="142">
        <f>C12</f>
        <v>57.39240854701854</v>
      </c>
      <c r="F65" s="125">
        <f>C12</f>
        <v>57.39240854701854</v>
      </c>
      <c r="H65" s="121"/>
    </row>
    <row r="66" spans="1:8" x14ac:dyDescent="0.15">
      <c r="A66" s="144">
        <f t="shared" ref="A66:A71" si="3">A56</f>
        <v>5</v>
      </c>
      <c r="B66" s="125">
        <f t="shared" ref="B66:F71" si="4">(B56-$C$7+$C$8+$C$9)/Common_Shares*$C$3*Exchange_Rate</f>
        <v>57.392408547018526</v>
      </c>
      <c r="C66" s="125">
        <f t="shared" si="4"/>
        <v>58.452181215835303</v>
      </c>
      <c r="D66" s="125">
        <f t="shared" si="4"/>
        <v>60.618998049203114</v>
      </c>
      <c r="E66" s="125">
        <f t="shared" si="4"/>
        <v>62.851155186009102</v>
      </c>
      <c r="F66" s="125">
        <f t="shared" si="4"/>
        <v>66.328161182731378</v>
      </c>
      <c r="H66" s="121"/>
    </row>
    <row r="67" spans="1:8" x14ac:dyDescent="0.15">
      <c r="A67" s="144">
        <f t="shared" si="3"/>
        <v>10</v>
      </c>
      <c r="B67" s="125">
        <f t="shared" si="4"/>
        <v>57.392408547018526</v>
      </c>
      <c r="C67" s="125">
        <f t="shared" si="4"/>
        <v>59.47804802990477</v>
      </c>
      <c r="D67" s="125">
        <f t="shared" si="4"/>
        <v>63.958424270286322</v>
      </c>
      <c r="E67" s="125">
        <f t="shared" si="4"/>
        <v>68.891945746106288</v>
      </c>
      <c r="F67" s="125">
        <f t="shared" si="4"/>
        <v>77.261722212488678</v>
      </c>
      <c r="H67" s="121"/>
    </row>
    <row r="68" spans="1:8" x14ac:dyDescent="0.15">
      <c r="A68" s="144">
        <f t="shared" si="3"/>
        <v>15</v>
      </c>
      <c r="B68" s="125">
        <f t="shared" si="4"/>
        <v>57.392408547018526</v>
      </c>
      <c r="C68" s="125">
        <f t="shared" si="4"/>
        <v>60.716277738906477</v>
      </c>
      <c r="D68" s="125">
        <f t="shared" si="4"/>
        <v>68.199388652726384</v>
      </c>
      <c r="E68" s="125">
        <f t="shared" si="4"/>
        <v>76.979362213282741</v>
      </c>
      <c r="F68" s="125">
        <f t="shared" si="4"/>
        <v>93.158026851742221</v>
      </c>
      <c r="H68" s="121"/>
    </row>
    <row r="69" spans="1:8" x14ac:dyDescent="0.15">
      <c r="A69" s="145">
        <f t="shared" si="3"/>
        <v>20</v>
      </c>
      <c r="B69" s="125">
        <f t="shared" si="4"/>
        <v>57.392408547018512</v>
      </c>
      <c r="C69" s="125">
        <f t="shared" si="4"/>
        <v>61.945287991676324</v>
      </c>
      <c r="D69" s="125">
        <f t="shared" si="4"/>
        <v>72.63859854968409</v>
      </c>
      <c r="E69" s="125">
        <f t="shared" si="4"/>
        <v>85.937273764257711</v>
      </c>
      <c r="F69" s="125">
        <f t="shared" si="4"/>
        <v>112.43189140280549</v>
      </c>
      <c r="H69" s="121"/>
    </row>
    <row r="70" spans="1:8" x14ac:dyDescent="0.15">
      <c r="A70" s="145">
        <f t="shared" si="3"/>
        <v>25</v>
      </c>
      <c r="B70" s="125">
        <f t="shared" si="4"/>
        <v>57.392408547018512</v>
      </c>
      <c r="C70" s="125">
        <f t="shared" si="4"/>
        <v>63.058046243199584</v>
      </c>
      <c r="D70" s="125">
        <f t="shared" si="4"/>
        <v>76.885045919943039</v>
      </c>
      <c r="E70" s="125">
        <f t="shared" si="4"/>
        <v>95.033861177717426</v>
      </c>
      <c r="F70" s="125">
        <f t="shared" si="4"/>
        <v>134.00446647682128</v>
      </c>
    </row>
    <row r="71" spans="1:8" x14ac:dyDescent="0.15">
      <c r="A71" s="145">
        <f t="shared" si="3"/>
        <v>30</v>
      </c>
      <c r="B71" s="125">
        <f t="shared" si="4"/>
        <v>57.392408547018512</v>
      </c>
      <c r="C71" s="125">
        <f t="shared" si="4"/>
        <v>64.013018530140087</v>
      </c>
      <c r="D71" s="125">
        <f t="shared" si="4"/>
        <v>80.741764564317407</v>
      </c>
      <c r="E71" s="125">
        <f t="shared" si="4"/>
        <v>103.8306786013801</v>
      </c>
      <c r="F71" s="125">
        <f t="shared" si="4"/>
        <v>157.1415053076033</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0.08</v>
      </c>
      <c r="D74" s="146">
        <f>Scenarios!C55</f>
        <v>15</v>
      </c>
      <c r="E74" s="136">
        <f>INDEX(B$65:F$71, MATCH(D74, A$65:A$71, 0), MATCH(C74, B$64:F$64, 0))</f>
        <v>93.158026851742221</v>
      </c>
      <c r="F74" s="143">
        <f>Scenarios!C58</f>
        <v>0.05</v>
      </c>
    </row>
    <row r="75" spans="1:8" x14ac:dyDescent="0.15">
      <c r="B75" s="128" t="str">
        <f>Scenarios!B36</f>
        <v>Optimistic</v>
      </c>
      <c r="C75" s="143">
        <f>Scenarios!C38</f>
        <v>0.05</v>
      </c>
      <c r="D75" s="146">
        <f>Scenarios!C37</f>
        <v>10</v>
      </c>
      <c r="E75" s="136">
        <f>INDEX(B$65:F$71, MATCH(D75, A$65:A$71, 0), MATCH(C75, B$64:F$64, 0))</f>
        <v>68.891945746106288</v>
      </c>
      <c r="F75" s="143">
        <f>Scenarios!C40*(1-F$74-F$78)</f>
        <v>0.18</v>
      </c>
      <c r="H75" s="121"/>
    </row>
    <row r="76" spans="1:8" x14ac:dyDescent="0.15">
      <c r="B76" s="128" t="str">
        <f>Scenarios!B24</f>
        <v>Base</v>
      </c>
      <c r="C76" s="143">
        <f>Scenarios!C26</f>
        <v>0.03</v>
      </c>
      <c r="D76" s="146">
        <f>Scenarios!C25</f>
        <v>10</v>
      </c>
      <c r="E76" s="136">
        <f>INDEX(B$65:F$71, MATCH(D76, A$65:A$71, 0), MATCH(C76, B$64:F$64, 0))</f>
        <v>63.958424270286322</v>
      </c>
      <c r="F76" s="143">
        <f>Scenarios!C28*(1-F$74-F$78)</f>
        <v>0.53999999999999992</v>
      </c>
      <c r="H76" s="121"/>
    </row>
    <row r="77" spans="1:8" x14ac:dyDescent="0.15">
      <c r="B77" s="128" t="str">
        <f>Scenarios!B30</f>
        <v>Pessimistic</v>
      </c>
      <c r="C77" s="143">
        <f>Scenarios!C32</f>
        <v>0.01</v>
      </c>
      <c r="D77" s="146">
        <f>Scenarios!C31</f>
        <v>10</v>
      </c>
      <c r="E77" s="136">
        <f>INDEX(B$65:F$71, MATCH(D77, A$65:A$71, 0), MATCH(C77, B$64:F$64, 0))</f>
        <v>59.47804802990477</v>
      </c>
      <c r="F77" s="143">
        <f>Scenarios!C34*(1-F$74-F$78)</f>
        <v>0.18</v>
      </c>
      <c r="H77" s="121"/>
    </row>
    <row r="78" spans="1:8" x14ac:dyDescent="0.15">
      <c r="B78" s="128" t="str">
        <f>Scenarios!B48</f>
        <v>Devil's advocate</v>
      </c>
      <c r="C78" s="143">
        <f>Scenarios!C50</f>
        <v>0</v>
      </c>
      <c r="D78" s="146">
        <f>Scenarios!C49</f>
        <v>15</v>
      </c>
      <c r="E78" s="136">
        <f>INDEX(B$65:F$71, MATCH(D78, A$65:A$71, 0), MATCH(C78, B$64:F$64, 0))</f>
        <v>57.392408547018526</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1000000</v>
      </c>
      <c r="E3" s="109" t="s">
        <v>125</v>
      </c>
      <c r="H3" s="121"/>
    </row>
    <row r="4" spans="2:8" x14ac:dyDescent="0.15">
      <c r="B4" s="100" t="s">
        <v>441</v>
      </c>
      <c r="C4" s="110">
        <f>Normalized_FCF!C91</f>
        <v>1285.5336932330101</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442</v>
      </c>
      <c r="C6" s="230">
        <f>(C4*(1+Terminal_Growth))/(Equity_Cost-Terminal_Growth)</f>
        <v>16069.171165412627</v>
      </c>
      <c r="D6" t="str">
        <f>Reporting_currency</f>
        <v>USD</v>
      </c>
      <c r="E6" s="355"/>
      <c r="F6" s="355"/>
      <c r="H6" s="121"/>
    </row>
    <row r="7" spans="2:8" x14ac:dyDescent="0.15">
      <c r="B7" s="150" t="s">
        <v>445</v>
      </c>
      <c r="C7" s="112">
        <f>(C6*scaling_factor)/Common_Shares*Exchange_Rate</f>
        <v>496.07569732500002</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3.5100095863245001E-2</v>
      </c>
      <c r="H11" s="121"/>
    </row>
    <row r="12" spans="2:8" ht="13.25" customHeight="1" x14ac:dyDescent="0.15">
      <c r="B12" s="119" t="s">
        <v>135</v>
      </c>
      <c r="C12" s="163">
        <f>Scenarios!C64</f>
        <v>10</v>
      </c>
      <c r="H12" s="121"/>
    </row>
    <row r="13" spans="2:8" ht="13.25" customHeight="1" x14ac:dyDescent="0.15">
      <c r="B13" s="154" t="s">
        <v>107</v>
      </c>
      <c r="C13" s="141">
        <f>F47/Common_Shares*scaling_factor</f>
        <v>70.950028167513793</v>
      </c>
      <c r="D13" t="str">
        <f>Market_currency</f>
        <v>HKD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1330.6560491009202</v>
      </c>
      <c r="D16" s="139">
        <f>IF($C$12&lt;B16,0,DDM!$C$11)</f>
        <v>3.5100095863245001E-2</v>
      </c>
      <c r="E16" s="125">
        <f t="shared" ref="E16:E45" si="0">IF($C$12&lt;B16,0,1/(1+Equity_Cost)^B16)</f>
        <v>0.92592592592592582</v>
      </c>
      <c r="F16" s="126">
        <f t="shared" ref="F16:F46" si="1">C16*E16</f>
        <v>1232.0889343527037</v>
      </c>
      <c r="H16" s="121"/>
    </row>
    <row r="17" spans="2:8" x14ac:dyDescent="0.15">
      <c r="B17" s="123">
        <v>2</v>
      </c>
      <c r="C17" s="124">
        <f t="shared" ref="C17:C45" si="2">IF(ROW()-ROW($C$16)&lt;$C$12, $C$16*(1+D17)^(ROW()-ROW($C$16)), 0)</f>
        <v>1377.3622039853694</v>
      </c>
      <c r="D17" s="139">
        <f>IF($C$12&lt;B17,0,DDM!$C$11)</f>
        <v>3.5100095863245001E-2</v>
      </c>
      <c r="E17" s="125">
        <f t="shared" si="0"/>
        <v>0.85733882030178321</v>
      </c>
      <c r="F17" s="126">
        <f t="shared" si="1"/>
        <v>1180.8660870930808</v>
      </c>
      <c r="H17" s="121"/>
    </row>
    <row r="18" spans="2:8" x14ac:dyDescent="0.15">
      <c r="B18" s="123">
        <v>3</v>
      </c>
      <c r="C18" s="124">
        <f t="shared" si="2"/>
        <v>1425.7077493836662</v>
      </c>
      <c r="D18" s="139">
        <f>IF($C$12&lt;B18,0,DDM!$C$11)</f>
        <v>3.5100095863245001E-2</v>
      </c>
      <c r="E18" s="125">
        <f t="shared" si="0"/>
        <v>0.79383224102016958</v>
      </c>
      <c r="F18" s="126">
        <f t="shared" si="1"/>
        <v>1131.7727777330581</v>
      </c>
      <c r="H18" s="121"/>
    </row>
    <row r="19" spans="2:8" x14ac:dyDescent="0.15">
      <c r="B19" s="123">
        <v>4</v>
      </c>
      <c r="C19" s="124">
        <f t="shared" si="2"/>
        <v>1475.750228060004</v>
      </c>
      <c r="D19" s="139">
        <f>IF($C$12&lt;B19,0,DDM!$C$11)</f>
        <v>3.5100095863245001E-2</v>
      </c>
      <c r="E19" s="125">
        <f t="shared" si="0"/>
        <v>0.73502985279645328</v>
      </c>
      <c r="F19" s="126">
        <f t="shared" si="1"/>
        <v>1084.720472895277</v>
      </c>
      <c r="H19" s="121"/>
    </row>
    <row r="20" spans="2:8" x14ac:dyDescent="0.15">
      <c r="B20" s="123">
        <v>5</v>
      </c>
      <c r="C20" s="124">
        <f t="shared" si="2"/>
        <v>1527.5492025351159</v>
      </c>
      <c r="D20" s="139">
        <f>IF($C$12&lt;B20,0,DDM!$C$11)</f>
        <v>3.5100095863245001E-2</v>
      </c>
      <c r="E20" s="125">
        <f t="shared" si="0"/>
        <v>0.68058319703375303</v>
      </c>
      <c r="F20" s="126">
        <f t="shared" si="1"/>
        <v>1039.6243198877091</v>
      </c>
      <c r="H20" s="121"/>
    </row>
    <row r="21" spans="2:8" x14ac:dyDescent="0.15">
      <c r="B21" s="123">
        <v>6</v>
      </c>
      <c r="C21" s="124">
        <f t="shared" si="2"/>
        <v>1581.166325979922</v>
      </c>
      <c r="D21" s="139">
        <f>IF($C$12&lt;B21,0,DDM!$C$11)</f>
        <v>3.5100095863245001E-2</v>
      </c>
      <c r="E21" s="125">
        <f t="shared" si="0"/>
        <v>0.63016962688310452</v>
      </c>
      <c r="F21" s="126">
        <f t="shared" si="1"/>
        <v>996.40299368289664</v>
      </c>
      <c r="H21" s="121"/>
    </row>
    <row r="22" spans="2:8" x14ac:dyDescent="0.15">
      <c r="B22" s="123">
        <v>7</v>
      </c>
      <c r="C22" s="124">
        <f t="shared" si="2"/>
        <v>1636.6654155975521</v>
      </c>
      <c r="D22" s="139">
        <f>IF($C$12&lt;B22,0,DDM!$C$11)</f>
        <v>3.5100095863245001E-2</v>
      </c>
      <c r="E22" s="125">
        <f t="shared" si="0"/>
        <v>0.58349039526213387</v>
      </c>
      <c r="F22" s="126">
        <f t="shared" si="1"/>
        <v>954.9785502588802</v>
      </c>
      <c r="H22" s="121"/>
    </row>
    <row r="23" spans="2:8" x14ac:dyDescent="0.15">
      <c r="B23" s="123">
        <v>8</v>
      </c>
      <c r="C23" s="124">
        <f t="shared" si="2"/>
        <v>1694.1125285810838</v>
      </c>
      <c r="D23" s="139">
        <f>IF($C$12&lt;B23,0,DDM!$C$11)</f>
        <v>3.5100095863245001E-2</v>
      </c>
      <c r="E23" s="125">
        <f t="shared" si="0"/>
        <v>0.54026888450197574</v>
      </c>
      <c r="F23" s="126">
        <f t="shared" si="1"/>
        <v>915.27628603732364</v>
      </c>
      <c r="H23" s="121"/>
    </row>
    <row r="24" spans="2:8" x14ac:dyDescent="0.15">
      <c r="B24" s="123">
        <v>9</v>
      </c>
      <c r="C24" s="124">
        <f t="shared" si="2"/>
        <v>1753.5760407374044</v>
      </c>
      <c r="D24" s="139">
        <f>IF($C$12&lt;B24,0,DDM!$C$11)</f>
        <v>3.5100095863245001E-2</v>
      </c>
      <c r="E24" s="125">
        <f t="shared" si="0"/>
        <v>0.50024896713145905</v>
      </c>
      <c r="F24" s="126">
        <f t="shared" si="1"/>
        <v>877.22460316535989</v>
      </c>
      <c r="H24" s="121"/>
    </row>
    <row r="25" spans="2:8" x14ac:dyDescent="0.15">
      <c r="B25" s="123">
        <v>10</v>
      </c>
      <c r="C25" s="124">
        <f t="shared" si="2"/>
        <v>1815.1267278707771</v>
      </c>
      <c r="D25" s="139">
        <f>IF($C$12&lt;B25,0,DDM!$C$11)</f>
        <v>3.5100095863245001E-2</v>
      </c>
      <c r="E25" s="125">
        <f t="shared" si="0"/>
        <v>0.46319348808468425</v>
      </c>
      <c r="F25" s="126">
        <f t="shared" si="1"/>
        <v>840.7548803982047</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16633.200613761503</v>
      </c>
      <c r="D46" s="140">
        <f>Terminal_Growth</f>
        <v>0</v>
      </c>
      <c r="E46" s="125">
        <f>1/(1+Equity_Cost)^C12</f>
        <v>0.46319348808468425</v>
      </c>
      <c r="F46" s="126">
        <f t="shared" si="1"/>
        <v>7704.3902103005012</v>
      </c>
      <c r="H46" s="121"/>
    </row>
    <row r="47" spans="2:8" x14ac:dyDescent="0.15">
      <c r="C47" s="115"/>
      <c r="E47" s="128" t="s">
        <v>101</v>
      </c>
      <c r="F47" s="138">
        <f>SUM(F16:F46)</f>
        <v>17958.100115804995</v>
      </c>
      <c r="H47" s="121"/>
    </row>
    <row r="48" spans="2:8" x14ac:dyDescent="0.15">
      <c r="C48" s="115"/>
      <c r="H48" s="121"/>
    </row>
    <row r="49" spans="1:8" x14ac:dyDescent="0.15">
      <c r="B49" s="120" t="s">
        <v>130</v>
      </c>
      <c r="C49" s="137"/>
      <c r="D49" s="137"/>
      <c r="E49" s="118"/>
      <c r="F49" s="118"/>
      <c r="H49" s="121"/>
    </row>
    <row r="50" spans="1:8" x14ac:dyDescent="0.15">
      <c r="A50" s="134">
        <f>F47</f>
        <v>17958.100115804995</v>
      </c>
      <c r="B50" s="132">
        <f>C73</f>
        <v>0</v>
      </c>
      <c r="C50" s="132">
        <f>C72</f>
        <v>0.01</v>
      </c>
      <c r="D50" s="132">
        <f>C71</f>
        <v>0.03</v>
      </c>
      <c r="E50" s="132">
        <f>C70</f>
        <v>0.05</v>
      </c>
      <c r="F50" s="132">
        <f>C69</f>
        <v>0.08</v>
      </c>
      <c r="H50" s="121"/>
    </row>
    <row r="51" spans="1:8" x14ac:dyDescent="0.15">
      <c r="A51" s="144">
        <v>5</v>
      </c>
      <c r="B51" s="124">
        <f t="dataTable" ref="B51:F56" dt2D="1" dtr="1" r1="C11" r2="C12"/>
        <v>16069.171165412623</v>
      </c>
      <c r="C51" s="124">
        <v>16326.509714558026</v>
      </c>
      <c r="D51" s="124">
        <v>16852.665480383981</v>
      </c>
      <c r="E51" s="124">
        <v>17394.68745920284</v>
      </c>
      <c r="F51" s="124">
        <v>18238.988982439303</v>
      </c>
      <c r="H51" s="121"/>
    </row>
    <row r="52" spans="1:8" x14ac:dyDescent="0.15">
      <c r="A52" s="144">
        <v>10</v>
      </c>
      <c r="B52" s="124">
        <v>16069.171165412619</v>
      </c>
      <c r="C52" s="124">
        <v>16575.615098492679</v>
      </c>
      <c r="D52" s="124">
        <v>17663.559291856909</v>
      </c>
      <c r="E52" s="124">
        <v>18861.538156685227</v>
      </c>
      <c r="F52" s="124">
        <v>20893.923210486391</v>
      </c>
      <c r="H52" s="121"/>
    </row>
    <row r="53" spans="1:8" x14ac:dyDescent="0.15">
      <c r="A53" s="144">
        <v>15</v>
      </c>
      <c r="B53" s="124">
        <v>16069.171165412616</v>
      </c>
      <c r="C53" s="124">
        <v>16876.287352268573</v>
      </c>
      <c r="D53" s="124">
        <v>18693.36847005826</v>
      </c>
      <c r="E53" s="124">
        <v>20825.359343281278</v>
      </c>
      <c r="F53" s="124">
        <v>24753.932147314415</v>
      </c>
      <c r="H53" s="121"/>
    </row>
    <row r="54" spans="1:8" x14ac:dyDescent="0.15">
      <c r="A54" s="145">
        <v>20</v>
      </c>
      <c r="B54" s="124">
        <v>16069.171165412617</v>
      </c>
      <c r="C54" s="124">
        <v>17174.720898102252</v>
      </c>
      <c r="D54" s="124">
        <v>19771.316475181346</v>
      </c>
      <c r="E54" s="124">
        <v>23000.557883242211</v>
      </c>
      <c r="F54" s="124">
        <v>29434.094682109095</v>
      </c>
      <c r="H54" s="121"/>
    </row>
    <row r="55" spans="1:8" x14ac:dyDescent="0.15">
      <c r="A55" s="145">
        <v>25</v>
      </c>
      <c r="B55" s="124">
        <v>16069.171165412617</v>
      </c>
      <c r="C55" s="124">
        <v>17444.925633912513</v>
      </c>
      <c r="D55" s="124">
        <v>20802.457056023864</v>
      </c>
      <c r="E55" s="124">
        <v>25209.430291480145</v>
      </c>
      <c r="F55" s="124">
        <v>34672.439974666646</v>
      </c>
      <c r="H55" s="121"/>
    </row>
    <row r="56" spans="1:8" x14ac:dyDescent="0.15">
      <c r="A56" s="145">
        <v>30</v>
      </c>
      <c r="B56" s="124">
        <v>16069.171165412619</v>
      </c>
      <c r="C56" s="124">
        <v>17676.816104412868</v>
      </c>
      <c r="D56" s="124">
        <v>21738.962034505166</v>
      </c>
      <c r="E56" s="124">
        <v>27345.511263854925</v>
      </c>
      <c r="F56" s="124">
        <v>40290.675073031583</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0.01</v>
      </c>
      <c r="D59" s="133">
        <f>D50</f>
        <v>0.03</v>
      </c>
      <c r="E59" s="133">
        <f>E50</f>
        <v>0.05</v>
      </c>
      <c r="F59" s="133">
        <f>F50</f>
        <v>0.08</v>
      </c>
      <c r="H59" s="121"/>
    </row>
    <row r="60" spans="1:8" x14ac:dyDescent="0.15">
      <c r="A60" s="144">
        <v>0</v>
      </c>
      <c r="B60" s="125">
        <f>C7</f>
        <v>496.07569732500002</v>
      </c>
      <c r="C60" s="125">
        <f>C7</f>
        <v>496.07569732500002</v>
      </c>
      <c r="D60" s="125">
        <f>C7</f>
        <v>496.07569732500002</v>
      </c>
      <c r="E60" s="142">
        <f>C7</f>
        <v>496.07569732500002</v>
      </c>
      <c r="F60" s="125">
        <f>C7</f>
        <v>496.07569732500002</v>
      </c>
      <c r="H60" s="121"/>
    </row>
    <row r="61" spans="1:8" x14ac:dyDescent="0.15">
      <c r="A61" s="144">
        <f t="shared" ref="A61:A66" si="3">A51</f>
        <v>5</v>
      </c>
      <c r="B61" s="125">
        <f t="shared" ref="B61:F66" si="4">B51/Common_Shares*$C$3*Exchange_Rate</f>
        <v>496.07569732499985</v>
      </c>
      <c r="C61" s="125">
        <f t="shared" si="4"/>
        <v>504.02006476634534</v>
      </c>
      <c r="D61" s="125">
        <f t="shared" si="4"/>
        <v>520.26316067632513</v>
      </c>
      <c r="E61" s="125">
        <f t="shared" si="4"/>
        <v>536.99606670739593</v>
      </c>
      <c r="F61" s="125">
        <f t="shared" si="4"/>
        <v>563.06072571069262</v>
      </c>
      <c r="H61" s="121"/>
    </row>
    <row r="62" spans="1:8" x14ac:dyDescent="0.15">
      <c r="A62" s="144">
        <f t="shared" si="3"/>
        <v>10</v>
      </c>
      <c r="B62" s="125">
        <f t="shared" si="4"/>
        <v>496.07569732499974</v>
      </c>
      <c r="C62" s="125">
        <f t="shared" si="4"/>
        <v>511.71026395401583</v>
      </c>
      <c r="D62" s="125">
        <f t="shared" si="4"/>
        <v>545.29648124041228</v>
      </c>
      <c r="E62" s="125">
        <f t="shared" si="4"/>
        <v>582.27960841186643</v>
      </c>
      <c r="F62" s="125">
        <f t="shared" si="4"/>
        <v>645.0219130658495</v>
      </c>
      <c r="H62" s="121"/>
    </row>
    <row r="63" spans="1:8" x14ac:dyDescent="0.15">
      <c r="A63" s="144">
        <f t="shared" si="3"/>
        <v>15</v>
      </c>
      <c r="B63" s="125">
        <f t="shared" si="4"/>
        <v>496.07569732499962</v>
      </c>
      <c r="C63" s="125">
        <f t="shared" si="4"/>
        <v>520.99239782531345</v>
      </c>
      <c r="D63" s="125">
        <f t="shared" si="4"/>
        <v>577.08799686553084</v>
      </c>
      <c r="E63" s="125">
        <f t="shared" si="4"/>
        <v>642.90525951322047</v>
      </c>
      <c r="F63" s="125">
        <f t="shared" si="4"/>
        <v>764.18528529622574</v>
      </c>
      <c r="H63" s="121"/>
    </row>
    <row r="64" spans="1:8" x14ac:dyDescent="0.15">
      <c r="A64" s="145">
        <f t="shared" si="3"/>
        <v>20</v>
      </c>
      <c r="B64" s="125">
        <f t="shared" si="4"/>
        <v>496.07569732499974</v>
      </c>
      <c r="C64" s="125">
        <f t="shared" si="4"/>
        <v>530.20541994267489</v>
      </c>
      <c r="D64" s="125">
        <f t="shared" si="4"/>
        <v>610.36561914094182</v>
      </c>
      <c r="E64" s="125">
        <f t="shared" si="4"/>
        <v>710.05639764124192</v>
      </c>
      <c r="F64" s="125">
        <f t="shared" si="4"/>
        <v>908.66783944561985</v>
      </c>
      <c r="H64" s="121"/>
    </row>
    <row r="65" spans="1:8" x14ac:dyDescent="0.15">
      <c r="A65" s="145">
        <f t="shared" si="3"/>
        <v>25</v>
      </c>
      <c r="B65" s="125">
        <f t="shared" si="4"/>
        <v>496.07569732499974</v>
      </c>
      <c r="C65" s="125">
        <f t="shared" si="4"/>
        <v>538.5469828868861</v>
      </c>
      <c r="D65" s="125">
        <f t="shared" si="4"/>
        <v>642.19823685445306</v>
      </c>
      <c r="E65" s="125">
        <f t="shared" si="4"/>
        <v>778.24709079765819</v>
      </c>
      <c r="F65" s="125">
        <f t="shared" si="4"/>
        <v>1070.3822033717379</v>
      </c>
    </row>
    <row r="66" spans="1:8" x14ac:dyDescent="0.15">
      <c r="A66" s="145">
        <f t="shared" si="3"/>
        <v>30</v>
      </c>
      <c r="B66" s="125">
        <f t="shared" si="4"/>
        <v>496.07569732499974</v>
      </c>
      <c r="C66" s="125">
        <f t="shared" si="4"/>
        <v>545.7057358600382</v>
      </c>
      <c r="D66" s="125">
        <f t="shared" si="4"/>
        <v>671.1093334795487</v>
      </c>
      <c r="E66" s="125">
        <f t="shared" si="4"/>
        <v>844.19061999437861</v>
      </c>
      <c r="F66" s="125">
        <f t="shared" si="4"/>
        <v>1243.8242474863764</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0.08</v>
      </c>
      <c r="D69" s="146">
        <f>Scenarios!C55</f>
        <v>15</v>
      </c>
      <c r="E69" s="136">
        <f>INDEX(B$60:F$66, MATCH(D69, A$60:A$66, 0), MATCH(C69, B$59:F$59, 0))</f>
        <v>764.18528529622574</v>
      </c>
      <c r="F69" s="143">
        <f>Scenarios!C58</f>
        <v>0.05</v>
      </c>
    </row>
    <row r="70" spans="1:8" x14ac:dyDescent="0.15">
      <c r="B70" s="128" t="str">
        <f>Scenarios!B36</f>
        <v>Optimistic</v>
      </c>
      <c r="C70" s="143">
        <f>Scenarios!C38</f>
        <v>0.05</v>
      </c>
      <c r="D70" s="146">
        <f>Scenarios!C37</f>
        <v>10</v>
      </c>
      <c r="E70" s="136">
        <f>INDEX(B$60:F$66, MATCH(D70, A$60:A$66, 0), MATCH(C70, B$59:F$59, 0))</f>
        <v>582.27960841186643</v>
      </c>
      <c r="F70" s="143">
        <f>Scenarios!C40*(1-F$69-F$73)</f>
        <v>0.18</v>
      </c>
      <c r="H70" s="121"/>
    </row>
    <row r="71" spans="1:8" x14ac:dyDescent="0.15">
      <c r="B71" s="128" t="str">
        <f>Scenarios!B24</f>
        <v>Base</v>
      </c>
      <c r="C71" s="143">
        <f>Scenarios!C26</f>
        <v>0.03</v>
      </c>
      <c r="D71" s="146">
        <f>Scenarios!C25</f>
        <v>10</v>
      </c>
      <c r="E71" s="136">
        <f>INDEX(B$60:F$66, MATCH(D71, A$60:A$66, 0), MATCH(C71, B$59:F$59, 0))</f>
        <v>545.29648124041228</v>
      </c>
      <c r="F71" s="143">
        <f>Scenarios!C28*(1-F$69-F$73)</f>
        <v>0.53999999999999992</v>
      </c>
      <c r="H71" s="121"/>
    </row>
    <row r="72" spans="1:8" x14ac:dyDescent="0.15">
      <c r="B72" s="128" t="str">
        <f>Scenarios!B30</f>
        <v>Pessimistic</v>
      </c>
      <c r="C72" s="143">
        <f>Scenarios!C32</f>
        <v>0.01</v>
      </c>
      <c r="D72" s="146">
        <f>Scenarios!C31</f>
        <v>10</v>
      </c>
      <c r="E72" s="136">
        <f>INDEX(B$60:F$66, MATCH(D72, A$60:A$66, 0), MATCH(C72, B$59:F$59, 0))</f>
        <v>511.71026395401583</v>
      </c>
      <c r="F72" s="143">
        <f>Scenarios!C34*(1-F$69-F$73)</f>
        <v>0.18</v>
      </c>
      <c r="H72" s="121"/>
    </row>
    <row r="73" spans="1:8" x14ac:dyDescent="0.15">
      <c r="B73" s="128" t="str">
        <f>Scenarios!B48</f>
        <v>Devil's advocate</v>
      </c>
      <c r="C73" s="143">
        <f>Scenarios!C50</f>
        <v>0</v>
      </c>
      <c r="D73" s="146">
        <f>Scenarios!C49</f>
        <v>15</v>
      </c>
      <c r="E73" s="136">
        <f>INDEX(B$60:F$66, MATCH(D73, A$60:A$66, 0), MATCH(C73, B$59:F$59, 0))</f>
        <v>496.07569732499962</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-51.75</v>
      </c>
    </row>
    <row r="4" spans="2:9" x14ac:dyDescent="0.15">
      <c r="B4" s="153" t="s">
        <v>147</v>
      </c>
      <c r="C4" s="121">
        <v>3</v>
      </c>
      <c r="D4" s="121"/>
      <c r="E4" s="156" t="s">
        <v>151</v>
      </c>
      <c r="F4" s="156"/>
      <c r="H4" s="269">
        <v>1</v>
      </c>
      <c r="I4" s="125">
        <f t="shared" ref="I4:I13" si="0">IF(ROW()-3 &lt; $C$76, $C$77, IF(ROW()-3 = $C$76, $C$77 + $C$60, ""))</f>
        <v>5.07897</v>
      </c>
    </row>
    <row r="5" spans="2:9" x14ac:dyDescent="0.15">
      <c r="H5" s="269">
        <v>2</v>
      </c>
      <c r="I5" s="125">
        <f t="shared" si="0"/>
        <v>5.07897</v>
      </c>
    </row>
    <row r="6" spans="2:9" x14ac:dyDescent="0.15">
      <c r="B6" s="160" t="s">
        <v>96</v>
      </c>
      <c r="C6" s="107">
        <f>DCF!C3</f>
        <v>1000000</v>
      </c>
      <c r="E6" s="100" t="s">
        <v>280</v>
      </c>
      <c r="F6" s="100"/>
      <c r="H6" s="269">
        <v>3</v>
      </c>
      <c r="I6" s="125">
        <f t="shared" si="0"/>
        <v>70.250639755574639</v>
      </c>
    </row>
    <row r="7" spans="2:9" ht="12.75" customHeight="1" x14ac:dyDescent="0.15">
      <c r="B7" s="100" t="s">
        <v>276</v>
      </c>
      <c r="C7" s="115">
        <f>Normalized_FCF!G8</f>
        <v>196.90000000000003</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7"/>
      <c r="H7" s="269">
        <v>4</v>
      </c>
      <c r="I7" s="125" t="str">
        <f t="shared" si="0"/>
        <v/>
      </c>
    </row>
    <row r="8" spans="2:9" x14ac:dyDescent="0.15">
      <c r="B8" s="100" t="s">
        <v>66</v>
      </c>
      <c r="C8" s="115">
        <f>Normalized_FCF!G19</f>
        <v>199.70000000000005</v>
      </c>
      <c r="D8" t="str">
        <f>Reporting_currency</f>
        <v>USD</v>
      </c>
      <c r="E8" s="357"/>
      <c r="F8" s="357"/>
      <c r="H8" s="269">
        <v>5</v>
      </c>
      <c r="I8" s="125" t="str">
        <f t="shared" si="0"/>
        <v/>
      </c>
    </row>
    <row r="9" spans="2:9" x14ac:dyDescent="0.15">
      <c r="B9" s="100" t="s">
        <v>57</v>
      </c>
      <c r="C9" s="115">
        <f>Normalized_FCF!C19</f>
        <v>171.48923221264295</v>
      </c>
      <c r="D9" t="str">
        <f>Reporting_currency</f>
        <v>USD</v>
      </c>
      <c r="E9" s="357"/>
      <c r="F9" s="357"/>
      <c r="H9" s="269">
        <v>6</v>
      </c>
      <c r="I9" s="125" t="str">
        <f t="shared" si="0"/>
        <v/>
      </c>
    </row>
    <row r="10" spans="2:9" x14ac:dyDescent="0.15">
      <c r="E10" s="357"/>
      <c r="F10" s="357"/>
      <c r="H10" s="269">
        <v>7</v>
      </c>
      <c r="I10" s="125" t="str">
        <f t="shared" si="0"/>
        <v/>
      </c>
    </row>
    <row r="11" spans="2:9" x14ac:dyDescent="0.15">
      <c r="B11" s="160" t="s">
        <v>448</v>
      </c>
      <c r="E11" s="357"/>
      <c r="F11" s="357"/>
      <c r="H11" s="269">
        <v>8</v>
      </c>
      <c r="I11" s="125" t="str">
        <f t="shared" si="0"/>
        <v/>
      </c>
    </row>
    <row r="12" spans="2:9" ht="14" x14ac:dyDescent="0.15">
      <c r="B12" s="119" t="s">
        <v>145</v>
      </c>
      <c r="C12" s="159">
        <f ca="1">(Normalized_FCF!G4/OFFSET(Normalized_FCF!G4, 0, $C$4))^(1/$C$4) - 1</f>
        <v>-3.2910954099016121E-2</v>
      </c>
      <c r="D12" s="159"/>
      <c r="E12" s="357"/>
      <c r="F12" s="357"/>
      <c r="H12" s="269">
        <v>9</v>
      </c>
      <c r="I12" s="125" t="str">
        <f t="shared" si="0"/>
        <v/>
      </c>
    </row>
    <row r="13" spans="2:9" x14ac:dyDescent="0.15">
      <c r="B13" s="149" t="s">
        <v>153</v>
      </c>
      <c r="C13" s="159">
        <f ca="1">(Normalized_FCF!G8/OFFSET(Normalized_FCF!G8, 0, $C$4))^(1/$C$4) - 1</f>
        <v>-9.0823625892916704E-2</v>
      </c>
      <c r="E13" s="357"/>
      <c r="F13" s="357"/>
      <c r="H13" s="269">
        <v>10</v>
      </c>
      <c r="I13" s="125" t="str">
        <f t="shared" si="0"/>
        <v/>
      </c>
    </row>
    <row r="14" spans="2:9" x14ac:dyDescent="0.15">
      <c r="B14" s="100" t="s">
        <v>66</v>
      </c>
      <c r="C14" s="159">
        <f ca="1">(Normalized_FCF!G19/OFFSET(Normalized_FCF!G19, 0, $C$4))^(1/$C$4) - 1</f>
        <v>-9.5087824202677584E-2</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7" t="s">
        <v>331</v>
      </c>
      <c r="F18" s="358"/>
    </row>
    <row r="19" spans="2:6" x14ac:dyDescent="0.15">
      <c r="E19" s="358"/>
      <c r="F19" s="358"/>
    </row>
    <row r="20" spans="2:6" x14ac:dyDescent="0.15">
      <c r="B20" s="160" t="s">
        <v>304</v>
      </c>
      <c r="E20" s="358"/>
      <c r="F20" s="358"/>
    </row>
    <row r="21" spans="2:6" x14ac:dyDescent="0.15">
      <c r="B21" s="100" t="s">
        <v>278</v>
      </c>
      <c r="C21" s="161">
        <f>Market_Price</f>
        <v>51.75</v>
      </c>
      <c r="D21" t="str">
        <f>Market_currency</f>
        <v>HKD</v>
      </c>
      <c r="E21" s="358"/>
      <c r="F21" s="358"/>
    </row>
    <row r="22" spans="2:6" x14ac:dyDescent="0.15">
      <c r="B22" s="100" t="s">
        <v>279</v>
      </c>
      <c r="C22" s="161">
        <f>IF(valuation_method="DCF",DCF!C12,DDM!C7)</f>
        <v>57.39240854701854</v>
      </c>
      <c r="D22" t="str">
        <f>Market_currency</f>
        <v>HKD</v>
      </c>
      <c r="E22" s="358"/>
      <c r="F22" s="358"/>
    </row>
    <row r="24" spans="2:6" x14ac:dyDescent="0.15">
      <c r="B24" s="160" t="s">
        <v>116</v>
      </c>
      <c r="E24" s="160" t="s">
        <v>150</v>
      </c>
      <c r="F24" s="160"/>
    </row>
    <row r="25" spans="2:6" x14ac:dyDescent="0.15">
      <c r="B25" s="153" t="s">
        <v>134</v>
      </c>
      <c r="C25" s="167">
        <f>C18</f>
        <v>10</v>
      </c>
      <c r="D25" s="164"/>
      <c r="E25" s="356"/>
      <c r="F25" s="356"/>
    </row>
    <row r="26" spans="2:6" ht="14" x14ac:dyDescent="0.15">
      <c r="B26" s="119" t="s">
        <v>135</v>
      </c>
      <c r="C26" s="165">
        <v>0.03</v>
      </c>
      <c r="D26" s="165"/>
      <c r="E26" s="356"/>
      <c r="F26" s="356"/>
    </row>
    <row r="27" spans="2:6" x14ac:dyDescent="0.15">
      <c r="B27" s="100" t="s">
        <v>114</v>
      </c>
      <c r="C27" s="161">
        <f>IF(valuation_method="DCF",DCF!E76,DDM!E71)</f>
        <v>63.958424270286322</v>
      </c>
      <c r="D27" s="161" t="str">
        <f>Market_currency</f>
        <v>HKD</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10</v>
      </c>
      <c r="D31" s="164"/>
      <c r="E31" s="356"/>
      <c r="F31" s="356"/>
    </row>
    <row r="32" spans="2:6" ht="14" x14ac:dyDescent="0.15">
      <c r="B32" s="119" t="s">
        <v>135</v>
      </c>
      <c r="C32" s="165">
        <v>0.01</v>
      </c>
      <c r="D32" s="165"/>
      <c r="E32" s="356"/>
      <c r="F32" s="356"/>
    </row>
    <row r="33" spans="2:6" x14ac:dyDescent="0.15">
      <c r="B33" s="100" t="s">
        <v>114</v>
      </c>
      <c r="C33" s="161">
        <f>IF(valuation_method="DCF",DCF!E77,DDM!E72)</f>
        <v>59.47804802990477</v>
      </c>
      <c r="D33" t="str">
        <f>Market_currency</f>
        <v>HKD</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10</v>
      </c>
      <c r="D37" s="164"/>
      <c r="E37" s="356"/>
      <c r="F37" s="356"/>
    </row>
    <row r="38" spans="2:6" ht="14" x14ac:dyDescent="0.15">
      <c r="B38" s="119" t="s">
        <v>135</v>
      </c>
      <c r="C38" s="165">
        <v>0.05</v>
      </c>
      <c r="D38" s="165"/>
      <c r="E38" s="356"/>
      <c r="F38" s="356"/>
    </row>
    <row r="39" spans="2:6" x14ac:dyDescent="0.15">
      <c r="B39" s="100" t="s">
        <v>114</v>
      </c>
      <c r="C39" s="161">
        <f>IF(valuation_method="DCF",DCF!E75,DDM!E70)</f>
        <v>68.891945746106288</v>
      </c>
      <c r="D39" t="str">
        <f>Market_currency</f>
        <v>HKD</v>
      </c>
      <c r="E39" s="356"/>
      <c r="F39" s="356"/>
    </row>
    <row r="40" spans="2:6" x14ac:dyDescent="0.15">
      <c r="B40" s="100" t="s">
        <v>148</v>
      </c>
      <c r="C40" s="168">
        <f>1-C28-C34</f>
        <v>0.2</v>
      </c>
      <c r="D40" s="166"/>
      <c r="E40" s="356"/>
      <c r="F40" s="356"/>
    </row>
    <row r="42" spans="2:6" x14ac:dyDescent="0.15">
      <c r="B42" s="100" t="s">
        <v>121</v>
      </c>
      <c r="C42" s="155">
        <f>C27*C28+C33*C34+C39*C40</f>
        <v>64.049053317374003</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6"/>
      <c r="F49" s="356"/>
    </row>
    <row r="50" spans="2:6" ht="14" x14ac:dyDescent="0.15">
      <c r="B50" s="119" t="s">
        <v>135</v>
      </c>
      <c r="C50" s="165">
        <v>0</v>
      </c>
      <c r="D50" s="165"/>
      <c r="E50" s="356"/>
      <c r="F50" s="356"/>
    </row>
    <row r="51" spans="2:6" x14ac:dyDescent="0.15">
      <c r="B51" s="100" t="s">
        <v>114</v>
      </c>
      <c r="C51" s="161">
        <f>IF(valuation_method="DCF",DCF!E78,DDM!E73)</f>
        <v>57.392408547018526</v>
      </c>
      <c r="D51" t="str">
        <f>Market_currency</f>
        <v>HKD</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15</v>
      </c>
      <c r="D55" s="164"/>
      <c r="E55" s="356"/>
      <c r="F55" s="356"/>
    </row>
    <row r="56" spans="2:6" ht="14" x14ac:dyDescent="0.15">
      <c r="B56" s="119" t="s">
        <v>135</v>
      </c>
      <c r="C56" s="165">
        <v>0.08</v>
      </c>
      <c r="D56" s="165"/>
      <c r="E56" s="356"/>
      <c r="F56" s="356"/>
    </row>
    <row r="57" spans="2:6" x14ac:dyDescent="0.15">
      <c r="B57" s="100" t="s">
        <v>114</v>
      </c>
      <c r="C57" s="161">
        <f>IF(valuation_method="DCF",DCF!E74,DDM!E69)</f>
        <v>93.158026851742221</v>
      </c>
      <c r="D57" t="str">
        <f>Market_currency</f>
        <v>HKD</v>
      </c>
      <c r="E57" s="356"/>
      <c r="F57" s="356"/>
    </row>
    <row r="58" spans="2:6" x14ac:dyDescent="0.15">
      <c r="B58" s="100" t="s">
        <v>148</v>
      </c>
      <c r="C58" s="166">
        <v>0.05</v>
      </c>
      <c r="D58" s="166"/>
      <c r="E58" s="356"/>
      <c r="F58" s="356"/>
    </row>
    <row r="60" spans="2:6" x14ac:dyDescent="0.15">
      <c r="B60" s="100" t="s">
        <v>121</v>
      </c>
      <c r="C60" s="155">
        <f>C51*C52+C57*C58+C42*(1-C52-C58)</f>
        <v>65.171669755574641</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3.5100095863245001E-2</v>
      </c>
      <c r="D65" s="152"/>
      <c r="E65" s="273" t="s">
        <v>313</v>
      </c>
    </row>
    <row r="66" spans="2:6" x14ac:dyDescent="0.15">
      <c r="B66" s="100" t="s">
        <v>103</v>
      </c>
      <c r="C66" s="161">
        <f>IF(valuation_method="DCF",DCF!C18,DDM!C13)</f>
        <v>65.171403499817089</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-0.13477816515635718</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5.07897</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8.0700835276967897</v>
      </c>
      <c r="D81" s="117"/>
      <c r="E81" s="100"/>
      <c r="F81" s="100"/>
    </row>
    <row r="82" spans="2:8" x14ac:dyDescent="0.15">
      <c r="B82" s="100" t="s">
        <v>123</v>
      </c>
      <c r="C82" s="117">
        <f>C60/(1+C80)^C76</f>
        <v>23.750608511506798</v>
      </c>
      <c r="D82" s="117"/>
    </row>
    <row r="83" spans="2:8" x14ac:dyDescent="0.15">
      <c r="B83" s="111" t="s">
        <v>102</v>
      </c>
      <c r="C83" s="112">
        <f>C81+C82</f>
        <v>31.820692039203585</v>
      </c>
      <c r="D83" t="str">
        <f>Market_currency</f>
        <v>HKD</v>
      </c>
      <c r="E83" s="147" t="s">
        <v>127</v>
      </c>
      <c r="F83" s="319">
        <f>(1-C83/C60)</f>
        <v>0.51174042097514749</v>
      </c>
    </row>
    <row r="84" spans="2:8" x14ac:dyDescent="0.15">
      <c r="E84" s="121"/>
    </row>
    <row r="85" spans="2:8" x14ac:dyDescent="0.15">
      <c r="B85" s="109" t="s">
        <v>303</v>
      </c>
    </row>
    <row r="86" spans="2:8" x14ac:dyDescent="0.15">
      <c r="B86" s="149" t="s">
        <v>301</v>
      </c>
      <c r="C86" s="117">
        <f>Market_Price</f>
        <v>51.75</v>
      </c>
      <c r="D86" t="str">
        <f>Market_currency</f>
        <v>HKD</v>
      </c>
    </row>
    <row r="87" spans="2:8" x14ac:dyDescent="0.15">
      <c r="B87" s="100" t="s">
        <v>299</v>
      </c>
      <c r="C87" s="259">
        <f ca="1">IRR(OFFSET($I$3, 0, 0, $C$76 + 1, 1))</f>
        <v>0.17133897517982155</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10.413924272385298</v>
      </c>
      <c r="D91" s="117"/>
      <c r="E91" s="100"/>
      <c r="F91" s="100"/>
    </row>
    <row r="92" spans="2:8" x14ac:dyDescent="0.15">
      <c r="B92" s="100" t="s">
        <v>123</v>
      </c>
      <c r="C92" s="117">
        <f>C60/(1+C90)^C76</f>
        <v>36.120932694422855</v>
      </c>
      <c r="D92" s="117"/>
    </row>
    <row r="93" spans="2:8" x14ac:dyDescent="0.15">
      <c r="B93" s="111" t="s">
        <v>102</v>
      </c>
      <c r="C93" s="112">
        <f>C91+C92</f>
        <v>46.53485696680815</v>
      </c>
      <c r="D93" t="str">
        <f>Market_currency</f>
        <v>HKD</v>
      </c>
      <c r="E93" s="147" t="s">
        <v>127</v>
      </c>
      <c r="F93" s="319">
        <f>(1-C93/C60)</f>
        <v>0.28596494241537118</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13.088998285322367</v>
      </c>
      <c r="D97" s="117"/>
      <c r="G97" s="2"/>
      <c r="H97" s="306"/>
    </row>
    <row r="98" spans="2:8" x14ac:dyDescent="0.15">
      <c r="B98" s="100" t="s">
        <v>123</v>
      </c>
      <c r="C98" s="117">
        <f>C60/(1+C96)^C76</f>
        <v>51.735372653094224</v>
      </c>
      <c r="D98" s="117"/>
      <c r="G98" s="2"/>
      <c r="H98" s="306"/>
    </row>
    <row r="99" spans="2:8" x14ac:dyDescent="0.15">
      <c r="B99" s="111" t="s">
        <v>399</v>
      </c>
      <c r="C99" s="112">
        <f>C97+C98</f>
        <v>64.824370938416592</v>
      </c>
      <c r="D99" t="s">
        <v>397</v>
      </c>
      <c r="E99" s="147" t="s">
        <v>127</v>
      </c>
      <c r="F99" s="319">
        <f>(1-C99/C60)</f>
        <v>5.3289844875938908E-3</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12.253538898548621</v>
      </c>
      <c r="D103" s="117"/>
    </row>
    <row r="104" spans="2:8" x14ac:dyDescent="0.15">
      <c r="B104" s="100" t="s">
        <v>123</v>
      </c>
      <c r="C104" s="117">
        <f>C60/(1+C102)^C76</f>
        <v>46.712471627436607</v>
      </c>
      <c r="D104" s="117"/>
    </row>
    <row r="105" spans="2:8" x14ac:dyDescent="0.15">
      <c r="B105" s="111" t="s">
        <v>399</v>
      </c>
      <c r="C105" s="112">
        <f>C103+C104</f>
        <v>58.966010525985226</v>
      </c>
      <c r="D105" t="s">
        <v>397</v>
      </c>
      <c r="E105" s="147" t="s">
        <v>127</v>
      </c>
      <c r="F105" s="319">
        <f>(1-C105/C66)</f>
        <v>9.5216500498555012E-2</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