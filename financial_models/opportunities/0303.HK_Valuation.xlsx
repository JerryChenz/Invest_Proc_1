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3C2FA2-E91F-4385-8163-78A02CC5594E}"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K94" i="2"/>
  <c r="P92" i="2"/>
  <c r="P94" i="2"/>
  <c r="Q92" i="2"/>
  <c r="Q94" i="2"/>
  <c r="L94" i="2"/>
  <c r="M94" i="2"/>
  <c r="H94" i="2"/>
  <c r="C147" i="6"/>
  <c r="C147" i="12"/>
  <c r="C163" i="6"/>
  <c r="C163" i="12"/>
  <c r="C171" i="6"/>
  <c r="C171" i="12"/>
  <c r="C155" i="6"/>
  <c r="C155" i="12"/>
  <c r="L119" i="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<sst xmlns="http://schemas.openxmlformats.org/spreadsheetml/2006/main" count="836" uniqueCount="561">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</sst>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62.55</v>
      </c>
      <c r="D12" s="50"/>
      <c r="E12" s="48"/>
    </row>
    <row r="13" spans="1:10">
      <c r="B13" s="1" t="s">
        <v>464</v>
      </c>
      <c r="C13" s="48" t="s">
        <v>377</v>
      </c>
      <c r="D13" s="48"/>
      <c r="E13" s="5"/>
    </row>
    <row r="14" spans="1:10">
      <c r="B14" s="4" t="s">
        <v>465</v>
      </c>
      <c r="C14" s="35">
        <f>Thesis!C12*Common_Shares/1000000</f>
        <v>15831.97626915</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7.8007999999999997</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69.823572795407159</v>
      </c>
      <c r="D26" s="1" t="s">
        <v>380</v>
      </c>
      <c r="E26" s="301">
        <f ca="1">Scenarios!C87</f>
        <v>0.11566790135718907</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36.978231974966072</v>
      </c>
      <c r="D29" s="310" t="str">
        <f>D149</f>
        <v/>
      </c>
      <c r="E29" s="306" t="s">
        <v>400</v>
      </c>
      <c r="F29" s="302">
        <v>0.35</v>
      </c>
    </row>
    <row r="30" spans="2:6">
      <c r="B30" s="1" t="s">
        <v>402</v>
      </c>
      <c r="C30" s="311">
        <f>C157</f>
        <v>45.647324311248468</v>
      </c>
      <c r="D30" s="311" t="str">
        <f>D157</f>
        <v/>
      </c>
      <c r="E30" s="307" t="s">
        <v>413</v>
      </c>
      <c r="F30" s="312">
        <v>0.25</v>
      </c>
    </row>
    <row r="31" spans="2:6">
      <c r="B31" s="1" t="s">
        <v>403</v>
      </c>
      <c r="C31" s="311">
        <f>C165</f>
        <v>69.391240697121745</v>
      </c>
      <c r="D31" s="311" t="str">
        <f>D165</f>
        <v/>
      </c>
      <c r="E31" s="307" t="s">
        <v>412</v>
      </c>
      <c r="F31" s="312">
        <v>7.4999999999999997E-2</v>
      </c>
    </row>
    <row r="32" spans="2:6">
      <c r="B32" s="1" t="s">
        <v>404</v>
      </c>
      <c r="C32" s="311">
        <f>C173</f>
        <v>62.27992388066815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210.2763260031652</v>
      </c>
      <c r="D41" s="1" t="str">
        <f>Reporting_currency</f>
        <v>USD</v>
      </c>
    </row>
    <row r="42" spans="1:6">
      <c r="B42" s="47"/>
      <c r="C42" s="76"/>
    </row>
    <row r="43" spans="1:6" ht="24.6" customHeight="1">
      <c r="B43" s="373" t="s">
        <v>229</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-33.887093790522258</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8.4496918129615628E-2</v>
      </c>
      <c r="F69" s="314"/>
    </row>
    <row r="70" spans="1:6">
      <c r="B70" s="227" t="s">
        <v>434</v>
      </c>
      <c r="C70" s="92">
        <f>Normalized_FCF!C94</f>
        <v>8.1063469224620308E-2</v>
      </c>
      <c r="E70" s="47" t="s">
        <v>424</v>
      </c>
      <c r="F70" s="315">
        <f>Normalized_FCF!C92</f>
        <v>7.4838221881346927</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70.470429720099446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155.30000000000001</v>
      </c>
      <c r="D102" s="1" t="str">
        <f>Reporting_currency</f>
        <v>USD</v>
      </c>
    </row>
    <row r="103" spans="2:6">
      <c r="B103" s="47" t="s">
        <v>276</v>
      </c>
      <c r="C103" s="223">
        <f>C102*scaling_factor*Exchange_Rate/Common_Shares</f>
        <v>4.7863315939689937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-129.43904958799959</v>
      </c>
      <c r="D109" s="1" t="str">
        <f>Reporting_currency</f>
        <v>USD</v>
      </c>
    </row>
    <row r="110" spans="2:6">
      <c r="B110" s="47" t="s">
        <v>277</v>
      </c>
      <c r="C110" s="223">
        <f>C109*scaling_factor*Exchange_Rate/Common_Shares</f>
        <v>-3.9892995012000112</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1.2019763822587943E-2</v>
      </c>
      <c r="D114" s="1" t="str">
        <f>Market_currency</f>
        <v>HKD</v>
      </c>
    </row>
    <row r="116" spans="1:6" ht="24.6" customHeight="1">
      <c r="B116" s="372" t="s">
        <v>352</v>
      </c>
      <c r="C116" s="372"/>
      <c r="D116" s="372"/>
      <c r="E116" s="372"/>
      <c r="F116" s="372"/>
    </row>
    <row r="118" spans="1:6">
      <c r="B118" s="47" t="s">
        <v>425</v>
      </c>
      <c r="C118" s="223">
        <f>IF(valuation_method="DCF",DCF!C12,DDM!C7)</f>
        <v>61.706818388753028</v>
      </c>
      <c r="D118" s="1" t="str">
        <f>Market_currency</f>
        <v>HKD</v>
      </c>
    </row>
    <row r="119" spans="1:6">
      <c r="B119" s="296" t="s">
        <v>549</v>
      </c>
      <c r="C119" s="223">
        <f>BS!D47</f>
        <v>-2.6580628996899964</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99.25 HKD</v>
      </c>
      <c r="F126" s="232">
        <f>DCF!F74</f>
        <v>0.05</v>
      </c>
    </row>
    <row r="127" spans="1:6">
      <c r="B127" s="218" t="str">
        <f>DCF!B75</f>
        <v>Optimistic</v>
      </c>
      <c r="C127" s="219">
        <f>DCF!C75</f>
        <v>0.05</v>
      </c>
      <c r="D127" s="220">
        <f>DCF!D75</f>
        <v>10</v>
      </c>
      <c r="E127" s="231" t="str">
        <f>ROUND(IF(valuation_method="DCF",DCF!E75,DDM!E70),2)&amp;" "&amp;Market_currency</f>
        <v>73.68 HKD</v>
      </c>
      <c r="F127" s="221">
        <f>DCF!F75</f>
        <v>0.18</v>
      </c>
    </row>
    <row r="128" spans="1:6">
      <c r="B128" s="218" t="str">
        <f>DCF!B76</f>
        <v>Base</v>
      </c>
      <c r="C128" s="219">
        <f>DCF!C76</f>
        <v>0.03</v>
      </c>
      <c r="D128" s="220">
        <f>DCF!D76</f>
        <v>10</v>
      </c>
      <c r="E128" s="231" t="str">
        <f>ROUND(IF(valuation_method="DCF",DCF!E76,DDM!E71),2)&amp;" "&amp;Market_currency</f>
        <v>68.55 HKD</v>
      </c>
      <c r="F128" s="221">
        <f>DCF!F76</f>
        <v>0.53999999999999992</v>
      </c>
    </row>
    <row r="129" spans="1:6">
      <c r="B129" s="218" t="str">
        <f>DCF!B77</f>
        <v>Pessimistic</v>
      </c>
      <c r="C129" s="219">
        <f>DCF!C77</f>
        <v>0.01</v>
      </c>
      <c r="D129" s="220">
        <f>DCF!D77</f>
        <v>10</v>
      </c>
      <c r="E129" s="231" t="str">
        <f>ROUND(IF(valuation_method="DCF",DCF!E77,DDM!E72),2)&amp;" "&amp;Market_currency</f>
        <v>63.88 HKD</v>
      </c>
      <c r="F129" s="221">
        <f>DCF!F77</f>
        <v>0.18</v>
      </c>
    </row>
    <row r="130" spans="1:6">
      <c r="B130" s="218" t="str">
        <f>DCF!B78</f>
        <v>Devil's advocate</v>
      </c>
      <c r="C130" s="219">
        <f>DCF!C78</f>
        <v>0</v>
      </c>
      <c r="D130" s="220">
        <f>DCF!D78</f>
        <v>15</v>
      </c>
      <c r="E130" s="231" t="str">
        <f>ROUND(IF(valuation_method="DCF",DCF!E78,DDM!E73),2)&amp;" "&amp;Market_currency</f>
        <v>61.71 HKD</v>
      </c>
      <c r="F130" s="221">
        <f>DCF!F78</f>
        <v>0.05</v>
      </c>
    </row>
    <row r="132" spans="1:6">
      <c r="B132" s="211" t="s">
        <v>254</v>
      </c>
      <c r="C132" s="217">
        <f>Scenarios!C60</f>
        <v>69.823572795407159</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5.0705200000000001</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8.5989919016410123</v>
      </c>
    </row>
    <row r="148" spans="2:4">
      <c r="B148" s="212" t="str">
        <f>"+ PV(Equity Value realized at year "&amp;C141&amp;")"</f>
        <v>+ PV(Equity Value realized at year 3)</v>
      </c>
      <c r="C148" s="216">
        <f>Scenarios!C82</f>
        <v>28.379240073325061</v>
      </c>
    </row>
    <row r="149" spans="2:4">
      <c r="B149" s="80" t="s">
        <v>256</v>
      </c>
      <c r="C149" s="215">
        <f>Scenarios!C83</f>
        <v>36.978231974966072</v>
      </c>
      <c r="D149" s="300" t="str">
        <f>IF($D$11="","",C149*$E$25)</f>
        <v/>
      </c>
    </row>
    <row r="150" spans="2:4">
      <c r="B150" s="259" t="s">
        <v>395</v>
      </c>
      <c r="C150" s="298" t="str">
        <f>Market_currency</f>
        <v>HKD</v>
      </c>
      <c r="D150" s="298" t="str">
        <f>IF($D$11="","",D$13)</f>
        <v/>
      </c>
    </row>
    <row r="151" spans="2:4">
      <c r="B151" s="214" t="s">
        <v>258</v>
      </c>
      <c r="C151" s="92">
        <f>Scenarios!F83</f>
        <v>0.47040475738304788</v>
      </c>
    </row>
    <row r="153" spans="2:4">
      <c r="B153" s="210" t="s">
        <v>391</v>
      </c>
    </row>
    <row r="154" spans="2:4">
      <c r="B154" s="1" t="s">
        <v>390</v>
      </c>
      <c r="C154" s="297">
        <f>Scenarios!C90</f>
        <v>0.25</v>
      </c>
    </row>
    <row r="155" spans="2:4">
      <c r="B155" s="212" t="str">
        <f>"PV("&amp;C141&amp;" yrs of Dividends)"</f>
        <v>PV(3 yrs of Dividends)</v>
      </c>
      <c r="C155" s="216">
        <f>Scenarios!C91</f>
        <v>9.8976550400000001</v>
      </c>
    </row>
    <row r="156" spans="2:4">
      <c r="B156" s="212" t="str">
        <f>"+ PV(Equity Value realized at year "&amp;C141&amp;")"</f>
        <v>+ PV(Equity Value realized at year 3)</v>
      </c>
      <c r="C156" s="216">
        <f>Scenarios!C92</f>
        <v>35.749669271248464</v>
      </c>
    </row>
    <row r="157" spans="2:4">
      <c r="B157" s="80" t="s">
        <v>256</v>
      </c>
      <c r="C157" s="215">
        <f>Scenarios!C93</f>
        <v>45.647324311248468</v>
      </c>
      <c r="D157" s="300" t="str">
        <f>IF($D$11="","",C157*$E$25)</f>
        <v/>
      </c>
    </row>
    <row r="158" spans="2:4">
      <c r="B158" s="259" t="s">
        <v>395</v>
      </c>
      <c r="C158" s="298" t="str">
        <f>Market_currency</f>
        <v>HKD</v>
      </c>
      <c r="D158" s="298" t="str">
        <f>IF($D$11="","",D$13)</f>
        <v/>
      </c>
    </row>
    <row r="159" spans="2:4">
      <c r="B159" s="214" t="s">
        <v>258</v>
      </c>
      <c r="C159" s="92">
        <f>Scenarios!F93</f>
        <v>0.34624765700544258</v>
      </c>
    </row>
    <row r="161" spans="2:4">
      <c r="B161" s="210" t="s">
        <v>381</v>
      </c>
    </row>
    <row r="162" spans="2:4">
      <c r="B162" s="1" t="s">
        <v>389</v>
      </c>
      <c r="C162" s="92">
        <f>Scenarios!C96</f>
        <v>7.4999999999999997E-2</v>
      </c>
    </row>
    <row r="163" spans="2:4">
      <c r="B163" s="212" t="str">
        <f>"PV("&amp;C141&amp;" yrs of Dividends)"</f>
        <v>PV(3 yrs of Dividends)</v>
      </c>
      <c r="C163" s="216">
        <f>Scenarios!C97</f>
        <v>13.186017774535571</v>
      </c>
    </row>
    <row r="164" spans="2:4">
      <c r="B164" s="212" t="str">
        <f>"+ PV(Equity Value realized at year "&amp;C141&amp;")"</f>
        <v>+ PV(Equity Value realized at year 3)</v>
      </c>
      <c r="C164" s="216">
        <f>Scenarios!C98</f>
        <v>56.205222922586174</v>
      </c>
    </row>
    <row r="165" spans="2:4">
      <c r="B165" s="80" t="s">
        <v>382</v>
      </c>
      <c r="C165" s="215">
        <f>Scenarios!C99</f>
        <v>69.391240697121745</v>
      </c>
      <c r="D165" s="300" t="str">
        <f>IF($D$11="","",C165*$E$25)</f>
        <v/>
      </c>
    </row>
    <row r="166" spans="2:4">
      <c r="B166" s="259" t="s">
        <v>395</v>
      </c>
      <c r="C166" s="298" t="str">
        <f>Market_currency</f>
        <v>HKD</v>
      </c>
      <c r="D166" s="298" t="str">
        <f>IF($D$11="","",D$13)</f>
        <v/>
      </c>
    </row>
    <row r="167" spans="2:4">
      <c r="B167" s="214" t="s">
        <v>258</v>
      </c>
      <c r="C167" s="92">
        <f>Scenarios!F99</f>
        <v>6.1917785208758236E-3</v>
      </c>
    </row>
    <row r="169" spans="2:4">
      <c r="B169" s="210" t="s">
        <v>408</v>
      </c>
    </row>
    <row r="170" spans="2:4">
      <c r="B170" s="1" t="s">
        <v>399</v>
      </c>
      <c r="C170" s="92">
        <f>F32</f>
        <v>0.1174</v>
      </c>
    </row>
    <row r="171" spans="2:4">
      <c r="B171" s="212" t="str">
        <f>"PV("&amp;C141&amp;" yrs of Dividends)"</f>
        <v>PV(3 yrs of Dividends)</v>
      </c>
      <c r="C171" s="216">
        <f>Scenarios!C103</f>
        <v>12.23315240213444</v>
      </c>
    </row>
    <row r="172" spans="2:4">
      <c r="B172" s="212" t="str">
        <f>"+ PV(Equity Value realized at year "&amp;C141&amp;")"</f>
        <v>+ PV(Equity Value realized at year 3)</v>
      </c>
      <c r="C172" s="216">
        <f>Scenarios!C104</f>
        <v>50.046771478533714</v>
      </c>
    </row>
    <row r="173" spans="2:4">
      <c r="B173" s="80" t="s">
        <v>382</v>
      </c>
      <c r="C173" s="215">
        <f>Scenarios!C105</f>
        <v>62.27992388066815</v>
      </c>
      <c r="D173" s="300" t="str">
        <f>IF($D$11="","",C173*$E$25)</f>
        <v/>
      </c>
    </row>
    <row r="174" spans="2:4">
      <c r="B174" s="259" t="s">
        <v>395</v>
      </c>
      <c r="C174" s="298" t="str">
        <f>Market_currency</f>
        <v>HKD</v>
      </c>
      <c r="D174" s="298" t="str">
        <f>IF($D$11="","",D$13)</f>
        <v/>
      </c>
    </row>
    <row r="175" spans="2:4">
      <c r="B175" s="214" t="s">
        <v>258</v>
      </c>
      <c r="C175" s="92">
        <f>Scenarios!F105</f>
        <v>0.1078462348384277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5.0705200000000001</v>
      </c>
      <c r="D25" s="39">
        <f>(0.17+0.42)*Exchange_Rate</f>
        <v>4.6024719999999997</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5.0705200000000001</v>
      </c>
      <c r="D65" s="73">
        <f t="shared" ref="D65:M65" si="33">IF(D$4="","",D25)</f>
        <v>4.6024719999999997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19.324081837852916</v>
      </c>
      <c r="D47" s="147">
        <f>D46*H1/Common_Shares*Exchange_Rate</f>
        <v>-2.6580628996899964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-129.43904958799959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-269.34957675492996</v>
      </c>
      <c r="D73" s="349">
        <f>(Normalized_FCF!C25+Normalized_FCF!C35-Normalized_FCF!C91)/12</f>
        <v>-279.63904958799958</v>
      </c>
      <c r="F73" s="1" t="s">
        <v>342</v>
      </c>
    </row>
    <row r="74" spans="2:6" ht="15" customHeight="1">
      <c r="B74" s="257" t="s">
        <v>312</v>
      </c>
      <c r="C74" s="258">
        <f>-$C$66/C73</f>
        <v>0.55763963622879853</v>
      </c>
      <c r="D74" s="258">
        <f>-$C$66/D73</f>
        <v>0.53712097870913977</v>
      </c>
      <c r="F74" s="253" t="s">
        <v>310</v>
      </c>
    </row>
    <row r="75" spans="2:6" ht="15" customHeight="1">
      <c r="B75" s="80" t="s">
        <v>311</v>
      </c>
      <c r="C75" s="320"/>
      <c r="D75" s="321">
        <f>MAX(-D73*D76,G5)</f>
        <v>279.63904958799958</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-1211.46424</v>
      </c>
      <c r="D86" s="223">
        <f>C86*scaling_factor/Common_Shares</f>
        <v>-4.7863315939689937</v>
      </c>
      <c r="E86" s="240" t="str">
        <f>Market_currency</f>
        <v>HKD</v>
      </c>
    </row>
    <row r="87" spans="2:8" ht="15" customHeight="1">
      <c r="B87" s="238" t="s">
        <v>282</v>
      </c>
      <c r="C87" s="76">
        <f>DCF!C8*Exchange_Rate</f>
        <v>-1009.7281380260672</v>
      </c>
      <c r="D87" s="223">
        <f>C87*scaling_factor/Common_Shares</f>
        <v>-3.9892995012000112</v>
      </c>
      <c r="E87" s="240" t="str">
        <f>Market_currency</f>
        <v>HKD</v>
      </c>
    </row>
    <row r="88" spans="2:8" ht="15" customHeight="1">
      <c r="B88" s="239" t="s">
        <v>185</v>
      </c>
      <c r="C88" s="76">
        <f>DCF!C9*Exchange_Rate</f>
        <v>3.0423119999999999</v>
      </c>
      <c r="D88" s="223">
        <f>C88*scaling_factor/Common_Shares</f>
        <v>1.2019763822587943E-2</v>
      </c>
      <c r="E88" s="240" t="str">
        <f>Market_currency</f>
        <v>HKD</v>
      </c>
    </row>
    <row r="89" spans="2:8" ht="15" customHeight="1">
      <c r="B89" s="80" t="s">
        <v>286</v>
      </c>
      <c r="C89" s="180">
        <f>SUM(C86:C88)</f>
        <v>-2218.1500660260672</v>
      </c>
      <c r="D89" s="242">
        <f>SUM(D86:D88)</f>
        <v>-8.7636113313464161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5.0705200000000001</v>
      </c>
      <c r="E90" s="268"/>
      <c r="G90" s="112">
        <f>Data!C65</f>
        <v>5.0705200000000001</v>
      </c>
      <c r="H90" s="112">
        <f>Data!D65</f>
        <v>4.6024719999999997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1283.39492105916</v>
      </c>
      <c r="E91" s="268"/>
      <c r="G91" s="74">
        <f t="shared" ref="G91:Q91" si="37">IF(G$4="","",G90*Common_Shares/scaling_factor)</f>
        <v>1283.39492105916</v>
      </c>
      <c r="H91" s="74">
        <f t="shared" si="37"/>
        <v>1164.9276975767759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7.4838221881346927</v>
      </c>
      <c r="E92" s="268"/>
      <c r="G92" s="170">
        <f t="shared" ref="G92:Q92" si="38">IF(G$4="","",G90/(G19*scaling_factor/Common_Shares))</f>
        <v>6.4266145270864277</v>
      </c>
      <c r="H92" s="170">
        <f t="shared" si="38"/>
        <v>6.475417996535727</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8.1063469224620308E-2</v>
      </c>
      <c r="E94" s="268"/>
      <c r="G94" s="23">
        <f t="shared" ref="G94:Q94" si="39">IF(G$4="","",(G90*(1-dividend_tax_rate))/Market_Price)</f>
        <v>8.1063469224620308E-2</v>
      </c>
      <c r="H94" s="23">
        <f t="shared" si="39"/>
        <v>7.3580687450039969E-2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5.2852822290074579</v>
      </c>
      <c r="D125" s="27"/>
      <c r="E125" s="265"/>
      <c r="F125" s="27"/>
      <c r="G125" s="177">
        <f t="shared" ref="G125:Q125" si="49">IF(G$4="","",G16*$C$3/Common_Shares*Exchange_Rate)</f>
        <v>6.1547354753097769</v>
      </c>
      <c r="H125" s="177">
        <f t="shared" si="49"/>
        <v>5.5445013120091495</v>
      </c>
      <c r="I125" s="177">
        <f t="shared" si="49"/>
        <v>6.1855553825471734</v>
      </c>
      <c r="J125" s="177">
        <f t="shared" si="49"/>
        <v>8.3059650004806453</v>
      </c>
      <c r="K125" s="177">
        <f t="shared" si="49"/>
        <v>7.4029417184246755</v>
      </c>
      <c r="L125" s="177">
        <f t="shared" si="49"/>
        <v>5.1253505735804525</v>
      </c>
      <c r="M125" s="177">
        <f t="shared" si="49"/>
        <v>6.237949224850766</v>
      </c>
      <c r="N125" s="177">
        <f t="shared" si="49"/>
        <v>5.5136814047717548</v>
      </c>
      <c r="O125" s="177">
        <f t="shared" si="49"/>
        <v>5.5660752470753385</v>
      </c>
      <c r="P125" s="177" t="str">
        <f t="shared" si="49"/>
        <v/>
      </c>
      <c r="Q125" s="177" t="str">
        <f t="shared" si="49"/>
        <v/>
      </c>
    </row>
    <row r="126" spans="1:17" ht="15.75" customHeight="1">
      <c r="A126" s="10"/>
      <c r="B126" s="27" t="s">
        <v>264</v>
      </c>
      <c r="C126" s="77">
        <f>C19*Exchange_Rate*$C$3/(Market_Price*Common_Shares)</f>
        <v>8.4496918129615628E-2</v>
      </c>
      <c r="D126" s="27"/>
      <c r="E126" s="265"/>
      <c r="F126" s="27"/>
      <c r="G126" s="77">
        <f t="shared" ref="G126" si="50">IF(G$4="","",G125/Market_Price)</f>
        <v>9.8397049964984454E-2</v>
      </c>
      <c r="H126" s="77">
        <f t="shared" ref="H126" si="51">IF(H$4="","",H125/Market_Price)</f>
        <v>8.8641108105661864E-2</v>
      </c>
      <c r="I126" s="77">
        <f t="shared" ref="I126" si="52">IF(I$4="","",I125/Market_Price)</f>
        <v>9.8889774301313724E-2</v>
      </c>
      <c r="J126" s="77">
        <f t="shared" ref="J126" si="53">IF(J$4="","",J125/Market_Price)</f>
        <v>0.1327892086407777</v>
      </c>
      <c r="K126" s="77">
        <f t="shared" ref="K126" si="54">IF(K$4="","",K125/Market_Price)</f>
        <v>0.11835238558632576</v>
      </c>
      <c r="L126" s="77">
        <f t="shared" ref="L126" si="55">IF(L$4="","",L125/Market_Price)</f>
        <v>8.1940057131581978E-2</v>
      </c>
      <c r="M126" s="77">
        <f t="shared" ref="M126" si="56">IF(M$4="","",M125/Market_Price)</f>
        <v>9.9727405673073796E-2</v>
      </c>
      <c r="N126" s="77">
        <f t="shared" ref="N126" si="57">IF(N$4="","",N125/Market_Price)</f>
        <v>8.8148383769332622E-2</v>
      </c>
      <c r="O126" s="77">
        <f t="shared" ref="O126" si="58">IF(O$4="","",O125/Market_Price)</f>
        <v>8.8986015141092542E-2</v>
      </c>
      <c r="P126" s="77" t="str">
        <f t="shared" ref="P126" si="59">IF(P$4="","",P125/Market_Price)</f>
        <v/>
      </c>
      <c r="Q126" s="77" t="str">
        <f t="shared" ref="Q126" si="60">IF(Q$4="","",Q125/Market_Price)</f>
        <v/>
      </c>
    </row>
    <row r="127" spans="1:17" ht="15.75" customHeight="1">
      <c r="B127" s="2" t="s">
        <v>375</v>
      </c>
      <c r="C127" s="169"/>
      <c r="G127" s="23">
        <f>IF(G$4="","",(Data!C47*$C$3)/(Market_Price*Common_Shares))</f>
        <v>1.0523007182914667E-2</v>
      </c>
      <c r="H127" s="23">
        <f>IF(H$4="","",(Data!D47*$C$3)/(Market_Price*Common_Shares))</f>
        <v>9.4239656163917669E-3</v>
      </c>
      <c r="I127" s="23">
        <f>IF(I$4="","",(Data!E47*$C$3)/(Market_Price*Common_Shares))</f>
        <v>1.0908303364281891E-2</v>
      </c>
      <c r="J127" s="23">
        <f>IF(J$4="","",(Data!F47*$C$3)/(Market_Price*Common_Shares))</f>
        <v>1.458440791437573E-2</v>
      </c>
      <c r="K127" s="23">
        <f>IF(K$4="","",(Data!G47*$C$3)/(Market_Price*Common_Shares))</f>
        <v>1.2045242915857304E-2</v>
      </c>
      <c r="L127" s="23">
        <f>IF(L$4="","",(Data!H47*$C$3)/(Market_Price*Common_Shares))</f>
        <v>1.0819874732492692E-2</v>
      </c>
      <c r="M127" s="23">
        <f>IF(M$4="","",(Data!I47*$C$3)/(Market_Price*Common_Shares))</f>
        <v>1.3030590527222665E-2</v>
      </c>
      <c r="N127" s="23">
        <f>IF(N$4="","",(Data!J47*$C$3)/(Market_Price*Common_Shares))</f>
        <v>1.1306232207333285E-2</v>
      </c>
      <c r="O127" s="23">
        <f>IF(O$4="","",(Data!K47*$C$3)/(Market_Price*Common_Shares))</f>
        <v>1.1457824147543341E-2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-129.43904958799959</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2002.1740465805733</v>
      </c>
      <c r="D10" t="str">
        <f>Reporting_currency</f>
        <v>USD</v>
      </c>
      <c r="H10" s="120"/>
    </row>
    <row r="11" spans="2:8" ht="13.15" thickBot="1">
      <c r="B11" s="207" t="s">
        <v>162</v>
      </c>
      <c r="C11" s="208">
        <f>Exchange_Rate</f>
        <v>7.8007999999999997</v>
      </c>
      <c r="D11" t="str">
        <f>Thesis!C15</f>
        <v>USD/HKD</v>
      </c>
      <c r="H11" s="120"/>
    </row>
    <row r="12" spans="2:8" ht="13.5" thickTop="1">
      <c r="B12" s="149" t="s">
        <v>99</v>
      </c>
      <c r="C12" s="111">
        <f>(C10*scaling_factor)/Common_Shares*Exchange_Rate</f>
        <v>61.706818388753028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69.808508704089846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61.706818388753028</v>
      </c>
      <c r="C65" s="124">
        <f>C12</f>
        <v>61.706818388753028</v>
      </c>
      <c r="D65" s="124">
        <f>C12</f>
        <v>61.706818388753028</v>
      </c>
      <c r="E65" s="141">
        <f>C12</f>
        <v>61.706818388753028</v>
      </c>
      <c r="F65" s="124">
        <f>C12</f>
        <v>61.706818388753028</v>
      </c>
      <c r="H65" s="120"/>
    </row>
    <row r="66" spans="1:8" ht="13.15">
      <c r="A66" s="143">
        <f t="shared" ref="A66:A71" si="3">A56</f>
        <v>5</v>
      </c>
      <c r="B66" s="124">
        <f t="shared" ref="B66:F71" si="4">(B56-$C$7+$C$8+$C$9)/Common_Shares*$C$3*Exchange_Rate</f>
        <v>61.706818388753028</v>
      </c>
      <c r="C66" s="124">
        <f t="shared" si="4"/>
        <v>62.816182747153398</v>
      </c>
      <c r="D66" s="124">
        <f t="shared" si="4"/>
        <v>65.083033206186386</v>
      </c>
      <c r="E66" s="124">
        <f t="shared" si="4"/>
        <v>67.416403357784191</v>
      </c>
      <c r="F66" s="124">
        <f t="shared" si="4"/>
        <v>71.047564228506815</v>
      </c>
      <c r="H66" s="120"/>
    </row>
    <row r="67" spans="1:8" ht="13.15">
      <c r="A67" s="143">
        <f t="shared" si="3"/>
        <v>10</v>
      </c>
      <c r="B67" s="124">
        <f t="shared" si="4"/>
        <v>61.706818388753042</v>
      </c>
      <c r="C67" s="124">
        <f t="shared" si="4"/>
        <v>63.879821041971979</v>
      </c>
      <c r="D67" s="124">
        <f t="shared" si="4"/>
        <v>68.5457361389319</v>
      </c>
      <c r="E67" s="124">
        <f t="shared" si="4"/>
        <v>73.680787997424474</v>
      </c>
      <c r="F67" s="124">
        <f t="shared" si="4"/>
        <v>82.387472939116378</v>
      </c>
      <c r="H67" s="120"/>
    </row>
    <row r="68" spans="1:8" ht="13.15">
      <c r="A68" s="143">
        <f t="shared" si="3"/>
        <v>15</v>
      </c>
      <c r="B68" s="124">
        <f t="shared" si="4"/>
        <v>61.706818388753057</v>
      </c>
      <c r="C68" s="124">
        <f t="shared" si="4"/>
        <v>65.193032721313131</v>
      </c>
      <c r="D68" s="124">
        <f t="shared" si="4"/>
        <v>73.043954630013062</v>
      </c>
      <c r="E68" s="124">
        <f t="shared" si="4"/>
        <v>82.259661245732033</v>
      </c>
      <c r="F68" s="124">
        <f t="shared" si="4"/>
        <v>99.252494677098341</v>
      </c>
      <c r="H68" s="120"/>
    </row>
    <row r="69" spans="1:8" ht="13.15">
      <c r="A69" s="144">
        <f t="shared" si="3"/>
        <v>20</v>
      </c>
      <c r="B69" s="124">
        <f t="shared" si="4"/>
        <v>61.706818388753042</v>
      </c>
      <c r="C69" s="124">
        <f t="shared" si="4"/>
        <v>66.526755310536487</v>
      </c>
      <c r="D69" s="124">
        <f t="shared" si="4"/>
        <v>77.861873600603374</v>
      </c>
      <c r="E69" s="124">
        <f t="shared" si="4"/>
        <v>91.982827148690944</v>
      </c>
      <c r="F69" s="124">
        <f t="shared" si="4"/>
        <v>120.17654449483021</v>
      </c>
      <c r="H69" s="120"/>
    </row>
    <row r="70" spans="1:8" ht="13.15">
      <c r="A70" s="144">
        <f t="shared" si="3"/>
        <v>25</v>
      </c>
      <c r="B70" s="124">
        <f t="shared" si="4"/>
        <v>61.706818388753042</v>
      </c>
      <c r="C70" s="124">
        <f t="shared" si="4"/>
        <v>67.762512411785622</v>
      </c>
      <c r="D70" s="124">
        <f t="shared" si="4"/>
        <v>82.578192317274727</v>
      </c>
      <c r="E70" s="124">
        <f t="shared" si="4"/>
        <v>102.08710846633282</v>
      </c>
      <c r="F70" s="124">
        <f t="shared" si="4"/>
        <v>144.14334849483373</v>
      </c>
    </row>
    <row r="71" spans="1:8" ht="13.15">
      <c r="A71" s="144">
        <f t="shared" si="3"/>
        <v>30</v>
      </c>
      <c r="B71" s="124">
        <f t="shared" si="4"/>
        <v>61.706818388753042</v>
      </c>
      <c r="C71" s="124">
        <f t="shared" si="4"/>
        <v>68.84785183139401</v>
      </c>
      <c r="D71" s="124">
        <f t="shared" si="4"/>
        <v>86.961875249480102</v>
      </c>
      <c r="E71" s="124">
        <f t="shared" si="4"/>
        <v>112.08707606729709</v>
      </c>
      <c r="F71" s="124">
        <f t="shared" si="4"/>
        <v>170.45006851228891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99.252494677098341</v>
      </c>
      <c r="F74" s="142">
        <f>Scenarios!C58</f>
        <v>0.05</v>
      </c>
    </row>
    <row r="75" spans="1:8">
      <c r="B75" s="127" t="str">
        <f>Scenarios!B36</f>
        <v>Optimistic</v>
      </c>
      <c r="C75" s="142">
        <f>Scenarios!C38</f>
        <v>0.05</v>
      </c>
      <c r="D75" s="145">
        <f>Scenarios!C37</f>
        <v>10</v>
      </c>
      <c r="E75" s="135">
        <f>INDEX(B$65:F$71, MATCH(D75, A$65:A$71, 0), MATCH(C75, B$64:F$64, 0))</f>
        <v>73.680787997424474</v>
      </c>
      <c r="F75" s="142">
        <f>Scenarios!C40*(1-F$74-F$78)</f>
        <v>0.18</v>
      </c>
      <c r="H75" s="120"/>
    </row>
    <row r="76" spans="1:8">
      <c r="B76" s="127" t="str">
        <f>Scenarios!B24</f>
        <v>Base</v>
      </c>
      <c r="C76" s="142">
        <f>Scenarios!C26</f>
        <v>0.03</v>
      </c>
      <c r="D76" s="145">
        <f>Scenarios!C25</f>
        <v>10</v>
      </c>
      <c r="E76" s="135">
        <f>INDEX(B$65:F$71, MATCH(D76, A$65:A$71, 0), MATCH(C76, B$64:F$64, 0))</f>
        <v>68.5457361389319</v>
      </c>
      <c r="F76" s="142">
        <f>Scenarios!C28*(1-F$74-F$78)</f>
        <v>0.53999999999999992</v>
      </c>
      <c r="H76" s="120"/>
    </row>
    <row r="77" spans="1:8">
      <c r="B77" s="127" t="str">
        <f>Scenarios!B30</f>
        <v>Pessimistic</v>
      </c>
      <c r="C77" s="142">
        <f>Scenarios!C32</f>
        <v>0.01</v>
      </c>
      <c r="D77" s="145">
        <f>Scenarios!C31</f>
        <v>10</v>
      </c>
      <c r="E77" s="135">
        <f>INDEX(B$65:F$71, MATCH(D77, A$65:A$71, 0), MATCH(C77, B$64:F$64, 0))</f>
        <v>63.879821041971979</v>
      </c>
      <c r="F77" s="142">
        <f>Scenarios!C34*(1-F$74-F$78)</f>
        <v>0.18</v>
      </c>
      <c r="H77" s="120"/>
    </row>
    <row r="78" spans="1:8">
      <c r="B78" s="127" t="str">
        <f>Scenarios!B48</f>
        <v>Devil's advocate</v>
      </c>
      <c r="C78" s="142">
        <f>Scenarios!C50</f>
        <v>0</v>
      </c>
      <c r="D78" s="145">
        <f>Scenarios!C49</f>
        <v>15</v>
      </c>
      <c r="E78" s="135">
        <f>INDEX(B$65:F$71, MATCH(D78, A$65:A$71, 0), MATCH(C78, B$64:F$64, 0))</f>
        <v>61.706818388753057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1283.39492105916</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17111.932280788802</v>
      </c>
      <c r="D6" t="str">
        <f>Reporting_currency</f>
        <v>USD</v>
      </c>
      <c r="E6" s="378"/>
      <c r="F6" s="378"/>
      <c r="H6" s="120"/>
    </row>
    <row r="7" spans="2:8" ht="13.15">
      <c r="B7" s="149" t="s">
        <v>420</v>
      </c>
      <c r="C7" s="111">
        <f>(C6*scaling_factor)/Common_Shares*Exchange_Rate</f>
        <v>527.38816554666676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75.379419455694361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1328.4422058187383</v>
      </c>
      <c r="D16" s="138">
        <f>IF($C$12&lt;B16,0,DDM!$C$11)</f>
        <v>3.5100095863245001E-2</v>
      </c>
      <c r="E16" s="124">
        <f t="shared" ref="E16:E45" si="0">IF($C$12&lt;B16,0,1/(1+Equity_Cost)^B16)</f>
        <v>0.93023255813953487</v>
      </c>
      <c r="F16" s="125">
        <f t="shared" ref="F16:F46" si="1">C16*E16</f>
        <v>1235.7601914592915</v>
      </c>
      <c r="H16" s="120"/>
    </row>
    <row r="17" spans="2:8">
      <c r="B17" s="122">
        <v>2</v>
      </c>
      <c r="C17" s="123">
        <f t="shared" ref="C17:C45" si="2">IF(ROW()-ROW($C$16)&lt;$C$12, $C$16*(1+D17)^(ROW()-ROW($C$16)), 0)</f>
        <v>1375.0706545917567</v>
      </c>
      <c r="D17" s="138">
        <f>IF($C$12&lt;B17,0,DDM!$C$11)</f>
        <v>3.5100095863245001E-2</v>
      </c>
      <c r="E17" s="124">
        <f t="shared" si="0"/>
        <v>0.86533261222282321</v>
      </c>
      <c r="F17" s="125">
        <f t="shared" si="1"/>
        <v>1189.8934815288324</v>
      </c>
      <c r="H17" s="120"/>
    </row>
    <row r="18" spans="2:8">
      <c r="B18" s="122">
        <v>3</v>
      </c>
      <c r="C18" s="123">
        <f t="shared" si="2"/>
        <v>1423.3357663866625</v>
      </c>
      <c r="D18" s="138">
        <f>IF($C$12&lt;B18,0,DDM!$C$11)</f>
        <v>3.5100095863245001E-2</v>
      </c>
      <c r="E18" s="124">
        <f t="shared" si="0"/>
        <v>0.80496056950960304</v>
      </c>
      <c r="F18" s="125">
        <f t="shared" si="1"/>
        <v>1145.7291691139951</v>
      </c>
      <c r="H18" s="120"/>
    </row>
    <row r="19" spans="2:8">
      <c r="B19" s="122">
        <v>4</v>
      </c>
      <c r="C19" s="123">
        <f t="shared" si="2"/>
        <v>1473.2949882324194</v>
      </c>
      <c r="D19" s="138">
        <f>IF($C$12&lt;B19,0,DDM!$C$11)</f>
        <v>3.5100095863245001E-2</v>
      </c>
      <c r="E19" s="124">
        <f t="shared" si="0"/>
        <v>0.7488005297763749</v>
      </c>
      <c r="F19" s="125">
        <f t="shared" si="1"/>
        <v>1103.2040677053137</v>
      </c>
      <c r="H19" s="120"/>
    </row>
    <row r="20" spans="2:8">
      <c r="B20" s="122">
        <v>5</v>
      </c>
      <c r="C20" s="123">
        <f t="shared" si="2"/>
        <v>1525.0077835542158</v>
      </c>
      <c r="D20" s="138">
        <f>IF($C$12&lt;B20,0,DDM!$C$11)</f>
        <v>3.5100095863245001E-2</v>
      </c>
      <c r="E20" s="124">
        <f t="shared" si="0"/>
        <v>0.69655863235011617</v>
      </c>
      <c r="F20" s="125">
        <f t="shared" si="1"/>
        <v>1062.2573360358065</v>
      </c>
      <c r="H20" s="120"/>
    </row>
    <row r="21" spans="2:8">
      <c r="B21" s="122">
        <v>6</v>
      </c>
      <c r="C21" s="123">
        <f t="shared" si="2"/>
        <v>1578.5357029491636</v>
      </c>
      <c r="D21" s="138">
        <f>IF($C$12&lt;B21,0,DDM!$C$11)</f>
        <v>3.5100095863245001E-2</v>
      </c>
      <c r="E21" s="124">
        <f t="shared" si="0"/>
        <v>0.64796151846522443</v>
      </c>
      <c r="F21" s="125">
        <f t="shared" si="1"/>
        <v>1022.8303910345105</v>
      </c>
      <c r="H21" s="120"/>
    </row>
    <row r="22" spans="2:8">
      <c r="B22" s="122">
        <v>7</v>
      </c>
      <c r="C22" s="123">
        <f t="shared" si="2"/>
        <v>1633.9424574462339</v>
      </c>
      <c r="D22" s="138">
        <f>IF($C$12&lt;B22,0,DDM!$C$11)</f>
        <v>3.5100095863245001E-2</v>
      </c>
      <c r="E22" s="124">
        <f t="shared" si="0"/>
        <v>0.60275490089788319</v>
      </c>
      <c r="F22" s="125">
        <f t="shared" si="1"/>
        <v>984.8668240108484</v>
      </c>
      <c r="H22" s="120"/>
    </row>
    <row r="23" spans="2:8">
      <c r="B23" s="122">
        <v>8</v>
      </c>
      <c r="C23" s="123">
        <f t="shared" si="2"/>
        <v>1691.2939943376227</v>
      </c>
      <c r="D23" s="138">
        <f>IF($C$12&lt;B23,0,DDM!$C$11)</f>
        <v>3.5100095863245001E-2</v>
      </c>
      <c r="E23" s="124">
        <f t="shared" si="0"/>
        <v>0.56070223339337966</v>
      </c>
      <c r="F23" s="125">
        <f t="shared" si="1"/>
        <v>948.31231994991504</v>
      </c>
      <c r="H23" s="120"/>
    </row>
    <row r="24" spans="2:8">
      <c r="B24" s="122">
        <v>9</v>
      </c>
      <c r="C24" s="123">
        <f t="shared" si="2"/>
        <v>1750.6585756718041</v>
      </c>
      <c r="D24" s="138">
        <f>IF($C$12&lt;B24,0,DDM!$C$11)</f>
        <v>3.5100095863245001E-2</v>
      </c>
      <c r="E24" s="124">
        <f t="shared" si="0"/>
        <v>0.52158347292407414</v>
      </c>
      <c r="F24" s="125">
        <f t="shared" si="1"/>
        <v>913.11457980321268</v>
      </c>
      <c r="H24" s="120"/>
    </row>
    <row r="25" spans="2:8">
      <c r="B25" s="122">
        <v>10</v>
      </c>
      <c r="C25" s="123">
        <f t="shared" si="2"/>
        <v>1812.1068595016966</v>
      </c>
      <c r="D25" s="138">
        <f>IF($C$12&lt;B25,0,DDM!$C$11)</f>
        <v>3.5100095863245001E-2</v>
      </c>
      <c r="E25" s="124">
        <f t="shared" si="0"/>
        <v>0.48519392830146441</v>
      </c>
      <c r="F25" s="125">
        <f t="shared" si="1"/>
        <v>879.22324566365796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17712.562744249844</v>
      </c>
      <c r="D46" s="139">
        <f>Terminal_Growth</f>
        <v>0</v>
      </c>
      <c r="E46" s="124">
        <f>1/(1+Equity_Cost)^C12</f>
        <v>0.48519392830146441</v>
      </c>
      <c r="F46" s="125">
        <f t="shared" si="1"/>
        <v>8594.0278981687479</v>
      </c>
      <c r="H46" s="120"/>
    </row>
    <row r="47" spans="2:8">
      <c r="C47" s="114"/>
      <c r="E47" s="127" t="s">
        <v>97</v>
      </c>
      <c r="F47" s="137">
        <f>SUM(F16:F46)</f>
        <v>19079.219504474131</v>
      </c>
      <c r="H47" s="120"/>
    </row>
    <row r="48" spans="2:8">
      <c r="C48" s="114"/>
      <c r="H48" s="120"/>
    </row>
    <row r="49" spans="1:8" ht="13.15">
      <c r="B49" s="119" t="s">
        <v>125</v>
      </c>
      <c r="C49" s="136"/>
      <c r="D49" s="136"/>
      <c r="E49" s="117"/>
      <c r="F49" s="117"/>
      <c r="H49" s="120"/>
    </row>
    <row r="50" spans="1:8" ht="13.15">
      <c r="A50" s="133">
        <f>F47</f>
        <v>19079.219504474131</v>
      </c>
      <c r="B50" s="131">
        <f>C73</f>
        <v>0</v>
      </c>
      <c r="C50" s="131">
        <f>C72</f>
        <v>0.01</v>
      </c>
      <c r="D50" s="131">
        <f>C71</f>
        <v>0.03</v>
      </c>
      <c r="E50" s="131">
        <f>C70</f>
        <v>0.05</v>
      </c>
      <c r="F50" s="131">
        <f>C69</f>
        <v>0.08</v>
      </c>
      <c r="H50" s="120"/>
    </row>
    <row r="51" spans="1:8" ht="13.15">
      <c r="A51" s="143">
        <v>5</v>
      </c>
      <c r="B51" s="123">
        <f t="dataTable" ref="B51:F56" dt2D="1" dtr="1" r1="C11" r2="C12"/>
        <v>17111.932280788802</v>
      </c>
      <c r="C51" s="123">
        <v>17381.312896900661</v>
      </c>
      <c r="D51" s="123">
        <v>17931.759257164362</v>
      </c>
      <c r="E51" s="123">
        <v>18498.358214751926</v>
      </c>
      <c r="F51" s="123">
        <v>19380.092286294461</v>
      </c>
      <c r="H51" s="120"/>
    </row>
    <row r="52" spans="1:8" ht="13.15">
      <c r="A52" s="143">
        <v>10</v>
      </c>
      <c r="B52" s="123">
        <v>17111.932280788806</v>
      </c>
      <c r="C52" s="123">
        <v>17639.590113947321</v>
      </c>
      <c r="D52" s="123">
        <v>18772.587649001594</v>
      </c>
      <c r="E52" s="123">
        <v>20019.502986539286</v>
      </c>
      <c r="F52" s="123">
        <v>22133.697602694738</v>
      </c>
      <c r="H52" s="120"/>
    </row>
    <row r="53" spans="1:8" ht="13.15">
      <c r="A53" s="143">
        <v>15</v>
      </c>
      <c r="B53" s="123">
        <v>17111.932280788802</v>
      </c>
      <c r="C53" s="123">
        <v>17958.469811665658</v>
      </c>
      <c r="D53" s="123">
        <v>19864.864374279157</v>
      </c>
      <c r="E53" s="123">
        <v>22102.661818599583</v>
      </c>
      <c r="F53" s="123">
        <v>26228.93458422922</v>
      </c>
      <c r="H53" s="120"/>
    </row>
    <row r="54" spans="1:8" ht="13.15">
      <c r="A54" s="144">
        <v>20</v>
      </c>
      <c r="B54" s="123">
        <v>17111.932280788806</v>
      </c>
      <c r="C54" s="123">
        <v>18282.330056576848</v>
      </c>
      <c r="D54" s="123">
        <v>21034.772142495232</v>
      </c>
      <c r="E54" s="123">
        <v>24463.682705617855</v>
      </c>
      <c r="F54" s="123">
        <v>31309.802189876245</v>
      </c>
      <c r="H54" s="120"/>
    </row>
    <row r="55" spans="1:8" ht="13.15">
      <c r="A55" s="144">
        <v>25</v>
      </c>
      <c r="B55" s="123">
        <v>17111.932280788806</v>
      </c>
      <c r="C55" s="123">
        <v>18582.401901123128</v>
      </c>
      <c r="D55" s="123">
        <v>22180.008900875298</v>
      </c>
      <c r="E55" s="123">
        <v>26917.247673793601</v>
      </c>
      <c r="F55" s="123">
        <v>37129.524428891142</v>
      </c>
      <c r="H55" s="120"/>
    </row>
    <row r="56" spans="1:8" ht="13.15">
      <c r="A56" s="144">
        <v>30</v>
      </c>
      <c r="B56" s="123">
        <v>17111.932280788806</v>
      </c>
      <c r="C56" s="123">
        <v>18845.948678456203</v>
      </c>
      <c r="D56" s="123">
        <v>23244.473610034762</v>
      </c>
      <c r="E56" s="123">
        <v>29345.48273745714</v>
      </c>
      <c r="F56" s="123">
        <v>43517.435120742222</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527.38816554666676</v>
      </c>
      <c r="C60" s="124">
        <f>C7</f>
        <v>527.38816554666676</v>
      </c>
      <c r="D60" s="124">
        <f>C7</f>
        <v>527.38816554666676</v>
      </c>
      <c r="E60" s="141">
        <f>C7</f>
        <v>527.38816554666676</v>
      </c>
      <c r="F60" s="124">
        <f>C7</f>
        <v>527.38816554666676</v>
      </c>
      <c r="H60" s="120"/>
    </row>
    <row r="61" spans="1:8" ht="13.15">
      <c r="A61" s="143">
        <f t="shared" ref="A61:A66" si="3">A51</f>
        <v>5</v>
      </c>
      <c r="B61" s="124">
        <f t="shared" ref="B61:F66" si="4">B51/Common_Shares*$C$3*Exchange_Rate</f>
        <v>527.38816554666676</v>
      </c>
      <c r="C61" s="124">
        <f t="shared" si="4"/>
        <v>535.6904511467892</v>
      </c>
      <c r="D61" s="124">
        <f t="shared" si="4"/>
        <v>552.65515690928362</v>
      </c>
      <c r="E61" s="124">
        <f t="shared" si="4"/>
        <v>570.11768422294278</v>
      </c>
      <c r="F61" s="124">
        <f t="shared" si="4"/>
        <v>597.29264651594315</v>
      </c>
      <c r="H61" s="120"/>
    </row>
    <row r="62" spans="1:8" ht="13.15">
      <c r="A62" s="143">
        <f t="shared" si="3"/>
        <v>10</v>
      </c>
      <c r="B62" s="124">
        <f t="shared" si="4"/>
        <v>527.38816554666687</v>
      </c>
      <c r="C62" s="124">
        <f t="shared" si="4"/>
        <v>543.65053101770241</v>
      </c>
      <c r="D62" s="124">
        <f t="shared" si="4"/>
        <v>578.56940994828358</v>
      </c>
      <c r="E62" s="124">
        <f t="shared" si="4"/>
        <v>616.99922498409273</v>
      </c>
      <c r="F62" s="124">
        <f t="shared" si="4"/>
        <v>682.15850693582479</v>
      </c>
      <c r="H62" s="120"/>
    </row>
    <row r="63" spans="1:8" ht="13.15">
      <c r="A63" s="143">
        <f t="shared" si="3"/>
        <v>15</v>
      </c>
      <c r="B63" s="124">
        <f t="shared" si="4"/>
        <v>527.38816554666676</v>
      </c>
      <c r="C63" s="124">
        <f t="shared" si="4"/>
        <v>553.47837372127333</v>
      </c>
      <c r="D63" s="124">
        <f t="shared" si="4"/>
        <v>612.23327729891457</v>
      </c>
      <c r="E63" s="124">
        <f t="shared" si="4"/>
        <v>681.20198694897203</v>
      </c>
      <c r="F63" s="124">
        <f t="shared" si="4"/>
        <v>808.37333082190787</v>
      </c>
      <c r="H63" s="120"/>
    </row>
    <row r="64" spans="1:8" ht="13.15">
      <c r="A64" s="144">
        <f t="shared" si="3"/>
        <v>20</v>
      </c>
      <c r="B64" s="124">
        <f t="shared" si="4"/>
        <v>527.38816554666687</v>
      </c>
      <c r="C64" s="124">
        <f t="shared" si="4"/>
        <v>563.45971642731934</v>
      </c>
      <c r="D64" s="124">
        <f t="shared" si="4"/>
        <v>648.28972619165347</v>
      </c>
      <c r="E64" s="124">
        <f t="shared" si="4"/>
        <v>753.96843167245083</v>
      </c>
      <c r="F64" s="124">
        <f t="shared" si="4"/>
        <v>964.96519911348526</v>
      </c>
      <c r="H64" s="120"/>
    </row>
    <row r="65" spans="1:8" ht="13.15">
      <c r="A65" s="144">
        <f t="shared" si="3"/>
        <v>25</v>
      </c>
      <c r="B65" s="124">
        <f t="shared" si="4"/>
        <v>527.38816554666687</v>
      </c>
      <c r="C65" s="124">
        <f t="shared" si="4"/>
        <v>572.70790284079271</v>
      </c>
      <c r="D65" s="124">
        <f t="shared" si="4"/>
        <v>683.58581684979356</v>
      </c>
      <c r="E65" s="124">
        <f t="shared" si="4"/>
        <v>829.58707639257375</v>
      </c>
      <c r="F65" s="124">
        <f t="shared" si="4"/>
        <v>1144.3284986673871</v>
      </c>
    </row>
    <row r="66" spans="1:8" ht="13.15">
      <c r="A66" s="144">
        <f t="shared" si="3"/>
        <v>30</v>
      </c>
      <c r="B66" s="124">
        <f t="shared" si="4"/>
        <v>527.38816554666687</v>
      </c>
      <c r="C66" s="124">
        <f t="shared" si="4"/>
        <v>580.8303900709152</v>
      </c>
      <c r="D66" s="124">
        <f t="shared" si="4"/>
        <v>716.39252044357943</v>
      </c>
      <c r="E66" s="124">
        <f t="shared" si="4"/>
        <v>904.42505580529826</v>
      </c>
      <c r="F66" s="124">
        <f t="shared" si="4"/>
        <v>1341.2033136310649</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808.37333082190787</v>
      </c>
      <c r="F69" s="142">
        <f>Scenarios!C58</f>
        <v>0.05</v>
      </c>
    </row>
    <row r="70" spans="1:8">
      <c r="B70" s="127" t="str">
        <f>Scenarios!B36</f>
        <v>Optimistic</v>
      </c>
      <c r="C70" s="142">
        <f>Scenarios!C38</f>
        <v>0.05</v>
      </c>
      <c r="D70" s="145">
        <f>Scenarios!C37</f>
        <v>10</v>
      </c>
      <c r="E70" s="135">
        <f>INDEX(B$60:F$66, MATCH(D70, A$60:A$66, 0), MATCH(C70, B$59:F$59, 0))</f>
        <v>616.99922498409273</v>
      </c>
      <c r="F70" s="142">
        <f>Scenarios!C40*(1-F$69-F$73)</f>
        <v>0.18</v>
      </c>
      <c r="H70" s="120"/>
    </row>
    <row r="71" spans="1:8">
      <c r="B71" s="127" t="str">
        <f>Scenarios!B24</f>
        <v>Base</v>
      </c>
      <c r="C71" s="142">
        <f>Scenarios!C26</f>
        <v>0.03</v>
      </c>
      <c r="D71" s="145">
        <f>Scenarios!C25</f>
        <v>10</v>
      </c>
      <c r="E71" s="135">
        <f>INDEX(B$60:F$66, MATCH(D71, A$60:A$66, 0), MATCH(C71, B$59:F$59, 0))</f>
        <v>578.56940994828358</v>
      </c>
      <c r="F71" s="142">
        <f>Scenarios!C28*(1-F$69-F$73)</f>
        <v>0.53999999999999992</v>
      </c>
      <c r="H71" s="120"/>
    </row>
    <row r="72" spans="1:8">
      <c r="B72" s="127" t="str">
        <f>Scenarios!B30</f>
        <v>Pessimistic</v>
      </c>
      <c r="C72" s="142">
        <f>Scenarios!C32</f>
        <v>0.01</v>
      </c>
      <c r="D72" s="145">
        <f>Scenarios!C31</f>
        <v>10</v>
      </c>
      <c r="E72" s="135">
        <f>INDEX(B$60:F$66, MATCH(D72, A$60:A$66, 0), MATCH(C72, B$59:F$59, 0))</f>
        <v>543.65053101770241</v>
      </c>
      <c r="F72" s="142">
        <f>Scenarios!C34*(1-F$69-F$73)</f>
        <v>0.18</v>
      </c>
      <c r="H72" s="120"/>
    </row>
    <row r="73" spans="1:8">
      <c r="B73" s="127" t="str">
        <f>Scenarios!B48</f>
        <v>Devil's advocate</v>
      </c>
      <c r="C73" s="142">
        <f>Scenarios!C50</f>
        <v>0</v>
      </c>
      <c r="D73" s="145">
        <f>Scenarios!C49</f>
        <v>15</v>
      </c>
      <c r="E73" s="135">
        <f>INDEX(B$60:F$66, MATCH(D73, A$60:A$66, 0), MATCH(C73, B$59:F$59, 0))</f>
        <v>527.38816554666676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-62.55</v>
      </c>
    </row>
    <row r="4" spans="2:9">
      <c r="B4" s="152" t="s">
        <v>142</v>
      </c>
      <c r="C4" s="120">
        <v>3</v>
      </c>
      <c r="D4" s="120"/>
      <c r="E4" s="155" t="s">
        <v>146</v>
      </c>
      <c r="F4" s="155"/>
      <c r="H4" s="247">
        <v>1</v>
      </c>
      <c r="I4" s="124">
        <f t="shared" ref="I4:I13" si="0">IF(ROW()-3 &lt; $C$76, $C$77, IF(ROW()-3 = $C$76, $C$77 + $C$60, ""))</f>
        <v>5.0705200000000001</v>
      </c>
    </row>
    <row r="5" spans="2:9">
      <c r="H5" s="247">
        <v>2</v>
      </c>
      <c r="I5" s="124">
        <f t="shared" si="0"/>
        <v>5.0705200000000001</v>
      </c>
    </row>
    <row r="6" spans="2:9" ht="13.15">
      <c r="B6" s="159" t="s">
        <v>92</v>
      </c>
      <c r="C6" s="107">
        <f>DCF!C3</f>
        <v>1000000</v>
      </c>
      <c r="E6" s="100" t="s">
        <v>274</v>
      </c>
      <c r="F6" s="100"/>
      <c r="H6" s="247">
        <v>3</v>
      </c>
      <c r="I6" s="124">
        <f t="shared" si="0"/>
        <v>74.894092795407161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62.55</v>
      </c>
      <c r="D21" t="str">
        <f>Market_currency</f>
        <v>HKD</v>
      </c>
      <c r="E21" s="381"/>
      <c r="F21" s="381"/>
    </row>
    <row r="22" spans="2:6">
      <c r="B22" s="100" t="s">
        <v>273</v>
      </c>
      <c r="C22" s="160">
        <f>IF(valuation_method="DCF",DCF!C12,DDM!C7)</f>
        <v>61.706818388753028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68.5457361389319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63.879821041971979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73.680787997424474</v>
      </c>
      <c r="D39" t="str">
        <f>Market_currency</f>
        <v>HKD</v>
      </c>
      <c r="E39" s="379"/>
      <c r="F39" s="379"/>
    </row>
    <row r="40" spans="2:6">
      <c r="B40" s="100" t="s">
        <v>143</v>
      </c>
      <c r="C40" s="167">
        <f>1-C28-C34</f>
        <v>0.2</v>
      </c>
      <c r="D40" s="165"/>
      <c r="E40" s="379"/>
      <c r="F40" s="379"/>
    </row>
    <row r="42" spans="2:6" ht="13.15">
      <c r="B42" s="100" t="s">
        <v>116</v>
      </c>
      <c r="C42" s="154">
        <f>C27*C28+C33*C34+C39*C40</f>
        <v>68.639563491238434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61.706818388753057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99.252494677098341</v>
      </c>
      <c r="D57" t="str">
        <f>Market_currency</f>
        <v>HKD</v>
      </c>
      <c r="E57" s="379"/>
      <c r="F57" s="379"/>
    </row>
    <row r="58" spans="2:6">
      <c r="B58" s="100" t="s">
        <v>143</v>
      </c>
      <c r="C58" s="165">
        <v>0.05</v>
      </c>
      <c r="D58" s="165"/>
      <c r="E58" s="379"/>
      <c r="F58" s="379"/>
    </row>
    <row r="60" spans="2:6" ht="13.15">
      <c r="B60" s="100" t="s">
        <v>116</v>
      </c>
      <c r="C60" s="154">
        <f>C51*C52+C57*C58+C42*(1-C52-C58)</f>
        <v>69.823572795407159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69.808508704089846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-0.12551078354333176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5.0705200000000001</v>
      </c>
      <c r="D77" t="str">
        <f>Market_currency</f>
        <v>HKD</v>
      </c>
    </row>
    <row r="79" spans="2:6" ht="13.15">
      <c r="B79" s="109" t="s">
        <v>296</v>
      </c>
    </row>
    <row r="80" spans="2:6">
      <c r="B80" s="148" t="s">
        <v>294</v>
      </c>
      <c r="C80" s="167">
        <f>Thesis!F29</f>
        <v>0.35</v>
      </c>
    </row>
    <row r="81" spans="2:8">
      <c r="B81" s="100" t="s">
        <v>117</v>
      </c>
      <c r="C81" s="116">
        <f>PV(C80, C76, -C77, 0)</f>
        <v>8.5989919016410123</v>
      </c>
      <c r="D81" s="116"/>
      <c r="E81" s="100"/>
      <c r="F81" s="100"/>
    </row>
    <row r="82" spans="2:8">
      <c r="B82" s="100" t="s">
        <v>118</v>
      </c>
      <c r="C82" s="116">
        <f>C60/(1+C80)^C76</f>
        <v>28.379240073325061</v>
      </c>
      <c r="D82" s="116"/>
    </row>
    <row r="83" spans="2:8" ht="13.15">
      <c r="B83" s="110" t="s">
        <v>98</v>
      </c>
      <c r="C83" s="111">
        <f>C81+C82</f>
        <v>36.978231974966072</v>
      </c>
      <c r="D83" t="str">
        <f>Market_currency</f>
        <v>HKD</v>
      </c>
      <c r="E83" s="146" t="s">
        <v>122</v>
      </c>
      <c r="F83" s="291">
        <f>(1-C83/C60)</f>
        <v>0.47040475738304788</v>
      </c>
    </row>
    <row r="84" spans="2:8">
      <c r="E84" s="120"/>
    </row>
    <row r="85" spans="2:8" ht="13.15">
      <c r="B85" s="109" t="s">
        <v>297</v>
      </c>
    </row>
    <row r="86" spans="2:8">
      <c r="B86" s="148" t="s">
        <v>295</v>
      </c>
      <c r="C86" s="116">
        <f>Market_Price</f>
        <v>62.55</v>
      </c>
      <c r="D86" t="str">
        <f>Market_currency</f>
        <v>HKD</v>
      </c>
    </row>
    <row r="87" spans="2:8" ht="13.15">
      <c r="B87" s="100" t="s">
        <v>293</v>
      </c>
      <c r="C87" s="237">
        <f ca="1">IRR(OFFSET($I$3, 0, 0, $C$76 + 1, 1))</f>
        <v>0.11566790135718907</v>
      </c>
    </row>
    <row r="88" spans="2:8">
      <c r="B88" s="100"/>
    </row>
    <row r="89" spans="2:8" ht="13.15">
      <c r="B89" s="109" t="s">
        <v>392</v>
      </c>
    </row>
    <row r="90" spans="2:8">
      <c r="B90" s="148" t="s">
        <v>393</v>
      </c>
      <c r="C90" s="167">
        <f>Thesis!F30</f>
        <v>0.25</v>
      </c>
    </row>
    <row r="91" spans="2:8">
      <c r="B91" s="100" t="s">
        <v>117</v>
      </c>
      <c r="C91" s="116">
        <f>PV(C90, C76, -C77, 0)</f>
        <v>9.8976550400000001</v>
      </c>
      <c r="D91" s="116"/>
      <c r="E91" s="100"/>
      <c r="F91" s="100"/>
    </row>
    <row r="92" spans="2:8">
      <c r="B92" s="100" t="s">
        <v>118</v>
      </c>
      <c r="C92" s="116">
        <f>C60/(1+C90)^C76</f>
        <v>35.749669271248464</v>
      </c>
      <c r="D92" s="116"/>
    </row>
    <row r="93" spans="2:8" ht="13.15">
      <c r="B93" s="110" t="s">
        <v>98</v>
      </c>
      <c r="C93" s="111">
        <f>C91+C92</f>
        <v>45.647324311248468</v>
      </c>
      <c r="D93" t="str">
        <f>Market_currency</f>
        <v>HKD</v>
      </c>
      <c r="E93" s="146" t="s">
        <v>122</v>
      </c>
      <c r="F93" s="291">
        <f>(1-C93/C60)</f>
        <v>0.34624765700544258</v>
      </c>
    </row>
    <row r="95" spans="2:8" ht="13.15">
      <c r="B95" s="109" t="s">
        <v>378</v>
      </c>
      <c r="G95" s="2"/>
      <c r="H95" s="281"/>
    </row>
    <row r="96" spans="2:8">
      <c r="B96" s="148" t="s">
        <v>383</v>
      </c>
      <c r="C96" s="134">
        <f>Thesis!F31</f>
        <v>7.4999999999999997E-2</v>
      </c>
      <c r="G96" s="2"/>
      <c r="H96" s="281"/>
    </row>
    <row r="97" spans="2:8">
      <c r="B97" s="100" t="s">
        <v>117</v>
      </c>
      <c r="C97" s="116">
        <f>PV(C96, C76, -C77, 0)</f>
        <v>13.186017774535571</v>
      </c>
      <c r="D97" s="116"/>
      <c r="G97" s="2"/>
      <c r="H97" s="281"/>
    </row>
    <row r="98" spans="2:8">
      <c r="B98" s="100" t="s">
        <v>118</v>
      </c>
      <c r="C98" s="116">
        <f>C60/(1+C96)^C76</f>
        <v>56.205222922586174</v>
      </c>
      <c r="D98" s="116"/>
      <c r="G98" s="2"/>
      <c r="H98" s="281"/>
    </row>
    <row r="99" spans="2:8" ht="13.15">
      <c r="B99" s="110" t="s">
        <v>379</v>
      </c>
      <c r="C99" s="111">
        <f>C97+C98</f>
        <v>69.391240697121745</v>
      </c>
      <c r="D99" t="s">
        <v>377</v>
      </c>
      <c r="E99" s="146" t="s">
        <v>122</v>
      </c>
      <c r="F99" s="291">
        <f>(1-C99/C60)</f>
        <v>6.1917785208758236E-3</v>
      </c>
    </row>
    <row r="100" spans="2:8">
      <c r="B100" s="100"/>
    </row>
    <row r="101" spans="2:8" ht="13.15">
      <c r="B101" s="109" t="s">
        <v>398</v>
      </c>
    </row>
    <row r="102" spans="2:8">
      <c r="B102" s="148" t="s">
        <v>397</v>
      </c>
      <c r="C102" s="134">
        <f>Thesis!F32</f>
        <v>0.1174</v>
      </c>
    </row>
    <row r="103" spans="2:8">
      <c r="B103" s="100" t="s">
        <v>117</v>
      </c>
      <c r="C103" s="116">
        <f>PV(C102, C76, -C77, 0)</f>
        <v>12.23315240213444</v>
      </c>
      <c r="D103" s="116"/>
    </row>
    <row r="104" spans="2:8">
      <c r="B104" s="100" t="s">
        <v>118</v>
      </c>
      <c r="C104" s="116">
        <f>C60/(1+C102)^C76</f>
        <v>50.046771478533714</v>
      </c>
      <c r="D104" s="116"/>
    </row>
    <row r="105" spans="2:8" ht="13.15">
      <c r="B105" s="110" t="s">
        <v>379</v>
      </c>
      <c r="C105" s="111">
        <f>C103+C104</f>
        <v>62.27992388066815</v>
      </c>
      <c r="D105" t="s">
        <v>377</v>
      </c>
      <c r="E105" s="146" t="s">
        <v>122</v>
      </c>
      <c r="F105" s="291">
        <f>(1-C105/C66)</f>
        <v>0.1078462348384277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62.55</v>
      </c>
      <c r="D12" s="50"/>
      <c r="E12" s="48"/>
    </row>
    <row r="13" spans="1:10">
      <c r="B13" s="1" t="s">
        <v>485</v>
      </c>
      <c r="C13" s="32" t="str">
        <f>Market_currency</f>
        <v>HKD</v>
      </c>
      <c r="D13" s="48"/>
      <c r="E13" s="5"/>
    </row>
    <row r="14" spans="1:10">
      <c r="B14" s="4" t="s">
        <v>486</v>
      </c>
      <c r="C14" s="35">
        <f>投资主题!C12*Common_Shares/1000000</f>
        <v>15831.97626915</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7.8007999999999997</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69.823572795407159</v>
      </c>
      <c r="D26" s="1" t="s">
        <v>446</v>
      </c>
      <c r="E26" s="301">
        <f ca="1">Scenarios!C87</f>
        <v>0.11566790135718907</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36.978231974966072</v>
      </c>
      <c r="D29" s="310" t="str">
        <f>D149</f>
        <v/>
      </c>
      <c r="E29" s="306" t="s">
        <v>455</v>
      </c>
      <c r="F29" s="362">
        <f>Thesis!F29</f>
        <v>0.35</v>
      </c>
    </row>
    <row r="30" spans="2:6">
      <c r="B30" s="1" t="s">
        <v>450</v>
      </c>
      <c r="C30" s="311">
        <f>C157</f>
        <v>45.647324311248468</v>
      </c>
      <c r="D30" s="311" t="str">
        <f>D157</f>
        <v/>
      </c>
      <c r="E30" s="307" t="s">
        <v>454</v>
      </c>
      <c r="F30" s="224">
        <f>Thesis!F30</f>
        <v>0.25</v>
      </c>
    </row>
    <row r="31" spans="2:6">
      <c r="B31" s="1" t="s">
        <v>451</v>
      </c>
      <c r="C31" s="311">
        <f>C165</f>
        <v>69.391240697121745</v>
      </c>
      <c r="D31" s="311" t="str">
        <f>D165</f>
        <v/>
      </c>
      <c r="E31" s="307" t="s">
        <v>491</v>
      </c>
      <c r="F31" s="224">
        <f>Thesis!F31</f>
        <v>7.4999999999999997E-2</v>
      </c>
    </row>
    <row r="32" spans="2:6">
      <c r="B32" s="1" t="s">
        <v>452</v>
      </c>
      <c r="C32" s="311">
        <f>C173</f>
        <v>62.27992388066815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210.2763260031652</v>
      </c>
      <c r="D41" s="1" t="str">
        <f>Reporting_currency</f>
        <v>USD</v>
      </c>
    </row>
    <row r="42" spans="1:6">
      <c r="B42" s="47"/>
      <c r="C42" s="76"/>
    </row>
    <row r="43" spans="1:6" ht="24.6" customHeight="1">
      <c r="B43" s="373" t="s">
        <v>495</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-33.887093790522258</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8.4496918129615628E-2</v>
      </c>
      <c r="F69" s="314"/>
    </row>
    <row r="70" spans="1:6">
      <c r="B70" s="227" t="s">
        <v>434</v>
      </c>
      <c r="C70" s="92">
        <f>Normalized_FCF!C94</f>
        <v>8.1063469224620308E-2</v>
      </c>
      <c r="E70" s="47" t="s">
        <v>503</v>
      </c>
      <c r="F70" s="315">
        <f>Normalized_FCF!C92</f>
        <v>7.4838221881346927</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70.470429720099446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155.30000000000001</v>
      </c>
      <c r="D102" s="1" t="str">
        <f>Reporting_currency</f>
        <v>USD</v>
      </c>
    </row>
    <row r="103" spans="2:6">
      <c r="B103" s="47" t="s">
        <v>276</v>
      </c>
      <c r="C103" s="223">
        <f>C102*scaling_factor*Exchange_Rate/Common_Shares</f>
        <v>4.7863315939689937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-129.43904958799959</v>
      </c>
      <c r="D109" s="1" t="str">
        <f>Reporting_currency</f>
        <v>USD</v>
      </c>
    </row>
    <row r="110" spans="2:6">
      <c r="B110" s="47" t="s">
        <v>277</v>
      </c>
      <c r="C110" s="223">
        <f>C109*scaling_factor*Exchange_Rate/Common_Shares</f>
        <v>-3.9892995012000112</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1.2019763822587943E-2</v>
      </c>
      <c r="D114" s="1" t="str">
        <f>Market_currency</f>
        <v>HKD</v>
      </c>
    </row>
    <row r="116" spans="1:6">
      <c r="B116" s="372" t="s">
        <v>516</v>
      </c>
      <c r="C116" s="372"/>
      <c r="D116" s="372"/>
      <c r="E116" s="372"/>
      <c r="F116" s="372"/>
    </row>
    <row r="118" spans="1:6">
      <c r="B118" s="47" t="s">
        <v>517</v>
      </c>
      <c r="C118" s="223">
        <f>IF(valuation_method="DCF",DCF!C12,DDM!C7)</f>
        <v>61.706818388753028</v>
      </c>
      <c r="D118" s="1" t="str">
        <f>Market_currency</f>
        <v>HKD</v>
      </c>
    </row>
    <row r="119" spans="1:6">
      <c r="B119" s="296" t="s">
        <v>550</v>
      </c>
      <c r="C119" s="223">
        <f>BS!D47</f>
        <v>-2.6580628996899964</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99.25 HKD</v>
      </c>
      <c r="F126" s="232">
        <f>DCF!F74</f>
        <v>0.05</v>
      </c>
    </row>
    <row r="127" spans="1:6">
      <c r="B127" s="218" t="str">
        <f>DCF!B75</f>
        <v>Optimistic</v>
      </c>
      <c r="C127" s="219">
        <f>DCF!C75</f>
        <v>0.05</v>
      </c>
      <c r="D127" s="220">
        <f>DCF!D75</f>
        <v>10</v>
      </c>
      <c r="E127" s="231" t="str">
        <f>ROUND(IF(valuation_method="DCF",DCF!E75,DDM!E70),2)&amp;" "&amp;Market_currency</f>
        <v>73.68 HKD</v>
      </c>
      <c r="F127" s="221">
        <f>DCF!F75</f>
        <v>0.18</v>
      </c>
    </row>
    <row r="128" spans="1:6">
      <c r="B128" s="218" t="str">
        <f>DCF!B76</f>
        <v>Base</v>
      </c>
      <c r="C128" s="219">
        <f>DCF!C76</f>
        <v>0.03</v>
      </c>
      <c r="D128" s="220">
        <f>DCF!D76</f>
        <v>10</v>
      </c>
      <c r="E128" s="231" t="str">
        <f>ROUND(IF(valuation_method="DCF",DCF!E76,DDM!E71),2)&amp;" "&amp;Market_currency</f>
        <v>68.55 HKD</v>
      </c>
      <c r="F128" s="221">
        <f>DCF!F76</f>
        <v>0.53999999999999992</v>
      </c>
    </row>
    <row r="129" spans="1:6">
      <c r="B129" s="218" t="str">
        <f>DCF!B77</f>
        <v>Pessimistic</v>
      </c>
      <c r="C129" s="219">
        <f>DCF!C77</f>
        <v>0.01</v>
      </c>
      <c r="D129" s="220">
        <f>DCF!D77</f>
        <v>10</v>
      </c>
      <c r="E129" s="231" t="str">
        <f>ROUND(IF(valuation_method="DCF",DCF!E77,DDM!E72),2)&amp;" "&amp;Market_currency</f>
        <v>63.88 HKD</v>
      </c>
      <c r="F129" s="221">
        <f>DCF!F77</f>
        <v>0.18</v>
      </c>
    </row>
    <row r="130" spans="1:6">
      <c r="B130" s="218" t="str">
        <f>DCF!B78</f>
        <v>Devil's advocate</v>
      </c>
      <c r="C130" s="219">
        <f>DCF!C78</f>
        <v>0</v>
      </c>
      <c r="D130" s="220">
        <f>DCF!D78</f>
        <v>15</v>
      </c>
      <c r="E130" s="231" t="str">
        <f>ROUND(IF(valuation_method="DCF",DCF!E78,DDM!E73),2)&amp;" "&amp;Market_currency</f>
        <v>61.71 HKD</v>
      </c>
      <c r="F130" s="221">
        <f>DCF!F78</f>
        <v>0.05</v>
      </c>
    </row>
    <row r="132" spans="1:6">
      <c r="B132" s="211" t="s">
        <v>254</v>
      </c>
      <c r="C132" s="217">
        <f>Scenarios!C60</f>
        <v>69.823572795407159</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5.0705200000000001</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8.5989919016410123</v>
      </c>
    </row>
    <row r="148" spans="2:4">
      <c r="B148" s="212" t="str">
        <f>"+ PV(Equity Value realized at year "&amp;C141&amp;")"</f>
        <v>+ PV(Equity Value realized at year 3)</v>
      </c>
      <c r="C148" s="216">
        <f>Scenarios!C82</f>
        <v>28.379240073325061</v>
      </c>
    </row>
    <row r="149" spans="2:4">
      <c r="B149" s="80" t="s">
        <v>256</v>
      </c>
      <c r="C149" s="215">
        <f>Scenarios!C83</f>
        <v>36.978231974966072</v>
      </c>
      <c r="D149" s="300" t="str">
        <f>IF($D$11="","",C149*$E$25)</f>
        <v/>
      </c>
    </row>
    <row r="150" spans="2:4">
      <c r="B150" s="259" t="s">
        <v>532</v>
      </c>
      <c r="C150" s="298" t="str">
        <f>Market_currency</f>
        <v>HKD</v>
      </c>
      <c r="D150" s="298" t="str">
        <f>IF($D$11="","",D$13)</f>
        <v/>
      </c>
    </row>
    <row r="151" spans="2:4">
      <c r="B151" s="214" t="s">
        <v>533</v>
      </c>
      <c r="C151" s="92">
        <f>Scenarios!F83</f>
        <v>0.47040475738304788</v>
      </c>
    </row>
    <row r="153" spans="2:4">
      <c r="B153" s="210" t="s">
        <v>391</v>
      </c>
    </row>
    <row r="154" spans="2:4">
      <c r="B154" s="1" t="s">
        <v>390</v>
      </c>
      <c r="C154" s="297">
        <f>Scenarios!C90</f>
        <v>0.25</v>
      </c>
    </row>
    <row r="155" spans="2:4">
      <c r="B155" s="212" t="str">
        <f>"PV("&amp;C141&amp;" yrs of Dividends)"</f>
        <v>PV(3 yrs of Dividends)</v>
      </c>
      <c r="C155" s="216">
        <f>Scenarios!C91</f>
        <v>9.8976550400000001</v>
      </c>
    </row>
    <row r="156" spans="2:4">
      <c r="B156" s="212" t="str">
        <f>"+ PV(Equity Value realized at year "&amp;C141&amp;")"</f>
        <v>+ PV(Equity Value realized at year 3)</v>
      </c>
      <c r="C156" s="216">
        <f>Scenarios!C92</f>
        <v>35.749669271248464</v>
      </c>
    </row>
    <row r="157" spans="2:4">
      <c r="B157" s="80" t="s">
        <v>256</v>
      </c>
      <c r="C157" s="215">
        <f>Scenarios!C93</f>
        <v>45.647324311248468</v>
      </c>
      <c r="D157" s="300" t="str">
        <f>IF($D$11="","",C157*$E$25)</f>
        <v/>
      </c>
    </row>
    <row r="158" spans="2:4">
      <c r="B158" s="259" t="s">
        <v>532</v>
      </c>
      <c r="C158" s="298" t="str">
        <f>Market_currency</f>
        <v>HKD</v>
      </c>
      <c r="D158" s="298" t="str">
        <f>IF($D$11="","",D$13)</f>
        <v/>
      </c>
    </row>
    <row r="159" spans="2:4">
      <c r="B159" s="214" t="s">
        <v>533</v>
      </c>
      <c r="C159" s="92">
        <f>Scenarios!F93</f>
        <v>0.34624765700544258</v>
      </c>
    </row>
    <row r="161" spans="2:4">
      <c r="B161" s="210" t="s">
        <v>381</v>
      </c>
    </row>
    <row r="162" spans="2:4">
      <c r="B162" s="1" t="s">
        <v>389</v>
      </c>
      <c r="C162" s="92">
        <f>Scenarios!C96</f>
        <v>7.4999999999999997E-2</v>
      </c>
    </row>
    <row r="163" spans="2:4">
      <c r="B163" s="212" t="str">
        <f>"PV("&amp;C141&amp;" yrs of Dividends)"</f>
        <v>PV(3 yrs of Dividends)</v>
      </c>
      <c r="C163" s="216">
        <f>Scenarios!C97</f>
        <v>13.186017774535571</v>
      </c>
    </row>
    <row r="164" spans="2:4">
      <c r="B164" s="212" t="str">
        <f>"+ PV(Equity Value realized at year "&amp;C141&amp;")"</f>
        <v>+ PV(Equity Value realized at year 3)</v>
      </c>
      <c r="C164" s="216">
        <f>Scenarios!C98</f>
        <v>56.205222922586174</v>
      </c>
    </row>
    <row r="165" spans="2:4">
      <c r="B165" s="80" t="s">
        <v>382</v>
      </c>
      <c r="C165" s="215">
        <f>Scenarios!C99</f>
        <v>69.391240697121745</v>
      </c>
      <c r="D165" s="300" t="str">
        <f>IF($D$11="","",C165*$E$25)</f>
        <v/>
      </c>
    </row>
    <row r="166" spans="2:4">
      <c r="B166" s="259" t="s">
        <v>532</v>
      </c>
      <c r="C166" s="298" t="str">
        <f>Market_currency</f>
        <v>HKD</v>
      </c>
      <c r="D166" s="298" t="str">
        <f>IF($D$11="","",D$13)</f>
        <v/>
      </c>
    </row>
    <row r="167" spans="2:4">
      <c r="B167" s="214" t="s">
        <v>533</v>
      </c>
      <c r="C167" s="92">
        <f>Scenarios!F99</f>
        <v>6.1917785208758236E-3</v>
      </c>
    </row>
    <row r="169" spans="2:4">
      <c r="B169" s="210" t="s">
        <v>408</v>
      </c>
    </row>
    <row r="170" spans="2:4">
      <c r="B170" s="1" t="s">
        <v>399</v>
      </c>
      <c r="C170" s="92">
        <f>F32</f>
        <v>0.1174</v>
      </c>
    </row>
    <row r="171" spans="2:4">
      <c r="B171" s="212" t="str">
        <f>"PV("&amp;C141&amp;" yrs of Dividends)"</f>
        <v>PV(3 yrs of Dividends)</v>
      </c>
      <c r="C171" s="216">
        <f>Scenarios!C103</f>
        <v>12.23315240213444</v>
      </c>
    </row>
    <row r="172" spans="2:4">
      <c r="B172" s="212" t="str">
        <f>"+ PV(Equity Value realized at year "&amp;C141&amp;")"</f>
        <v>+ PV(Equity Value realized at year 3)</v>
      </c>
      <c r="C172" s="216">
        <f>Scenarios!C104</f>
        <v>50.046771478533714</v>
      </c>
    </row>
    <row r="173" spans="2:4">
      <c r="B173" s="80" t="s">
        <v>382</v>
      </c>
      <c r="C173" s="215">
        <f>Scenarios!C105</f>
        <v>62.27992388066815</v>
      </c>
      <c r="D173" s="300" t="str">
        <f>IF($D$11="","",C173*$E$25)</f>
        <v/>
      </c>
    </row>
    <row r="174" spans="2:4">
      <c r="B174" s="259" t="s">
        <v>532</v>
      </c>
      <c r="C174" s="298" t="str">
        <f>Market_currency</f>
        <v>HKD</v>
      </c>
      <c r="D174" s="298" t="str">
        <f>IF($D$11="","",D$13)</f>
        <v/>
      </c>
    </row>
    <row r="175" spans="2:4">
      <c r="B175" s="214" t="s">
        <v>533</v>
      </c>
      <c r="C175" s="92">
        <f>Scenarios!F105</f>
        <v>0.1078462348384277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