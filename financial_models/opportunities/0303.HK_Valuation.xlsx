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16A438A-0661-4B2E-8593-69403D9D393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59" i="6" s="1"/>
  <c r="C91" i="2"/>
  <c r="C128" i="6"/>
  <c r="C91" i="9"/>
  <c r="C137" i="6" s="1"/>
  <c r="G72" i="4"/>
  <c r="I72" i="4"/>
  <c r="F72" i="4"/>
  <c r="F69" i="4"/>
  <c r="E72" i="4"/>
  <c r="D72" i="4"/>
  <c r="J72" i="4"/>
  <c r="H72" i="4"/>
  <c r="L69" i="4"/>
  <c r="L70" i="4"/>
  <c r="L72" i="4"/>
  <c r="L71" i="4"/>
  <c r="K70" i="4"/>
  <c r="K72" i="4"/>
  <c r="K71" i="4"/>
  <c r="K69" i="4"/>
  <c r="C72" i="4"/>
  <c r="C70"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F71" i="4" s="1"/>
  <c r="L38" i="4"/>
  <c r="L43" i="4" s="1"/>
  <c r="L44" i="4" s="1"/>
  <c r="L58" i="4" s="1"/>
  <c r="P62" i="2" s="1"/>
  <c r="E38" i="4"/>
  <c r="E43" i="4" s="1"/>
  <c r="E70" i="4" s="1"/>
  <c r="M38" i="4"/>
  <c r="C10" i="6"/>
  <c r="B4" i="6"/>
  <c r="C31" i="4" l="1"/>
  <c r="C80" i="4" s="1"/>
  <c r="C88" i="6"/>
  <c r="Q126" i="2"/>
  <c r="Q48" i="2"/>
  <c r="Q91" i="2"/>
  <c r="Q92" i="2"/>
  <c r="J91" i="2"/>
  <c r="M126" i="2"/>
  <c r="M91" i="2"/>
  <c r="E69" i="4"/>
  <c r="P126" i="2"/>
  <c r="P91" i="2"/>
  <c r="P92" i="2"/>
  <c r="P48" i="2"/>
  <c r="G69" i="4"/>
  <c r="O126" i="2"/>
  <c r="O91" i="2"/>
  <c r="J69" i="4"/>
  <c r="I69" i="4"/>
  <c r="J71" i="4"/>
  <c r="L126" i="2"/>
  <c r="L91" i="2"/>
  <c r="J70" i="4"/>
  <c r="H69" i="4"/>
  <c r="F70" i="4"/>
  <c r="G70" i="4"/>
  <c r="C69" i="4"/>
  <c r="D69" i="4"/>
  <c r="K126" i="2"/>
  <c r="K91" i="2"/>
  <c r="I70" i="4"/>
  <c r="H91" i="2"/>
  <c r="I71" i="4"/>
  <c r="N126" i="2"/>
  <c r="N91" i="2"/>
  <c r="I91" i="2"/>
  <c r="D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73" i="2" s="1"/>
  <c r="O35" i="2"/>
  <c r="O7" i="2" s="1"/>
  <c r="O75" i="2" s="1"/>
  <c r="O82" i="2"/>
  <c r="O28" i="2"/>
  <c r="C76" i="4" l="1"/>
  <c r="G105" i="2"/>
  <c r="G101" i="2" s="1"/>
  <c r="O30" i="2"/>
  <c r="E58" i="4"/>
  <c r="E71" i="4"/>
  <c r="C58" i="4"/>
  <c r="C71" i="4"/>
  <c r="H58" i="4"/>
  <c r="H71" i="4"/>
  <c r="D71" i="4"/>
  <c r="O40" i="2"/>
  <c r="O63" i="2"/>
  <c r="O6" i="2"/>
  <c r="G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8" i="2" l="1"/>
  <c r="O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O120" i="2"/>
  <c r="O76" i="2"/>
  <c r="O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L48" i="2"/>
  <c r="L50" i="2" s="1"/>
  <c r="L12" i="2" s="1"/>
  <c r="J48" i="2"/>
  <c r="I48" i="2"/>
  <c r="I50" i="2" s="1"/>
  <c r="I12" i="2" s="1"/>
  <c r="I80" i="2" s="1"/>
  <c r="H48" i="2"/>
  <c r="O48" i="2"/>
  <c r="O50" i="2" s="1"/>
  <c r="O12" i="2" s="1"/>
  <c r="K48" i="2"/>
  <c r="K50" i="2" s="1"/>
  <c r="K12" i="2" s="1"/>
  <c r="K43" i="2" s="1"/>
  <c r="N48" i="2"/>
  <c r="N50" i="2" s="1"/>
  <c r="N12" i="2" s="1"/>
  <c r="M48" i="2"/>
  <c r="M50" i="2"/>
  <c r="M12" i="2" s="1"/>
  <c r="P50" i="2"/>
  <c r="P12" i="2" s="1"/>
  <c r="J50" i="2"/>
  <c r="J12" i="2" s="1"/>
  <c r="J80" i="2" s="1"/>
  <c r="G50" i="2"/>
  <c r="G12" i="2" s="1"/>
  <c r="G43" i="2" s="1"/>
  <c r="H50" i="2"/>
  <c r="H12" i="2" s="1"/>
  <c r="H80" i="2" s="1"/>
  <c r="C40" i="6"/>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87" i="2" l="1"/>
  <c r="O114"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J114" i="2"/>
  <c r="J92" i="2"/>
  <c r="I114" i="2"/>
  <c r="I92" i="2"/>
  <c r="N84" i="2"/>
  <c r="L124" i="2"/>
  <c r="L125" i="2" s="1"/>
  <c r="L19" i="2"/>
  <c r="L87" i="2" s="1"/>
  <c r="M124" i="2"/>
  <c r="M125" i="2" s="1"/>
  <c r="M19" i="2"/>
  <c r="I124" i="2"/>
  <c r="I125" i="2" s="1"/>
  <c r="J84" i="2"/>
  <c r="N124" i="2"/>
  <c r="N125" i="2" s="1"/>
  <c r="M84" i="2"/>
  <c r="I87" i="2"/>
  <c r="I84" i="2"/>
  <c r="J124" i="2"/>
  <c r="J125" i="2" s="1"/>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<sst xmlns="http://schemas.openxmlformats.org/spreadsheetml/2006/main" count="606" uniqueCount="429">
  <si>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</si>
  <si>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</si>
  <si>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</si>
  <si>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</si>
  <si>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</si>
  <si>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</si>
  <si>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</si>
  <si>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</si>
  <si>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</si>
  <si>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</si>
  <si>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</si>
  <si>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</si>
  <si>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</si>
  <si>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</si>
  <si>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</si>
  <si>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</si>
  <si>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</si>
  <si>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</si>
  <si>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</si>
  <si>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</si>
  <si>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</si>
  <si>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</si>
  <si>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</si>
  <si>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</si>
  <si>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</si>
  <si>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</si>
  <si>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</si>
  <si>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</si>
  <si>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</si>
  <si>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</si>
  <si>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</si>
  <si>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</si>
  <si>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</si>
  <si>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</si>
  <si>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</si>
  <si>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</si>
  <si>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</si>
  <si>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</si>
  <si>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</si>
  <si>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</si>
  <si>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</si>
  <si>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</si>
  <si>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</si>
  <si>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</si>
  <si>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</si>
  <si>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</si>
  <si>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</si>
  <si>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</si>
  <si>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</si>
  <si>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</si>
  <si>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</si>
  <si>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</si>
  <si>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</si>
  <si>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</si>
  <si>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</si>
  <si>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</si>
  <si>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</si>
  <si>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</si>
  <si>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</si>
  <si>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</si>
  <si>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</si>
  <si>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</si>
  <si>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</si>
  <si>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</si>
  <si>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</si>
  <si>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</si>
  <si>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</si>
  <si>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</si>
  <si>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</si>
  <si>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</si>
  <si>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</si>
  <si>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</si>
  <si>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</si>
  <si>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</si>
  <si>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</si>
  <si>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</si>
  <si>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</si>
  <si>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</si>
  <si>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</si>
  <si>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</si>
  <si>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</si>
  <si>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</si>
  <si>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</si>
  <si>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</si>
  <si>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</si>
  <si>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</si>
  <si>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</si>
  <si>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</si>
  <si>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</si>
  <si>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</si>
  <si>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</si>
  <si>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</si>
  <si>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</si>
  <si>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</si>
  <si>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</si>
  <si>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</si>
  <si>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</si>
  <si>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</si>
  <si>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</si>
  <si>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</si>
  <si>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</si>
  <si>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</si>
  <si>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</si>
  <si>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</si>
  <si>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</si>
  <si>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</si>
  <si>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</si>
  <si>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</si>
  <si>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</si>
  <si>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</si>
  <si>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</si>
  <si>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</si>
  <si>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</si>
  <si>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</si>
  <si>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</si>
  <si>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</si>
  <si>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</si>
  <si>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</si>
  <si>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</si>
  <si>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</si>
  <si>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</si>
  <si>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</si>
  <si>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</si>
  <si>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</si>
  <si>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</si>
  <si>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</si>
  <si>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</si>
  <si>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</si>
  <si>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</si>
  <si>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</si>
  <si>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</si>
  <si>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</si>
  <si>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</si>
  <si>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</si>
  <si>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</si>
  <si>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</si>
  <si>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</si>
  <si>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</si>
  <si>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</si>
  <si>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</si>
  <si>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</si>
  <si>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</si>
  <si>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</si>
  <si>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</si>
  <si>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</si>
  <si>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</si>
  <si>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</si>
  <si>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</si>
  <si>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</si>
  <si>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</si>
  <si>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</si>
  <si>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</si>
  <si>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</si>
  <si>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</si>
  <si>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</si>
  <si>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</si>
  <si>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</si>
  <si>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</si>
  <si>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</si>
  <si>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</si>
  <si>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</si>
  <si>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</si>
  <si>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</si>
  <si>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</si>
  <si>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</si>
  <si>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</si>
  <si>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</si>
  <si>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</si>
  <si>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</si>
  <si>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</si>
  <si>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</si>
  <si>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</si>
  <si>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</si>
  <si>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</si>
  <si>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</si>
  <si>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</si>
  <si>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</si>
  <si>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</si>
  <si>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</si>
  <si>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</si>
  <si>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</si>
  <si>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</si>
  <si>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</si>
  <si>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</si>
  <si>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</si>
  <si>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</si>
  <si>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</si>
  <si>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</si>
  <si>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</si>
  <si>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</si>
  <si>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</si>
  <si>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</si>
  <si>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</si>
  <si>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</si>
  <si>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</si>
  <si>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</si>
  <si>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</si>
  <si>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</si>
  <si>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</si>
  <si>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</si>
  <si>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</si>
  <si>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</si>
  <si>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</si>
  <si>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</si>
  <si>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</si>
  <si>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</si>
  <si>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</si>
  <si>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</si>
  <si>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</si>
  <si>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</si>
  <si>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</si>
  <si>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</si>
  <si>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</si>
  <si>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</si>
  <si>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</si>
  <si>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</si>
  <si>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</si>
  <si>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</si>
  <si>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</si>
  <si>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</si>
  <si>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</si>
  <si>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</si>
  <si>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</si>
  <si>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</si>
  <si>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</si>
  <si>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</si>
  <si>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</si>
  <si>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</si>
  <si>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</si>
  <si>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</si>
  <si>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</si>
  <si>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</si>
  <si>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</si>
  <si>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</si>
  <si>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</si>
  <si>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</si>
  <si>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</si>
  <si>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</si>
  <si>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</si>
  <si>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</si>
  <si>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</si>
  <si>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</si>
  <si>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</si>
  <si>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</si>
  <si>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</si>
  <si>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</si>
  <si>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</si>
  <si>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</si>
  <si>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</si>
  <si>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</si>
  <si>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</si>
  <si>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</si>
  <si>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</si>
  <si>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</si>
  <si>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</si>
  <si>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</si>
  <si>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</si>
  <si>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</si>
  <si>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</si>
  <si>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</si>
  <si>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</si>
  <si>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</si>
  <si>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</si>
  <si>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</si>
  <si>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</si>
  <si>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</si>
  <si>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</si>
  <si>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</si>
  <si>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</si>
  <si>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</si>
  <si>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</si>
  <si>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</si>
  <si>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</si>
  <si>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</si>
  <si>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</si>
  <si>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</si>
  <si>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</si>
  <si>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</si>
  <si>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</si>
  <si>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</si>
  <si>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</si>
  <si>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</si>
  <si>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</si>
  <si>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</si>
  <si>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</si>
  <si>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</si>
  <si>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</si>
  <si>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</si>
  <si>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</si>
  <si>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</si>
  <si>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</si>
  <si>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</si>
  <si>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</si>
  <si>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</si>
  <si>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</si>
  <si>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</si>
  <si>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</si>
  <si>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</si>
  <si>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</si>
  <si>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</si>
  <si>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</si>
  <si>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</si>
  <si>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</si>
  <si>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</si>
  <si>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</si>
  <si>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</si>
  <si>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</si>
  <si>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</si>
  <si>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</si>
  <si>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</si>
  <si>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</si>
  <si>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</si>
  <si>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</si>
  <si>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</si>
  <si>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</si>
  <si>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</si>
  <si>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</si>
  <si>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</si>
  <si>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</si>
  <si>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</si>
  <si>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</si>
  <si>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</si>
  <si>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</si>
  <si>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</si>
  <si>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</si>
  <si>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</si>
  <si>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</si>
  <si>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</si>
  <si>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</si>
  <si>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</si>
  <si>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</si>
  <si>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</si>
  <si>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</si>
  <si>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</si>
  <si>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</si>
  <si>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</si>
  <si>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</si>
  <si>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</si>
  <si>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</si>
  <si>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</si>
  <si>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</si>
  <si>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</si>
  <si>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</si>
  <si>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</si>
  <si>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</si>
  <si>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</si>
  <si>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</si>
  <si>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</si>
  <si>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</si>
  <si>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</si>
  <si>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</si>
  <si>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</si>
  <si>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</si>
  <si>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</si>
  <si>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</si>
  <si>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</si>
  <si>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</si>
  <si>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</si>
  <si>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</si>
  <si>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</si>
  <si>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</si>
  <si>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</si>
  <si>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</si>
  <si>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</si>
  <si>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</si>
  <si>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</si>
  <si>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</si>
  <si>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</si>
  <si>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</si>
  <si>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</si>
  <si>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</si>
  <si>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</si>
  <si>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</si>
  <si>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</si>
  <si>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</si>
  <si>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</si>
  <si>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</si>
  <si>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</si>
  <si>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</si>
  <si>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</si>
  <si>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</si>
  <si>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</si>
  <si>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</si>
  <si>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</si>
  <si>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</si>
  <si>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</si>
  <si>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</si>
  <si>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</si>
  <si>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</si>
  <si>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</si>
  <si>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</si>
  <si>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</si>
  <si>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</si>
  <si>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</si>
  <si>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</si>
  <si>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</si>
  <si>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</si>
  <si>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</si>
  <si>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</si>
  <si>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</si>
  <si>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</si>
  <si>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</si>
  <si>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</si>
  <si>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</si>
  <si>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</si>
  <si>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</si>
  <si>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</si>
  <si>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</si>
  <si>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</si>
  <si>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</si>
  <si>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</si>
  <si>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</si>
  <si>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</si>
  <si>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</si>
  <si>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</si>
  <si>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</si>
  <si>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</si>
  <si>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</si>
  <si>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</si>
  <si>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</si>
  <si>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</si>
  <si>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偉易達</t>
  </si>
  <si>
    <t>0303.HK</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</si>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</sst>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0303.HK Stock Information</v>
      </c>
      <c r="C4" s="46"/>
      <c r="D4" s="5"/>
      <c r="E4" s="2"/>
      <c r="F4" s="2"/>
    </row>
    <row r="5" spans="1:10" ht="12.4">
      <c r="B5" s="4" t="s">
        <v>323</v>
      </c>
      <c r="C5" s="333" t="s">
        <v>421</v>
      </c>
      <c r="D5" s="49" t="s">
        <v>422</v>
      </c>
    </row>
    <row r="6" spans="1:10">
      <c r="B6" s="4" t="s">
        <v>95</v>
      </c>
      <c r="C6" s="50">
        <v>52.2</v>
      </c>
      <c r="D6" s="48" t="s">
        <v>405</v>
      </c>
      <c r="E6" s="48"/>
    </row>
    <row r="7" spans="1:10">
      <c r="B7" s="4" t="s">
        <v>0</v>
      </c>
      <c r="C7" s="51">
        <v>253109133</v>
      </c>
      <c r="D7" s="34"/>
      <c r="E7" s="34"/>
    </row>
    <row r="8" spans="1:10">
      <c r="B8" s="2" t="s">
        <v>314</v>
      </c>
      <c r="C8" s="279">
        <v>6</v>
      </c>
      <c r="D8" s="5"/>
      <c r="E8" s="48"/>
    </row>
    <row r="9" spans="1:10">
      <c r="B9" s="1" t="s">
        <v>269</v>
      </c>
      <c r="C9" s="33">
        <f>EOMONTH(EDATE(BS!C1,C8+2),0)</f>
        <v>45808</v>
      </c>
      <c r="D9" s="5"/>
      <c r="E9" s="5"/>
    </row>
    <row r="10" spans="1:10">
      <c r="B10" s="4" t="str">
        <f>"Capitalization ("&amp;Market_currency&amp;"):"</f>
        <v>Capitalization (HKD):</v>
      </c>
      <c r="C10" s="35">
        <f>Thesis!C6*Thesis!C7/1000000</f>
        <v>13212.2967426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7.7579000000000002</v>
      </c>
      <c r="D17" s="32" t="str">
        <f>IF(C16=D6,D6,C16&amp;"/"&amp;D6)</f>
        <v>USD/HKD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34.810338706696939</v>
      </c>
      <c r="D20" s="1" t="s">
        <v>315</v>
      </c>
      <c r="E20" s="330">
        <v>3</v>
      </c>
    </row>
    <row r="21" spans="1:6">
      <c r="B21" s="1" t="s">
        <v>408</v>
      </c>
      <c r="C21" s="280">
        <f ca="1">Scenarios!C87</f>
        <v>9.2083708290373378E-2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210.2763260031652</v>
      </c>
      <c r="D30" s="1" t="str">
        <f>Reporting_currency</f>
        <v>USD</v>
      </c>
    </row>
    <row r="31" spans="1:6">
      <c r="B31" s="47"/>
      <c r="C31" s="76"/>
    </row>
    <row r="32" spans="1:6" ht="24.4" customHeight="1">
      <c r="B32" s="341" t="s">
        <v>234</v>
      </c>
      <c r="C32" s="341"/>
      <c r="D32" s="341"/>
      <c r="E32" s="341"/>
      <c r="F32" s="341"/>
    </row>
    <row r="33" spans="2:6">
      <c r="B33" s="47" t="s">
        <v>235</v>
      </c>
      <c r="C33" s="188">
        <f>Normalized_FCF!C9</f>
        <v>0</v>
      </c>
      <c r="D33" s="1" t="str">
        <f>Reporting_currency</f>
        <v>USD</v>
      </c>
    </row>
    <row r="34" spans="2:6">
      <c r="B34" s="52" t="s">
        <v>236</v>
      </c>
      <c r="C34" s="188">
        <f>Normalized_FCF!C10</f>
        <v>0</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-4.9000000000000004</v>
      </c>
      <c r="D41" s="1" t="str">
        <f>Reporting_currency</f>
        <v>USD</v>
      </c>
      <c r="E41" s="321"/>
      <c r="F41" s="321"/>
    </row>
    <row r="42" spans="2:6">
      <c r="B42" s="47" t="s">
        <v>239</v>
      </c>
      <c r="C42" s="188">
        <f>Normalized_FCF!C12</f>
        <v>-4.9000000000000004</v>
      </c>
      <c r="D42" s="1" t="str">
        <f>Reporting_currency</f>
        <v>USD</v>
      </c>
    </row>
    <row r="44" spans="2:6">
      <c r="B44" s="1" t="s">
        <v>247</v>
      </c>
    </row>
    <row r="45" spans="2:6">
      <c r="B45" s="47" t="s">
        <v>266</v>
      </c>
      <c r="C45" s="188">
        <f>Normalized_FCF!C15</f>
        <v>0</v>
      </c>
      <c r="D45" s="1" t="str">
        <f>Reporting_currency</f>
        <v>USD</v>
      </c>
    </row>
    <row r="47" spans="2:6">
      <c r="B47" s="341" t="s">
        <v>242</v>
      </c>
      <c r="C47" s="341"/>
      <c r="D47" s="341"/>
      <c r="E47" s="341"/>
      <c r="F47" s="341"/>
    </row>
    <row r="48" spans="2:6">
      <c r="B48" s="47" t="s">
        <v>240</v>
      </c>
      <c r="C48" s="188">
        <f>Normalized_FCF!C14</f>
        <v>-33.887093790522258</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199.70000000000005</v>
      </c>
      <c r="D56" s="1" t="str">
        <f>Reporting_currency</f>
        <v>USD</v>
      </c>
    </row>
    <row r="57" spans="1:6">
      <c r="B57" s="47" t="s">
        <v>249</v>
      </c>
      <c r="C57" s="188">
        <f>Normalized_FCF!C19</f>
        <v>171.48923221264295</v>
      </c>
      <c r="D57" s="1" t="str">
        <f>Reporting_currency</f>
        <v>USD</v>
      </c>
    </row>
    <row r="58" spans="1:6">
      <c r="B58" s="254" t="s">
        <v>398</v>
      </c>
      <c r="C58" s="92">
        <f>Normalized_FCF!C125</f>
        <v>0.10069379612803481</v>
      </c>
    </row>
    <row r="59" spans="1:6">
      <c r="B59" s="254" t="s">
        <v>316</v>
      </c>
      <c r="C59" s="92">
        <f>Normalized_FCF!C93</f>
        <v>0</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65.702701973542702</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155.30000000000001</v>
      </c>
      <c r="D86" s="1" t="str">
        <f>Reporting_currency</f>
        <v>USD</v>
      </c>
    </row>
    <row r="87" spans="2:6">
      <c r="B87" s="47" t="s">
        <v>285</v>
      </c>
      <c r="C87" s="248">
        <f>C86*scaling_factor*Exchange_Rate/Common_Shares</f>
        <v>4.760009469907196</v>
      </c>
      <c r="D87" s="1" t="str">
        <f>Market_currency</f>
        <v>HKD</v>
      </c>
    </row>
    <row r="88" spans="2:6">
      <c r="B88" s="337" t="s">
        <v>414</v>
      </c>
      <c r="C88" s="338">
        <f>BS!G30/BS!G27</f>
        <v>1.2907496012759174</v>
      </c>
    </row>
    <row r="89" spans="2:6">
      <c r="B89" s="337" t="s">
        <v>415</v>
      </c>
      <c r="C89" s="338">
        <f>BS!G31/BS!G27</f>
        <v>0.24768740031897937</v>
      </c>
    </row>
    <row r="90" spans="2:6">
      <c r="B90" s="337" t="s">
        <v>417</v>
      </c>
      <c r="C90" s="339">
        <f>BS!C50</f>
        <v>0.73855199466278643</v>
      </c>
    </row>
    <row r="92" spans="2:6">
      <c r="B92" s="1" t="s">
        <v>255</v>
      </c>
    </row>
    <row r="93" spans="2:6">
      <c r="B93" s="47" t="s">
        <v>265</v>
      </c>
      <c r="C93" s="188">
        <f>BS!C66</f>
        <v>150.19999999999999</v>
      </c>
      <c r="D93" s="1" t="str">
        <f>Reporting_currency</f>
        <v>USD</v>
      </c>
    </row>
    <row r="94" spans="2:6">
      <c r="B94" s="47" t="s">
        <v>267</v>
      </c>
      <c r="C94" s="188">
        <f>Valuation_Model!C8</f>
        <v>-22.489472833069584</v>
      </c>
      <c r="D94" s="1" t="str">
        <f>Reporting_currency</f>
        <v>USD</v>
      </c>
    </row>
    <row r="95" spans="2:6">
      <c r="B95" s="47" t="s">
        <v>286</v>
      </c>
      <c r="C95" s="248">
        <f>C94*scaling_factor*Exchange_Rate/Common_Shares</f>
        <v>-0.6893116784200376</v>
      </c>
      <c r="D95" s="1" t="str">
        <f>Market_currency</f>
        <v>HKD</v>
      </c>
    </row>
    <row r="97" spans="1:6">
      <c r="B97" s="1" t="s">
        <v>257</v>
      </c>
    </row>
    <row r="98" spans="1:6">
      <c r="B98" s="47" t="s">
        <v>258</v>
      </c>
      <c r="C98" s="188">
        <f>Valuation_Model!C9</f>
        <v>0.39</v>
      </c>
      <c r="D98" s="1" t="str">
        <f>Reporting_currency</f>
        <v>USD</v>
      </c>
    </row>
    <row r="99" spans="1:6">
      <c r="B99" s="47" t="s">
        <v>287</v>
      </c>
      <c r="C99" s="248">
        <f>C98*scaling_factor*Exchange_Rate/Common_Shares</f>
        <v>1.1953661901247949E-2</v>
      </c>
      <c r="D99" s="1" t="str">
        <f>Market_currency</f>
        <v>HKD</v>
      </c>
    </row>
    <row r="101" spans="1:6" ht="24.4" customHeight="1">
      <c r="B101" s="340" t="s">
        <v>374</v>
      </c>
      <c r="C101" s="340"/>
      <c r="D101" s="340"/>
      <c r="E101" s="340"/>
      <c r="F101" s="340"/>
    </row>
    <row r="103" spans="1:6">
      <c r="B103" s="47" t="s">
        <v>283</v>
      </c>
      <c r="C103" s="248">
        <f>Valuation_Model!C12</f>
        <v>60.265334487116725</v>
      </c>
      <c r="D103" s="1" t="str">
        <f>Market_currency</f>
        <v>HKD</v>
      </c>
    </row>
    <row r="104" spans="1:6">
      <c r="B104" s="337" t="s">
        <v>416</v>
      </c>
      <c r="C104" s="248">
        <f>BS!D47</f>
        <v>-2.643445053008028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95.78 HKD</v>
      </c>
      <c r="F111" s="259">
        <f>Valuation_Model!F74</f>
        <v>0.05</v>
      </c>
    </row>
    <row r="112" spans="1:6">
      <c r="B112" s="242" t="str">
        <f>Valuation_Model!B75</f>
        <v>Optimistic</v>
      </c>
      <c r="C112" s="243">
        <f>Valuation_Model!C75</f>
        <v>0.05</v>
      </c>
      <c r="D112" s="244">
        <f>Valuation_Model!D75</f>
        <v>10</v>
      </c>
      <c r="E112" s="245" t="str">
        <f>ROUND(Valuation_Model!E75,2)&amp;" "&amp;Market_currency</f>
        <v>71.68 HKD</v>
      </c>
      <c r="F112" s="246">
        <f>Valuation_Model!F75</f>
        <v>0.18</v>
      </c>
    </row>
    <row r="113" spans="1:6">
      <c r="B113" s="242" t="str">
        <f>Valuation_Model!B76</f>
        <v>Base</v>
      </c>
      <c r="C113" s="243">
        <f>Valuation_Model!C76</f>
        <v>0.03</v>
      </c>
      <c r="D113" s="244">
        <f>Valuation_Model!D76</f>
        <v>10</v>
      </c>
      <c r="E113" s="245" t="str">
        <f>ROUND(Valuation_Model!E76,2)&amp;" "&amp;Market_currency</f>
        <v>66.78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62.34 HKD</v>
      </c>
      <c r="F114" s="246">
        <f>Valuation_Model!F77</f>
        <v>0.18</v>
      </c>
    </row>
    <row r="115" spans="1:6">
      <c r="B115" s="242" t="str">
        <f>Valuation_Model!B78</f>
        <v>Devil's advocate</v>
      </c>
      <c r="C115" s="243">
        <f>Valuation_Model!C78</f>
        <v>0</v>
      </c>
      <c r="D115" s="244">
        <f>Valuation_Model!D78</f>
        <v>15</v>
      </c>
      <c r="E115" s="245" t="str">
        <f>ROUND(Valuation_Model!E78,2)&amp;" "&amp;Market_currency</f>
        <v>60.27 HKD</v>
      </c>
      <c r="F115" s="246">
        <f>Valuation_Model!F78</f>
        <v>0.05</v>
      </c>
    </row>
    <row r="117" spans="1:6">
      <c r="B117" s="235" t="s">
        <v>259</v>
      </c>
      <c r="C117" s="241">
        <f>Scenarios!C60</f>
        <v>67.988942786517455</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v>
      </c>
      <c r="D128" s="236" t="str">
        <f>Market_currency</f>
        <v>HKD</v>
      </c>
    </row>
    <row r="130" spans="1:6">
      <c r="B130" s="234" t="s">
        <v>409</v>
      </c>
      <c r="C130" s="338">
        <f>C19</f>
        <v>0.25</v>
      </c>
      <c r="D130" s="1" t="s">
        <v>419</v>
      </c>
    </row>
    <row r="131" spans="1:6">
      <c r="B131" s="236" t="str">
        <f>"PV("&amp;C126&amp;" yrs of Dividends)"</f>
        <v>PV(3 yrs of Dividends)</v>
      </c>
      <c r="C131" s="240">
        <f>Scenarios!C81</f>
        <v>0</v>
      </c>
    </row>
    <row r="132" spans="1:6">
      <c r="B132" s="236" t="str">
        <f>"+ PV(Equity Value realized at year "&amp;C126&amp;")"</f>
        <v>+ PV(Equity Value realized at year 3)</v>
      </c>
      <c r="C132" s="240">
        <f>Scenarios!C82</f>
        <v>34.810338706696939</v>
      </c>
    </row>
    <row r="133" spans="1:6">
      <c r="B133" s="80" t="s">
        <v>261</v>
      </c>
      <c r="C133" s="239">
        <f>Scenarios!C83</f>
        <v>34.810338706696939</v>
      </c>
      <c r="D133" s="47" t="str">
        <f>Reporting_currency</f>
        <v>USD</v>
      </c>
    </row>
    <row r="134" spans="1:6">
      <c r="B134" s="238" t="s">
        <v>263</v>
      </c>
      <c r="C134" s="92">
        <f>Scenarios!F83</f>
        <v>0.48799999999999999</v>
      </c>
    </row>
    <row r="136" spans="1:6">
      <c r="B136" s="234" t="s">
        <v>410</v>
      </c>
      <c r="C136" s="92">
        <f>Scenarios!C90</f>
        <v>0.06</v>
      </c>
      <c r="D136" s="1" t="s">
        <v>418</v>
      </c>
    </row>
    <row r="137" spans="1:6">
      <c r="B137" s="236" t="str">
        <f>"PV("&amp;C126&amp;" yrs of Dividends)"</f>
        <v>PV(3 yrs of Dividends)</v>
      </c>
      <c r="C137" s="240">
        <f>Scenarios!C91</f>
        <v>0</v>
      </c>
    </row>
    <row r="138" spans="1:6">
      <c r="B138" s="236" t="str">
        <f>"+ PV(Equity Value realized at year "&amp;C126&amp;")"</f>
        <v>+ PV(Equity Value realized at year 3)</v>
      </c>
      <c r="C138" s="240">
        <f>Scenarios!C92</f>
        <v>57.084827396539964</v>
      </c>
    </row>
    <row r="139" spans="1:6">
      <c r="B139" s="80" t="s">
        <v>411</v>
      </c>
      <c r="C139" s="239">
        <f>Scenarios!C93</f>
        <v>57.084827396539964</v>
      </c>
      <c r="D139" s="101" t="str">
        <f>Reporting_currency</f>
        <v>USD</v>
      </c>
    </row>
    <row r="140" spans="1:6">
      <c r="B140" s="238" t="s">
        <v>263</v>
      </c>
      <c r="C140" s="92">
        <f>Scenarios!F93</f>
        <v>0.16038071696769829</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c r="D25" s="39"/>
      <c r="E25" s="39"/>
      <c r="F25" s="39"/>
      <c r="G25" s="39"/>
      <c r="H25" s="39"/>
      <c r="I25" s="39"/>
      <c r="J25" s="39"/>
      <c r="K25" s="39"/>
      <c r="L25" s="39"/>
      <c r="M25" s="39"/>
    </row>
    <row r="27" spans="2:13">
      <c r="B27" s="16" t="s">
        <v>28</v>
      </c>
      <c r="C27" s="97" t="s">
        <v>426</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81">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19.217810287390929</v>
      </c>
      <c r="D47" s="148">
        <f>D46*H1/Common_Shares*Exchange_Rate</f>
        <v>-2.643445053008028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-22.489472833069584</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-162.39999999999998</v>
      </c>
      <c r="D73" s="188">
        <f>(Normalized_FCF!C25+Normalized_FCF!C35-Normalized_FCF!C91)/12</f>
        <v>-172.68947283306957</v>
      </c>
      <c r="F73" s="1" t="s">
        <v>359</v>
      </c>
    </row>
    <row r="74" spans="2:6" ht="15" customHeight="1">
      <c r="B74" s="288" t="s">
        <v>329</v>
      </c>
      <c r="C74" s="289">
        <f>-$C$66/C73</f>
        <v>0.92487684729064046</v>
      </c>
      <c r="D74" s="289">
        <f>-$C$66/D73</f>
        <v>0.86976928897797345</v>
      </c>
      <c r="F74" s="283" t="s">
        <v>327</v>
      </c>
    </row>
    <row r="75" spans="2:6" ht="15" customHeight="1">
      <c r="B75" s="80" t="s">
        <v>328</v>
      </c>
      <c r="C75" s="293"/>
      <c r="D75" s="292">
        <f>MAX(-D73*D76,G5)</f>
        <v>172.68947283306957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-1204.8018700000002</v>
      </c>
      <c r="D86" s="248">
        <f>C86*scaling_factor/Common_Shares</f>
        <v>-4.7600094699071969</v>
      </c>
      <c r="E86" s="269" t="str">
        <f>Market_currency</f>
        <v>HKD</v>
      </c>
    </row>
    <row r="87" spans="2:8" ht="15" customHeight="1">
      <c r="B87" s="267" t="s">
        <v>294</v>
      </c>
      <c r="C87" s="188">
        <f>Valuation_Model!C8*Exchange_Rate</f>
        <v>-174.47108129167054</v>
      </c>
      <c r="D87" s="248">
        <f>C87*scaling_factor/Common_Shares</f>
        <v>-0.6893116784200376</v>
      </c>
      <c r="E87" s="269" t="str">
        <f>Market_currency</f>
        <v>HKD</v>
      </c>
    </row>
    <row r="88" spans="2:8" ht="15" customHeight="1">
      <c r="B88" s="268" t="s">
        <v>190</v>
      </c>
      <c r="C88" s="188">
        <f>Valuation_Model!C9*Exchange_Rate</f>
        <v>3.0255810000000003</v>
      </c>
      <c r="D88" s="248">
        <f>C88*scaling_factor/Common_Shares</f>
        <v>1.195366190124795E-2</v>
      </c>
      <c r="E88" s="269" t="str">
        <f>Market_currency</f>
        <v>HKD</v>
      </c>
    </row>
    <row r="89" spans="2:8" ht="15" customHeight="1">
      <c r="B89" s="80" t="s">
        <v>298</v>
      </c>
      <c r="C89" s="187">
        <f>SUM(C86:C88)</f>
        <v>-1376.2473702916707</v>
      </c>
      <c r="D89" s="271">
        <f>SUM(D86:D88)</f>
        <v>-5.4373674864259867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428</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5.2562161578834168</v>
      </c>
      <c r="D124" s="27"/>
      <c r="E124" s="299"/>
      <c r="F124" s="27"/>
      <c r="G124" s="178">
        <f t="shared" ref="G124:Q124" si="49">IF(G$4="","",G16*$C$3/Common_Shares*Exchange_Rate)</f>
        <v>6.1208879017415807</v>
      </c>
      <c r="H124" s="178">
        <f t="shared" si="49"/>
        <v>5.5140096821397533</v>
      </c>
      <c r="I124" s="178">
        <f t="shared" si="49"/>
        <v>6.1515383168729771</v>
      </c>
      <c r="J124" s="178">
        <f t="shared" si="49"/>
        <v>8.26028687791365</v>
      </c>
      <c r="K124" s="178">
        <f t="shared" si="49"/>
        <v>7.3622297145634796</v>
      </c>
      <c r="L124" s="178">
        <f t="shared" si="49"/>
        <v>5.0971640363526554</v>
      </c>
      <c r="M124" s="178">
        <f t="shared" si="49"/>
        <v>6.2036440225963698</v>
      </c>
      <c r="N124" s="178">
        <f t="shared" si="49"/>
        <v>5.4833592670083586</v>
      </c>
      <c r="O124" s="178">
        <f t="shared" si="49"/>
        <v>5.5354649727317424</v>
      </c>
      <c r="P124" s="178" t="str">
        <f t="shared" si="49"/>
        <v/>
      </c>
      <c r="Q124" s="178" t="str">
        <f t="shared" si="49"/>
        <v/>
      </c>
    </row>
    <row r="125" spans="1:17" ht="15.75" customHeight="1">
      <c r="A125" s="10"/>
      <c r="B125" s="27" t="s">
        <v>270</v>
      </c>
      <c r="C125" s="77">
        <f>C19*Exchange_Rate*$C$3/(Market_Price*Common_Shares)</f>
        <v>0.10069379612803481</v>
      </c>
      <c r="D125" s="27"/>
      <c r="E125" s="299"/>
      <c r="F125" s="27"/>
      <c r="G125" s="77">
        <f t="shared" ref="G125" si="50">IF(G$4="","",G124/Market_Price)</f>
        <v>0.1172583889222525</v>
      </c>
      <c r="H125" s="77">
        <f t="shared" ref="H125" si="51">IF(H$4="","",H124/Market_Price)</f>
        <v>0.10563236938965044</v>
      </c>
      <c r="I125" s="77">
        <f t="shared" ref="I125" si="52">IF(I$4="","",I124/Market_Price)</f>
        <v>0.1178455616259191</v>
      </c>
      <c r="J125" s="77">
        <f t="shared" ref="J125" si="53">IF(J$4="","",J124/Market_Price)</f>
        <v>0.15824304363819253</v>
      </c>
      <c r="K125" s="77">
        <f t="shared" ref="K125" si="54">IF(K$4="","",K124/Market_Price)</f>
        <v>0.14103888342075629</v>
      </c>
      <c r="L125" s="77">
        <f t="shared" ref="L125" si="55">IF(L$4="","",L124/Market_Price)</f>
        <v>9.7646820619782665E-2</v>
      </c>
      <c r="M125" s="77">
        <f t="shared" ref="M125" si="56">IF(M$4="","",M124/Market_Price)</f>
        <v>0.11884375522215267</v>
      </c>
      <c r="N125" s="77">
        <f t="shared" ref="N125" si="57">IF(N$4="","",N124/Market_Price)</f>
        <v>0.10504519668598387</v>
      </c>
      <c r="O125" s="77">
        <f t="shared" ref="O125" si="58">IF(O$4="","",O124/Market_Price)</f>
        <v>0.10604339028221728</v>
      </c>
      <c r="P125" s="77" t="str">
        <f t="shared" ref="P125" si="59">IF(P$4="","",P124/Market_Price)</f>
        <v/>
      </c>
      <c r="Q125" s="77" t="str">
        <f t="shared" ref="Q125" si="60">IF(Q$4="","",Q124/Market_Price)</f>
        <v/>
      </c>
    </row>
    <row r="126" spans="1:17" ht="15.75" customHeight="1">
      <c r="B126" s="2" t="s">
        <v>402</v>
      </c>
      <c r="C126" s="170"/>
      <c r="G126" s="23">
        <f>IF(G$4="","",(Data!C47*$C$3)/(Market_Price*Common_Shares))</f>
        <v>1.2609465503664988E-2</v>
      </c>
      <c r="H126" s="23">
        <f>IF(H$4="","",(Data!D47*$C$3)/(Market_Price*Common_Shares))</f>
        <v>1.1292510523090134E-2</v>
      </c>
      <c r="I126" s="23">
        <f>IF(I$4="","",(Data!E47*$C$3)/(Market_Price*Common_Shares))</f>
        <v>1.3071156617544679E-2</v>
      </c>
      <c r="J126" s="23">
        <f>IF(J$4="","",(Data!F47*$C$3)/(Market_Price*Common_Shares))</f>
        <v>1.747614396636402E-2</v>
      </c>
      <c r="K126" s="23">
        <f>IF(K$4="","",(Data!G47*$C$3)/(Market_Price*Common_Shares))</f>
        <v>1.4433523838829012E-2</v>
      </c>
      <c r="L126" s="23">
        <f>IF(L$4="","",(Data!H47*$C$3)/(Market_Price*Common_Shares))</f>
        <v>1.2965194722555898E-2</v>
      </c>
      <c r="M126" s="23">
        <f>IF(M$4="","",(Data!I47*$C$3)/(Market_Price*Common_Shares))</f>
        <v>1.5614242097275433E-2</v>
      </c>
      <c r="N126" s="23">
        <f>IF(N$4="","",(Data!J47*$C$3)/(Market_Price*Common_Shares))</f>
        <v>1.3547985144994196E-2</v>
      </c>
      <c r="O126" s="23">
        <f>IF(O$4="","",(Data!K47*$C$3)/(Market_Price*Common_Shares))</f>
        <v>1.3729634107832107E-2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2143.6154026580366</v>
      </c>
      <c r="D6" t="str">
        <f>Reporting_currency</f>
        <v>USD</v>
      </c>
      <c r="E6" s="348" t="s">
        <v>250</v>
      </c>
      <c r="F6" s="348"/>
      <c r="H6" s="121"/>
    </row>
    <row r="7" spans="2:8">
      <c r="B7" s="149" t="s">
        <v>225</v>
      </c>
      <c r="C7" s="226">
        <f>BS!G31</f>
        <v>155.30000000000001</v>
      </c>
      <c r="D7" t="str">
        <f>Reporting_currency</f>
        <v>USD</v>
      </c>
      <c r="E7" s="348"/>
      <c r="F7" s="348"/>
      <c r="H7" s="121"/>
    </row>
    <row r="8" spans="2:8">
      <c r="B8" s="149" t="s">
        <v>226</v>
      </c>
      <c r="C8" s="201">
        <f>BS!D66</f>
        <v>-22.489472833069584</v>
      </c>
      <c r="D8" t="str">
        <f>Reporting_currency</f>
        <v>USD</v>
      </c>
      <c r="E8" s="348"/>
      <c r="F8" s="348"/>
      <c r="H8" s="121"/>
    </row>
    <row r="9" spans="2:8">
      <c r="B9" s="227" t="s">
        <v>191</v>
      </c>
      <c r="C9" s="229">
        <f>BS!H42</f>
        <v>0.39</v>
      </c>
      <c r="D9" t="str">
        <f>Reporting_currency</f>
        <v>USD</v>
      </c>
      <c r="E9" s="348"/>
      <c r="F9" s="348"/>
      <c r="H9" s="121"/>
    </row>
    <row r="10" spans="2:8" ht="13.15">
      <c r="B10" s="150" t="s">
        <v>228</v>
      </c>
      <c r="C10" s="232">
        <f>C6-C7+C8+C9</f>
        <v>1966.2159298249671</v>
      </c>
      <c r="D10" t="str">
        <f>Reporting_currency</f>
        <v>USD</v>
      </c>
      <c r="H10" s="121"/>
    </row>
    <row r="11" spans="2:8" ht="13.15" thickBot="1">
      <c r="B11" s="230" t="s">
        <v>167</v>
      </c>
      <c r="C11" s="231">
        <f>Exchange_Rate</f>
        <v>7.7579000000000002</v>
      </c>
      <c r="D11" t="str">
        <f>Thesis!D17</f>
        <v>USD/HKD</v>
      </c>
      <c r="H11" s="121"/>
    </row>
    <row r="12" spans="2:8" ht="13.5" thickTop="1">
      <c r="B12" s="150" t="s">
        <v>103</v>
      </c>
      <c r="C12" s="112">
        <f>(C10*scaling_factor)/Common_Shares*Exchange_Rate</f>
        <v>60.265334487116725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67.988678435556125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60.265334487116725</v>
      </c>
      <c r="C65" s="125">
        <f>C12</f>
        <v>60.265334487116725</v>
      </c>
      <c r="D65" s="125">
        <f>C12</f>
        <v>60.265334487116725</v>
      </c>
      <c r="E65" s="142">
        <f>C12</f>
        <v>60.265334487116725</v>
      </c>
      <c r="F65" s="125">
        <f>C12</f>
        <v>60.265334487116725</v>
      </c>
      <c r="H65" s="121"/>
    </row>
    <row r="66" spans="1:8" ht="13.15">
      <c r="A66" s="144">
        <f t="shared" ref="A66:A71" si="3">A56</f>
        <v>5</v>
      </c>
      <c r="B66" s="125">
        <f t="shared" ref="B66:F71" si="4">(B56-$C$7+$C$8+$C$9)/Common_Shares*$C$3*Exchange_Rate</f>
        <v>60.265334487116711</v>
      </c>
      <c r="C66" s="125">
        <f t="shared" si="4"/>
        <v>61.317525532115766</v>
      </c>
      <c r="D66" s="125">
        <f t="shared" si="4"/>
        <v>63.468840937115125</v>
      </c>
      <c r="E66" s="125">
        <f t="shared" si="4"/>
        <v>65.6850292003964</v>
      </c>
      <c r="F66" s="125">
        <f t="shared" si="4"/>
        <v>69.137160662933425</v>
      </c>
      <c r="H66" s="121"/>
    </row>
    <row r="67" spans="1:8" ht="13.15">
      <c r="A67" s="144">
        <f t="shared" si="3"/>
        <v>10</v>
      </c>
      <c r="B67" s="125">
        <f t="shared" si="4"/>
        <v>60.265334487116711</v>
      </c>
      <c r="C67" s="125">
        <f t="shared" si="4"/>
        <v>62.336053285176952</v>
      </c>
      <c r="D67" s="125">
        <f t="shared" si="4"/>
        <v>66.784376871045055</v>
      </c>
      <c r="E67" s="125">
        <f t="shared" si="4"/>
        <v>71.682603886999331</v>
      </c>
      <c r="F67" s="125">
        <f t="shared" si="4"/>
        <v>79.992502892418983</v>
      </c>
      <c r="H67" s="121"/>
    </row>
    <row r="68" spans="1:8" ht="13.15">
      <c r="A68" s="144">
        <f t="shared" si="3"/>
        <v>15</v>
      </c>
      <c r="B68" s="125">
        <f t="shared" si="4"/>
        <v>60.265334487116711</v>
      </c>
      <c r="C68" s="125">
        <f t="shared" si="4"/>
        <v>63.565424686987129</v>
      </c>
      <c r="D68" s="125">
        <f t="shared" si="4"/>
        <v>70.995001353695187</v>
      </c>
      <c r="E68" s="125">
        <f t="shared" si="4"/>
        <v>79.712162899350332</v>
      </c>
      <c r="F68" s="125">
        <f t="shared" si="4"/>
        <v>95.775085216111023</v>
      </c>
      <c r="H68" s="121"/>
    </row>
    <row r="69" spans="1:8" ht="13.15">
      <c r="A69" s="145">
        <f t="shared" si="3"/>
        <v>20</v>
      </c>
      <c r="B69" s="125">
        <f t="shared" si="4"/>
        <v>60.265334487116696</v>
      </c>
      <c r="C69" s="125">
        <f t="shared" si="4"/>
        <v>64.785642588643583</v>
      </c>
      <c r="D69" s="125">
        <f t="shared" si="4"/>
        <v>75.402453100554368</v>
      </c>
      <c r="E69" s="125">
        <f t="shared" si="4"/>
        <v>88.605989465337288</v>
      </c>
      <c r="F69" s="125">
        <f t="shared" si="4"/>
        <v>114.91106435567103</v>
      </c>
      <c r="H69" s="121"/>
    </row>
    <row r="70" spans="1:8" ht="13.15">
      <c r="A70" s="145">
        <f t="shared" si="3"/>
        <v>25</v>
      </c>
      <c r="B70" s="125">
        <f t="shared" si="4"/>
        <v>60.265334487116696</v>
      </c>
      <c r="C70" s="125">
        <f t="shared" si="4"/>
        <v>65.890440156983203</v>
      </c>
      <c r="D70" s="125">
        <f t="shared" si="4"/>
        <v>79.618521345676072</v>
      </c>
      <c r="E70" s="125">
        <f t="shared" si="4"/>
        <v>97.637499805361216</v>
      </c>
      <c r="F70" s="125">
        <f t="shared" si="4"/>
        <v>136.32930902109723</v>
      </c>
    </row>
    <row r="71" spans="1:8" ht="13.15">
      <c r="A71" s="145">
        <f t="shared" si="3"/>
        <v>30</v>
      </c>
      <c r="B71" s="125">
        <f t="shared" si="4"/>
        <v>60.265334487116696</v>
      </c>
      <c r="C71" s="125">
        <f t="shared" si="4"/>
        <v>66.838580563041177</v>
      </c>
      <c r="D71" s="125">
        <f t="shared" si="4"/>
        <v>83.447648987948966</v>
      </c>
      <c r="E71" s="125">
        <f t="shared" si="4"/>
        <v>106.37138471296478</v>
      </c>
      <c r="F71" s="125">
        <f t="shared" si="4"/>
        <v>159.30082525459741</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95.775085216111023</v>
      </c>
      <c r="F74" s="143">
        <f>Scenarios!C58</f>
        <v>0.05</v>
      </c>
    </row>
    <row r="75" spans="1:8">
      <c r="B75" s="128" t="str">
        <f>Scenarios!B36</f>
        <v>Optimistic</v>
      </c>
      <c r="C75" s="143">
        <f>Scenarios!C38</f>
        <v>0.05</v>
      </c>
      <c r="D75" s="146">
        <f>Scenarios!C37</f>
        <v>10</v>
      </c>
      <c r="E75" s="136">
        <f>INDEX(B$65:F$71, MATCH(D75, A$65:A$71, 0), MATCH(C75, B$64:F$64, 0))</f>
        <v>71.682603886999331</v>
      </c>
      <c r="F75" s="143">
        <f>Scenarios!C40*(1-F$74-F$78)</f>
        <v>0.18</v>
      </c>
      <c r="H75" s="121"/>
    </row>
    <row r="76" spans="1:8">
      <c r="B76" s="128" t="str">
        <f>Scenarios!B24</f>
        <v>Base</v>
      </c>
      <c r="C76" s="143">
        <f>Scenarios!C26</f>
        <v>0.03</v>
      </c>
      <c r="D76" s="146">
        <f>Scenarios!C25</f>
        <v>10</v>
      </c>
      <c r="E76" s="136">
        <f>INDEX(B$65:F$71, MATCH(D76, A$65:A$71, 0), MATCH(C76, B$64:F$64, 0))</f>
        <v>66.784376871045055</v>
      </c>
      <c r="F76" s="143">
        <f>Scenarios!C28*(1-F$74-F$78)</f>
        <v>0.53999999999999992</v>
      </c>
      <c r="H76" s="121"/>
    </row>
    <row r="77" spans="1:8">
      <c r="B77" s="128" t="str">
        <f>Scenarios!B30</f>
        <v>Pessimistic</v>
      </c>
      <c r="C77" s="143">
        <f>Scenarios!C32</f>
        <v>0.01</v>
      </c>
      <c r="D77" s="146">
        <f>Scenarios!C31</f>
        <v>10</v>
      </c>
      <c r="E77" s="136">
        <f>INDEX(B$65:F$71, MATCH(D77, A$65:A$71, 0), MATCH(C77, B$64:F$64, 0))</f>
        <v>62.336053285176952</v>
      </c>
      <c r="F77" s="143">
        <f>Scenarios!C34*(1-F$74-F$78)</f>
        <v>0.18</v>
      </c>
      <c r="H77" s="121"/>
    </row>
    <row r="78" spans="1:8">
      <c r="B78" s="128" t="str">
        <f>Scenarios!B48</f>
        <v>Devil's advocate</v>
      </c>
      <c r="C78" s="143">
        <f>Scenarios!C50</f>
        <v>0</v>
      </c>
      <c r="D78" s="146">
        <f>Scenarios!C49</f>
        <v>15</v>
      </c>
      <c r="E78" s="136">
        <f>INDEX(B$65:F$71, MATCH(D78, A$65:A$71, 0), MATCH(C78, B$64:F$64, 0))</f>
        <v>60.265334487116711</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-52.2</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1000000</v>
      </c>
      <c r="E6" s="100" t="s">
        <v>282</v>
      </c>
      <c r="F6" s="100"/>
      <c r="H6" s="276">
        <v>3</v>
      </c>
      <c r="I6" s="264">
        <f t="shared" si="0"/>
        <v>67.988942786517455</v>
      </c>
    </row>
    <row r="7" spans="2:9" ht="12.75" customHeight="1">
      <c r="B7" s="100" t="s">
        <v>276</v>
      </c>
      <c r="C7" s="115">
        <f>Normalized_FCF!G8</f>
        <v>196.90000000000003</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0"/>
      <c r="H7" s="276">
        <v>4</v>
      </c>
      <c r="I7" s="264" t="str">
        <f t="shared" si="0"/>
        <v/>
      </c>
    </row>
    <row r="8" spans="2:9">
      <c r="B8" s="100" t="s">
        <v>66</v>
      </c>
      <c r="C8" s="115">
        <f>Normalized_FCF!G19</f>
        <v>199.70000000000005</v>
      </c>
      <c r="D8" t="str">
        <f>Reporting_currency</f>
        <v>USD</v>
      </c>
      <c r="E8" s="350"/>
      <c r="F8" s="350"/>
      <c r="H8" s="276">
        <v>5</v>
      </c>
      <c r="I8" s="264" t="str">
        <f t="shared" si="0"/>
        <v/>
      </c>
    </row>
    <row r="9" spans="2:9">
      <c r="B9" s="100" t="s">
        <v>57</v>
      </c>
      <c r="C9" s="201">
        <f>Normalized_FCF!C19</f>
        <v>171.48923221264295</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-3.2910954099016121E-2</v>
      </c>
      <c r="D12" s="159"/>
      <c r="E12" s="350"/>
      <c r="F12" s="350"/>
      <c r="H12" s="276">
        <v>9</v>
      </c>
      <c r="I12" s="264" t="str">
        <f t="shared" si="0"/>
        <v/>
      </c>
    </row>
    <row r="13" spans="2:9">
      <c r="B13" s="149" t="s">
        <v>153</v>
      </c>
      <c r="C13" s="159">
        <f ca="1">(Normalized_FCF!G8/OFFSET(Normalized_FCF!G8, 0, $C$4))^(1/$C$4) - 1</f>
        <v>-9.0823625892916704E-2</v>
      </c>
      <c r="E13" s="350"/>
      <c r="F13" s="350"/>
      <c r="H13" s="276">
        <v>10</v>
      </c>
      <c r="I13" s="264" t="str">
        <f t="shared" si="0"/>
        <v/>
      </c>
    </row>
    <row r="14" spans="2:9">
      <c r="B14" s="100" t="s">
        <v>66</v>
      </c>
      <c r="C14" s="159">
        <f ca="1">(Normalized_FCF!G19/OFFSET(Normalized_FCF!G19, 0, $C$4))^(1/$C$4) - 1</f>
        <v>-9.5087824202677584E-2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52.2</v>
      </c>
      <c r="D21" t="str">
        <f>Market_currency</f>
        <v>HKD</v>
      </c>
      <c r="E21" s="351"/>
      <c r="F21" s="351"/>
    </row>
    <row r="22" spans="2:6">
      <c r="B22" s="100" t="s">
        <v>281</v>
      </c>
      <c r="C22" s="161">
        <f>Valuation_Model!C12</f>
        <v>60.265334487116725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0.03</v>
      </c>
      <c r="D26" s="165"/>
      <c r="E26" s="349"/>
      <c r="F26" s="349"/>
    </row>
    <row r="27" spans="2:6">
      <c r="B27" s="100" t="s">
        <v>114</v>
      </c>
      <c r="C27" s="161">
        <f>Valuation_Model!E76</f>
        <v>66.784376871045055</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62.336053285176952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0.05</v>
      </c>
      <c r="D38" s="165"/>
      <c r="E38" s="349"/>
      <c r="F38" s="349"/>
    </row>
    <row r="39" spans="2:6">
      <c r="B39" s="100" t="s">
        <v>114</v>
      </c>
      <c r="C39" s="161">
        <f>Valuation_Model!E75</f>
        <v>71.682603886999331</v>
      </c>
      <c r="D39" t="str">
        <f>Market_currency</f>
        <v>HKD</v>
      </c>
      <c r="E39" s="349"/>
      <c r="F39" s="349"/>
    </row>
    <row r="40" spans="2:6">
      <c r="B40" s="100" t="s">
        <v>148</v>
      </c>
      <c r="C40" s="168">
        <f>1-C28-C34</f>
        <v>0.2</v>
      </c>
      <c r="D40" s="166"/>
      <c r="E40" s="349"/>
      <c r="F40" s="349"/>
    </row>
    <row r="42" spans="2:6" ht="13.15">
      <c r="B42" s="100" t="s">
        <v>121</v>
      </c>
      <c r="C42" s="155">
        <f>C27*C28+C33*C34+C39*C40</f>
        <v>66.874357557062297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60.265334487116711</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95.775085216111023</v>
      </c>
      <c r="D57" t="str">
        <f>Market_currency</f>
        <v>HKD</v>
      </c>
      <c r="E57" s="349"/>
      <c r="F57" s="349"/>
    </row>
    <row r="58" spans="2:6">
      <c r="B58" s="100" t="s">
        <v>148</v>
      </c>
      <c r="C58" s="166">
        <v>0.05</v>
      </c>
      <c r="D58" s="166"/>
      <c r="E58" s="349"/>
      <c r="F58" s="349"/>
    </row>
    <row r="60" spans="2:6" ht="13.15">
      <c r="B60" s="100" t="s">
        <v>121</v>
      </c>
      <c r="C60" s="155">
        <f>C51*C52+C57*C58+C42*(1-C52-C58)</f>
        <v>67.988942786517455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67.988678435556125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-7.9974290871077408E-2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Thesis!C127</f>
        <v>0.25</v>
      </c>
    </row>
    <row r="81" spans="2:8">
      <c r="B81" s="100" t="s">
        <v>122</v>
      </c>
      <c r="C81" s="117">
        <f>PV(C80, C76, -C77, 0)</f>
        <v>0</v>
      </c>
      <c r="D81" s="117"/>
      <c r="E81" s="100"/>
      <c r="F81" s="100"/>
    </row>
    <row r="82" spans="2:8">
      <c r="B82" s="100" t="s">
        <v>123</v>
      </c>
      <c r="C82" s="117">
        <f>C60/(1+C80)^C76</f>
        <v>34.810338706696939</v>
      </c>
      <c r="D82" s="117"/>
    </row>
    <row r="83" spans="2:8" ht="13.15">
      <c r="B83" s="111" t="s">
        <v>102</v>
      </c>
      <c r="C83" s="112">
        <f>C81+C82</f>
        <v>34.810338706696939</v>
      </c>
      <c r="D83" t="str">
        <f>Market_currency</f>
        <v>HKD</v>
      </c>
      <c r="E83" s="147" t="s">
        <v>127</v>
      </c>
      <c r="F83" s="329">
        <f>(1-C83/C60)</f>
        <v>0.48799999999999999</v>
      </c>
    </row>
    <row r="84" spans="2:8">
      <c r="E84" s="121"/>
    </row>
    <row r="85" spans="2:8" ht="13.15">
      <c r="B85" s="109" t="s">
        <v>309</v>
      </c>
    </row>
    <row r="86" spans="2:8">
      <c r="B86" s="149" t="s">
        <v>307</v>
      </c>
      <c r="C86" s="266">
        <f>Market_Price</f>
        <v>52.2</v>
      </c>
      <c r="D86" t="str">
        <f>Market_currency</f>
        <v>HKD</v>
      </c>
    </row>
    <row r="87" spans="2:8" ht="13.15">
      <c r="B87" s="100" t="s">
        <v>305</v>
      </c>
      <c r="C87" s="265">
        <f ca="1">IRR(OFFSET($I$3, 0, 0, $C$76 + 1, 1))</f>
        <v>9.2083708290373378E-2</v>
      </c>
    </row>
    <row r="88" spans="2:8">
      <c r="B88" s="100"/>
    </row>
    <row r="89" spans="2:8" ht="13.15">
      <c r="B89" s="109" t="s">
        <v>406</v>
      </c>
    </row>
    <row r="90" spans="2:8">
      <c r="B90" s="149" t="s">
        <v>413</v>
      </c>
      <c r="C90" s="135">
        <f>MAX(6%,(Thesis!E19+Thesis!C67)/2)</f>
        <v>0.06</v>
      </c>
    </row>
    <row r="91" spans="2:8">
      <c r="B91" s="100" t="s">
        <v>122</v>
      </c>
      <c r="C91" s="117">
        <f>PV(C90, C76, -C77, 0)</f>
        <v>0</v>
      </c>
      <c r="D91" s="117"/>
    </row>
    <row r="92" spans="2:8">
      <c r="B92" s="100" t="s">
        <v>123</v>
      </c>
      <c r="C92" s="117">
        <f>C60/(1+C90)^C76</f>
        <v>57.084827396539964</v>
      </c>
      <c r="D92" s="117"/>
    </row>
    <row r="93" spans="2:8" ht="13.15">
      <c r="B93" s="111" t="s">
        <v>407</v>
      </c>
      <c r="C93" s="112">
        <f>C91+C92</f>
        <v>57.084827396539964</v>
      </c>
      <c r="D93" t="s">
        <v>405</v>
      </c>
      <c r="E93" s="147" t="s">
        <v>127</v>
      </c>
      <c r="F93" s="329">
        <f>(1-C93/C60)</f>
        <v>0.16038071696769829</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2025-05-01T12:53:12Z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