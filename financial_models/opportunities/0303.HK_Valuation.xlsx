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E4B2D68-484F-447F-9923-BD616135A88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I91" i="2"/>
  <c r="J69" i="4"/>
  <c r="K126" i="2"/>
  <c r="K91" i="2"/>
  <c r="C70" i="4"/>
  <c r="J71" i="4"/>
  <c r="Q126" i="2"/>
  <c r="Q48" i="2"/>
  <c r="Q92" i="2"/>
  <c r="Q91" i="2"/>
  <c r="J91" i="2"/>
  <c r="I70" i="4"/>
  <c r="P126" i="2"/>
  <c r="P92" i="2"/>
  <c r="P48" i="2"/>
  <c r="P91" i="2"/>
  <c r="O126" i="2"/>
  <c r="O91" i="2"/>
  <c r="D69" i="4"/>
  <c r="L126" i="2"/>
  <c r="L91" i="2"/>
  <c r="M126" i="2"/>
  <c r="M91" i="2"/>
  <c r="H91" i="2"/>
  <c r="J70" i="4"/>
  <c r="E69" i="4"/>
  <c r="I71" i="4"/>
  <c r="C69" i="4"/>
  <c r="N126" i="2"/>
  <c r="N91" i="2"/>
  <c r="G69" i="4"/>
  <c r="I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8" i="2" s="1"/>
  <c r="O82" i="2"/>
  <c r="O28" i="2"/>
  <c r="C76" i="4" l="1"/>
  <c r="G105" i="2"/>
  <c r="G101" i="2" s="1"/>
  <c r="O120" i="2"/>
  <c r="O76" i="2"/>
  <c r="O55" i="2"/>
  <c r="O40" i="2"/>
  <c r="C58" i="4"/>
  <c r="C71" i="4"/>
  <c r="O63" i="2"/>
  <c r="O74" i="2"/>
  <c r="O73" i="2"/>
  <c r="E58" i="4"/>
  <c r="E71" i="4"/>
  <c r="O30" i="2"/>
  <c r="H58" i="4"/>
  <c r="L62" i="2" s="1"/>
  <c r="G71" i="4"/>
  <c r="H71" i="4"/>
  <c r="D71" i="4"/>
  <c r="P40" i="2"/>
  <c r="P30" i="2"/>
  <c r="P63" i="2"/>
  <c r="P6" i="2"/>
  <c r="P73" i="2"/>
  <c r="C23" i="2"/>
  <c r="C49" i="2"/>
  <c r="C24" i="2"/>
  <c r="C110" i="2"/>
  <c r="G30" i="2"/>
  <c r="C17" i="2"/>
  <c r="C51" i="6" s="1"/>
  <c r="M63" i="2"/>
  <c r="M11" i="2"/>
  <c r="N63" i="2"/>
  <c r="N11" i="2"/>
  <c r="G69" i="2"/>
  <c r="G11" i="2"/>
  <c r="N73" i="2"/>
  <c r="M6" i="2"/>
  <c r="M74" i="2" s="1"/>
  <c r="C96" i="2"/>
  <c r="J63" i="2"/>
  <c r="J79" i="2" s="1"/>
  <c r="H63" i="2"/>
  <c r="H79" i="2" s="1"/>
  <c r="N40" i="2"/>
  <c r="N119" i="2"/>
  <c r="M119"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8" i="2" l="1"/>
  <c r="M55" i="2" s="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L48" i="2"/>
  <c r="L50" i="2" s="1"/>
  <c r="L12" i="2" s="1"/>
  <c r="N48" i="2"/>
  <c r="N50" i="2" s="1"/>
  <c r="N12" i="2" s="1"/>
  <c r="O48" i="2"/>
  <c r="O50" i="2" s="1"/>
  <c r="O12" i="2" s="1"/>
  <c r="M48" i="2"/>
  <c r="M50" i="2" s="1"/>
  <c r="M12" i="2" s="1"/>
  <c r="H48" i="2"/>
  <c r="H50" i="2" s="1"/>
  <c r="H12" i="2" s="1"/>
  <c r="H80" i="2" s="1"/>
  <c r="J48" i="2"/>
  <c r="P50" i="2"/>
  <c r="P12" i="2" s="1"/>
  <c r="J50" i="2"/>
  <c r="J12" i="2" s="1"/>
  <c r="J80"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92" i="2" l="1"/>
  <c r="O87"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114" i="2"/>
  <c r="N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<sst xmlns="http://schemas.openxmlformats.org/spreadsheetml/2006/main" count="616" uniqueCount="432">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</sst>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424</v>
      </c>
      <c r="D5" s="49" t="s">
        <v>425</v>
      </c>
    </row>
    <row r="6" spans="1:10">
      <c r="B6" s="4" t="s">
        <v>95</v>
      </c>
      <c r="C6" s="50">
        <v>53.85</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13629.926812050002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7.7549000000000001</v>
      </c>
      <c r="D17" s="32" t="str">
        <f>IF(C16=D6,D6,C16&amp;"/"&amp;D6)</f>
        <v>USD/HKD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30.934297353869699</v>
      </c>
      <c r="D20" s="1" t="s">
        <v>315</v>
      </c>
      <c r="E20" s="330">
        <v>3</v>
      </c>
    </row>
    <row r="21" spans="1:6">
      <c r="B21" s="1" t="s">
        <v>407</v>
      </c>
      <c r="C21" s="280">
        <f ca="1">Scenarios!C87</f>
        <v>8.0674411817778235E-2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210.2763260031652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-33.887093790522258</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9.7570725450271498E-2</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65.677294568714004</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155.30000000000001</v>
      </c>
      <c r="D86" s="1" t="str">
        <f>Reporting_currency</f>
        <v>USD</v>
      </c>
    </row>
    <row r="87" spans="2:6">
      <c r="B87" s="47" t="s">
        <v>285</v>
      </c>
      <c r="C87" s="248">
        <f>C86*scaling_factor*Exchange_Rate/Common_Shares</f>
        <v>4.7581687619308468</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-0.68904511981071548</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1.1949039389266131E-2</v>
      </c>
      <c r="D99" s="1" t="str">
        <f>Market_currency</f>
        <v>HKD</v>
      </c>
    </row>
    <row r="101" spans="1:6" ht="24.4" customHeight="1">
      <c r="B101" s="342" t="s">
        <v>374</v>
      </c>
      <c r="C101" s="342"/>
      <c r="D101" s="342"/>
      <c r="E101" s="342"/>
      <c r="F101" s="342"/>
    </row>
    <row r="103" spans="1:6">
      <c r="B103" s="47" t="s">
        <v>283</v>
      </c>
      <c r="C103" s="248">
        <f>Valuation_Model!C12</f>
        <v>60.242029726361707</v>
      </c>
      <c r="D103" s="1" t="str">
        <f>Market_currency</f>
        <v>HKD</v>
      </c>
    </row>
    <row r="104" spans="1:6">
      <c r="B104" s="336" t="s">
        <v>414</v>
      </c>
      <c r="C104" s="248">
        <f>BS!D47</f>
        <v>-2.6424228259673308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95.74 HKD</v>
      </c>
      <c r="F111" s="259">
        <f>Valuation_Model!F74</f>
        <v>0.05</v>
      </c>
    </row>
    <row r="112" spans="1:6">
      <c r="B112" s="242" t="str">
        <f>Valuation_Model!B75</f>
        <v>Optimistic</v>
      </c>
      <c r="C112" s="243">
        <f>Valuation_Model!C75</f>
        <v>0.05</v>
      </c>
      <c r="D112" s="244">
        <f>Valuation_Model!D75</f>
        <v>10</v>
      </c>
      <c r="E112" s="245" t="str">
        <f>ROUND(Valuation_Model!E75,2)&amp;" "&amp;Market_currency</f>
        <v>71.65 HKD</v>
      </c>
      <c r="F112" s="246">
        <f>Valuation_Model!F75</f>
        <v>0.18</v>
      </c>
    </row>
    <row r="113" spans="1:6">
      <c r="B113" s="242" t="str">
        <f>Valuation_Model!B76</f>
        <v>Base</v>
      </c>
      <c r="C113" s="243">
        <f>Valuation_Model!C76</f>
        <v>0.03</v>
      </c>
      <c r="D113" s="244">
        <f>Valuation_Model!D76</f>
        <v>10</v>
      </c>
      <c r="E113" s="245" t="str">
        <f>ROUND(Valuation_Model!E76,2)&amp;" "&amp;Market_currency</f>
        <v>66.76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62.31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60.24 HKD</v>
      </c>
      <c r="F115" s="246">
        <f>Valuation_Model!F78</f>
        <v>0.05</v>
      </c>
    </row>
    <row r="117" spans="1:6">
      <c r="B117" s="235" t="s">
        <v>259</v>
      </c>
      <c r="C117" s="241">
        <f>Scenarios!C60</f>
        <v>67.962651286451745</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420</v>
      </c>
      <c r="C130" s="337">
        <f>C19</f>
        <v>0.3</v>
      </c>
      <c r="D130" s="1" t="s">
        <v>416</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30.934297353869699</v>
      </c>
    </row>
    <row r="133" spans="2:4">
      <c r="B133" s="80" t="s">
        <v>261</v>
      </c>
      <c r="C133" s="239">
        <f>Scenarios!C83</f>
        <v>30.934297353869699</v>
      </c>
      <c r="D133" s="47" t="str">
        <f>Reporting_currency</f>
        <v>USD</v>
      </c>
    </row>
    <row r="134" spans="2:4">
      <c r="B134" s="238" t="s">
        <v>263</v>
      </c>
      <c r="C134" s="92">
        <f>Scenarios!F83</f>
        <v>0.54483386436049175</v>
      </c>
    </row>
    <row r="136" spans="2:4">
      <c r="B136" s="234" t="s">
        <v>420</v>
      </c>
      <c r="C136" s="337">
        <f>Scenarios!C90</f>
        <v>0.2</v>
      </c>
      <c r="D136" s="1" t="s">
        <v>422</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39.330238012992908</v>
      </c>
    </row>
    <row r="139" spans="2:4">
      <c r="B139" s="80" t="s">
        <v>261</v>
      </c>
      <c r="C139" s="239">
        <f>Scenarios!C93</f>
        <v>39.330238012992908</v>
      </c>
      <c r="D139" s="47" t="str">
        <f>Reporting_currency</f>
        <v>USD</v>
      </c>
    </row>
    <row r="140" spans="2:4">
      <c r="B140" s="238" t="s">
        <v>263</v>
      </c>
      <c r="C140" s="92">
        <f>Scenarios!F93</f>
        <v>0.42129629629629628</v>
      </c>
    </row>
    <row r="142" spans="2:4">
      <c r="B142" s="234" t="s">
        <v>408</v>
      </c>
      <c r="C142" s="92">
        <f>Scenarios!C96</f>
        <v>0.08</v>
      </c>
      <c r="D142" s="1" t="s">
        <v>421</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53.950943776396301</v>
      </c>
    </row>
    <row r="145" spans="1:6">
      <c r="B145" s="80" t="s">
        <v>409</v>
      </c>
      <c r="C145" s="239">
        <f>Scenarios!C99</f>
        <v>53.950943776396301</v>
      </c>
      <c r="D145" s="101" t="str">
        <f>Reporting_currency</f>
        <v>USD</v>
      </c>
    </row>
    <row r="146" spans="1:6">
      <c r="B146" s="238" t="s">
        <v>263</v>
      </c>
      <c r="C146" s="92">
        <f>Scenarios!F99</f>
        <v>0.20616775897983042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429</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19.210378710435542</v>
      </c>
      <c r="D47" s="148">
        <f>D46*H1/Common_Shares*Exchange_Rate</f>
        <v>-2.6424228259673308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-1204.3359700000001</v>
      </c>
      <c r="D86" s="248">
        <f>C86*scaling_factor/Common_Shares</f>
        <v>-4.7581687619308468</v>
      </c>
      <c r="E86" s="269" t="str">
        <f>Market_currency</f>
        <v>HKD</v>
      </c>
    </row>
    <row r="87" spans="2:8" ht="15" customHeight="1">
      <c r="B87" s="267" t="s">
        <v>294</v>
      </c>
      <c r="C87" s="188">
        <f>Valuation_Model!C8*Exchange_Rate</f>
        <v>-174.40361287317131</v>
      </c>
      <c r="D87" s="248">
        <f>C87*scaling_factor/Common_Shares</f>
        <v>-0.68904511981071537</v>
      </c>
      <c r="E87" s="269" t="str">
        <f>Market_currency</f>
        <v>HKD</v>
      </c>
    </row>
    <row r="88" spans="2:8" ht="15" customHeight="1">
      <c r="B88" s="268" t="s">
        <v>190</v>
      </c>
      <c r="C88" s="188">
        <f>Valuation_Model!C9*Exchange_Rate</f>
        <v>3.0244110000000002</v>
      </c>
      <c r="D88" s="248">
        <f>C88*scaling_factor/Common_Shares</f>
        <v>1.1949039389266131E-2</v>
      </c>
      <c r="E88" s="269" t="str">
        <f>Market_currency</f>
        <v>HKD</v>
      </c>
    </row>
    <row r="89" spans="2:8" ht="15" customHeight="1">
      <c r="B89" s="80" t="s">
        <v>298</v>
      </c>
      <c r="C89" s="187">
        <f>SUM(C86:C88)</f>
        <v>-1375.7151718731714</v>
      </c>
      <c r="D89" s="271">
        <f>SUM(D86:D88)</f>
        <v>-5.4352648423522956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5.2541835654971205</v>
      </c>
      <c r="D124" s="27"/>
      <c r="E124" s="299"/>
      <c r="F124" s="27"/>
      <c r="G124" s="178">
        <f t="shared" ref="G124:Q124" si="49">IF(G$4="","",G16*$C$3/Common_Shares*Exchange_Rate)</f>
        <v>6.118520938554993</v>
      </c>
      <c r="H124" s="178">
        <f t="shared" si="49"/>
        <v>5.5118774003307038</v>
      </c>
      <c r="I124" s="178">
        <f t="shared" si="49"/>
        <v>6.1491595010915647</v>
      </c>
      <c r="J124" s="178">
        <f t="shared" si="49"/>
        <v>8.2570926036082657</v>
      </c>
      <c r="K124" s="178">
        <f t="shared" si="49"/>
        <v>7.3593827212864733</v>
      </c>
      <c r="L124" s="178">
        <f t="shared" si="49"/>
        <v>5.0951929498332289</v>
      </c>
      <c r="M124" s="178">
        <f t="shared" si="49"/>
        <v>6.2012450574037548</v>
      </c>
      <c r="N124" s="178">
        <f t="shared" si="49"/>
        <v>5.4812388377941348</v>
      </c>
      <c r="O124" s="178">
        <f t="shared" si="49"/>
        <v>5.5333243941063159</v>
      </c>
      <c r="P124" s="178" t="str">
        <f t="shared" si="49"/>
        <v/>
      </c>
      <c r="Q124" s="178" t="str">
        <f t="shared" si="49"/>
        <v/>
      </c>
    </row>
    <row r="125" spans="1:17" ht="15.75" customHeight="1">
      <c r="A125" s="10"/>
      <c r="B125" s="27" t="s">
        <v>270</v>
      </c>
      <c r="C125" s="77">
        <f>C19*Exchange_Rate*$C$3/(Market_Price*Common_Shares)</f>
        <v>9.7570725450271498E-2</v>
      </c>
      <c r="D125" s="27"/>
      <c r="E125" s="299"/>
      <c r="F125" s="27"/>
      <c r="G125" s="77">
        <f t="shared" ref="G125" si="50">IF(G$4="","",G124/Market_Price)</f>
        <v>0.11362155874753933</v>
      </c>
      <c r="H125" s="77">
        <f t="shared" ref="H125" si="51">IF(H$4="","",H124/Market_Price)</f>
        <v>0.10235612628283572</v>
      </c>
      <c r="I125" s="77">
        <f t="shared" ref="I125" si="52">IF(I$4="","",I124/Market_Price)</f>
        <v>0.11419051998313026</v>
      </c>
      <c r="J125" s="77">
        <f t="shared" ref="J125" si="53">IF(J$4="","",J124/Market_Price)</f>
        <v>0.15333505299179695</v>
      </c>
      <c r="K125" s="77">
        <f t="shared" ref="K125" si="54">IF(K$4="","",K124/Market_Price)</f>
        <v>0.13666448878897813</v>
      </c>
      <c r="L125" s="77">
        <f t="shared" ref="L125" si="55">IF(L$4="","",L124/Market_Price)</f>
        <v>9.4618253478797196E-2</v>
      </c>
      <c r="M125" s="77">
        <f t="shared" ref="M125" si="56">IF(M$4="","",M124/Market_Price)</f>
        <v>0.11515775408363518</v>
      </c>
      <c r="N125" s="77">
        <f t="shared" ref="N125" si="57">IF(N$4="","",N124/Market_Price)</f>
        <v>0.10178716504724485</v>
      </c>
      <c r="O125" s="77">
        <f t="shared" ref="O125" si="58">IF(O$4="","",O124/Market_Price)</f>
        <v>0.1027543991477496</v>
      </c>
      <c r="P125" s="77" t="str">
        <f t="shared" ref="P125" si="59">IF(P$4="","",P124/Market_Price)</f>
        <v/>
      </c>
      <c r="Q125" s="77" t="str">
        <f t="shared" ref="Q125" si="60">IF(Q$4="","",Q124/Market_Price)</f>
        <v/>
      </c>
    </row>
    <row r="126" spans="1:17" ht="15.75" customHeight="1">
      <c r="B126" s="2" t="s">
        <v>402</v>
      </c>
      <c r="C126" s="170"/>
      <c r="G126" s="23">
        <f>IF(G$4="","",(Data!C47*$C$3)/(Market_Price*Common_Shares))</f>
        <v>1.222310305090645E-2</v>
      </c>
      <c r="H126" s="23">
        <f>IF(H$4="","",(Data!D47*$C$3)/(Market_Price*Common_Shares))</f>
        <v>1.0946500451351995E-2</v>
      </c>
      <c r="I126" s="23">
        <f>IF(I$4="","",(Data!E47*$C$3)/(Market_Price*Common_Shares))</f>
        <v>1.2670647640405427E-2</v>
      </c>
      <c r="J126" s="23">
        <f>IF(J$4="","",(Data!F47*$C$3)/(Market_Price*Common_Shares))</f>
        <v>1.6940663232018604E-2</v>
      </c>
      <c r="K126" s="23">
        <f>IF(K$4="","",(Data!G47*$C$3)/(Market_Price*Common_Shares))</f>
        <v>1.3991271019254863E-2</v>
      </c>
      <c r="L126" s="23">
        <f>IF(L$4="","",(Data!H47*$C$3)/(Market_Price*Common_Shares))</f>
        <v>1.2567932488717137E-2</v>
      </c>
      <c r="M126" s="23">
        <f>IF(M$4="","",(Data!I47*$C$3)/(Market_Price*Common_Shares))</f>
        <v>1.5135811280924375E-2</v>
      </c>
      <c r="N126" s="23">
        <f>IF(N$4="","",(Data!J47*$C$3)/(Market_Price*Common_Shares))</f>
        <v>1.3132865823002729E-2</v>
      </c>
      <c r="O126" s="23">
        <f>IF(O$4="","",(Data!K47*$C$3)/(Market_Price*Common_Shares))</f>
        <v>1.3308948940182653E-2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60.242029726361707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67.962387037715629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60.242029726361707</v>
      </c>
      <c r="C65" s="125">
        <f>C12</f>
        <v>60.242029726361707</v>
      </c>
      <c r="D65" s="125">
        <f>C12</f>
        <v>60.242029726361707</v>
      </c>
      <c r="E65" s="142">
        <f>C12</f>
        <v>60.242029726361707</v>
      </c>
      <c r="F65" s="125">
        <f>C12</f>
        <v>60.242029726361707</v>
      </c>
      <c r="H65" s="121"/>
    </row>
    <row r="66" spans="1:8" ht="13.15">
      <c r="A66" s="144">
        <f t="shared" ref="A66:A71" si="3">A56</f>
        <v>5</v>
      </c>
      <c r="B66" s="125">
        <f t="shared" ref="B66:F71" si="4">(B56-$C$7+$C$8+$C$9)/Common_Shares*$C$3*Exchange_Rate</f>
        <v>60.242029726361693</v>
      </c>
      <c r="C66" s="125">
        <f t="shared" si="4"/>
        <v>61.293813886361583</v>
      </c>
      <c r="D66" s="125">
        <f t="shared" si="4"/>
        <v>63.44429737212829</v>
      </c>
      <c r="E66" s="125">
        <f t="shared" si="4"/>
        <v>65.659628629674785</v>
      </c>
      <c r="F66" s="125">
        <f t="shared" si="4"/>
        <v>69.110425144044441</v>
      </c>
      <c r="H66" s="121"/>
    </row>
    <row r="67" spans="1:8" ht="13.15">
      <c r="A67" s="144">
        <f t="shared" si="3"/>
        <v>10</v>
      </c>
      <c r="B67" s="125">
        <f t="shared" si="4"/>
        <v>60.242029726361693</v>
      </c>
      <c r="C67" s="125">
        <f t="shared" si="4"/>
        <v>62.31194777210569</v>
      </c>
      <c r="D67" s="125">
        <f t="shared" si="4"/>
        <v>66.758551179735136</v>
      </c>
      <c r="E67" s="125">
        <f t="shared" si="4"/>
        <v>71.654884038630442</v>
      </c>
      <c r="F67" s="125">
        <f t="shared" si="4"/>
        <v>79.96156958460665</v>
      </c>
      <c r="H67" s="121"/>
    </row>
    <row r="68" spans="1:8" ht="13.15">
      <c r="A68" s="144">
        <f t="shared" si="3"/>
        <v>15</v>
      </c>
      <c r="B68" s="125">
        <f t="shared" si="4"/>
        <v>60.242029726361693</v>
      </c>
      <c r="C68" s="125">
        <f t="shared" si="4"/>
        <v>63.540843772814348</v>
      </c>
      <c r="D68" s="125">
        <f t="shared" si="4"/>
        <v>70.967547403004787</v>
      </c>
      <c r="E68" s="125">
        <f t="shared" si="4"/>
        <v>79.681337999738574</v>
      </c>
      <c r="F68" s="125">
        <f t="shared" si="4"/>
        <v>95.738048742883947</v>
      </c>
      <c r="H68" s="121"/>
    </row>
    <row r="69" spans="1:8" ht="13.15">
      <c r="A69" s="145">
        <f t="shared" si="3"/>
        <v>20</v>
      </c>
      <c r="B69" s="125">
        <f t="shared" si="4"/>
        <v>60.242029726361679</v>
      </c>
      <c r="C69" s="125">
        <f t="shared" si="4"/>
        <v>64.760589813051482</v>
      </c>
      <c r="D69" s="125">
        <f t="shared" si="4"/>
        <v>75.373294776871191</v>
      </c>
      <c r="E69" s="125">
        <f t="shared" si="4"/>
        <v>88.571725299983768</v>
      </c>
      <c r="F69" s="125">
        <f t="shared" si="4"/>
        <v>114.86662794980514</v>
      </c>
      <c r="H69" s="121"/>
    </row>
    <row r="70" spans="1:8" ht="13.15">
      <c r="A70" s="145">
        <f t="shared" si="3"/>
        <v>25</v>
      </c>
      <c r="B70" s="125">
        <f t="shared" si="4"/>
        <v>60.242029726361679</v>
      </c>
      <c r="C70" s="125">
        <f t="shared" si="4"/>
        <v>65.864960153313277</v>
      </c>
      <c r="D70" s="125">
        <f t="shared" si="4"/>
        <v>79.587732657495366</v>
      </c>
      <c r="E70" s="125">
        <f t="shared" si="4"/>
        <v>97.599743131594337</v>
      </c>
      <c r="F70" s="125">
        <f t="shared" si="4"/>
        <v>136.27659012460936</v>
      </c>
    </row>
    <row r="71" spans="1:8" ht="13.15">
      <c r="A71" s="145">
        <f t="shared" si="3"/>
        <v>30</v>
      </c>
      <c r="B71" s="125">
        <f t="shared" si="4"/>
        <v>60.242029726361679</v>
      </c>
      <c r="C71" s="125">
        <f t="shared" si="4"/>
        <v>66.812733911023344</v>
      </c>
      <c r="D71" s="125">
        <f t="shared" si="4"/>
        <v>83.415379566202887</v>
      </c>
      <c r="E71" s="125">
        <f t="shared" si="4"/>
        <v>106.33025062330921</v>
      </c>
      <c r="F71" s="125">
        <f t="shared" si="4"/>
        <v>159.2392232133538</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95.738048742883947</v>
      </c>
      <c r="F74" s="143">
        <f>Scenarios!C58</f>
        <v>0.05</v>
      </c>
    </row>
    <row r="75" spans="1:8">
      <c r="B75" s="128" t="str">
        <f>Scenarios!B36</f>
        <v>Optimistic</v>
      </c>
      <c r="C75" s="143">
        <f>Scenarios!C38</f>
        <v>0.05</v>
      </c>
      <c r="D75" s="146">
        <f>Scenarios!C37</f>
        <v>10</v>
      </c>
      <c r="E75" s="136">
        <f>INDEX(B$65:F$71, MATCH(D75, A$65:A$71, 0), MATCH(C75, B$64:F$64, 0))</f>
        <v>71.654884038630442</v>
      </c>
      <c r="F75" s="143">
        <f>Scenarios!C40*(1-F$74-F$78)</f>
        <v>0.18</v>
      </c>
      <c r="H75" s="121"/>
    </row>
    <row r="76" spans="1:8">
      <c r="B76" s="128" t="str">
        <f>Scenarios!B24</f>
        <v>Base</v>
      </c>
      <c r="C76" s="143">
        <f>Scenarios!C26</f>
        <v>0.03</v>
      </c>
      <c r="D76" s="146">
        <f>Scenarios!C25</f>
        <v>10</v>
      </c>
      <c r="E76" s="136">
        <f>INDEX(B$65:F$71, MATCH(D76, A$65:A$71, 0), MATCH(C76, B$64:F$64, 0))</f>
        <v>66.758551179735136</v>
      </c>
      <c r="F76" s="143">
        <f>Scenarios!C28*(1-F$74-F$78)</f>
        <v>0.53999999999999992</v>
      </c>
      <c r="H76" s="121"/>
    </row>
    <row r="77" spans="1:8">
      <c r="B77" s="128" t="str">
        <f>Scenarios!B30</f>
        <v>Pessimistic</v>
      </c>
      <c r="C77" s="143">
        <f>Scenarios!C32</f>
        <v>0.01</v>
      </c>
      <c r="D77" s="146">
        <f>Scenarios!C31</f>
        <v>10</v>
      </c>
      <c r="E77" s="136">
        <f>INDEX(B$65:F$71, MATCH(D77, A$65:A$71, 0), MATCH(C77, B$64:F$64, 0))</f>
        <v>62.31194777210569</v>
      </c>
      <c r="F77" s="143">
        <f>Scenarios!C34*(1-F$74-F$78)</f>
        <v>0.18</v>
      </c>
      <c r="H77" s="121"/>
    </row>
    <row r="78" spans="1:8">
      <c r="B78" s="128" t="str">
        <f>Scenarios!B48</f>
        <v>Devil's advocate</v>
      </c>
      <c r="C78" s="143">
        <f>Scenarios!C50</f>
        <v>0</v>
      </c>
      <c r="D78" s="146">
        <f>Scenarios!C49</f>
        <v>15</v>
      </c>
      <c r="E78" s="136">
        <f>INDEX(B$65:F$71, MATCH(D78, A$65:A$71, 0), MATCH(C78, B$64:F$64, 0))</f>
        <v>60.242029726361693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-53.85</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67.962651286451745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53.85</v>
      </c>
      <c r="D21" t="str">
        <f>Market_currency</f>
        <v>HKD</v>
      </c>
      <c r="E21" s="351"/>
      <c r="F21" s="351"/>
    </row>
    <row r="22" spans="2:6">
      <c r="B22" s="100" t="s">
        <v>281</v>
      </c>
      <c r="C22" s="161">
        <f>Valuation_Model!C12</f>
        <v>60.242029726361707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66.758551179735136</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62.31194777210569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71.654884038630442</v>
      </c>
      <c r="D39" t="str">
        <f>Market_currency</f>
        <v>HKD</v>
      </c>
      <c r="E39" s="349"/>
      <c r="F39" s="349"/>
    </row>
    <row r="40" spans="2:6">
      <c r="B40" s="100" t="s">
        <v>148</v>
      </c>
      <c r="C40" s="168">
        <f>1-C28-C34</f>
        <v>0.2</v>
      </c>
      <c r="D40" s="166"/>
      <c r="E40" s="349"/>
      <c r="F40" s="349"/>
    </row>
    <row r="42" spans="2:6" ht="13.15">
      <c r="B42" s="100" t="s">
        <v>121</v>
      </c>
      <c r="C42" s="155">
        <f>C27*C28+C33*C34+C39*C40</f>
        <v>66.848497069988298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60.242029726361693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95.738048742883947</v>
      </c>
      <c r="D57" t="str">
        <f>Market_currency</f>
        <v>HKD</v>
      </c>
      <c r="E57" s="349"/>
      <c r="F57" s="349"/>
    </row>
    <row r="58" spans="2:6">
      <c r="B58" s="100" t="s">
        <v>148</v>
      </c>
      <c r="C58" s="166">
        <v>0.05</v>
      </c>
      <c r="D58" s="166"/>
      <c r="E58" s="349"/>
      <c r="F58" s="349"/>
    </row>
    <row r="60" spans="2:6" ht="13.15">
      <c r="B60" s="100" t="s">
        <v>121</v>
      </c>
      <c r="C60" s="155">
        <f>C51*C52+C57*C58+C42*(1-C52-C58)</f>
        <v>67.962651286451745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67.962387037715629</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-7.9974290871077422E-2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0.3</v>
      </c>
    </row>
    <row r="81" spans="2:8">
      <c r="B81" s="100" t="s">
        <v>122</v>
      </c>
      <c r="C81" s="117">
        <f>PV(C80, C76, -C77, 0)</f>
        <v>0</v>
      </c>
      <c r="D81" s="117"/>
      <c r="E81" s="100"/>
      <c r="F81" s="100"/>
    </row>
    <row r="82" spans="2:8">
      <c r="B82" s="100" t="s">
        <v>123</v>
      </c>
      <c r="C82" s="117">
        <f>C60/(1+C80)^C76</f>
        <v>30.934297353869699</v>
      </c>
      <c r="D82" s="117"/>
    </row>
    <row r="83" spans="2:8" ht="13.15">
      <c r="B83" s="111" t="s">
        <v>102</v>
      </c>
      <c r="C83" s="112">
        <f>C81+C82</f>
        <v>30.934297353869699</v>
      </c>
      <c r="D83" t="str">
        <f>Market_currency</f>
        <v>HKD</v>
      </c>
      <c r="E83" s="147" t="s">
        <v>127</v>
      </c>
      <c r="F83" s="329">
        <f>(1-C83/C60)</f>
        <v>0.54483386436049175</v>
      </c>
    </row>
    <row r="84" spans="2:8">
      <c r="E84" s="121"/>
    </row>
    <row r="85" spans="2:8" ht="13.15">
      <c r="B85" s="109" t="s">
        <v>309</v>
      </c>
    </row>
    <row r="86" spans="2:8">
      <c r="B86" s="149" t="s">
        <v>307</v>
      </c>
      <c r="C86" s="266">
        <f>Market_Price</f>
        <v>53.85</v>
      </c>
      <c r="D86" t="str">
        <f>Market_currency</f>
        <v>HKD</v>
      </c>
    </row>
    <row r="87" spans="2:8" ht="13.15">
      <c r="B87" s="100" t="s">
        <v>305</v>
      </c>
      <c r="C87" s="265">
        <f ca="1">IRR(OFFSET($I$3, 0, 0, $C$76 + 1, 1))</f>
        <v>8.0674411817778235E-2</v>
      </c>
    </row>
    <row r="88" spans="2:8">
      <c r="B88" s="100"/>
    </row>
    <row r="89" spans="2:8" ht="13.15">
      <c r="B89" s="109" t="s">
        <v>418</v>
      </c>
    </row>
    <row r="90" spans="2:8">
      <c r="B90" s="149" t="s">
        <v>419</v>
      </c>
      <c r="C90" s="168">
        <f>Thesis!E19</f>
        <v>0.2</v>
      </c>
    </row>
    <row r="91" spans="2:8">
      <c r="B91" s="100" t="s">
        <v>122</v>
      </c>
      <c r="C91" s="117">
        <f>PV(C90, C76, -C77, 0)</f>
        <v>0</v>
      </c>
      <c r="D91" s="117"/>
      <c r="E91" s="100"/>
      <c r="F91" s="100"/>
    </row>
    <row r="92" spans="2:8">
      <c r="B92" s="100" t="s">
        <v>123</v>
      </c>
      <c r="C92" s="117">
        <f>C60/(1+C90)^C76</f>
        <v>39.330238012992908</v>
      </c>
      <c r="D92" s="117"/>
    </row>
    <row r="93" spans="2:8" ht="13.15">
      <c r="B93" s="111" t="s">
        <v>102</v>
      </c>
      <c r="C93" s="112">
        <f>C91+C92</f>
        <v>39.330238012992908</v>
      </c>
      <c r="D93" t="str">
        <f>Market_currency</f>
        <v>HKD</v>
      </c>
      <c r="E93" s="147" t="s">
        <v>127</v>
      </c>
      <c r="F93" s="329">
        <f>(1-C93/C60)</f>
        <v>0.42129629629629628</v>
      </c>
    </row>
    <row r="95" spans="2:8" ht="13.15">
      <c r="B95" s="109" t="s">
        <v>405</v>
      </c>
      <c r="G95" s="2"/>
      <c r="H95" s="316"/>
    </row>
    <row r="96" spans="2:8">
      <c r="B96" s="149" t="s">
        <v>411</v>
      </c>
      <c r="C96" s="135">
        <f>Thesis!C67</f>
        <v>0.08</v>
      </c>
      <c r="G96" s="2"/>
      <c r="H96" s="316"/>
    </row>
    <row r="97" spans="2:8">
      <c r="B97" s="100" t="s">
        <v>122</v>
      </c>
      <c r="C97" s="117">
        <f>PV(C96, C76, -C77, 0)</f>
        <v>0</v>
      </c>
      <c r="D97" s="117"/>
      <c r="G97" s="2"/>
      <c r="H97" s="316"/>
    </row>
    <row r="98" spans="2:8">
      <c r="B98" s="100" t="s">
        <v>123</v>
      </c>
      <c r="C98" s="117">
        <f>C60/(1+C96)^C76</f>
        <v>53.950943776396301</v>
      </c>
      <c r="D98" s="117"/>
      <c r="G98" s="2"/>
      <c r="H98" s="316"/>
    </row>
    <row r="99" spans="2:8" ht="13.15">
      <c r="B99" s="111" t="s">
        <v>406</v>
      </c>
      <c r="C99" s="112">
        <f>C97+C98</f>
        <v>53.950943776396301</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