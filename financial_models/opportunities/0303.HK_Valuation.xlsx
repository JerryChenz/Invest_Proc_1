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CD9AE8-CB8D-4296-9487-15B7641E459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<sst xmlns="http://schemas.openxmlformats.org/spreadsheetml/2006/main" count="836" uniqueCount="561">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</sst>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58.65</v>
      </c>
      <c r="D12" s="50"/>
      <c r="E12" s="48"/>
    </row>
    <row r="13" spans="1:10">
      <c r="B13" s="1" t="s">
        <v>485</v>
      </c>
      <c r="C13" s="32" t="str">
        <f>Market_currency</f>
        <v>HKD</v>
      </c>
      <c r="D13" s="48"/>
      <c r="E13" s="5"/>
    </row>
    <row r="14" spans="1:10">
      <c r="B14" s="4" t="s">
        <v>486</v>
      </c>
      <c r="C14" s="35">
        <f>投资主题!C12*Common_Shares/1000000</f>
        <v>14844.850650449998</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7.8495999999999997</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70.239623803038228</v>
      </c>
      <c r="D26" s="1" t="s">
        <v>446</v>
      </c>
      <c r="E26" s="301">
        <f ca="1">Scenarios!C87</f>
        <v>0.14421487673934386</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37.201125927160788</v>
      </c>
      <c r="D29" s="310" t="str">
        <f>D149</f>
        <v/>
      </c>
      <c r="E29" s="306" t="s">
        <v>455</v>
      </c>
      <c r="F29" s="362">
        <f>Thesis!F29</f>
        <v>0.35</v>
      </c>
    </row>
    <row r="30" spans="2:6">
      <c r="B30" s="1" t="s">
        <v>450</v>
      </c>
      <c r="C30" s="311">
        <f>C157</f>
        <v>45.922259867155574</v>
      </c>
      <c r="D30" s="311" t="str">
        <f>D157</f>
        <v/>
      </c>
      <c r="E30" s="307" t="s">
        <v>454</v>
      </c>
      <c r="F30" s="224">
        <f>Thesis!F30</f>
        <v>0.25</v>
      </c>
    </row>
    <row r="31" spans="2:6">
      <c r="B31" s="1" t="s">
        <v>451</v>
      </c>
      <c r="C31" s="311">
        <f>C165</f>
        <v>69.808634029638228</v>
      </c>
      <c r="D31" s="311" t="str">
        <f>D165</f>
        <v/>
      </c>
      <c r="E31" s="307" t="s">
        <v>491</v>
      </c>
      <c r="F31" s="224">
        <f>Thesis!F31</f>
        <v>7.4999999999999997E-2</v>
      </c>
    </row>
    <row r="32" spans="2:6">
      <c r="B32" s="1" t="s">
        <v>452</v>
      </c>
      <c r="C32" s="311">
        <f>C173</f>
        <v>62.654660535566777</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9.0679381616786861E-2</v>
      </c>
      <c r="F69" s="314"/>
    </row>
    <row r="70" spans="1:6">
      <c r="B70" s="227" t="s">
        <v>434</v>
      </c>
      <c r="C70" s="92">
        <f>Normalized_FCF!C94</f>
        <v>8.699471440750213E-2</v>
      </c>
      <c r="E70" s="47" t="s">
        <v>503</v>
      </c>
      <c r="F70" s="315">
        <f>Normalized_FCF!C92</f>
        <v>7.5306392482799307</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70.911276424327326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4.8162737770509452</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-130.10810139622959</v>
      </c>
      <c r="D109" s="1" t="str">
        <f>Reporting_currency</f>
        <v>USD</v>
      </c>
    </row>
    <row r="110" spans="2:6">
      <c r="B110" s="47" t="s">
        <v>277</v>
      </c>
      <c r="C110" s="223">
        <f>C109*scaling_factor*Exchange_Rate/Common_Shares</f>
        <v>-4.0350047452449838</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1.2094956684158845E-2</v>
      </c>
      <c r="D114" s="1" t="str">
        <f>Market_currency</f>
        <v>HKD</v>
      </c>
    </row>
    <row r="116" spans="1:6">
      <c r="B116" s="371" t="s">
        <v>516</v>
      </c>
      <c r="C116" s="371"/>
      <c r="D116" s="371"/>
      <c r="E116" s="371"/>
      <c r="F116" s="371"/>
    </row>
    <row r="118" spans="1:6">
      <c r="B118" s="47" t="s">
        <v>517</v>
      </c>
      <c r="C118" s="223">
        <f>IF(valuation_method="DCF",DCF!C12,DDM!C7)</f>
        <v>62.07209285871555</v>
      </c>
      <c r="D118" s="1" t="str">
        <f>Market_currency</f>
        <v>HKD</v>
      </c>
    </row>
    <row r="119" spans="1:6">
      <c r="B119" s="296" t="s">
        <v>550</v>
      </c>
      <c r="C119" s="223">
        <f>BS!D47</f>
        <v>-2.6746911262186694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70.239623803038228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5.1022400000000001</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8.6527852055072909</v>
      </c>
    </row>
    <row r="148" spans="2:4">
      <c r="B148" s="212" t="str">
        <f>"+ PV(Equity Value realized at year "&amp;C141&amp;")"</f>
        <v>+ PV(Equity Value realized at year 3)</v>
      </c>
      <c r="C148" s="216">
        <f>Scenarios!C82</f>
        <v>28.548340721653496</v>
      </c>
    </row>
    <row r="149" spans="2:4">
      <c r="B149" s="80" t="s">
        <v>256</v>
      </c>
      <c r="C149" s="215">
        <f>Scenarios!C83</f>
        <v>37.201125927160788</v>
      </c>
      <c r="D149" s="300" t="str">
        <f>IF($D$11="","",C149*$E$25)</f>
        <v/>
      </c>
    </row>
    <row r="150" spans="2:4">
      <c r="B150" s="259" t="s">
        <v>532</v>
      </c>
      <c r="C150" s="298" t="str">
        <f>Market_currency</f>
        <v>HKD</v>
      </c>
      <c r="D150" s="298" t="str">
        <f>IF($D$11="","",D$13)</f>
        <v/>
      </c>
    </row>
    <row r="151" spans="2:4">
      <c r="B151" s="214" t="s">
        <v>533</v>
      </c>
      <c r="C151" s="92">
        <f>Scenarios!F83</f>
        <v>0.47036837737801718</v>
      </c>
    </row>
    <row r="153" spans="2:4">
      <c r="B153" s="210" t="s">
        <v>391</v>
      </c>
    </row>
    <row r="154" spans="2:4">
      <c r="B154" s="1" t="s">
        <v>390</v>
      </c>
      <c r="C154" s="297">
        <f>Scenarios!C90</f>
        <v>0.25</v>
      </c>
    </row>
    <row r="155" spans="2:4">
      <c r="B155" s="212" t="str">
        <f>"PV("&amp;C141&amp;" yrs of Dividends)"</f>
        <v>PV(3 yrs of Dividends)</v>
      </c>
      <c r="C155" s="216">
        <f>Scenarios!C91</f>
        <v>9.9595724800000003</v>
      </c>
    </row>
    <row r="156" spans="2:4">
      <c r="B156" s="212" t="str">
        <f>"+ PV(Equity Value realized at year "&amp;C141&amp;")"</f>
        <v>+ PV(Equity Value realized at year 3)</v>
      </c>
      <c r="C156" s="216">
        <f>Scenarios!C92</f>
        <v>35.962687387155576</v>
      </c>
    </row>
    <row r="157" spans="2:4">
      <c r="B157" s="80" t="s">
        <v>256</v>
      </c>
      <c r="C157" s="215">
        <f>Scenarios!C93</f>
        <v>45.922259867155574</v>
      </c>
      <c r="D157" s="300" t="str">
        <f>IF($D$11="","",C157*$E$25)</f>
        <v/>
      </c>
    </row>
    <row r="158" spans="2:4">
      <c r="B158" s="259" t="s">
        <v>532</v>
      </c>
      <c r="C158" s="298" t="str">
        <f>Market_currency</f>
        <v>HKD</v>
      </c>
      <c r="D158" s="298" t="str">
        <f>IF($D$11="","",D$13)</f>
        <v/>
      </c>
    </row>
    <row r="159" spans="2:4">
      <c r="B159" s="214" t="s">
        <v>533</v>
      </c>
      <c r="C159" s="92">
        <f>Scenarios!F93</f>
        <v>0.34620578270851732</v>
      </c>
    </row>
    <row r="161" spans="2:4">
      <c r="B161" s="210" t="s">
        <v>381</v>
      </c>
    </row>
    <row r="162" spans="2:4">
      <c r="B162" s="1" t="s">
        <v>389</v>
      </c>
      <c r="C162" s="92">
        <f>Scenarios!C96</f>
        <v>7.4999999999999997E-2</v>
      </c>
    </row>
    <row r="163" spans="2:4">
      <c r="B163" s="212" t="str">
        <f>"PV("&amp;C141&amp;" yrs of Dividends)"</f>
        <v>PV(3 yrs of Dividends)</v>
      </c>
      <c r="C163" s="216">
        <f>Scenarios!C97</f>
        <v>13.268506451004308</v>
      </c>
    </row>
    <row r="164" spans="2:4">
      <c r="B164" s="212" t="str">
        <f>"+ PV(Equity Value realized at year "&amp;C141&amp;")"</f>
        <v>+ PV(Equity Value realized at year 3)</v>
      </c>
      <c r="C164" s="216">
        <f>Scenarios!C98</f>
        <v>56.540127578633921</v>
      </c>
    </row>
    <row r="165" spans="2:4">
      <c r="B165" s="80" t="s">
        <v>382</v>
      </c>
      <c r="C165" s="215">
        <f>Scenarios!C99</f>
        <v>69.808634029638228</v>
      </c>
      <c r="D165" s="300" t="str">
        <f>IF($D$11="","",C165*$E$25)</f>
        <v/>
      </c>
    </row>
    <row r="166" spans="2:4">
      <c r="B166" s="259" t="s">
        <v>532</v>
      </c>
      <c r="C166" s="298" t="str">
        <f>Market_currency</f>
        <v>HKD</v>
      </c>
      <c r="D166" s="298" t="str">
        <f>IF($D$11="","",D$13)</f>
        <v/>
      </c>
    </row>
    <row r="167" spans="2:4">
      <c r="B167" s="214" t="s">
        <v>533</v>
      </c>
      <c r="C167" s="92">
        <f>Scenarios!F99</f>
        <v>6.1359920521293354E-3</v>
      </c>
    </row>
    <row r="169" spans="2:4">
      <c r="B169" s="210" t="s">
        <v>408</v>
      </c>
    </row>
    <row r="170" spans="2:4">
      <c r="B170" s="1" t="s">
        <v>399</v>
      </c>
      <c r="C170" s="92">
        <f>F32</f>
        <v>0.1174</v>
      </c>
    </row>
    <row r="171" spans="2:4">
      <c r="B171" s="212" t="str">
        <f>"PV("&amp;C141&amp;" yrs of Dividends)"</f>
        <v>PV(3 yrs of Dividends)</v>
      </c>
      <c r="C171" s="216">
        <f>Scenarios!C103</f>
        <v>12.309680173289212</v>
      </c>
    </row>
    <row r="172" spans="2:4">
      <c r="B172" s="212" t="str">
        <f>"+ PV(Equity Value realized at year "&amp;C141&amp;")"</f>
        <v>+ PV(Equity Value realized at year 3)</v>
      </c>
      <c r="C172" s="216">
        <f>Scenarios!C104</f>
        <v>50.344980362277568</v>
      </c>
    </row>
    <row r="173" spans="2:4">
      <c r="B173" s="80" t="s">
        <v>382</v>
      </c>
      <c r="C173" s="215">
        <f>Scenarios!C105</f>
        <v>62.654660535566777</v>
      </c>
      <c r="D173" s="300" t="str">
        <f>IF($D$11="","",C173*$E$25)</f>
        <v/>
      </c>
    </row>
    <row r="174" spans="2:4">
      <c r="B174" s="259" t="s">
        <v>532</v>
      </c>
      <c r="C174" s="298" t="str">
        <f>Market_currency</f>
        <v>HKD</v>
      </c>
      <c r="D174" s="298" t="str">
        <f>IF($D$11="","",D$13)</f>
        <v/>
      </c>
    </row>
    <row r="175" spans="2:4">
      <c r="B175" s="214" t="s">
        <v>533</v>
      </c>
      <c r="C175" s="92">
        <f>Scenarios!F105</f>
        <v>0.10779441164218917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58.65</v>
      </c>
      <c r="D12" s="50"/>
      <c r="E12" s="48"/>
    </row>
    <row r="13" spans="1:10">
      <c r="B13" s="1" t="s">
        <v>464</v>
      </c>
      <c r="C13" s="48" t="s">
        <v>377</v>
      </c>
      <c r="D13" s="48"/>
      <c r="E13" s="5"/>
    </row>
    <row r="14" spans="1:10">
      <c r="B14" s="4" t="s">
        <v>465</v>
      </c>
      <c r="C14" s="35">
        <f>Thesis!C12*Common_Shares/1000000</f>
        <v>14844.850650449998</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7.8495999999999997</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70.239623803038228</v>
      </c>
      <c r="D26" s="1" t="s">
        <v>380</v>
      </c>
      <c r="E26" s="301">
        <f ca="1">Scenarios!C87</f>
        <v>0.14421487673934386</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37.201125927160788</v>
      </c>
      <c r="D29" s="310" t="str">
        <f>D149</f>
        <v/>
      </c>
      <c r="E29" s="306" t="s">
        <v>400</v>
      </c>
      <c r="F29" s="302">
        <v>0.35</v>
      </c>
    </row>
    <row r="30" spans="2:6">
      <c r="B30" s="1" t="s">
        <v>402</v>
      </c>
      <c r="C30" s="311">
        <f>C157</f>
        <v>45.922259867155574</v>
      </c>
      <c r="D30" s="311" t="str">
        <f>D157</f>
        <v/>
      </c>
      <c r="E30" s="307" t="s">
        <v>413</v>
      </c>
      <c r="F30" s="312">
        <v>0.25</v>
      </c>
    </row>
    <row r="31" spans="2:6">
      <c r="B31" s="1" t="s">
        <v>403</v>
      </c>
      <c r="C31" s="311">
        <f>C165</f>
        <v>69.808634029638228</v>
      </c>
      <c r="D31" s="311" t="str">
        <f>D165</f>
        <v/>
      </c>
      <c r="E31" s="307" t="s">
        <v>412</v>
      </c>
      <c r="F31" s="312">
        <v>7.4999999999999997E-2</v>
      </c>
    </row>
    <row r="32" spans="2:6">
      <c r="B32" s="1" t="s">
        <v>404</v>
      </c>
      <c r="C32" s="311">
        <f>C173</f>
        <v>62.654660535566777</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9.0679381616786861E-2</v>
      </c>
      <c r="F69" s="314"/>
    </row>
    <row r="70" spans="1:6">
      <c r="B70" s="227" t="s">
        <v>434</v>
      </c>
      <c r="C70" s="92">
        <f>Normalized_FCF!C94</f>
        <v>8.699471440750213E-2</v>
      </c>
      <c r="E70" s="47" t="s">
        <v>424</v>
      </c>
      <c r="F70" s="315">
        <f>Normalized_FCF!C92</f>
        <v>7.5306392482799307</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70.911276424327326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4.8162737770509452</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-130.10810139622959</v>
      </c>
      <c r="D109" s="1" t="str">
        <f>Reporting_currency</f>
        <v>USD</v>
      </c>
    </row>
    <row r="110" spans="2:6">
      <c r="B110" s="47" t="s">
        <v>277</v>
      </c>
      <c r="C110" s="223">
        <f>C109*scaling_factor*Exchange_Rate/Common_Shares</f>
        <v>-4.0350047452449838</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1.2094956684158845E-2</v>
      </c>
      <c r="D114" s="1" t="str">
        <f>Market_currency</f>
        <v>HKD</v>
      </c>
    </row>
    <row r="116" spans="1:6" ht="24.6" customHeight="1">
      <c r="B116" s="371" t="s">
        <v>352</v>
      </c>
      <c r="C116" s="371"/>
      <c r="D116" s="371"/>
      <c r="E116" s="371"/>
      <c r="F116" s="371"/>
    </row>
    <row r="118" spans="1:6">
      <c r="B118" s="47" t="s">
        <v>425</v>
      </c>
      <c r="C118" s="223">
        <f>IF(valuation_method="DCF",DCF!C12,DDM!C7)</f>
        <v>62.07209285871555</v>
      </c>
      <c r="D118" s="1" t="str">
        <f>Market_currency</f>
        <v>HKD</v>
      </c>
    </row>
    <row r="119" spans="1:6">
      <c r="B119" s="296" t="s">
        <v>549</v>
      </c>
      <c r="C119" s="223">
        <f>BS!D47</f>
        <v>-2.6746911262186694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70.239623803038228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5.1022400000000001</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8.6527852055072909</v>
      </c>
    </row>
    <row r="148" spans="2:4">
      <c r="B148" s="212" t="str">
        <f>"+ PV(Equity Value realized at year "&amp;C141&amp;")"</f>
        <v>+ PV(Equity Value realized at year 3)</v>
      </c>
      <c r="C148" s="216">
        <f>Scenarios!C82</f>
        <v>28.548340721653496</v>
      </c>
    </row>
    <row r="149" spans="2:4">
      <c r="B149" s="80" t="s">
        <v>256</v>
      </c>
      <c r="C149" s="215">
        <f>Scenarios!C83</f>
        <v>37.201125927160788</v>
      </c>
      <c r="D149" s="300" t="str">
        <f>IF($D$11="","",C149*$E$25)</f>
        <v/>
      </c>
    </row>
    <row r="150" spans="2:4">
      <c r="B150" s="259" t="s">
        <v>395</v>
      </c>
      <c r="C150" s="298" t="str">
        <f>Market_currency</f>
        <v>HKD</v>
      </c>
      <c r="D150" s="298" t="str">
        <f>IF($D$11="","",D$13)</f>
        <v/>
      </c>
    </row>
    <row r="151" spans="2:4">
      <c r="B151" s="214" t="s">
        <v>258</v>
      </c>
      <c r="C151" s="92">
        <f>Scenarios!F83</f>
        <v>0.47036837737801718</v>
      </c>
    </row>
    <row r="153" spans="2:4">
      <c r="B153" s="210" t="s">
        <v>391</v>
      </c>
    </row>
    <row r="154" spans="2:4">
      <c r="B154" s="1" t="s">
        <v>390</v>
      </c>
      <c r="C154" s="297">
        <f>Scenarios!C90</f>
        <v>0.25</v>
      </c>
    </row>
    <row r="155" spans="2:4">
      <c r="B155" s="212" t="str">
        <f>"PV("&amp;C141&amp;" yrs of Dividends)"</f>
        <v>PV(3 yrs of Dividends)</v>
      </c>
      <c r="C155" s="216">
        <f>Scenarios!C91</f>
        <v>9.9595724800000003</v>
      </c>
    </row>
    <row r="156" spans="2:4">
      <c r="B156" s="212" t="str">
        <f>"+ PV(Equity Value realized at year "&amp;C141&amp;")"</f>
        <v>+ PV(Equity Value realized at year 3)</v>
      </c>
      <c r="C156" s="216">
        <f>Scenarios!C92</f>
        <v>35.962687387155576</v>
      </c>
    </row>
    <row r="157" spans="2:4">
      <c r="B157" s="80" t="s">
        <v>256</v>
      </c>
      <c r="C157" s="215">
        <f>Scenarios!C93</f>
        <v>45.922259867155574</v>
      </c>
      <c r="D157" s="300" t="str">
        <f>IF($D$11="","",C157*$E$25)</f>
        <v/>
      </c>
    </row>
    <row r="158" spans="2:4">
      <c r="B158" s="259" t="s">
        <v>395</v>
      </c>
      <c r="C158" s="298" t="str">
        <f>Market_currency</f>
        <v>HKD</v>
      </c>
      <c r="D158" s="298" t="str">
        <f>IF($D$11="","",D$13)</f>
        <v/>
      </c>
    </row>
    <row r="159" spans="2:4">
      <c r="B159" s="214" t="s">
        <v>258</v>
      </c>
      <c r="C159" s="92">
        <f>Scenarios!F93</f>
        <v>0.34620578270851732</v>
      </c>
    </row>
    <row r="161" spans="2:4">
      <c r="B161" s="210" t="s">
        <v>381</v>
      </c>
    </row>
    <row r="162" spans="2:4">
      <c r="B162" s="1" t="s">
        <v>389</v>
      </c>
      <c r="C162" s="92">
        <f>Scenarios!C96</f>
        <v>7.4999999999999997E-2</v>
      </c>
    </row>
    <row r="163" spans="2:4">
      <c r="B163" s="212" t="str">
        <f>"PV("&amp;C141&amp;" yrs of Dividends)"</f>
        <v>PV(3 yrs of Dividends)</v>
      </c>
      <c r="C163" s="216">
        <f>Scenarios!C97</f>
        <v>13.268506451004308</v>
      </c>
    </row>
    <row r="164" spans="2:4">
      <c r="B164" s="212" t="str">
        <f>"+ PV(Equity Value realized at year "&amp;C141&amp;")"</f>
        <v>+ PV(Equity Value realized at year 3)</v>
      </c>
      <c r="C164" s="216">
        <f>Scenarios!C98</f>
        <v>56.540127578633921</v>
      </c>
    </row>
    <row r="165" spans="2:4">
      <c r="B165" s="80" t="s">
        <v>382</v>
      </c>
      <c r="C165" s="215">
        <f>Scenarios!C99</f>
        <v>69.808634029638228</v>
      </c>
      <c r="D165" s="300" t="str">
        <f>IF($D$11="","",C165*$E$25)</f>
        <v/>
      </c>
    </row>
    <row r="166" spans="2:4">
      <c r="B166" s="259" t="s">
        <v>395</v>
      </c>
      <c r="C166" s="298" t="str">
        <f>Market_currency</f>
        <v>HKD</v>
      </c>
      <c r="D166" s="298" t="str">
        <f>IF($D$11="","",D$13)</f>
        <v/>
      </c>
    </row>
    <row r="167" spans="2:4">
      <c r="B167" s="214" t="s">
        <v>258</v>
      </c>
      <c r="C167" s="92">
        <f>Scenarios!F99</f>
        <v>6.1359920521293354E-3</v>
      </c>
    </row>
    <row r="169" spans="2:4">
      <c r="B169" s="210" t="s">
        <v>408</v>
      </c>
    </row>
    <row r="170" spans="2:4">
      <c r="B170" s="1" t="s">
        <v>399</v>
      </c>
      <c r="C170" s="92">
        <f>F32</f>
        <v>0.1174</v>
      </c>
    </row>
    <row r="171" spans="2:4">
      <c r="B171" s="212" t="str">
        <f>"PV("&amp;C141&amp;" yrs of Dividends)"</f>
        <v>PV(3 yrs of Dividends)</v>
      </c>
      <c r="C171" s="216">
        <f>Scenarios!C103</f>
        <v>12.309680173289212</v>
      </c>
    </row>
    <row r="172" spans="2:4">
      <c r="B172" s="212" t="str">
        <f>"+ PV(Equity Value realized at year "&amp;C141&amp;")"</f>
        <v>+ PV(Equity Value realized at year 3)</v>
      </c>
      <c r="C172" s="216">
        <f>Scenarios!C104</f>
        <v>50.344980362277568</v>
      </c>
    </row>
    <row r="173" spans="2:4">
      <c r="B173" s="80" t="s">
        <v>382</v>
      </c>
      <c r="C173" s="215">
        <f>Scenarios!C105</f>
        <v>62.654660535566777</v>
      </c>
      <c r="D173" s="300" t="str">
        <f>IF($D$11="","",C173*$E$25)</f>
        <v/>
      </c>
    </row>
    <row r="174" spans="2:4">
      <c r="B174" s="259" t="s">
        <v>395</v>
      </c>
      <c r="C174" s="298" t="str">
        <f>Market_currency</f>
        <v>HKD</v>
      </c>
      <c r="D174" s="298" t="str">
        <f>IF($D$11="","",D$13)</f>
        <v/>
      </c>
    </row>
    <row r="175" spans="2:4">
      <c r="B175" s="214" t="s">
        <v>258</v>
      </c>
      <c r="C175" s="92">
        <f>Scenarios!F105</f>
        <v>0.10779441164218917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5.1022400000000001</v>
      </c>
      <c r="D25" s="39">
        <f>(0.17+0.42)*Exchange_Rate</f>
        <v>4.6312639999999998</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5.1022400000000001</v>
      </c>
      <c r="D65" s="73">
        <f t="shared" ref="D65:M65" si="33">IF(D$4="","",D25)</f>
        <v>4.6312639999999998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19.444968822993829</v>
      </c>
      <c r="D47" s="147">
        <f>D46*H1/Common_Shares*Exchange_Rate</f>
        <v>-2.6746911262186694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-130.10810139622959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-270.01862856316001</v>
      </c>
      <c r="D73" s="349">
        <f>(Normalized_FCF!C25+Normalized_FCF!C35-Normalized_FCF!C91)/12</f>
        <v>-280.30810139622957</v>
      </c>
      <c r="F73" s="1" t="s">
        <v>342</v>
      </c>
    </row>
    <row r="74" spans="2:6" ht="15" customHeight="1">
      <c r="B74" s="257" t="s">
        <v>312</v>
      </c>
      <c r="C74" s="258">
        <f>-$C$66/C73</f>
        <v>0.55625791746019015</v>
      </c>
      <c r="D74" s="258">
        <f>-$C$66/D73</f>
        <v>0.53583895453554786</v>
      </c>
      <c r="F74" s="253" t="s">
        <v>310</v>
      </c>
    </row>
    <row r="75" spans="2:6" ht="15" customHeight="1">
      <c r="B75" s="80" t="s">
        <v>311</v>
      </c>
      <c r="C75" s="320"/>
      <c r="D75" s="321">
        <f>MAX(-D73*D76,G5)</f>
        <v>280.30810139622957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-1219.04288</v>
      </c>
      <c r="D86" s="223">
        <f>C86*scaling_factor/Common_Shares</f>
        <v>-4.8162737770509452</v>
      </c>
      <c r="E86" s="240" t="str">
        <f>Market_currency</f>
        <v>HKD</v>
      </c>
    </row>
    <row r="87" spans="2:8" ht="15" customHeight="1">
      <c r="B87" s="238" t="s">
        <v>282</v>
      </c>
      <c r="C87" s="76">
        <f>DCF!C8*Exchange_Rate</f>
        <v>-1021.2965527198437</v>
      </c>
      <c r="D87" s="223">
        <f>C87*scaling_factor/Common_Shares</f>
        <v>-4.0350047452449838</v>
      </c>
      <c r="E87" s="240" t="str">
        <f>Market_currency</f>
        <v>HKD</v>
      </c>
    </row>
    <row r="88" spans="2:8" ht="15" customHeight="1">
      <c r="B88" s="239" t="s">
        <v>185</v>
      </c>
      <c r="C88" s="76">
        <f>DCF!C9*Exchange_Rate</f>
        <v>3.0613440000000001</v>
      </c>
      <c r="D88" s="223">
        <f>C88*scaling_factor/Common_Shares</f>
        <v>1.2094956684158845E-2</v>
      </c>
      <c r="E88" s="240" t="str">
        <f>Market_currency</f>
        <v>HKD</v>
      </c>
    </row>
    <row r="89" spans="2:8" ht="15" customHeight="1">
      <c r="B89" s="80" t="s">
        <v>286</v>
      </c>
      <c r="C89" s="180">
        <f>SUM(C86:C88)</f>
        <v>-2237.2780887198437</v>
      </c>
      <c r="D89" s="242">
        <f>SUM(D86:D88)</f>
        <v>-8.8391835656117692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5.1022400000000001</v>
      </c>
      <c r="E90" s="268"/>
      <c r="G90" s="112">
        <f>Data!C65</f>
        <v>5.1022400000000001</v>
      </c>
      <c r="H90" s="112">
        <f>Data!D65</f>
        <v>4.6312639999999998</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1291.4235427579201</v>
      </c>
      <c r="E91" s="268"/>
      <c r="G91" s="74">
        <f t="shared" ref="G91:Q91" si="37">IF(G$4="","",G90*Common_Shares/scaling_factor)</f>
        <v>1291.4235427579201</v>
      </c>
      <c r="H91" s="74">
        <f t="shared" si="37"/>
        <v>1172.215215734112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7.5306392482799307</v>
      </c>
      <c r="E92" s="268"/>
      <c r="G92" s="170">
        <f t="shared" ref="G92:Q92" si="38">IF(G$4="","",G90/(G19*scaling_factor/Common_Shares))</f>
        <v>6.4668179407006487</v>
      </c>
      <c r="H92" s="170">
        <f t="shared" si="38"/>
        <v>6.5159267133636094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8.699471440750213E-2</v>
      </c>
      <c r="E94" s="268"/>
      <c r="G94" s="23">
        <f t="shared" ref="G94:Q94" si="39">IF(G$4="","",(G90*(1-dividend_tax_rate))/Market_Price)</f>
        <v>8.699471440750213E-2</v>
      </c>
      <c r="H94" s="23">
        <f t="shared" si="39"/>
        <v>7.8964433077578861E-2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5.3183457318245484</v>
      </c>
      <c r="D125" s="27"/>
      <c r="E125" s="265"/>
      <c r="F125" s="27"/>
      <c r="G125" s="177">
        <f t="shared" ref="G125:Q125" si="49">IF(G$4="","",G16*$C$3/Common_Shares*Exchange_Rate)</f>
        <v>6.193238076478262</v>
      </c>
      <c r="H125" s="177">
        <f t="shared" si="49"/>
        <v>5.5791864294363425</v>
      </c>
      <c r="I125" s="177">
        <f t="shared" si="49"/>
        <v>6.2242507859248137</v>
      </c>
      <c r="J125" s="177">
        <f t="shared" si="49"/>
        <v>8.3579251958482299</v>
      </c>
      <c r="K125" s="177">
        <f t="shared" si="49"/>
        <v>7.4492528090639851</v>
      </c>
      <c r="L125" s="177">
        <f t="shared" si="49"/>
        <v>5.1574135809631212</v>
      </c>
      <c r="M125" s="177">
        <f t="shared" si="49"/>
        <v>6.2769723919839731</v>
      </c>
      <c r="N125" s="177">
        <f t="shared" si="49"/>
        <v>5.5481737199897916</v>
      </c>
      <c r="O125" s="177">
        <f t="shared" si="49"/>
        <v>5.6008953260489411</v>
      </c>
      <c r="P125" s="177" t="str">
        <f t="shared" si="49"/>
        <v/>
      </c>
      <c r="Q125" s="177" t="str">
        <f t="shared" si="49"/>
        <v/>
      </c>
    </row>
    <row r="126" spans="1:17" ht="15.75" customHeight="1">
      <c r="A126" s="10"/>
      <c r="B126" s="27" t="s">
        <v>264</v>
      </c>
      <c r="C126" s="77">
        <f>C19*Exchange_Rate*$C$3/(Market_Price*Common_Shares)</f>
        <v>9.0679381616786861E-2</v>
      </c>
      <c r="D126" s="27"/>
      <c r="E126" s="265"/>
      <c r="F126" s="27"/>
      <c r="G126" s="77">
        <f t="shared" ref="G126" si="50">IF(G$4="","",G125/Market_Price)</f>
        <v>0.10559655714370439</v>
      </c>
      <c r="H126" s="77">
        <f t="shared" ref="H126" si="51">IF(H$4="","",H125/Market_Price)</f>
        <v>9.5126793340773105E-2</v>
      </c>
      <c r="I126" s="77">
        <f t="shared" ref="I126" si="52">IF(I$4="","",I125/Market_Price)</f>
        <v>0.10612533309334721</v>
      </c>
      <c r="J126" s="77">
        <f t="shared" ref="J126" si="53">IF(J$4="","",J125/Market_Price)</f>
        <v>0.14250511842878483</v>
      </c>
      <c r="K126" s="77">
        <f t="shared" ref="K126" si="54">IF(K$4="","",K125/Market_Price)</f>
        <v>0.12701198310424527</v>
      </c>
      <c r="L126" s="77">
        <f t="shared" ref="L126" si="55">IF(L$4="","",L125/Market_Price)</f>
        <v>8.7935440425628661E-2</v>
      </c>
      <c r="M126" s="77">
        <f t="shared" ref="M126" si="56">IF(M$4="","",M125/Market_Price)</f>
        <v>0.10702425220774038</v>
      </c>
      <c r="N126" s="77">
        <f t="shared" ref="N126" si="57">IF(N$4="","",N125/Market_Price)</f>
        <v>9.4598017391130287E-2</v>
      </c>
      <c r="O126" s="77">
        <f t="shared" ref="O126" si="58">IF(O$4="","",O125/Market_Price)</f>
        <v>9.5496936505523294E-2</v>
      </c>
      <c r="P126" s="77" t="str">
        <f t="shared" ref="P126" si="59">IF(P$4="","",P125/Market_Price)</f>
        <v/>
      </c>
      <c r="Q126" s="77" t="str">
        <f t="shared" ref="Q126" si="60">IF(Q$4="","",Q125/Market_Price)</f>
        <v/>
      </c>
    </row>
    <row r="127" spans="1:17" ht="15.75" customHeight="1">
      <c r="B127" s="2" t="s">
        <v>375</v>
      </c>
      <c r="C127" s="169"/>
      <c r="G127" s="23">
        <f>IF(G$4="","",(Data!C47*$C$3)/(Market_Price*Common_Shares))</f>
        <v>1.122274679098572E-2</v>
      </c>
      <c r="H127" s="23">
        <f>IF(H$4="","",(Data!D47*$C$3)/(Market_Price*Common_Shares))</f>
        <v>1.005062317656104E-2</v>
      </c>
      <c r="I127" s="23">
        <f>IF(I$4="","",(Data!E47*$C$3)/(Market_Price*Common_Shares))</f>
        <v>1.1633663690295521E-2</v>
      </c>
      <c r="J127" s="23">
        <f>IF(J$4="","",(Data!F47*$C$3)/(Market_Price*Common_Shares))</f>
        <v>1.5554215090267724E-2</v>
      </c>
      <c r="K127" s="23">
        <f>IF(K$4="","",(Data!G47*$C$3)/(Market_Price*Common_Shares))</f>
        <v>1.2846205360390016E-2</v>
      </c>
      <c r="L127" s="23">
        <f>IF(L$4="","",(Data!H47*$C$3)/(Market_Price*Common_Shares))</f>
        <v>1.1539354893732616E-2</v>
      </c>
      <c r="M127" s="23">
        <f>IF(M$4="","",(Data!I47*$C$3)/(Market_Price*Common_Shares))</f>
        <v>1.3897074807805247E-2</v>
      </c>
      <c r="N127" s="23">
        <f>IF(N$4="","",(Data!J47*$C$3)/(Market_Price*Common_Shares))</f>
        <v>1.2058053274828595E-2</v>
      </c>
      <c r="O127" s="23">
        <f>IF(O$4="","",(Data!K47*$C$3)/(Market_Price*Common_Shares))</f>
        <v>1.221972549750786E-2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-130.10810139622959</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2001.5049947723433</v>
      </c>
      <c r="D10" t="str">
        <f>Reporting_currency</f>
        <v>USD</v>
      </c>
      <c r="H10" s="120"/>
    </row>
    <row r="11" spans="2:8" ht="13.15" thickBot="1">
      <c r="B11" s="207" t="s">
        <v>162</v>
      </c>
      <c r="C11" s="208">
        <f>Exchange_Rate</f>
        <v>7.8495999999999997</v>
      </c>
      <c r="D11" t="str">
        <f>Thesis!C15</f>
        <v>USD/HKD</v>
      </c>
      <c r="H11" s="120"/>
    </row>
    <row r="12" spans="2:8" ht="13.5" thickTop="1">
      <c r="B12" s="149" t="s">
        <v>99</v>
      </c>
      <c r="C12" s="111">
        <f>(C10*scaling_factor)/Common_Shares*Exchange_Rate</f>
        <v>62.07209285871555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70.224465474250877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62.07209285871555</v>
      </c>
      <c r="C65" s="124">
        <f>C12</f>
        <v>62.07209285871555</v>
      </c>
      <c r="D65" s="124">
        <f>C12</f>
        <v>62.07209285871555</v>
      </c>
      <c r="E65" s="141">
        <f>C12</f>
        <v>62.07209285871555</v>
      </c>
      <c r="F65" s="124">
        <f>C12</f>
        <v>62.07209285871555</v>
      </c>
      <c r="H65" s="120"/>
    </row>
    <row r="66" spans="1:8" ht="13.15">
      <c r="A66" s="143">
        <f t="shared" ref="A66:A71" si="3">A56</f>
        <v>5</v>
      </c>
      <c r="B66" s="124">
        <f t="shared" ref="B66:F71" si="4">(B56-$C$7+$C$8+$C$9)/Common_Shares*$C$3*Exchange_Rate</f>
        <v>62.07209285871555</v>
      </c>
      <c r="C66" s="124">
        <f t="shared" si="4"/>
        <v>63.188397143878547</v>
      </c>
      <c r="D66" s="124">
        <f t="shared" si="4"/>
        <v>65.46942849492271</v>
      </c>
      <c r="E66" s="124">
        <f t="shared" si="4"/>
        <v>67.817395670338342</v>
      </c>
      <c r="F66" s="124">
        <f t="shared" si="4"/>
        <v>71.471272243359593</v>
      </c>
      <c r="H66" s="120"/>
    </row>
    <row r="67" spans="1:8" ht="13.15">
      <c r="A67" s="143">
        <f t="shared" si="3"/>
        <v>10</v>
      </c>
      <c r="B67" s="124">
        <f t="shared" si="4"/>
        <v>62.072092858715564</v>
      </c>
      <c r="C67" s="124">
        <f t="shared" si="4"/>
        <v>64.25868931378524</v>
      </c>
      <c r="D67" s="124">
        <f t="shared" si="4"/>
        <v>68.953793296081486</v>
      </c>
      <c r="E67" s="124">
        <f t="shared" si="4"/>
        <v>74.120968850950646</v>
      </c>
      <c r="F67" s="124">
        <f t="shared" si="4"/>
        <v>82.882120799251439</v>
      </c>
      <c r="H67" s="120"/>
    </row>
    <row r="68" spans="1:8" ht="13.15">
      <c r="A68" s="143">
        <f t="shared" si="3"/>
        <v>15</v>
      </c>
      <c r="B68" s="124">
        <f t="shared" si="4"/>
        <v>62.072092858715578</v>
      </c>
      <c r="C68" s="124">
        <f t="shared" si="4"/>
        <v>65.580116141566506</v>
      </c>
      <c r="D68" s="124">
        <f t="shared" si="4"/>
        <v>73.480151601331045</v>
      </c>
      <c r="E68" s="124">
        <f t="shared" si="4"/>
        <v>82.753509545483894</v>
      </c>
      <c r="F68" s="124">
        <f t="shared" si="4"/>
        <v>99.852646211319808</v>
      </c>
      <c r="H68" s="120"/>
    </row>
    <row r="69" spans="1:8" ht="13.15">
      <c r="A69" s="144">
        <f t="shared" si="3"/>
        <v>20</v>
      </c>
      <c r="B69" s="124">
        <f t="shared" si="4"/>
        <v>62.072092858715564</v>
      </c>
      <c r="C69" s="124">
        <f t="shared" si="4"/>
        <v>66.922182190736805</v>
      </c>
      <c r="D69" s="124">
        <f t="shared" si="4"/>
        <v>78.328210358323361</v>
      </c>
      <c r="E69" s="124">
        <f t="shared" si="4"/>
        <v>92.537501324771426</v>
      </c>
      <c r="F69" s="124">
        <f t="shared" si="4"/>
        <v>120.90759204370471</v>
      </c>
      <c r="H69" s="120"/>
    </row>
    <row r="70" spans="1:8" ht="13.15">
      <c r="A70" s="144">
        <f t="shared" si="3"/>
        <v>25</v>
      </c>
      <c r="B70" s="124">
        <f t="shared" si="4"/>
        <v>62.072092858715564</v>
      </c>
      <c r="C70" s="124">
        <f t="shared" si="4"/>
        <v>68.165669902505513</v>
      </c>
      <c r="D70" s="124">
        <f t="shared" si="4"/>
        <v>83.074033273714534</v>
      </c>
      <c r="E70" s="124">
        <f t="shared" si="4"/>
        <v>102.70499268860101</v>
      </c>
      <c r="F70" s="124">
        <f t="shared" si="4"/>
        <v>145.02432682455125</v>
      </c>
    </row>
    <row r="71" spans="1:8" ht="13.15">
      <c r="A71" s="144">
        <f t="shared" si="3"/>
        <v>30</v>
      </c>
      <c r="B71" s="124">
        <f t="shared" si="4"/>
        <v>62.072092858715564</v>
      </c>
      <c r="C71" s="124">
        <f t="shared" si="4"/>
        <v>69.257798954417893</v>
      </c>
      <c r="D71" s="124">
        <f t="shared" si="4"/>
        <v>87.485139512131013</v>
      </c>
      <c r="E71" s="124">
        <f t="shared" si="4"/>
        <v>112.76751777327554</v>
      </c>
      <c r="F71" s="124">
        <f t="shared" si="4"/>
        <v>171.49561559608958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99.852646211319808</v>
      </c>
      <c r="F74" s="142">
        <f>Scenarios!C58</f>
        <v>0.05</v>
      </c>
    </row>
    <row r="75" spans="1:8">
      <c r="B75" s="127" t="str">
        <f>Scenarios!B36</f>
        <v>Optimistic</v>
      </c>
      <c r="C75" s="142">
        <f>Scenarios!C38</f>
        <v>0.05</v>
      </c>
      <c r="D75" s="145">
        <f>Scenarios!C37</f>
        <v>10</v>
      </c>
      <c r="E75" s="135">
        <f>INDEX(B$65:F$71, MATCH(D75, A$65:A$71, 0), MATCH(C75, B$64:F$64, 0))</f>
        <v>74.120968850950646</v>
      </c>
      <c r="F75" s="142">
        <f>Scenarios!C40*(1-F$74-F$78)</f>
        <v>0.18</v>
      </c>
      <c r="H75" s="120"/>
    </row>
    <row r="76" spans="1:8">
      <c r="B76" s="127" t="str">
        <f>Scenarios!B24</f>
        <v>Base</v>
      </c>
      <c r="C76" s="142">
        <f>Scenarios!C26</f>
        <v>0.03</v>
      </c>
      <c r="D76" s="145">
        <f>Scenarios!C25</f>
        <v>10</v>
      </c>
      <c r="E76" s="135">
        <f>INDEX(B$65:F$71, MATCH(D76, A$65:A$71, 0), MATCH(C76, B$64:F$64, 0))</f>
        <v>68.953793296081486</v>
      </c>
      <c r="F76" s="142">
        <f>Scenarios!C28*(1-F$74-F$78)</f>
        <v>0.53999999999999992</v>
      </c>
      <c r="H76" s="120"/>
    </row>
    <row r="77" spans="1:8">
      <c r="B77" s="127" t="str">
        <f>Scenarios!B30</f>
        <v>Pessimistic</v>
      </c>
      <c r="C77" s="142">
        <f>Scenarios!C32</f>
        <v>0.01</v>
      </c>
      <c r="D77" s="145">
        <f>Scenarios!C31</f>
        <v>10</v>
      </c>
      <c r="E77" s="135">
        <f>INDEX(B$65:F$71, MATCH(D77, A$65:A$71, 0), MATCH(C77, B$64:F$64, 0))</f>
        <v>64.25868931378524</v>
      </c>
      <c r="F77" s="142">
        <f>Scenarios!C34*(1-F$74-F$78)</f>
        <v>0.18</v>
      </c>
      <c r="H77" s="120"/>
    </row>
    <row r="78" spans="1:8">
      <c r="B78" s="127" t="str">
        <f>Scenarios!B48</f>
        <v>Devil's advocate</v>
      </c>
      <c r="C78" s="142">
        <f>Scenarios!C50</f>
        <v>0</v>
      </c>
      <c r="D78" s="145">
        <f>Scenarios!C49</f>
        <v>15</v>
      </c>
      <c r="E78" s="135">
        <f>INDEX(B$65:F$71, MATCH(D78, A$65:A$71, 0), MATCH(C78, B$64:F$64, 0))</f>
        <v>62.072092858715578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1291.4235427579201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17218.980570105603</v>
      </c>
      <c r="D6" t="str">
        <f>Reporting_currency</f>
        <v>USD</v>
      </c>
      <c r="E6" s="378"/>
      <c r="F6" s="378"/>
      <c r="H6" s="120"/>
    </row>
    <row r="7" spans="2:8" ht="13.15">
      <c r="B7" s="149" t="s">
        <v>420</v>
      </c>
      <c r="C7" s="111">
        <f>(C6*scaling_factor)/Common_Shares*Exchange_Rate</f>
        <v>534.00724138666669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75.850975663959929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1336.7526329087746</v>
      </c>
      <c r="D16" s="138">
        <f>IF($C$12&lt;B16,0,DDM!$C$11)</f>
        <v>3.5100095863245001E-2</v>
      </c>
      <c r="E16" s="124">
        <f t="shared" ref="E16:E45" si="0">IF($C$12&lt;B16,0,1/(1+Equity_Cost)^B16)</f>
        <v>0.93023255813953487</v>
      </c>
      <c r="F16" s="125">
        <f t="shared" ref="F16:F46" si="1">C16*E16</f>
        <v>1243.4908213104879</v>
      </c>
      <c r="H16" s="120"/>
    </row>
    <row r="17" spans="2:8">
      <c r="B17" s="122">
        <v>2</v>
      </c>
      <c r="C17" s="123">
        <f t="shared" ref="C17:C45" si="2">IF(ROW()-ROW($C$16)&lt;$C$12, $C$16*(1+D17)^(ROW()-ROW($C$16)), 0)</f>
        <v>1383.6727784693178</v>
      </c>
      <c r="D17" s="138">
        <f>IF($C$12&lt;B17,0,DDM!$C$11)</f>
        <v>3.5100095863245001E-2</v>
      </c>
      <c r="E17" s="124">
        <f t="shared" si="0"/>
        <v>0.86533261222282321</v>
      </c>
      <c r="F17" s="125">
        <f t="shared" si="1"/>
        <v>1197.3371798544665</v>
      </c>
      <c r="H17" s="120"/>
    </row>
    <row r="18" spans="2:8">
      <c r="B18" s="122">
        <v>3</v>
      </c>
      <c r="C18" s="123">
        <f t="shared" si="2"/>
        <v>1432.2398256369534</v>
      </c>
      <c r="D18" s="138">
        <f>IF($C$12&lt;B18,0,DDM!$C$11)</f>
        <v>3.5100095863245001E-2</v>
      </c>
      <c r="E18" s="124">
        <f t="shared" si="0"/>
        <v>0.80496056950960304</v>
      </c>
      <c r="F18" s="125">
        <f t="shared" si="1"/>
        <v>1152.8965857190565</v>
      </c>
      <c r="H18" s="120"/>
    </row>
    <row r="19" spans="2:8">
      <c r="B19" s="122">
        <v>4</v>
      </c>
      <c r="C19" s="123">
        <f t="shared" si="2"/>
        <v>1482.5115808159676</v>
      </c>
      <c r="D19" s="138">
        <f>IF($C$12&lt;B19,0,DDM!$C$11)</f>
        <v>3.5100095863245001E-2</v>
      </c>
      <c r="E19" s="124">
        <f t="shared" si="0"/>
        <v>0.7488005297763749</v>
      </c>
      <c r="F19" s="125">
        <f t="shared" si="1"/>
        <v>1110.1054571146076</v>
      </c>
      <c r="H19" s="120"/>
    </row>
    <row r="20" spans="2:8">
      <c r="B20" s="122">
        <v>5</v>
      </c>
      <c r="C20" s="123">
        <f t="shared" si="2"/>
        <v>1534.5478794209789</v>
      </c>
      <c r="D20" s="138">
        <f>IF($C$12&lt;B20,0,DDM!$C$11)</f>
        <v>3.5100095863245001E-2</v>
      </c>
      <c r="E20" s="124">
        <f t="shared" si="0"/>
        <v>0.69655863235011617</v>
      </c>
      <c r="F20" s="125">
        <f t="shared" si="1"/>
        <v>1068.9025721652481</v>
      </c>
      <c r="H20" s="120"/>
    </row>
    <row r="21" spans="2:8">
      <c r="B21" s="122">
        <v>6</v>
      </c>
      <c r="C21" s="123">
        <f t="shared" si="2"/>
        <v>1588.4106570953948</v>
      </c>
      <c r="D21" s="138">
        <f>IF($C$12&lt;B21,0,DDM!$C$11)</f>
        <v>3.5100095863245001E-2</v>
      </c>
      <c r="E21" s="124">
        <f t="shared" si="0"/>
        <v>0.64796151846522443</v>
      </c>
      <c r="F21" s="125">
        <f t="shared" si="1"/>
        <v>1029.2289813178768</v>
      </c>
      <c r="H21" s="120"/>
    </row>
    <row r="22" spans="2:8">
      <c r="B22" s="122">
        <v>7</v>
      </c>
      <c r="C22" s="123">
        <f t="shared" si="2"/>
        <v>1644.1640234296428</v>
      </c>
      <c r="D22" s="138">
        <f>IF($C$12&lt;B22,0,DDM!$C$11)</f>
        <v>3.5100095863245001E-2</v>
      </c>
      <c r="E22" s="124">
        <f t="shared" si="0"/>
        <v>0.60275490089788319</v>
      </c>
      <c r="F22" s="125">
        <f t="shared" si="1"/>
        <v>991.02792300219926</v>
      </c>
      <c r="H22" s="120"/>
    </row>
    <row r="23" spans="2:8">
      <c r="B23" s="122">
        <v>8</v>
      </c>
      <c r="C23" s="123">
        <f t="shared" si="2"/>
        <v>1701.874338266922</v>
      </c>
      <c r="D23" s="138">
        <f>IF($C$12&lt;B23,0,DDM!$C$11)</f>
        <v>3.5100095863245001E-2</v>
      </c>
      <c r="E23" s="124">
        <f t="shared" si="0"/>
        <v>0.56070223339337966</v>
      </c>
      <c r="F23" s="125">
        <f t="shared" si="1"/>
        <v>954.2447424211432</v>
      </c>
      <c r="H23" s="120"/>
    </row>
    <row r="24" spans="2:8">
      <c r="B24" s="122">
        <v>9</v>
      </c>
      <c r="C24" s="123">
        <f t="shared" si="2"/>
        <v>1761.6102906872877</v>
      </c>
      <c r="D24" s="138">
        <f>IF($C$12&lt;B24,0,DDM!$C$11)</f>
        <v>3.5100095863245001E-2</v>
      </c>
      <c r="E24" s="124">
        <f t="shared" si="0"/>
        <v>0.52158347292407414</v>
      </c>
      <c r="F24" s="125">
        <f t="shared" si="1"/>
        <v>918.82681335546329</v>
      </c>
      <c r="H24" s="120"/>
    </row>
    <row r="25" spans="2:8">
      <c r="B25" s="122">
        <v>10</v>
      </c>
      <c r="C25" s="123">
        <f t="shared" si="2"/>
        <v>1823.4429807640906</v>
      </c>
      <c r="D25" s="138">
        <f>IF($C$12&lt;B25,0,DDM!$C$11)</f>
        <v>3.5100095863245001E-2</v>
      </c>
      <c r="E25" s="124">
        <f t="shared" si="0"/>
        <v>0.48519392830146441</v>
      </c>
      <c r="F25" s="125">
        <f t="shared" si="1"/>
        <v>884.72346287066068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17823.368438783662</v>
      </c>
      <c r="D46" s="139">
        <f>Terminal_Growth</f>
        <v>0</v>
      </c>
      <c r="E46" s="124">
        <f>1/(1+Equity_Cost)^C12</f>
        <v>0.48519392830146441</v>
      </c>
      <c r="F46" s="125">
        <f t="shared" si="1"/>
        <v>8647.7901483777841</v>
      </c>
      <c r="H46" s="120"/>
    </row>
    <row r="47" spans="2:8">
      <c r="C47" s="114"/>
      <c r="E47" s="127" t="s">
        <v>97</v>
      </c>
      <c r="F47" s="137">
        <f>SUM(F16:F46)</f>
        <v>19198.574687508997</v>
      </c>
      <c r="H47" s="120"/>
    </row>
    <row r="48" spans="2:8">
      <c r="C48" s="114"/>
      <c r="H48" s="120"/>
    </row>
    <row r="49" spans="1:8" ht="13.15">
      <c r="B49" s="119" t="s">
        <v>125</v>
      </c>
      <c r="C49" s="136"/>
      <c r="D49" s="136"/>
      <c r="E49" s="117"/>
      <c r="F49" s="117"/>
      <c r="H49" s="120"/>
    </row>
    <row r="50" spans="1:8" ht="13.15">
      <c r="A50" s="133">
        <f>F47</f>
        <v>19198.574687508997</v>
      </c>
      <c r="B50" s="131">
        <f>C73</f>
        <v>0</v>
      </c>
      <c r="C50" s="131">
        <f>C72</f>
        <v>0.01</v>
      </c>
      <c r="D50" s="131">
        <f>C71</f>
        <v>0.03</v>
      </c>
      <c r="E50" s="131">
        <f>C70</f>
        <v>0.05</v>
      </c>
      <c r="F50" s="131">
        <f>C69</f>
        <v>0.08</v>
      </c>
      <c r="H50" s="120"/>
    </row>
    <row r="51" spans="1:8" ht="13.15">
      <c r="A51" s="143">
        <v>5</v>
      </c>
      <c r="B51" s="123">
        <f t="dataTable" ref="B51:F56" dt2D="1" dtr="1" r1="C11" r2="C12"/>
        <v>17218.980570105603</v>
      </c>
      <c r="C51" s="123">
        <v>17490.046369027717</v>
      </c>
      <c r="D51" s="123">
        <v>18043.936194369475</v>
      </c>
      <c r="E51" s="123">
        <v>18614.079663946868</v>
      </c>
      <c r="F51" s="123">
        <v>19501.329659842195</v>
      </c>
      <c r="H51" s="120"/>
    </row>
    <row r="52" spans="1:8" ht="13.15">
      <c r="A52" s="143">
        <v>10</v>
      </c>
      <c r="B52" s="123">
        <v>17218.980570105607</v>
      </c>
      <c r="C52" s="123">
        <v>17749.939308588975</v>
      </c>
      <c r="D52" s="123">
        <v>18890.024614091239</v>
      </c>
      <c r="E52" s="123">
        <v>20144.740365493126</v>
      </c>
      <c r="F52" s="123">
        <v>22272.160894025306</v>
      </c>
      <c r="H52" s="120"/>
    </row>
    <row r="53" spans="1:8" ht="13.15">
      <c r="A53" s="143">
        <v>15</v>
      </c>
      <c r="B53" s="123">
        <v>17218.980570105603</v>
      </c>
      <c r="C53" s="123">
        <v>18070.81384391995</v>
      </c>
      <c r="D53" s="123">
        <v>19989.134369852029</v>
      </c>
      <c r="E53" s="123">
        <v>22240.93095724532</v>
      </c>
      <c r="F53" s="123">
        <v>26393.016730638614</v>
      </c>
      <c r="H53" s="120"/>
    </row>
    <row r="54" spans="1:8" ht="13.15">
      <c r="A54" s="144">
        <v>20</v>
      </c>
      <c r="B54" s="123">
        <v>17218.980570105607</v>
      </c>
      <c r="C54" s="123">
        <v>18396.700083594711</v>
      </c>
      <c r="D54" s="123">
        <v>21166.360810395166</v>
      </c>
      <c r="E54" s="123">
        <v>24616.7218446849</v>
      </c>
      <c r="F54" s="123">
        <v>31505.669068512536</v>
      </c>
      <c r="H54" s="120"/>
    </row>
    <row r="55" spans="1:8" ht="13.15">
      <c r="A55" s="144">
        <v>25</v>
      </c>
      <c r="B55" s="123">
        <v>17218.980570105603</v>
      </c>
      <c r="C55" s="123">
        <v>18698.649108175585</v>
      </c>
      <c r="D55" s="123">
        <v>22318.761904972664</v>
      </c>
      <c r="E55" s="123">
        <v>27085.635747642587</v>
      </c>
      <c r="F55" s="123">
        <v>37361.798143398613</v>
      </c>
      <c r="H55" s="120"/>
    </row>
    <row r="56" spans="1:8" ht="13.15">
      <c r="A56" s="144">
        <v>30</v>
      </c>
      <c r="B56" s="123">
        <v>17218.980570105603</v>
      </c>
      <c r="C56" s="123">
        <v>18963.844573173243</v>
      </c>
      <c r="D56" s="123">
        <v>23389.885659077136</v>
      </c>
      <c r="E56" s="123">
        <v>29529.06128806579</v>
      </c>
      <c r="F56" s="123">
        <v>43789.670126625235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534.00724138666669</v>
      </c>
      <c r="C60" s="124">
        <f>C7</f>
        <v>534.00724138666669</v>
      </c>
      <c r="D60" s="124">
        <f>C7</f>
        <v>534.00724138666669</v>
      </c>
      <c r="E60" s="141">
        <f>C7</f>
        <v>534.00724138666669</v>
      </c>
      <c r="F60" s="124">
        <f>C7</f>
        <v>534.00724138666669</v>
      </c>
      <c r="H60" s="120"/>
    </row>
    <row r="61" spans="1:8" ht="13.15">
      <c r="A61" s="143">
        <f t="shared" ref="A61:A66" si="3">A51</f>
        <v>5</v>
      </c>
      <c r="B61" s="124">
        <f t="shared" ref="B61:F66" si="4">B51/Common_Shares*$C$3*Exchange_Rate</f>
        <v>534.00724138666669</v>
      </c>
      <c r="C61" s="124">
        <f t="shared" si="4"/>
        <v>542.41372624953829</v>
      </c>
      <c r="D61" s="124">
        <f t="shared" si="4"/>
        <v>559.59135046826873</v>
      </c>
      <c r="E61" s="124">
        <f t="shared" si="4"/>
        <v>577.27304423312671</v>
      </c>
      <c r="F61" s="124">
        <f t="shared" si="4"/>
        <v>604.78907056229093</v>
      </c>
      <c r="H61" s="120"/>
    </row>
    <row r="62" spans="1:8" ht="13.15">
      <c r="A62" s="143">
        <f t="shared" si="3"/>
        <v>10</v>
      </c>
      <c r="B62" s="124">
        <f t="shared" si="4"/>
        <v>534.00724138666681</v>
      </c>
      <c r="C62" s="124">
        <f t="shared" si="4"/>
        <v>550.47371047136426</v>
      </c>
      <c r="D62" s="124">
        <f t="shared" si="4"/>
        <v>585.83084479519982</v>
      </c>
      <c r="E62" s="124">
        <f t="shared" si="4"/>
        <v>624.74297983145027</v>
      </c>
      <c r="F62" s="124">
        <f t="shared" si="4"/>
        <v>690.72005455346823</v>
      </c>
      <c r="H62" s="120"/>
    </row>
    <row r="63" spans="1:8" ht="13.15">
      <c r="A63" s="143">
        <f t="shared" si="3"/>
        <v>15</v>
      </c>
      <c r="B63" s="124">
        <f t="shared" si="4"/>
        <v>534.00724138666669</v>
      </c>
      <c r="C63" s="124">
        <f t="shared" si="4"/>
        <v>560.42489920438413</v>
      </c>
      <c r="D63" s="124">
        <f t="shared" si="4"/>
        <v>619.91721630048994</v>
      </c>
      <c r="E63" s="124">
        <f t="shared" si="4"/>
        <v>689.75152959807599</v>
      </c>
      <c r="F63" s="124">
        <f t="shared" si="4"/>
        <v>818.51895928552244</v>
      </c>
      <c r="H63" s="120"/>
    </row>
    <row r="64" spans="1:8" ht="13.15">
      <c r="A64" s="144">
        <f t="shared" si="3"/>
        <v>20</v>
      </c>
      <c r="B64" s="124">
        <f t="shared" si="4"/>
        <v>534.00724138666681</v>
      </c>
      <c r="C64" s="124">
        <f t="shared" si="4"/>
        <v>570.53151446804986</v>
      </c>
      <c r="D64" s="124">
        <f t="shared" si="4"/>
        <v>656.42619785386364</v>
      </c>
      <c r="E64" s="124">
        <f t="shared" si="4"/>
        <v>763.43124209602729</v>
      </c>
      <c r="F64" s="124">
        <f t="shared" si="4"/>
        <v>977.07616074128771</v>
      </c>
      <c r="H64" s="120"/>
    </row>
    <row r="65" spans="1:8" ht="13.15">
      <c r="A65" s="144">
        <f t="shared" si="3"/>
        <v>25</v>
      </c>
      <c r="B65" s="124">
        <f t="shared" si="4"/>
        <v>534.00724138666669</v>
      </c>
      <c r="C65" s="124">
        <f t="shared" si="4"/>
        <v>579.895771835049</v>
      </c>
      <c r="D65" s="124">
        <f t="shared" si="4"/>
        <v>692.16527816589462</v>
      </c>
      <c r="E65" s="124">
        <f t="shared" si="4"/>
        <v>839.99895161702921</v>
      </c>
      <c r="F65" s="124">
        <f t="shared" si="4"/>
        <v>1158.6905902222886</v>
      </c>
    </row>
    <row r="66" spans="1:8" ht="13.15">
      <c r="A66" s="144">
        <f t="shared" si="3"/>
        <v>30</v>
      </c>
      <c r="B66" s="124">
        <f t="shared" si="4"/>
        <v>534.00724138666669</v>
      </c>
      <c r="C66" s="124">
        <f t="shared" si="4"/>
        <v>588.12020173756696</v>
      </c>
      <c r="D66" s="124">
        <f t="shared" si="4"/>
        <v>725.3837279332464</v>
      </c>
      <c r="E66" s="124">
        <f t="shared" si="4"/>
        <v>915.77619795648081</v>
      </c>
      <c r="F66" s="124">
        <f t="shared" si="4"/>
        <v>1358.0363163977865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818.51895928552244</v>
      </c>
      <c r="F69" s="142">
        <f>Scenarios!C58</f>
        <v>0.05</v>
      </c>
    </row>
    <row r="70" spans="1:8">
      <c r="B70" s="127" t="str">
        <f>Scenarios!B36</f>
        <v>Optimistic</v>
      </c>
      <c r="C70" s="142">
        <f>Scenarios!C38</f>
        <v>0.05</v>
      </c>
      <c r="D70" s="145">
        <f>Scenarios!C37</f>
        <v>10</v>
      </c>
      <c r="E70" s="135">
        <f>INDEX(B$60:F$66, MATCH(D70, A$60:A$66, 0), MATCH(C70, B$59:F$59, 0))</f>
        <v>624.74297983145027</v>
      </c>
      <c r="F70" s="142">
        <f>Scenarios!C40*(1-F$69-F$73)</f>
        <v>0.18</v>
      </c>
      <c r="H70" s="120"/>
    </row>
    <row r="71" spans="1:8">
      <c r="B71" s="127" t="str">
        <f>Scenarios!B24</f>
        <v>Base</v>
      </c>
      <c r="C71" s="142">
        <f>Scenarios!C26</f>
        <v>0.03</v>
      </c>
      <c r="D71" s="145">
        <f>Scenarios!C25</f>
        <v>10</v>
      </c>
      <c r="E71" s="135">
        <f>INDEX(B$60:F$66, MATCH(D71, A$60:A$66, 0), MATCH(C71, B$59:F$59, 0))</f>
        <v>585.83084479519982</v>
      </c>
      <c r="F71" s="142">
        <f>Scenarios!C28*(1-F$69-F$73)</f>
        <v>0.53999999999999992</v>
      </c>
      <c r="H71" s="120"/>
    </row>
    <row r="72" spans="1:8">
      <c r="B72" s="127" t="str">
        <f>Scenarios!B30</f>
        <v>Pessimistic</v>
      </c>
      <c r="C72" s="142">
        <f>Scenarios!C32</f>
        <v>0.01</v>
      </c>
      <c r="D72" s="145">
        <f>Scenarios!C31</f>
        <v>10</v>
      </c>
      <c r="E72" s="135">
        <f>INDEX(B$60:F$66, MATCH(D72, A$60:A$66, 0), MATCH(C72, B$59:F$59, 0))</f>
        <v>550.47371047136426</v>
      </c>
      <c r="F72" s="142">
        <f>Scenarios!C34*(1-F$69-F$73)</f>
        <v>0.18</v>
      </c>
      <c r="H72" s="120"/>
    </row>
    <row r="73" spans="1:8">
      <c r="B73" s="127" t="str">
        <f>Scenarios!B48</f>
        <v>Devil's advocate</v>
      </c>
      <c r="C73" s="142">
        <f>Scenarios!C50</f>
        <v>0</v>
      </c>
      <c r="D73" s="145">
        <f>Scenarios!C49</f>
        <v>15</v>
      </c>
      <c r="E73" s="135">
        <f>INDEX(B$60:F$66, MATCH(D73, A$60:A$66, 0), MATCH(C73, B$59:F$59, 0))</f>
        <v>534.00724138666669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-58.65</v>
      </c>
    </row>
    <row r="4" spans="2:9">
      <c r="B4" s="152" t="s">
        <v>142</v>
      </c>
      <c r="C4" s="120">
        <v>3</v>
      </c>
      <c r="D4" s="120"/>
      <c r="E4" s="155" t="s">
        <v>146</v>
      </c>
      <c r="F4" s="155"/>
      <c r="H4" s="247">
        <v>1</v>
      </c>
      <c r="I4" s="124">
        <f t="shared" ref="I4:I13" si="0">IF(ROW()-3 &lt; $C$76, $C$77, IF(ROW()-3 = $C$76, $C$77 + $C$60, ""))</f>
        <v>5.1022400000000001</v>
      </c>
    </row>
    <row r="5" spans="2:9">
      <c r="H5" s="247">
        <v>2</v>
      </c>
      <c r="I5" s="124">
        <f t="shared" si="0"/>
        <v>5.1022400000000001</v>
      </c>
    </row>
    <row r="6" spans="2:9" ht="13.15">
      <c r="B6" s="159" t="s">
        <v>92</v>
      </c>
      <c r="C6" s="107">
        <f>DCF!C3</f>
        <v>1000000</v>
      </c>
      <c r="E6" s="100" t="s">
        <v>274</v>
      </c>
      <c r="F6" s="100"/>
      <c r="H6" s="247">
        <v>3</v>
      </c>
      <c r="I6" s="124">
        <f t="shared" si="0"/>
        <v>75.341863803038223</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58.65</v>
      </c>
      <c r="D21" t="str">
        <f>Market_currency</f>
        <v>HKD</v>
      </c>
      <c r="E21" s="381"/>
      <c r="F21" s="381"/>
    </row>
    <row r="22" spans="2:6">
      <c r="B22" s="100" t="s">
        <v>273</v>
      </c>
      <c r="C22" s="160">
        <f>IF(valuation_method="DCF",DCF!C12,DDM!C7)</f>
        <v>62.07209285871555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68.953793296081486</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64.25868931378524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74.120968850950646</v>
      </c>
      <c r="D39" t="str">
        <f>Market_currency</f>
        <v>HKD</v>
      </c>
      <c r="E39" s="379"/>
      <c r="F39" s="379"/>
    </row>
    <row r="40" spans="2:6">
      <c r="B40" s="100" t="s">
        <v>143</v>
      </c>
      <c r="C40" s="167">
        <f>1-C28-C34</f>
        <v>0.2</v>
      </c>
      <c r="D40" s="165"/>
      <c r="E40" s="379"/>
      <c r="F40" s="379"/>
    </row>
    <row r="42" spans="2:6" ht="13.15">
      <c r="B42" s="100" t="s">
        <v>116</v>
      </c>
      <c r="C42" s="154">
        <f>C27*C28+C33*C34+C39*C40</f>
        <v>69.048207610596066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62.072092858715578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99.852646211319808</v>
      </c>
      <c r="D57" t="str">
        <f>Market_currency</f>
        <v>HKD</v>
      </c>
      <c r="E57" s="379"/>
      <c r="F57" s="379"/>
    </row>
    <row r="58" spans="2:6">
      <c r="B58" s="100" t="s">
        <v>143</v>
      </c>
      <c r="C58" s="165">
        <v>0.05</v>
      </c>
      <c r="D58" s="165"/>
      <c r="E58" s="379"/>
      <c r="F58" s="379"/>
    </row>
    <row r="60" spans="2:6" ht="13.15">
      <c r="B60" s="100" t="s">
        <v>116</v>
      </c>
      <c r="C60" s="154">
        <f>C51*C52+C57*C58+C42*(1-C52-C58)</f>
        <v>70.239623803038228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70.224465474250877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-0.12584326462792686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5.1022400000000001</v>
      </c>
      <c r="D77" t="str">
        <f>Market_currency</f>
        <v>HKD</v>
      </c>
    </row>
    <row r="79" spans="2:6" ht="13.15">
      <c r="B79" s="109" t="s">
        <v>296</v>
      </c>
    </row>
    <row r="80" spans="2:6">
      <c r="B80" s="148" t="s">
        <v>294</v>
      </c>
      <c r="C80" s="167">
        <f>Thesis!F29</f>
        <v>0.35</v>
      </c>
    </row>
    <row r="81" spans="2:8">
      <c r="B81" s="100" t="s">
        <v>117</v>
      </c>
      <c r="C81" s="116">
        <f>PV(C80, C76, -C77, 0)</f>
        <v>8.6527852055072909</v>
      </c>
      <c r="D81" s="116"/>
      <c r="E81" s="100"/>
      <c r="F81" s="100"/>
    </row>
    <row r="82" spans="2:8">
      <c r="B82" s="100" t="s">
        <v>118</v>
      </c>
      <c r="C82" s="116">
        <f>C60/(1+C80)^C76</f>
        <v>28.548340721653496</v>
      </c>
      <c r="D82" s="116"/>
    </row>
    <row r="83" spans="2:8" ht="13.15">
      <c r="B83" s="110" t="s">
        <v>98</v>
      </c>
      <c r="C83" s="111">
        <f>C81+C82</f>
        <v>37.201125927160788</v>
      </c>
      <c r="D83" t="str">
        <f>Market_currency</f>
        <v>HKD</v>
      </c>
      <c r="E83" s="146" t="s">
        <v>122</v>
      </c>
      <c r="F83" s="291">
        <f>(1-C83/C60)</f>
        <v>0.47036837737801718</v>
      </c>
    </row>
    <row r="84" spans="2:8">
      <c r="E84" s="120"/>
    </row>
    <row r="85" spans="2:8" ht="13.15">
      <c r="B85" s="109" t="s">
        <v>297</v>
      </c>
    </row>
    <row r="86" spans="2:8">
      <c r="B86" s="148" t="s">
        <v>295</v>
      </c>
      <c r="C86" s="116">
        <f>Market_Price</f>
        <v>58.65</v>
      </c>
      <c r="D86" t="str">
        <f>Market_currency</f>
        <v>HKD</v>
      </c>
    </row>
    <row r="87" spans="2:8" ht="13.15">
      <c r="B87" s="100" t="s">
        <v>293</v>
      </c>
      <c r="C87" s="237">
        <f ca="1">IRR(OFFSET($I$3, 0, 0, $C$76 + 1, 1))</f>
        <v>0.14421487673934386</v>
      </c>
    </row>
    <row r="88" spans="2:8">
      <c r="B88" s="100"/>
    </row>
    <row r="89" spans="2:8" ht="13.15">
      <c r="B89" s="109" t="s">
        <v>392</v>
      </c>
    </row>
    <row r="90" spans="2:8">
      <c r="B90" s="148" t="s">
        <v>393</v>
      </c>
      <c r="C90" s="167">
        <f>Thesis!F30</f>
        <v>0.25</v>
      </c>
    </row>
    <row r="91" spans="2:8">
      <c r="B91" s="100" t="s">
        <v>117</v>
      </c>
      <c r="C91" s="116">
        <f>PV(C90, C76, -C77, 0)</f>
        <v>9.9595724800000003</v>
      </c>
      <c r="D91" s="116"/>
      <c r="E91" s="100"/>
      <c r="F91" s="100"/>
    </row>
    <row r="92" spans="2:8">
      <c r="B92" s="100" t="s">
        <v>118</v>
      </c>
      <c r="C92" s="116">
        <f>C60/(1+C90)^C76</f>
        <v>35.962687387155576</v>
      </c>
      <c r="D92" s="116"/>
    </row>
    <row r="93" spans="2:8" ht="13.15">
      <c r="B93" s="110" t="s">
        <v>98</v>
      </c>
      <c r="C93" s="111">
        <f>C91+C92</f>
        <v>45.922259867155574</v>
      </c>
      <c r="D93" t="str">
        <f>Market_currency</f>
        <v>HKD</v>
      </c>
      <c r="E93" s="146" t="s">
        <v>122</v>
      </c>
      <c r="F93" s="291">
        <f>(1-C93/C60)</f>
        <v>0.34620578270851732</v>
      </c>
    </row>
    <row r="95" spans="2:8" ht="13.15">
      <c r="B95" s="109" t="s">
        <v>378</v>
      </c>
      <c r="G95" s="2"/>
      <c r="H95" s="281"/>
    </row>
    <row r="96" spans="2:8">
      <c r="B96" s="148" t="s">
        <v>383</v>
      </c>
      <c r="C96" s="134">
        <f>Thesis!F31</f>
        <v>7.4999999999999997E-2</v>
      </c>
      <c r="G96" s="2"/>
      <c r="H96" s="281"/>
    </row>
    <row r="97" spans="2:8">
      <c r="B97" s="100" t="s">
        <v>117</v>
      </c>
      <c r="C97" s="116">
        <f>PV(C96, C76, -C77, 0)</f>
        <v>13.268506451004308</v>
      </c>
      <c r="D97" s="116"/>
      <c r="G97" s="2"/>
      <c r="H97" s="281"/>
    </row>
    <row r="98" spans="2:8">
      <c r="B98" s="100" t="s">
        <v>118</v>
      </c>
      <c r="C98" s="116">
        <f>C60/(1+C96)^C76</f>
        <v>56.540127578633921</v>
      </c>
      <c r="D98" s="116"/>
      <c r="G98" s="2"/>
      <c r="H98" s="281"/>
    </row>
    <row r="99" spans="2:8" ht="13.15">
      <c r="B99" s="110" t="s">
        <v>379</v>
      </c>
      <c r="C99" s="111">
        <f>C97+C98</f>
        <v>69.808634029638228</v>
      </c>
      <c r="D99" t="s">
        <v>377</v>
      </c>
      <c r="E99" s="146" t="s">
        <v>122</v>
      </c>
      <c r="F99" s="291">
        <f>(1-C99/C60)</f>
        <v>6.1359920521293354E-3</v>
      </c>
    </row>
    <row r="100" spans="2:8">
      <c r="B100" s="100"/>
    </row>
    <row r="101" spans="2:8" ht="13.15">
      <c r="B101" s="109" t="s">
        <v>398</v>
      </c>
    </row>
    <row r="102" spans="2:8">
      <c r="B102" s="148" t="s">
        <v>397</v>
      </c>
      <c r="C102" s="134">
        <f>Thesis!F32</f>
        <v>0.1174</v>
      </c>
    </row>
    <row r="103" spans="2:8">
      <c r="B103" s="100" t="s">
        <v>117</v>
      </c>
      <c r="C103" s="116">
        <f>PV(C102, C76, -C77, 0)</f>
        <v>12.309680173289212</v>
      </c>
      <c r="D103" s="116"/>
    </row>
    <row r="104" spans="2:8">
      <c r="B104" s="100" t="s">
        <v>118</v>
      </c>
      <c r="C104" s="116">
        <f>C60/(1+C102)^C76</f>
        <v>50.344980362277568</v>
      </c>
      <c r="D104" s="116"/>
    </row>
    <row r="105" spans="2:8" ht="13.15">
      <c r="B105" s="110" t="s">
        <v>379</v>
      </c>
      <c r="C105" s="111">
        <f>C103+C104</f>
        <v>62.654660535566777</v>
      </c>
      <c r="D105" t="s">
        <v>377</v>
      </c>
      <c r="E105" s="146" t="s">
        <v>122</v>
      </c>
      <c r="F105" s="291">
        <f>(1-C105/C66)</f>
        <v>0.10779441164218917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