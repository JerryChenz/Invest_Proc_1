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E4B14F7-ADE7-5940-856A-538F11E6ADCA}"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<sst xmlns="http://schemas.openxmlformats.org/spreadsheetml/2006/main" count="685" uniqueCount="466">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</sst>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253109133</v>
      </c>
      <c r="E6" s="48"/>
    </row>
    <row r="7" spans="1:10" x14ac:dyDescent="0.15">
      <c r="B7" s="2" t="s">
        <v>307</v>
      </c>
      <c r="C7" s="250">
        <v>6</v>
      </c>
      <c r="D7" s="48"/>
      <c r="E7" s="48"/>
    </row>
    <row r="8" spans="1:10" x14ac:dyDescent="0.15">
      <c r="B8" s="1" t="s">
        <v>268</v>
      </c>
      <c r="C8" s="33">
        <f>EOMONTH(EDATE(BS!C1,C7+2),0)</f>
        <v>45808</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52.1</v>
      </c>
      <c r="D12" s="50"/>
      <c r="E12" s="48"/>
    </row>
    <row r="13" spans="1:10" x14ac:dyDescent="0.15">
      <c r="B13" s="1" t="s">
        <v>415</v>
      </c>
      <c r="C13" s="48" t="s">
        <v>396</v>
      </c>
      <c r="D13" s="48"/>
      <c r="E13" s="5"/>
    </row>
    <row r="14" spans="1:10" x14ac:dyDescent="0.15">
      <c r="B14" s="4" t="s">
        <v>419</v>
      </c>
      <c r="C14" s="35">
        <f>Thesis!C12*Common_Shares/1000000</f>
        <v>13186.985829300002</v>
      </c>
      <c r="D14" s="35" t="str">
        <f>IF(D11="","",Thesis!D12*Common_Shares/1000000)</f>
        <v/>
      </c>
      <c r="E14" s="5"/>
    </row>
    <row r="15" spans="1:10" x14ac:dyDescent="0.15">
      <c r="B15" s="4" t="s">
        <v>418</v>
      </c>
      <c r="C15" s="32" t="str">
        <f>IF(C25=C13,C13,C25&amp;"/"&amp;C13)</f>
        <v>USD/HKD</v>
      </c>
      <c r="D15" s="32" t="str">
        <f>IF(D11="","",IF(C25=D13,D13,C25&amp;"/"&amp;D13))</f>
        <v/>
      </c>
      <c r="E15" s="5"/>
    </row>
    <row r="16" spans="1:10" x14ac:dyDescent="0.15">
      <c r="B16" s="4" t="s">
        <v>1</v>
      </c>
      <c r="C16" s="50">
        <v>7.8395000000000001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438</v>
      </c>
      <c r="E21" s="308" t="s">
        <v>462</v>
      </c>
    </row>
    <row r="22" spans="2:6" x14ac:dyDescent="0.15">
      <c r="B22" s="2" t="s">
        <v>56</v>
      </c>
      <c r="C22" s="48" t="s">
        <v>459</v>
      </c>
      <c r="D22" s="1" t="str">
        <f>IF(valuation_method="DDM","DDM Terminal Value","")</f>
        <v/>
      </c>
      <c r="E22" s="313"/>
    </row>
    <row r="23" spans="2:6" x14ac:dyDescent="0.15">
      <c r="B23" s="1" t="s">
        <v>433</v>
      </c>
      <c r="C23" s="262" t="s">
        <v>460</v>
      </c>
    </row>
    <row r="24" spans="2:6" x14ac:dyDescent="0.15">
      <c r="B24" s="1" t="s">
        <v>434</v>
      </c>
      <c r="C24" s="262" t="s">
        <v>460</v>
      </c>
    </row>
    <row r="25" spans="2:6" x14ac:dyDescent="0.15">
      <c r="B25" s="4" t="s">
        <v>347</v>
      </c>
      <c r="C25" s="48" t="s">
        <v>461</v>
      </c>
      <c r="D25" s="32" t="str">
        <f>IF(D11="","",Market_currency&amp;"/"&amp;D13&amp;":")</f>
        <v/>
      </c>
      <c r="E25" s="299" t="str">
        <f>IF(D11="","",1/Exchange_Rate*D16)</f>
        <v/>
      </c>
    </row>
    <row r="26" spans="2:6" x14ac:dyDescent="0.15">
      <c r="B26" s="1" t="str">
        <f>"Expected Equity Value ("&amp;C13&amp;") :"</f>
        <v>Expected Equity Value (HKD) :</v>
      </c>
      <c r="C26" s="304">
        <f>C132</f>
        <v>70.15353605760022</v>
      </c>
      <c r="D26" s="1" t="s">
        <v>399</v>
      </c>
      <c r="E26" s="301">
        <f ca="1">Scenarios!C87</f>
        <v>0.19357620352359439</v>
      </c>
    </row>
    <row r="27" spans="2:6" x14ac:dyDescent="0.15">
      <c r="D27" s="5"/>
      <c r="E27" s="5"/>
    </row>
    <row r="28" spans="2:6" x14ac:dyDescent="0.15">
      <c r="B28" s="45" t="s">
        <v>432</v>
      </c>
      <c r="C28" s="309" t="str">
        <f>C145&amp;" ("&amp;Market_currency&amp;")"</f>
        <v>0303.HK (HKD)</v>
      </c>
      <c r="D28" s="309" t="str">
        <f>IF(D11="","",D145&amp;" ("&amp;D13&amp;")")</f>
        <v/>
      </c>
      <c r="E28" s="305" t="s">
        <v>428</v>
      </c>
      <c r="F28" s="303">
        <v>3</v>
      </c>
    </row>
    <row r="29" spans="2:6" x14ac:dyDescent="0.15">
      <c r="B29" s="1" t="s">
        <v>424</v>
      </c>
      <c r="C29" s="310">
        <f>C149</f>
        <v>35.88351117888422</v>
      </c>
      <c r="D29" s="310" t="str">
        <f>D149</f>
        <v/>
      </c>
      <c r="E29" s="306" t="s">
        <v>423</v>
      </c>
      <c r="F29" s="302">
        <v>0.3674</v>
      </c>
    </row>
    <row r="30" spans="2:6" x14ac:dyDescent="0.15">
      <c r="B30" s="1" t="s">
        <v>425</v>
      </c>
      <c r="C30" s="311">
        <f>C157</f>
        <v>49.330272744385745</v>
      </c>
      <c r="D30" s="311" t="str">
        <f>D157</f>
        <v/>
      </c>
      <c r="E30" s="307" t="s">
        <v>436</v>
      </c>
      <c r="F30" s="312">
        <v>0.21740000000000001</v>
      </c>
    </row>
    <row r="31" spans="2:6" x14ac:dyDescent="0.15">
      <c r="B31" s="1" t="s">
        <v>426</v>
      </c>
      <c r="C31" s="311">
        <f>C165</f>
        <v>69.722264337560404</v>
      </c>
      <c r="D31" s="311" t="str">
        <f>D165</f>
        <v/>
      </c>
      <c r="E31" s="307" t="s">
        <v>435</v>
      </c>
      <c r="F31" s="312">
        <v>7.4999999999999997E-2</v>
      </c>
    </row>
    <row r="32" spans="2:6" x14ac:dyDescent="0.15">
      <c r="B32" s="1" t="s">
        <v>427</v>
      </c>
      <c r="C32" s="311">
        <f>C173</f>
        <v>62.577117509791087</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210.2763260031652</v>
      </c>
      <c r="D41" s="1" t="str">
        <f>Reporting_currency</f>
        <v>USD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USD</v>
      </c>
    </row>
    <row r="45" spans="1:6" x14ac:dyDescent="0.15">
      <c r="B45" s="52" t="s">
        <v>235</v>
      </c>
      <c r="C45" s="349">
        <f>Normalized_FCF!C10</f>
        <v>0</v>
      </c>
      <c r="D45" s="1" t="str">
        <f>Reporting_currency</f>
        <v>USD</v>
      </c>
    </row>
    <row r="47" spans="1:6" x14ac:dyDescent="0.15">
      <c r="B47" s="357" t="s">
        <v>236</v>
      </c>
      <c r="C47" s="357"/>
      <c r="D47" s="357"/>
      <c r="E47" s="357"/>
      <c r="F47" s="357"/>
    </row>
    <row r="48" spans="1:6" x14ac:dyDescent="0.15">
      <c r="B48" s="47" t="s">
        <v>237</v>
      </c>
      <c r="C48" s="349">
        <f>Normalized_FCF!C11</f>
        <v>0</v>
      </c>
      <c r="D48" s="1" t="str">
        <f>Reporting_currency</f>
        <v>USD</v>
      </c>
    </row>
    <row r="50" spans="2:6" x14ac:dyDescent="0.15">
      <c r="B50" s="357" t="s">
        <v>240</v>
      </c>
      <c r="C50" s="357"/>
      <c r="D50" s="357"/>
      <c r="E50" s="357"/>
      <c r="F50" s="357"/>
    </row>
    <row r="51" spans="2:6" x14ac:dyDescent="0.15">
      <c r="B51" s="47" t="s">
        <v>340</v>
      </c>
      <c r="C51" s="350">
        <f>Normalized_FCF!C48</f>
        <v>0</v>
      </c>
      <c r="D51" s="1" t="str">
        <f>Reporting_currency</f>
        <v>USD</v>
      </c>
      <c r="E51" s="286"/>
      <c r="F51" s="286"/>
    </row>
    <row r="52" spans="2:6" x14ac:dyDescent="0.15">
      <c r="B52" s="47" t="s">
        <v>341</v>
      </c>
      <c r="C52" s="350">
        <f>Normalized_FCF!C47</f>
        <v>-4.9000000000000004</v>
      </c>
      <c r="D52" s="1" t="str">
        <f>Reporting_currency</f>
        <v>USD</v>
      </c>
      <c r="E52" s="286"/>
      <c r="F52" s="286"/>
    </row>
    <row r="53" spans="2:6" x14ac:dyDescent="0.15">
      <c r="B53" s="47" t="s">
        <v>238</v>
      </c>
      <c r="C53" s="349">
        <f>Normalized_FCF!C12</f>
        <v>-4.9000000000000004</v>
      </c>
      <c r="D53" s="1" t="str">
        <f>Reporting_currency</f>
        <v>USD</v>
      </c>
    </row>
    <row r="55" spans="2:6" x14ac:dyDescent="0.15">
      <c r="B55" s="1" t="s">
        <v>246</v>
      </c>
    </row>
    <row r="56" spans="2:6" x14ac:dyDescent="0.15">
      <c r="B56" s="47" t="s">
        <v>265</v>
      </c>
      <c r="C56" s="349">
        <f>Normalized_FCF!C15</f>
        <v>0</v>
      </c>
      <c r="D56" s="1" t="str">
        <f>Reporting_currency</f>
        <v>USD</v>
      </c>
    </row>
    <row r="58" spans="2:6" x14ac:dyDescent="0.15">
      <c r="B58" s="357" t="s">
        <v>241</v>
      </c>
      <c r="C58" s="357"/>
      <c r="D58" s="357"/>
      <c r="E58" s="357"/>
      <c r="F58" s="357"/>
    </row>
    <row r="59" spans="2:6" x14ac:dyDescent="0.15">
      <c r="B59" s="47" t="s">
        <v>239</v>
      </c>
      <c r="C59" s="349">
        <f>Normalized_FCF!C14</f>
        <v>-33.887093790522258</v>
      </c>
      <c r="D59" s="1" t="str">
        <f>Reporting_currency</f>
        <v>USD</v>
      </c>
    </row>
    <row r="61" spans="2:6" x14ac:dyDescent="0.15">
      <c r="B61" s="357" t="s">
        <v>338</v>
      </c>
      <c r="C61" s="360"/>
      <c r="D61" s="360"/>
      <c r="E61" s="360"/>
      <c r="F61" s="360"/>
    </row>
    <row r="62" spans="2:6" x14ac:dyDescent="0.15">
      <c r="B62" s="47" t="s">
        <v>242</v>
      </c>
      <c r="C62" s="349">
        <f>Normalized_FCF!C17</f>
        <v>0</v>
      </c>
      <c r="D62" s="1" t="str">
        <f>Reporting_currency</f>
        <v>USD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199.70000000000005</v>
      </c>
      <c r="D67" s="1" t="str">
        <f>Reporting_currency</f>
        <v>USD</v>
      </c>
    </row>
    <row r="68" spans="1:6" x14ac:dyDescent="0.15">
      <c r="B68" s="47" t="s">
        <v>248</v>
      </c>
      <c r="C68" s="349">
        <f>Normalized_FCF!C19</f>
        <v>171.48923221264295</v>
      </c>
      <c r="D68" s="1" t="str">
        <f>Reporting_currency</f>
        <v>USD</v>
      </c>
    </row>
    <row r="69" spans="1:6" x14ac:dyDescent="0.15">
      <c r="B69" s="227" t="s">
        <v>390</v>
      </c>
      <c r="C69" s="92">
        <f>Normalized_FCF!C125</f>
        <v>0.10194822784627032</v>
      </c>
      <c r="F69" s="314"/>
    </row>
    <row r="70" spans="1:6" x14ac:dyDescent="0.15">
      <c r="B70" s="227" t="s">
        <v>308</v>
      </c>
      <c r="C70" s="92">
        <f>Normalized_FCF!C93</f>
        <v>9.7805662188099801E-2</v>
      </c>
      <c r="E70" s="47" t="s">
        <v>447</v>
      </c>
      <c r="F70" s="315">
        <f>Normalized_FCF!C92</f>
        <v>7.5209496518154451</v>
      </c>
    </row>
    <row r="72" spans="1:6" x14ac:dyDescent="0.15">
      <c r="B72" s="210" t="s">
        <v>450</v>
      </c>
      <c r="C72" s="323" t="s">
        <v>452</v>
      </c>
      <c r="D72" s="323" t="s">
        <v>453</v>
      </c>
    </row>
    <row r="73" spans="1:6" x14ac:dyDescent="0.15">
      <c r="B73" s="47" t="s">
        <v>451</v>
      </c>
      <c r="C73" s="92">
        <f>Normalized_FCF!C120</f>
        <v>0.32755394896836565</v>
      </c>
      <c r="D73" s="92">
        <f>Normalized_FCF!G120</f>
        <v>0.35789473684210543</v>
      </c>
    </row>
    <row r="74" spans="1:6" x14ac:dyDescent="0.15">
      <c r="B74" s="259" t="str">
        <f>Normalized_FCF!B117</f>
        <v>Pre-tax Profit/Sales</v>
      </c>
      <c r="C74" s="322">
        <f>Normalized_FCF!C117</f>
        <v>8.9976704126159421E-2</v>
      </c>
      <c r="D74" s="322">
        <f>Normalized_FCF!G117</f>
        <v>0.10458125553432449</v>
      </c>
    </row>
    <row r="75" spans="1:6" x14ac:dyDescent="0.15">
      <c r="B75" s="259" t="str">
        <f>Normalized_FCF!B118</f>
        <v>Sales/Total Assets</v>
      </c>
      <c r="C75" s="324">
        <f>Normalized_FCF!C118</f>
        <v>1.5891874956485419</v>
      </c>
      <c r="D75" s="324">
        <f>Normalized_FCF!G118</f>
        <v>1.4939079579475041</v>
      </c>
    </row>
    <row r="76" spans="1:6" x14ac:dyDescent="0.15">
      <c r="B76" s="259" t="str">
        <f>Normalized_FCF!B119</f>
        <v>Total Assets/Equity</v>
      </c>
      <c r="C76" s="324">
        <f>Normalized_FCF!C119</f>
        <v>2.2907496012759174</v>
      </c>
      <c r="D76" s="324">
        <f>Normalized_FCF!G119</f>
        <v>2.2907496012759174</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70.820035610542462</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155.30000000000001</v>
      </c>
      <c r="D102" s="1" t="str">
        <f>Reporting_currency</f>
        <v>USD</v>
      </c>
    </row>
    <row r="103" spans="2:6" x14ac:dyDescent="0.15">
      <c r="B103" s="47" t="s">
        <v>281</v>
      </c>
      <c r="C103" s="223">
        <f>C102*scaling_factor*Exchange_Rate/Common_Shares</f>
        <v>4.810076726863902</v>
      </c>
      <c r="D103" s="1" t="str">
        <f>Market_currency</f>
        <v>HKD</v>
      </c>
    </row>
    <row r="104" spans="2:6" x14ac:dyDescent="0.15">
      <c r="B104" s="296" t="s">
        <v>404</v>
      </c>
      <c r="C104" s="325">
        <f>IF(BS!G31/BS!G27&gt;300%,"nm",BS!G31/BS!G27)</f>
        <v>0.24768740031897937</v>
      </c>
    </row>
    <row r="105" spans="2:6" x14ac:dyDescent="0.15">
      <c r="B105" s="296" t="s">
        <v>406</v>
      </c>
      <c r="C105" s="326">
        <f>IF(BS!C50&gt;30,"nm",BS!C50)</f>
        <v>0.73855199466278643</v>
      </c>
    </row>
    <row r="107" spans="2:6" x14ac:dyDescent="0.15">
      <c r="B107" s="1" t="s">
        <v>254</v>
      </c>
    </row>
    <row r="108" spans="2:6" x14ac:dyDescent="0.15">
      <c r="B108" s="47" t="s">
        <v>264</v>
      </c>
      <c r="C108" s="349">
        <f>BS!C66</f>
        <v>150.19999999999999</v>
      </c>
      <c r="D108" s="1" t="str">
        <f>Reporting_currency</f>
        <v>USD</v>
      </c>
    </row>
    <row r="109" spans="2:6" x14ac:dyDescent="0.15">
      <c r="B109" s="47" t="s">
        <v>266</v>
      </c>
      <c r="C109" s="349">
        <f>DCF!C8</f>
        <v>-129.96962960805081</v>
      </c>
      <c r="D109" s="1" t="str">
        <f>Reporting_currency</f>
        <v>USD</v>
      </c>
    </row>
    <row r="110" spans="2:6" x14ac:dyDescent="0.15">
      <c r="B110" s="47" t="s">
        <v>282</v>
      </c>
      <c r="C110" s="223">
        <f>C109*scaling_factor*Exchange_Rate/Common_Shares</f>
        <v>-4.025524086135265</v>
      </c>
      <c r="D110" s="1" t="str">
        <f>Market_currency</f>
        <v>HKD</v>
      </c>
    </row>
    <row r="112" spans="2:6" x14ac:dyDescent="0.15">
      <c r="B112" s="1" t="s">
        <v>256</v>
      </c>
    </row>
    <row r="113" spans="1:6" x14ac:dyDescent="0.15">
      <c r="B113" s="47" t="s">
        <v>257</v>
      </c>
      <c r="C113" s="349">
        <f>DCF!C9</f>
        <v>0.39</v>
      </c>
      <c r="D113" s="1" t="str">
        <f>Reporting_currency</f>
        <v>USD</v>
      </c>
    </row>
    <row r="114" spans="1:6" x14ac:dyDescent="0.15">
      <c r="B114" s="47" t="s">
        <v>283</v>
      </c>
      <c r="C114" s="223">
        <f>C113*scaling_factor*Exchange_Rate/Common_Shares</f>
        <v>1.2079394227153392E-2</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61.996514191770444</v>
      </c>
      <c r="D118" s="1" t="str">
        <f>Market_currency</f>
        <v>HKD</v>
      </c>
    </row>
    <row r="119" spans="1:6" x14ac:dyDescent="0.15">
      <c r="B119" s="296" t="s">
        <v>405</v>
      </c>
      <c r="C119" s="223">
        <f>BS!D47</f>
        <v>-2.6712496285149894</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0.08</v>
      </c>
      <c r="D126" s="230">
        <f>DCF!D74</f>
        <v>15</v>
      </c>
      <c r="E126" s="231" t="str">
        <f>ROUND(IF(valuation_method="DCF",DCF!E74,DDM!E69),2)&amp;" "&amp;Market_currency</f>
        <v>99.73 HKD</v>
      </c>
      <c r="F126" s="232">
        <f>DCF!F74</f>
        <v>0.05</v>
      </c>
    </row>
    <row r="127" spans="1:6" x14ac:dyDescent="0.15">
      <c r="B127" s="218" t="str">
        <f>DCF!B75</f>
        <v>Optimistic</v>
      </c>
      <c r="C127" s="219">
        <f>DCF!C75</f>
        <v>0.05</v>
      </c>
      <c r="D127" s="220">
        <f>DCF!D75</f>
        <v>10</v>
      </c>
      <c r="E127" s="231" t="str">
        <f>ROUND(IF(valuation_method="DCF",DCF!E75,DDM!E70),2)&amp;" "&amp;Market_currency</f>
        <v>74.03 HKD</v>
      </c>
      <c r="F127" s="221">
        <f>DCF!F75</f>
        <v>0.18</v>
      </c>
    </row>
    <row r="128" spans="1:6" x14ac:dyDescent="0.15">
      <c r="B128" s="218" t="str">
        <f>DCF!B76</f>
        <v>Base</v>
      </c>
      <c r="C128" s="219">
        <f>DCF!C76</f>
        <v>0.03</v>
      </c>
      <c r="D128" s="220">
        <f>DCF!D76</f>
        <v>10</v>
      </c>
      <c r="E128" s="231" t="str">
        <f>ROUND(IF(valuation_method="DCF",DCF!E76,DDM!E71),2)&amp;" "&amp;Market_currency</f>
        <v>68.87 HKD</v>
      </c>
      <c r="F128" s="221">
        <f>DCF!F76</f>
        <v>0.53999999999999992</v>
      </c>
    </row>
    <row r="129" spans="1:6" x14ac:dyDescent="0.15">
      <c r="B129" s="218" t="str">
        <f>DCF!B77</f>
        <v>Pessimistic</v>
      </c>
      <c r="C129" s="219">
        <f>DCF!C77</f>
        <v>0.01</v>
      </c>
      <c r="D129" s="220">
        <f>DCF!D77</f>
        <v>10</v>
      </c>
      <c r="E129" s="231" t="str">
        <f>ROUND(IF(valuation_method="DCF",DCF!E77,DDM!E72),2)&amp;" "&amp;Market_currency</f>
        <v>64.18 HKD</v>
      </c>
      <c r="F129" s="221">
        <f>DCF!F77</f>
        <v>0.18</v>
      </c>
    </row>
    <row r="130" spans="1:6" x14ac:dyDescent="0.15">
      <c r="B130" s="218" t="str">
        <f>DCF!B78</f>
        <v>Devil's advocate</v>
      </c>
      <c r="C130" s="219">
        <f>DCF!C78</f>
        <v>0</v>
      </c>
      <c r="D130" s="220">
        <f>DCF!D78</f>
        <v>15</v>
      </c>
      <c r="E130" s="231" t="str">
        <f>ROUND(IF(valuation_method="DCF",DCF!E78,DDM!E73),2)&amp;" "&amp;Market_currency</f>
        <v>62 HKD</v>
      </c>
      <c r="F130" s="221">
        <f>DCF!F78</f>
        <v>0.05</v>
      </c>
    </row>
    <row r="132" spans="1:6" x14ac:dyDescent="0.15">
      <c r="B132" s="211" t="s">
        <v>258</v>
      </c>
      <c r="C132" s="217">
        <f>Scenarios!C60</f>
        <v>70.15353605760022</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5.095675</v>
      </c>
      <c r="D143" s="212" t="str">
        <f>Market_currency</f>
        <v>HKD</v>
      </c>
    </row>
    <row r="145" spans="2:4" x14ac:dyDescent="0.15">
      <c r="B145" s="210" t="s">
        <v>408</v>
      </c>
      <c r="C145" s="241" t="str">
        <f>C11</f>
        <v>0303.HK</v>
      </c>
      <c r="D145" s="241" t="str">
        <f>IF(D11="","",D11)</f>
        <v/>
      </c>
    </row>
    <row r="146" spans="2:4" x14ac:dyDescent="0.15">
      <c r="B146" s="1" t="s">
        <v>407</v>
      </c>
      <c r="C146" s="297">
        <f>F29</f>
        <v>0.3674</v>
      </c>
    </row>
    <row r="147" spans="2:4" x14ac:dyDescent="0.15">
      <c r="B147" s="212" t="str">
        <f>"PV("&amp;C141&amp;" yrs of Dividends)"</f>
        <v>PV(3 yrs of Dividends)</v>
      </c>
      <c r="C147" s="216">
        <f>Scenarios!C81</f>
        <v>8.4448548822045275</v>
      </c>
    </row>
    <row r="148" spans="2:4" x14ac:dyDescent="0.15">
      <c r="B148" s="212" t="str">
        <f>"+ PV(Equity Value realized at year "&amp;C141&amp;")"</f>
        <v>+ PV(Equity Value realized at year 3)</v>
      </c>
      <c r="C148" s="216">
        <f>Scenarios!C82</f>
        <v>27.438656296679696</v>
      </c>
    </row>
    <row r="149" spans="2:4" x14ac:dyDescent="0.15">
      <c r="B149" s="80" t="s">
        <v>260</v>
      </c>
      <c r="C149" s="215">
        <f>Scenarios!C83</f>
        <v>35.88351117888422</v>
      </c>
      <c r="D149" s="300" t="str">
        <f>IF($D$11="","",C149*$E$25)</f>
        <v/>
      </c>
    </row>
    <row r="150" spans="2:4" x14ac:dyDescent="0.15">
      <c r="B150" s="259" t="s">
        <v>415</v>
      </c>
      <c r="C150" s="298" t="str">
        <f>Market_currency</f>
        <v>HKD</v>
      </c>
      <c r="D150" s="298" t="str">
        <f>IF($D$11="","",D$13)</f>
        <v/>
      </c>
    </row>
    <row r="151" spans="2:4" x14ac:dyDescent="0.15">
      <c r="B151" s="214" t="s">
        <v>262</v>
      </c>
      <c r="C151" s="92">
        <f>Scenarios!F83</f>
        <v>0.48850032093290741</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10.448176218147962</v>
      </c>
    </row>
    <row r="156" spans="2:4" x14ac:dyDescent="0.15">
      <c r="B156" s="212" t="str">
        <f>"+ PV(Equity Value realized at year "&amp;C141&amp;")"</f>
        <v>+ PV(Equity Value realized at year 3)</v>
      </c>
      <c r="C156" s="216">
        <f>Scenarios!C92</f>
        <v>38.882096526237781</v>
      </c>
    </row>
    <row r="157" spans="2:4" x14ac:dyDescent="0.15">
      <c r="B157" s="80" t="s">
        <v>260</v>
      </c>
      <c r="C157" s="215">
        <f>Scenarios!C93</f>
        <v>49.330272744385745</v>
      </c>
      <c r="D157" s="300" t="str">
        <f>IF($D$11="","",C157*$E$25)</f>
        <v/>
      </c>
    </row>
    <row r="158" spans="2:4" x14ac:dyDescent="0.15">
      <c r="B158" s="259" t="s">
        <v>415</v>
      </c>
      <c r="C158" s="298" t="str">
        <f>Market_currency</f>
        <v>HKD</v>
      </c>
      <c r="D158" s="298" t="str">
        <f>IF($D$11="","",D$13)</f>
        <v/>
      </c>
    </row>
    <row r="159" spans="2:4" x14ac:dyDescent="0.15">
      <c r="B159" s="214" t="s">
        <v>262</v>
      </c>
      <c r="C159" s="92">
        <f>Scenarios!F93</f>
        <v>0.29682414434701254</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13.25143399952205</v>
      </c>
    </row>
    <row r="164" spans="2:4" x14ac:dyDescent="0.15">
      <c r="B164" s="212" t="str">
        <f>"+ PV(Equity Value realized at year "&amp;C141&amp;")"</f>
        <v>+ PV(Equity Value realized at year 3)</v>
      </c>
      <c r="C164" s="216">
        <f>Scenarios!C98</f>
        <v>56.470830338038347</v>
      </c>
    </row>
    <row r="165" spans="2:4" x14ac:dyDescent="0.15">
      <c r="B165" s="80" t="s">
        <v>401</v>
      </c>
      <c r="C165" s="215">
        <f>Scenarios!C99</f>
        <v>69.722264337560404</v>
      </c>
      <c r="D165" s="300" t="str">
        <f>IF($D$11="","",C165*$E$25)</f>
        <v/>
      </c>
    </row>
    <row r="166" spans="2:4" x14ac:dyDescent="0.15">
      <c r="B166" s="259" t="s">
        <v>415</v>
      </c>
      <c r="C166" s="298" t="str">
        <f>Market_currency</f>
        <v>HKD</v>
      </c>
      <c r="D166" s="298" t="str">
        <f>IF($D$11="","",D$13)</f>
        <v/>
      </c>
    </row>
    <row r="167" spans="2:4" x14ac:dyDescent="0.15">
      <c r="B167" s="214" t="s">
        <v>262</v>
      </c>
      <c r="C167" s="92">
        <f>Scenarios!F99</f>
        <v>6.1475407267528315E-3</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12.293841433767426</v>
      </c>
    </row>
    <row r="172" spans="2:4" x14ac:dyDescent="0.15">
      <c r="B172" s="212" t="str">
        <f>"+ PV(Equity Value realized at year "&amp;C141&amp;")"</f>
        <v>+ PV(Equity Value realized at year 3)</v>
      </c>
      <c r="C172" s="216">
        <f>Scenarios!C104</f>
        <v>50.283276076023661</v>
      </c>
    </row>
    <row r="173" spans="2:4" x14ac:dyDescent="0.15">
      <c r="B173" s="80" t="s">
        <v>401</v>
      </c>
      <c r="C173" s="215">
        <f>Scenarios!C105</f>
        <v>62.577117509791087</v>
      </c>
      <c r="D173" s="300" t="str">
        <f>IF($D$11="","",C173*$E$25)</f>
        <v/>
      </c>
    </row>
    <row r="174" spans="2:4" x14ac:dyDescent="0.15">
      <c r="B174" s="259" t="s">
        <v>415</v>
      </c>
      <c r="C174" s="298" t="str">
        <f>Market_currency</f>
        <v>HKD</v>
      </c>
      <c r="D174" s="298" t="str">
        <f>IF($D$11="","",D$13)</f>
        <v/>
      </c>
    </row>
    <row r="175" spans="2:4" x14ac:dyDescent="0.15">
      <c r="B175" s="214" t="s">
        <v>262</v>
      </c>
      <c r="C175" s="92">
        <f>Scenarios!F105</f>
        <v>0.10780513985774087</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x14ac:dyDescent="0.15">
      <c r="B5" s="40" t="s">
        <v>43</v>
      </c>
      <c r="C5" s="351">
        <v>1510.8</v>
      </c>
      <c r="D5" s="351">
        <v>1608</v>
      </c>
      <c r="E5" s="351">
        <v>1701.4</v>
      </c>
      <c r="F5" s="351">
        <v>1645.7</v>
      </c>
      <c r="G5" s="351">
        <v>1501.9</v>
      </c>
      <c r="H5" s="351">
        <v>1525.5</v>
      </c>
      <c r="I5" s="351">
        <v>1428.1</v>
      </c>
      <c r="J5" s="351">
        <v>1389.9</v>
      </c>
      <c r="K5" s="351">
        <v>1273.2</v>
      </c>
      <c r="L5" s="351"/>
      <c r="M5" s="351"/>
    </row>
    <row r="6" spans="2:13" x14ac:dyDescent="0.15">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x14ac:dyDescent="0.15">
      <c r="B7" s="69" t="s">
        <v>61</v>
      </c>
      <c r="C7" s="352">
        <v>278.39999999999998</v>
      </c>
      <c r="D7" s="352">
        <v>294</v>
      </c>
      <c r="E7" s="352">
        <v>304.89999999999998</v>
      </c>
      <c r="F7" s="352">
        <v>295.5</v>
      </c>
      <c r="G7" s="352">
        <v>296.3</v>
      </c>
      <c r="H7" s="352">
        <v>294</v>
      </c>
      <c r="I7" s="352">
        <v>318.89999999999998</v>
      </c>
      <c r="J7" s="352">
        <v>319</v>
      </c>
      <c r="K7" s="352">
        <v>254.3</v>
      </c>
      <c r="L7" s="352"/>
      <c r="M7" s="352"/>
    </row>
    <row r="8" spans="2:13" x14ac:dyDescent="0.15">
      <c r="B8" s="40" t="s">
        <v>49</v>
      </c>
      <c r="C8" s="351">
        <v>81.7</v>
      </c>
      <c r="D8" s="351">
        <v>83.3</v>
      </c>
      <c r="E8" s="351">
        <v>84.3</v>
      </c>
      <c r="F8" s="351">
        <v>86.4</v>
      </c>
      <c r="G8" s="351">
        <v>81.7</v>
      </c>
      <c r="H8" s="351">
        <v>77.2</v>
      </c>
      <c r="I8" s="351">
        <v>77.599999999999994</v>
      </c>
      <c r="J8" s="351">
        <v>77.2</v>
      </c>
      <c r="K8" s="351">
        <v>56.3</v>
      </c>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4.9000000000000004</v>
      </c>
      <c r="D12" s="351">
        <v>12</v>
      </c>
      <c r="E12" s="351">
        <v>9.6</v>
      </c>
      <c r="F12" s="351">
        <v>0</v>
      </c>
      <c r="G12" s="351">
        <v>0</v>
      </c>
      <c r="H12" s="351">
        <v>0</v>
      </c>
      <c r="I12" s="351">
        <v>0</v>
      </c>
      <c r="J12" s="351">
        <v>0</v>
      </c>
      <c r="K12" s="351">
        <v>0</v>
      </c>
      <c r="L12" s="351"/>
      <c r="M12" s="351"/>
    </row>
    <row r="13" spans="2:13" x14ac:dyDescent="0.15">
      <c r="B13" s="40" t="s">
        <v>67</v>
      </c>
      <c r="C13" s="351"/>
      <c r="D13" s="351"/>
      <c r="E13" s="351"/>
      <c r="F13" s="351"/>
      <c r="G13" s="351"/>
      <c r="H13" s="351"/>
      <c r="I13" s="351"/>
      <c r="J13" s="351"/>
      <c r="K13" s="351"/>
      <c r="L13" s="351"/>
      <c r="M13" s="351"/>
    </row>
    <row r="14" spans="2:13" x14ac:dyDescent="0.15">
      <c r="B14" s="40" t="s">
        <v>50</v>
      </c>
      <c r="C14" s="351">
        <v>24.7</v>
      </c>
      <c r="D14" s="351">
        <v>19.3</v>
      </c>
      <c r="E14" s="351">
        <v>21.9</v>
      </c>
      <c r="F14" s="351">
        <v>28.4</v>
      </c>
      <c r="G14" s="351">
        <v>21.6</v>
      </c>
      <c r="H14" s="351">
        <v>21</v>
      </c>
      <c r="I14" s="351">
        <v>24.7</v>
      </c>
      <c r="J14" s="351">
        <v>21.1</v>
      </c>
      <c r="K14" s="351">
        <v>21.7</v>
      </c>
      <c r="L14" s="351"/>
      <c r="M14" s="351"/>
    </row>
    <row r="15" spans="2:13" x14ac:dyDescent="0.15">
      <c r="B15" s="43" t="s">
        <v>42</v>
      </c>
      <c r="C15" s="353">
        <v>166.6</v>
      </c>
      <c r="D15" s="353">
        <v>149.19999999999999</v>
      </c>
      <c r="E15" s="353">
        <v>172.7</v>
      </c>
      <c r="F15" s="353">
        <v>230.9</v>
      </c>
      <c r="G15" s="353">
        <v>190.7</v>
      </c>
      <c r="H15" s="353">
        <v>171.3</v>
      </c>
      <c r="I15" s="353">
        <v>206.3</v>
      </c>
      <c r="J15" s="353">
        <v>179</v>
      </c>
      <c r="K15" s="353">
        <v>181.4</v>
      </c>
      <c r="L15" s="353"/>
      <c r="M15" s="353"/>
    </row>
    <row r="16" spans="2:13" x14ac:dyDescent="0.15">
      <c r="B16" s="28" t="s">
        <v>44</v>
      </c>
      <c r="C16" s="351">
        <v>0</v>
      </c>
      <c r="D16" s="351">
        <v>0</v>
      </c>
      <c r="E16" s="351">
        <v>0</v>
      </c>
      <c r="F16" s="351">
        <v>0</v>
      </c>
      <c r="G16" s="351">
        <v>0</v>
      </c>
      <c r="H16" s="351">
        <v>0</v>
      </c>
      <c r="I16" s="351">
        <v>0</v>
      </c>
      <c r="J16" s="351">
        <v>0</v>
      </c>
      <c r="K16" s="351">
        <v>0</v>
      </c>
      <c r="L16" s="351"/>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v>-32.4</v>
      </c>
      <c r="D20" s="351">
        <v>-32.4</v>
      </c>
      <c r="E20" s="351">
        <v>-27.9</v>
      </c>
      <c r="F20" s="351">
        <v>-35.9</v>
      </c>
      <c r="G20" s="351">
        <v>-48</v>
      </c>
      <c r="H20" s="351"/>
      <c r="I20" s="351"/>
      <c r="J20" s="351"/>
      <c r="K20" s="351"/>
      <c r="L20" s="351"/>
      <c r="M20" s="351"/>
    </row>
    <row r="21" spans="2:13" ht="13" x14ac:dyDescent="0.15">
      <c r="B21" s="27" t="s">
        <v>52</v>
      </c>
      <c r="C21" s="351">
        <v>117.9</v>
      </c>
      <c r="D21" s="351">
        <v>117.9</v>
      </c>
      <c r="E21" s="351">
        <v>34.5</v>
      </c>
      <c r="F21" s="351">
        <v>-91.8</v>
      </c>
      <c r="G21" s="351">
        <v>-21.2</v>
      </c>
      <c r="H21" s="351">
        <v>-11.5</v>
      </c>
      <c r="I21" s="351"/>
      <c r="J21" s="351"/>
      <c r="K21" s="351"/>
      <c r="L21" s="351"/>
      <c r="M21" s="351"/>
    </row>
    <row r="22" spans="2:13" ht="13" x14ac:dyDescent="0.15">
      <c r="B22" s="27" t="s">
        <v>371</v>
      </c>
      <c r="C22" s="351">
        <v>355.2</v>
      </c>
      <c r="D22" s="351">
        <v>238.8</v>
      </c>
      <c r="E22" s="351">
        <v>139.6</v>
      </c>
      <c r="F22" s="351">
        <v>280.3</v>
      </c>
      <c r="G22" s="351">
        <v>237</v>
      </c>
      <c r="H22" s="351">
        <v>249.3</v>
      </c>
      <c r="I22" s="351">
        <v>175.7</v>
      </c>
      <c r="J22" s="351">
        <v>185.3</v>
      </c>
      <c r="K22" s="351">
        <v>216.7</v>
      </c>
      <c r="L22" s="351"/>
      <c r="M22" s="351"/>
    </row>
    <row r="23" spans="2:13" ht="13" x14ac:dyDescent="0.15">
      <c r="B23" s="27" t="s">
        <v>373</v>
      </c>
      <c r="C23" s="351">
        <v>-54.4</v>
      </c>
      <c r="D23" s="351">
        <v>-27.5</v>
      </c>
      <c r="E23" s="351">
        <v>-32</v>
      </c>
      <c r="F23" s="351">
        <v>-47.8</v>
      </c>
      <c r="G23" s="351">
        <v>-34.5</v>
      </c>
      <c r="H23" s="351">
        <v>-45.9</v>
      </c>
      <c r="I23" s="351">
        <v>-35.5</v>
      </c>
      <c r="J23" s="351">
        <v>-62.4</v>
      </c>
      <c r="K23" s="351">
        <v>25.7</v>
      </c>
      <c r="L23" s="351"/>
      <c r="M23" s="351"/>
    </row>
    <row r="24" spans="2:13" ht="13" x14ac:dyDescent="0.15">
      <c r="B24" s="27" t="s">
        <v>372</v>
      </c>
      <c r="C24" s="351">
        <v>-171.1</v>
      </c>
      <c r="D24" s="351">
        <v>-191.2</v>
      </c>
      <c r="E24" s="351">
        <v>-249.8</v>
      </c>
      <c r="F24" s="351">
        <v>-155.69999999999999</v>
      </c>
      <c r="G24" s="351">
        <v>-187</v>
      </c>
      <c r="H24" s="351">
        <v>-204.7</v>
      </c>
      <c r="I24" s="351">
        <v>-181.7</v>
      </c>
      <c r="J24" s="351">
        <v>-112.8</v>
      </c>
      <c r="K24" s="351">
        <v>-196.9</v>
      </c>
      <c r="L24" s="351"/>
      <c r="M24" s="351"/>
    </row>
    <row r="25" spans="2:13" x14ac:dyDescent="0.15">
      <c r="B25" s="24" t="str">
        <f>"Dividend per share ("&amp;Market_currency&amp;")"</f>
        <v>Dividend per share (HKD)</v>
      </c>
      <c r="C25" s="39">
        <f>(0.17+0.48)*Exchange_Rate</f>
        <v>5.095675</v>
      </c>
      <c r="D25" s="39">
        <f>(0.17+0.42)*Exchange_Rate</f>
        <v>4.625305</v>
      </c>
      <c r="E25" s="39"/>
      <c r="F25" s="39"/>
      <c r="G25" s="39"/>
      <c r="H25" s="39"/>
      <c r="I25" s="39"/>
      <c r="J25" s="39"/>
      <c r="K25" s="39"/>
      <c r="L25" s="39"/>
      <c r="M25" s="39"/>
    </row>
    <row r="27" spans="2:13" x14ac:dyDescent="0.15">
      <c r="B27" s="16" t="s">
        <v>28</v>
      </c>
      <c r="C27" s="97" t="s">
        <v>463</v>
      </c>
    </row>
    <row r="28" spans="2:13" ht="13" x14ac:dyDescent="0.15">
      <c r="B28" s="26" t="s">
        <v>24</v>
      </c>
      <c r="C28" s="333">
        <f>BS!C4</f>
        <v>547.9</v>
      </c>
      <c r="D28" s="351">
        <v>224.6</v>
      </c>
      <c r="E28" s="351">
        <v>277.2</v>
      </c>
      <c r="F28" s="351">
        <v>325.39999999999998</v>
      </c>
      <c r="G28" s="351">
        <v>270.7</v>
      </c>
      <c r="H28" s="351"/>
      <c r="I28" s="351"/>
      <c r="J28" s="351"/>
      <c r="K28" s="351"/>
      <c r="L28" s="351"/>
      <c r="M28" s="351"/>
    </row>
    <row r="29" spans="2:13" ht="13" x14ac:dyDescent="0.15">
      <c r="B29" s="26" t="s">
        <v>32</v>
      </c>
      <c r="C29" s="333">
        <f>BS!C6</f>
        <v>425.2</v>
      </c>
      <c r="D29" s="351">
        <v>348</v>
      </c>
      <c r="E29" s="351">
        <v>475.5</v>
      </c>
      <c r="F29" s="351">
        <v>553.29999999999995</v>
      </c>
      <c r="G29" s="351">
        <v>414</v>
      </c>
      <c r="H29" s="351"/>
      <c r="I29" s="351"/>
      <c r="J29" s="351"/>
      <c r="K29" s="351"/>
      <c r="L29" s="351"/>
      <c r="M29" s="351"/>
    </row>
    <row r="30" spans="2:13" ht="13" x14ac:dyDescent="0.15">
      <c r="B30" s="29" t="s">
        <v>40</v>
      </c>
      <c r="C30" s="334">
        <f>BS!C33+BS!C42</f>
        <v>809.3</v>
      </c>
      <c r="D30" s="353">
        <v>683.7</v>
      </c>
      <c r="E30" s="353">
        <v>448.1</v>
      </c>
      <c r="F30" s="353">
        <v>714.5</v>
      </c>
      <c r="G30" s="353">
        <v>593.9</v>
      </c>
      <c r="H30" s="353">
        <v>479.9</v>
      </c>
      <c r="I30" s="353">
        <v>456.1</v>
      </c>
      <c r="J30" s="353">
        <v>475.3</v>
      </c>
      <c r="K30" s="353">
        <v>385.5</v>
      </c>
      <c r="L30" s="353"/>
      <c r="M30" s="353"/>
    </row>
    <row r="31" spans="2:13" ht="13" x14ac:dyDescent="0.15">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ht="13" x14ac:dyDescent="0.15">
      <c r="B32" s="26" t="s">
        <v>172</v>
      </c>
      <c r="C32" s="333">
        <f>BS!G28</f>
        <v>0</v>
      </c>
      <c r="D32" s="351">
        <v>0</v>
      </c>
      <c r="E32" s="351">
        <v>0</v>
      </c>
      <c r="F32" s="351">
        <v>0</v>
      </c>
      <c r="G32" s="351">
        <v>0</v>
      </c>
      <c r="H32" s="351">
        <v>0</v>
      </c>
      <c r="I32" s="351">
        <v>0</v>
      </c>
      <c r="J32" s="351">
        <v>0</v>
      </c>
      <c r="K32" s="351">
        <v>0</v>
      </c>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x14ac:dyDescent="0.15">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ht="13" x14ac:dyDescent="0.15">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x14ac:dyDescent="0.15">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x14ac:dyDescent="0.15">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x14ac:dyDescent="0.15">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x14ac:dyDescent="0.15">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x14ac:dyDescent="0.15">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x14ac:dyDescent="0.15">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x14ac:dyDescent="0.15">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x14ac:dyDescent="0.15">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x14ac:dyDescent="0.15">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x14ac:dyDescent="0.15">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x14ac:dyDescent="0.15">
      <c r="B50" s="16" t="s">
        <v>68</v>
      </c>
    </row>
    <row r="51" spans="2:13" x14ac:dyDescent="0.15">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x14ac:dyDescent="0.15">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x14ac:dyDescent="0.15">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ht="13" x14ac:dyDescent="0.15">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ht="13" x14ac:dyDescent="0.15">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ht="13" x14ac:dyDescent="0.15">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x14ac:dyDescent="0.15">
      <c r="B65" s="24" t="s">
        <v>36</v>
      </c>
      <c r="C65" s="73">
        <f>IF(C$4="","",C25)</f>
        <v>5.095675</v>
      </c>
      <c r="D65" s="73">
        <f t="shared" ref="D65:M65" si="33">IF(D$4="","",D25)</f>
        <v>4.625305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84</v>
      </c>
    </row>
    <row r="68" spans="2:13" x14ac:dyDescent="0.1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ht="13" x14ac:dyDescent="0.15">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1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15">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1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ht="13" x14ac:dyDescent="0.15">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ht="13" x14ac:dyDescent="0.15">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ht="13" x14ac:dyDescent="0.15">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ht="13" x14ac:dyDescent="0.15">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547.9</v>
      </c>
      <c r="D4" s="261">
        <v>0.6</v>
      </c>
      <c r="E4" s="25"/>
      <c r="F4" s="4" t="s">
        <v>77</v>
      </c>
      <c r="G4" s="19">
        <v>150.19999999999999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425.2</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5.9</v>
      </c>
      <c r="D10" s="261">
        <v>0.9</v>
      </c>
      <c r="H10" s="262"/>
    </row>
    <row r="11" spans="2:8" ht="15" customHeight="1" x14ac:dyDescent="0.15">
      <c r="B11" s="4" t="s">
        <v>12</v>
      </c>
      <c r="C11" s="19">
        <v>0</v>
      </c>
      <c r="D11" s="261">
        <v>0.05</v>
      </c>
      <c r="H11" s="262"/>
    </row>
    <row r="12" spans="2:8" ht="15" customHeight="1" x14ac:dyDescent="0.15">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f>1.2+6.2</f>
        <v>7.4</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97.3+136.4+14.3</f>
        <v>248</v>
      </c>
      <c r="D19" s="261">
        <v>0.1</v>
      </c>
      <c r="F19" s="4" t="s">
        <v>182</v>
      </c>
      <c r="G19" s="19">
        <v>3.9</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36.1</v>
      </c>
      <c r="D21" s="261">
        <v>0.05</v>
      </c>
      <c r="F21" s="1" t="s">
        <v>180</v>
      </c>
      <c r="G21" s="19">
        <v>0</v>
      </c>
      <c r="H21" s="261">
        <v>0.1</v>
      </c>
    </row>
    <row r="22" spans="2:8" ht="15" customHeight="1" x14ac:dyDescent="0.15">
      <c r="B22" s="4" t="s">
        <v>20</v>
      </c>
      <c r="C22" s="19">
        <v>11.7</v>
      </c>
      <c r="D22" s="261">
        <v>0.9</v>
      </c>
      <c r="H22" s="262"/>
    </row>
    <row r="23" spans="2:8" ht="15" customHeight="1" x14ac:dyDescent="0.15">
      <c r="B23" s="4" t="s">
        <v>21</v>
      </c>
      <c r="C23" s="19">
        <v>0</v>
      </c>
      <c r="D23" s="261">
        <v>0</v>
      </c>
      <c r="H23" s="262"/>
    </row>
    <row r="24" spans="2:8" ht="15" customHeight="1" x14ac:dyDescent="0.15">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626.99999999999977</v>
      </c>
      <c r="H27" s="188">
        <f>H32-G30</f>
        <v>-86.245000000000118</v>
      </c>
    </row>
    <row r="28" spans="2:8" ht="15" customHeight="1" x14ac:dyDescent="0.15">
      <c r="B28" s="4" t="s">
        <v>6</v>
      </c>
      <c r="C28" s="19">
        <v>19.5</v>
      </c>
      <c r="F28" s="189" t="s">
        <v>244</v>
      </c>
      <c r="G28" s="12">
        <v>0</v>
      </c>
      <c r="H28" s="188"/>
    </row>
    <row r="29" spans="2:8" ht="15" customHeight="1" x14ac:dyDescent="0.15">
      <c r="B29" s="4" t="s">
        <v>7</v>
      </c>
      <c r="C29" s="19">
        <v>0</v>
      </c>
      <c r="F29" s="190" t="s">
        <v>75</v>
      </c>
      <c r="G29" s="14">
        <f>G27-G28</f>
        <v>626.99999999999977</v>
      </c>
      <c r="H29" s="188">
        <f>H27-G28</f>
        <v>-86.245000000000118</v>
      </c>
    </row>
    <row r="30" spans="2:8" ht="15" customHeight="1" x14ac:dyDescent="0.15">
      <c r="B30" s="2" t="s">
        <v>8</v>
      </c>
      <c r="C30" s="19">
        <v>0</v>
      </c>
      <c r="F30" s="187" t="s">
        <v>23</v>
      </c>
      <c r="G30" s="85">
        <f>C33+C42</f>
        <v>809.3</v>
      </c>
      <c r="H30" s="188"/>
    </row>
    <row r="31" spans="2:8" ht="15" customHeight="1" x14ac:dyDescent="0.15">
      <c r="B31" s="80" t="s">
        <v>203</v>
      </c>
      <c r="C31" s="81">
        <f>SUM(C27:C30)</f>
        <v>19.5</v>
      </c>
      <c r="F31" s="190" t="s">
        <v>76</v>
      </c>
      <c r="G31" s="191">
        <f>C31+C40</f>
        <v>155.30000000000001</v>
      </c>
      <c r="H31" s="188"/>
    </row>
    <row r="32" spans="2:8" ht="15" customHeight="1" x14ac:dyDescent="0.15">
      <c r="B32" s="4" t="s">
        <v>9</v>
      </c>
      <c r="C32" s="21">
        <f>C33-C31</f>
        <v>650.29999999999995</v>
      </c>
      <c r="F32" s="192" t="s">
        <v>74</v>
      </c>
      <c r="G32" s="193">
        <f>G35+G40</f>
        <v>1436.2999999999997</v>
      </c>
      <c r="H32" s="188">
        <f>H35+H40</f>
        <v>723.05499999999984</v>
      </c>
    </row>
    <row r="33" spans="2:8" ht="15" customHeight="1" x14ac:dyDescent="0.15">
      <c r="B33" s="83" t="s">
        <v>4</v>
      </c>
      <c r="C33" s="84">
        <v>669.8</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1282.1999999999998</v>
      </c>
      <c r="H35" s="200">
        <f>D12+D24</f>
        <v>587.4849999999999</v>
      </c>
    </row>
    <row r="36" spans="2:8" ht="15" customHeight="1" x14ac:dyDescent="0.15">
      <c r="B36" s="4" t="s">
        <v>13</v>
      </c>
      <c r="C36" s="19">
        <v>0</v>
      </c>
      <c r="F36" s="190" t="s">
        <v>197</v>
      </c>
      <c r="G36" s="191">
        <f>C4+C15</f>
        <v>547.9</v>
      </c>
      <c r="H36" s="195"/>
    </row>
    <row r="37" spans="2:8" ht="15" customHeight="1" x14ac:dyDescent="0.15">
      <c r="B37" s="4" t="s">
        <v>14</v>
      </c>
      <c r="C37" s="19">
        <v>135.80000000000001</v>
      </c>
      <c r="F37" s="190" t="s">
        <v>198</v>
      </c>
      <c r="G37" s="191">
        <f>C6</f>
        <v>425.2</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248</v>
      </c>
      <c r="H39" s="188">
        <f>C7*D7+C17*D17+C19*D19+C20*D20</f>
        <v>24.8</v>
      </c>
    </row>
    <row r="40" spans="2:8" ht="15" customHeight="1" x14ac:dyDescent="0.15">
      <c r="B40" s="80" t="s">
        <v>204</v>
      </c>
      <c r="C40" s="81">
        <f>SUM(C36:C39)</f>
        <v>135.80000000000001</v>
      </c>
      <c r="F40" s="199" t="s">
        <v>138</v>
      </c>
      <c r="G40" s="193">
        <f>G12+G24</f>
        <v>154.1</v>
      </c>
      <c r="H40" s="200">
        <f>H12+H24</f>
        <v>135.57</v>
      </c>
    </row>
    <row r="41" spans="2:8" ht="15" customHeight="1" x14ac:dyDescent="0.15">
      <c r="B41" s="4" t="s">
        <v>17</v>
      </c>
      <c r="C41" s="21">
        <f>C42-C40</f>
        <v>3.6999999999999886</v>
      </c>
      <c r="F41" s="190" t="s">
        <v>191</v>
      </c>
      <c r="G41" s="191">
        <f>C70</f>
        <v>150.19999999999999</v>
      </c>
      <c r="H41" s="200">
        <f>H40-H42</f>
        <v>135.18</v>
      </c>
    </row>
    <row r="42" spans="2:8" ht="15" customHeight="1" x14ac:dyDescent="0.15">
      <c r="B42" s="83" t="s">
        <v>22</v>
      </c>
      <c r="C42" s="84">
        <v>139.5</v>
      </c>
      <c r="F42" s="201" t="s">
        <v>192</v>
      </c>
      <c r="G42" s="202">
        <f>C82</f>
        <v>3.9</v>
      </c>
      <c r="H42" s="203">
        <f>D82</f>
        <v>0.39</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626.99999999999977</v>
      </c>
      <c r="D46" s="76">
        <f>H29</f>
        <v>-86.245000000000118</v>
      </c>
      <c r="F46" s="253"/>
    </row>
    <row r="47" spans="2:8" ht="15" customHeight="1" x14ac:dyDescent="0.15">
      <c r="B47" s="1" t="str">
        <f>"Equity per share ("&amp;Market_currency&amp;")"</f>
        <v>Equity per share (HKD)</v>
      </c>
      <c r="C47" s="147">
        <f>C46*H1/Common_Shares*Exchange_Rate</f>
        <v>19.419949180577369</v>
      </c>
      <c r="D47" s="147">
        <f>D46*H1/Common_Shares*Exchange_Rate</f>
        <v>-2.6712496285149894</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0.73855199466278643</v>
      </c>
      <c r="D50" s="95">
        <f>G31/Normalized_FCF!G8</f>
        <v>0.78872524123920762</v>
      </c>
      <c r="F50" s="253"/>
    </row>
    <row r="51" spans="2:8" ht="15" customHeight="1" x14ac:dyDescent="0.15">
      <c r="B51" s="1" t="s">
        <v>176</v>
      </c>
      <c r="C51" s="181"/>
      <c r="D51" s="92">
        <f>G29/G32</f>
        <v>0.43653832764742734</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0.16399651068722915</v>
      </c>
      <c r="D54" s="92">
        <f>Normalized_FCF!G8/G35</f>
        <v>0.15356418655435974</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0.17266587760217228</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0</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150.19999999999999</v>
      </c>
      <c r="D66" s="76">
        <f>C66-D75</f>
        <v>-129.96962960805081</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150.19999999999999</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-269.88015677498123</v>
      </c>
      <c r="D73" s="349">
        <f>(Normalized_FCF!C25+Normalized_FCF!C35-Normalized_FCF!C91)/12</f>
        <v>-280.1696296080508</v>
      </c>
      <c r="F73" s="1" t="s">
        <v>351</v>
      </c>
    </row>
    <row r="74" spans="2:6" ht="15" customHeight="1" x14ac:dyDescent="0.15">
      <c r="B74" s="257" t="s">
        <v>321</v>
      </c>
      <c r="C74" s="258">
        <f>-$C$66/C73</f>
        <v>0.55654332572969667</v>
      </c>
      <c r="D74" s="258">
        <f>-$C$66/D73</f>
        <v>0.53610378901569544</v>
      </c>
      <c r="F74" s="253" t="s">
        <v>319</v>
      </c>
    </row>
    <row r="75" spans="2:6" ht="15" customHeight="1" x14ac:dyDescent="0.15">
      <c r="B75" s="80" t="s">
        <v>320</v>
      </c>
      <c r="C75" s="320"/>
      <c r="D75" s="321">
        <f>MAX(-D73*D76,G5)</f>
        <v>280.1696296080508</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3.9</v>
      </c>
      <c r="D80" s="76">
        <f>G19*H19</f>
        <v>0.39</v>
      </c>
      <c r="F80" s="253"/>
    </row>
    <row r="81" spans="2:8" ht="15" customHeight="1" x14ac:dyDescent="0.15">
      <c r="B81" s="105" t="s">
        <v>180</v>
      </c>
      <c r="C81" s="20">
        <f>G9+G21</f>
        <v>0</v>
      </c>
      <c r="D81" s="76">
        <f>G9*H9+G21*H21</f>
        <v>0</v>
      </c>
      <c r="F81" s="253"/>
    </row>
    <row r="82" spans="2:8" ht="15" customHeight="1" x14ac:dyDescent="0.15">
      <c r="B82" s="80" t="s">
        <v>189</v>
      </c>
      <c r="C82" s="81">
        <f>SUM(C79:C81)</f>
        <v>3.9</v>
      </c>
      <c r="D82" s="81">
        <f>SUM(D79:D81)</f>
        <v>0.39</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-1217.4743500000002</v>
      </c>
      <c r="D86" s="223">
        <f>C86*scaling_factor/Common_Shares</f>
        <v>-4.8100767268639029</v>
      </c>
      <c r="E86" s="240" t="str">
        <f>Market_currency</f>
        <v>HKD</v>
      </c>
    </row>
    <row r="87" spans="2:8" ht="15" customHeight="1" x14ac:dyDescent="0.15">
      <c r="B87" s="238" t="s">
        <v>287</v>
      </c>
      <c r="C87" s="76">
        <f>DCF!C8*Exchange_Rate</f>
        <v>-1018.8969113123144</v>
      </c>
      <c r="D87" s="223">
        <f>C87*scaling_factor/Common_Shares</f>
        <v>-4.0255240861352659</v>
      </c>
      <c r="E87" s="240" t="str">
        <f>Market_currency</f>
        <v>HKD</v>
      </c>
    </row>
    <row r="88" spans="2:8" ht="15" customHeight="1" x14ac:dyDescent="0.15">
      <c r="B88" s="239" t="s">
        <v>189</v>
      </c>
      <c r="C88" s="76">
        <f>DCF!C9*Exchange_Rate</f>
        <v>3.0574050000000002</v>
      </c>
      <c r="D88" s="223">
        <f>C88*scaling_factor/Common_Shares</f>
        <v>1.2079394227153392E-2</v>
      </c>
      <c r="E88" s="240" t="str">
        <f>Market_currency</f>
        <v>HKD</v>
      </c>
    </row>
    <row r="89" spans="2:8" ht="15" customHeight="1" x14ac:dyDescent="0.15">
      <c r="B89" s="80" t="s">
        <v>291</v>
      </c>
      <c r="C89" s="180">
        <f>SUM(C86:C88)</f>
        <v>-2233.3138563123143</v>
      </c>
      <c r="D89" s="242">
        <f>SUM(D86:D88)</f>
        <v>-8.8235214187720139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x14ac:dyDescent="0.15">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x14ac:dyDescent="0.15">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x14ac:dyDescent="0.15">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x14ac:dyDescent="0.15">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x14ac:dyDescent="0.15">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x14ac:dyDescent="0.15">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x14ac:dyDescent="0.15">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x14ac:dyDescent="0.15">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x14ac:dyDescent="0.15">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x14ac:dyDescent="0.15">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x14ac:dyDescent="0.2">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x14ac:dyDescent="0.15">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2">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15">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x14ac:dyDescent="0.15">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x14ac:dyDescent="0.15">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15">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15">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x14ac:dyDescent="0.15">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x14ac:dyDescent="0.15">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x14ac:dyDescent="0.15">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x14ac:dyDescent="0.15">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x14ac:dyDescent="0.15">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x14ac:dyDescent="0.15">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x14ac:dyDescent="0.15">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15">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15">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15">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15">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15">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5.095675</v>
      </c>
      <c r="E90" s="268"/>
      <c r="G90" s="112">
        <f>Data!C65</f>
        <v>5.095675</v>
      </c>
      <c r="H90" s="112">
        <f>Data!D65</f>
        <v>4.625305</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1289.7618812997748</v>
      </c>
      <c r="E91" s="268"/>
      <c r="G91" s="74">
        <f t="shared" ref="G91:Q91" si="37">IF(G$4="","",G90*Common_Shares/scaling_factor)</f>
        <v>1289.7618812997748</v>
      </c>
      <c r="H91" s="74">
        <f t="shared" si="37"/>
        <v>1170.7069384105648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213</v>
      </c>
      <c r="C92" s="23">
        <f>C90/(C19*scaling_factor/Common_Shares)</f>
        <v>7.5209496518154451</v>
      </c>
      <c r="E92" s="268"/>
      <c r="G92" s="170">
        <f t="shared" ref="G92:Q92" si="38">IF(G$4="","",G90/(G19*scaling_factor/Common_Shares))</f>
        <v>6.4584971522272134</v>
      </c>
      <c r="H92" s="170">
        <f t="shared" si="38"/>
        <v>6.5075427371348882</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309</v>
      </c>
      <c r="C93" s="23">
        <f>C90/Market_Price</f>
        <v>9.7805662188099801E-2</v>
      </c>
      <c r="E93" s="268"/>
      <c r="G93" s="23">
        <f t="shared" ref="G93:Q93" si="39">IF(G$4="","",G90/Market_Price)</f>
        <v>9.7805662188099801E-2</v>
      </c>
      <c r="H93" s="23">
        <f t="shared" si="39"/>
        <v>8.8777447216890598E-2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15">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x14ac:dyDescent="0.15">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x14ac:dyDescent="0.15">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x14ac:dyDescent="0.15">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x14ac:dyDescent="0.15">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x14ac:dyDescent="0.15">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15">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15">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15">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5.3115026707906834</v>
      </c>
      <c r="D124" s="27"/>
      <c r="E124" s="265"/>
      <c r="F124" s="27"/>
      <c r="G124" s="177">
        <f t="shared" ref="G124:Q124" si="49">IF(G$4="","",G16*$C$3/Common_Shares*Exchange_Rate)</f>
        <v>6.1852693004167518</v>
      </c>
      <c r="H124" s="177">
        <f t="shared" si="49"/>
        <v>5.5720077473458787</v>
      </c>
      <c r="I124" s="177">
        <f t="shared" si="49"/>
        <v>6.2162421061273925</v>
      </c>
      <c r="J124" s="177">
        <f t="shared" si="49"/>
        <v>8.3471711390201033</v>
      </c>
      <c r="K124" s="177">
        <f t="shared" si="49"/>
        <v>7.4396679316980627</v>
      </c>
      <c r="L124" s="177">
        <f t="shared" si="49"/>
        <v>5.150777589681053</v>
      </c>
      <c r="M124" s="177">
        <f t="shared" si="49"/>
        <v>6.2688958758355025</v>
      </c>
      <c r="N124" s="177">
        <f t="shared" si="49"/>
        <v>5.5410349416352398</v>
      </c>
      <c r="O124" s="177">
        <f t="shared" si="49"/>
        <v>5.5936887113433391</v>
      </c>
      <c r="P124" s="177" t="str">
        <f t="shared" si="49"/>
        <v/>
      </c>
      <c r="Q124" s="177" t="str">
        <f t="shared" si="49"/>
        <v/>
      </c>
    </row>
    <row r="125" spans="1:17" ht="15.75" customHeight="1" x14ac:dyDescent="0.15">
      <c r="A125" s="10"/>
      <c r="B125" s="27" t="s">
        <v>269</v>
      </c>
      <c r="C125" s="77">
        <f>C19*Exchange_Rate*$C$3/(Market_Price*Common_Shares)</f>
        <v>0.10194822784627032</v>
      </c>
      <c r="D125" s="27"/>
      <c r="E125" s="265"/>
      <c r="F125" s="27"/>
      <c r="G125" s="77">
        <f t="shared" ref="G125" si="50">IF(G$4="","",G124/Market_Price)</f>
        <v>0.11871918043026394</v>
      </c>
      <c r="H125" s="77">
        <f t="shared" ref="H125" si="51">IF(H$4="","",H124/Market_Price)</f>
        <v>0.10694832528494969</v>
      </c>
      <c r="I125" s="77">
        <f t="shared" ref="I125" si="52">IF(I$4="","",I124/Market_Price)</f>
        <v>0.11931366806386549</v>
      </c>
      <c r="J125" s="77">
        <f t="shared" ref="J125" si="53">IF(J$4="","",J124/Market_Price)</f>
        <v>0.16021441725566415</v>
      </c>
      <c r="K125" s="77">
        <f t="shared" ref="K125" si="54">IF(K$4="","",K124/Market_Price)</f>
        <v>0.14279592959113363</v>
      </c>
      <c r="L125" s="77">
        <f t="shared" ref="L125" si="55">IF(L$4="","",L124/Market_Price)</f>
        <v>9.8863293467966462E-2</v>
      </c>
      <c r="M125" s="77">
        <f t="shared" ref="M125" si="56">IF(M$4="","",M124/Market_Price)</f>
        <v>0.12032429704098853</v>
      </c>
      <c r="N125" s="77">
        <f t="shared" ref="N125" si="57">IF(N$4="","",N124/Market_Price)</f>
        <v>0.10635383765134818</v>
      </c>
      <c r="O125" s="77">
        <f t="shared" ref="O125" si="58">IF(O$4="","",O124/Market_Price)</f>
        <v>0.107364466628471</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1.2633667932654748E-2</v>
      </c>
      <c r="H126" s="23">
        <f>IF(H$4="","",(Data!D47*$C$3)/(Market_Price*Common_Shares))</f>
        <v>1.1314185207395489E-2</v>
      </c>
      <c r="I126" s="23">
        <f>IF(I$4="","",(Data!E47*$C$3)/(Market_Price*Common_Shares))</f>
        <v>1.309624520990081E-2</v>
      </c>
      <c r="J126" s="23">
        <f>IF(J$4="","",(Data!F47*$C$3)/(Market_Price*Common_Shares))</f>
        <v>1.7509687428871438E-2</v>
      </c>
      <c r="K126" s="23">
        <f>IF(K$4="","",(Data!G47*$C$3)/(Market_Price*Common_Shares))</f>
        <v>1.4461227339479354E-2</v>
      </c>
      <c r="L126" s="23">
        <f>IF(L$4="","",(Data!H47*$C$3)/(Market_Price*Common_Shares))</f>
        <v>1.2990079933155813E-2</v>
      </c>
      <c r="M126" s="23">
        <f>IF(M$4="","",(Data!I47*$C$3)/(Market_Price*Common_Shares))</f>
        <v>1.5644211851780759E-2</v>
      </c>
      <c r="N126" s="23">
        <f>IF(N$4="","",(Data!J47*$C$3)/(Market_Price*Common_Shares))</f>
        <v>1.35739889552533E-2</v>
      </c>
      <c r="O126" s="23">
        <f>IF(O$4="","",(Data!K47*$C$3)/(Market_Price*Common_Shares))</f>
        <v>1.3755986572530439E-2</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171.48923221264295</v>
      </c>
      <c r="D4" t="str">
        <f>Reporting_currency</f>
        <v>USD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2286.5230961685729</v>
      </c>
      <c r="D6" t="str">
        <f>Reporting_currency</f>
        <v>USD</v>
      </c>
      <c r="E6" s="364" t="s">
        <v>249</v>
      </c>
      <c r="F6" s="364"/>
      <c r="H6" s="120"/>
    </row>
    <row r="7" spans="2:8" x14ac:dyDescent="0.15">
      <c r="B7" s="148" t="s">
        <v>224</v>
      </c>
      <c r="C7" s="338">
        <f>BS!G31</f>
        <v>155.30000000000001</v>
      </c>
      <c r="D7" t="str">
        <f>Reporting_currency</f>
        <v>USD</v>
      </c>
      <c r="E7" s="364"/>
      <c r="F7" s="364"/>
      <c r="H7" s="120"/>
    </row>
    <row r="8" spans="2:8" x14ac:dyDescent="0.15">
      <c r="B8" s="148" t="s">
        <v>225</v>
      </c>
      <c r="C8" s="338">
        <f>BS!D66</f>
        <v>-129.96962960805081</v>
      </c>
      <c r="D8" t="str">
        <f>Reporting_currency</f>
        <v>USD</v>
      </c>
      <c r="E8" s="364"/>
      <c r="F8" s="364"/>
      <c r="H8" s="120"/>
    </row>
    <row r="9" spans="2:8" x14ac:dyDescent="0.15">
      <c r="B9" s="205" t="s">
        <v>190</v>
      </c>
      <c r="C9" s="348">
        <f>BS!H42</f>
        <v>0.39</v>
      </c>
      <c r="D9" t="str">
        <f>Reporting_currency</f>
        <v>USD</v>
      </c>
      <c r="E9" s="364"/>
      <c r="F9" s="364"/>
      <c r="H9" s="120"/>
    </row>
    <row r="10" spans="2:8" x14ac:dyDescent="0.15">
      <c r="B10" s="149" t="s">
        <v>227</v>
      </c>
      <c r="C10" s="347">
        <f>C6-C7+C8+C9</f>
        <v>2001.643466560522</v>
      </c>
      <c r="D10" t="str">
        <f>Reporting_currency</f>
        <v>USD</v>
      </c>
      <c r="H10" s="120"/>
    </row>
    <row r="11" spans="2:8" ht="14" thickBot="1" x14ac:dyDescent="0.2">
      <c r="B11" s="207" t="s">
        <v>166</v>
      </c>
      <c r="C11" s="208">
        <f>Exchange_Rate</f>
        <v>7.8395000000000001</v>
      </c>
      <c r="D11" t="str">
        <f>Thesis!C15</f>
        <v>USD/HKD</v>
      </c>
      <c r="H11" s="120"/>
    </row>
    <row r="12" spans="2:8" ht="14" thickTop="1" x14ac:dyDescent="0.15">
      <c r="B12" s="149" t="s">
        <v>102</v>
      </c>
      <c r="C12" s="111">
        <f>(C10*scaling_factor)/Common_Shares*Exchange_Rate</f>
        <v>61.996514191770444</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3.5100095863245001E-2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70.138397232879441</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x14ac:dyDescent="0.15">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x14ac:dyDescent="0.15">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x14ac:dyDescent="0.15">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x14ac:dyDescent="0.15">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x14ac:dyDescent="0.15">
      <c r="B26" s="122">
        <v>6</v>
      </c>
      <c r="C26" s="123">
        <f t="shared" si="2"/>
        <v>210.92640408424856</v>
      </c>
      <c r="D26" s="138">
        <f>IF($C$17&lt;B26,0,DCF!$C$16)</f>
        <v>3.5100095863245001E-2</v>
      </c>
      <c r="E26" s="124">
        <f t="shared" si="0"/>
        <v>0.64796151846522443</v>
      </c>
      <c r="F26" s="125">
        <f t="shared" si="1"/>
        <v>136.67219307483921</v>
      </c>
      <c r="H26" s="120"/>
    </row>
    <row r="27" spans="2:17" x14ac:dyDescent="0.15">
      <c r="B27" s="122">
        <v>7</v>
      </c>
      <c r="C27" s="123">
        <f t="shared" si="2"/>
        <v>218.3299410876952</v>
      </c>
      <c r="D27" s="138">
        <f>IF($C$17&lt;B27,0,DCF!$C$16)</f>
        <v>3.5100095863245001E-2</v>
      </c>
      <c r="E27" s="124">
        <f t="shared" si="0"/>
        <v>0.60275490089788319</v>
      </c>
      <c r="F27" s="125">
        <f t="shared" si="1"/>
        <v>131.5994420033544</v>
      </c>
      <c r="H27" s="120"/>
    </row>
    <row r="28" spans="2:17" x14ac:dyDescent="0.15">
      <c r="B28" s="122">
        <v>8</v>
      </c>
      <c r="C28" s="123">
        <f t="shared" si="2"/>
        <v>225.99334294968995</v>
      </c>
      <c r="D28" s="138">
        <f>IF($C$17&lt;B28,0,DCF!$C$16)</f>
        <v>3.5100095863245001E-2</v>
      </c>
      <c r="E28" s="124">
        <f t="shared" si="0"/>
        <v>0.56070223339337966</v>
      </c>
      <c r="F28" s="125">
        <f t="shared" si="1"/>
        <v>126.71497212392714</v>
      </c>
      <c r="H28" s="120"/>
    </row>
    <row r="29" spans="2:17" x14ac:dyDescent="0.15">
      <c r="B29" s="122">
        <v>9</v>
      </c>
      <c r="C29" s="123">
        <f t="shared" si="2"/>
        <v>233.9257309516793</v>
      </c>
      <c r="D29" s="138">
        <f>IF($C$17&lt;B29,0,DCF!$C$16)</f>
        <v>3.5100095863245001E-2</v>
      </c>
      <c r="E29" s="124">
        <f t="shared" si="0"/>
        <v>0.52158347292407414</v>
      </c>
      <c r="F29" s="125">
        <f t="shared" si="1"/>
        <v>122.01179515607947</v>
      </c>
      <c r="H29" s="120"/>
    </row>
    <row r="30" spans="2:17" x14ac:dyDescent="0.15">
      <c r="B30" s="122">
        <v>10</v>
      </c>
      <c r="C30" s="123">
        <f t="shared" si="2"/>
        <v>242.13654653296291</v>
      </c>
      <c r="D30" s="138">
        <f>IF($C$17&lt;B30,0,DCF!$C$16)</f>
        <v>3.5100095863245001E-2</v>
      </c>
      <c r="E30" s="124">
        <f t="shared" si="0"/>
        <v>0.48519392830146441</v>
      </c>
      <c r="F30" s="125">
        <f t="shared" si="1"/>
        <v>117.4831821976786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2366.7802760376135</v>
      </c>
      <c r="D51" s="139">
        <f>Terminal_Growth</f>
        <v>0</v>
      </c>
      <c r="E51" s="124">
        <f>1/(1+Equity_Cost)^C17</f>
        <v>0.48519392830146441</v>
      </c>
      <c r="F51" s="125">
        <f t="shared" si="1"/>
        <v>1148.3474195571139</v>
      </c>
      <c r="H51" s="120"/>
    </row>
    <row r="52" spans="1:17" x14ac:dyDescent="0.15">
      <c r="C52" s="114"/>
      <c r="E52" s="127" t="s">
        <v>100</v>
      </c>
      <c r="F52" s="137">
        <f>SUM(F21:F51)</f>
        <v>2549.3950851375766</v>
      </c>
      <c r="H52" s="120"/>
    </row>
    <row r="53" spans="1:17" x14ac:dyDescent="0.15">
      <c r="C53" s="114"/>
      <c r="H53" s="120"/>
    </row>
    <row r="54" spans="1:17" x14ac:dyDescent="0.15">
      <c r="B54" s="119" t="s">
        <v>129</v>
      </c>
      <c r="C54" s="136"/>
      <c r="D54" s="136"/>
      <c r="E54" s="117"/>
      <c r="F54" s="117"/>
      <c r="H54" s="120"/>
    </row>
    <row r="55" spans="1:17" x14ac:dyDescent="0.15">
      <c r="A55" s="133">
        <f>F52</f>
        <v>2549.3950851375766</v>
      </c>
      <c r="B55" s="131">
        <f>C78</f>
        <v>0</v>
      </c>
      <c r="C55" s="131">
        <f>C77</f>
        <v>0.01</v>
      </c>
      <c r="D55" s="131">
        <f>C76</f>
        <v>0.03</v>
      </c>
      <c r="E55" s="131">
        <f>C75</f>
        <v>0.05</v>
      </c>
      <c r="F55" s="131">
        <f>C74</f>
        <v>0.08</v>
      </c>
      <c r="H55" s="120"/>
    </row>
    <row r="56" spans="1:17" x14ac:dyDescent="0.15">
      <c r="A56" s="143">
        <v>5</v>
      </c>
      <c r="B56" s="123">
        <f t="dataTable" ref="B56:F61" dt2D="1" dtr="1" r1="C16" r2="C17"/>
        <v>2286.5230961685729</v>
      </c>
      <c r="C56" s="123">
        <v>2322.5181544876964</v>
      </c>
      <c r="D56" s="123">
        <v>2396.0696561704076</v>
      </c>
      <c r="E56" s="123">
        <v>2471.7794931152084</v>
      </c>
      <c r="F56" s="123">
        <v>2589.5981757852073</v>
      </c>
      <c r="H56" s="120"/>
    </row>
    <row r="57" spans="1:17" x14ac:dyDescent="0.15">
      <c r="A57" s="143">
        <v>10</v>
      </c>
      <c r="B57" s="123">
        <v>2286.5230961685734</v>
      </c>
      <c r="C57" s="123">
        <v>2357.02955929581</v>
      </c>
      <c r="D57" s="123">
        <v>2508.4224580809523</v>
      </c>
      <c r="E57" s="123">
        <v>2675.0372314135711</v>
      </c>
      <c r="F57" s="123">
        <v>2957.5392154274923</v>
      </c>
      <c r="H57" s="120"/>
    </row>
    <row r="58" spans="1:17" x14ac:dyDescent="0.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x14ac:dyDescent="0.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x14ac:dyDescent="0.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x14ac:dyDescent="0.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0.08</v>
      </c>
      <c r="H64" s="120"/>
    </row>
    <row r="65" spans="1:8" x14ac:dyDescent="0.15">
      <c r="A65" s="143">
        <v>0</v>
      </c>
      <c r="B65" s="124">
        <f>C12</f>
        <v>61.996514191770444</v>
      </c>
      <c r="C65" s="124">
        <f>C12</f>
        <v>61.996514191770444</v>
      </c>
      <c r="D65" s="124">
        <f>C12</f>
        <v>61.996514191770444</v>
      </c>
      <c r="E65" s="141">
        <f>C12</f>
        <v>61.996514191770444</v>
      </c>
      <c r="F65" s="124">
        <f>C12</f>
        <v>61.996514191770444</v>
      </c>
      <c r="H65" s="120"/>
    </row>
    <row r="66" spans="1:8" x14ac:dyDescent="0.15">
      <c r="A66" s="143">
        <f t="shared" ref="A66:A71" si="3">A56</f>
        <v>5</v>
      </c>
      <c r="B66" s="124">
        <f t="shared" ref="B66:F71" si="4">(B56-$C$7+$C$8+$C$9)/Common_Shares*$C$3*Exchange_Rate</f>
        <v>61.996514191770444</v>
      </c>
      <c r="C66" s="124">
        <f t="shared" si="4"/>
        <v>63.111382139632163</v>
      </c>
      <c r="D66" s="124">
        <f t="shared" si="4"/>
        <v>65.389478510977298</v>
      </c>
      <c r="E66" s="124">
        <f t="shared" si="4"/>
        <v>67.734424581053574</v>
      </c>
      <c r="F66" s="124">
        <f t="shared" si="4"/>
        <v>71.383599748476158</v>
      </c>
      <c r="H66" s="120"/>
    </row>
    <row r="67" spans="1:8" x14ac:dyDescent="0.15">
      <c r="A67" s="143">
        <f t="shared" si="3"/>
        <v>10</v>
      </c>
      <c r="B67" s="124">
        <f t="shared" si="4"/>
        <v>61.996514191770451</v>
      </c>
      <c r="C67" s="124">
        <f t="shared" si="4"/>
        <v>64.180297175555424</v>
      </c>
      <c r="D67" s="124">
        <f t="shared" si="4"/>
        <v>68.869360015599696</v>
      </c>
      <c r="E67" s="124">
        <f t="shared" si="4"/>
        <v>74.029887018554845</v>
      </c>
      <c r="F67" s="124">
        <f t="shared" si="4"/>
        <v>82.779766082291104</v>
      </c>
      <c r="H67" s="120"/>
    </row>
    <row r="68" spans="1:8" x14ac:dyDescent="0.15">
      <c r="A68" s="143">
        <f t="shared" si="3"/>
        <v>15</v>
      </c>
      <c r="B68" s="124">
        <f t="shared" si="4"/>
        <v>61.996514191770466</v>
      </c>
      <c r="C68" s="124">
        <f t="shared" si="4"/>
        <v>65.500023736958767</v>
      </c>
      <c r="D68" s="124">
        <f t="shared" si="4"/>
        <v>73.389894301933268</v>
      </c>
      <c r="E68" s="124">
        <f t="shared" si="4"/>
        <v>82.651320311307785</v>
      </c>
      <c r="F68" s="124">
        <f t="shared" si="4"/>
        <v>99.728455692960466</v>
      </c>
      <c r="H68" s="120"/>
    </row>
    <row r="69" spans="1:8" x14ac:dyDescent="0.15">
      <c r="A69" s="144">
        <f t="shared" si="3"/>
        <v>20</v>
      </c>
      <c r="B69" s="124">
        <f t="shared" si="4"/>
        <v>61.996514191770451</v>
      </c>
      <c r="C69" s="124">
        <f t="shared" si="4"/>
        <v>66.84036296347611</v>
      </c>
      <c r="D69" s="124">
        <f t="shared" si="4"/>
        <v>78.231715111330075</v>
      </c>
      <c r="E69" s="124">
        <f t="shared" si="4"/>
        <v>92.422723128486339</v>
      </c>
      <c r="F69" s="124">
        <f t="shared" si="4"/>
        <v>120.7563103419848</v>
      </c>
      <c r="H69" s="120"/>
    </row>
    <row r="70" spans="1:8" x14ac:dyDescent="0.15">
      <c r="A70" s="144">
        <f t="shared" si="3"/>
        <v>25</v>
      </c>
      <c r="B70" s="124">
        <f t="shared" si="4"/>
        <v>61.996514191770451</v>
      </c>
      <c r="C70" s="124">
        <f t="shared" si="4"/>
        <v>68.082250692329865</v>
      </c>
      <c r="D70" s="124">
        <f t="shared" si="4"/>
        <v>82.971431624937026</v>
      </c>
      <c r="E70" s="124">
        <f t="shared" si="4"/>
        <v>102.5771320852156</v>
      </c>
      <c r="F70" s="124">
        <f t="shared" si="4"/>
        <v>144.84201436696011</v>
      </c>
    </row>
    <row r="71" spans="1:8" x14ac:dyDescent="0.15">
      <c r="A71" s="144">
        <f t="shared" si="3"/>
        <v>30</v>
      </c>
      <c r="B71" s="124">
        <f t="shared" si="4"/>
        <v>61.996514191770451</v>
      </c>
      <c r="C71" s="124">
        <f t="shared" si="4"/>
        <v>69.172974512966206</v>
      </c>
      <c r="D71" s="124">
        <f t="shared" si="4"/>
        <v>87.376862138092605</v>
      </c>
      <c r="E71" s="124">
        <f t="shared" si="4"/>
        <v>112.62670982182712</v>
      </c>
      <c r="F71" s="124">
        <f t="shared" si="4"/>
        <v>171.27924280210007</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0.08</v>
      </c>
      <c r="D74" s="145">
        <f>Scenarios!C55</f>
        <v>15</v>
      </c>
      <c r="E74" s="135">
        <f>INDEX(B$65:F$71, MATCH(D74, A$65:A$71, 0), MATCH(C74, B$64:F$64, 0))</f>
        <v>99.728455692960466</v>
      </c>
      <c r="F74" s="142">
        <f>Scenarios!C58</f>
        <v>0.05</v>
      </c>
    </row>
    <row r="75" spans="1:8" x14ac:dyDescent="0.15">
      <c r="B75" s="127" t="str">
        <f>Scenarios!B36</f>
        <v>Optimistic</v>
      </c>
      <c r="C75" s="142">
        <f>Scenarios!C38</f>
        <v>0.05</v>
      </c>
      <c r="D75" s="145">
        <f>Scenarios!C37</f>
        <v>10</v>
      </c>
      <c r="E75" s="135">
        <f>INDEX(B$65:F$71, MATCH(D75, A$65:A$71, 0), MATCH(C75, B$64:F$64, 0))</f>
        <v>74.029887018554845</v>
      </c>
      <c r="F75" s="142">
        <f>Scenarios!C40*(1-F$74-F$78)</f>
        <v>0.18</v>
      </c>
      <c r="H75" s="120"/>
    </row>
    <row r="76" spans="1:8" x14ac:dyDescent="0.15">
      <c r="B76" s="127" t="str">
        <f>Scenarios!B24</f>
        <v>Base</v>
      </c>
      <c r="C76" s="142">
        <f>Scenarios!C26</f>
        <v>0.03</v>
      </c>
      <c r="D76" s="145">
        <f>Scenarios!C25</f>
        <v>10</v>
      </c>
      <c r="E76" s="135">
        <f>INDEX(B$65:F$71, MATCH(D76, A$65:A$71, 0), MATCH(C76, B$64:F$64, 0))</f>
        <v>68.869360015599696</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64.180297175555424</v>
      </c>
      <c r="F77" s="142">
        <f>Scenarios!C34*(1-F$74-F$78)</f>
        <v>0.18</v>
      </c>
      <c r="H77" s="120"/>
    </row>
    <row r="78" spans="1:8" x14ac:dyDescent="0.15">
      <c r="B78" s="127" t="str">
        <f>Scenarios!B48</f>
        <v>Devil's advocate</v>
      </c>
      <c r="C78" s="142">
        <f>Scenarios!C50</f>
        <v>0</v>
      </c>
      <c r="D78" s="145">
        <f>Scenarios!C49</f>
        <v>15</v>
      </c>
      <c r="E78" s="135">
        <f>INDEX(B$65:F$71, MATCH(D78, A$65:A$71, 0), MATCH(C78, B$64:F$64, 0))</f>
        <v>61.996514191770466</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1000000</v>
      </c>
      <c r="E3" s="109" t="s">
        <v>124</v>
      </c>
      <c r="H3" s="120"/>
    </row>
    <row r="4" spans="2:8" x14ac:dyDescent="0.15">
      <c r="B4" s="100" t="s">
        <v>439</v>
      </c>
      <c r="C4" s="114">
        <f>Normalized_FCF!C91</f>
        <v>1289.7618812997748</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17196.825083996999</v>
      </c>
      <c r="D6" t="str">
        <f>Reporting_currency</f>
        <v>USD</v>
      </c>
      <c r="E6" s="364"/>
      <c r="F6" s="364"/>
      <c r="H6" s="120"/>
    </row>
    <row r="7" spans="2:8" x14ac:dyDescent="0.15">
      <c r="B7" s="149" t="s">
        <v>443</v>
      </c>
      <c r="C7" s="111">
        <f>(C6*scaling_factor)/Common_Shares*Exchange_Rate</f>
        <v>532.63392216666659</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3.5100095863245001E-2</v>
      </c>
      <c r="H11" s="120"/>
    </row>
    <row r="12" spans="2:8" ht="13.25" customHeight="1" x14ac:dyDescent="0.15">
      <c r="B12" s="118" t="s">
        <v>134</v>
      </c>
      <c r="C12" s="162">
        <f>Scenarios!C64</f>
        <v>10</v>
      </c>
      <c r="H12" s="120"/>
    </row>
    <row r="13" spans="2:8" ht="13.25" customHeight="1" x14ac:dyDescent="0.15">
      <c r="B13" s="153" t="s">
        <v>106</v>
      </c>
      <c r="C13" s="140">
        <f>F47/Common_Shares*scaling_factor</f>
        <v>75.753378989708224</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1335.0326469741563</v>
      </c>
      <c r="D16" s="138">
        <f>IF($C$12&lt;B16,0,DDM!$C$11)</f>
        <v>3.5100095863245001E-2</v>
      </c>
      <c r="E16" s="124">
        <f t="shared" ref="E16:E45" si="0">IF($C$12&lt;B16,0,1/(1+Equity_Cost)^B16)</f>
        <v>0.93023255813953487</v>
      </c>
      <c r="F16" s="125">
        <f t="shared" ref="F16:F46" si="1">C16*E16</f>
        <v>1241.8908343945639</v>
      </c>
      <c r="H16" s="120"/>
    </row>
    <row r="17" spans="2:8" x14ac:dyDescent="0.15">
      <c r="B17" s="122">
        <v>2</v>
      </c>
      <c r="C17" s="123">
        <f t="shared" ref="C17:C45" si="2">IF(ROW()-ROW($C$16)&lt;$C$12, $C$16*(1+D17)^(ROW()-ROW($C$16)), 0)</f>
        <v>1381.892420863511</v>
      </c>
      <c r="D17" s="138">
        <f>IF($C$12&lt;B17,0,DDM!$C$11)</f>
        <v>3.5100095863245001E-2</v>
      </c>
      <c r="E17" s="124">
        <f t="shared" si="0"/>
        <v>0.86533261222282321</v>
      </c>
      <c r="F17" s="125">
        <f t="shared" si="1"/>
        <v>1195.7965783567429</v>
      </c>
      <c r="H17" s="120"/>
    </row>
    <row r="18" spans="2:8" x14ac:dyDescent="0.15">
      <c r="B18" s="122">
        <v>3</v>
      </c>
      <c r="C18" s="123">
        <f t="shared" si="2"/>
        <v>1430.3969773085119</v>
      </c>
      <c r="D18" s="138">
        <f>IF($C$12&lt;B18,0,DDM!$C$11)</f>
        <v>3.5100095863245001E-2</v>
      </c>
      <c r="E18" s="124">
        <f t="shared" si="0"/>
        <v>0.80496056950960304</v>
      </c>
      <c r="F18" s="125">
        <f t="shared" si="1"/>
        <v>1151.4131654790745</v>
      </c>
      <c r="H18" s="120"/>
    </row>
    <row r="19" spans="2:8" x14ac:dyDescent="0.15">
      <c r="B19" s="122">
        <v>4</v>
      </c>
      <c r="C19" s="123">
        <f t="shared" si="2"/>
        <v>1480.6040483345364</v>
      </c>
      <c r="D19" s="138">
        <f>IF($C$12&lt;B19,0,DDM!$C$11)</f>
        <v>3.5100095863245001E-2</v>
      </c>
      <c r="E19" s="124">
        <f t="shared" si="0"/>
        <v>0.7488005297763749</v>
      </c>
      <c r="F19" s="125">
        <f t="shared" si="1"/>
        <v>1108.6770957819463</v>
      </c>
      <c r="H19" s="120"/>
    </row>
    <row r="20" spans="2:8" x14ac:dyDescent="0.15">
      <c r="B20" s="122">
        <v>5</v>
      </c>
      <c r="C20" s="123">
        <f t="shared" si="2"/>
        <v>1532.5733923665873</v>
      </c>
      <c r="D20" s="138">
        <f>IF($C$12&lt;B20,0,DDM!$C$11)</f>
        <v>3.5100095863245001E-2</v>
      </c>
      <c r="E20" s="124">
        <f t="shared" si="0"/>
        <v>0.69655863235011617</v>
      </c>
      <c r="F20" s="125">
        <f t="shared" si="1"/>
        <v>1067.527226163048</v>
      </c>
      <c r="H20" s="120"/>
    </row>
    <row r="21" spans="2:8" x14ac:dyDescent="0.15">
      <c r="B21" s="122">
        <v>6</v>
      </c>
      <c r="C21" s="123">
        <f t="shared" si="2"/>
        <v>1586.3668653561131</v>
      </c>
      <c r="D21" s="138">
        <f>IF($C$12&lt;B21,0,DDM!$C$11)</f>
        <v>3.5100095863245001E-2</v>
      </c>
      <c r="E21" s="124">
        <f t="shared" si="0"/>
        <v>0.64796151846522443</v>
      </c>
      <c r="F21" s="125">
        <f t="shared" si="1"/>
        <v>1027.9046829190652</v>
      </c>
      <c r="H21" s="120"/>
    </row>
    <row r="22" spans="2:8" x14ac:dyDescent="0.15">
      <c r="B22" s="122">
        <v>7</v>
      </c>
      <c r="C22" s="123">
        <f t="shared" si="2"/>
        <v>1642.0484944043881</v>
      </c>
      <c r="D22" s="138">
        <f>IF($C$12&lt;B22,0,DDM!$C$11)</f>
        <v>3.5100095863245001E-2</v>
      </c>
      <c r="E22" s="124">
        <f t="shared" si="0"/>
        <v>0.60275490089788319</v>
      </c>
      <c r="F22" s="125">
        <f t="shared" si="1"/>
        <v>989.75277751423528</v>
      </c>
      <c r="H22" s="120"/>
    </row>
    <row r="23" spans="2:8" x14ac:dyDescent="0.15">
      <c r="B23" s="122">
        <v>8</v>
      </c>
      <c r="C23" s="123">
        <f t="shared" si="2"/>
        <v>1699.6845539700792</v>
      </c>
      <c r="D23" s="138">
        <f>IF($C$12&lt;B23,0,DDM!$C$11)</f>
        <v>3.5100095863245001E-2</v>
      </c>
      <c r="E23" s="124">
        <f t="shared" si="0"/>
        <v>0.56070223339337966</v>
      </c>
      <c r="F23" s="125">
        <f t="shared" si="1"/>
        <v>953.01692547525374</v>
      </c>
      <c r="H23" s="120"/>
    </row>
    <row r="24" spans="2:8" x14ac:dyDescent="0.15">
      <c r="B24" s="122">
        <v>9</v>
      </c>
      <c r="C24" s="123">
        <f t="shared" si="2"/>
        <v>1759.3436447517058</v>
      </c>
      <c r="D24" s="138">
        <f>IF($C$12&lt;B24,0,DDM!$C$11)</f>
        <v>3.5100095863245001E-2</v>
      </c>
      <c r="E24" s="124">
        <f t="shared" si="0"/>
        <v>0.52158347292407414</v>
      </c>
      <c r="F24" s="125">
        <f t="shared" si="1"/>
        <v>917.64456829649328</v>
      </c>
      <c r="H24" s="120"/>
    </row>
    <row r="25" spans="2:8" x14ac:dyDescent="0.15">
      <c r="B25" s="122">
        <v>10</v>
      </c>
      <c r="C25" s="123">
        <f t="shared" si="2"/>
        <v>1821.0967753388818</v>
      </c>
      <c r="D25" s="138">
        <f>IF($C$12&lt;B25,0,DDM!$C$11)</f>
        <v>3.5100095863245001E-2</v>
      </c>
      <c r="E25" s="124">
        <f t="shared" si="0"/>
        <v>0.48519392830146441</v>
      </c>
      <c r="F25" s="125">
        <f t="shared" si="1"/>
        <v>883.58509824380144</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17800.43529298875</v>
      </c>
      <c r="D46" s="139">
        <f>Terminal_Growth</f>
        <v>0</v>
      </c>
      <c r="E46" s="124">
        <f>1/(1+Equity_Cost)^C12</f>
        <v>0.48519392830146441</v>
      </c>
      <c r="F46" s="125">
        <f t="shared" si="1"/>
        <v>8636.6631252812404</v>
      </c>
      <c r="H46" s="120"/>
    </row>
    <row r="47" spans="2:8" x14ac:dyDescent="0.15">
      <c r="C47" s="114"/>
      <c r="E47" s="127" t="s">
        <v>100</v>
      </c>
      <c r="F47" s="137">
        <f>SUM(F16:F46)</f>
        <v>19173.872077905464</v>
      </c>
      <c r="H47" s="120"/>
    </row>
    <row r="48" spans="2:8" x14ac:dyDescent="0.15">
      <c r="C48" s="114"/>
      <c r="H48" s="120"/>
    </row>
    <row r="49" spans="1:8" x14ac:dyDescent="0.15">
      <c r="B49" s="119" t="s">
        <v>129</v>
      </c>
      <c r="C49" s="136"/>
      <c r="D49" s="136"/>
      <c r="E49" s="117"/>
      <c r="F49" s="117"/>
      <c r="H49" s="120"/>
    </row>
    <row r="50" spans="1:8" x14ac:dyDescent="0.15">
      <c r="A50" s="133">
        <f>F47</f>
        <v>19173.872077905464</v>
      </c>
      <c r="B50" s="131">
        <f>C73</f>
        <v>0</v>
      </c>
      <c r="C50" s="131">
        <f>C72</f>
        <v>0.01</v>
      </c>
      <c r="D50" s="131">
        <f>C71</f>
        <v>0.03</v>
      </c>
      <c r="E50" s="131">
        <f>C70</f>
        <v>0.05</v>
      </c>
      <c r="F50" s="131">
        <f>C69</f>
        <v>0.08</v>
      </c>
      <c r="H50" s="120"/>
    </row>
    <row r="51" spans="1:8" x14ac:dyDescent="0.15">
      <c r="A51" s="143">
        <v>5</v>
      </c>
      <c r="B51" s="123">
        <f t="dataTable" ref="B51:F56" dt2D="1" dtr="1" r1="C11" r2="C12"/>
        <v>17196.825083996999</v>
      </c>
      <c r="C51" s="123">
        <v>17467.542105329288</v>
      </c>
      <c r="D51" s="123">
        <v>18020.719246300378</v>
      </c>
      <c r="E51" s="123">
        <v>18590.129118109384</v>
      </c>
      <c r="F51" s="123">
        <v>19476.237498513663</v>
      </c>
      <c r="H51" s="120"/>
    </row>
    <row r="52" spans="1:8" x14ac:dyDescent="0.15">
      <c r="A52" s="143">
        <v>10</v>
      </c>
      <c r="B52" s="123">
        <v>17196.825083997002</v>
      </c>
      <c r="C52" s="123">
        <v>17727.100643304533</v>
      </c>
      <c r="D52" s="123">
        <v>18865.719012709975</v>
      </c>
      <c r="E52" s="123">
        <v>20118.820334193246</v>
      </c>
      <c r="F52" s="123">
        <v>22243.503532499919</v>
      </c>
      <c r="H52" s="120"/>
    </row>
    <row r="53" spans="1:8" x14ac:dyDescent="0.15">
      <c r="A53" s="143">
        <v>15</v>
      </c>
      <c r="B53" s="123">
        <v>17196.825083996999</v>
      </c>
      <c r="C53" s="123">
        <v>18047.562312654205</v>
      </c>
      <c r="D53" s="123">
        <v>19963.414555194526</v>
      </c>
      <c r="E53" s="123">
        <v>22212.31377896003</v>
      </c>
      <c r="F53" s="123">
        <v>26359.057106074379</v>
      </c>
      <c r="H53" s="120"/>
    </row>
    <row r="54" spans="1:8" x14ac:dyDescent="0.15">
      <c r="A54" s="144">
        <v>20</v>
      </c>
      <c r="B54" s="123">
        <v>17196.825083997002</v>
      </c>
      <c r="C54" s="123">
        <v>18373.029237838964</v>
      </c>
      <c r="D54" s="123">
        <v>21139.126270522429</v>
      </c>
      <c r="E54" s="123">
        <v>24585.047760574707</v>
      </c>
      <c r="F54" s="123">
        <v>31465.131046499704</v>
      </c>
      <c r="H54" s="120"/>
    </row>
    <row r="55" spans="1:8" x14ac:dyDescent="0.15">
      <c r="A55" s="144">
        <v>25</v>
      </c>
      <c r="B55" s="123">
        <v>17196.825083996999</v>
      </c>
      <c r="C55" s="123">
        <v>18674.589747699567</v>
      </c>
      <c r="D55" s="123">
        <v>22290.04458240332</v>
      </c>
      <c r="E55" s="123">
        <v>27050.784937276301</v>
      </c>
      <c r="F55" s="123">
        <v>37313.725100027194</v>
      </c>
      <c r="H55" s="120"/>
    </row>
    <row r="56" spans="1:8" x14ac:dyDescent="0.15">
      <c r="A56" s="144">
        <v>30</v>
      </c>
      <c r="B56" s="123">
        <v>17196.825083997002</v>
      </c>
      <c r="C56" s="123">
        <v>18939.44398840599</v>
      </c>
      <c r="D56" s="123">
        <v>23359.790132533511</v>
      </c>
      <c r="E56" s="123">
        <v>29491.066547058675</v>
      </c>
      <c r="F56" s="123">
        <v>43733.326406145352</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0.01</v>
      </c>
      <c r="D59" s="132">
        <f>D50</f>
        <v>0.03</v>
      </c>
      <c r="E59" s="132">
        <f>E50</f>
        <v>0.05</v>
      </c>
      <c r="F59" s="132">
        <f>F50</f>
        <v>0.08</v>
      </c>
      <c r="H59" s="120"/>
    </row>
    <row r="60" spans="1:8" x14ac:dyDescent="0.15">
      <c r="A60" s="143">
        <v>0</v>
      </c>
      <c r="B60" s="124">
        <f>C7</f>
        <v>532.63392216666659</v>
      </c>
      <c r="C60" s="124">
        <f>C7</f>
        <v>532.63392216666659</v>
      </c>
      <c r="D60" s="124">
        <f>C7</f>
        <v>532.63392216666659</v>
      </c>
      <c r="E60" s="141">
        <f>C7</f>
        <v>532.63392216666659</v>
      </c>
      <c r="F60" s="124">
        <f>C7</f>
        <v>532.63392216666659</v>
      </c>
      <c r="H60" s="120"/>
    </row>
    <row r="61" spans="1:8" x14ac:dyDescent="0.15">
      <c r="A61" s="143">
        <f t="shared" ref="A61:A66" si="3">A51</f>
        <v>5</v>
      </c>
      <c r="B61" s="124">
        <f t="shared" ref="B61:F66" si="4">B51/Common_Shares*$C$3*Exchange_Rate</f>
        <v>532.63392216666659</v>
      </c>
      <c r="C61" s="124">
        <f t="shared" si="4"/>
        <v>541.01878787095745</v>
      </c>
      <c r="D61" s="124">
        <f t="shared" si="4"/>
        <v>558.15223598182774</v>
      </c>
      <c r="E61" s="124">
        <f t="shared" si="4"/>
        <v>575.78845731109402</v>
      </c>
      <c r="F61" s="124">
        <f t="shared" si="4"/>
        <v>603.23372001593418</v>
      </c>
      <c r="H61" s="120"/>
    </row>
    <row r="62" spans="1:8" x14ac:dyDescent="0.15">
      <c r="A62" s="143">
        <f t="shared" si="3"/>
        <v>10</v>
      </c>
      <c r="B62" s="124">
        <f t="shared" si="4"/>
        <v>532.63392216666671</v>
      </c>
      <c r="C62" s="124">
        <f t="shared" si="4"/>
        <v>549.05804403820503</v>
      </c>
      <c r="D62" s="124">
        <f t="shared" si="4"/>
        <v>584.32424957237652</v>
      </c>
      <c r="E62" s="124">
        <f t="shared" si="4"/>
        <v>623.13631333843625</v>
      </c>
      <c r="F62" s="124">
        <f t="shared" si="4"/>
        <v>688.94371323627081</v>
      </c>
      <c r="H62" s="120"/>
    </row>
    <row r="63" spans="1:8" x14ac:dyDescent="0.15">
      <c r="A63" s="143">
        <f t="shared" si="3"/>
        <v>15</v>
      </c>
      <c r="B63" s="124">
        <f t="shared" si="4"/>
        <v>532.63392216666659</v>
      </c>
      <c r="C63" s="124">
        <f t="shared" si="4"/>
        <v>558.98364106068288</v>
      </c>
      <c r="D63" s="124">
        <f t="shared" si="4"/>
        <v>618.3229603391967</v>
      </c>
      <c r="E63" s="124">
        <f t="shared" si="4"/>
        <v>687.97767905971671</v>
      </c>
      <c r="F63" s="124">
        <f t="shared" si="4"/>
        <v>816.41395446236265</v>
      </c>
      <c r="H63" s="120"/>
    </row>
    <row r="64" spans="1:8" x14ac:dyDescent="0.15">
      <c r="A64" s="144">
        <f t="shared" si="3"/>
        <v>20</v>
      </c>
      <c r="B64" s="124">
        <f t="shared" si="4"/>
        <v>532.63392216666671</v>
      </c>
      <c r="C64" s="124">
        <f t="shared" si="4"/>
        <v>569.06426489967305</v>
      </c>
      <c r="D64" s="124">
        <f t="shared" si="4"/>
        <v>654.73805086978268</v>
      </c>
      <c r="E64" s="124">
        <f t="shared" si="4"/>
        <v>761.46790767532445</v>
      </c>
      <c r="F64" s="124">
        <f t="shared" si="4"/>
        <v>974.56339056336799</v>
      </c>
      <c r="H64" s="120"/>
    </row>
    <row r="65" spans="1:8" x14ac:dyDescent="0.15">
      <c r="A65" s="144">
        <f t="shared" si="3"/>
        <v>25</v>
      </c>
      <c r="B65" s="124">
        <f t="shared" si="4"/>
        <v>532.63392216666659</v>
      </c>
      <c r="C65" s="124">
        <f t="shared" si="4"/>
        <v>578.40443998158992</v>
      </c>
      <c r="D65" s="124">
        <f t="shared" si="4"/>
        <v>690.38522013249838</v>
      </c>
      <c r="E65" s="124">
        <f t="shared" si="4"/>
        <v>837.8387061828289</v>
      </c>
      <c r="F65" s="124">
        <f t="shared" si="4"/>
        <v>1155.710757863736</v>
      </c>
    </row>
    <row r="66" spans="1:8" x14ac:dyDescent="0.15">
      <c r="A66" s="144">
        <f t="shared" si="3"/>
        <v>30</v>
      </c>
      <c r="B66" s="124">
        <f t="shared" si="4"/>
        <v>532.63392216666671</v>
      </c>
      <c r="C66" s="124">
        <f t="shared" si="4"/>
        <v>586.60771892063167</v>
      </c>
      <c r="D66" s="124">
        <f t="shared" si="4"/>
        <v>723.51824121651305</v>
      </c>
      <c r="E66" s="124">
        <f t="shared" si="4"/>
        <v>913.42107436188985</v>
      </c>
      <c r="F66" s="124">
        <f t="shared" si="4"/>
        <v>1354.543821857967</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0.08</v>
      </c>
      <c r="D69" s="145">
        <f>Scenarios!C55</f>
        <v>15</v>
      </c>
      <c r="E69" s="135">
        <f>INDEX(B$60:F$66, MATCH(D69, A$60:A$66, 0), MATCH(C69, B$59:F$59, 0))</f>
        <v>816.41395446236265</v>
      </c>
      <c r="F69" s="142">
        <f>Scenarios!C58</f>
        <v>0.05</v>
      </c>
    </row>
    <row r="70" spans="1:8" x14ac:dyDescent="0.15">
      <c r="B70" s="127" t="str">
        <f>Scenarios!B36</f>
        <v>Optimistic</v>
      </c>
      <c r="C70" s="142">
        <f>Scenarios!C38</f>
        <v>0.05</v>
      </c>
      <c r="D70" s="145">
        <f>Scenarios!C37</f>
        <v>10</v>
      </c>
      <c r="E70" s="135">
        <f>INDEX(B$60:F$66, MATCH(D70, A$60:A$66, 0), MATCH(C70, B$59:F$59, 0))</f>
        <v>623.13631333843625</v>
      </c>
      <c r="F70" s="142">
        <f>Scenarios!C40*(1-F$69-F$73)</f>
        <v>0.18</v>
      </c>
      <c r="H70" s="120"/>
    </row>
    <row r="71" spans="1:8" x14ac:dyDescent="0.15">
      <c r="B71" s="127" t="str">
        <f>Scenarios!B24</f>
        <v>Base</v>
      </c>
      <c r="C71" s="142">
        <f>Scenarios!C26</f>
        <v>0.03</v>
      </c>
      <c r="D71" s="145">
        <f>Scenarios!C25</f>
        <v>10</v>
      </c>
      <c r="E71" s="135">
        <f>INDEX(B$60:F$66, MATCH(D71, A$60:A$66, 0), MATCH(C71, B$59:F$59, 0))</f>
        <v>584.32424957237652</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549.05804403820503</v>
      </c>
      <c r="F72" s="142">
        <f>Scenarios!C34*(1-F$69-F$73)</f>
        <v>0.18</v>
      </c>
      <c r="H72" s="120"/>
    </row>
    <row r="73" spans="1:8" x14ac:dyDescent="0.15">
      <c r="B73" s="127" t="str">
        <f>Scenarios!B48</f>
        <v>Devil's advocate</v>
      </c>
      <c r="C73" s="142">
        <f>Scenarios!C50</f>
        <v>0</v>
      </c>
      <c r="D73" s="145">
        <f>Scenarios!C49</f>
        <v>15</v>
      </c>
      <c r="E73" s="135">
        <f>INDEX(B$60:F$66, MATCH(D73, A$60:A$66, 0), MATCH(C73, B$59:F$59, 0))</f>
        <v>532.63392216666659</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-52.1</v>
      </c>
    </row>
    <row r="4" spans="2:9" x14ac:dyDescent="0.15">
      <c r="B4" s="152" t="s">
        <v>146</v>
      </c>
      <c r="C4" s="120">
        <v>3</v>
      </c>
      <c r="D4" s="120"/>
      <c r="E4" s="155" t="s">
        <v>150</v>
      </c>
      <c r="F4" s="155"/>
      <c r="H4" s="247">
        <v>1</v>
      </c>
      <c r="I4" s="124">
        <f t="shared" ref="I4:I13" si="0">IF(ROW()-3 &lt; $C$76, $C$77, IF(ROW()-3 = $C$76, $C$77 + $C$60, ""))</f>
        <v>5.095675</v>
      </c>
    </row>
    <row r="5" spans="2:9" x14ac:dyDescent="0.15">
      <c r="H5" s="247">
        <v>2</v>
      </c>
      <c r="I5" s="124">
        <f t="shared" si="0"/>
        <v>5.095675</v>
      </c>
    </row>
    <row r="6" spans="2:9" x14ac:dyDescent="0.15">
      <c r="B6" s="159" t="s">
        <v>95</v>
      </c>
      <c r="C6" s="107">
        <f>DCF!C3</f>
        <v>1000000</v>
      </c>
      <c r="E6" s="100" t="s">
        <v>279</v>
      </c>
      <c r="F6" s="100"/>
      <c r="H6" s="247">
        <v>3</v>
      </c>
      <c r="I6" s="124">
        <f t="shared" si="0"/>
        <v>75.24921105760022</v>
      </c>
    </row>
    <row r="7" spans="2:9" ht="12.75" customHeight="1" x14ac:dyDescent="0.15">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x14ac:dyDescent="0.15">
      <c r="B8" s="100" t="s">
        <v>66</v>
      </c>
      <c r="C8" s="338">
        <f>Normalized_FCF!G19</f>
        <v>199.70000000000005</v>
      </c>
      <c r="D8" t="str">
        <f>Reporting_currency</f>
        <v>USD</v>
      </c>
      <c r="E8" s="366"/>
      <c r="F8" s="366"/>
      <c r="H8" s="247">
        <v>5</v>
      </c>
      <c r="I8" s="124" t="str">
        <f t="shared" si="0"/>
        <v/>
      </c>
    </row>
    <row r="9" spans="2:9" x14ac:dyDescent="0.15">
      <c r="B9" s="100" t="s">
        <v>57</v>
      </c>
      <c r="C9" s="338">
        <f>Normalized_FCF!C19</f>
        <v>171.48923221264295</v>
      </c>
      <c r="D9" t="str">
        <f>Reporting_currency</f>
        <v>USD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-3.2910954099016121E-2</v>
      </c>
      <c r="D12" s="158"/>
      <c r="E12" s="366"/>
      <c r="F12" s="366"/>
      <c r="H12" s="247">
        <v>9</v>
      </c>
      <c r="I12" s="124" t="str">
        <f t="shared" si="0"/>
        <v/>
      </c>
    </row>
    <row r="13" spans="2:9" x14ac:dyDescent="0.15">
      <c r="B13" s="148" t="s">
        <v>152</v>
      </c>
      <c r="C13" s="158">
        <f ca="1">(Normalized_FCF!G8/OFFSET(Normalized_FCF!G8, 0, $C$4))^(1/$C$4) - 1</f>
        <v>-9.0823625892916704E-2</v>
      </c>
      <c r="E13" s="366"/>
      <c r="F13" s="366"/>
      <c r="H13" s="247">
        <v>10</v>
      </c>
      <c r="I13" s="124" t="str">
        <f t="shared" si="0"/>
        <v/>
      </c>
    </row>
    <row r="14" spans="2:9" x14ac:dyDescent="0.15">
      <c r="B14" s="100" t="s">
        <v>66</v>
      </c>
      <c r="C14" s="158">
        <f ca="1">(Normalized_FCF!G19/OFFSET(Normalized_FCF!G19, 0, $C$4))^(1/$C$4) - 1</f>
        <v>-9.5087824202677584E-2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52.1</v>
      </c>
      <c r="D21" t="str">
        <f>Market_currency</f>
        <v>HKD</v>
      </c>
      <c r="E21" s="367"/>
      <c r="F21" s="367"/>
    </row>
    <row r="22" spans="2:6" x14ac:dyDescent="0.15">
      <c r="B22" s="100" t="s">
        <v>278</v>
      </c>
      <c r="C22" s="160">
        <f>IF(valuation_method="DCF",DCF!C12,DDM!C7)</f>
        <v>61.996514191770444</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0.03</v>
      </c>
      <c r="D26" s="164"/>
      <c r="E26" s="365"/>
      <c r="F26" s="365"/>
    </row>
    <row r="27" spans="2:6" x14ac:dyDescent="0.15">
      <c r="B27" s="100" t="s">
        <v>113</v>
      </c>
      <c r="C27" s="160">
        <f>IF(valuation_method="DCF",DCF!E76,DDM!E71)</f>
        <v>68.869360015599696</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0.01</v>
      </c>
      <c r="D32" s="164"/>
      <c r="E32" s="365"/>
      <c r="F32" s="365"/>
    </row>
    <row r="33" spans="2:6" x14ac:dyDescent="0.15">
      <c r="B33" s="100" t="s">
        <v>113</v>
      </c>
      <c r="C33" s="160">
        <f>IF(valuation_method="DCF",DCF!E77,DDM!E72)</f>
        <v>64.180297175555424</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0.05</v>
      </c>
      <c r="D38" s="164"/>
      <c r="E38" s="365"/>
      <c r="F38" s="365"/>
    </row>
    <row r="39" spans="2:6" x14ac:dyDescent="0.15">
      <c r="B39" s="100" t="s">
        <v>113</v>
      </c>
      <c r="C39" s="160">
        <f>IF(valuation_method="DCF",DCF!E75,DDM!E70)</f>
        <v>74.029887018554845</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68.963652848181866</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61.996514191770466</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0.08</v>
      </c>
      <c r="D56" s="164"/>
      <c r="E56" s="365"/>
      <c r="F56" s="365"/>
    </row>
    <row r="57" spans="2:6" x14ac:dyDescent="0.15">
      <c r="B57" s="100" t="s">
        <v>113</v>
      </c>
      <c r="C57" s="160">
        <f>IF(valuation_method="DCF",DCF!E74,DDM!E69)</f>
        <v>99.728455692960466</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70.15353605760022</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3.5100095863245001E-2</v>
      </c>
      <c r="D65" s="151"/>
      <c r="E65" s="251" t="s">
        <v>312</v>
      </c>
    </row>
    <row r="66" spans="2:6" x14ac:dyDescent="0.15">
      <c r="B66" s="100" t="s">
        <v>102</v>
      </c>
      <c r="C66" s="160">
        <f>IF(valuation_method="DCF",DCF!C18,DDM!C13)</f>
        <v>70.138397232879441</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-0.12577443582497935</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5.095675</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8.4448548822045275</v>
      </c>
      <c r="D81" s="116"/>
      <c r="E81" s="100"/>
      <c r="F81" s="100"/>
    </row>
    <row r="82" spans="2:8" x14ac:dyDescent="0.15">
      <c r="B82" s="100" t="s">
        <v>122</v>
      </c>
      <c r="C82" s="116">
        <f>C60/(1+C80)^C76</f>
        <v>27.438656296679696</v>
      </c>
      <c r="D82" s="116"/>
    </row>
    <row r="83" spans="2:8" x14ac:dyDescent="0.15">
      <c r="B83" s="110" t="s">
        <v>101</v>
      </c>
      <c r="C83" s="111">
        <f>C81+C82</f>
        <v>35.88351117888422</v>
      </c>
      <c r="D83" t="str">
        <f>Market_currency</f>
        <v>HKD</v>
      </c>
      <c r="E83" s="146" t="s">
        <v>126</v>
      </c>
      <c r="F83" s="291">
        <f>(1-C83/C60)</f>
        <v>0.48850032093290741</v>
      </c>
    </row>
    <row r="84" spans="2:8" x14ac:dyDescent="0.15">
      <c r="E84" s="120"/>
    </row>
    <row r="85" spans="2:8" x14ac:dyDescent="0.15">
      <c r="B85" s="109" t="s">
        <v>302</v>
      </c>
    </row>
    <row r="86" spans="2:8" x14ac:dyDescent="0.15">
      <c r="B86" s="148" t="s">
        <v>300</v>
      </c>
      <c r="C86" s="116">
        <f>Market_Price</f>
        <v>52.1</v>
      </c>
      <c r="D86" t="str">
        <f>Market_currency</f>
        <v>HKD</v>
      </c>
    </row>
    <row r="87" spans="2:8" x14ac:dyDescent="0.15">
      <c r="B87" s="100" t="s">
        <v>298</v>
      </c>
      <c r="C87" s="237">
        <f ca="1">IRR(OFFSET($I$3, 0, 0, $C$76 + 1, 1))</f>
        <v>0.19357620352359439</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10.448176218147962</v>
      </c>
      <c r="D91" s="116"/>
      <c r="E91" s="100"/>
      <c r="F91" s="100"/>
    </row>
    <row r="92" spans="2:8" x14ac:dyDescent="0.15">
      <c r="B92" s="100" t="s">
        <v>122</v>
      </c>
      <c r="C92" s="116">
        <f>C60/(1+C90)^C76</f>
        <v>38.882096526237781</v>
      </c>
      <c r="D92" s="116"/>
    </row>
    <row r="93" spans="2:8" x14ac:dyDescent="0.15">
      <c r="B93" s="110" t="s">
        <v>101</v>
      </c>
      <c r="C93" s="111">
        <f>C91+C92</f>
        <v>49.330272744385745</v>
      </c>
      <c r="D93" t="str">
        <f>Market_currency</f>
        <v>HKD</v>
      </c>
      <c r="E93" s="146" t="s">
        <v>126</v>
      </c>
      <c r="F93" s="291">
        <f>(1-C93/C60)</f>
        <v>0.29682414434701254</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13.25143399952205</v>
      </c>
      <c r="D97" s="116"/>
      <c r="G97" s="2"/>
      <c r="H97" s="281"/>
    </row>
    <row r="98" spans="2:8" x14ac:dyDescent="0.15">
      <c r="B98" s="100" t="s">
        <v>122</v>
      </c>
      <c r="C98" s="116">
        <f>C60/(1+C96)^C76</f>
        <v>56.470830338038347</v>
      </c>
      <c r="D98" s="116"/>
      <c r="G98" s="2"/>
      <c r="H98" s="281"/>
    </row>
    <row r="99" spans="2:8" x14ac:dyDescent="0.15">
      <c r="B99" s="110" t="s">
        <v>398</v>
      </c>
      <c r="C99" s="111">
        <f>C97+C98</f>
        <v>69.722264337560404</v>
      </c>
      <c r="D99" t="s">
        <v>396</v>
      </c>
      <c r="E99" s="146" t="s">
        <v>126</v>
      </c>
      <c r="F99" s="291">
        <f>(1-C99/C60)</f>
        <v>6.1475407267528315E-3</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12.293841433767426</v>
      </c>
      <c r="D103" s="116"/>
    </row>
    <row r="104" spans="2:8" x14ac:dyDescent="0.15">
      <c r="B104" s="100" t="s">
        <v>122</v>
      </c>
      <c r="C104" s="116">
        <f>C60/(1+C102)^C76</f>
        <v>50.283276076023661</v>
      </c>
      <c r="D104" s="116"/>
    </row>
    <row r="105" spans="2:8" x14ac:dyDescent="0.15">
      <c r="B105" s="110" t="s">
        <v>398</v>
      </c>
      <c r="C105" s="111">
        <f>C103+C104</f>
        <v>62.577117509791087</v>
      </c>
      <c r="D105" t="s">
        <v>396</v>
      </c>
      <c r="E105" s="146" t="s">
        <v>126</v>
      </c>
      <c r="F105" s="291">
        <f>(1-C105/C66)</f>
        <v>0.10780513985774087</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