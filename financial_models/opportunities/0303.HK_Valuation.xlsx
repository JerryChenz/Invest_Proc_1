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F88DB0-BF61-428A-A75B-5FF2C4A4F4B2}"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O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<sst xmlns="http://schemas.openxmlformats.org/spreadsheetml/2006/main" count="685" uniqueCount="466">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</sst>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52.2</v>
      </c>
      <c r="D12" s="50"/>
      <c r="E12" s="48"/>
    </row>
    <row r="13" spans="1:10">
      <c r="B13" s="1" t="s">
        <v>415</v>
      </c>
      <c r="C13" s="48" t="s">
        <v>396</v>
      </c>
      <c r="D13" s="48"/>
      <c r="E13" s="5"/>
    </row>
    <row r="14" spans="1:10">
      <c r="B14" s="4" t="s">
        <v>419</v>
      </c>
      <c r="C14" s="35">
        <f>Thesis!C12*Common_Shares/1000000</f>
        <v>13212.2967426</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7.8360000000000003</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70.123701092233944</v>
      </c>
      <c r="D26" s="1" t="s">
        <v>399</v>
      </c>
      <c r="E26" s="301">
        <f ca="1">Scenarios!C87</f>
        <v>0.19256430996984797</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35.868071774979548</v>
      </c>
      <c r="D29" s="310" t="str">
        <f>D149</f>
        <v/>
      </c>
      <c r="E29" s="306" t="s">
        <v>423</v>
      </c>
      <c r="F29" s="302">
        <v>0.3674</v>
      </c>
    </row>
    <row r="30" spans="2:6">
      <c r="B30" s="1" t="s">
        <v>425</v>
      </c>
      <c r="C30" s="311">
        <f>C157</f>
        <v>49.309072265952238</v>
      </c>
      <c r="D30" s="311" t="str">
        <f>D157</f>
        <v/>
      </c>
      <c r="E30" s="307" t="s">
        <v>436</v>
      </c>
      <c r="F30" s="312">
        <v>0.21740000000000001</v>
      </c>
    </row>
    <row r="31" spans="2:6">
      <c r="B31" s="1" t="s">
        <v>426</v>
      </c>
      <c r="C31" s="311">
        <f>C165</f>
        <v>69.692332170789641</v>
      </c>
      <c r="D31" s="311" t="str">
        <f>D165</f>
        <v/>
      </c>
      <c r="E31" s="307" t="s">
        <v>435</v>
      </c>
      <c r="F31" s="312">
        <v>7.4999999999999997E-2</v>
      </c>
    </row>
    <row r="32" spans="2:6">
      <c r="B32" s="1" t="s">
        <v>427</v>
      </c>
      <c r="C32" s="311">
        <f>C173</f>
        <v>62.550244316178059</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210.2763260031652</v>
      </c>
      <c r="D41" s="1" t="str">
        <f>Reporting_currency</f>
        <v>USD</v>
      </c>
    </row>
    <row r="42" spans="1:6">
      <c r="B42" s="47"/>
      <c r="C42" s="76"/>
    </row>
    <row r="43" spans="1:6" ht="24.6"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-33.887093790522258</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0.10170749641775231</v>
      </c>
      <c r="F69" s="314"/>
    </row>
    <row r="70" spans="1:6">
      <c r="B70" s="227" t="s">
        <v>308</v>
      </c>
      <c r="C70" s="92">
        <f>Normalized_FCF!C93</f>
        <v>9.757471264367816E-2</v>
      </c>
      <c r="E70" s="47" t="s">
        <v>447</v>
      </c>
      <c r="F70" s="315">
        <f>Normalized_FCF!C92</f>
        <v>7.5175918708624057</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70.788417506755621</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155.30000000000001</v>
      </c>
      <c r="D102" s="1" t="str">
        <f>Reporting_currency</f>
        <v>USD</v>
      </c>
    </row>
    <row r="103" spans="2:6">
      <c r="B103" s="47" t="s">
        <v>281</v>
      </c>
      <c r="C103" s="223">
        <f>C102*scaling_factor*Exchange_Rate/Common_Shares</f>
        <v>4.8079292342248277</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-129.92164433491962</v>
      </c>
      <c r="D109" s="1" t="str">
        <f>Reporting_currency</f>
        <v>USD</v>
      </c>
    </row>
    <row r="110" spans="2:6">
      <c r="B110" s="47" t="s">
        <v>282</v>
      </c>
      <c r="C110" s="223">
        <f>C109*scaling_factor*Exchange_Rate/Common_Shares</f>
        <v>-4.0222412875493916</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1.2074001296507937E-2</v>
      </c>
      <c r="D114" s="1" t="str">
        <f>Market_currency</f>
        <v>HKD</v>
      </c>
    </row>
    <row r="116" spans="1:6" ht="24.6" customHeight="1">
      <c r="B116" s="358" t="s">
        <v>366</v>
      </c>
      <c r="C116" s="358"/>
      <c r="D116" s="358"/>
      <c r="E116" s="358"/>
      <c r="F116" s="358"/>
    </row>
    <row r="118" spans="1:6">
      <c r="B118" s="47" t="s">
        <v>448</v>
      </c>
      <c r="C118" s="223">
        <f>IF(valuation_method="DCF",DCF!C12,DDM!C7)</f>
        <v>61.970320986277912</v>
      </c>
      <c r="D118" s="1" t="str">
        <f>Market_currency</f>
        <v>HKD</v>
      </c>
    </row>
    <row r="119" spans="1:6">
      <c r="B119" s="296" t="s">
        <v>405</v>
      </c>
      <c r="C119" s="223">
        <f>BS!D47</f>
        <v>-2.6700570303008426</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99.69 HKD</v>
      </c>
      <c r="F126" s="232">
        <f>DCF!F74</f>
        <v>0.05</v>
      </c>
    </row>
    <row r="127" spans="1:6">
      <c r="B127" s="218" t="str">
        <f>DCF!B75</f>
        <v>Optimistic</v>
      </c>
      <c r="C127" s="219">
        <f>DCF!C75</f>
        <v>0.05</v>
      </c>
      <c r="D127" s="220">
        <f>DCF!D75</f>
        <v>10</v>
      </c>
      <c r="E127" s="231" t="str">
        <f>ROUND(IF(valuation_method="DCF",DCF!E75,DDM!E70),2)&amp;" "&amp;Market_currency</f>
        <v>74 HKD</v>
      </c>
      <c r="F127" s="221">
        <f>DCF!F75</f>
        <v>0.18</v>
      </c>
    </row>
    <row r="128" spans="1:6">
      <c r="B128" s="218" t="str">
        <f>DCF!B76</f>
        <v>Base</v>
      </c>
      <c r="C128" s="219">
        <f>DCF!C76</f>
        <v>0.03</v>
      </c>
      <c r="D128" s="220">
        <f>DCF!D76</f>
        <v>10</v>
      </c>
      <c r="E128" s="231" t="str">
        <f>ROUND(IF(valuation_method="DCF",DCF!E76,DDM!E71),2)&amp;" "&amp;Market_currency</f>
        <v>68.84 HKD</v>
      </c>
      <c r="F128" s="221">
        <f>DCF!F76</f>
        <v>0.53999999999999992</v>
      </c>
    </row>
    <row r="129" spans="1:6">
      <c r="B129" s="218" t="str">
        <f>DCF!B77</f>
        <v>Pessimistic</v>
      </c>
      <c r="C129" s="219">
        <f>DCF!C77</f>
        <v>0.01</v>
      </c>
      <c r="D129" s="220">
        <f>DCF!D77</f>
        <v>10</v>
      </c>
      <c r="E129" s="231" t="str">
        <f>ROUND(IF(valuation_method="DCF",DCF!E77,DDM!E72),2)&amp;" "&amp;Market_currency</f>
        <v>64.15 HKD</v>
      </c>
      <c r="F129" s="221">
        <f>DCF!F77</f>
        <v>0.18</v>
      </c>
    </row>
    <row r="130" spans="1:6">
      <c r="B130" s="218" t="str">
        <f>DCF!B78</f>
        <v>Devil's advocate</v>
      </c>
      <c r="C130" s="219">
        <f>DCF!C78</f>
        <v>0</v>
      </c>
      <c r="D130" s="220">
        <f>DCF!D78</f>
        <v>15</v>
      </c>
      <c r="E130" s="231" t="str">
        <f>ROUND(IF(valuation_method="DCF",DCF!E78,DDM!E73),2)&amp;" "&amp;Market_currency</f>
        <v>61.97 HKD</v>
      </c>
      <c r="F130" s="221">
        <f>DCF!F78</f>
        <v>0.05</v>
      </c>
    </row>
    <row r="132" spans="1:6">
      <c r="B132" s="211" t="s">
        <v>258</v>
      </c>
      <c r="C132" s="217">
        <f>Scenarios!C60</f>
        <v>70.123701092233944</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5.0933999999999999</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8.4410846172529705</v>
      </c>
    </row>
    <row r="148" spans="2:4">
      <c r="B148" s="212" t="str">
        <f>"+ PV(Equity Value realized at year "&amp;C141&amp;")"</f>
        <v>+ PV(Equity Value realized at year 3)</v>
      </c>
      <c r="C148" s="216">
        <f>Scenarios!C82</f>
        <v>27.426987157726579</v>
      </c>
    </row>
    <row r="149" spans="2:4">
      <c r="B149" s="80" t="s">
        <v>260</v>
      </c>
      <c r="C149" s="215">
        <f>Scenarios!C83</f>
        <v>35.868071774979548</v>
      </c>
      <c r="D149" s="300" t="str">
        <f>IF($D$11="","",C149*$E$25)</f>
        <v/>
      </c>
    </row>
    <row r="150" spans="2:4">
      <c r="B150" s="259" t="s">
        <v>415</v>
      </c>
      <c r="C150" s="298" t="str">
        <f>Market_currency</f>
        <v>HKD</v>
      </c>
      <c r="D150" s="298" t="str">
        <f>IF($D$11="","",D$13)</f>
        <v/>
      </c>
    </row>
    <row r="151" spans="2:4">
      <c r="B151" s="214" t="s">
        <v>262</v>
      </c>
      <c r="C151" s="92">
        <f>Scenarios!F83</f>
        <v>0.48850287112195989</v>
      </c>
    </row>
    <row r="153" spans="2:4">
      <c r="B153" s="210" t="s">
        <v>411</v>
      </c>
    </row>
    <row r="154" spans="2:4">
      <c r="B154" s="1" t="s">
        <v>410</v>
      </c>
      <c r="C154" s="297">
        <f>Scenarios!C90</f>
        <v>0.21740000000000001</v>
      </c>
    </row>
    <row r="155" spans="2:4">
      <c r="B155" s="212" t="str">
        <f>"PV("&amp;C141&amp;" yrs of Dividends)"</f>
        <v>PV(3 yrs of Dividends)</v>
      </c>
      <c r="C155" s="216">
        <f>Scenarios!C91</f>
        <v>10.44351155627367</v>
      </c>
    </row>
    <row r="156" spans="2:4">
      <c r="B156" s="212" t="str">
        <f>"+ PV(Equity Value realized at year "&amp;C141&amp;")"</f>
        <v>+ PV(Equity Value realized at year 3)</v>
      </c>
      <c r="C156" s="216">
        <f>Scenarios!C92</f>
        <v>38.865560709678569</v>
      </c>
    </row>
    <row r="157" spans="2:4">
      <c r="B157" s="80" t="s">
        <v>260</v>
      </c>
      <c r="C157" s="215">
        <f>Scenarios!C93</f>
        <v>49.309072265952238</v>
      </c>
      <c r="D157" s="300" t="str">
        <f>IF($D$11="","",C157*$E$25)</f>
        <v/>
      </c>
    </row>
    <row r="158" spans="2:4">
      <c r="B158" s="259" t="s">
        <v>415</v>
      </c>
      <c r="C158" s="298" t="str">
        <f>Market_currency</f>
        <v>HKD</v>
      </c>
      <c r="D158" s="298" t="str">
        <f>IF($D$11="","",D$13)</f>
        <v/>
      </c>
    </row>
    <row r="159" spans="2:4">
      <c r="B159" s="214" t="s">
        <v>262</v>
      </c>
      <c r="C159" s="92">
        <f>Scenarios!F93</f>
        <v>0.2968272995018354</v>
      </c>
    </row>
    <row r="161" spans="2:4">
      <c r="B161" s="210" t="s">
        <v>400</v>
      </c>
    </row>
    <row r="162" spans="2:4">
      <c r="B162" s="1" t="s">
        <v>409</v>
      </c>
      <c r="C162" s="92">
        <f>Scenarios!C96</f>
        <v>7.4999999999999997E-2</v>
      </c>
    </row>
    <row r="163" spans="2:4">
      <c r="B163" s="212" t="str">
        <f>"PV("&amp;C141&amp;" yrs of Dividends)"</f>
        <v>PV(3 yrs of Dividends)</v>
      </c>
      <c r="C163" s="216">
        <f>Scenarios!C97</f>
        <v>13.245517803463839</v>
      </c>
    </row>
    <row r="164" spans="2:4">
      <c r="B164" s="212" t="str">
        <f>"+ PV(Equity Value realized at year "&amp;C141&amp;")"</f>
        <v>+ PV(Equity Value realized at year 3)</v>
      </c>
      <c r="C164" s="216">
        <f>Scenarios!C98</f>
        <v>56.446814367325807</v>
      </c>
    </row>
    <row r="165" spans="2:4">
      <c r="B165" s="80" t="s">
        <v>401</v>
      </c>
      <c r="C165" s="215">
        <f>Scenarios!C99</f>
        <v>69.692332170789641</v>
      </c>
      <c r="D165" s="300" t="str">
        <f>IF($D$11="","",C165*$E$25)</f>
        <v/>
      </c>
    </row>
    <row r="166" spans="2:4">
      <c r="B166" s="259" t="s">
        <v>415</v>
      </c>
      <c r="C166" s="298" t="str">
        <f>Market_currency</f>
        <v>HKD</v>
      </c>
      <c r="D166" s="298" t="str">
        <f>IF($D$11="","",D$13)</f>
        <v/>
      </c>
    </row>
    <row r="167" spans="2:4">
      <c r="B167" s="214" t="s">
        <v>262</v>
      </c>
      <c r="C167" s="92">
        <f>Scenarios!F99</f>
        <v>6.1515424132694285E-3</v>
      </c>
    </row>
    <row r="169" spans="2:4">
      <c r="B169" s="210" t="s">
        <v>431</v>
      </c>
    </row>
    <row r="170" spans="2:4">
      <c r="B170" s="1" t="s">
        <v>422</v>
      </c>
      <c r="C170" s="92">
        <f>F32</f>
        <v>0.1174</v>
      </c>
    </row>
    <row r="171" spans="2:4">
      <c r="B171" s="212" t="str">
        <f>"PV("&amp;C141&amp;" yrs of Dividends)"</f>
        <v>PV(3 yrs of Dividends)</v>
      </c>
      <c r="C171" s="216">
        <f>Scenarios!C103</f>
        <v>12.288352761655917</v>
      </c>
    </row>
    <row r="172" spans="2:4">
      <c r="B172" s="212" t="str">
        <f>"+ PV(Equity Value realized at year "&amp;C141&amp;")"</f>
        <v>+ PV(Equity Value realized at year 3)</v>
      </c>
      <c r="C172" s="216">
        <f>Scenarios!C104</f>
        <v>50.261891554522144</v>
      </c>
    </row>
    <row r="173" spans="2:4">
      <c r="B173" s="80" t="s">
        <v>401</v>
      </c>
      <c r="C173" s="215">
        <f>Scenarios!C105</f>
        <v>62.550244316178059</v>
      </c>
      <c r="D173" s="300" t="str">
        <f>IF($D$11="","",C173*$E$25)</f>
        <v/>
      </c>
    </row>
    <row r="174" spans="2:4">
      <c r="B174" s="259" t="s">
        <v>415</v>
      </c>
      <c r="C174" s="298" t="str">
        <f>Market_currency</f>
        <v>HKD</v>
      </c>
      <c r="D174" s="298" t="str">
        <f>IF($D$11="","",D$13)</f>
        <v/>
      </c>
    </row>
    <row r="175" spans="2:4">
      <c r="B175" s="214" t="s">
        <v>262</v>
      </c>
      <c r="C175" s="92">
        <f>Scenarios!F105</f>
        <v>0.10780885725009537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5.0933999999999999</v>
      </c>
      <c r="D25" s="39">
        <f>(0.17+0.42)*Exchange_Rate</f>
        <v>4.62324</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5.0933999999999999</v>
      </c>
      <c r="D65" s="73">
        <f t="shared" ref="D65:M65" si="33">IF(D$4="","",D25)</f>
        <v>4.62324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19.411279007462756</v>
      </c>
      <c r="D47" s="147">
        <f>D46*H1/Common_Shares*Exchange_Rate</f>
        <v>-2.6700570303008426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-129.92164433491962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-269.83217150184993</v>
      </c>
      <c r="D73" s="349">
        <f>(Normalized_FCF!C25+Normalized_FCF!C35-Normalized_FCF!C91)/12</f>
        <v>-280.12164433491961</v>
      </c>
      <c r="F73" s="1" t="s">
        <v>351</v>
      </c>
    </row>
    <row r="74" spans="2:6" ht="15" customHeight="1">
      <c r="B74" s="257" t="s">
        <v>321</v>
      </c>
      <c r="C74" s="258">
        <f>-$C$66/C73</f>
        <v>0.55664229792914166</v>
      </c>
      <c r="D74" s="258">
        <f>-$C$66/D73</f>
        <v>0.5361956244281415</v>
      </c>
      <c r="F74" s="253" t="s">
        <v>319</v>
      </c>
    </row>
    <row r="75" spans="2:6" ht="15" customHeight="1">
      <c r="B75" s="80" t="s">
        <v>320</v>
      </c>
      <c r="C75" s="320"/>
      <c r="D75" s="321">
        <f>MAX(-D73*D76,G5)</f>
        <v>280.12164433491961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-1216.9308000000001</v>
      </c>
      <c r="D86" s="223">
        <f>C86*scaling_factor/Common_Shares</f>
        <v>-4.8079292342248277</v>
      </c>
      <c r="E86" s="240" t="str">
        <f>Market_currency</f>
        <v>HKD</v>
      </c>
    </row>
    <row r="87" spans="2:8" ht="15" customHeight="1">
      <c r="B87" s="238" t="s">
        <v>287</v>
      </c>
      <c r="C87" s="76">
        <f>DCF!C8*Exchange_Rate</f>
        <v>-1018.0660050084301</v>
      </c>
      <c r="D87" s="223">
        <f>C87*scaling_factor/Common_Shares</f>
        <v>-4.0222412875493916</v>
      </c>
      <c r="E87" s="240" t="str">
        <f>Market_currency</f>
        <v>HKD</v>
      </c>
    </row>
    <row r="88" spans="2:8" ht="15" customHeight="1">
      <c r="B88" s="239" t="s">
        <v>189</v>
      </c>
      <c r="C88" s="76">
        <f>DCF!C9*Exchange_Rate</f>
        <v>3.0560400000000003</v>
      </c>
      <c r="D88" s="223">
        <f>C88*scaling_factor/Common_Shares</f>
        <v>1.2074001296507939E-2</v>
      </c>
      <c r="E88" s="240" t="str">
        <f>Market_currency</f>
        <v>HKD</v>
      </c>
    </row>
    <row r="89" spans="2:8" ht="15" customHeight="1">
      <c r="B89" s="80" t="s">
        <v>291</v>
      </c>
      <c r="C89" s="180">
        <f>SUM(C86:C88)</f>
        <v>-2231.9407650084304</v>
      </c>
      <c r="D89" s="242">
        <f>SUM(D86:D88)</f>
        <v>-8.8180965204777113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5.0933999999999999</v>
      </c>
      <c r="E90" s="268"/>
      <c r="G90" s="112">
        <f>Data!C65</f>
        <v>5.0933999999999999</v>
      </c>
      <c r="H90" s="112">
        <f>Data!D65</f>
        <v>4.62324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1289.1860580221999</v>
      </c>
      <c r="E91" s="268"/>
      <c r="G91" s="74">
        <f t="shared" ref="G91:Q91" si="37">IF(G$4="","",G90*Common_Shares/scaling_factor)</f>
        <v>1289.1860580221999</v>
      </c>
      <c r="H91" s="74">
        <f t="shared" si="37"/>
        <v>1170.1842680509201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7.5175918708624057</v>
      </c>
      <c r="E92" s="268"/>
      <c r="G92" s="170">
        <f t="shared" ref="G92:Q92" si="38">IF(G$4="","",G90/(G19*scaling_factor/Common_Shares))</f>
        <v>6.4556137106770128</v>
      </c>
      <c r="H92" s="170">
        <f t="shared" si="38"/>
        <v>6.5046373988378061</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9.757471264367816E-2</v>
      </c>
      <c r="E93" s="268"/>
      <c r="G93" s="23">
        <f t="shared" ref="G93:Q93" si="39">IF(G$4="","",G90/Market_Price)</f>
        <v>9.757471264367816E-2</v>
      </c>
      <c r="H93" s="23">
        <f t="shared" si="39"/>
        <v>8.8567816091954021E-2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5.3091313130066711</v>
      </c>
      <c r="D124" s="27"/>
      <c r="E124" s="265"/>
      <c r="F124" s="27"/>
      <c r="G124" s="177">
        <f t="shared" ref="G124:Q124" si="49">IF(G$4="","",G16*$C$3/Common_Shares*Exchange_Rate)</f>
        <v>6.1825078433657339</v>
      </c>
      <c r="H124" s="177">
        <f t="shared" si="49"/>
        <v>5.5695200852353217</v>
      </c>
      <c r="I124" s="177">
        <f t="shared" si="49"/>
        <v>6.2134668210490789</v>
      </c>
      <c r="J124" s="177">
        <f t="shared" si="49"/>
        <v>8.3434444856638219</v>
      </c>
      <c r="K124" s="177">
        <f t="shared" si="49"/>
        <v>7.4363464395415546</v>
      </c>
      <c r="L124" s="177">
        <f t="shared" si="49"/>
        <v>5.148477988741722</v>
      </c>
      <c r="M124" s="177">
        <f t="shared" si="49"/>
        <v>6.2660970831107843</v>
      </c>
      <c r="N124" s="177">
        <f t="shared" si="49"/>
        <v>5.5385611075519785</v>
      </c>
      <c r="O124" s="177">
        <f t="shared" si="49"/>
        <v>5.591191369613675</v>
      </c>
      <c r="P124" s="177" t="str">
        <f t="shared" si="49"/>
        <v/>
      </c>
      <c r="Q124" s="177" t="str">
        <f t="shared" si="49"/>
        <v/>
      </c>
    </row>
    <row r="125" spans="1:17" ht="15.75" customHeight="1">
      <c r="A125" s="10"/>
      <c r="B125" s="27" t="s">
        <v>269</v>
      </c>
      <c r="C125" s="77">
        <f>C19*Exchange_Rate*$C$3/(Market_Price*Common_Shares)</f>
        <v>0.10170749641775231</v>
      </c>
      <c r="D125" s="27"/>
      <c r="E125" s="265"/>
      <c r="F125" s="27"/>
      <c r="G125" s="77">
        <f t="shared" ref="G125" si="50">IF(G$4="","",G124/Market_Price)</f>
        <v>0.11843884757405621</v>
      </c>
      <c r="H125" s="77">
        <f t="shared" ref="H125" si="51">IF(H$4="","",H124/Market_Price)</f>
        <v>0.10669578707347359</v>
      </c>
      <c r="I125" s="77">
        <f t="shared" ref="I125" si="52">IF(I$4="","",I124/Market_Price)</f>
        <v>0.11903193143772181</v>
      </c>
      <c r="J125" s="77">
        <f t="shared" ref="J125" si="53">IF(J$4="","",J124/Market_Price)</f>
        <v>0.1598361012579276</v>
      </c>
      <c r="K125" s="77">
        <f t="shared" ref="K125" si="54">IF(K$4="","",K124/Market_Price)</f>
        <v>0.14245874405252021</v>
      </c>
      <c r="L125" s="77">
        <f t="shared" ref="L125" si="55">IF(L$4="","",L124/Market_Price)</f>
        <v>9.8629846527619192E-2</v>
      </c>
      <c r="M125" s="77">
        <f t="shared" ref="M125" si="56">IF(M$4="","",M124/Market_Price)</f>
        <v>0.12004017400595371</v>
      </c>
      <c r="N125" s="77">
        <f t="shared" ref="N125" si="57">IF(N$4="","",N124/Market_Price)</f>
        <v>0.10610270320980801</v>
      </c>
      <c r="O125" s="77">
        <f t="shared" ref="O125" si="58">IF(O$4="","",O124/Market_Price)</f>
        <v>0.10711094577803974</v>
      </c>
      <c r="P125" s="77" t="str">
        <f t="shared" ref="P125" si="59">IF(P$4="","",P124/Market_Price)</f>
        <v/>
      </c>
      <c r="Q125" s="77" t="str">
        <f t="shared" ref="Q125" si="60">IF(Q$4="","",Q124/Market_Price)</f>
        <v/>
      </c>
    </row>
    <row r="126" spans="1:17" ht="15.75" customHeight="1">
      <c r="B126" s="2" t="s">
        <v>394</v>
      </c>
      <c r="C126" s="169"/>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-129.92164433491962</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2001.6914518336532</v>
      </c>
      <c r="D10" t="str">
        <f>Reporting_currency</f>
        <v>USD</v>
      </c>
      <c r="H10" s="120"/>
    </row>
    <row r="11" spans="2:8" ht="13.15" thickBot="1">
      <c r="B11" s="207" t="s">
        <v>166</v>
      </c>
      <c r="C11" s="208">
        <f>Exchange_Rate</f>
        <v>7.8360000000000003</v>
      </c>
      <c r="D11" t="str">
        <f>Thesis!C15</f>
        <v>USD/HKD</v>
      </c>
      <c r="H11" s="120"/>
    </row>
    <row r="12" spans="2:8" ht="13.5" thickTop="1">
      <c r="B12" s="149" t="s">
        <v>102</v>
      </c>
      <c r="C12" s="111">
        <f>(C10*scaling_factor)/Common_Shares*Exchange_Rate</f>
        <v>61.970320986277912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3.5100095863245001E-2</v>
      </c>
      <c r="H16" s="120"/>
    </row>
    <row r="17" spans="2:17" ht="13.35" customHeight="1">
      <c r="B17" s="118" t="s">
        <v>134</v>
      </c>
      <c r="C17" s="162">
        <f>Scenarios!C64</f>
        <v>10</v>
      </c>
      <c r="H17" s="120"/>
    </row>
    <row r="18" spans="2:17" ht="13.35" customHeight="1">
      <c r="B18" s="153" t="s">
        <v>106</v>
      </c>
      <c r="C18" s="140">
        <f>(F52-C7+C8+C9)*Exchange_Rate/Common_Shares*scaling_factor</f>
        <v>70.108569026348079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61.970320986277912</v>
      </c>
      <c r="C65" s="124">
        <f>C12</f>
        <v>61.970320986277912</v>
      </c>
      <c r="D65" s="124">
        <f>C12</f>
        <v>61.970320986277912</v>
      </c>
      <c r="E65" s="141">
        <f>C12</f>
        <v>61.970320986277912</v>
      </c>
      <c r="F65" s="124">
        <f>C12</f>
        <v>61.970320986277912</v>
      </c>
      <c r="H65" s="120"/>
    </row>
    <row r="66" spans="1:8" ht="13.15">
      <c r="A66" s="143">
        <f t="shared" ref="A66:A71" si="3">A56</f>
        <v>5</v>
      </c>
      <c r="B66" s="124">
        <f t="shared" ref="B66:F71" si="4">(B56-$C$7+$C$8+$C$9)/Common_Shares*$C$3*Exchange_Rate</f>
        <v>61.970320986277919</v>
      </c>
      <c r="C66" s="124">
        <f t="shared" si="4"/>
        <v>63.084691193490677</v>
      </c>
      <c r="D66" s="124">
        <f t="shared" si="4"/>
        <v>65.36177049266287</v>
      </c>
      <c r="E66" s="124">
        <f t="shared" si="4"/>
        <v>67.705669645047308</v>
      </c>
      <c r="F66" s="124">
        <f t="shared" si="4"/>
        <v>71.353215612509928</v>
      </c>
      <c r="H66" s="120"/>
    </row>
    <row r="67" spans="1:8" ht="13.15">
      <c r="A67" s="143">
        <f t="shared" si="3"/>
        <v>10</v>
      </c>
      <c r="B67" s="124">
        <f t="shared" si="4"/>
        <v>61.970320986277926</v>
      </c>
      <c r="C67" s="124">
        <f t="shared" si="4"/>
        <v>64.153129004766242</v>
      </c>
      <c r="D67" s="124">
        <f t="shared" si="4"/>
        <v>68.840098379673677</v>
      </c>
      <c r="E67" s="124">
        <f t="shared" si="4"/>
        <v>73.998321428995254</v>
      </c>
      <c r="F67" s="124">
        <f t="shared" si="4"/>
        <v>82.744294047585385</v>
      </c>
      <c r="H67" s="120"/>
    </row>
    <row r="68" spans="1:8" ht="13.15">
      <c r="A68" s="143">
        <f t="shared" si="3"/>
        <v>15</v>
      </c>
      <c r="B68" s="124">
        <f t="shared" si="4"/>
        <v>61.97032098627794</v>
      </c>
      <c r="C68" s="124">
        <f t="shared" si="4"/>
        <v>65.472266364949462</v>
      </c>
      <c r="D68" s="124">
        <f t="shared" si="4"/>
        <v>73.358614441630408</v>
      </c>
      <c r="E68" s="124">
        <f t="shared" si="4"/>
        <v>82.61590562212136</v>
      </c>
      <c r="F68" s="124">
        <f t="shared" si="4"/>
        <v>99.685416796383791</v>
      </c>
      <c r="H68" s="120"/>
    </row>
    <row r="69" spans="1:8" ht="13.15">
      <c r="A69" s="144">
        <f t="shared" si="3"/>
        <v>20</v>
      </c>
      <c r="B69" s="124">
        <f t="shared" si="4"/>
        <v>61.970320986277926</v>
      </c>
      <c r="C69" s="124">
        <f t="shared" si="4"/>
        <v>66.812007187577166</v>
      </c>
      <c r="D69" s="124">
        <f t="shared" si="4"/>
        <v>78.198273586018885</v>
      </c>
      <c r="E69" s="124">
        <f t="shared" si="4"/>
        <v>92.382945927677966</v>
      </c>
      <c r="F69" s="124">
        <f t="shared" si="4"/>
        <v>120.70388341157029</v>
      </c>
      <c r="H69" s="120"/>
    </row>
    <row r="70" spans="1:8" ht="13.15">
      <c r="A70" s="144">
        <f t="shared" si="3"/>
        <v>25</v>
      </c>
      <c r="B70" s="124">
        <f t="shared" si="4"/>
        <v>61.970320986277926</v>
      </c>
      <c r="C70" s="124">
        <f t="shared" si="4"/>
        <v>68.053340466905979</v>
      </c>
      <c r="D70" s="124">
        <f t="shared" si="4"/>
        <v>82.935874019799627</v>
      </c>
      <c r="E70" s="124">
        <f t="shared" si="4"/>
        <v>102.53282137699622</v>
      </c>
      <c r="F70" s="124">
        <f t="shared" si="4"/>
        <v>144.77883420431303</v>
      </c>
    </row>
    <row r="71" spans="1:8" ht="13.15">
      <c r="A71" s="144">
        <f t="shared" si="3"/>
        <v>30</v>
      </c>
      <c r="B71" s="124">
        <f t="shared" si="4"/>
        <v>61.970320986277926</v>
      </c>
      <c r="C71" s="124">
        <f t="shared" si="4"/>
        <v>69.143577326209041</v>
      </c>
      <c r="D71" s="124">
        <f t="shared" si="4"/>
        <v>87.339337697468736</v>
      </c>
      <c r="E71" s="124">
        <f t="shared" si="4"/>
        <v>112.57791240883346</v>
      </c>
      <c r="F71" s="124">
        <f t="shared" si="4"/>
        <v>171.2042595525823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99.685416796383791</v>
      </c>
      <c r="F74" s="142">
        <f>Scenarios!C58</f>
        <v>0.05</v>
      </c>
    </row>
    <row r="75" spans="1:8">
      <c r="B75" s="127" t="str">
        <f>Scenarios!B36</f>
        <v>Optimistic</v>
      </c>
      <c r="C75" s="142">
        <f>Scenarios!C38</f>
        <v>0.05</v>
      </c>
      <c r="D75" s="145">
        <f>Scenarios!C37</f>
        <v>10</v>
      </c>
      <c r="E75" s="135">
        <f>INDEX(B$65:F$71, MATCH(D75, A$65:A$71, 0), MATCH(C75, B$64:F$64, 0))</f>
        <v>73.998321428995254</v>
      </c>
      <c r="F75" s="142">
        <f>Scenarios!C40*(1-F$74-F$78)</f>
        <v>0.18</v>
      </c>
      <c r="H75" s="120"/>
    </row>
    <row r="76" spans="1:8">
      <c r="B76" s="127" t="str">
        <f>Scenarios!B24</f>
        <v>Base</v>
      </c>
      <c r="C76" s="142">
        <f>Scenarios!C26</f>
        <v>0.03</v>
      </c>
      <c r="D76" s="145">
        <f>Scenarios!C25</f>
        <v>10</v>
      </c>
      <c r="E76" s="135">
        <f>INDEX(B$65:F$71, MATCH(D76, A$65:A$71, 0), MATCH(C76, B$64:F$64, 0))</f>
        <v>68.840098379673677</v>
      </c>
      <c r="F76" s="142">
        <f>Scenarios!C28*(1-F$74-F$78)</f>
        <v>0.53999999999999992</v>
      </c>
      <c r="H76" s="120"/>
    </row>
    <row r="77" spans="1:8">
      <c r="B77" s="127" t="str">
        <f>Scenarios!B30</f>
        <v>Pessimistic</v>
      </c>
      <c r="C77" s="142">
        <f>Scenarios!C32</f>
        <v>0.01</v>
      </c>
      <c r="D77" s="145">
        <f>Scenarios!C31</f>
        <v>10</v>
      </c>
      <c r="E77" s="135">
        <f>INDEX(B$65:F$71, MATCH(D77, A$65:A$71, 0), MATCH(C77, B$64:F$64, 0))</f>
        <v>64.153129004766242</v>
      </c>
      <c r="F77" s="142">
        <f>Scenarios!C34*(1-F$74-F$78)</f>
        <v>0.18</v>
      </c>
      <c r="H77" s="120"/>
    </row>
    <row r="78" spans="1:8">
      <c r="B78" s="127" t="str">
        <f>Scenarios!B48</f>
        <v>Devil's advocate</v>
      </c>
      <c r="C78" s="142">
        <f>Scenarios!C50</f>
        <v>0</v>
      </c>
      <c r="D78" s="145">
        <f>Scenarios!C49</f>
        <v>15</v>
      </c>
      <c r="E78" s="135">
        <f>INDEX(B$65:F$71, MATCH(D78, A$65:A$71, 0), MATCH(C78, B$64:F$64, 0))</f>
        <v>61.97032098627794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1289.1860580221999</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17189.147440295998</v>
      </c>
      <c r="D6" t="str">
        <f>Reporting_currency</f>
        <v>USD</v>
      </c>
      <c r="E6" s="364"/>
      <c r="F6" s="364"/>
      <c r="H6" s="120"/>
    </row>
    <row r="7" spans="2:8" ht="13.15">
      <c r="B7" s="149" t="s">
        <v>443</v>
      </c>
      <c r="C7" s="111">
        <f>(C6*scaling_factor)/Common_Shares*Exchange_Rate</f>
        <v>532.15843199999995</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3.5100095863245001E-2</v>
      </c>
      <c r="H11" s="120"/>
    </row>
    <row r="12" spans="2:8" ht="13.35" customHeight="1">
      <c r="B12" s="118" t="s">
        <v>134</v>
      </c>
      <c r="C12" s="162">
        <f>Scenarios!C64</f>
        <v>10</v>
      </c>
      <c r="H12" s="120"/>
    </row>
    <row r="13" spans="2:8" ht="13.35" customHeight="1">
      <c r="B13" s="153" t="s">
        <v>106</v>
      </c>
      <c r="C13" s="140">
        <f>F47/Common_Shares*scaling_factor</f>
        <v>75.719558360017047</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1334.436612244338</v>
      </c>
      <c r="D16" s="138">
        <f>IF($C$12&lt;B16,0,DDM!$C$11)</f>
        <v>3.5100095863245001E-2</v>
      </c>
      <c r="E16" s="124">
        <f t="shared" ref="E16:E45" si="0">IF($C$12&lt;B16,0,1/(1+Equity_Cost)^B16)</f>
        <v>0.93023255813953487</v>
      </c>
      <c r="F16" s="125">
        <f t="shared" ref="F16:F46" si="1">C16*E16</f>
        <v>1241.336383483105</v>
      </c>
      <c r="H16" s="120"/>
    </row>
    <row r="17" spans="2:8">
      <c r="B17" s="122">
        <v>2</v>
      </c>
      <c r="C17" s="123">
        <f t="shared" ref="C17:C45" si="2">IF(ROW()-ROW($C$16)&lt;$C$12, $C$16*(1+D17)^(ROW()-ROW($C$16)), 0)</f>
        <v>1381.2754652575381</v>
      </c>
      <c r="D17" s="138">
        <f>IF($C$12&lt;B17,0,DDM!$C$11)</f>
        <v>3.5100095863245001E-2</v>
      </c>
      <c r="E17" s="124">
        <f t="shared" si="0"/>
        <v>0.86533261222282321</v>
      </c>
      <c r="F17" s="125">
        <f t="shared" si="1"/>
        <v>1195.262706550601</v>
      </c>
      <c r="H17" s="120"/>
    </row>
    <row r="18" spans="2:8">
      <c r="B18" s="122">
        <v>3</v>
      </c>
      <c r="C18" s="123">
        <f t="shared" si="2"/>
        <v>1429.7583665016261</v>
      </c>
      <c r="D18" s="138">
        <f>IF($C$12&lt;B18,0,DDM!$C$11)</f>
        <v>3.5100095863245001E-2</v>
      </c>
      <c r="E18" s="124">
        <f t="shared" si="0"/>
        <v>0.80496056950960304</v>
      </c>
      <c r="F18" s="125">
        <f t="shared" si="1"/>
        <v>1150.8991089602687</v>
      </c>
      <c r="H18" s="120"/>
    </row>
    <row r="19" spans="2:8">
      <c r="B19" s="122">
        <v>4</v>
      </c>
      <c r="C19" s="123">
        <f t="shared" si="2"/>
        <v>1479.9430222271096</v>
      </c>
      <c r="D19" s="138">
        <f>IF($C$12&lt;B19,0,DDM!$C$11)</f>
        <v>3.5100095863245001E-2</v>
      </c>
      <c r="E19" s="124">
        <f t="shared" si="0"/>
        <v>0.7488005297763749</v>
      </c>
      <c r="F19" s="125">
        <f t="shared" si="1"/>
        <v>1108.182119082509</v>
      </c>
      <c r="H19" s="120"/>
    </row>
    <row r="20" spans="2:8">
      <c r="B20" s="122">
        <v>5</v>
      </c>
      <c r="C20" s="123">
        <f t="shared" si="2"/>
        <v>1531.8891641794216</v>
      </c>
      <c r="D20" s="138">
        <f>IF($C$12&lt;B20,0,DDM!$C$11)</f>
        <v>3.5100095863245001E-2</v>
      </c>
      <c r="E20" s="124">
        <f t="shared" si="0"/>
        <v>0.69655863235011617</v>
      </c>
      <c r="F20" s="125">
        <f t="shared" si="1"/>
        <v>1067.0506211127806</v>
      </c>
      <c r="H20" s="120"/>
    </row>
    <row r="21" spans="2:8">
      <c r="B21" s="122">
        <v>6</v>
      </c>
      <c r="C21" s="123">
        <f t="shared" si="2"/>
        <v>1585.6586206939858</v>
      </c>
      <c r="D21" s="138">
        <f>IF($C$12&lt;B21,0,DDM!$C$11)</f>
        <v>3.5100095863245001E-2</v>
      </c>
      <c r="E21" s="124">
        <f t="shared" si="0"/>
        <v>0.64796151846522443</v>
      </c>
      <c r="F21" s="125">
        <f t="shared" si="1"/>
        <v>1027.4457676323484</v>
      </c>
      <c r="H21" s="120"/>
    </row>
    <row r="22" spans="2:8">
      <c r="B22" s="122">
        <v>7</v>
      </c>
      <c r="C22" s="123">
        <f t="shared" si="2"/>
        <v>1641.3153902867252</v>
      </c>
      <c r="D22" s="138">
        <f>IF($C$12&lt;B22,0,DDM!$C$11)</f>
        <v>3.5100095863245001E-2</v>
      </c>
      <c r="E22" s="124">
        <f t="shared" si="0"/>
        <v>0.60275490089788319</v>
      </c>
      <c r="F22" s="125">
        <f t="shared" si="1"/>
        <v>989.31089541444555</v>
      </c>
      <c r="H22" s="120"/>
    </row>
    <row r="23" spans="2:8">
      <c r="B23" s="122">
        <v>8</v>
      </c>
      <c r="C23" s="123">
        <f t="shared" si="2"/>
        <v>1698.9257178276087</v>
      </c>
      <c r="D23" s="138">
        <f>IF($C$12&lt;B23,0,DDM!$C$11)</f>
        <v>3.5100095863245001E-2</v>
      </c>
      <c r="E23" s="124">
        <f t="shared" si="0"/>
        <v>0.56070223339337966</v>
      </c>
      <c r="F23" s="125">
        <f t="shared" si="1"/>
        <v>952.59144435539088</v>
      </c>
      <c r="H23" s="120"/>
    </row>
    <row r="24" spans="2:8">
      <c r="B24" s="122">
        <v>9</v>
      </c>
      <c r="C24" s="123">
        <f t="shared" si="2"/>
        <v>1758.5581733878903</v>
      </c>
      <c r="D24" s="138">
        <f>IF($C$12&lt;B24,0,DDM!$C$11)</f>
        <v>3.5100095863245001E-2</v>
      </c>
      <c r="E24" s="124">
        <f t="shared" si="0"/>
        <v>0.52158347292407414</v>
      </c>
      <c r="F24" s="125">
        <f t="shared" si="1"/>
        <v>917.23487941467192</v>
      </c>
      <c r="H24" s="120"/>
    </row>
    <row r="25" spans="2:8">
      <c r="B25" s="122">
        <v>10</v>
      </c>
      <c r="C25" s="123">
        <f t="shared" si="2"/>
        <v>1820.2837338548984</v>
      </c>
      <c r="D25" s="138">
        <f>IF($C$12&lt;B25,0,DDM!$C$11)</f>
        <v>3.5100095863245001E-2</v>
      </c>
      <c r="E25" s="124">
        <f t="shared" si="0"/>
        <v>0.48519392830146441</v>
      </c>
      <c r="F25" s="125">
        <f t="shared" si="1"/>
        <v>883.19061545231546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17792.48816325784</v>
      </c>
      <c r="D46" s="139">
        <f>Terminal_Growth</f>
        <v>0</v>
      </c>
      <c r="E46" s="124">
        <f>1/(1+Equity_Cost)^C12</f>
        <v>0.48519392830146441</v>
      </c>
      <c r="F46" s="125">
        <f t="shared" si="1"/>
        <v>8632.807226188379</v>
      </c>
      <c r="H46" s="120"/>
    </row>
    <row r="47" spans="2:8">
      <c r="C47" s="114"/>
      <c r="E47" s="127" t="s">
        <v>100</v>
      </c>
      <c r="F47" s="137">
        <f>SUM(F16:F46)</f>
        <v>19165.311767646817</v>
      </c>
      <c r="H47" s="120"/>
    </row>
    <row r="48" spans="2:8">
      <c r="C48" s="114"/>
      <c r="H48" s="120"/>
    </row>
    <row r="49" spans="1:8" ht="13.15">
      <c r="B49" s="119" t="s">
        <v>129</v>
      </c>
      <c r="C49" s="136"/>
      <c r="D49" s="136"/>
      <c r="E49" s="117"/>
      <c r="F49" s="117"/>
      <c r="H49" s="120"/>
    </row>
    <row r="50" spans="1:8" ht="13.15">
      <c r="A50" s="133">
        <f>F47</f>
        <v>19165.311767646817</v>
      </c>
      <c r="B50" s="131">
        <f>C73</f>
        <v>0</v>
      </c>
      <c r="C50" s="131">
        <f>C72</f>
        <v>0.01</v>
      </c>
      <c r="D50" s="131">
        <f>C71</f>
        <v>0.03</v>
      </c>
      <c r="E50" s="131">
        <f>C70</f>
        <v>0.05</v>
      </c>
      <c r="F50" s="131">
        <f>C69</f>
        <v>0.08</v>
      </c>
      <c r="H50" s="120"/>
    </row>
    <row r="51" spans="1:8" ht="13.15">
      <c r="A51" s="143">
        <v>5</v>
      </c>
      <c r="B51" s="123">
        <f t="dataTable" ref="B51:F56" dt2D="1" dtr="1" r1="C11" r2="C12"/>
        <v>17189.147440296001</v>
      </c>
      <c r="C51" s="123">
        <v>17459.743598107063</v>
      </c>
      <c r="D51" s="123">
        <v>18012.673769246736</v>
      </c>
      <c r="E51" s="123">
        <v>18581.82942400729</v>
      </c>
      <c r="F51" s="123">
        <v>19467.542195082988</v>
      </c>
      <c r="H51" s="120"/>
    </row>
    <row r="52" spans="1:8" ht="13.15">
      <c r="A52" s="143">
        <v>10</v>
      </c>
      <c r="B52" s="123">
        <v>17189.147440296001</v>
      </c>
      <c r="C52" s="123">
        <v>17719.186254344582</v>
      </c>
      <c r="D52" s="123">
        <v>18857.296279558061</v>
      </c>
      <c r="E52" s="123">
        <v>20109.838145128935</v>
      </c>
      <c r="F52" s="123">
        <v>22233.572763654491</v>
      </c>
      <c r="H52" s="120"/>
    </row>
    <row r="53" spans="1:8" ht="13.15">
      <c r="A53" s="143">
        <v>15</v>
      </c>
      <c r="B53" s="123">
        <v>17189.147440296001</v>
      </c>
      <c r="C53" s="123">
        <v>18039.504851324495</v>
      </c>
      <c r="D53" s="123">
        <v>19954.501748134997</v>
      </c>
      <c r="E53" s="123">
        <v>22202.396934999782</v>
      </c>
      <c r="F53" s="123">
        <v>26347.288919344188</v>
      </c>
      <c r="H53" s="120"/>
    </row>
    <row r="54" spans="1:8" ht="13.15">
      <c r="A54" s="144">
        <v>20</v>
      </c>
      <c r="B54" s="123">
        <v>17189.147440296005</v>
      </c>
      <c r="C54" s="123">
        <v>18364.826469507767</v>
      </c>
      <c r="D54" s="123">
        <v>21129.688558685353</v>
      </c>
      <c r="E54" s="123">
        <v>24574.071592813754</v>
      </c>
      <c r="F54" s="123">
        <v>31451.083217089305</v>
      </c>
      <c r="H54" s="120"/>
    </row>
    <row r="55" spans="1:8" ht="13.15">
      <c r="A55" s="144">
        <v>25</v>
      </c>
      <c r="B55" s="123">
        <v>17189.147440296005</v>
      </c>
      <c r="C55" s="123">
        <v>18666.252345554411</v>
      </c>
      <c r="D55" s="123">
        <v>22280.093034978312</v>
      </c>
      <c r="E55" s="123">
        <v>27038.707923783033</v>
      </c>
      <c r="F55" s="123">
        <v>37297.066124601442</v>
      </c>
      <c r="H55" s="120"/>
    </row>
    <row r="56" spans="1:8" ht="13.15">
      <c r="A56" s="144">
        <v>30</v>
      </c>
      <c r="B56" s="123">
        <v>17189.147440296005</v>
      </c>
      <c r="C56" s="123">
        <v>18930.988340219323</v>
      </c>
      <c r="D56" s="123">
        <v>23349.360989671877</v>
      </c>
      <c r="E56" s="123">
        <v>29477.90005265026</v>
      </c>
      <c r="F56" s="123">
        <v>43713.801354493902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532.15843199999995</v>
      </c>
      <c r="C60" s="124">
        <f>C7</f>
        <v>532.15843199999995</v>
      </c>
      <c r="D60" s="124">
        <f>C7</f>
        <v>532.15843199999995</v>
      </c>
      <c r="E60" s="141">
        <f>C7</f>
        <v>532.15843199999995</v>
      </c>
      <c r="F60" s="124">
        <f>C7</f>
        <v>532.15843199999995</v>
      </c>
      <c r="H60" s="120"/>
    </row>
    <row r="61" spans="1:8" ht="13.15">
      <c r="A61" s="143">
        <f t="shared" ref="A61:A66" si="3">A51</f>
        <v>5</v>
      </c>
      <c r="B61" s="124">
        <f t="shared" ref="B61:F66" si="4">B51/Common_Shares*$C$3*Exchange_Rate</f>
        <v>532.15843200000006</v>
      </c>
      <c r="C61" s="124">
        <f t="shared" si="4"/>
        <v>540.53581241087397</v>
      </c>
      <c r="D61" s="124">
        <f t="shared" si="4"/>
        <v>557.65396523964012</v>
      </c>
      <c r="E61" s="124">
        <f t="shared" si="4"/>
        <v>575.27444245372658</v>
      </c>
      <c r="F61" s="124">
        <f t="shared" si="4"/>
        <v>602.69520436732046</v>
      </c>
      <c r="H61" s="120"/>
    </row>
    <row r="62" spans="1:8" ht="13.15">
      <c r="A62" s="143">
        <f t="shared" si="3"/>
        <v>10</v>
      </c>
      <c r="B62" s="124">
        <f t="shared" si="4"/>
        <v>532.15843200000006</v>
      </c>
      <c r="C62" s="124">
        <f t="shared" si="4"/>
        <v>548.56789181544127</v>
      </c>
      <c r="D62" s="124">
        <f t="shared" si="4"/>
        <v>583.80261468722654</v>
      </c>
      <c r="E62" s="124">
        <f t="shared" si="4"/>
        <v>622.58003035090144</v>
      </c>
      <c r="F62" s="124">
        <f t="shared" si="4"/>
        <v>688.32868301119981</v>
      </c>
      <c r="H62" s="120"/>
    </row>
    <row r="63" spans="1:8" ht="13.15">
      <c r="A63" s="143">
        <f t="shared" si="3"/>
        <v>15</v>
      </c>
      <c r="B63" s="124">
        <f t="shared" si="4"/>
        <v>532.15843200000006</v>
      </c>
      <c r="C63" s="124">
        <f t="shared" si="4"/>
        <v>558.48462811090565</v>
      </c>
      <c r="D63" s="124">
        <f t="shared" si="4"/>
        <v>617.77097430295339</v>
      </c>
      <c r="E63" s="124">
        <f t="shared" si="4"/>
        <v>687.36351122761857</v>
      </c>
      <c r="F63" s="124">
        <f t="shared" si="4"/>
        <v>815.6851296708486</v>
      </c>
      <c r="H63" s="120"/>
    </row>
    <row r="64" spans="1:8" ht="13.15">
      <c r="A64" s="144">
        <f t="shared" si="3"/>
        <v>20</v>
      </c>
      <c r="B64" s="124">
        <f t="shared" si="4"/>
        <v>532.15843200000018</v>
      </c>
      <c r="C64" s="124">
        <f t="shared" si="4"/>
        <v>568.55625282815413</v>
      </c>
      <c r="D64" s="124">
        <f t="shared" si="4"/>
        <v>654.15355654455357</v>
      </c>
      <c r="E64" s="124">
        <f t="shared" si="4"/>
        <v>760.78813403105687</v>
      </c>
      <c r="F64" s="124">
        <f t="shared" si="4"/>
        <v>973.69338343516756</v>
      </c>
      <c r="H64" s="120"/>
    </row>
    <row r="65" spans="1:8" ht="13.15">
      <c r="A65" s="144">
        <f t="shared" si="3"/>
        <v>25</v>
      </c>
      <c r="B65" s="124">
        <f t="shared" si="4"/>
        <v>532.15843200000018</v>
      </c>
      <c r="C65" s="124">
        <f t="shared" si="4"/>
        <v>577.88808979786734</v>
      </c>
      <c r="D65" s="124">
        <f t="shared" si="4"/>
        <v>689.7689030529375</v>
      </c>
      <c r="E65" s="124">
        <f t="shared" si="4"/>
        <v>837.09075519911744</v>
      </c>
      <c r="F65" s="124">
        <f t="shared" si="4"/>
        <v>1154.6790378061028</v>
      </c>
    </row>
    <row r="66" spans="1:8" ht="13.15">
      <c r="A66" s="144">
        <f t="shared" si="3"/>
        <v>30</v>
      </c>
      <c r="B66" s="124">
        <f t="shared" si="4"/>
        <v>532.15843200000018</v>
      </c>
      <c r="C66" s="124">
        <f t="shared" si="4"/>
        <v>586.08404554867889</v>
      </c>
      <c r="D66" s="124">
        <f t="shared" si="4"/>
        <v>722.87234579982078</v>
      </c>
      <c r="E66" s="124">
        <f t="shared" si="4"/>
        <v>912.6056498821298</v>
      </c>
      <c r="F66" s="124">
        <f t="shared" si="4"/>
        <v>1353.3346005883329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815.6851296708486</v>
      </c>
      <c r="F69" s="142">
        <f>Scenarios!C58</f>
        <v>0.05</v>
      </c>
    </row>
    <row r="70" spans="1:8">
      <c r="B70" s="127" t="str">
        <f>Scenarios!B36</f>
        <v>Optimistic</v>
      </c>
      <c r="C70" s="142">
        <f>Scenarios!C38</f>
        <v>0.05</v>
      </c>
      <c r="D70" s="145">
        <f>Scenarios!C37</f>
        <v>10</v>
      </c>
      <c r="E70" s="135">
        <f>INDEX(B$60:F$66, MATCH(D70, A$60:A$66, 0), MATCH(C70, B$59:F$59, 0))</f>
        <v>622.58003035090144</v>
      </c>
      <c r="F70" s="142">
        <f>Scenarios!C40*(1-F$69-F$73)</f>
        <v>0.18</v>
      </c>
      <c r="H70" s="120"/>
    </row>
    <row r="71" spans="1:8">
      <c r="B71" s="127" t="str">
        <f>Scenarios!B24</f>
        <v>Base</v>
      </c>
      <c r="C71" s="142">
        <f>Scenarios!C26</f>
        <v>0.03</v>
      </c>
      <c r="D71" s="145">
        <f>Scenarios!C25</f>
        <v>10</v>
      </c>
      <c r="E71" s="135">
        <f>INDEX(B$60:F$66, MATCH(D71, A$60:A$66, 0), MATCH(C71, B$59:F$59, 0))</f>
        <v>583.80261468722654</v>
      </c>
      <c r="F71" s="142">
        <f>Scenarios!C28*(1-F$69-F$73)</f>
        <v>0.53999999999999992</v>
      </c>
      <c r="H71" s="120"/>
    </row>
    <row r="72" spans="1:8">
      <c r="B72" s="127" t="str">
        <f>Scenarios!B30</f>
        <v>Pessimistic</v>
      </c>
      <c r="C72" s="142">
        <f>Scenarios!C32</f>
        <v>0.01</v>
      </c>
      <c r="D72" s="145">
        <f>Scenarios!C31</f>
        <v>10</v>
      </c>
      <c r="E72" s="135">
        <f>INDEX(B$60:F$66, MATCH(D72, A$60:A$66, 0), MATCH(C72, B$59:F$59, 0))</f>
        <v>548.56789181544127</v>
      </c>
      <c r="F72" s="142">
        <f>Scenarios!C34*(1-F$69-F$73)</f>
        <v>0.18</v>
      </c>
      <c r="H72" s="120"/>
    </row>
    <row r="73" spans="1:8">
      <c r="B73" s="127" t="str">
        <f>Scenarios!B48</f>
        <v>Devil's advocate</v>
      </c>
      <c r="C73" s="142">
        <f>Scenarios!C50</f>
        <v>0</v>
      </c>
      <c r="D73" s="145">
        <f>Scenarios!C49</f>
        <v>15</v>
      </c>
      <c r="E73" s="135">
        <f>INDEX(B$60:F$66, MATCH(D73, A$60:A$66, 0), MATCH(C73, B$59:F$59, 0))</f>
        <v>532.15843200000006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-52.2</v>
      </c>
    </row>
    <row r="4" spans="2:9">
      <c r="B4" s="152" t="s">
        <v>146</v>
      </c>
      <c r="C4" s="120">
        <v>3</v>
      </c>
      <c r="D4" s="120"/>
      <c r="E4" s="155" t="s">
        <v>150</v>
      </c>
      <c r="F4" s="155"/>
      <c r="H4" s="247">
        <v>1</v>
      </c>
      <c r="I4" s="124">
        <f t="shared" ref="I4:I13" si="0">IF(ROW()-3 &lt; $C$76, $C$77, IF(ROW()-3 = $C$76, $C$77 + $C$60, ""))</f>
        <v>5.0933999999999999</v>
      </c>
    </row>
    <row r="5" spans="2:9">
      <c r="H5" s="247">
        <v>2</v>
      </c>
      <c r="I5" s="124">
        <f t="shared" si="0"/>
        <v>5.0933999999999999</v>
      </c>
    </row>
    <row r="6" spans="2:9" ht="13.15">
      <c r="B6" s="159" t="s">
        <v>95</v>
      </c>
      <c r="C6" s="107">
        <f>DCF!C3</f>
        <v>1000000</v>
      </c>
      <c r="E6" s="100" t="s">
        <v>279</v>
      </c>
      <c r="F6" s="100"/>
      <c r="H6" s="247">
        <v>3</v>
      </c>
      <c r="I6" s="124">
        <f t="shared" si="0"/>
        <v>75.217101092233946</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52.2</v>
      </c>
      <c r="D21" t="str">
        <f>Market_currency</f>
        <v>HKD</v>
      </c>
      <c r="E21" s="367"/>
      <c r="F21" s="367"/>
    </row>
    <row r="22" spans="2:6">
      <c r="B22" s="100" t="s">
        <v>278</v>
      </c>
      <c r="C22" s="160">
        <f>IF(valuation_method="DCF",DCF!C12,DDM!C7)</f>
        <v>61.970320986277912</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68.840098379673677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64.153129004766242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73.998321428995254</v>
      </c>
      <c r="D39" t="str">
        <f>Market_currency</f>
        <v>HKD</v>
      </c>
      <c r="E39" s="365"/>
      <c r="F39" s="365"/>
    </row>
    <row r="40" spans="2:6">
      <c r="B40" s="100" t="s">
        <v>147</v>
      </c>
      <c r="C40" s="167">
        <f>1-C28-C34</f>
        <v>0.2</v>
      </c>
      <c r="D40" s="165"/>
      <c r="E40" s="365"/>
      <c r="F40" s="365"/>
    </row>
    <row r="42" spans="2:6" ht="13.15">
      <c r="B42" s="100" t="s">
        <v>120</v>
      </c>
      <c r="C42" s="154">
        <f>C27*C28+C33*C34+C39*C40</f>
        <v>68.934349114556511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61.97032098627794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99.685416796383791</v>
      </c>
      <c r="D57" t="str">
        <f>Market_currency</f>
        <v>HKD</v>
      </c>
      <c r="E57" s="365"/>
      <c r="F57" s="365"/>
    </row>
    <row r="58" spans="2:6">
      <c r="B58" s="100" t="s">
        <v>147</v>
      </c>
      <c r="C58" s="165">
        <v>0.05</v>
      </c>
      <c r="D58" s="165"/>
      <c r="E58" s="365"/>
      <c r="F58" s="365"/>
    </row>
    <row r="60" spans="2:6" ht="13.15">
      <c r="B60" s="100" t="s">
        <v>120</v>
      </c>
      <c r="C60" s="154">
        <f>C51*C52+C57*C58+C42*(1-C52-C58)</f>
        <v>70.123701092233944</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70.108569026348079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-0.12575058622304089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5.0933999999999999</v>
      </c>
      <c r="D77" t="str">
        <f>Market_currency</f>
        <v>HKD</v>
      </c>
    </row>
    <row r="79" spans="2:6" ht="13.15">
      <c r="B79" s="109" t="s">
        <v>301</v>
      </c>
    </row>
    <row r="80" spans="2:6">
      <c r="B80" s="148" t="s">
        <v>299</v>
      </c>
      <c r="C80" s="167">
        <f>Thesis!F29</f>
        <v>0.3674</v>
      </c>
    </row>
    <row r="81" spans="2:8">
      <c r="B81" s="100" t="s">
        <v>121</v>
      </c>
      <c r="C81" s="116">
        <f>PV(C80, C76, -C77, 0)</f>
        <v>8.4410846172529705</v>
      </c>
      <c r="D81" s="116"/>
      <c r="E81" s="100"/>
      <c r="F81" s="100"/>
    </row>
    <row r="82" spans="2:8">
      <c r="B82" s="100" t="s">
        <v>122</v>
      </c>
      <c r="C82" s="116">
        <f>C60/(1+C80)^C76</f>
        <v>27.426987157726579</v>
      </c>
      <c r="D82" s="116"/>
    </row>
    <row r="83" spans="2:8" ht="13.15">
      <c r="B83" s="110" t="s">
        <v>101</v>
      </c>
      <c r="C83" s="111">
        <f>C81+C82</f>
        <v>35.868071774979548</v>
      </c>
      <c r="D83" t="str">
        <f>Market_currency</f>
        <v>HKD</v>
      </c>
      <c r="E83" s="146" t="s">
        <v>126</v>
      </c>
      <c r="F83" s="291">
        <f>(1-C83/C60)</f>
        <v>0.48850287112195989</v>
      </c>
    </row>
    <row r="84" spans="2:8">
      <c r="E84" s="120"/>
    </row>
    <row r="85" spans="2:8" ht="13.15">
      <c r="B85" s="109" t="s">
        <v>302</v>
      </c>
    </row>
    <row r="86" spans="2:8">
      <c r="B86" s="148" t="s">
        <v>300</v>
      </c>
      <c r="C86" s="116">
        <f>Market_Price</f>
        <v>52.2</v>
      </c>
      <c r="D86" t="str">
        <f>Market_currency</f>
        <v>HKD</v>
      </c>
    </row>
    <row r="87" spans="2:8" ht="13.15">
      <c r="B87" s="100" t="s">
        <v>298</v>
      </c>
      <c r="C87" s="237">
        <f ca="1">IRR(OFFSET($I$3, 0, 0, $C$76 + 1, 1))</f>
        <v>0.19256430996984797</v>
      </c>
    </row>
    <row r="88" spans="2:8">
      <c r="B88" s="100"/>
    </row>
    <row r="89" spans="2:8" ht="13.15">
      <c r="B89" s="109" t="s">
        <v>412</v>
      </c>
    </row>
    <row r="90" spans="2:8">
      <c r="B90" s="148" t="s">
        <v>413</v>
      </c>
      <c r="C90" s="167">
        <f>Thesis!F30</f>
        <v>0.21740000000000001</v>
      </c>
    </row>
    <row r="91" spans="2:8">
      <c r="B91" s="100" t="s">
        <v>121</v>
      </c>
      <c r="C91" s="116">
        <f>PV(C90, C76, -C77, 0)</f>
        <v>10.44351155627367</v>
      </c>
      <c r="D91" s="116"/>
      <c r="E91" s="100"/>
      <c r="F91" s="100"/>
    </row>
    <row r="92" spans="2:8">
      <c r="B92" s="100" t="s">
        <v>122</v>
      </c>
      <c r="C92" s="116">
        <f>C60/(1+C90)^C76</f>
        <v>38.865560709678569</v>
      </c>
      <c r="D92" s="116"/>
    </row>
    <row r="93" spans="2:8" ht="13.15">
      <c r="B93" s="110" t="s">
        <v>101</v>
      </c>
      <c r="C93" s="111">
        <f>C91+C92</f>
        <v>49.309072265952238</v>
      </c>
      <c r="D93" t="str">
        <f>Market_currency</f>
        <v>HKD</v>
      </c>
      <c r="E93" s="146" t="s">
        <v>126</v>
      </c>
      <c r="F93" s="291">
        <f>(1-C93/C60)</f>
        <v>0.2968272995018354</v>
      </c>
    </row>
    <row r="95" spans="2:8" ht="13.15">
      <c r="B95" s="109" t="s">
        <v>397</v>
      </c>
      <c r="G95" s="2"/>
      <c r="H95" s="281"/>
    </row>
    <row r="96" spans="2:8">
      <c r="B96" s="148" t="s">
        <v>403</v>
      </c>
      <c r="C96" s="134">
        <f>Thesis!F31</f>
        <v>7.4999999999999997E-2</v>
      </c>
      <c r="G96" s="2"/>
      <c r="H96" s="281"/>
    </row>
    <row r="97" spans="2:8">
      <c r="B97" s="100" t="s">
        <v>121</v>
      </c>
      <c r="C97" s="116">
        <f>PV(C96, C76, -C77, 0)</f>
        <v>13.245517803463839</v>
      </c>
      <c r="D97" s="116"/>
      <c r="G97" s="2"/>
      <c r="H97" s="281"/>
    </row>
    <row r="98" spans="2:8">
      <c r="B98" s="100" t="s">
        <v>122</v>
      </c>
      <c r="C98" s="116">
        <f>C60/(1+C96)^C76</f>
        <v>56.446814367325807</v>
      </c>
      <c r="D98" s="116"/>
      <c r="G98" s="2"/>
      <c r="H98" s="281"/>
    </row>
    <row r="99" spans="2:8" ht="13.15">
      <c r="B99" s="110" t="s">
        <v>398</v>
      </c>
      <c r="C99" s="111">
        <f>C97+C98</f>
        <v>69.692332170789641</v>
      </c>
      <c r="D99" t="s">
        <v>396</v>
      </c>
      <c r="E99" s="146" t="s">
        <v>126</v>
      </c>
      <c r="F99" s="291">
        <f>(1-C99/C60)</f>
        <v>6.1515424132694285E-3</v>
      </c>
    </row>
    <row r="100" spans="2:8">
      <c r="B100" s="100"/>
    </row>
    <row r="101" spans="2:8" ht="13.15">
      <c r="B101" s="109" t="s">
        <v>421</v>
      </c>
    </row>
    <row r="102" spans="2:8">
      <c r="B102" s="148" t="s">
        <v>420</v>
      </c>
      <c r="C102" s="134">
        <f>Thesis!F32</f>
        <v>0.1174</v>
      </c>
    </row>
    <row r="103" spans="2:8">
      <c r="B103" s="100" t="s">
        <v>121</v>
      </c>
      <c r="C103" s="116">
        <f>PV(C102, C76, -C77, 0)</f>
        <v>12.288352761655917</v>
      </c>
      <c r="D103" s="116"/>
    </row>
    <row r="104" spans="2:8">
      <c r="B104" s="100" t="s">
        <v>122</v>
      </c>
      <c r="C104" s="116">
        <f>C60/(1+C102)^C76</f>
        <v>50.261891554522144</v>
      </c>
      <c r="D104" s="116"/>
    </row>
    <row r="105" spans="2:8" ht="13.15">
      <c r="B105" s="110" t="s">
        <v>398</v>
      </c>
      <c r="C105" s="111">
        <f>C103+C104</f>
        <v>62.550244316178059</v>
      </c>
      <c r="D105" t="s">
        <v>396</v>
      </c>
      <c r="E105" s="146" t="s">
        <v>126</v>
      </c>
      <c r="F105" s="291">
        <f>(1-C105/C66)</f>
        <v>0.10780885725009537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