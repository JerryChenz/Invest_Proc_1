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31C2E5A-1903-41D3-A023-8AFF41C3CFC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92" i="2"/>
  <c r="Q48" i="2"/>
  <c r="Q91" i="2"/>
  <c r="D69" i="4"/>
  <c r="J91" i="2"/>
  <c r="J69" i="4"/>
  <c r="I69" i="4"/>
  <c r="K126" i="2"/>
  <c r="K91" i="2"/>
  <c r="J71" i="4"/>
  <c r="L126" i="2"/>
  <c r="L91" i="2"/>
  <c r="I70" i="4"/>
  <c r="P126" i="2"/>
  <c r="P92" i="2"/>
  <c r="P48" i="2"/>
  <c r="P91" i="2"/>
  <c r="M126" i="2"/>
  <c r="M91" i="2"/>
  <c r="H91" i="2"/>
  <c r="J70" i="4"/>
  <c r="E69" i="4"/>
  <c r="I71" i="4"/>
  <c r="C69" i="4"/>
  <c r="O126" i="2"/>
  <c r="O91" i="2"/>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82" i="2"/>
  <c r="O40" i="2"/>
  <c r="O28" i="2"/>
  <c r="O75" i="2"/>
  <c r="G105" i="2" l="1"/>
  <c r="G101" i="2" s="1"/>
  <c r="C76" i="4"/>
  <c r="C58" i="4"/>
  <c r="G62" i="2" s="1"/>
  <c r="G63" i="2" s="1"/>
  <c r="C71" i="4"/>
  <c r="O63" i="2"/>
  <c r="E58" i="4"/>
  <c r="E71" i="4"/>
  <c r="H58" i="4"/>
  <c r="H71" i="4"/>
  <c r="O6" i="2"/>
  <c r="D71" i="4"/>
  <c r="O73" i="2"/>
  <c r="G71" i="4"/>
  <c r="P40" i="2"/>
  <c r="P30" i="2"/>
  <c r="P63" i="2"/>
  <c r="P6" i="2"/>
  <c r="P73" i="2"/>
  <c r="C23" i="2"/>
  <c r="C49" i="2"/>
  <c r="C24" i="2"/>
  <c r="C110" i="2"/>
  <c r="G30" i="2"/>
  <c r="C17" i="2"/>
  <c r="C51" i="6" s="1"/>
  <c r="M63" i="2"/>
  <c r="M11" i="2"/>
  <c r="N63" i="2"/>
  <c r="N11" i="2"/>
  <c r="G69" i="2"/>
  <c r="G11" i="2"/>
  <c r="N73" i="2"/>
  <c r="M6" i="2"/>
  <c r="M74"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8" i="2" l="1"/>
  <c r="O74" i="2"/>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O48" i="2"/>
  <c r="O50" i="2" s="1"/>
  <c r="O12" i="2" s="1"/>
  <c r="H48" i="2"/>
  <c r="H50" i="2" s="1"/>
  <c r="H12" i="2" s="1"/>
  <c r="H80" i="2" s="1"/>
  <c r="J48" i="2"/>
  <c r="J50" i="2" s="1"/>
  <c r="J12" i="2" s="1"/>
  <c r="J80" i="2" s="1"/>
  <c r="N48" i="2"/>
  <c r="N50" i="2" s="1"/>
  <c r="N12" i="2" s="1"/>
  <c r="L48" i="2"/>
  <c r="L50" i="2" s="1"/>
  <c r="L12" i="2" s="1"/>
  <c r="I48" i="2"/>
  <c r="I50" i="2" s="1"/>
  <c r="I12" i="2" s="1"/>
  <c r="I80" i="2" s="1"/>
  <c r="M48" i="2"/>
  <c r="M50" i="2" s="1"/>
  <c r="M12" i="2" s="1"/>
  <c r="P50" i="2"/>
  <c r="P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J114" i="2" l="1"/>
  <c r="J92" i="2"/>
  <c r="N114" i="2"/>
  <c r="N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<sst xmlns="http://schemas.openxmlformats.org/spreadsheetml/2006/main" count="612" uniqueCount="431">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</sst>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423</v>
      </c>
      <c r="D5" s="49" t="s">
        <v>424</v>
      </c>
    </row>
    <row r="6" spans="1:10">
      <c r="B6" s="4" t="s">
        <v>95</v>
      </c>
      <c r="C6" s="50">
        <v>52.2</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7.7550999999999997</v>
      </c>
      <c r="D17" s="32" t="str">
        <f>IF(C16=D6,D6,C16&amp;"/"&amp;D6)</f>
        <v>USD/HKD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30.935095153902036</v>
      </c>
      <c r="D20" s="1" t="s">
        <v>315</v>
      </c>
      <c r="E20" s="330">
        <v>3</v>
      </c>
    </row>
    <row r="21" spans="1:6">
      <c r="B21" s="1" t="s">
        <v>407</v>
      </c>
      <c r="C21" s="280">
        <f ca="1">Scenarios!C87</f>
        <v>9.195230665086962E-2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210.2763260031652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-33.887093790522258</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0.10065745348000395</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65.678988395702575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155.30000000000001</v>
      </c>
      <c r="D86" s="1" t="str">
        <f>Reporting_currency</f>
        <v>USD</v>
      </c>
    </row>
    <row r="87" spans="2:6">
      <c r="B87" s="47" t="s">
        <v>285</v>
      </c>
      <c r="C87" s="248">
        <f>C86*scaling_factor*Exchange_Rate/Common_Shares</f>
        <v>4.7582914757959367</v>
      </c>
      <c r="D87" s="1" t="str">
        <f>Market_currency</f>
        <v>HKD</v>
      </c>
    </row>
    <row r="88" spans="2:6">
      <c r="B88" s="336" t="s">
        <v>413</v>
      </c>
      <c r="C88" s="337">
        <f>BS!G30/BS!G27</f>
        <v>1.2907496012759174</v>
      </c>
    </row>
    <row r="89" spans="2:6">
      <c r="B89" s="336" t="s">
        <v>414</v>
      </c>
      <c r="C89" s="337">
        <f>BS!G31/BS!G27</f>
        <v>0.24768740031897937</v>
      </c>
    </row>
    <row r="90" spans="2:6">
      <c r="B90" s="336" t="s">
        <v>416</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-0.68906289038467028</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1.1949347556731585E-2</v>
      </c>
      <c r="D99" s="1" t="str">
        <f>Market_currency</f>
        <v>HKD</v>
      </c>
    </row>
    <row r="101" spans="1:6" ht="24.4" customHeight="1">
      <c r="B101" s="342" t="s">
        <v>374</v>
      </c>
      <c r="C101" s="342"/>
      <c r="D101" s="342"/>
      <c r="E101" s="342"/>
      <c r="F101" s="342"/>
    </row>
    <row r="103" spans="1:6">
      <c r="B103" s="47" t="s">
        <v>283</v>
      </c>
      <c r="C103" s="248">
        <f>Valuation_Model!C12</f>
        <v>60.2435833770787</v>
      </c>
      <c r="D103" s="1" t="str">
        <f>Market_currency</f>
        <v>HKD</v>
      </c>
    </row>
    <row r="104" spans="1:6">
      <c r="B104" s="336" t="s">
        <v>415</v>
      </c>
      <c r="C104" s="248">
        <f>BS!D47</f>
        <v>-2.6424909744367104</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95.74 HKD</v>
      </c>
      <c r="F111" s="259">
        <f>Valuation_Model!F74</f>
        <v>0.05</v>
      </c>
    </row>
    <row r="112" spans="1:6">
      <c r="B112" s="242" t="str">
        <f>Valuation_Model!B75</f>
        <v>Optimistic</v>
      </c>
      <c r="C112" s="243">
        <f>Valuation_Model!C75</f>
        <v>0.05</v>
      </c>
      <c r="D112" s="244">
        <f>Valuation_Model!D75</f>
        <v>10</v>
      </c>
      <c r="E112" s="245" t="str">
        <f>ROUND(Valuation_Model!E75,2)&amp;" "&amp;Market_currency</f>
        <v>71.66 HKD</v>
      </c>
      <c r="F112" s="246">
        <f>Valuation_Model!F75</f>
        <v>0.18</v>
      </c>
    </row>
    <row r="113" spans="1:6">
      <c r="B113" s="242" t="str">
        <f>Valuation_Model!B76</f>
        <v>Base</v>
      </c>
      <c r="C113" s="243">
        <f>Valuation_Model!C76</f>
        <v>0.03</v>
      </c>
      <c r="D113" s="244">
        <f>Valuation_Model!D76</f>
        <v>10</v>
      </c>
      <c r="E113" s="245" t="str">
        <f>ROUND(Valuation_Model!E76,2)&amp;" "&amp;Market_currency</f>
        <v>66.76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62.31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60.24 HKD</v>
      </c>
      <c r="F115" s="246">
        <f>Valuation_Model!F78</f>
        <v>0.05</v>
      </c>
    </row>
    <row r="117" spans="1:6">
      <c r="B117" s="235" t="s">
        <v>259</v>
      </c>
      <c r="C117" s="241">
        <f>Scenarios!C60</f>
        <v>67.964404053122792</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1:6">
      <c r="B130" s="234" t="s">
        <v>408</v>
      </c>
      <c r="C130" s="337">
        <f>C19</f>
        <v>0.3</v>
      </c>
      <c r="D130" s="1" t="s">
        <v>418</v>
      </c>
    </row>
    <row r="131" spans="1:6">
      <c r="B131" s="236" t="str">
        <f>"PV("&amp;C126&amp;" yrs of Dividends)"</f>
        <v>PV(3 yrs of Dividends)</v>
      </c>
      <c r="C131" s="240">
        <f>Scenarios!C81</f>
        <v>0</v>
      </c>
    </row>
    <row r="132" spans="1:6">
      <c r="B132" s="236" t="str">
        <f>"+ PV(Equity Value realized at year "&amp;C126&amp;")"</f>
        <v>+ PV(Equity Value realized at year 3)</v>
      </c>
      <c r="C132" s="240">
        <f>Scenarios!C82</f>
        <v>30.935095153902036</v>
      </c>
    </row>
    <row r="133" spans="1:6">
      <c r="B133" s="80" t="s">
        <v>261</v>
      </c>
      <c r="C133" s="239">
        <f>Scenarios!C83</f>
        <v>30.935095153902036</v>
      </c>
      <c r="D133" s="47" t="str">
        <f>Reporting_currency</f>
        <v>USD</v>
      </c>
    </row>
    <row r="134" spans="1:6">
      <c r="B134" s="238" t="s">
        <v>263</v>
      </c>
      <c r="C134" s="92">
        <f>Scenarios!F83</f>
        <v>0.54483386436049175</v>
      </c>
    </row>
    <row r="136" spans="1:6">
      <c r="B136" s="234" t="s">
        <v>409</v>
      </c>
      <c r="C136" s="92">
        <f>Scenarios!C96</f>
        <v>0.08</v>
      </c>
      <c r="D136" s="1" t="s">
        <v>417</v>
      </c>
    </row>
    <row r="137" spans="1:6">
      <c r="B137" s="236" t="str">
        <f>"PV("&amp;C126&amp;" yrs of Dividends)"</f>
        <v>PV(3 yrs of Dividends)</v>
      </c>
      <c r="C137" s="240">
        <f>Scenarios!C97</f>
        <v>0</v>
      </c>
    </row>
    <row r="138" spans="1:6">
      <c r="B138" s="236" t="str">
        <f>"+ PV(Equity Value realized at year "&amp;C126&amp;")"</f>
        <v>+ PV(Equity Value realized at year 3)</v>
      </c>
      <c r="C138" s="240">
        <f>Scenarios!C98</f>
        <v>53.95233517909076</v>
      </c>
    </row>
    <row r="139" spans="1:6">
      <c r="B139" s="80" t="s">
        <v>410</v>
      </c>
      <c r="C139" s="239">
        <f>Scenarios!C99</f>
        <v>53.95233517909076</v>
      </c>
      <c r="D139" s="101" t="str">
        <f>Reporting_currency</f>
        <v>USD</v>
      </c>
    </row>
    <row r="140" spans="1:6">
      <c r="B140" s="238" t="s">
        <v>263</v>
      </c>
      <c r="C140" s="92">
        <f>Scenarios!F99</f>
        <v>0.20616775897983042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428</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19.210874148899233</v>
      </c>
      <c r="D47" s="148">
        <f>D46*H1/Common_Shares*Exchange_Rate</f>
        <v>-2.6424909744367104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-1204.3670300000001</v>
      </c>
      <c r="D86" s="248">
        <f>C86*scaling_factor/Common_Shares</f>
        <v>-4.7582914757959367</v>
      </c>
      <c r="E86" s="269" t="str">
        <f>Market_currency</f>
        <v>HKD</v>
      </c>
    </row>
    <row r="87" spans="2:8" ht="15" customHeight="1">
      <c r="B87" s="267" t="s">
        <v>294</v>
      </c>
      <c r="C87" s="188">
        <f>Valuation_Model!C8*Exchange_Rate</f>
        <v>-174.40811076773792</v>
      </c>
      <c r="D87" s="248">
        <f>C87*scaling_factor/Common_Shares</f>
        <v>-0.68906289038467028</v>
      </c>
      <c r="E87" s="269" t="str">
        <f>Market_currency</f>
        <v>HKD</v>
      </c>
    </row>
    <row r="88" spans="2:8" ht="15" customHeight="1">
      <c r="B88" s="268" t="s">
        <v>190</v>
      </c>
      <c r="C88" s="188">
        <f>Valuation_Model!C9*Exchange_Rate</f>
        <v>3.024489</v>
      </c>
      <c r="D88" s="248">
        <f>C88*scaling_factor/Common_Shares</f>
        <v>1.1949347556731585E-2</v>
      </c>
      <c r="E88" s="269" t="str">
        <f>Market_currency</f>
        <v>HKD</v>
      </c>
    </row>
    <row r="89" spans="2:8" ht="15" customHeight="1">
      <c r="B89" s="80" t="s">
        <v>298</v>
      </c>
      <c r="C89" s="187">
        <f>SUM(C86:C88)</f>
        <v>-1375.7506517677382</v>
      </c>
      <c r="D89" s="271">
        <f>SUM(D86:D88)</f>
        <v>-5.4354050186238752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5.254319071656206</v>
      </c>
      <c r="D124" s="27"/>
      <c r="E124" s="299"/>
      <c r="F124" s="27"/>
      <c r="G124" s="178">
        <f t="shared" ref="G124:Q124" si="49">IF(G$4="","",G16*$C$3/Common_Shares*Exchange_Rate)</f>
        <v>6.1186787361007653</v>
      </c>
      <c r="H124" s="178">
        <f t="shared" si="49"/>
        <v>5.5120195524513074</v>
      </c>
      <c r="I124" s="178">
        <f t="shared" si="49"/>
        <v>6.1493180888103245</v>
      </c>
      <c r="J124" s="178">
        <f t="shared" si="49"/>
        <v>8.2573055552286245</v>
      </c>
      <c r="K124" s="178">
        <f t="shared" si="49"/>
        <v>7.359572520838273</v>
      </c>
      <c r="L124" s="178">
        <f t="shared" si="49"/>
        <v>5.09532435560119</v>
      </c>
      <c r="M124" s="178">
        <f t="shared" si="49"/>
        <v>6.2014049884165958</v>
      </c>
      <c r="N124" s="178">
        <f t="shared" si="49"/>
        <v>5.4813801997417491</v>
      </c>
      <c r="O124" s="178">
        <f t="shared" si="49"/>
        <v>5.5334670993480106</v>
      </c>
      <c r="P124" s="178" t="str">
        <f t="shared" si="49"/>
        <v/>
      </c>
      <c r="Q124" s="178" t="str">
        <f t="shared" si="49"/>
        <v/>
      </c>
    </row>
    <row r="125" spans="1:17" ht="15.75" customHeight="1">
      <c r="A125" s="10"/>
      <c r="B125" s="27" t="s">
        <v>270</v>
      </c>
      <c r="C125" s="77">
        <f>C19*Exchange_Rate*$C$3/(Market_Price*Common_Shares)</f>
        <v>0.10065745348000395</v>
      </c>
      <c r="D125" s="27"/>
      <c r="E125" s="299"/>
      <c r="F125" s="27"/>
      <c r="G125" s="77">
        <f t="shared" ref="G125" si="50">IF(G$4="","",G124/Market_Price)</f>
        <v>0.11721606774139397</v>
      </c>
      <c r="H125" s="77">
        <f t="shared" ref="H125" si="51">IF(H$4="","",H124/Market_Price)</f>
        <v>0.10559424429983347</v>
      </c>
      <c r="I125" s="77">
        <f t="shared" ref="I125" si="52">IF(I$4="","",I124/Market_Price)</f>
        <v>0.11780302852127057</v>
      </c>
      <c r="J125" s="77">
        <f t="shared" ref="J125" si="53">IF(J$4="","",J124/Market_Price)</f>
        <v>0.15818593017679355</v>
      </c>
      <c r="K125" s="77">
        <f t="shared" ref="K125" si="54">IF(K$4="","",K124/Market_Price)</f>
        <v>0.1409879793264037</v>
      </c>
      <c r="L125" s="77">
        <f t="shared" ref="L125" si="55">IF(L$4="","",L124/Market_Price)</f>
        <v>9.761157769350938E-2</v>
      </c>
      <c r="M125" s="77">
        <f t="shared" ref="M125" si="56">IF(M$4="","",M124/Market_Price)</f>
        <v>0.11880086184706122</v>
      </c>
      <c r="N125" s="77">
        <f t="shared" ref="N125" si="57">IF(N$4="","",N124/Market_Price)</f>
        <v>0.10500728351995688</v>
      </c>
      <c r="O125" s="77">
        <f t="shared" ref="O125" si="58">IF(O$4="","",O124/Market_Price)</f>
        <v>0.10600511684574733</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7.7550999999999997</v>
      </c>
      <c r="D11" t="str">
        <f>Thesis!D17</f>
        <v>USD/HKD</v>
      </c>
      <c r="H11" s="121"/>
    </row>
    <row r="12" spans="2:8" ht="13.5" thickTop="1">
      <c r="B12" s="150" t="s">
        <v>103</v>
      </c>
      <c r="C12" s="112">
        <f>(C10*scaling_factor)/Common_Shares*Exchange_Rate</f>
        <v>60.2435833770787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67.964139797571661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60.2435833770787</v>
      </c>
      <c r="C65" s="125">
        <f>C12</f>
        <v>60.2435833770787</v>
      </c>
      <c r="D65" s="125">
        <f>C12</f>
        <v>60.2435833770787</v>
      </c>
      <c r="E65" s="142">
        <f>C12</f>
        <v>60.2435833770787</v>
      </c>
      <c r="F65" s="125">
        <f>C12</f>
        <v>60.2435833770787</v>
      </c>
      <c r="H65" s="121"/>
    </row>
    <row r="66" spans="1:8" ht="13.15">
      <c r="A66" s="144">
        <f t="shared" ref="A66:A71" si="3">A56</f>
        <v>5</v>
      </c>
      <c r="B66" s="125">
        <f t="shared" ref="B66:F71" si="4">(B56-$C$7+$C$8+$C$9)/Common_Shares*$C$3*Exchange_Rate</f>
        <v>60.243583377078693</v>
      </c>
      <c r="C66" s="125">
        <f t="shared" si="4"/>
        <v>61.295394662745196</v>
      </c>
      <c r="D66" s="125">
        <f t="shared" si="4"/>
        <v>63.445933609794075</v>
      </c>
      <c r="E66" s="125">
        <f t="shared" si="4"/>
        <v>65.661322001056234</v>
      </c>
      <c r="F66" s="125">
        <f t="shared" si="4"/>
        <v>69.112207511970382</v>
      </c>
      <c r="H66" s="121"/>
    </row>
    <row r="67" spans="1:8" ht="13.15">
      <c r="A67" s="144">
        <f t="shared" si="3"/>
        <v>10</v>
      </c>
      <c r="B67" s="125">
        <f t="shared" si="4"/>
        <v>60.243583377078693</v>
      </c>
      <c r="C67" s="125">
        <f t="shared" si="4"/>
        <v>62.313554806310442</v>
      </c>
      <c r="D67" s="125">
        <f t="shared" si="4"/>
        <v>66.760272892489127</v>
      </c>
      <c r="E67" s="125">
        <f t="shared" si="4"/>
        <v>71.656732028521688</v>
      </c>
      <c r="F67" s="125">
        <f t="shared" si="4"/>
        <v>79.963631805127477</v>
      </c>
      <c r="H67" s="121"/>
    </row>
    <row r="68" spans="1:8" ht="13.15">
      <c r="A68" s="144">
        <f t="shared" si="3"/>
        <v>15</v>
      </c>
      <c r="B68" s="125">
        <f t="shared" si="4"/>
        <v>60.243583377078693</v>
      </c>
      <c r="C68" s="125">
        <f t="shared" si="4"/>
        <v>63.542482500425862</v>
      </c>
      <c r="D68" s="125">
        <f t="shared" si="4"/>
        <v>70.969377666384133</v>
      </c>
      <c r="E68" s="125">
        <f t="shared" si="4"/>
        <v>79.683392993046013</v>
      </c>
      <c r="F68" s="125">
        <f t="shared" si="4"/>
        <v>95.740517841099077</v>
      </c>
      <c r="H68" s="121"/>
    </row>
    <row r="69" spans="1:8" ht="13.15">
      <c r="A69" s="145">
        <f t="shared" si="3"/>
        <v>20</v>
      </c>
      <c r="B69" s="125">
        <f t="shared" si="4"/>
        <v>60.243583377078679</v>
      </c>
      <c r="C69" s="125">
        <f t="shared" si="4"/>
        <v>64.762259998090954</v>
      </c>
      <c r="D69" s="125">
        <f t="shared" si="4"/>
        <v>75.37523866511674</v>
      </c>
      <c r="E69" s="125">
        <f t="shared" si="4"/>
        <v>88.574009577673991</v>
      </c>
      <c r="F69" s="125">
        <f t="shared" si="4"/>
        <v>114.86959037686285</v>
      </c>
      <c r="H69" s="121"/>
    </row>
    <row r="70" spans="1:8" ht="13.15">
      <c r="A70" s="145">
        <f t="shared" si="3"/>
        <v>25</v>
      </c>
      <c r="B70" s="125">
        <f t="shared" si="4"/>
        <v>60.243583377078679</v>
      </c>
      <c r="C70" s="125">
        <f t="shared" si="4"/>
        <v>65.8666588202246</v>
      </c>
      <c r="D70" s="125">
        <f t="shared" si="4"/>
        <v>79.589785236707414</v>
      </c>
      <c r="E70" s="125">
        <f t="shared" si="4"/>
        <v>97.60226024317879</v>
      </c>
      <c r="F70" s="125">
        <f t="shared" si="4"/>
        <v>136.28010471770855</v>
      </c>
    </row>
    <row r="71" spans="1:8" ht="13.15">
      <c r="A71" s="145">
        <f t="shared" si="3"/>
        <v>30</v>
      </c>
      <c r="B71" s="125">
        <f t="shared" si="4"/>
        <v>60.243583377078679</v>
      </c>
      <c r="C71" s="125">
        <f t="shared" si="4"/>
        <v>66.814457021157864</v>
      </c>
      <c r="D71" s="125">
        <f t="shared" si="4"/>
        <v>83.417530860985948</v>
      </c>
      <c r="E71" s="125">
        <f t="shared" si="4"/>
        <v>106.33299289595291</v>
      </c>
      <c r="F71" s="125">
        <f t="shared" si="4"/>
        <v>159.24333001610336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95.740517841099077</v>
      </c>
      <c r="F74" s="143">
        <f>Scenarios!C58</f>
        <v>0.05</v>
      </c>
    </row>
    <row r="75" spans="1:8">
      <c r="B75" s="128" t="str">
        <f>Scenarios!B36</f>
        <v>Optimistic</v>
      </c>
      <c r="C75" s="143">
        <f>Scenarios!C38</f>
        <v>0.05</v>
      </c>
      <c r="D75" s="146">
        <f>Scenarios!C37</f>
        <v>10</v>
      </c>
      <c r="E75" s="136">
        <f>INDEX(B$65:F$71, MATCH(D75, A$65:A$71, 0), MATCH(C75, B$64:F$64, 0))</f>
        <v>71.656732028521688</v>
      </c>
      <c r="F75" s="143">
        <f>Scenarios!C40*(1-F$74-F$78)</f>
        <v>0.18</v>
      </c>
      <c r="H75" s="121"/>
    </row>
    <row r="76" spans="1:8">
      <c r="B76" s="128" t="str">
        <f>Scenarios!B24</f>
        <v>Base</v>
      </c>
      <c r="C76" s="143">
        <f>Scenarios!C26</f>
        <v>0.03</v>
      </c>
      <c r="D76" s="146">
        <f>Scenarios!C25</f>
        <v>10</v>
      </c>
      <c r="E76" s="136">
        <f>INDEX(B$65:F$71, MATCH(D76, A$65:A$71, 0), MATCH(C76, B$64:F$64, 0))</f>
        <v>66.760272892489127</v>
      </c>
      <c r="F76" s="143">
        <f>Scenarios!C28*(1-F$74-F$78)</f>
        <v>0.53999999999999992</v>
      </c>
      <c r="H76" s="121"/>
    </row>
    <row r="77" spans="1:8">
      <c r="B77" s="128" t="str">
        <f>Scenarios!B30</f>
        <v>Pessimistic</v>
      </c>
      <c r="C77" s="143">
        <f>Scenarios!C32</f>
        <v>0.01</v>
      </c>
      <c r="D77" s="146">
        <f>Scenarios!C31</f>
        <v>10</v>
      </c>
      <c r="E77" s="136">
        <f>INDEX(B$65:F$71, MATCH(D77, A$65:A$71, 0), MATCH(C77, B$64:F$64, 0))</f>
        <v>62.313554806310442</v>
      </c>
      <c r="F77" s="143">
        <f>Scenarios!C34*(1-F$74-F$78)</f>
        <v>0.18</v>
      </c>
      <c r="H77" s="121"/>
    </row>
    <row r="78" spans="1:8">
      <c r="B78" s="128" t="str">
        <f>Scenarios!B48</f>
        <v>Devil's advocate</v>
      </c>
      <c r="C78" s="143">
        <f>Scenarios!C50</f>
        <v>0</v>
      </c>
      <c r="D78" s="146">
        <f>Scenarios!C49</f>
        <v>15</v>
      </c>
      <c r="E78" s="136">
        <f>INDEX(B$65:F$71, MATCH(D78, A$65:A$71, 0), MATCH(C78, B$64:F$64, 0))</f>
        <v>60.243583377078693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67.964404053122792</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60.2435833770787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66.760272892489127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62.313554806310442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71.656732028521688</v>
      </c>
      <c r="D39" t="str">
        <f>Market_currency</f>
        <v>HKD</v>
      </c>
      <c r="E39" s="349"/>
      <c r="F39" s="349"/>
    </row>
    <row r="40" spans="2:6">
      <c r="B40" s="100" t="s">
        <v>148</v>
      </c>
      <c r="C40" s="168">
        <f>1-C28-C34</f>
        <v>0.2</v>
      </c>
      <c r="D40" s="166"/>
      <c r="E40" s="349"/>
      <c r="F40" s="349"/>
    </row>
    <row r="42" spans="2:6" ht="13.15">
      <c r="B42" s="100" t="s">
        <v>121</v>
      </c>
      <c r="C42" s="155">
        <f>C27*C28+C33*C34+C39*C40</f>
        <v>66.850221102459898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60.243583377078693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95.740517841099077</v>
      </c>
      <c r="D57" t="str">
        <f>Market_currency</f>
        <v>HKD</v>
      </c>
      <c r="E57" s="349"/>
      <c r="F57" s="349"/>
    </row>
    <row r="58" spans="2:6">
      <c r="B58" s="100" t="s">
        <v>148</v>
      </c>
      <c r="C58" s="166">
        <v>0.05</v>
      </c>
      <c r="D58" s="166"/>
      <c r="E58" s="349"/>
      <c r="F58" s="349"/>
    </row>
    <row r="60" spans="2:6" ht="13.15">
      <c r="B60" s="100" t="s">
        <v>121</v>
      </c>
      <c r="C60" s="155">
        <f>C51*C52+C57*C58+C42*(1-C52-C58)</f>
        <v>67.964404053122792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67.964139797571661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-7.9974290871077422E-2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0.3</v>
      </c>
    </row>
    <row r="81" spans="2:8">
      <c r="B81" s="100" t="s">
        <v>122</v>
      </c>
      <c r="C81" s="117">
        <f>PV(C80, C76, -C77, 0)</f>
        <v>0</v>
      </c>
      <c r="D81" s="117"/>
      <c r="E81" s="100"/>
      <c r="F81" s="100"/>
    </row>
    <row r="82" spans="2:8">
      <c r="B82" s="100" t="s">
        <v>123</v>
      </c>
      <c r="C82" s="117">
        <f>C60/(1+C80)^C76</f>
        <v>30.935095153902036</v>
      </c>
      <c r="D82" s="117"/>
    </row>
    <row r="83" spans="2:8" ht="13.15">
      <c r="B83" s="111" t="s">
        <v>102</v>
      </c>
      <c r="C83" s="112">
        <f>C81+C82</f>
        <v>30.935095153902036</v>
      </c>
      <c r="D83" t="str">
        <f>Market_currency</f>
        <v>HKD</v>
      </c>
      <c r="E83" s="147" t="s">
        <v>127</v>
      </c>
      <c r="F83" s="329">
        <f>(1-C83/C60)</f>
        <v>0.54483386436049175</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9.195230665086962E-2</v>
      </c>
    </row>
    <row r="88" spans="2:8">
      <c r="B88" s="100"/>
    </row>
    <row r="89" spans="2:8" ht="13.15">
      <c r="B89" s="109" t="s">
        <v>420</v>
      </c>
    </row>
    <row r="90" spans="2:8">
      <c r="B90" s="149" t="s">
        <v>421</v>
      </c>
      <c r="C90" s="168">
        <f>Thesis!E19</f>
        <v>0.2</v>
      </c>
    </row>
    <row r="91" spans="2:8">
      <c r="B91" s="100" t="s">
        <v>122</v>
      </c>
      <c r="C91" s="117">
        <f>PV(C90, C76, -C77, 0)</f>
        <v>0</v>
      </c>
      <c r="D91" s="117"/>
      <c r="E91" s="100"/>
      <c r="F91" s="100"/>
    </row>
    <row r="92" spans="2:8">
      <c r="B92" s="100" t="s">
        <v>123</v>
      </c>
      <c r="C92" s="117">
        <f>C60/(1+C90)^C76</f>
        <v>39.331252345557175</v>
      </c>
      <c r="D92" s="117"/>
    </row>
    <row r="93" spans="2:8" ht="13.15">
      <c r="B93" s="111" t="s">
        <v>102</v>
      </c>
      <c r="C93" s="112">
        <f>C91+C92</f>
        <v>39.331252345557175</v>
      </c>
      <c r="D93" t="str">
        <f>Market_currency</f>
        <v>HKD</v>
      </c>
      <c r="E93" s="147" t="s">
        <v>127</v>
      </c>
      <c r="F93" s="329">
        <f>(1-C93/C60)</f>
        <v>0.42129629629629628</v>
      </c>
    </row>
    <row r="95" spans="2:8" ht="13.15">
      <c r="B95" s="109" t="s">
        <v>405</v>
      </c>
      <c r="G95" s="2"/>
      <c r="H95" s="316"/>
    </row>
    <row r="96" spans="2:8">
      <c r="B96" s="149" t="s">
        <v>412</v>
      </c>
      <c r="C96" s="135">
        <f>Thesis!C67</f>
        <v>0.08</v>
      </c>
      <c r="G96" s="2"/>
      <c r="H96" s="316"/>
    </row>
    <row r="97" spans="2:8">
      <c r="B97" s="100" t="s">
        <v>122</v>
      </c>
      <c r="C97" s="117">
        <f>PV(C96, C76, -C77, 0)</f>
        <v>0</v>
      </c>
      <c r="D97" s="117"/>
      <c r="G97" s="2"/>
      <c r="H97" s="316"/>
    </row>
    <row r="98" spans="2:8">
      <c r="B98" s="100" t="s">
        <v>123</v>
      </c>
      <c r="C98" s="117">
        <f>C60/(1+C96)^C76</f>
        <v>53.95233517909076</v>
      </c>
      <c r="D98" s="117"/>
      <c r="G98" s="2"/>
      <c r="H98" s="316"/>
    </row>
    <row r="99" spans="2:8" ht="13.15">
      <c r="B99" s="111" t="s">
        <v>406</v>
      </c>
      <c r="C99" s="112">
        <f>C97+C98</f>
        <v>53.95233517909076</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