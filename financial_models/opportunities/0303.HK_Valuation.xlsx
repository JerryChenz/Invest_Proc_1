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EB77E01F-E3CE-4171-A517-1254FC8EBEC2}" xr6:coauthVersionLast="47" xr6:coauthVersionMax="47" xr10:uidLastSave="{00000000-0000-0000-0000-000000000000}"/>
  <bookViews>
    <workbookView xWindow="33720" yWindow="-120" windowWidth="29040" windowHeight="15720"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8" i="4"/>
  <c r="C29" i="4"/>
  <c r="C30" i="4"/>
  <c r="C32" i="4"/>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L126" i="2"/>
  <c r="I70" i="4"/>
  <c r="J70" i="4"/>
  <c r="E69" i="4"/>
  <c r="I71" i="4"/>
  <c r="H69" i="4"/>
  <c r="F70" i="4"/>
  <c r="G70" i="4"/>
  <c r="N126" i="2"/>
  <c r="D70" i="4"/>
  <c r="M126" i="2"/>
  <c r="P126" i="2"/>
  <c r="P48" i="2"/>
  <c r="F69" i="4"/>
  <c r="G69" i="4"/>
  <c r="O126" i="2"/>
  <c r="Q126" i="2"/>
  <c r="Q48" i="2"/>
  <c r="D69" i="4"/>
  <c r="J69" i="4"/>
  <c r="I69" i="4"/>
  <c r="C69" i="4"/>
  <c r="K126" i="2"/>
  <c r="J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75" i="2" s="1"/>
  <c r="O6" i="2"/>
  <c r="O8" i="2" s="1"/>
  <c r="O82" i="2"/>
  <c r="O73" i="2"/>
  <c r="O74" i="2"/>
  <c r="O40" i="2"/>
  <c r="O28" i="2"/>
  <c r="G105" i="2" l="1"/>
  <c r="G101" i="2" s="1"/>
  <c r="C76" i="4"/>
  <c r="O55" i="2"/>
  <c r="O76" i="2"/>
  <c r="O120" i="2"/>
  <c r="H58" i="4"/>
  <c r="L62" i="2" s="1"/>
  <c r="H71" i="4"/>
  <c r="C58" i="4"/>
  <c r="G62" i="2" s="1"/>
  <c r="G63" i="2" s="1"/>
  <c r="C71" i="4"/>
  <c r="O63" i="2"/>
  <c r="G71" i="4"/>
  <c r="E58" i="4"/>
  <c r="I62" i="2" s="1"/>
  <c r="E71" i="4"/>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K48" i="2"/>
  <c r="M48" i="2"/>
  <c r="M50" i="2" s="1"/>
  <c r="M12" i="2" s="1"/>
  <c r="L48" i="2"/>
  <c r="L50" i="2" s="1"/>
  <c r="L12" i="2" s="1"/>
  <c r="J48" i="2"/>
  <c r="J50" i="2" s="1"/>
  <c r="J12" i="2" s="1"/>
  <c r="J80" i="2" s="1"/>
  <c r="H48" i="2"/>
  <c r="H50" i="2" s="1"/>
  <c r="H12" i="2" s="1"/>
  <c r="H80" i="2" s="1"/>
  <c r="N48" i="2"/>
  <c r="N50" i="2" s="1"/>
  <c r="N12" i="2" s="1"/>
  <c r="I48" i="2"/>
  <c r="I50" i="2" s="1"/>
  <c r="I12" i="2" s="1"/>
  <c r="I80" i="2" s="1"/>
  <c r="O48" i="2"/>
  <c r="O50" i="2" s="1"/>
  <c r="O12" i="2" s="1"/>
  <c r="P50" i="2"/>
  <c r="P12" i="2" s="1"/>
  <c r="G50" i="2"/>
  <c r="G12" i="2" s="1"/>
  <c r="G43" i="2" s="1"/>
  <c r="C40" i="6"/>
  <c r="K50" i="2"/>
  <c r="K12" i="2" s="1"/>
  <c r="K43" i="2" s="1"/>
  <c r="C87" i="3"/>
  <c r="D87" i="3" s="1"/>
  <c r="C31" i="3"/>
  <c r="L80" i="2" l="1"/>
  <c r="L43" i="2"/>
  <c r="O80" i="2"/>
  <c r="O43" i="2"/>
  <c r="O1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124" i="2"/>
  <c r="P125" i="2" s="1"/>
  <c r="C47" i="2"/>
  <c r="O92" i="2" l="1"/>
  <c r="O87" i="2"/>
  <c r="O114"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<sst xmlns="http://schemas.openxmlformats.org/spreadsheetml/2006/main" count="589" uniqueCount="417">
  <si>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</si>
  <si>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</si>
  <si>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</si>
  <si>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</si>
  <si>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</si>
  <si>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</si>
  <si>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</si>
  <si>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</si>
  <si>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</si>
  <si>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</si>
  <si>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</si>
  <si>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</si>
  <si>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</si>
  <si>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</si>
  <si>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</si>
  <si>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</si>
  <si>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</si>
  <si>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</si>
  <si>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</si>
  <si>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</si>
  <si>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</si>
  <si>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</si>
  <si>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</si>
  <si>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</si>
  <si>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</si>
  <si>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</si>
  <si>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</si>
  <si>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</si>
  <si>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</si>
  <si>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</si>
  <si>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</si>
  <si>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</si>
  <si>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</si>
  <si>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</si>
  <si>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</si>
  <si>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</si>
  <si>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</si>
  <si>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</si>
  <si>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</si>
  <si>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</si>
  <si>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</si>
  <si>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</si>
  <si>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</si>
  <si>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</si>
  <si>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</si>
  <si>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</si>
  <si>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</si>
  <si>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</si>
  <si>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</si>
  <si>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</si>
  <si>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</si>
  <si>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</si>
  <si>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</si>
  <si>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</si>
  <si>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</si>
  <si>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</si>
  <si>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</si>
  <si>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</si>
  <si>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</si>
  <si>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</si>
  <si>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</si>
  <si>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</si>
  <si>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</si>
  <si>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</si>
  <si>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</si>
  <si>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</si>
  <si>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</si>
  <si>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</si>
  <si>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</si>
  <si>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</si>
  <si>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</si>
  <si>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</si>
  <si>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</si>
  <si>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</si>
  <si>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</si>
  <si>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</si>
  <si>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</si>
  <si>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</si>
  <si>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</si>
  <si>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</si>
  <si>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</si>
  <si>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</si>
  <si>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</si>
  <si>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</si>
  <si>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</si>
  <si>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</si>
  <si>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</si>
  <si>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</si>
  <si>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</si>
  <si>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</si>
  <si>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</si>
  <si>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</si>
  <si>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</si>
  <si>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</si>
  <si>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</si>
  <si>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</si>
  <si>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</si>
  <si>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</si>
  <si>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</si>
  <si>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</si>
  <si>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</si>
  <si>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</si>
  <si>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</si>
  <si>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</si>
  <si>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</si>
  <si>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</si>
  <si>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</si>
  <si>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</si>
  <si>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</si>
  <si>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</si>
  <si>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</si>
  <si>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</si>
  <si>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</si>
  <si>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</si>
  <si>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</si>
  <si>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</si>
  <si>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</si>
  <si>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</si>
  <si>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</si>
  <si>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</si>
  <si>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</si>
  <si>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</si>
  <si>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</si>
  <si>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</si>
  <si>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</si>
  <si>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</si>
  <si>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</si>
  <si>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</si>
  <si>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</si>
  <si>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</si>
  <si>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</si>
  <si>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</si>
  <si>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</si>
  <si>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</si>
  <si>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</si>
  <si>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</si>
  <si>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</si>
  <si>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</si>
  <si>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</si>
  <si>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</si>
  <si>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</si>
  <si>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</si>
  <si>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</si>
  <si>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</si>
  <si>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</si>
  <si>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</si>
  <si>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</si>
  <si>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</si>
  <si>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</si>
  <si>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</si>
  <si>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</si>
  <si>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</si>
  <si>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</si>
  <si>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</si>
  <si>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</si>
  <si>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</si>
  <si>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</si>
  <si>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</si>
  <si>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</si>
  <si>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</si>
  <si>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</si>
  <si>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</si>
  <si>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</si>
  <si>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</si>
  <si>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</si>
  <si>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</si>
  <si>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</si>
  <si>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</si>
  <si>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</si>
  <si>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</si>
  <si>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</si>
  <si>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</si>
  <si>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</si>
  <si>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</si>
  <si>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</si>
  <si>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</si>
  <si>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</si>
  <si>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</si>
  <si>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</si>
  <si>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</si>
  <si>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</si>
  <si>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</si>
  <si>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</si>
  <si>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</si>
  <si>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</si>
  <si>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</si>
  <si>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</si>
  <si>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</si>
  <si>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</si>
  <si>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</si>
  <si>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</si>
  <si>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</si>
  <si>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</si>
  <si>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</si>
  <si>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</si>
  <si>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</si>
  <si>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</si>
  <si>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</si>
  <si>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</si>
  <si>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</si>
  <si>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</si>
  <si>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</si>
  <si>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</si>
  <si>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</si>
  <si>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</si>
  <si>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</si>
  <si>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</si>
  <si>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</si>
  <si>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</si>
  <si>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</si>
  <si>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</si>
  <si>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</si>
  <si>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</si>
  <si>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</si>
  <si>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</si>
  <si>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</si>
  <si>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</si>
  <si>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</si>
  <si>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</si>
  <si>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</si>
  <si>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</si>
  <si>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</si>
  <si>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</si>
  <si>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</si>
  <si>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</si>
  <si>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</si>
  <si>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</si>
  <si>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</si>
  <si>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</si>
  <si>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</si>
  <si>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</si>
  <si>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</si>
  <si>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</si>
  <si>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</si>
  <si>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</si>
  <si>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</si>
  <si>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</si>
  <si>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</si>
  <si>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</si>
  <si>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</si>
  <si>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</si>
  <si>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</si>
  <si>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</si>
  <si>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</si>
  <si>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</si>
  <si>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</si>
  <si>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</si>
  <si>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</si>
  <si>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</si>
  <si>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</si>
  <si>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</si>
  <si>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</si>
  <si>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</si>
  <si>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</si>
  <si>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</si>
  <si>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</si>
  <si>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</si>
  <si>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</si>
  <si>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</si>
  <si>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</si>
  <si>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</si>
  <si>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</si>
  <si>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</si>
  <si>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</si>
  <si>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</si>
  <si>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</si>
  <si>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</si>
  <si>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</si>
  <si>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</si>
  <si>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</si>
  <si>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</si>
  <si>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</si>
  <si>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</si>
  <si>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</si>
  <si>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</si>
  <si>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</si>
  <si>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</si>
  <si>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</si>
  <si>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</si>
  <si>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</si>
  <si>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</si>
  <si>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</si>
  <si>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</si>
  <si>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</si>
  <si>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</si>
  <si>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</si>
  <si>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</si>
  <si>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</si>
  <si>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</si>
  <si>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</si>
  <si>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</si>
  <si>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</si>
  <si>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</si>
  <si>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</si>
  <si>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</si>
  <si>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</si>
  <si>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</si>
  <si>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</si>
  <si>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</si>
  <si>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</si>
  <si>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</si>
  <si>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</si>
  <si>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</si>
  <si>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</si>
  <si>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</si>
  <si>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</si>
  <si>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</si>
  <si>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</si>
  <si>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</si>
  <si>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</si>
  <si>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</si>
  <si>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</si>
  <si>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</si>
  <si>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</si>
  <si>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</si>
  <si>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</si>
  <si>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</si>
  <si>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</si>
  <si>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</si>
  <si>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</si>
  <si>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</si>
  <si>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</si>
  <si>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</si>
  <si>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</si>
  <si>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</si>
  <si>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</si>
  <si>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</si>
  <si>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</si>
  <si>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</si>
  <si>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</si>
  <si>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</si>
  <si>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</si>
  <si>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</si>
  <si>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</si>
  <si>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</si>
  <si>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</si>
  <si>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</si>
  <si>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</si>
  <si>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</si>
  <si>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</si>
  <si>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</si>
  <si>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</si>
  <si>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</si>
  <si>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</si>
  <si>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</si>
  <si>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</si>
  <si>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</si>
  <si>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</si>
  <si>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</si>
  <si>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</si>
  <si>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</si>
  <si>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</si>
  <si>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</si>
  <si>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</si>
  <si>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</si>
  <si>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</si>
  <si>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</si>
  <si>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</si>
  <si>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</si>
  <si>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</si>
  <si>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</si>
  <si>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</si>
  <si>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</si>
  <si>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</si>
  <si>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</si>
  <si>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</si>
  <si>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</si>
  <si>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</si>
  <si>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</si>
  <si>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</si>
  <si>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</si>
  <si>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</si>
  <si>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</si>
  <si>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</si>
  <si>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</si>
  <si>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</si>
  <si>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</si>
  <si>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</si>
  <si>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</si>
  <si>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</si>
  <si>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</si>
  <si>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</si>
  <si>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</si>
  <si>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</si>
  <si>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</si>
  <si>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</si>
  <si>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</si>
  <si>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</si>
  <si>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</si>
  <si>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</si>
  <si>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</si>
  <si>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</si>
  <si>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</si>
  <si>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</si>
  <si>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</si>
  <si>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</si>
  <si>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</si>
  <si>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</si>
  <si>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</si>
  <si>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</si>
  <si>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</si>
  <si>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</si>
  <si>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</si>
  <si>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</si>
  <si>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</si>
  <si>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</si>
  <si>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</si>
  <si>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</si>
  <si>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</si>
  <si>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</si>
  <si>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</si>
  <si>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</si>
  <si>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偉易達</t>
    <phoneticPr fontId="2" type="noConversion"/>
  </si>
  <si>
    <t>0303.HK</t>
    <phoneticPr fontId="2" type="noConversion"/>
  </si>
  <si>
    <t>USD</t>
    <phoneticPr fontId="2" type="noConversion"/>
  </si>
  <si>
    <t>Latest Asset Value</t>
  </si>
  <si>
    <t>CNS_02</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</si>
</sst>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22" sqref="C22"/>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366</v>
      </c>
      <c r="F1" s="284" t="s">
        <v>291</v>
      </c>
    </row>
    <row r="2" spans="1:10" ht="13.9" x14ac:dyDescent="0.45">
      <c r="A2" s="247" t="s">
        <v>270</v>
      </c>
      <c r="B2" s="36"/>
      <c r="C2" s="36"/>
      <c r="D2" s="36"/>
      <c r="E2" s="36"/>
      <c r="F2" s="36"/>
      <c r="G2" s="22"/>
      <c r="H2" s="22"/>
      <c r="I2" s="22"/>
      <c r="J2" s="22"/>
    </row>
    <row r="4" spans="1:10" x14ac:dyDescent="0.35">
      <c r="B4" s="45" t="str">
        <f>D5&amp;" Stock Information"</f>
        <v>0303.HK Stock Information</v>
      </c>
      <c r="C4" s="46"/>
      <c r="D4" s="5"/>
      <c r="E4" s="2"/>
      <c r="F4" s="2"/>
    </row>
    <row r="5" spans="1:10" ht="12.4" x14ac:dyDescent="0.4">
      <c r="B5" s="4" t="s">
        <v>327</v>
      </c>
      <c r="C5" s="333" t="s">
        <v>412</v>
      </c>
      <c r="D5" s="49" t="s">
        <v>413</v>
      </c>
    </row>
    <row r="6" spans="1:10" x14ac:dyDescent="0.35">
      <c r="B6" s="4" t="s">
        <v>96</v>
      </c>
      <c r="C6" s="50">
        <v>49.05</v>
      </c>
      <c r="D6" s="48" t="s">
        <v>41</v>
      </c>
      <c r="E6" s="48"/>
    </row>
    <row r="7" spans="1:10" x14ac:dyDescent="0.35">
      <c r="B7" s="4" t="s">
        <v>0</v>
      </c>
      <c r="C7" s="51">
        <v>253109133</v>
      </c>
      <c r="D7" s="34"/>
      <c r="E7" s="34"/>
    </row>
    <row r="8" spans="1:10" x14ac:dyDescent="0.35">
      <c r="B8" s="2" t="s">
        <v>318</v>
      </c>
      <c r="C8" s="279">
        <v>6</v>
      </c>
      <c r="D8" s="5"/>
      <c r="E8" s="48"/>
    </row>
    <row r="9" spans="1:10" x14ac:dyDescent="0.35">
      <c r="B9" s="1" t="s">
        <v>271</v>
      </c>
      <c r="C9" s="33">
        <f>EOMONTH(EDATE(BS!C1,C8+2),0)</f>
        <v>45808</v>
      </c>
      <c r="D9" s="5"/>
      <c r="E9" s="5"/>
    </row>
    <row r="10" spans="1:10" x14ac:dyDescent="0.35">
      <c r="B10" s="4" t="str">
        <f>"Capitalization ("&amp;Market_currency&amp;"):"</f>
        <v>Capitalization (HKD):</v>
      </c>
      <c r="C10" s="35">
        <f>Thesis!C6*Thesis!C7/1000000</f>
        <v>12415.00297365</v>
      </c>
      <c r="D10" s="32"/>
      <c r="E10" s="5"/>
    </row>
    <row r="11" spans="1:10" x14ac:dyDescent="0.35">
      <c r="D11" s="5"/>
      <c r="E11" s="5"/>
    </row>
    <row r="12" spans="1:10" ht="24.4" customHeight="1" x14ac:dyDescent="0.35">
      <c r="B12" s="338" t="s">
        <v>375</v>
      </c>
      <c r="C12" s="338"/>
      <c r="D12" s="338"/>
      <c r="E12" s="338"/>
      <c r="F12" s="338"/>
    </row>
    <row r="14" spans="1:10" x14ac:dyDescent="0.35">
      <c r="B14" s="45" t="s">
        <v>317</v>
      </c>
      <c r="C14" s="46"/>
      <c r="D14" s="5"/>
    </row>
    <row r="15" spans="1:10" x14ac:dyDescent="0.35">
      <c r="B15" s="2" t="s">
        <v>361</v>
      </c>
      <c r="C15" s="32" t="str">
        <f>IF(Scenarios!C69="Y",Scenarios!B69,"")&amp;IF(Scenarios!C70="Y",Scenarios!B70,"")&amp;IF(Scenarios!C71="Y",Scenarios!B71,"")&amp;" "&amp;IF(Scenarios!C72="Y",Scenarios!B72,"")</f>
        <v xml:space="preserve">Low Growth </v>
      </c>
      <c r="E15" s="5"/>
    </row>
    <row r="16" spans="1:10" x14ac:dyDescent="0.35">
      <c r="B16" s="4" t="s">
        <v>360</v>
      </c>
      <c r="C16" s="48" t="s">
        <v>414</v>
      </c>
      <c r="D16" s="32"/>
      <c r="E16" s="5"/>
    </row>
    <row r="17" spans="1:6" x14ac:dyDescent="0.35">
      <c r="B17" s="4" t="s">
        <v>1</v>
      </c>
      <c r="C17" s="50">
        <v>7.7610000000000001</v>
      </c>
      <c r="D17" s="32" t="str">
        <f>IF(C16=D6,D6,C16&amp;"/"&amp;D6)</f>
        <v>USD/HKD</v>
      </c>
      <c r="E17" s="5"/>
    </row>
    <row r="18" spans="1:6" x14ac:dyDescent="0.35">
      <c r="B18" s="2" t="s">
        <v>57</v>
      </c>
      <c r="C18" s="48" t="s">
        <v>416</v>
      </c>
      <c r="E18" s="5"/>
    </row>
    <row r="19" spans="1:6" x14ac:dyDescent="0.35">
      <c r="B19" s="2" t="s">
        <v>280</v>
      </c>
      <c r="C19" s="249">
        <v>0.25</v>
      </c>
      <c r="E19" s="5"/>
    </row>
    <row r="20" spans="1:6" x14ac:dyDescent="0.35">
      <c r="B20" s="2" t="str">
        <f>"Target Buy Price ("&amp;Market_currency&amp;"):"</f>
        <v>Target Buy Price (HKD):</v>
      </c>
      <c r="C20" s="252">
        <f>C129</f>
        <v>34.82424866299835</v>
      </c>
      <c r="D20" s="1" t="s">
        <v>319</v>
      </c>
      <c r="E20" s="330">
        <v>3</v>
      </c>
    </row>
    <row r="21" spans="1:6" x14ac:dyDescent="0.35">
      <c r="B21" s="1" t="s">
        <v>374</v>
      </c>
      <c r="C21" s="280">
        <f ca="1">Scenarios!C87</f>
        <v>0.1151268191287802</v>
      </c>
      <c r="D21" s="5"/>
      <c r="E21" s="5"/>
    </row>
    <row r="22" spans="1:6" x14ac:dyDescent="0.35">
      <c r="D22" s="5"/>
      <c r="E22" s="5"/>
    </row>
    <row r="23" spans="1:6" ht="13.9" x14ac:dyDescent="0.45">
      <c r="A23" s="247" t="s">
        <v>368</v>
      </c>
      <c r="B23" s="36"/>
      <c r="C23" s="36"/>
      <c r="D23" s="36"/>
      <c r="E23" s="36"/>
      <c r="F23" s="36"/>
    </row>
    <row r="25" spans="1:6" ht="24.4" customHeight="1" x14ac:dyDescent="0.35">
      <c r="B25" s="338" t="s">
        <v>376</v>
      </c>
      <c r="C25" s="338"/>
      <c r="D25" s="338"/>
      <c r="E25" s="338"/>
      <c r="F25" s="338"/>
    </row>
    <row r="26" spans="1:6" ht="24.4" customHeight="1" x14ac:dyDescent="0.35">
      <c r="B26" s="341" t="s">
        <v>352</v>
      </c>
      <c r="C26" s="341"/>
      <c r="D26" s="341"/>
      <c r="E26" s="341"/>
      <c r="F26" s="341"/>
    </row>
    <row r="28" spans="1:6" x14ac:dyDescent="0.35">
      <c r="B28" s="234" t="s">
        <v>232</v>
      </c>
      <c r="C28" s="108">
        <f>Data!C3</f>
        <v>1000000</v>
      </c>
    </row>
    <row r="29" spans="1:6" ht="24.4" customHeight="1" x14ac:dyDescent="0.35">
      <c r="B29" s="339" t="s">
        <v>233</v>
      </c>
      <c r="C29" s="339"/>
      <c r="D29" s="339"/>
      <c r="E29" s="339"/>
      <c r="F29" s="339"/>
    </row>
    <row r="30" spans="1:6" x14ac:dyDescent="0.35">
      <c r="B30" s="47" t="s">
        <v>234</v>
      </c>
      <c r="C30" s="188">
        <f>Normalized_FCF!C8</f>
        <v>210.2763260031652</v>
      </c>
      <c r="D30" s="1" t="str">
        <f>Reporting_currency</f>
        <v>USD</v>
      </c>
    </row>
    <row r="31" spans="1:6" x14ac:dyDescent="0.35">
      <c r="B31" s="47"/>
      <c r="C31" s="76"/>
    </row>
    <row r="32" spans="1:6" ht="24.4" customHeight="1" x14ac:dyDescent="0.35">
      <c r="B32" s="339" t="s">
        <v>235</v>
      </c>
      <c r="C32" s="339"/>
      <c r="D32" s="339"/>
      <c r="E32" s="339"/>
      <c r="F32" s="339"/>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39" t="s">
        <v>238</v>
      </c>
      <c r="C36" s="339"/>
      <c r="D36" s="339"/>
      <c r="E36" s="339"/>
      <c r="F36" s="339"/>
    </row>
    <row r="37" spans="2:6" x14ac:dyDescent="0.35">
      <c r="B37" s="47" t="s">
        <v>239</v>
      </c>
      <c r="C37" s="188">
        <f>Normalized_FCF!C11</f>
        <v>0</v>
      </c>
      <c r="D37" s="1" t="str">
        <f>Reporting_currency</f>
        <v>USD</v>
      </c>
    </row>
    <row r="39" spans="2:6" x14ac:dyDescent="0.35">
      <c r="B39" s="339" t="s">
        <v>242</v>
      </c>
      <c r="C39" s="339"/>
      <c r="D39" s="339"/>
      <c r="E39" s="339"/>
      <c r="F39" s="339"/>
    </row>
    <row r="40" spans="2:6" x14ac:dyDescent="0.35">
      <c r="B40" s="47" t="s">
        <v>353</v>
      </c>
      <c r="C40" s="322">
        <f>Normalized_FCF!C48</f>
        <v>0</v>
      </c>
      <c r="D40" s="1" t="str">
        <f>Reporting_currency</f>
        <v>USD</v>
      </c>
      <c r="E40" s="321"/>
      <c r="F40" s="321"/>
    </row>
    <row r="41" spans="2:6" x14ac:dyDescent="0.35">
      <c r="B41" s="47" t="s">
        <v>354</v>
      </c>
      <c r="C41" s="322">
        <f>Normalized_FCF!C47</f>
        <v>-4.9000000000000004</v>
      </c>
      <c r="D41" s="1" t="str">
        <f>Reporting_currency</f>
        <v>USD</v>
      </c>
      <c r="E41" s="321"/>
      <c r="F41" s="321"/>
    </row>
    <row r="42" spans="2:6" x14ac:dyDescent="0.35">
      <c r="B42" s="47" t="s">
        <v>240</v>
      </c>
      <c r="C42" s="188">
        <f>Normalized_FCF!C12</f>
        <v>-4.9000000000000004</v>
      </c>
      <c r="D42" s="1" t="str">
        <f>Reporting_currency</f>
        <v>USD</v>
      </c>
    </row>
    <row r="44" spans="2:6" x14ac:dyDescent="0.35">
      <c r="B44" s="1" t="s">
        <v>248</v>
      </c>
    </row>
    <row r="45" spans="2:6" x14ac:dyDescent="0.35">
      <c r="B45" s="47" t="s">
        <v>268</v>
      </c>
      <c r="C45" s="188">
        <f>Normalized_FCF!C15</f>
        <v>0</v>
      </c>
      <c r="D45" s="1" t="str">
        <f>Reporting_currency</f>
        <v>USD</v>
      </c>
    </row>
    <row r="47" spans="2:6" x14ac:dyDescent="0.35">
      <c r="B47" s="339" t="s">
        <v>243</v>
      </c>
      <c r="C47" s="339"/>
      <c r="D47" s="339"/>
      <c r="E47" s="339"/>
      <c r="F47" s="339"/>
    </row>
    <row r="48" spans="2:6" x14ac:dyDescent="0.35">
      <c r="B48" s="47" t="s">
        <v>241</v>
      </c>
      <c r="C48" s="188">
        <f>Normalized_FCF!C14</f>
        <v>-33.887093790522258</v>
      </c>
      <c r="D48" s="1" t="str">
        <f>Reporting_currency</f>
        <v>USD</v>
      </c>
    </row>
    <row r="50" spans="1:6" x14ac:dyDescent="0.35">
      <c r="B50" s="339" t="s">
        <v>351</v>
      </c>
      <c r="C50" s="340"/>
      <c r="D50" s="340"/>
      <c r="E50" s="340"/>
      <c r="F50" s="340"/>
    </row>
    <row r="51" spans="1:6" x14ac:dyDescent="0.35">
      <c r="B51" s="47" t="s">
        <v>244</v>
      </c>
      <c r="C51" s="1">
        <f>Normalized_FCF!C17</f>
        <v>0</v>
      </c>
      <c r="D51" s="1" t="str">
        <f>Reporting_currency</f>
        <v>USD</v>
      </c>
    </row>
    <row r="53" spans="1:6" ht="24.4" customHeight="1" x14ac:dyDescent="0.35">
      <c r="B53" s="338" t="s">
        <v>356</v>
      </c>
      <c r="C53" s="338"/>
      <c r="D53" s="338"/>
      <c r="E53" s="338"/>
      <c r="F53" s="338"/>
    </row>
    <row r="54" spans="1:6" ht="24.4" customHeight="1" x14ac:dyDescent="0.35">
      <c r="B54" s="338" t="s">
        <v>377</v>
      </c>
      <c r="C54" s="338"/>
      <c r="D54" s="338"/>
      <c r="E54" s="338"/>
      <c r="F54" s="338"/>
    </row>
    <row r="56" spans="1:6" x14ac:dyDescent="0.35">
      <c r="B56" s="47" t="s">
        <v>273</v>
      </c>
      <c r="C56" s="188">
        <f>Normalized_FCF!G19</f>
        <v>199.70000000000005</v>
      </c>
      <c r="D56" s="1" t="str">
        <f>Reporting_currency</f>
        <v>USD</v>
      </c>
    </row>
    <row r="57" spans="1:6" x14ac:dyDescent="0.35">
      <c r="B57" s="47" t="s">
        <v>250</v>
      </c>
      <c r="C57" s="188">
        <f>Normalized_FCF!C19</f>
        <v>171.48923221264295</v>
      </c>
      <c r="D57" s="1" t="str">
        <f>Reporting_currency</f>
        <v>USD</v>
      </c>
    </row>
    <row r="58" spans="1:6" x14ac:dyDescent="0.35">
      <c r="B58" s="254" t="s">
        <v>406</v>
      </c>
      <c r="C58" s="92">
        <f>Normalized_FCF!C125</f>
        <v>0.10720319069009697</v>
      </c>
    </row>
    <row r="59" spans="1:6" x14ac:dyDescent="0.35">
      <c r="B59" s="254" t="s">
        <v>320</v>
      </c>
      <c r="C59" s="92">
        <f>Normalized_FCF!C93</f>
        <v>0</v>
      </c>
    </row>
    <row r="61" spans="1:6" ht="13.9" x14ac:dyDescent="0.45">
      <c r="A61" s="247" t="s">
        <v>369</v>
      </c>
      <c r="B61" s="36"/>
      <c r="C61" s="36"/>
      <c r="D61" s="36"/>
      <c r="E61" s="36"/>
      <c r="F61" s="36"/>
    </row>
    <row r="62" spans="1:6" x14ac:dyDescent="0.35">
      <c r="A62" s="233"/>
    </row>
    <row r="63" spans="1:6" ht="24.4" customHeight="1" x14ac:dyDescent="0.35">
      <c r="A63" s="17"/>
      <c r="B63" s="338" t="s">
        <v>378</v>
      </c>
      <c r="C63" s="338"/>
      <c r="D63" s="338"/>
      <c r="E63" s="338"/>
      <c r="F63" s="338"/>
    </row>
    <row r="64" spans="1:6" x14ac:dyDescent="0.35">
      <c r="B64" s="341" t="s">
        <v>254</v>
      </c>
      <c r="C64" s="341"/>
      <c r="D64" s="341"/>
      <c r="E64" s="341"/>
      <c r="F64" s="341"/>
    </row>
    <row r="66" spans="1:6" x14ac:dyDescent="0.35">
      <c r="B66" s="234" t="s">
        <v>232</v>
      </c>
    </row>
    <row r="67" spans="1:6" x14ac:dyDescent="0.35">
      <c r="B67" s="1" t="s">
        <v>292</v>
      </c>
      <c r="C67" s="311">
        <v>0.08</v>
      </c>
    </row>
    <row r="68" spans="1:6" x14ac:dyDescent="0.35">
      <c r="B68" s="1" t="s">
        <v>294</v>
      </c>
      <c r="C68" s="263">
        <f>IF(D68="Y",1%,0)</f>
        <v>0</v>
      </c>
      <c r="D68" s="286" t="s">
        <v>333</v>
      </c>
    </row>
    <row r="69" spans="1:6" x14ac:dyDescent="0.35">
      <c r="B69" s="1" t="s">
        <v>293</v>
      </c>
      <c r="C69" s="263">
        <f>IF(D69="Y",1%,0)</f>
        <v>0</v>
      </c>
      <c r="D69" s="286" t="s">
        <v>333</v>
      </c>
    </row>
    <row r="70" spans="1:6" x14ac:dyDescent="0.35">
      <c r="B70" s="80" t="s">
        <v>249</v>
      </c>
      <c r="C70" s="263">
        <f>SUM(C67:C69)</f>
        <v>0.08</v>
      </c>
    </row>
    <row r="71" spans="1:6" x14ac:dyDescent="0.35">
      <c r="C71" s="122"/>
    </row>
    <row r="72" spans="1:6" x14ac:dyDescent="0.35">
      <c r="B72" s="332" t="s">
        <v>370</v>
      </c>
      <c r="C72" s="122"/>
    </row>
    <row r="73" spans="1:6" ht="24.4" customHeight="1" x14ac:dyDescent="0.35">
      <c r="B73" s="338" t="s">
        <v>379</v>
      </c>
      <c r="C73" s="338"/>
      <c r="D73" s="338"/>
      <c r="E73" s="338"/>
      <c r="F73" s="338"/>
    </row>
    <row r="74" spans="1:6" ht="24.4" customHeight="1" x14ac:dyDescent="0.35">
      <c r="B74" s="338" t="s">
        <v>380</v>
      </c>
      <c r="C74" s="338"/>
      <c r="D74" s="338"/>
      <c r="E74" s="338"/>
      <c r="F74" s="338"/>
    </row>
    <row r="76" spans="1:6" x14ac:dyDescent="0.35">
      <c r="B76" s="47" t="s">
        <v>253</v>
      </c>
      <c r="C76" s="263">
        <v>0</v>
      </c>
    </row>
    <row r="77" spans="1:6" x14ac:dyDescent="0.35">
      <c r="B77" s="47" t="s">
        <v>287</v>
      </c>
      <c r="C77" s="248">
        <f>Valuation_Model!C6*C28*Exchange_Rate/Common_Shares</f>
        <v>65.7289562918657</v>
      </c>
      <c r="D77" s="1" t="str">
        <f>Market_currency</f>
        <v>HKD</v>
      </c>
    </row>
    <row r="79" spans="1:6" ht="13.9" x14ac:dyDescent="0.45">
      <c r="A79" s="247" t="s">
        <v>371</v>
      </c>
      <c r="B79" s="36"/>
      <c r="C79" s="36"/>
      <c r="D79" s="36"/>
      <c r="E79" s="36"/>
      <c r="F79" s="36"/>
    </row>
    <row r="80" spans="1:6" x14ac:dyDescent="0.35">
      <c r="A80" s="233"/>
    </row>
    <row r="81" spans="2:6" x14ac:dyDescent="0.35">
      <c r="B81" s="338" t="s">
        <v>381</v>
      </c>
      <c r="C81" s="338"/>
      <c r="D81" s="338"/>
      <c r="E81" s="338"/>
      <c r="F81" s="338"/>
    </row>
    <row r="82" spans="2:6" x14ac:dyDescent="0.35">
      <c r="B82" s="1" t="s">
        <v>255</v>
      </c>
    </row>
    <row r="84" spans="2:6" x14ac:dyDescent="0.35">
      <c r="B84" s="234" t="s">
        <v>232</v>
      </c>
    </row>
    <row r="85" spans="2:6" ht="24.4" customHeight="1" x14ac:dyDescent="0.35">
      <c r="B85" s="338" t="s">
        <v>357</v>
      </c>
      <c r="C85" s="338"/>
      <c r="D85" s="338"/>
      <c r="E85" s="338"/>
      <c r="F85" s="338"/>
    </row>
    <row r="86" spans="2:6" x14ac:dyDescent="0.35">
      <c r="B86" s="47" t="s">
        <v>257</v>
      </c>
      <c r="C86" s="188">
        <f>Valuation_Model!C7</f>
        <v>155.30000000000001</v>
      </c>
      <c r="D86" s="1" t="str">
        <f>Reporting_currency</f>
        <v>USD</v>
      </c>
    </row>
    <row r="87" spans="2:6" x14ac:dyDescent="0.35">
      <c r="B87" s="47" t="s">
        <v>288</v>
      </c>
      <c r="C87" s="248">
        <f>C86*C28*Exchange_Rate/Common_Shares</f>
        <v>4.7619115348160905</v>
      </c>
      <c r="D87" s="1" t="str">
        <f>Market_currency</f>
        <v>HKD</v>
      </c>
    </row>
    <row r="89" spans="2:6" x14ac:dyDescent="0.35">
      <c r="B89" s="1" t="s">
        <v>256</v>
      </c>
    </row>
    <row r="90" spans="2:6" x14ac:dyDescent="0.35">
      <c r="B90" s="47" t="s">
        <v>267</v>
      </c>
      <c r="C90" s="188">
        <f>BS!C66</f>
        <v>150.19999999999999</v>
      </c>
      <c r="D90" s="1" t="str">
        <f>Reporting_currency</f>
        <v>USD</v>
      </c>
    </row>
    <row r="91" spans="2:6" x14ac:dyDescent="0.35">
      <c r="B91" s="47" t="s">
        <v>269</v>
      </c>
      <c r="C91" s="188">
        <f>Valuation_Model!C8</f>
        <v>-22.489472833069584</v>
      </c>
      <c r="D91" s="1" t="str">
        <f>Reporting_currency</f>
        <v>USD</v>
      </c>
    </row>
    <row r="92" spans="2:6" x14ac:dyDescent="0.35">
      <c r="B92" s="47" t="s">
        <v>289</v>
      </c>
      <c r="C92" s="248">
        <f>C91*C28*Exchange_Rate/Common_Shares</f>
        <v>-0.68958712231633723</v>
      </c>
      <c r="D92" s="1" t="str">
        <f>Market_currency</f>
        <v>HKD</v>
      </c>
    </row>
    <row r="94" spans="2:6" x14ac:dyDescent="0.35">
      <c r="B94" s="1" t="s">
        <v>258</v>
      </c>
    </row>
    <row r="95" spans="2:6" x14ac:dyDescent="0.35">
      <c r="B95" s="47" t="s">
        <v>259</v>
      </c>
      <c r="C95" s="188">
        <f>Valuation_Model!C9</f>
        <v>0.39</v>
      </c>
      <c r="D95" s="1" t="str">
        <f>Reporting_currency</f>
        <v>USD</v>
      </c>
    </row>
    <row r="96" spans="2:6" x14ac:dyDescent="0.35">
      <c r="B96" s="47" t="s">
        <v>290</v>
      </c>
      <c r="C96" s="248">
        <f>C95*C28*Exchange_Rate/Common_Shares</f>
        <v>1.1958438496962494E-2</v>
      </c>
      <c r="D96" s="1" t="str">
        <f>Market_currency</f>
        <v>HKD</v>
      </c>
    </row>
    <row r="98" spans="1:6" ht="24.4" customHeight="1" x14ac:dyDescent="0.35">
      <c r="B98" s="338" t="s">
        <v>382</v>
      </c>
      <c r="C98" s="338"/>
      <c r="D98" s="338"/>
      <c r="E98" s="338"/>
      <c r="F98" s="338"/>
    </row>
    <row r="100" spans="1:6" x14ac:dyDescent="0.35">
      <c r="B100" s="47" t="s">
        <v>286</v>
      </c>
      <c r="C100" s="248">
        <f>Valuation_Model!C12</f>
        <v>60.289416073230242</v>
      </c>
      <c r="D100" s="1" t="str">
        <f>Market_currency</f>
        <v>HKD</v>
      </c>
    </row>
    <row r="102" spans="1:6" ht="13.9" x14ac:dyDescent="0.45">
      <c r="A102" s="247" t="s">
        <v>372</v>
      </c>
      <c r="B102" s="36"/>
      <c r="C102" s="36"/>
      <c r="D102" s="36"/>
      <c r="E102" s="36"/>
      <c r="F102" s="36"/>
    </row>
    <row r="104" spans="1:6" ht="24.4" customHeight="1" x14ac:dyDescent="0.35">
      <c r="B104" s="339" t="s">
        <v>383</v>
      </c>
      <c r="C104" s="339"/>
      <c r="D104" s="339"/>
      <c r="E104" s="339"/>
      <c r="F104" s="339"/>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0.08</v>
      </c>
      <c r="D107" s="257">
        <f>Valuation_Model!D74</f>
        <v>15</v>
      </c>
      <c r="E107" s="258" t="str">
        <f>ROUND(Valuation_Model!E74,2)&amp;" "&amp;Market_currency</f>
        <v>95.81 HKD</v>
      </c>
      <c r="F107" s="259">
        <f>Valuation_Model!F74</f>
        <v>0.05</v>
      </c>
    </row>
    <row r="108" spans="1:6" x14ac:dyDescent="0.35">
      <c r="B108" s="242" t="str">
        <f>Valuation_Model!B75</f>
        <v>Optimistic</v>
      </c>
      <c r="C108" s="243">
        <f>Valuation_Model!C75</f>
        <v>0.05</v>
      </c>
      <c r="D108" s="244">
        <f>Valuation_Model!D75</f>
        <v>10</v>
      </c>
      <c r="E108" s="245" t="str">
        <f>ROUND(Valuation_Model!E75,2)&amp;" "&amp;Market_currency</f>
        <v>71.71 HKD</v>
      </c>
      <c r="F108" s="246">
        <f>Valuation_Model!F75</f>
        <v>0.18</v>
      </c>
    </row>
    <row r="109" spans="1:6" x14ac:dyDescent="0.35">
      <c r="B109" s="242" t="str">
        <f>Valuation_Model!B76</f>
        <v>Base</v>
      </c>
      <c r="C109" s="243">
        <f>Valuation_Model!C76</f>
        <v>0.03</v>
      </c>
      <c r="D109" s="244">
        <f>Valuation_Model!D76</f>
        <v>10</v>
      </c>
      <c r="E109" s="245" t="str">
        <f>ROUND(Valuation_Model!E76,2)&amp;" "&amp;Market_currency</f>
        <v>66.81 HKD</v>
      </c>
      <c r="F109" s="246">
        <f>Valuation_Model!F76</f>
        <v>0.53999999999999992</v>
      </c>
    </row>
    <row r="110" spans="1:6" x14ac:dyDescent="0.35">
      <c r="B110" s="242" t="str">
        <f>Valuation_Model!B77</f>
        <v>Pessimistic</v>
      </c>
      <c r="C110" s="243">
        <f>Valuation_Model!C77</f>
        <v>0.01</v>
      </c>
      <c r="D110" s="244">
        <f>Valuation_Model!D77</f>
        <v>10</v>
      </c>
      <c r="E110" s="245" t="str">
        <f>ROUND(Valuation_Model!E77,2)&amp;" "&amp;Market_currency</f>
        <v>62.36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60.29 HKD</v>
      </c>
      <c r="F111" s="246">
        <f>Valuation_Model!F78</f>
        <v>0.05</v>
      </c>
    </row>
    <row r="113" spans="1:6" x14ac:dyDescent="0.35">
      <c r="B113" s="235" t="s">
        <v>260</v>
      </c>
      <c r="C113" s="241">
        <f>Scenarios!C60</f>
        <v>68.016110669918646</v>
      </c>
      <c r="D113" s="236" t="str">
        <f>Market_currency</f>
        <v>HKD</v>
      </c>
    </row>
    <row r="115" spans="1:6" ht="24.4" customHeight="1" x14ac:dyDescent="0.35">
      <c r="B115" s="342" t="s">
        <v>386</v>
      </c>
      <c r="C115" s="342"/>
      <c r="D115" s="342"/>
      <c r="E115" s="342"/>
      <c r="F115" s="342"/>
    </row>
    <row r="117" spans="1:6" ht="13.9" x14ac:dyDescent="0.45">
      <c r="A117" s="247" t="s">
        <v>373</v>
      </c>
      <c r="B117" s="36"/>
      <c r="C117" s="36"/>
      <c r="D117" s="36"/>
      <c r="E117" s="36"/>
      <c r="F117" s="36"/>
    </row>
    <row r="119" spans="1:6" x14ac:dyDescent="0.35">
      <c r="B119" s="343" t="s">
        <v>384</v>
      </c>
      <c r="C119" s="343"/>
      <c r="D119" s="343"/>
      <c r="E119" s="343"/>
      <c r="F119" s="343"/>
    </row>
    <row r="120" spans="1:6" ht="24.4" customHeight="1" x14ac:dyDescent="0.35">
      <c r="B120" s="338" t="s">
        <v>385</v>
      </c>
      <c r="C120" s="338"/>
      <c r="D120" s="338"/>
      <c r="E120" s="338"/>
      <c r="F120" s="338"/>
    </row>
    <row r="121" spans="1:6" x14ac:dyDescent="0.35">
      <c r="B121" s="234" t="s">
        <v>232</v>
      </c>
    </row>
    <row r="122" spans="1:6" x14ac:dyDescent="0.35">
      <c r="B122" s="1" t="s">
        <v>266</v>
      </c>
      <c r="C122" s="251">
        <f>E20</f>
        <v>3</v>
      </c>
    </row>
    <row r="123" spans="1:6" x14ac:dyDescent="0.35">
      <c r="B123" s="1" t="s">
        <v>281</v>
      </c>
      <c r="C123" s="250">
        <f>C19</f>
        <v>0.25</v>
      </c>
    </row>
    <row r="124" spans="1:6" x14ac:dyDescent="0.35">
      <c r="B124" s="236" t="s">
        <v>263</v>
      </c>
      <c r="C124" s="237">
        <f>Scenarios!C77</f>
        <v>0</v>
      </c>
      <c r="D124" s="236" t="str">
        <f>Market_currency</f>
        <v>HKD</v>
      </c>
    </row>
    <row r="126" spans="1:6" x14ac:dyDescent="0.35">
      <c r="B126" s="234" t="s">
        <v>265</v>
      </c>
    </row>
    <row r="127" spans="1:6" x14ac:dyDescent="0.35">
      <c r="B127" s="236" t="str">
        <f>"PV("&amp;C122&amp;" yrs of Dividends)"</f>
        <v>PV(3 yrs of Dividends)</v>
      </c>
      <c r="C127" s="240">
        <f>Scenarios!C81</f>
        <v>0</v>
      </c>
    </row>
    <row r="128" spans="1:6" x14ac:dyDescent="0.35">
      <c r="B128" s="236" t="str">
        <f>"+ PV(Equity Value realized at year "&amp;C122&amp;")"</f>
        <v>+ PV(Equity Value realized at year 3)</v>
      </c>
      <c r="C128" s="240">
        <f>Scenarios!C82</f>
        <v>34.82424866299835</v>
      </c>
    </row>
    <row r="129" spans="1:6" x14ac:dyDescent="0.35">
      <c r="B129" s="80" t="s">
        <v>262</v>
      </c>
      <c r="C129" s="239">
        <f>Scenarios!C83</f>
        <v>34.82424866299835</v>
      </c>
      <c r="D129" s="47" t="str">
        <f>Reporting_currency</f>
        <v>USD</v>
      </c>
    </row>
    <row r="130" spans="1:6" x14ac:dyDescent="0.35">
      <c r="B130" s="238" t="s">
        <v>264</v>
      </c>
      <c r="C130" s="92">
        <f>Scenarios!F83</f>
        <v>0.48799999999999999</v>
      </c>
    </row>
    <row r="132" spans="1:6" ht="13.9" x14ac:dyDescent="0.45">
      <c r="A132" s="247" t="s">
        <v>390</v>
      </c>
      <c r="B132" s="36"/>
      <c r="C132" s="36"/>
      <c r="D132" s="36"/>
      <c r="E132" s="36"/>
      <c r="F132" s="36"/>
    </row>
    <row r="134" spans="1:6" x14ac:dyDescent="0.35">
      <c r="B134" s="337" t="s">
        <v>392</v>
      </c>
      <c r="C134" s="338"/>
      <c r="D134" s="338"/>
      <c r="E134" s="338"/>
      <c r="F134" s="338"/>
    </row>
    <row r="136" spans="1:6" x14ac:dyDescent="0.35">
      <c r="B136" s="234" t="s">
        <v>391</v>
      </c>
    </row>
    <row r="137" spans="1:6" x14ac:dyDescent="0.35">
      <c r="B137" s="340" t="s">
        <v>396</v>
      </c>
      <c r="C137" s="340"/>
      <c r="D137" s="340"/>
      <c r="E137" s="340"/>
      <c r="F137" s="340"/>
    </row>
    <row r="138" spans="1:6" x14ac:dyDescent="0.35">
      <c r="B138" s="238" t="s">
        <v>393</v>
      </c>
    </row>
    <row r="139" spans="1:6" x14ac:dyDescent="0.35">
      <c r="B139" s="238" t="s">
        <v>394</v>
      </c>
    </row>
    <row r="140" spans="1:6" x14ac:dyDescent="0.35">
      <c r="B140" s="238" t="s">
        <v>395</v>
      </c>
    </row>
    <row r="142" spans="1:6" x14ac:dyDescent="0.35">
      <c r="B142" s="1" t="s">
        <v>400</v>
      </c>
    </row>
    <row r="143" spans="1:6" ht="46.5" customHeight="1" x14ac:dyDescent="0.35">
      <c r="B143" s="339" t="s">
        <v>397</v>
      </c>
      <c r="C143" s="339"/>
      <c r="D143" s="339"/>
      <c r="E143" s="339"/>
      <c r="F143" s="339"/>
    </row>
    <row r="145" spans="2:6" x14ac:dyDescent="0.35">
      <c r="B145" s="1" t="s">
        <v>401</v>
      </c>
    </row>
    <row r="146" spans="2:6" ht="24.4" customHeight="1" x14ac:dyDescent="0.35">
      <c r="B146" s="336" t="s">
        <v>398</v>
      </c>
      <c r="C146" s="336"/>
      <c r="D146" s="336"/>
      <c r="E146" s="336"/>
      <c r="F146" s="336"/>
    </row>
    <row r="147" spans="2:6" ht="24.4" customHeight="1" x14ac:dyDescent="0.35">
      <c r="B147" s="336" t="s">
        <v>399</v>
      </c>
      <c r="C147" s="336"/>
      <c r="D147" s="336"/>
      <c r="E147" s="336"/>
      <c r="F147" s="336"/>
    </row>
    <row r="149" spans="2:6" x14ac:dyDescent="0.35">
      <c r="B149" s="1" t="s">
        <v>405</v>
      </c>
    </row>
    <row r="150" spans="2:6" x14ac:dyDescent="0.35">
      <c r="B150" s="238" t="s">
        <v>402</v>
      </c>
    </row>
    <row r="151" spans="2:6" x14ac:dyDescent="0.35">
      <c r="B151" s="238" t="s">
        <v>403</v>
      </c>
    </row>
    <row r="152" spans="2:6" x14ac:dyDescent="0.35">
      <c r="B152" s="238" t="s">
        <v>404</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x14ac:dyDescent="0.35">
      <c r="B5" s="40" t="s">
        <v>44</v>
      </c>
      <c r="C5" s="181">
        <v>1510.8</v>
      </c>
      <c r="D5" s="181">
        <v>1608</v>
      </c>
      <c r="E5" s="181">
        <v>1701.4</v>
      </c>
      <c r="F5" s="181">
        <v>1645.7</v>
      </c>
      <c r="G5" s="181">
        <v>1501.9</v>
      </c>
      <c r="H5" s="181">
        <v>1525.5</v>
      </c>
      <c r="I5" s="181">
        <v>1428.1</v>
      </c>
      <c r="J5" s="181">
        <v>1389.9</v>
      </c>
      <c r="K5" s="181">
        <v>1273.2</v>
      </c>
      <c r="L5" s="181"/>
      <c r="M5" s="181"/>
    </row>
    <row r="6" spans="2:13" x14ac:dyDescent="0.35">
      <c r="B6" s="40" t="s">
        <v>55</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x14ac:dyDescent="0.35">
      <c r="B7" s="69" t="s">
        <v>62</v>
      </c>
      <c r="C7" s="189">
        <v>278.39999999999998</v>
      </c>
      <c r="D7" s="189">
        <v>294</v>
      </c>
      <c r="E7" s="189">
        <v>304.89999999999998</v>
      </c>
      <c r="F7" s="189">
        <v>295.5</v>
      </c>
      <c r="G7" s="189">
        <v>296.3</v>
      </c>
      <c r="H7" s="189">
        <v>294</v>
      </c>
      <c r="I7" s="189">
        <v>318.89999999999998</v>
      </c>
      <c r="J7" s="189">
        <v>319</v>
      </c>
      <c r="K7" s="189">
        <v>254.3</v>
      </c>
      <c r="L7" s="189"/>
      <c r="M7" s="189"/>
    </row>
    <row r="8" spans="2:13" x14ac:dyDescent="0.35">
      <c r="B8" s="40" t="s">
        <v>50</v>
      </c>
      <c r="C8" s="181">
        <v>81.7</v>
      </c>
      <c r="D8" s="181">
        <v>83.3</v>
      </c>
      <c r="E8" s="181">
        <v>84.3</v>
      </c>
      <c r="F8" s="181">
        <v>86.4</v>
      </c>
      <c r="G8" s="181">
        <v>81.7</v>
      </c>
      <c r="H8" s="181">
        <v>77.2</v>
      </c>
      <c r="I8" s="181">
        <v>77.599999999999994</v>
      </c>
      <c r="J8" s="181">
        <v>77.2</v>
      </c>
      <c r="K8" s="181">
        <v>56.3</v>
      </c>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4.9000000000000004</v>
      </c>
      <c r="D12" s="181">
        <v>12</v>
      </c>
      <c r="E12" s="181">
        <v>9.6</v>
      </c>
      <c r="F12" s="181">
        <v>0</v>
      </c>
      <c r="G12" s="181">
        <v>0</v>
      </c>
      <c r="H12" s="181">
        <v>0</v>
      </c>
      <c r="I12" s="181">
        <v>0</v>
      </c>
      <c r="J12" s="181">
        <v>0</v>
      </c>
      <c r="K12" s="181">
        <v>0</v>
      </c>
      <c r="L12" s="181"/>
      <c r="M12" s="181"/>
    </row>
    <row r="13" spans="2:13" x14ac:dyDescent="0.35">
      <c r="B13" s="40" t="s">
        <v>68</v>
      </c>
      <c r="C13" s="181"/>
      <c r="D13" s="181"/>
      <c r="E13" s="181"/>
      <c r="F13" s="181"/>
      <c r="G13" s="181"/>
      <c r="H13" s="181"/>
      <c r="I13" s="181"/>
      <c r="J13" s="181"/>
      <c r="K13" s="181"/>
      <c r="L13" s="181"/>
      <c r="M13" s="181"/>
    </row>
    <row r="14" spans="2:13" x14ac:dyDescent="0.35">
      <c r="B14" s="40" t="s">
        <v>51</v>
      </c>
      <c r="C14" s="181">
        <v>24.7</v>
      </c>
      <c r="D14" s="181">
        <v>19.3</v>
      </c>
      <c r="E14" s="181">
        <v>21.9</v>
      </c>
      <c r="F14" s="181">
        <v>28.4</v>
      </c>
      <c r="G14" s="181">
        <v>21.6</v>
      </c>
      <c r="H14" s="181">
        <v>21</v>
      </c>
      <c r="I14" s="181">
        <v>24.7</v>
      </c>
      <c r="J14" s="181">
        <v>21.1</v>
      </c>
      <c r="K14" s="181">
        <v>21.7</v>
      </c>
      <c r="L14" s="181"/>
      <c r="M14" s="181"/>
    </row>
    <row r="15" spans="2:13" x14ac:dyDescent="0.35">
      <c r="B15" s="43" t="s">
        <v>43</v>
      </c>
      <c r="C15" s="182">
        <v>166.6</v>
      </c>
      <c r="D15" s="182">
        <v>149.19999999999999</v>
      </c>
      <c r="E15" s="182">
        <v>172.7</v>
      </c>
      <c r="F15" s="182">
        <v>230.9</v>
      </c>
      <c r="G15" s="182">
        <v>190.7</v>
      </c>
      <c r="H15" s="182">
        <v>171.3</v>
      </c>
      <c r="I15" s="182">
        <v>206.3</v>
      </c>
      <c r="J15" s="182">
        <v>179</v>
      </c>
      <c r="K15" s="182">
        <v>181.4</v>
      </c>
      <c r="L15" s="182"/>
      <c r="M15" s="182"/>
    </row>
    <row r="16" spans="2:13" x14ac:dyDescent="0.35">
      <c r="B16" s="28" t="s">
        <v>45</v>
      </c>
      <c r="C16" s="181">
        <v>0</v>
      </c>
      <c r="D16" s="181">
        <v>0</v>
      </c>
      <c r="E16" s="181">
        <v>0</v>
      </c>
      <c r="F16" s="181">
        <v>0</v>
      </c>
      <c r="G16" s="181">
        <v>0</v>
      </c>
      <c r="H16" s="181">
        <v>0</v>
      </c>
      <c r="I16" s="181">
        <v>0</v>
      </c>
      <c r="J16" s="181">
        <v>0</v>
      </c>
      <c r="K16" s="181">
        <v>0</v>
      </c>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v>-32.4</v>
      </c>
      <c r="D20" s="181">
        <v>-32.4</v>
      </c>
      <c r="E20" s="181">
        <v>-27.9</v>
      </c>
      <c r="F20" s="181">
        <v>-35.9</v>
      </c>
      <c r="G20" s="181">
        <v>-48</v>
      </c>
      <c r="H20" s="181"/>
      <c r="I20" s="181"/>
      <c r="J20" s="181"/>
      <c r="K20" s="181"/>
      <c r="L20" s="181"/>
      <c r="M20" s="181"/>
    </row>
    <row r="21" spans="2:13" x14ac:dyDescent="0.35">
      <c r="B21" s="27" t="s">
        <v>53</v>
      </c>
      <c r="C21" s="181">
        <v>117.9</v>
      </c>
      <c r="D21" s="181">
        <v>117.9</v>
      </c>
      <c r="E21" s="181">
        <v>34.5</v>
      </c>
      <c r="F21" s="181">
        <v>-91.8</v>
      </c>
      <c r="G21" s="181">
        <v>-21.2</v>
      </c>
      <c r="H21" s="181">
        <v>-11.5</v>
      </c>
      <c r="I21" s="181"/>
      <c r="J21" s="181"/>
      <c r="K21" s="181"/>
      <c r="L21" s="181"/>
      <c r="M21" s="181"/>
    </row>
    <row r="22" spans="2:13" x14ac:dyDescent="0.35">
      <c r="B22" s="27" t="s">
        <v>387</v>
      </c>
      <c r="C22" s="181">
        <v>355.2</v>
      </c>
      <c r="D22" s="181">
        <v>238.8</v>
      </c>
      <c r="E22" s="181">
        <v>139.6</v>
      </c>
      <c r="F22" s="181">
        <v>280.3</v>
      </c>
      <c r="G22" s="181">
        <v>237</v>
      </c>
      <c r="H22" s="181">
        <v>249.3</v>
      </c>
      <c r="I22" s="181">
        <v>175.7</v>
      </c>
      <c r="J22" s="181">
        <v>185.3</v>
      </c>
      <c r="K22" s="181">
        <v>216.7</v>
      </c>
      <c r="L22" s="181"/>
      <c r="M22" s="181"/>
    </row>
    <row r="23" spans="2:13" x14ac:dyDescent="0.35">
      <c r="B23" s="27" t="s">
        <v>389</v>
      </c>
      <c r="C23" s="181">
        <v>-54.4</v>
      </c>
      <c r="D23" s="181">
        <v>-27.5</v>
      </c>
      <c r="E23" s="181">
        <v>-32</v>
      </c>
      <c r="F23" s="181">
        <v>-47.8</v>
      </c>
      <c r="G23" s="181">
        <v>-34.5</v>
      </c>
      <c r="H23" s="181">
        <v>-45.9</v>
      </c>
      <c r="I23" s="181">
        <v>-35.5</v>
      </c>
      <c r="J23" s="181">
        <v>-62.4</v>
      </c>
      <c r="K23" s="181">
        <v>25.7</v>
      </c>
      <c r="L23" s="181"/>
      <c r="M23" s="181"/>
    </row>
    <row r="24" spans="2:13" x14ac:dyDescent="0.35">
      <c r="B24" s="27" t="s">
        <v>388</v>
      </c>
      <c r="C24" s="181">
        <v>-171.1</v>
      </c>
      <c r="D24" s="181">
        <v>-191.2</v>
      </c>
      <c r="E24" s="181">
        <v>-249.8</v>
      </c>
      <c r="F24" s="181">
        <v>-155.69999999999999</v>
      </c>
      <c r="G24" s="181">
        <v>-187</v>
      </c>
      <c r="H24" s="181">
        <v>-204.7</v>
      </c>
      <c r="I24" s="181">
        <v>-181.7</v>
      </c>
      <c r="J24" s="181">
        <v>-112.8</v>
      </c>
      <c r="K24" s="181">
        <v>-196.9</v>
      </c>
      <c r="L24" s="181"/>
      <c r="M24" s="181"/>
    </row>
    <row r="25" spans="2:13" x14ac:dyDescent="0.35">
      <c r="B25" s="24" t="str">
        <f>"Dividend per share ("&amp;Market_currency&amp;")"</f>
        <v>Dividend per share (HKD)</v>
      </c>
      <c r="C25" s="39"/>
      <c r="D25" s="39"/>
      <c r="E25" s="39"/>
      <c r="F25" s="39"/>
      <c r="G25" s="39"/>
      <c r="H25" s="39"/>
      <c r="I25" s="39"/>
      <c r="J25" s="39"/>
      <c r="K25" s="39"/>
      <c r="L25" s="39"/>
      <c r="M25" s="39"/>
    </row>
    <row r="27" spans="2:13" x14ac:dyDescent="0.35">
      <c r="B27" s="16" t="s">
        <v>28</v>
      </c>
      <c r="C27" s="97" t="s">
        <v>415</v>
      </c>
    </row>
    <row r="28" spans="2:13" x14ac:dyDescent="0.35">
      <c r="B28" s="26" t="s">
        <v>24</v>
      </c>
      <c r="C28" s="183">
        <f>BS!C4</f>
        <v>547.9</v>
      </c>
      <c r="D28" s="181">
        <v>224.6</v>
      </c>
      <c r="E28" s="181">
        <v>277.2</v>
      </c>
      <c r="F28" s="181">
        <v>325.39999999999998</v>
      </c>
      <c r="G28" s="181">
        <v>270.7</v>
      </c>
      <c r="H28" s="181"/>
      <c r="I28" s="181"/>
      <c r="J28" s="181"/>
      <c r="K28" s="181"/>
      <c r="L28" s="181"/>
      <c r="M28" s="181"/>
    </row>
    <row r="29" spans="2:13" x14ac:dyDescent="0.35">
      <c r="B29" s="26" t="s">
        <v>32</v>
      </c>
      <c r="C29" s="183">
        <f>BS!C6</f>
        <v>425.2</v>
      </c>
      <c r="D29" s="181">
        <v>348</v>
      </c>
      <c r="E29" s="181">
        <v>475.5</v>
      </c>
      <c r="F29" s="181">
        <v>553.29999999999995</v>
      </c>
      <c r="G29" s="181">
        <v>414</v>
      </c>
      <c r="H29" s="181"/>
      <c r="I29" s="181"/>
      <c r="J29" s="181"/>
      <c r="K29" s="181"/>
      <c r="L29" s="181"/>
      <c r="M29" s="181"/>
    </row>
    <row r="30" spans="2:13" x14ac:dyDescent="0.35">
      <c r="B30" s="29" t="s">
        <v>40</v>
      </c>
      <c r="C30" s="186">
        <f>BS!C33+BS!C42</f>
        <v>809.3</v>
      </c>
      <c r="D30" s="182">
        <v>683.7</v>
      </c>
      <c r="E30" s="182">
        <v>448.1</v>
      </c>
      <c r="F30" s="182">
        <v>714.5</v>
      </c>
      <c r="G30" s="182">
        <v>593.9</v>
      </c>
      <c r="H30" s="182">
        <v>479.9</v>
      </c>
      <c r="I30" s="182">
        <v>456.1</v>
      </c>
      <c r="J30" s="182">
        <v>475.3</v>
      </c>
      <c r="K30" s="182">
        <v>385.5</v>
      </c>
      <c r="L30" s="182"/>
      <c r="M30" s="182"/>
    </row>
    <row r="31" spans="2:13" x14ac:dyDescent="0.35">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x14ac:dyDescent="0.35">
      <c r="B32" s="26" t="s">
        <v>174</v>
      </c>
      <c r="C32" s="183">
        <f>BS!G28</f>
        <v>0</v>
      </c>
      <c r="D32" s="181">
        <v>0</v>
      </c>
      <c r="E32" s="181">
        <v>0</v>
      </c>
      <c r="F32" s="181">
        <v>0</v>
      </c>
      <c r="G32" s="182">
        <v>0</v>
      </c>
      <c r="H32" s="182">
        <v>0</v>
      </c>
      <c r="I32" s="182">
        <v>0</v>
      </c>
      <c r="J32" s="182">
        <v>0</v>
      </c>
      <c r="K32" s="182">
        <v>0</v>
      </c>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x14ac:dyDescent="0.35">
      <c r="B37" s="40" t="s">
        <v>44</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x14ac:dyDescent="0.35">
      <c r="B38" s="31" t="s">
        <v>59</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x14ac:dyDescent="0.35">
      <c r="B39" s="40" t="s">
        <v>55</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x14ac:dyDescent="0.35">
      <c r="B40" s="69" t="s">
        <v>62</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x14ac:dyDescent="0.35">
      <c r="B41" s="69" t="s">
        <v>65</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x14ac:dyDescent="0.35">
      <c r="B42" s="40" t="s">
        <v>50</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x14ac:dyDescent="0.35">
      <c r="B43" s="43" t="s">
        <v>154</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x14ac:dyDescent="0.35">
      <c r="B44" s="43" t="s">
        <v>170</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x14ac:dyDescent="0.35">
      <c r="B45" s="40" t="s">
        <v>69</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x14ac:dyDescent="0.35">
      <c r="B46" s="40" t="s">
        <v>51</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x14ac:dyDescent="0.35">
      <c r="B47" s="43" t="s">
        <v>43</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x14ac:dyDescent="0.35">
      <c r="B50" s="16" t="s">
        <v>69</v>
      </c>
    </row>
    <row r="51" spans="2:13" x14ac:dyDescent="0.35">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x14ac:dyDescent="0.35">
      <c r="B52" s="40" t="s">
        <v>68</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x14ac:dyDescent="0.35">
      <c r="B58" s="40" t="s">
        <v>162</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x14ac:dyDescent="0.35">
      <c r="B62" s="27" t="s">
        <v>54</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x14ac:dyDescent="0.35">
      <c r="B63" s="27" t="s">
        <v>53</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x14ac:dyDescent="0.35">
      <c r="B64" s="27" t="s">
        <v>409</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x14ac:dyDescent="0.35">
      <c r="B65" s="24" t="s">
        <v>36</v>
      </c>
      <c r="C65" s="73">
        <f>IF(C$4="","",C25)</f>
        <v>0</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x14ac:dyDescent="0.35">
      <c r="B67" s="91" t="s">
        <v>86</v>
      </c>
    </row>
    <row r="68" spans="2:13" x14ac:dyDescent="0.35">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x14ac:dyDescent="0.35">
      <c r="B69" s="31" t="s">
        <v>59</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x14ac:dyDescent="0.35">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x14ac:dyDescent="0.35">
      <c r="B71" s="43" t="s">
        <v>170</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x14ac:dyDescent="0.35">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x14ac:dyDescent="0.35">
      <c r="B77" s="93" t="s">
        <v>87</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x14ac:dyDescent="0.35">
      <c r="B78" s="93" t="s">
        <v>88</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x14ac:dyDescent="0.35">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x14ac:dyDescent="0.35">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45565</v>
      </c>
      <c r="F1" s="86" t="str">
        <f>IF(MONTH(C1)=MONTH(Normalized_FCF!G1),"FY","Quarter")&amp;" Report"</f>
        <v>Quarter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547.9</v>
      </c>
      <c r="D4" s="294">
        <v>0.6</v>
      </c>
      <c r="E4" s="25"/>
      <c r="F4" s="4" t="s">
        <v>79</v>
      </c>
      <c r="G4" s="19">
        <v>150.19999999999999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425.2</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0</v>
      </c>
      <c r="D9" s="294">
        <v>0.1</v>
      </c>
      <c r="E9" s="25"/>
      <c r="F9" s="4" t="s">
        <v>182</v>
      </c>
      <c r="G9" s="19">
        <v>0</v>
      </c>
      <c r="H9" s="294">
        <v>0.6</v>
      </c>
    </row>
    <row r="10" spans="2:8" ht="15" customHeight="1" x14ac:dyDescent="0.35">
      <c r="B10" s="4" t="s">
        <v>11</v>
      </c>
      <c r="C10" s="19">
        <v>5.9</v>
      </c>
      <c r="D10" s="294">
        <v>0.9</v>
      </c>
      <c r="H10" s="295"/>
    </row>
    <row r="11" spans="2:8" ht="15" customHeight="1" x14ac:dyDescent="0.35">
      <c r="B11" s="4" t="s">
        <v>12</v>
      </c>
      <c r="C11" s="19">
        <v>0</v>
      </c>
      <c r="D11" s="294">
        <v>0.05</v>
      </c>
      <c r="H11" s="295"/>
    </row>
    <row r="12" spans="2:8" ht="15" customHeight="1" x14ac:dyDescent="0.35">
      <c r="B12" s="80" t="s">
        <v>73</v>
      </c>
      <c r="C12" s="81">
        <f>SUM(C4:C11)</f>
        <v>978.99999999999989</v>
      </c>
      <c r="D12" s="20">
        <f>C4*D4+C5*D5+C9*D9+C6*D6+C8*D8+C7*D7+C10*D10+C11*D11</f>
        <v>546.64999999999986</v>
      </c>
      <c r="F12" s="80" t="s">
        <v>71</v>
      </c>
      <c r="G12" s="81">
        <f>SUM(G4:G9)</f>
        <v>150.19999999999999</v>
      </c>
      <c r="H12" s="20">
        <f>G4*H4+G5*H5+G6*H6+G7*H7+G8*H8+G9*H9</f>
        <v>135.18</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f>1.2+6.2</f>
        <v>7.4</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97.3+136.4+14.3</f>
        <v>248</v>
      </c>
      <c r="D19" s="294">
        <v>0.1</v>
      </c>
      <c r="F19" s="4" t="s">
        <v>184</v>
      </c>
      <c r="G19" s="19">
        <v>3.9</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36.1</v>
      </c>
      <c r="D21" s="294">
        <v>0.05</v>
      </c>
      <c r="F21" s="1" t="s">
        <v>182</v>
      </c>
      <c r="G21" s="19">
        <v>0</v>
      </c>
      <c r="H21" s="294">
        <v>0.1</v>
      </c>
    </row>
    <row r="22" spans="2:8" ht="15" customHeight="1" x14ac:dyDescent="0.35">
      <c r="B22" s="4" t="s">
        <v>20</v>
      </c>
      <c r="C22" s="19">
        <v>11.7</v>
      </c>
      <c r="D22" s="294">
        <v>0.9</v>
      </c>
      <c r="H22" s="295"/>
    </row>
    <row r="23" spans="2:8" ht="15" customHeight="1" x14ac:dyDescent="0.35">
      <c r="B23" s="4" t="s">
        <v>21</v>
      </c>
      <c r="C23" s="19">
        <v>0</v>
      </c>
      <c r="D23" s="294">
        <v>0</v>
      </c>
      <c r="H23" s="295"/>
    </row>
    <row r="24" spans="2:8" ht="15" customHeight="1" x14ac:dyDescent="0.35">
      <c r="B24" s="80" t="s">
        <v>75</v>
      </c>
      <c r="C24" s="81">
        <f>SUM(C15:C23)</f>
        <v>303.2</v>
      </c>
      <c r="D24" s="20">
        <f>C15*D15+C16*D16+C18*D18+C17*D17+C19*D19+C20*D20+C21*D21+C22*D22+C23*D23</f>
        <v>40.835000000000001</v>
      </c>
      <c r="F24" s="80" t="s">
        <v>72</v>
      </c>
      <c r="G24" s="81">
        <f>SUM(G15:G21)</f>
        <v>3.9</v>
      </c>
      <c r="H24" s="20">
        <f>G15*H15+G16*H16+G17*H17+G18*H18+G19*H19+G20*H20+G21*H21</f>
        <v>0.39</v>
      </c>
    </row>
    <row r="26" spans="2:8" ht="15" customHeight="1" x14ac:dyDescent="0.35">
      <c r="B26" s="16" t="s">
        <v>202</v>
      </c>
      <c r="C26" s="203" t="s">
        <v>138</v>
      </c>
      <c r="F26" s="205" t="s">
        <v>198</v>
      </c>
      <c r="G26" s="206" t="s">
        <v>138</v>
      </c>
      <c r="H26" s="207" t="s">
        <v>35</v>
      </c>
    </row>
    <row r="27" spans="2:8" ht="15" customHeight="1" x14ac:dyDescent="0.35">
      <c r="B27" s="4" t="s">
        <v>5</v>
      </c>
      <c r="C27" s="19">
        <v>0</v>
      </c>
      <c r="F27" s="208" t="s">
        <v>30</v>
      </c>
      <c r="G27" s="85">
        <f>G32-G30</f>
        <v>626.99999999999977</v>
      </c>
      <c r="H27" s="209">
        <f>H32-G30</f>
        <v>-86.245000000000118</v>
      </c>
    </row>
    <row r="28" spans="2:8" ht="15" customHeight="1" x14ac:dyDescent="0.35">
      <c r="B28" s="4" t="s">
        <v>6</v>
      </c>
      <c r="C28" s="19">
        <v>19.5</v>
      </c>
      <c r="F28" s="210" t="s">
        <v>246</v>
      </c>
      <c r="G28" s="181">
        <v>0</v>
      </c>
      <c r="H28" s="209"/>
    </row>
    <row r="29" spans="2:8" ht="15" customHeight="1" x14ac:dyDescent="0.35">
      <c r="B29" s="4" t="s">
        <v>7</v>
      </c>
      <c r="C29" s="19">
        <v>0</v>
      </c>
      <c r="F29" s="211" t="s">
        <v>77</v>
      </c>
      <c r="G29" s="14">
        <f>G27-G28</f>
        <v>626.99999999999977</v>
      </c>
      <c r="H29" s="209">
        <f>H27-G28</f>
        <v>-86.245000000000118</v>
      </c>
    </row>
    <row r="30" spans="2:8" ht="15" customHeight="1" x14ac:dyDescent="0.35">
      <c r="B30" s="2" t="s">
        <v>8</v>
      </c>
      <c r="C30" s="19">
        <v>0</v>
      </c>
      <c r="F30" s="208" t="s">
        <v>23</v>
      </c>
      <c r="G30" s="85">
        <f>C33+C42</f>
        <v>809.3</v>
      </c>
      <c r="H30" s="209"/>
    </row>
    <row r="31" spans="2:8" ht="15" customHeight="1" x14ac:dyDescent="0.35">
      <c r="B31" s="80" t="s">
        <v>205</v>
      </c>
      <c r="C31" s="81">
        <f>SUM(C27:C30)</f>
        <v>19.5</v>
      </c>
      <c r="F31" s="211" t="s">
        <v>78</v>
      </c>
      <c r="G31" s="212">
        <f>C31+C40</f>
        <v>155.30000000000001</v>
      </c>
      <c r="H31" s="209"/>
    </row>
    <row r="32" spans="2:8" ht="15" customHeight="1" x14ac:dyDescent="0.35">
      <c r="B32" s="4" t="s">
        <v>9</v>
      </c>
      <c r="C32" s="21">
        <f>C33-C31</f>
        <v>650.29999999999995</v>
      </c>
      <c r="F32" s="213" t="s">
        <v>76</v>
      </c>
      <c r="G32" s="214">
        <f>G35+G40</f>
        <v>1436.2999999999997</v>
      </c>
      <c r="H32" s="209">
        <f>H35+H40</f>
        <v>723.05499999999984</v>
      </c>
    </row>
    <row r="33" spans="2:8" ht="15" customHeight="1" x14ac:dyDescent="0.35">
      <c r="B33" s="83" t="s">
        <v>4</v>
      </c>
      <c r="C33" s="84">
        <v>669.8</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1282.1999999999998</v>
      </c>
      <c r="H35" s="221">
        <f>D12+D24</f>
        <v>587.4849999999999</v>
      </c>
    </row>
    <row r="36" spans="2:8" ht="15" customHeight="1" x14ac:dyDescent="0.35">
      <c r="B36" s="4" t="s">
        <v>13</v>
      </c>
      <c r="C36" s="19">
        <v>0</v>
      </c>
      <c r="F36" s="211" t="s">
        <v>199</v>
      </c>
      <c r="G36" s="212">
        <f>C4+C15</f>
        <v>547.9</v>
      </c>
      <c r="H36" s="216"/>
    </row>
    <row r="37" spans="2:8" ht="15" customHeight="1" x14ac:dyDescent="0.35">
      <c r="B37" s="4" t="s">
        <v>14</v>
      </c>
      <c r="C37" s="19">
        <v>135.80000000000001</v>
      </c>
      <c r="F37" s="211" t="s">
        <v>200</v>
      </c>
      <c r="G37" s="212">
        <f>C6</f>
        <v>425.2</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248</v>
      </c>
      <c r="H39" s="209">
        <f>C7*D7+C17*D17+C19*D19+C20*D20</f>
        <v>24.8</v>
      </c>
    </row>
    <row r="40" spans="2:8" ht="15" customHeight="1" x14ac:dyDescent="0.35">
      <c r="B40" s="80" t="s">
        <v>206</v>
      </c>
      <c r="C40" s="81">
        <f>SUM(C36:C39)</f>
        <v>135.80000000000001</v>
      </c>
      <c r="F40" s="220" t="s">
        <v>140</v>
      </c>
      <c r="G40" s="214">
        <f>G12+G24</f>
        <v>154.1</v>
      </c>
      <c r="H40" s="221">
        <f>H12+H24</f>
        <v>135.57</v>
      </c>
    </row>
    <row r="41" spans="2:8" ht="15" customHeight="1" x14ac:dyDescent="0.35">
      <c r="B41" s="4" t="s">
        <v>17</v>
      </c>
      <c r="C41" s="21">
        <f>C42-C40</f>
        <v>3.6999999999999886</v>
      </c>
      <c r="F41" s="211" t="s">
        <v>193</v>
      </c>
      <c r="G41" s="212">
        <f>C70</f>
        <v>150.19999999999999</v>
      </c>
      <c r="H41" s="221">
        <f>H40-H42</f>
        <v>135.18</v>
      </c>
    </row>
    <row r="42" spans="2:8" ht="15" customHeight="1" x14ac:dyDescent="0.35">
      <c r="B42" s="83" t="s">
        <v>22</v>
      </c>
      <c r="C42" s="84">
        <v>139.5</v>
      </c>
      <c r="F42" s="222" t="s">
        <v>194</v>
      </c>
      <c r="G42" s="223">
        <f>C82</f>
        <v>3.9</v>
      </c>
      <c r="H42" s="224">
        <f>D82</f>
        <v>0.39</v>
      </c>
    </row>
    <row r="44" spans="2:8" ht="15" customHeight="1" x14ac:dyDescent="0.35">
      <c r="B44" s="79" t="s">
        <v>98</v>
      </c>
      <c r="C44" s="37"/>
      <c r="D44" s="37"/>
      <c r="E44" s="37"/>
      <c r="F44" s="37"/>
      <c r="G44" s="37"/>
      <c r="H44" s="37"/>
    </row>
    <row r="45" spans="2:8" ht="15" customHeight="1" x14ac:dyDescent="0.35">
      <c r="B45" s="16" t="s">
        <v>274</v>
      </c>
      <c r="C45" s="261" t="s">
        <v>138</v>
      </c>
      <c r="D45" s="203" t="s">
        <v>275</v>
      </c>
      <c r="F45" s="287" t="s">
        <v>60</v>
      </c>
    </row>
    <row r="46" spans="2:8" ht="15" customHeight="1" x14ac:dyDescent="0.35">
      <c r="B46" s="1" t="s">
        <v>277</v>
      </c>
      <c r="C46" s="188">
        <f>G29</f>
        <v>626.99999999999977</v>
      </c>
      <c r="D46" s="188">
        <f>H29</f>
        <v>-86.245000000000118</v>
      </c>
      <c r="F46" s="283"/>
    </row>
    <row r="47" spans="2:8" ht="15" customHeight="1" x14ac:dyDescent="0.35">
      <c r="B47" s="1" t="str">
        <f>"Equity per share ("&amp;Market_currency&amp;")"</f>
        <v>Equity per share (HKD)</v>
      </c>
      <c r="C47" s="148">
        <f>C46*H1/Common_Shares*Exchange_Rate</f>
        <v>19.225489583578156</v>
      </c>
      <c r="D47" s="148">
        <f>D46*H1/Common_Shares*Exchange_Rate</f>
        <v>-2.644501354283415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0.73855199466278643</v>
      </c>
      <c r="D50" s="95">
        <f>G31/Normalized_FCF!G8</f>
        <v>0.78872524123920762</v>
      </c>
      <c r="F50" s="283"/>
    </row>
    <row r="51" spans="2:8" ht="15" customHeight="1" x14ac:dyDescent="0.35">
      <c r="B51" s="1" t="s">
        <v>178</v>
      </c>
      <c r="C51" s="202"/>
      <c r="D51" s="92">
        <f>G29/G32</f>
        <v>0.43653832764742734</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0.16399651068722915</v>
      </c>
      <c r="D54" s="92">
        <f>Normalized_FCF!G8/G35</f>
        <v>0.15356418655435974</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0.17266587760217228</v>
      </c>
      <c r="F59" s="283"/>
    </row>
    <row r="60" spans="2:8" ht="15" customHeight="1" x14ac:dyDescent="0.35">
      <c r="F60" s="283"/>
    </row>
    <row r="61" spans="2:8" ht="15" customHeight="1" x14ac:dyDescent="0.35">
      <c r="B61" s="158" t="s">
        <v>278</v>
      </c>
      <c r="C61" s="262" t="s">
        <v>139</v>
      </c>
      <c r="D61" s="218" t="s">
        <v>97</v>
      </c>
      <c r="F61" s="283"/>
    </row>
    <row r="62" spans="2:8" ht="15" customHeight="1" x14ac:dyDescent="0.35">
      <c r="B62" s="1" t="s">
        <v>247</v>
      </c>
      <c r="C62" s="92">
        <f>IF(G28&lt;=0,0,G28/G29)</f>
        <v>0</v>
      </c>
      <c r="D62" s="92">
        <f>G28/G29</f>
        <v>0</v>
      </c>
      <c r="F62" s="283" t="s">
        <v>276</v>
      </c>
    </row>
    <row r="64" spans="2:8" ht="15" customHeight="1" x14ac:dyDescent="0.35">
      <c r="B64" s="79" t="s">
        <v>195</v>
      </c>
      <c r="C64" s="37"/>
      <c r="D64" s="37"/>
      <c r="E64" s="37"/>
      <c r="F64" s="37"/>
      <c r="G64" s="37"/>
      <c r="H64" s="37"/>
    </row>
    <row r="65" spans="2:6" ht="15" customHeight="1" x14ac:dyDescent="0.35">
      <c r="B65" s="16" t="s">
        <v>190</v>
      </c>
      <c r="C65" s="261" t="s">
        <v>138</v>
      </c>
      <c r="D65" s="204" t="s">
        <v>296</v>
      </c>
      <c r="F65" s="287" t="s">
        <v>60</v>
      </c>
    </row>
    <row r="66" spans="2:6" ht="15" customHeight="1" x14ac:dyDescent="0.35">
      <c r="B66" s="105" t="s">
        <v>189</v>
      </c>
      <c r="C66" s="20">
        <f>G4+G5+G15</f>
        <v>150.19999999999999</v>
      </c>
      <c r="D66" s="188">
        <f>C66-D75</f>
        <v>-22.489472833069584</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150.19999999999999</v>
      </c>
      <c r="F70" s="283"/>
    </row>
    <row r="71" spans="2:6" ht="15" customHeight="1" x14ac:dyDescent="0.35">
      <c r="F71" s="283"/>
    </row>
    <row r="72" spans="2:6" ht="15" customHeight="1" x14ac:dyDescent="0.35">
      <c r="B72" s="285" t="s">
        <v>330</v>
      </c>
      <c r="C72" s="261" t="s">
        <v>97</v>
      </c>
      <c r="D72" s="203" t="s">
        <v>58</v>
      </c>
      <c r="F72" s="283"/>
    </row>
    <row r="73" spans="2:6" ht="15" customHeight="1" x14ac:dyDescent="0.35">
      <c r="B73" s="105" t="s">
        <v>329</v>
      </c>
      <c r="C73" s="188">
        <f>(Normalized_FCF!G25+Normalized_FCF!G35-Normalized_FCF!G91)/12</f>
        <v>-162.39999999999998</v>
      </c>
      <c r="D73" s="188">
        <f>(Normalized_FCF!C25+Normalized_FCF!C35-Normalized_FCF!C91)/12</f>
        <v>-172.68947283306957</v>
      </c>
      <c r="F73" s="1" t="s">
        <v>364</v>
      </c>
    </row>
    <row r="74" spans="2:6" ht="15" customHeight="1" x14ac:dyDescent="0.35">
      <c r="B74" s="288" t="s">
        <v>334</v>
      </c>
      <c r="C74" s="289">
        <f>-$C$66/C73</f>
        <v>0.92487684729064046</v>
      </c>
      <c r="D74" s="289">
        <f>-$C$66/D73</f>
        <v>0.86976928897797345</v>
      </c>
      <c r="F74" s="283" t="s">
        <v>331</v>
      </c>
    </row>
    <row r="75" spans="2:6" ht="15" customHeight="1" x14ac:dyDescent="0.35">
      <c r="B75" s="80" t="s">
        <v>332</v>
      </c>
      <c r="C75" s="293"/>
      <c r="D75" s="292">
        <f>MAX(-D73*D76,G5)</f>
        <v>172.68947283306957</v>
      </c>
      <c r="F75" s="283" t="s">
        <v>365</v>
      </c>
    </row>
    <row r="76" spans="2:6" ht="15" customHeight="1" x14ac:dyDescent="0.35">
      <c r="B76" s="290" t="s">
        <v>335</v>
      </c>
      <c r="C76" s="291"/>
      <c r="D76" s="327">
        <f>IF(D74&lt;=3,1,IF(D74&gt;18,6,2))</f>
        <v>1</v>
      </c>
      <c r="F76" s="283" t="s">
        <v>336</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3.9</v>
      </c>
      <c r="D80" s="188">
        <f>G19*H19</f>
        <v>0.39</v>
      </c>
      <c r="F80" s="283"/>
    </row>
    <row r="81" spans="2:8" ht="15" customHeight="1" x14ac:dyDescent="0.35">
      <c r="B81" s="105" t="s">
        <v>182</v>
      </c>
      <c r="C81" s="20">
        <f>G9+G21</f>
        <v>0</v>
      </c>
      <c r="D81" s="188">
        <f>G9*H9+G21*H21</f>
        <v>0</v>
      </c>
      <c r="F81" s="283"/>
    </row>
    <row r="82" spans="2:8" ht="15" customHeight="1" x14ac:dyDescent="0.35">
      <c r="B82" s="80" t="s">
        <v>191</v>
      </c>
      <c r="C82" s="81">
        <f>SUM(C79:C81)</f>
        <v>3.9</v>
      </c>
      <c r="D82" s="81">
        <f>SUM(D79:D81)</f>
        <v>0.39</v>
      </c>
      <c r="F82" s="283"/>
    </row>
    <row r="84" spans="2:8" ht="15" customHeight="1" x14ac:dyDescent="0.35">
      <c r="B84" s="79" t="s">
        <v>299</v>
      </c>
      <c r="C84" s="37"/>
      <c r="D84" s="37"/>
      <c r="E84" s="37"/>
      <c r="F84" s="37"/>
      <c r="G84" s="37"/>
      <c r="H84" s="37"/>
    </row>
    <row r="85" spans="2:8" ht="15" customHeight="1" x14ac:dyDescent="0.35">
      <c r="B85" s="16" t="s">
        <v>300</v>
      </c>
      <c r="D85" s="270" t="s">
        <v>301</v>
      </c>
    </row>
    <row r="86" spans="2:8" ht="15" customHeight="1" x14ac:dyDescent="0.35">
      <c r="B86" s="267" t="s">
        <v>297</v>
      </c>
      <c r="C86" s="188">
        <f>-Valuation_Model!C7*Exchange_Rate</f>
        <v>-1205.2833000000001</v>
      </c>
      <c r="D86" s="248">
        <f>C86*$H$1/Common_Shares</f>
        <v>-4.7619115348160905</v>
      </c>
      <c r="E86" s="269" t="str">
        <f>Market_currency</f>
        <v>HKD</v>
      </c>
    </row>
    <row r="87" spans="2:8" ht="15" customHeight="1" x14ac:dyDescent="0.35">
      <c r="B87" s="267" t="s">
        <v>298</v>
      </c>
      <c r="C87" s="188">
        <f>Valuation_Model!C8*Exchange_Rate</f>
        <v>-174.54079865745305</v>
      </c>
      <c r="D87" s="248">
        <f>C87*$H$1/Common_Shares</f>
        <v>-0.68958712231633723</v>
      </c>
      <c r="E87" s="269" t="str">
        <f>Market_currency</f>
        <v>HKD</v>
      </c>
    </row>
    <row r="88" spans="2:8" ht="15" customHeight="1" x14ac:dyDescent="0.35">
      <c r="B88" s="268" t="s">
        <v>191</v>
      </c>
      <c r="C88" s="188">
        <f>Valuation_Model!C9*Exchange_Rate</f>
        <v>3.0267900000000001</v>
      </c>
      <c r="D88" s="248">
        <f>C88*$H$1/Common_Shares</f>
        <v>1.1958438496962494E-2</v>
      </c>
      <c r="E88" s="269" t="str">
        <f>Market_currency</f>
        <v>HKD</v>
      </c>
    </row>
    <row r="89" spans="2:8" ht="15" customHeight="1" x14ac:dyDescent="0.35">
      <c r="B89" s="80" t="s">
        <v>302</v>
      </c>
      <c r="C89" s="187">
        <f>SUM(C86:C88)</f>
        <v>-1376.7973086574532</v>
      </c>
      <c r="D89" s="271">
        <f>SUM(D86:D88)</f>
        <v>-5.4395402186354653</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x14ac:dyDescent="0.35">
      <c r="A5" s="10"/>
      <c r="B5" s="2" t="s">
        <v>47</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x14ac:dyDescent="0.35">
      <c r="A6" s="10"/>
      <c r="B6" s="31" t="s">
        <v>49</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x14ac:dyDescent="0.35">
      <c r="A7" s="10"/>
      <c r="B7" s="8" t="s">
        <v>46</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x14ac:dyDescent="0.35">
      <c r="A8" s="10"/>
      <c r="B8" s="29" t="s">
        <v>154</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x14ac:dyDescent="0.35">
      <c r="A10" s="10"/>
      <c r="B10" s="2" t="s">
        <v>82</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x14ac:dyDescent="0.35">
      <c r="A12" s="10"/>
      <c r="B12" s="2" t="s">
        <v>69</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x14ac:dyDescent="0.35">
      <c r="A13" s="10"/>
      <c r="B13" s="70" t="s">
        <v>166</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x14ac:dyDescent="0.35">
      <c r="A14" s="10"/>
      <c r="B14" s="2" t="s">
        <v>64</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x14ac:dyDescent="0.35">
      <c r="A16" s="10"/>
      <c r="B16" s="41" t="s">
        <v>156</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x14ac:dyDescent="0.35">
      <c r="A17" s="10"/>
      <c r="B17" s="27" t="s">
        <v>53</v>
      </c>
      <c r="C17" s="191">
        <f>-C4*C85</f>
        <v>0</v>
      </c>
      <c r="D17" s="58"/>
      <c r="E17" s="301" t="s">
        <v>344</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345</v>
      </c>
      <c r="F18" s="58"/>
      <c r="G18" s="196"/>
      <c r="H18" s="196"/>
      <c r="I18" s="196"/>
      <c r="J18" s="196"/>
      <c r="K18" s="196"/>
      <c r="L18" s="196"/>
      <c r="M18" s="196"/>
      <c r="N18" s="196"/>
      <c r="O18" s="196"/>
      <c r="P18" s="196"/>
      <c r="Q18" s="196"/>
    </row>
    <row r="19" spans="1:17" ht="15.75" customHeight="1" x14ac:dyDescent="0.35">
      <c r="A19" s="10"/>
      <c r="B19" s="31" t="s">
        <v>67</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x14ac:dyDescent="0.4">
      <c r="A24" s="10"/>
      <c r="B24" s="68" t="s">
        <v>63</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x14ac:dyDescent="0.35">
      <c r="A25" s="10"/>
      <c r="B25" s="70" t="s">
        <v>47</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0.70821811843131843</v>
      </c>
      <c r="D28" s="26"/>
      <c r="E28" s="300" t="s">
        <v>346</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x14ac:dyDescent="0.4">
      <c r="A29" s="10"/>
      <c r="B29" s="68" t="str">
        <f>B24</f>
        <v>Selling Expenses</v>
      </c>
      <c r="C29" s="63">
        <f>AVERAGE(G29:J29)</f>
        <v>0.12852091203760216</v>
      </c>
      <c r="D29" s="26"/>
      <c r="E29" s="300" t="s">
        <v>346</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x14ac:dyDescent="0.35">
      <c r="A30" s="10"/>
      <c r="B30" s="70" t="s">
        <v>47</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-78.45</v>
      </c>
      <c r="E33" s="300" t="s">
        <v>346</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x14ac:dyDescent="0.35">
      <c r="A34" s="10"/>
      <c r="B34" s="27" t="s">
        <v>50</v>
      </c>
      <c r="C34" s="198">
        <f>AVERAGE(G34:J34)</f>
        <v>-83.925000000000011</v>
      </c>
      <c r="D34" s="58"/>
      <c r="E34" s="300" t="s">
        <v>346</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x14ac:dyDescent="0.35">
      <c r="A35" s="10"/>
      <c r="B35" s="70" t="s">
        <v>46</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x14ac:dyDescent="0.35">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x14ac:dyDescent="0.35">
      <c r="A40" s="10"/>
      <c r="B40" s="70" t="s">
        <v>46</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0.16500000000000001</v>
      </c>
      <c r="D43" s="27"/>
      <c r="E43" s="299" t="s">
        <v>347</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x14ac:dyDescent="0.35">
      <c r="A48" s="10"/>
      <c r="B48" s="2" t="s">
        <v>358</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x14ac:dyDescent="0.35">
      <c r="A49" s="10"/>
      <c r="B49" s="323" t="s">
        <v>355</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x14ac:dyDescent="0.35">
      <c r="A50" s="10"/>
      <c r="B50" s="70" t="s">
        <v>69</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0</v>
      </c>
      <c r="E53" s="299" t="s">
        <v>348</v>
      </c>
      <c r="G53" s="6">
        <f>IF(Normalized_FCF!G4="","",Normalized_FCF!G49/BS!$C$66)</f>
        <v>0</v>
      </c>
      <c r="H53" s="170"/>
      <c r="I53" s="170"/>
      <c r="J53" s="170"/>
      <c r="K53" s="170"/>
      <c r="L53" s="170"/>
      <c r="M53" s="170"/>
      <c r="N53" s="170"/>
      <c r="O53" s="170"/>
      <c r="P53" s="170"/>
      <c r="Q53" s="170"/>
    </row>
    <row r="54" spans="1:17" ht="15.75" customHeight="1" x14ac:dyDescent="0.35">
      <c r="A54" s="10"/>
      <c r="B54" s="8" t="s">
        <v>89</v>
      </c>
      <c r="C54" s="82">
        <f>G54</f>
        <v>3.1551835157759174E-2</v>
      </c>
      <c r="E54" s="299" t="s">
        <v>349</v>
      </c>
      <c r="G54" s="23">
        <f>IFERROR(ABS(Normalized_FCF!G47/BS!$G$31),0)</f>
        <v>3.1551835157759174E-2</v>
      </c>
      <c r="H54" s="170"/>
      <c r="I54" s="170"/>
      <c r="J54" s="170"/>
      <c r="K54" s="170"/>
      <c r="L54" s="170"/>
      <c r="M54" s="170"/>
      <c r="N54" s="170"/>
      <c r="O54" s="170"/>
      <c r="P54" s="170"/>
      <c r="Q54" s="170"/>
    </row>
    <row r="55" spans="1:17" ht="15.75" customHeight="1" x14ac:dyDescent="0.35">
      <c r="A55" s="10"/>
      <c r="B55" s="26" t="s">
        <v>92</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x14ac:dyDescent="0.35">
      <c r="A62" s="10"/>
      <c r="B62" s="40" t="s">
        <v>162</v>
      </c>
      <c r="C62" s="297">
        <v>0</v>
      </c>
      <c r="E62" s="300" t="s">
        <v>350</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x14ac:dyDescent="0.35">
      <c r="A63" s="10"/>
      <c r="B63" s="31" t="s">
        <v>197</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x14ac:dyDescent="0.35">
      <c r="A74" s="10"/>
      <c r="B74" s="31" t="s">
        <v>49</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x14ac:dyDescent="0.35">
      <c r="A75" s="10"/>
      <c r="B75" s="8" t="s">
        <v>46</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x14ac:dyDescent="0.35">
      <c r="A76" s="10"/>
      <c r="B76" s="29" t="s">
        <v>154</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x14ac:dyDescent="0.35">
      <c r="A78" s="10"/>
      <c r="B78" s="2" t="s">
        <v>82</v>
      </c>
      <c r="C78" s="88">
        <f>MAX(AVERAGE(G78:J78),C77)</f>
        <v>0</v>
      </c>
      <c r="D78" s="27"/>
      <c r="E78" s="300" t="s">
        <v>367</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x14ac:dyDescent="0.35">
      <c r="A80" s="10"/>
      <c r="B80" s="2" t="s">
        <v>69</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x14ac:dyDescent="0.35">
      <c r="A81" s="10"/>
      <c r="B81" s="70" t="s">
        <v>166</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x14ac:dyDescent="0.35">
      <c r="A82" s="10"/>
      <c r="B82" s="2" t="s">
        <v>64</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x14ac:dyDescent="0.35">
      <c r="A84" s="10"/>
      <c r="B84" s="41" t="s">
        <v>156</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x14ac:dyDescent="0.35">
      <c r="A91" s="10"/>
      <c r="B91" s="2" t="str">
        <f>"Dividend ("&amp;Market_currency&amp;")"</f>
        <v>Dividend (HKD)</v>
      </c>
      <c r="C91" s="74">
        <f>C90*Common_Shares/$C$3</f>
        <v>0</v>
      </c>
      <c r="E91" s="302"/>
      <c r="G91" s="74">
        <f t="shared" ref="G91:Q91" si="37">IF(G$4="","",G90*Common_Shares/$C$3)</f>
        <v>0</v>
      </c>
      <c r="H91" s="74">
        <f t="shared" si="37"/>
        <v>0</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x14ac:dyDescent="0.35">
      <c r="A92" s="10"/>
      <c r="B92" s="2" t="s">
        <v>215</v>
      </c>
      <c r="C92" s="23">
        <f>C90/(C19*$C$3/Common_Shares)</f>
        <v>0</v>
      </c>
      <c r="E92" s="302"/>
      <c r="G92" s="171">
        <f t="shared" ref="G92:Q92" si="38">IF(G$4="","",G90/(G19*$C$3/Common_Shares))</f>
        <v>0</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x14ac:dyDescent="0.35">
      <c r="A93" s="10"/>
      <c r="B93" s="2" t="s">
        <v>321</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x14ac:dyDescent="0.35">
      <c r="A97" s="10"/>
      <c r="B97" s="70" t="s">
        <v>166</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x14ac:dyDescent="0.35">
      <c r="A102" s="10"/>
      <c r="B102" s="93" t="s">
        <v>212</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x14ac:dyDescent="0.35">
      <c r="A103" s="10"/>
      <c r="B103" s="93" t="s">
        <v>213</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x14ac:dyDescent="0.35">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x14ac:dyDescent="0.35">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x14ac:dyDescent="0.35">
      <c r="A109" s="10"/>
      <c r="B109" s="26" t="s">
        <v>220</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407</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x14ac:dyDescent="0.35">
      <c r="A114" s="10"/>
      <c r="B114" s="2" t="s">
        <v>408</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x14ac:dyDescent="0.35">
      <c r="B118" s="7" t="s">
        <v>85</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x14ac:dyDescent="0.35">
      <c r="B119" s="7" t="s">
        <v>93</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x14ac:dyDescent="0.35">
      <c r="A120" s="10"/>
      <c r="B120" s="70" t="s">
        <v>224</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5.2583165033492563</v>
      </c>
      <c r="D124" s="27"/>
      <c r="E124" s="299"/>
      <c r="F124" s="27"/>
      <c r="G124" s="178">
        <f t="shared" ref="G124:Q124" si="49">IF(G$4="","",G16*$C$3/Common_Shares*Exchange_Rate)</f>
        <v>6.1233337637010532</v>
      </c>
      <c r="H124" s="178">
        <f t="shared" si="49"/>
        <v>5.5162130400091032</v>
      </c>
      <c r="I124" s="178">
        <f t="shared" si="49"/>
        <v>6.1539964265137694</v>
      </c>
      <c r="J124" s="178">
        <f t="shared" si="49"/>
        <v>8.2635876280292138</v>
      </c>
      <c r="K124" s="178">
        <f t="shared" si="49"/>
        <v>7.3651716076163867</v>
      </c>
      <c r="L124" s="178">
        <f t="shared" si="49"/>
        <v>5.0992008257560624</v>
      </c>
      <c r="M124" s="178">
        <f t="shared" si="49"/>
        <v>6.2061229532954059</v>
      </c>
      <c r="N124" s="178">
        <f t="shared" si="49"/>
        <v>5.4855503771963896</v>
      </c>
      <c r="O124" s="178">
        <f t="shared" si="49"/>
        <v>5.5376769039780163</v>
      </c>
      <c r="P124" s="178" t="str">
        <f t="shared" si="49"/>
        <v/>
      </c>
      <c r="Q124" s="178" t="str">
        <f t="shared" si="49"/>
        <v/>
      </c>
    </row>
    <row r="125" spans="1:17" ht="15.75" customHeight="1" x14ac:dyDescent="0.35">
      <c r="A125" s="10"/>
      <c r="B125" s="27" t="s">
        <v>272</v>
      </c>
      <c r="C125" s="77">
        <f>C19*Exchange_Rate*$C$3/(Market_Price*Common_Shares)</f>
        <v>0.10720319069009697</v>
      </c>
      <c r="D125" s="27"/>
      <c r="E125" s="299"/>
      <c r="F125" s="27"/>
      <c r="G125" s="77">
        <f t="shared" ref="G125" si="50">IF(G$4="","",G124/Market_Price)</f>
        <v>0.12483860884201944</v>
      </c>
      <c r="H125" s="77">
        <f t="shared" ref="H125" si="51">IF(H$4="","",H124/Market_Price)</f>
        <v>0.11246102018367184</v>
      </c>
      <c r="I125" s="77">
        <f t="shared" ref="I125" si="52">IF(I$4="","",I124/Market_Price)</f>
        <v>0.12546373958233986</v>
      </c>
      <c r="J125" s="77">
        <f t="shared" ref="J125" si="53">IF(J$4="","",J124/Market_Price)</f>
        <v>0.1684727345163958</v>
      </c>
      <c r="K125" s="77">
        <f t="shared" ref="K125" si="54">IF(K$4="","",K124/Market_Price)</f>
        <v>0.15015640382500278</v>
      </c>
      <c r="L125" s="77">
        <f t="shared" ref="L125" si="55">IF(L$4="","",L124/Market_Price)</f>
        <v>0.10395924211531218</v>
      </c>
      <c r="M125" s="77">
        <f t="shared" ref="M125" si="56">IF(M$4="","",M124/Market_Price)</f>
        <v>0.12652646184088495</v>
      </c>
      <c r="N125" s="77">
        <f t="shared" ref="N125" si="57">IF(N$4="","",N124/Market_Price)</f>
        <v>0.11183588944335147</v>
      </c>
      <c r="O125" s="77">
        <f t="shared" ref="O125" si="58">IF(O$4="","",O124/Market_Price)</f>
        <v>0.11289861170189636</v>
      </c>
      <c r="P125" s="77" t="str">
        <f t="shared" ref="P125" si="59">IF(P$4="","",P124/Market_Price)</f>
        <v/>
      </c>
      <c r="Q125" s="77" t="str">
        <f t="shared" ref="Q125" si="60">IF(Q$4="","",Q124/Market_Price)</f>
        <v/>
      </c>
    </row>
    <row r="126" spans="1:17" ht="15.75" customHeight="1" x14ac:dyDescent="0.35">
      <c r="B126" s="2" t="s">
        <v>410</v>
      </c>
      <c r="C126" s="170"/>
      <c r="G126" s="23">
        <f>IF(G$4="","",(Data!C47*$C$3)/(Market_Price*Common_Shares))</f>
        <v>1.341924769197375E-2</v>
      </c>
      <c r="H126" s="23">
        <f>IF(H$4="","",(Data!D47*$C$3)/(Market_Price*Common_Shares))</f>
        <v>1.2017717620903262E-2</v>
      </c>
      <c r="I126" s="23">
        <f>IF(I$4="","",(Data!E47*$C$3)/(Market_Price*Common_Shares))</f>
        <v>1.391058869390076E-2</v>
      </c>
      <c r="J126" s="23">
        <f>IF(J$4="","",(Data!F47*$C$3)/(Market_Price*Common_Shares))</f>
        <v>1.8598465138515839E-2</v>
      </c>
      <c r="K126" s="23">
        <f>IF(K$4="","",(Data!G47*$C$3)/(Market_Price*Common_Shares))</f>
        <v>1.536044738811161E-2</v>
      </c>
      <c r="L126" s="23">
        <f>IF(L$4="","",(Data!H47*$C$3)/(Market_Price*Common_Shares))</f>
        <v>1.3797821906573249E-2</v>
      </c>
      <c r="M126" s="23">
        <f>IF(M$4="","",(Data!I47*$C$3)/(Market_Price*Common_Shares))</f>
        <v>1.6616991589761012E-2</v>
      </c>
      <c r="N126" s="23">
        <f>IF(N$4="","",(Data!J47*$C$3)/(Market_Price*Common_Shares))</f>
        <v>1.4418039236874557E-2</v>
      </c>
      <c r="O126" s="23">
        <f>IF(O$4="","",(Data!K47*$C$3)/(Market_Price*Common_Shares))</f>
        <v>1.4611353729436003E-2</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171.48923221264295</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2143.6154026580366</v>
      </c>
      <c r="D6" t="str">
        <f>Reporting_currency</f>
        <v>USD</v>
      </c>
      <c r="E6" s="344" t="s">
        <v>251</v>
      </c>
      <c r="F6" s="344"/>
      <c r="H6" s="121"/>
    </row>
    <row r="7" spans="2:8" x14ac:dyDescent="0.35">
      <c r="B7" s="149" t="s">
        <v>226</v>
      </c>
      <c r="C7" s="226">
        <f>BS!G31</f>
        <v>155.30000000000001</v>
      </c>
      <c r="D7" t="str">
        <f>Reporting_currency</f>
        <v>USD</v>
      </c>
      <c r="E7" s="344"/>
      <c r="F7" s="344"/>
      <c r="H7" s="121"/>
    </row>
    <row r="8" spans="2:8" x14ac:dyDescent="0.35">
      <c r="B8" s="149" t="s">
        <v>227</v>
      </c>
      <c r="C8" s="201">
        <f>BS!D66</f>
        <v>-22.489472833069584</v>
      </c>
      <c r="D8" t="str">
        <f>Reporting_currency</f>
        <v>USD</v>
      </c>
      <c r="E8" s="344"/>
      <c r="F8" s="344"/>
      <c r="H8" s="121"/>
    </row>
    <row r="9" spans="2:8" x14ac:dyDescent="0.35">
      <c r="B9" s="227" t="s">
        <v>192</v>
      </c>
      <c r="C9" s="229">
        <f>BS!H42</f>
        <v>0.39</v>
      </c>
      <c r="D9" t="str">
        <f>Reporting_currency</f>
        <v>USD</v>
      </c>
      <c r="E9" s="344"/>
      <c r="F9" s="344"/>
      <c r="H9" s="121"/>
    </row>
    <row r="10" spans="2:8" ht="13.15" x14ac:dyDescent="0.4">
      <c r="B10" s="150" t="s">
        <v>229</v>
      </c>
      <c r="C10" s="232">
        <f>C6-C7+C8+C9</f>
        <v>1966.2159298249671</v>
      </c>
      <c r="D10" t="str">
        <f>Reporting_currency</f>
        <v>USD</v>
      </c>
      <c r="H10" s="121"/>
    </row>
    <row r="11" spans="2:8" ht="13.15" thickBot="1" x14ac:dyDescent="0.4">
      <c r="B11" s="230" t="s">
        <v>168</v>
      </c>
      <c r="C11" s="231">
        <f>Exchange_Rate</f>
        <v>7.7610000000000001</v>
      </c>
      <c r="D11" t="str">
        <f>Thesis!D17</f>
        <v>USD/HKD</v>
      </c>
      <c r="H11" s="121"/>
    </row>
    <row r="12" spans="2:8" ht="13.5" thickTop="1" x14ac:dyDescent="0.4">
      <c r="B12" s="150" t="s">
        <v>104</v>
      </c>
      <c r="C12" s="112">
        <f>(C10*C3)/Common_Shares*C11</f>
        <v>60.289416073230242</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3.5100095863245001E-2</v>
      </c>
      <c r="H16" s="121"/>
    </row>
    <row r="17" spans="2:8" ht="13.25" customHeight="1" x14ac:dyDescent="0.35">
      <c r="B17" s="119" t="s">
        <v>136</v>
      </c>
      <c r="C17" s="163">
        <f>Scenarios!C64</f>
        <v>10</v>
      </c>
      <c r="H17" s="121"/>
    </row>
    <row r="18" spans="2:8" ht="13.25" customHeight="1" x14ac:dyDescent="0.4">
      <c r="B18" s="154" t="s">
        <v>108</v>
      </c>
      <c r="C18" s="141">
        <f>(F52-C7+C8+C9)*Exchange_Rate/Common_Shares*C3</f>
        <v>68.015846213324608</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x14ac:dyDescent="0.35">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x14ac:dyDescent="0.35">
      <c r="B23" s="123">
        <v>3</v>
      </c>
      <c r="C23" s="124">
        <f t="shared" si="2"/>
        <v>190.18834635639865</v>
      </c>
      <c r="D23" s="139">
        <f>IF($C$17&lt;B23,0,Valuation_Model!$C$16)</f>
        <v>3.5100095863245001E-2</v>
      </c>
      <c r="E23" s="125">
        <f t="shared" si="0"/>
        <v>0.79383224102016958</v>
      </c>
      <c r="F23" s="126">
        <f t="shared" si="1"/>
        <v>150.97764120402016</v>
      </c>
      <c r="H23" s="121"/>
    </row>
    <row r="24" spans="2:8" x14ac:dyDescent="0.35">
      <c r="B24" s="123">
        <v>4</v>
      </c>
      <c r="C24" s="124">
        <f t="shared" si="2"/>
        <v>196.86397554558027</v>
      </c>
      <c r="D24" s="139">
        <f>IF($C$17&lt;B24,0,Valuation_Model!$C$16)</f>
        <v>3.5100095863245001E-2</v>
      </c>
      <c r="E24" s="125">
        <f t="shared" si="0"/>
        <v>0.73502985279645328</v>
      </c>
      <c r="F24" s="126">
        <f t="shared" si="1"/>
        <v>144.70089896619245</v>
      </c>
      <c r="H24" s="121"/>
    </row>
    <row r="25" spans="2:8" x14ac:dyDescent="0.35">
      <c r="B25" s="123">
        <v>5</v>
      </c>
      <c r="C25" s="124">
        <f t="shared" si="2"/>
        <v>203.77391995924967</v>
      </c>
      <c r="D25" s="139">
        <f>IF($C$17&lt;B25,0,Valuation_Model!$C$16)</f>
        <v>3.5100095863245001E-2</v>
      </c>
      <c r="E25" s="125">
        <f t="shared" si="0"/>
        <v>0.68058319703375303</v>
      </c>
      <c r="F25" s="126">
        <f t="shared" si="1"/>
        <v>138.68510591796624</v>
      </c>
      <c r="H25" s="121"/>
    </row>
    <row r="26" spans="2:8" x14ac:dyDescent="0.35">
      <c r="B26" s="123">
        <v>6</v>
      </c>
      <c r="C26" s="124">
        <f t="shared" si="2"/>
        <v>210.92640408424856</v>
      </c>
      <c r="D26" s="139">
        <f>IF($C$17&lt;B26,0,Valuation_Model!$C$16)</f>
        <v>3.5100095863245001E-2</v>
      </c>
      <c r="E26" s="125">
        <f t="shared" si="0"/>
        <v>0.63016962688310452</v>
      </c>
      <c r="F26" s="126">
        <f t="shared" si="1"/>
        <v>132.91941336156586</v>
      </c>
      <c r="H26" s="121"/>
    </row>
    <row r="27" spans="2:8" x14ac:dyDescent="0.35">
      <c r="B27" s="123">
        <v>7</v>
      </c>
      <c r="C27" s="124">
        <f t="shared" si="2"/>
        <v>218.3299410876952</v>
      </c>
      <c r="D27" s="139">
        <f>IF($C$17&lt;B27,0,Valuation_Model!$C$16)</f>
        <v>3.5100095863245001E-2</v>
      </c>
      <c r="E27" s="125">
        <f t="shared" si="0"/>
        <v>0.58349039526213387</v>
      </c>
      <c r="F27" s="126">
        <f t="shared" si="1"/>
        <v>127.39342362281768</v>
      </c>
      <c r="H27" s="121"/>
    </row>
    <row r="28" spans="2:8" x14ac:dyDescent="0.35">
      <c r="B28" s="123">
        <v>8</v>
      </c>
      <c r="C28" s="124">
        <f t="shared" si="2"/>
        <v>225.99334294968995</v>
      </c>
      <c r="D28" s="139">
        <f>IF($C$17&lt;B28,0,Valuation_Model!$C$16)</f>
        <v>3.5100095863245001E-2</v>
      </c>
      <c r="E28" s="125">
        <f t="shared" si="0"/>
        <v>0.54026888450197574</v>
      </c>
      <c r="F28" s="126">
        <f t="shared" si="1"/>
        <v>122.09717130030143</v>
      </c>
      <c r="H28" s="121"/>
    </row>
    <row r="29" spans="2:8" x14ac:dyDescent="0.35">
      <c r="B29" s="123">
        <v>9</v>
      </c>
      <c r="C29" s="124">
        <f t="shared" si="2"/>
        <v>233.9257309516793</v>
      </c>
      <c r="D29" s="139">
        <f>IF($C$17&lt;B29,0,Valuation_Model!$C$16)</f>
        <v>3.5100095863245001E-2</v>
      </c>
      <c r="E29" s="125">
        <f t="shared" si="0"/>
        <v>0.50024896713145905</v>
      </c>
      <c r="F29" s="126">
        <f t="shared" si="1"/>
        <v>117.02110529404915</v>
      </c>
      <c r="H29" s="121"/>
    </row>
    <row r="30" spans="2:8" x14ac:dyDescent="0.35">
      <c r="B30" s="123">
        <v>10</v>
      </c>
      <c r="C30" s="124">
        <f t="shared" si="2"/>
        <v>242.13654653296291</v>
      </c>
      <c r="D30" s="139">
        <f>IF($C$17&lt;B30,0,Valuation_Model!$C$16)</f>
        <v>3.5100095863245001E-2</v>
      </c>
      <c r="E30" s="125">
        <f t="shared" si="0"/>
        <v>0.46319348808468425</v>
      </c>
      <c r="F30" s="126">
        <f t="shared" si="1"/>
        <v>112.15607158138255</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2218.8565087852621</v>
      </c>
      <c r="D51" s="140">
        <f>Terminal_Growth</f>
        <v>0</v>
      </c>
      <c r="E51" s="125">
        <f>1/(1+Equity_Cost)^C17</f>
        <v>0.46319348808468425</v>
      </c>
      <c r="F51" s="126">
        <f t="shared" si="1"/>
        <v>1027.7598858636504</v>
      </c>
      <c r="H51" s="121"/>
    </row>
    <row r="52" spans="1:8" x14ac:dyDescent="0.35">
      <c r="C52" s="115"/>
      <c r="E52" s="128" t="s">
        <v>102</v>
      </c>
      <c r="F52" s="138">
        <f>SUM(F21:F51)</f>
        <v>2395.5971104204846</v>
      </c>
      <c r="H52" s="121"/>
    </row>
    <row r="53" spans="1:8" x14ac:dyDescent="0.35">
      <c r="C53" s="115"/>
      <c r="H53" s="121"/>
    </row>
    <row r="54" spans="1:8" ht="13.15" x14ac:dyDescent="0.35">
      <c r="B54" s="120" t="s">
        <v>131</v>
      </c>
      <c r="C54" s="137"/>
      <c r="D54" s="137"/>
      <c r="E54" s="118"/>
      <c r="F54" s="118"/>
      <c r="H54" s="121"/>
    </row>
    <row r="55" spans="1:8" ht="13.15" x14ac:dyDescent="0.4">
      <c r="A55" s="134">
        <f>F52</f>
        <v>2395.5971104204846</v>
      </c>
      <c r="B55" s="132">
        <f>C78</f>
        <v>0</v>
      </c>
      <c r="C55" s="132">
        <f>C77</f>
        <v>0.01</v>
      </c>
      <c r="D55" s="132">
        <f>C76</f>
        <v>0.03</v>
      </c>
      <c r="E55" s="132">
        <f>C75</f>
        <v>0.05</v>
      </c>
      <c r="F55" s="132">
        <f>C74</f>
        <v>0.08</v>
      </c>
      <c r="H55" s="121"/>
    </row>
    <row r="56" spans="1:8" ht="13.15" x14ac:dyDescent="0.4">
      <c r="A56" s="144">
        <v>5</v>
      </c>
      <c r="B56" s="124">
        <f t="dataTable" ref="B56:F61" dt2D="1" dtr="1" r1="C16" r2="C17"/>
        <v>2143.6154026580361</v>
      </c>
      <c r="C56" s="124">
        <v>2177.944172447551</v>
      </c>
      <c r="D56" s="124">
        <v>2248.1329576818198</v>
      </c>
      <c r="E56" s="124">
        <v>2320.4382838504866</v>
      </c>
      <c r="F56" s="124">
        <v>2433.0674749311615</v>
      </c>
      <c r="H56" s="121"/>
    </row>
    <row r="57" spans="1:8" ht="13.15" x14ac:dyDescent="0.4">
      <c r="A57" s="144">
        <v>10</v>
      </c>
      <c r="B57" s="124">
        <v>2143.6154026580361</v>
      </c>
      <c r="C57" s="124">
        <v>2211.1746441620298</v>
      </c>
      <c r="D57" s="124">
        <v>2356.3055850252176</v>
      </c>
      <c r="E57" s="124">
        <v>2516.1150686799911</v>
      </c>
      <c r="F57" s="124">
        <v>2787.2337132331991</v>
      </c>
      <c r="H57" s="121"/>
    </row>
    <row r="58" spans="1:8" ht="13.15" x14ac:dyDescent="0.4">
      <c r="A58" s="144">
        <v>15</v>
      </c>
      <c r="B58" s="124">
        <v>2143.6154026580361</v>
      </c>
      <c r="C58" s="124">
        <v>2251.284097705794</v>
      </c>
      <c r="D58" s="124">
        <v>2493.6813583907101</v>
      </c>
      <c r="E58" s="124">
        <v>2778.0873446810347</v>
      </c>
      <c r="F58" s="124">
        <v>3302.1560154607114</v>
      </c>
      <c r="H58" s="121"/>
    </row>
    <row r="59" spans="1:8" ht="13.15" x14ac:dyDescent="0.4">
      <c r="A59" s="145">
        <v>20</v>
      </c>
      <c r="B59" s="124">
        <v>2143.6154026580357</v>
      </c>
      <c r="C59" s="124">
        <v>2291.0949092861629</v>
      </c>
      <c r="D59" s="124">
        <v>2637.4788152265623</v>
      </c>
      <c r="E59" s="124">
        <v>3068.257201365102</v>
      </c>
      <c r="F59" s="124">
        <v>3926.486193617186</v>
      </c>
      <c r="H59" s="121"/>
    </row>
    <row r="60" spans="1:8" ht="13.15" x14ac:dyDescent="0.4">
      <c r="A60" s="145">
        <v>25</v>
      </c>
      <c r="B60" s="124">
        <v>2143.6154026580357</v>
      </c>
      <c r="C60" s="124">
        <v>2327.1400187439999</v>
      </c>
      <c r="D60" s="124">
        <v>2775.0321967075802</v>
      </c>
      <c r="E60" s="124">
        <v>3362.9191268660743</v>
      </c>
      <c r="F60" s="124">
        <v>4625.2775337540652</v>
      </c>
      <c r="H60" s="121"/>
    </row>
    <row r="61" spans="1:8" ht="13.15" x14ac:dyDescent="0.4">
      <c r="A61" s="145">
        <v>30</v>
      </c>
      <c r="B61" s="124">
        <v>2143.6154026580357</v>
      </c>
      <c r="C61" s="124">
        <v>2358.0740338949558</v>
      </c>
      <c r="D61" s="124">
        <v>2899.9612596862244</v>
      </c>
      <c r="E61" s="124">
        <v>3647.8707293210327</v>
      </c>
      <c r="F61" s="124">
        <v>5374.7458895664186</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0.01</v>
      </c>
      <c r="D64" s="133">
        <f>D55</f>
        <v>0.03</v>
      </c>
      <c r="E64" s="133">
        <f>E55</f>
        <v>0.05</v>
      </c>
      <c r="F64" s="133">
        <f>F55</f>
        <v>0.08</v>
      </c>
      <c r="H64" s="121"/>
    </row>
    <row r="65" spans="1:8" ht="13.15" x14ac:dyDescent="0.4">
      <c r="A65" s="144">
        <v>0</v>
      </c>
      <c r="B65" s="125">
        <f>C12</f>
        <v>60.289416073230242</v>
      </c>
      <c r="C65" s="125">
        <f>C12</f>
        <v>60.289416073230242</v>
      </c>
      <c r="D65" s="125">
        <f>C12</f>
        <v>60.289416073230242</v>
      </c>
      <c r="E65" s="142">
        <f>C12</f>
        <v>60.289416073230242</v>
      </c>
      <c r="F65" s="125">
        <f>C12</f>
        <v>60.289416073230242</v>
      </c>
      <c r="H65" s="121"/>
    </row>
    <row r="66" spans="1:8" ht="13.15" x14ac:dyDescent="0.4">
      <c r="A66" s="144">
        <f t="shared" ref="A66:A71" si="3">A56</f>
        <v>5</v>
      </c>
      <c r="B66" s="125">
        <f t="shared" ref="B66:F71" si="4">(B56-$C$7+$C$8+$C$9)/Common_Shares*$C$3*Exchange_Rate</f>
        <v>60.289416073230228</v>
      </c>
      <c r="C66" s="125">
        <f t="shared" si="4"/>
        <v>61.342027566061752</v>
      </c>
      <c r="D66" s="125">
        <f t="shared" si="4"/>
        <v>63.49420262093485</v>
      </c>
      <c r="E66" s="125">
        <f t="shared" si="4"/>
        <v>65.711276456808733</v>
      </c>
      <c r="F66" s="125">
        <f t="shared" si="4"/>
        <v>69.164787365785372</v>
      </c>
      <c r="H66" s="121"/>
    </row>
    <row r="67" spans="1:8" ht="13.15" x14ac:dyDescent="0.4">
      <c r="A67" s="144">
        <f t="shared" si="3"/>
        <v>10</v>
      </c>
      <c r="B67" s="125">
        <f t="shared" si="4"/>
        <v>60.289416073230228</v>
      </c>
      <c r="C67" s="125">
        <f t="shared" si="4"/>
        <v>62.360962315350591</v>
      </c>
      <c r="D67" s="125">
        <f t="shared" si="4"/>
        <v>66.811063418731948</v>
      </c>
      <c r="E67" s="125">
        <f t="shared" si="4"/>
        <v>71.711247730313843</v>
      </c>
      <c r="F67" s="125">
        <f t="shared" si="4"/>
        <v>80.02446731049173</v>
      </c>
      <c r="H67" s="121"/>
    </row>
    <row r="68" spans="1:8" ht="13.15" x14ac:dyDescent="0.4">
      <c r="A68" s="144">
        <f t="shared" si="3"/>
        <v>15</v>
      </c>
      <c r="B68" s="125">
        <f t="shared" si="4"/>
        <v>60.289416073230228</v>
      </c>
      <c r="C68" s="125">
        <f t="shared" si="4"/>
        <v>63.590824964965655</v>
      </c>
      <c r="D68" s="125">
        <f t="shared" si="4"/>
        <v>71.023370436075268</v>
      </c>
      <c r="E68" s="125">
        <f t="shared" si="4"/>
        <v>79.74401529561581</v>
      </c>
      <c r="F68" s="125">
        <f t="shared" si="4"/>
        <v>95.813356238445664</v>
      </c>
      <c r="H68" s="121"/>
    </row>
    <row r="69" spans="1:8" ht="13.15" x14ac:dyDescent="0.4">
      <c r="A69" s="145">
        <f t="shared" si="3"/>
        <v>20</v>
      </c>
      <c r="B69" s="125">
        <f t="shared" si="4"/>
        <v>60.289416073230214</v>
      </c>
      <c r="C69" s="125">
        <f t="shared" si="4"/>
        <v>64.811530456755406</v>
      </c>
      <c r="D69" s="125">
        <f t="shared" si="4"/>
        <v>75.432583368360312</v>
      </c>
      <c r="E69" s="125">
        <f t="shared" si="4"/>
        <v>88.641395769535904</v>
      </c>
      <c r="F69" s="125">
        <f t="shared" si="4"/>
        <v>114.95698197506579</v>
      </c>
      <c r="H69" s="121"/>
    </row>
    <row r="70" spans="1:8" ht="13.15" x14ac:dyDescent="0.4">
      <c r="A70" s="145">
        <f t="shared" si="3"/>
        <v>25</v>
      </c>
      <c r="B70" s="125">
        <f t="shared" si="4"/>
        <v>60.289416073230214</v>
      </c>
      <c r="C70" s="125">
        <f t="shared" si="4"/>
        <v>65.916769494108806</v>
      </c>
      <c r="D70" s="125">
        <f t="shared" si="4"/>
        <v>79.650336323462795</v>
      </c>
      <c r="E70" s="125">
        <f t="shared" si="4"/>
        <v>97.676515034920328</v>
      </c>
      <c r="F70" s="125">
        <f t="shared" si="4"/>
        <v>136.38378521413472</v>
      </c>
    </row>
    <row r="71" spans="1:8" ht="13.15" x14ac:dyDescent="0.4">
      <c r="A71" s="145">
        <f t="shared" si="3"/>
        <v>30</v>
      </c>
      <c r="B71" s="125">
        <f t="shared" si="4"/>
        <v>60.289416073230214</v>
      </c>
      <c r="C71" s="125">
        <f t="shared" si="4"/>
        <v>66.86528877012627</v>
      </c>
      <c r="D71" s="125">
        <f t="shared" si="4"/>
        <v>83.480994057086562</v>
      </c>
      <c r="E71" s="125">
        <f t="shared" si="4"/>
        <v>106.41388993894219</v>
      </c>
      <c r="F71" s="125">
        <f t="shared" si="4"/>
        <v>159.36448069721581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0.08</v>
      </c>
      <c r="D74" s="146">
        <f>Scenarios!C55</f>
        <v>15</v>
      </c>
      <c r="E74" s="136">
        <f>INDEX(B$65:F$71, MATCH(D74, A$65:A$71, 0), MATCH(C74, B$64:F$64, 0))</f>
        <v>95.813356238445664</v>
      </c>
      <c r="F74" s="143">
        <f>Scenarios!C58</f>
        <v>0.05</v>
      </c>
    </row>
    <row r="75" spans="1:8" x14ac:dyDescent="0.35">
      <c r="B75" s="128" t="str">
        <f>Scenarios!B36</f>
        <v>Optimistic</v>
      </c>
      <c r="C75" s="143">
        <f>Scenarios!C38</f>
        <v>0.05</v>
      </c>
      <c r="D75" s="146">
        <f>Scenarios!C37</f>
        <v>10</v>
      </c>
      <c r="E75" s="136">
        <f>INDEX(B$65:F$71, MATCH(D75, A$65:A$71, 0), MATCH(C75, B$64:F$64, 0))</f>
        <v>71.711247730313843</v>
      </c>
      <c r="F75" s="143">
        <f>Scenarios!C40*(1-F$74-F$78)</f>
        <v>0.18</v>
      </c>
      <c r="H75" s="121"/>
    </row>
    <row r="76" spans="1:8" x14ac:dyDescent="0.35">
      <c r="B76" s="128" t="str">
        <f>Scenarios!B24</f>
        <v>Base</v>
      </c>
      <c r="C76" s="143">
        <f>Scenarios!C26</f>
        <v>0.03</v>
      </c>
      <c r="D76" s="146">
        <f>Scenarios!C25</f>
        <v>10</v>
      </c>
      <c r="E76" s="136">
        <f>INDEX(B$65:F$71, MATCH(D76, A$65:A$71, 0), MATCH(C76, B$64:F$64, 0))</f>
        <v>66.811063418731948</v>
      </c>
      <c r="F76" s="143">
        <f>Scenarios!C28*(1-F$74-F$78)</f>
        <v>0.53999999999999992</v>
      </c>
      <c r="H76" s="121"/>
    </row>
    <row r="77" spans="1:8" x14ac:dyDescent="0.35">
      <c r="B77" s="128" t="str">
        <f>Scenarios!B30</f>
        <v>Pessimistic</v>
      </c>
      <c r="C77" s="143">
        <f>Scenarios!C32</f>
        <v>0.01</v>
      </c>
      <c r="D77" s="146">
        <f>Scenarios!C31</f>
        <v>10</v>
      </c>
      <c r="E77" s="136">
        <f>INDEX(B$65:F$71, MATCH(D77, A$65:A$71, 0), MATCH(C77, B$64:F$64, 0))</f>
        <v>62.360962315350591</v>
      </c>
      <c r="F77" s="143">
        <f>Scenarios!C34*(1-F$74-F$78)</f>
        <v>0.18</v>
      </c>
      <c r="H77" s="121"/>
    </row>
    <row r="78" spans="1:8" x14ac:dyDescent="0.35">
      <c r="B78" s="128" t="str">
        <f>Scenarios!B48</f>
        <v>Devil's advocate</v>
      </c>
      <c r="C78" s="143">
        <f>Scenarios!C50</f>
        <v>0</v>
      </c>
      <c r="D78" s="146">
        <f>Scenarios!C49</f>
        <v>15</v>
      </c>
      <c r="E78" s="136">
        <f>INDEX(B$65:F$71, MATCH(D78, A$65:A$71, 0), MATCH(C78, B$64:F$64, 0))</f>
        <v>60.289416073230228</v>
      </c>
      <c r="F78" s="143">
        <f>Scenarios!C52</f>
        <v>0.05</v>
      </c>
    </row>
    <row r="79" spans="1:8" x14ac:dyDescent="0.35">
      <c r="B79" s="156"/>
      <c r="C79" s="156"/>
      <c r="D79" s="156"/>
      <c r="E79" s="156"/>
      <c r="F79" s="157"/>
    </row>
    <row r="80" spans="1:8" x14ac:dyDescent="0.35">
      <c r="B80" s="156" t="s">
        <v>322</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5" zoomScale="75" zoomScaleNormal="100" workbookViewId="0">
      <selection activeCell="E68" sqref="E6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306</v>
      </c>
      <c r="I2" s="278"/>
    </row>
    <row r="3" spans="2:9" ht="13.15" x14ac:dyDescent="0.4">
      <c r="B3" s="160" t="s">
        <v>150</v>
      </c>
      <c r="H3" s="276">
        <v>0</v>
      </c>
      <c r="I3" s="264">
        <f>-Market_Price</f>
        <v>-49.05</v>
      </c>
    </row>
    <row r="4" spans="2:9" x14ac:dyDescent="0.35">
      <c r="B4" s="153" t="s">
        <v>148</v>
      </c>
      <c r="C4" s="121">
        <v>3</v>
      </c>
      <c r="D4" s="121"/>
      <c r="E4" s="156" t="s">
        <v>152</v>
      </c>
      <c r="F4" s="156"/>
      <c r="H4" s="276">
        <v>1</v>
      </c>
      <c r="I4" s="264">
        <f t="shared" ref="I4:I13" si="0">IF(ROW()-3 &lt; $C$76, $C$77, IF(ROW()-3 = $C$76, $C$77 + $C$60, ""))</f>
        <v>0</v>
      </c>
    </row>
    <row r="5" spans="2:9" x14ac:dyDescent="0.35">
      <c r="H5" s="276">
        <v>2</v>
      </c>
      <c r="I5" s="264">
        <f t="shared" si="0"/>
        <v>0</v>
      </c>
    </row>
    <row r="6" spans="2:9" ht="13.15" x14ac:dyDescent="0.4">
      <c r="B6" s="160" t="s">
        <v>97</v>
      </c>
      <c r="C6" s="107">
        <f>Valuation_Model!C3</f>
        <v>1000000</v>
      </c>
      <c r="E6" s="100" t="s">
        <v>285</v>
      </c>
      <c r="F6" s="100"/>
      <c r="H6" s="276">
        <v>3</v>
      </c>
      <c r="I6" s="264">
        <f t="shared" si="0"/>
        <v>68.016110669918646</v>
      </c>
    </row>
    <row r="7" spans="2:9" ht="12.75" customHeight="1" x14ac:dyDescent="0.35">
      <c r="B7" s="100" t="s">
        <v>279</v>
      </c>
      <c r="C7" s="115">
        <f>Normalized_FCF!G8</f>
        <v>196.90000000000003</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46"/>
      <c r="H7" s="276">
        <v>4</v>
      </c>
      <c r="I7" s="264" t="str">
        <f t="shared" si="0"/>
        <v/>
      </c>
    </row>
    <row r="8" spans="2:9" x14ac:dyDescent="0.35">
      <c r="B8" s="100" t="s">
        <v>67</v>
      </c>
      <c r="C8" s="115">
        <f>Normalized_FCF!G19</f>
        <v>199.70000000000005</v>
      </c>
      <c r="D8" t="str">
        <f>Reporting_currency</f>
        <v>USD</v>
      </c>
      <c r="E8" s="346"/>
      <c r="F8" s="346"/>
      <c r="H8" s="276">
        <v>5</v>
      </c>
      <c r="I8" s="264" t="str">
        <f t="shared" si="0"/>
        <v/>
      </c>
    </row>
    <row r="9" spans="2:9" x14ac:dyDescent="0.35">
      <c r="B9" s="100" t="s">
        <v>58</v>
      </c>
      <c r="C9" s="201">
        <f>Normalized_FCF!C19</f>
        <v>171.48923221264295</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282</v>
      </c>
      <c r="E11" s="346"/>
      <c r="F11" s="346"/>
      <c r="H11" s="276">
        <v>8</v>
      </c>
      <c r="I11" s="264" t="str">
        <f t="shared" si="0"/>
        <v/>
      </c>
    </row>
    <row r="12" spans="2:9" x14ac:dyDescent="0.35">
      <c r="B12" s="119" t="s">
        <v>146</v>
      </c>
      <c r="C12" s="159">
        <f ca="1">(Normalized_FCF!G4/OFFSET(Normalized_FCF!G4, 0, $C$4))^(1/$C$4) - 1</f>
        <v>-3.2910954099016121E-2</v>
      </c>
      <c r="D12" s="159"/>
      <c r="E12" s="346"/>
      <c r="F12" s="346"/>
      <c r="H12" s="276">
        <v>9</v>
      </c>
      <c r="I12" s="264" t="str">
        <f t="shared" si="0"/>
        <v/>
      </c>
    </row>
    <row r="13" spans="2:9" x14ac:dyDescent="0.35">
      <c r="B13" s="149" t="s">
        <v>154</v>
      </c>
      <c r="C13" s="159">
        <f ca="1">(Normalized_FCF!G8/OFFSET(Normalized_FCF!G8, 0, $C$4))^(1/$C$4) - 1</f>
        <v>-9.0823625892916704E-2</v>
      </c>
      <c r="E13" s="346"/>
      <c r="F13" s="346"/>
      <c r="H13" s="276">
        <v>10</v>
      </c>
      <c r="I13" s="264" t="str">
        <f t="shared" si="0"/>
        <v/>
      </c>
    </row>
    <row r="14" spans="2:9" x14ac:dyDescent="0.35">
      <c r="B14" s="100" t="s">
        <v>67</v>
      </c>
      <c r="C14" s="159">
        <f ca="1">(Normalized_FCF!G19/OFFSET(Normalized_FCF!G19, 0, $C$4))^(1/$C$4) - 1</f>
        <v>-9.5087824202677584E-2</v>
      </c>
      <c r="E14" s="346"/>
      <c r="F14" s="346"/>
    </row>
    <row r="16" spans="2:9" ht="13.9" x14ac:dyDescent="0.45">
      <c r="B16" s="36" t="s">
        <v>164</v>
      </c>
      <c r="C16" s="37"/>
      <c r="D16" s="37"/>
      <c r="E16" s="37"/>
      <c r="F16" s="37"/>
    </row>
    <row r="17" spans="2:6" ht="13.15" x14ac:dyDescent="0.4">
      <c r="B17" s="109" t="s">
        <v>153</v>
      </c>
      <c r="E17" s="160" t="s">
        <v>342</v>
      </c>
    </row>
    <row r="18" spans="2:6" x14ac:dyDescent="0.35">
      <c r="B18" s="153" t="s">
        <v>135</v>
      </c>
      <c r="C18" s="151">
        <v>10</v>
      </c>
      <c r="E18" s="346" t="s">
        <v>343</v>
      </c>
      <c r="F18" s="347"/>
    </row>
    <row r="19" spans="2:6" x14ac:dyDescent="0.35">
      <c r="E19" s="347"/>
      <c r="F19" s="347"/>
    </row>
    <row r="20" spans="2:6" ht="13.15" x14ac:dyDescent="0.4">
      <c r="B20" s="160" t="s">
        <v>314</v>
      </c>
      <c r="E20" s="347"/>
      <c r="F20" s="347"/>
    </row>
    <row r="21" spans="2:6" x14ac:dyDescent="0.35">
      <c r="B21" s="100" t="s">
        <v>283</v>
      </c>
      <c r="C21" s="161">
        <f>Market_Price</f>
        <v>49.05</v>
      </c>
      <c r="D21" t="str">
        <f>Market_currency</f>
        <v>HKD</v>
      </c>
      <c r="E21" s="347"/>
      <c r="F21" s="347"/>
    </row>
    <row r="22" spans="2:6" x14ac:dyDescent="0.35">
      <c r="B22" s="100" t="s">
        <v>284</v>
      </c>
      <c r="C22" s="161">
        <f>Valuation_Model!C12</f>
        <v>60.289416073230242</v>
      </c>
      <c r="D22" t="str">
        <f>Market_currency</f>
        <v>HKD</v>
      </c>
      <c r="E22" s="347"/>
      <c r="F22" s="347"/>
    </row>
    <row r="24" spans="2:6" ht="13.15" x14ac:dyDescent="0.4">
      <c r="B24" s="160" t="s">
        <v>117</v>
      </c>
      <c r="E24" s="160" t="s">
        <v>151</v>
      </c>
      <c r="F24" s="160"/>
    </row>
    <row r="25" spans="2:6" x14ac:dyDescent="0.35">
      <c r="B25" s="153" t="s">
        <v>135</v>
      </c>
      <c r="C25" s="167">
        <f>C18</f>
        <v>10</v>
      </c>
      <c r="D25" s="164"/>
      <c r="E25" s="345"/>
      <c r="F25" s="345"/>
    </row>
    <row r="26" spans="2:6" x14ac:dyDescent="0.35">
      <c r="B26" s="119" t="s">
        <v>136</v>
      </c>
      <c r="C26" s="165">
        <v>0.03</v>
      </c>
      <c r="D26" s="165"/>
      <c r="E26" s="345"/>
      <c r="F26" s="345"/>
    </row>
    <row r="27" spans="2:6" x14ac:dyDescent="0.35">
      <c r="B27" s="100" t="s">
        <v>115</v>
      </c>
      <c r="C27" s="161">
        <f>Valuation_Model!E76</f>
        <v>66.811063418731948</v>
      </c>
      <c r="D27" s="161" t="str">
        <f>Market_currency</f>
        <v>HKD</v>
      </c>
      <c r="E27" s="345"/>
      <c r="F27" s="345"/>
    </row>
    <row r="28" spans="2:6" x14ac:dyDescent="0.35">
      <c r="B28" s="100" t="s">
        <v>149</v>
      </c>
      <c r="C28" s="166">
        <v>0.6</v>
      </c>
      <c r="D28" s="166"/>
      <c r="E28" s="345"/>
      <c r="F28" s="345"/>
    </row>
    <row r="30" spans="2:6" ht="13.15" x14ac:dyDescent="0.4">
      <c r="B30" s="160" t="s">
        <v>118</v>
      </c>
      <c r="E30" s="160" t="s">
        <v>151</v>
      </c>
      <c r="F30" s="160"/>
    </row>
    <row r="31" spans="2:6" x14ac:dyDescent="0.35">
      <c r="B31" s="153" t="s">
        <v>135</v>
      </c>
      <c r="C31" s="167">
        <f>C18</f>
        <v>10</v>
      </c>
      <c r="D31" s="164"/>
      <c r="E31" s="345"/>
      <c r="F31" s="345"/>
    </row>
    <row r="32" spans="2:6" x14ac:dyDescent="0.35">
      <c r="B32" s="119" t="s">
        <v>136</v>
      </c>
      <c r="C32" s="165">
        <v>0.01</v>
      </c>
      <c r="D32" s="165"/>
      <c r="E32" s="345"/>
      <c r="F32" s="345"/>
    </row>
    <row r="33" spans="2:6" x14ac:dyDescent="0.35">
      <c r="B33" s="100" t="s">
        <v>115</v>
      </c>
      <c r="C33" s="161">
        <f>Valuation_Model!E77</f>
        <v>62.360962315350591</v>
      </c>
      <c r="D33" t="str">
        <f>Market_currency</f>
        <v>HKD</v>
      </c>
      <c r="E33" s="345"/>
      <c r="F33" s="345"/>
    </row>
    <row r="34" spans="2:6" x14ac:dyDescent="0.35">
      <c r="B34" s="100" t="s">
        <v>149</v>
      </c>
      <c r="C34" s="166">
        <v>0.2</v>
      </c>
      <c r="D34" s="166"/>
      <c r="E34" s="345"/>
      <c r="F34" s="345"/>
    </row>
    <row r="36" spans="2:6" ht="13.15" x14ac:dyDescent="0.4">
      <c r="B36" s="160" t="s">
        <v>116</v>
      </c>
      <c r="E36" s="160" t="s">
        <v>151</v>
      </c>
      <c r="F36" s="160"/>
    </row>
    <row r="37" spans="2:6" x14ac:dyDescent="0.35">
      <c r="B37" s="153" t="s">
        <v>135</v>
      </c>
      <c r="C37" s="167">
        <f>C18</f>
        <v>10</v>
      </c>
      <c r="D37" s="164"/>
      <c r="E37" s="345"/>
      <c r="F37" s="345"/>
    </row>
    <row r="38" spans="2:6" x14ac:dyDescent="0.35">
      <c r="B38" s="119" t="s">
        <v>136</v>
      </c>
      <c r="C38" s="165">
        <v>0.05</v>
      </c>
      <c r="D38" s="165"/>
      <c r="E38" s="345"/>
      <c r="F38" s="345"/>
    </row>
    <row r="39" spans="2:6" x14ac:dyDescent="0.35">
      <c r="B39" s="100" t="s">
        <v>115</v>
      </c>
      <c r="C39" s="161">
        <f>Valuation_Model!E75</f>
        <v>71.711247730313843</v>
      </c>
      <c r="D39" t="str">
        <f>Market_currency</f>
        <v>HKD</v>
      </c>
      <c r="E39" s="345"/>
      <c r="F39" s="345"/>
    </row>
    <row r="40" spans="2:6" x14ac:dyDescent="0.35">
      <c r="B40" s="100" t="s">
        <v>149</v>
      </c>
      <c r="C40" s="168">
        <f>1-C28-C34</f>
        <v>0.2</v>
      </c>
      <c r="D40" s="166"/>
      <c r="E40" s="345"/>
      <c r="F40" s="345"/>
    </row>
    <row r="42" spans="2:6" ht="13.15" x14ac:dyDescent="0.4">
      <c r="B42" s="100" t="s">
        <v>122</v>
      </c>
      <c r="C42" s="155">
        <f>C27*C28+C33*C34+C39*C40</f>
        <v>66.901080060372067</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5"/>
      <c r="F49" s="345"/>
    </row>
    <row r="50" spans="2:6" x14ac:dyDescent="0.35">
      <c r="B50" s="119" t="s">
        <v>136</v>
      </c>
      <c r="C50" s="165">
        <v>0</v>
      </c>
      <c r="D50" s="165"/>
      <c r="E50" s="345"/>
      <c r="F50" s="345"/>
    </row>
    <row r="51" spans="2:6" x14ac:dyDescent="0.35">
      <c r="B51" s="100" t="s">
        <v>115</v>
      </c>
      <c r="C51" s="161">
        <f>Valuation_Model!E78</f>
        <v>60.289416073230228</v>
      </c>
      <c r="D51" t="str">
        <f>Market_currency</f>
        <v>HKD</v>
      </c>
      <c r="E51" s="345"/>
      <c r="F51" s="345"/>
    </row>
    <row r="52" spans="2:6" x14ac:dyDescent="0.35">
      <c r="B52" s="100" t="s">
        <v>149</v>
      </c>
      <c r="C52" s="166">
        <v>0.05</v>
      </c>
      <c r="D52" s="166"/>
      <c r="E52" s="345"/>
      <c r="F52" s="345"/>
    </row>
    <row r="54" spans="2:6" ht="13.15" x14ac:dyDescent="0.4">
      <c r="B54" s="160" t="s">
        <v>328</v>
      </c>
      <c r="E54" s="160" t="s">
        <v>151</v>
      </c>
      <c r="F54" s="160"/>
    </row>
    <row r="55" spans="2:6" x14ac:dyDescent="0.35">
      <c r="B55" s="153" t="s">
        <v>135</v>
      </c>
      <c r="C55" s="167">
        <f>C46</f>
        <v>15</v>
      </c>
      <c r="D55" s="164"/>
      <c r="E55" s="345"/>
      <c r="F55" s="345"/>
    </row>
    <row r="56" spans="2:6" x14ac:dyDescent="0.35">
      <c r="B56" s="119" t="s">
        <v>136</v>
      </c>
      <c r="C56" s="165">
        <v>0.08</v>
      </c>
      <c r="D56" s="165"/>
      <c r="E56" s="345"/>
      <c r="F56" s="345"/>
    </row>
    <row r="57" spans="2:6" x14ac:dyDescent="0.35">
      <c r="B57" s="100" t="s">
        <v>115</v>
      </c>
      <c r="C57" s="161">
        <f>Valuation_Model!E74</f>
        <v>95.813356238445664</v>
      </c>
      <c r="D57" t="str">
        <f>Market_currency</f>
        <v>HKD</v>
      </c>
      <c r="E57" s="345"/>
      <c r="F57" s="345"/>
    </row>
    <row r="58" spans="2:6" x14ac:dyDescent="0.35">
      <c r="B58" s="100" t="s">
        <v>149</v>
      </c>
      <c r="C58" s="166">
        <v>0.05</v>
      </c>
      <c r="D58" s="166"/>
      <c r="E58" s="345"/>
      <c r="F58" s="345"/>
    </row>
    <row r="60" spans="2:6" ht="13.15" x14ac:dyDescent="0.4">
      <c r="B60" s="100" t="s">
        <v>122</v>
      </c>
      <c r="C60" s="155">
        <f>C51*C52+C57*C58+C42*(1-C52-C58)</f>
        <v>68.016110669918646</v>
      </c>
      <c r="D60" t="str">
        <f>Market_currency</f>
        <v>HKD</v>
      </c>
      <c r="E60" s="100" t="s">
        <v>307</v>
      </c>
      <c r="F60" s="312">
        <f>Thesis!E20</f>
        <v>3</v>
      </c>
    </row>
    <row r="62" spans="2:6" ht="13.9" x14ac:dyDescent="0.45">
      <c r="B62" s="36" t="s">
        <v>362</v>
      </c>
      <c r="C62" s="37"/>
      <c r="D62" s="37"/>
      <c r="E62" s="37"/>
      <c r="F62" s="37"/>
    </row>
    <row r="63" spans="2:6" ht="13.15" x14ac:dyDescent="0.4">
      <c r="B63" s="109" t="s">
        <v>315</v>
      </c>
      <c r="E63" s="282" t="s">
        <v>323</v>
      </c>
    </row>
    <row r="64" spans="2:6" x14ac:dyDescent="0.35">
      <c r="B64" s="153" t="s">
        <v>135</v>
      </c>
      <c r="C64" s="167">
        <f>C18</f>
        <v>10</v>
      </c>
      <c r="D64" s="151"/>
      <c r="E64" s="281" t="s">
        <v>411</v>
      </c>
    </row>
    <row r="65" spans="2:6" x14ac:dyDescent="0.35">
      <c r="B65" s="119" t="s">
        <v>136</v>
      </c>
      <c r="C65" s="152">
        <v>3.5100095863245001E-2</v>
      </c>
      <c r="D65" s="152"/>
      <c r="E65" s="281" t="s">
        <v>324</v>
      </c>
    </row>
    <row r="66" spans="2:6" x14ac:dyDescent="0.35">
      <c r="B66" s="100" t="s">
        <v>104</v>
      </c>
      <c r="C66" s="161">
        <f>Valuation_Model!C18</f>
        <v>68.015846213324608</v>
      </c>
      <c r="D66" s="161" t="str">
        <f>Market_currency</f>
        <v>HKD</v>
      </c>
      <c r="E66" s="281" t="s">
        <v>325</v>
      </c>
    </row>
    <row r="68" spans="2:6" ht="13.15" x14ac:dyDescent="0.4">
      <c r="B68" s="109" t="s">
        <v>363</v>
      </c>
      <c r="E68" s="282" t="s">
        <v>326</v>
      </c>
    </row>
    <row r="69" spans="2:6" x14ac:dyDescent="0.35">
      <c r="B69" s="100" t="s">
        <v>316</v>
      </c>
      <c r="C69" s="273" t="str">
        <f>IF(C60&lt;C22,"Y","N")</f>
        <v>N</v>
      </c>
      <c r="E69" s="135"/>
    </row>
    <row r="70" spans="2:6" x14ac:dyDescent="0.35">
      <c r="B70" s="100" t="s">
        <v>304</v>
      </c>
      <c r="C70" s="273" t="str">
        <f>IF(C69="Y","N",IF(C65&gt;8%,"N","Y"))</f>
        <v>Y</v>
      </c>
      <c r="E70" s="281" t="s">
        <v>305</v>
      </c>
    </row>
    <row r="71" spans="2:6" x14ac:dyDescent="0.35">
      <c r="B71" s="100" t="s">
        <v>303</v>
      </c>
      <c r="C71" s="273" t="str">
        <f>IF(C65&gt;8%,"Y","N")</f>
        <v>N</v>
      </c>
      <c r="E71" s="281"/>
    </row>
    <row r="72" spans="2:6" x14ac:dyDescent="0.35">
      <c r="B72" s="100" t="s">
        <v>295</v>
      </c>
      <c r="C72" s="272" t="str">
        <f>IF(F72&gt;50%,"Y","N")</f>
        <v>N</v>
      </c>
      <c r="E72" s="135" t="s">
        <v>359</v>
      </c>
      <c r="F72" s="329">
        <f>BS!D89/C60</f>
        <v>-7.9974290871077408E-2</v>
      </c>
    </row>
    <row r="74" spans="2:6" ht="13.9" x14ac:dyDescent="0.45">
      <c r="B74" s="36" t="s">
        <v>129</v>
      </c>
      <c r="C74" s="37"/>
      <c r="D74" s="37"/>
      <c r="E74" s="37"/>
      <c r="F74" s="37"/>
    </row>
    <row r="75" spans="2:6" ht="13.15" x14ac:dyDescent="0.4">
      <c r="B75" s="109" t="s">
        <v>127</v>
      </c>
    </row>
    <row r="76" spans="2:6" x14ac:dyDescent="0.35">
      <c r="B76" s="275" t="s">
        <v>308</v>
      </c>
      <c r="C76" s="274">
        <f>F60</f>
        <v>3</v>
      </c>
      <c r="D76" s="135"/>
    </row>
    <row r="77" spans="2:6" x14ac:dyDescent="0.35">
      <c r="B77" s="100" t="s">
        <v>113</v>
      </c>
      <c r="C77" s="174">
        <f>Normalized_FCF!C90</f>
        <v>0</v>
      </c>
      <c r="D77" t="str">
        <f>Market_currency</f>
        <v>HKD</v>
      </c>
    </row>
    <row r="79" spans="2:6" ht="13.15" x14ac:dyDescent="0.4">
      <c r="B79" s="109" t="s">
        <v>312</v>
      </c>
    </row>
    <row r="80" spans="2:6" x14ac:dyDescent="0.35">
      <c r="B80" s="149" t="s">
        <v>310</v>
      </c>
      <c r="C80" s="168">
        <f>Thesis!C123</f>
        <v>0.25</v>
      </c>
    </row>
    <row r="81" spans="2:8" x14ac:dyDescent="0.35">
      <c r="B81" s="100" t="s">
        <v>123</v>
      </c>
      <c r="C81" s="117">
        <f>PV(C80, C76, -C77, 0)</f>
        <v>0</v>
      </c>
      <c r="D81" s="117"/>
      <c r="E81" s="100"/>
      <c r="F81" s="100"/>
    </row>
    <row r="82" spans="2:8" x14ac:dyDescent="0.35">
      <c r="B82" s="100" t="s">
        <v>124</v>
      </c>
      <c r="C82" s="117">
        <f>C60/(1+C80)^C76</f>
        <v>34.82424866299835</v>
      </c>
      <c r="D82" s="117"/>
    </row>
    <row r="83" spans="2:8" ht="13.15" x14ac:dyDescent="0.4">
      <c r="B83" s="111" t="s">
        <v>103</v>
      </c>
      <c r="C83" s="112">
        <f>C81+C82</f>
        <v>34.82424866299835</v>
      </c>
      <c r="D83" t="str">
        <f>Market_currency</f>
        <v>HKD</v>
      </c>
      <c r="E83" s="147" t="s">
        <v>128</v>
      </c>
      <c r="F83" s="329">
        <f>(1-C83/C60)</f>
        <v>0.48799999999999999</v>
      </c>
    </row>
    <row r="84" spans="2:8" x14ac:dyDescent="0.35">
      <c r="E84" s="121"/>
    </row>
    <row r="85" spans="2:8" ht="13.15" x14ac:dyDescent="0.4">
      <c r="B85" s="109" t="s">
        <v>313</v>
      </c>
    </row>
    <row r="86" spans="2:8" x14ac:dyDescent="0.35">
      <c r="B86" s="149" t="s">
        <v>311</v>
      </c>
      <c r="C86" s="266">
        <f>Market_Price</f>
        <v>49.05</v>
      </c>
      <c r="D86" t="str">
        <f>Market_currency</f>
        <v>HKD</v>
      </c>
    </row>
    <row r="87" spans="2:8" ht="13.15" x14ac:dyDescent="0.4">
      <c r="B87" s="100" t="s">
        <v>309</v>
      </c>
      <c r="C87" s="265">
        <f ca="1">IRR(OFFSET($I$3, 0, 0, $C$76 + 1, 1))</f>
        <v>0.1151268191287802</v>
      </c>
    </row>
    <row r="88" spans="2:8" x14ac:dyDescent="0.35">
      <c r="B88" s="100"/>
    </row>
    <row r="89" spans="2:8" ht="14.65" x14ac:dyDescent="0.5">
      <c r="E89" s="320" t="s">
        <v>337</v>
      </c>
      <c r="F89" s="317"/>
      <c r="G89" s="2"/>
      <c r="H89" s="316"/>
    </row>
    <row r="90" spans="2:8" ht="13.9" x14ac:dyDescent="0.45">
      <c r="E90" s="313" t="s">
        <v>338</v>
      </c>
      <c r="F90" s="318" t="s">
        <v>339</v>
      </c>
      <c r="G90" s="2"/>
      <c r="H90" s="316"/>
    </row>
    <row r="91" spans="2:8" ht="13.9" x14ac:dyDescent="0.45">
      <c r="E91" s="314" t="s">
        <v>338</v>
      </c>
      <c r="F91" s="318" t="s">
        <v>340</v>
      </c>
      <c r="G91" s="2"/>
      <c r="H91" s="316"/>
    </row>
    <row r="92" spans="2:8" ht="13.9" x14ac:dyDescent="0.45">
      <c r="E92" s="315" t="s">
        <v>338</v>
      </c>
      <c r="F92" s="319" t="s">
        <v>341</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2025-04-17T07:23:43Z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