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EF34BA2-4711-44D8-9AC2-F1E9A32FCF86}" xr6:coauthVersionLast="47" xr6:coauthVersionMax="47" xr10:uidLastSave="{00000000-0000-0000-0000-000000000000}"/>
  <bookViews>
    <workbookView xWindow="1837" yWindow="1837" windowWidth="12691" windowHeight="7643"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Q120" i="2"/>
  <c r="Q117" i="2"/>
  <c r="Q118" i="2"/>
  <c r="J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<sst xmlns="http://schemas.openxmlformats.org/spreadsheetml/2006/main" count="685" uniqueCount="466">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</sst>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253109133</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52.85</v>
      </c>
      <c r="D12" s="50"/>
      <c r="E12" s="48"/>
    </row>
    <row r="13" spans="1:10">
      <c r="B13" s="1" t="s">
        <v>415</v>
      </c>
      <c r="C13" s="48" t="s">
        <v>396</v>
      </c>
      <c r="D13" s="48"/>
      <c r="E13" s="5"/>
    </row>
    <row r="14" spans="1:10">
      <c r="B14" s="4" t="s">
        <v>419</v>
      </c>
      <c r="C14" s="35">
        <f>Thesis!C12*Common_Shares/1000000</f>
        <v>13376.817679050002</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7.8445999999999998</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462</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461</v>
      </c>
      <c r="D25" s="32" t="str">
        <f>IF(D11="","",Market_currency&amp;"/"&amp;D13&amp;":")</f>
        <v/>
      </c>
      <c r="E25" s="299" t="str">
        <f>IF(D11="","",1/Exchange_Rate*D16)</f>
        <v/>
      </c>
    </row>
    <row r="26" spans="2:6">
      <c r="B26" s="1" t="str">
        <f>"Expected Equity Value ("&amp;C13&amp;") :"</f>
        <v>Expected Equity Value (HKD) :</v>
      </c>
      <c r="C26" s="304">
        <f>C132</f>
        <v>70.197007488526836</v>
      </c>
      <c r="D26" s="1" t="s">
        <v>399</v>
      </c>
      <c r="E26" s="301">
        <f ca="1">Scenarios!C87</f>
        <v>0.18769813152508541</v>
      </c>
    </row>
    <row r="27" spans="2:6">
      <c r="D27" s="5"/>
      <c r="E27" s="5"/>
    </row>
    <row r="28" spans="2:6">
      <c r="B28" s="45" t="s">
        <v>432</v>
      </c>
      <c r="C28" s="309" t="str">
        <f>C145&amp;" ("&amp;Market_currency&amp;")"</f>
        <v>0303.HK (HKD)</v>
      </c>
      <c r="D28" s="309" t="str">
        <f>IF(D11="","",D145&amp;" ("&amp;D13&amp;")")</f>
        <v/>
      </c>
      <c r="E28" s="305" t="s">
        <v>428</v>
      </c>
      <c r="F28" s="303">
        <v>3</v>
      </c>
    </row>
    <row r="29" spans="2:6">
      <c r="B29" s="1" t="s">
        <v>424</v>
      </c>
      <c r="C29" s="310">
        <f>C149</f>
        <v>35.906007666792178</v>
      </c>
      <c r="D29" s="310" t="str">
        <f>D149</f>
        <v/>
      </c>
      <c r="E29" s="306" t="s">
        <v>423</v>
      </c>
      <c r="F29" s="302">
        <v>0.3674</v>
      </c>
    </row>
    <row r="30" spans="2:6">
      <c r="B30" s="1" t="s">
        <v>425</v>
      </c>
      <c r="C30" s="311">
        <f>C157</f>
        <v>49.361163553360683</v>
      </c>
      <c r="D30" s="311" t="str">
        <f>D157</f>
        <v/>
      </c>
      <c r="E30" s="307" t="s">
        <v>436</v>
      </c>
      <c r="F30" s="312">
        <v>0.21740000000000001</v>
      </c>
    </row>
    <row r="31" spans="2:6">
      <c r="B31" s="1" t="s">
        <v>426</v>
      </c>
      <c r="C31" s="311">
        <f>C165</f>
        <v>69.765877868184148</v>
      </c>
      <c r="D31" s="311" t="str">
        <f>D165</f>
        <v/>
      </c>
      <c r="E31" s="307" t="s">
        <v>435</v>
      </c>
      <c r="F31" s="312">
        <v>7.4999999999999997E-2</v>
      </c>
    </row>
    <row r="32" spans="2:6">
      <c r="B32" s="1" t="s">
        <v>427</v>
      </c>
      <c r="C32" s="311">
        <f>C173</f>
        <v>62.616273889069447</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210.2763260031652</v>
      </c>
      <c r="D41" s="1" t="str">
        <f>Reporting_currency</f>
        <v>USD</v>
      </c>
    </row>
    <row r="42" spans="1:6">
      <c r="B42" s="47"/>
      <c r="C42" s="76"/>
    </row>
    <row r="43" spans="1:6" ht="24.5" customHeight="1">
      <c r="B43" s="359" t="s">
        <v>233</v>
      </c>
      <c r="C43" s="359"/>
      <c r="D43" s="359"/>
      <c r="E43" s="359"/>
      <c r="F43" s="359"/>
    </row>
    <row r="44" spans="1:6">
      <c r="B44" s="47" t="s">
        <v>234</v>
      </c>
      <c r="C44" s="349">
        <f>Normalized_FCF!C9</f>
        <v>0</v>
      </c>
      <c r="D44" s="1" t="str">
        <f>Reporting_currency</f>
        <v>USD</v>
      </c>
    </row>
    <row r="45" spans="1:6">
      <c r="B45" s="52" t="s">
        <v>235</v>
      </c>
      <c r="C45" s="349">
        <f>Normalized_FCF!C10</f>
        <v>0</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-4.9000000000000004</v>
      </c>
      <c r="D52" s="1" t="str">
        <f>Reporting_currency</f>
        <v>USD</v>
      </c>
      <c r="E52" s="286"/>
      <c r="F52" s="286"/>
    </row>
    <row r="53" spans="2:6">
      <c r="B53" s="47" t="s">
        <v>238</v>
      </c>
      <c r="C53" s="349">
        <f>Normalized_FCF!C12</f>
        <v>-4.9000000000000004</v>
      </c>
      <c r="D53" s="1" t="str">
        <f>Reporting_currency</f>
        <v>USD</v>
      </c>
    </row>
    <row r="55" spans="2:6">
      <c r="B55" s="1" t="s">
        <v>246</v>
      </c>
    </row>
    <row r="56" spans="2:6">
      <c r="B56" s="47" t="s">
        <v>265</v>
      </c>
      <c r="C56" s="349">
        <f>Normalized_FCF!C15</f>
        <v>0</v>
      </c>
      <c r="D56" s="1" t="str">
        <f>Reporting_currency</f>
        <v>USD</v>
      </c>
    </row>
    <row r="58" spans="2:6">
      <c r="B58" s="359" t="s">
        <v>241</v>
      </c>
      <c r="C58" s="359"/>
      <c r="D58" s="359"/>
      <c r="E58" s="359"/>
      <c r="F58" s="359"/>
    </row>
    <row r="59" spans="2:6">
      <c r="B59" s="47" t="s">
        <v>239</v>
      </c>
      <c r="C59" s="349">
        <f>Normalized_FCF!C14</f>
        <v>-33.887093790522258</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199.70000000000005</v>
      </c>
      <c r="D67" s="1" t="str">
        <f>Reporting_currency</f>
        <v>USD</v>
      </c>
    </row>
    <row r="68" spans="1:6">
      <c r="B68" s="47" t="s">
        <v>248</v>
      </c>
      <c r="C68" s="349">
        <f>Normalized_FCF!C19</f>
        <v>171.48923221264295</v>
      </c>
      <c r="D68" s="1" t="str">
        <f>Reporting_currency</f>
        <v>USD</v>
      </c>
    </row>
    <row r="69" spans="1:6">
      <c r="B69" s="227" t="s">
        <v>390</v>
      </c>
      <c r="C69" s="92">
        <f>Normalized_FCF!C125</f>
        <v>0.10056685104725425</v>
      </c>
      <c r="F69" s="314"/>
    </row>
    <row r="70" spans="1:6">
      <c r="B70" s="227" t="s">
        <v>308</v>
      </c>
      <c r="C70" s="92">
        <f>Normalized_FCF!C93</f>
        <v>9.6480416272469241E-2</v>
      </c>
      <c r="E70" s="47" t="s">
        <v>447</v>
      </c>
      <c r="F70" s="315">
        <f>Normalized_FCF!C92</f>
        <v>7.5258424183470165</v>
      </c>
    </row>
    <row r="72" spans="1:6">
      <c r="B72" s="210" t="s">
        <v>450</v>
      </c>
      <c r="C72" s="323" t="s">
        <v>452</v>
      </c>
      <c r="D72" s="323" t="s">
        <v>453</v>
      </c>
    </row>
    <row r="73" spans="1:6">
      <c r="B73" s="47" t="s">
        <v>451</v>
      </c>
      <c r="C73" s="92">
        <f>Normalized_FCF!C120</f>
        <v>0.32755394896836565</v>
      </c>
      <c r="D73" s="92">
        <f>Normalized_FCF!G120</f>
        <v>0.35789473684210543</v>
      </c>
    </row>
    <row r="74" spans="1:6">
      <c r="B74" s="259" t="str">
        <f>Normalized_FCF!B117</f>
        <v>Pre-tax Profit/Sales</v>
      </c>
      <c r="C74" s="322">
        <f>Normalized_FCF!C117</f>
        <v>8.9976704126159421E-2</v>
      </c>
      <c r="D74" s="322">
        <f>Normalized_FCF!G117</f>
        <v>0.10458125553432449</v>
      </c>
    </row>
    <row r="75" spans="1:6">
      <c r="B75" s="259" t="str">
        <f>Normalized_FCF!B118</f>
        <v>Sales/Total Assets</v>
      </c>
      <c r="C75" s="324">
        <f>Normalized_FCF!C118</f>
        <v>1.5891874956485419</v>
      </c>
      <c r="D75" s="324">
        <f>Normalized_FCF!G118</f>
        <v>1.4939079579475041</v>
      </c>
    </row>
    <row r="76" spans="1:6">
      <c r="B76" s="259" t="str">
        <f>Normalized_FCF!B119</f>
        <v>Total Assets/Equity</v>
      </c>
      <c r="C76" s="324">
        <f>Normalized_FCF!C119</f>
        <v>2.2907496012759174</v>
      </c>
      <c r="D76" s="324">
        <f>Normalized_FCF!G119</f>
        <v>2.2907496012759174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70.866107704631844</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155.30000000000001</v>
      </c>
      <c r="D102" s="1" t="str">
        <f>Reporting_currency</f>
        <v>USD</v>
      </c>
    </row>
    <row r="103" spans="2:6">
      <c r="B103" s="47" t="s">
        <v>281</v>
      </c>
      <c r="C103" s="223">
        <f>C102*scaling_factor*Exchange_Rate/Common_Shares</f>
        <v>4.8132059304236963</v>
      </c>
      <c r="D103" s="1" t="str">
        <f>Market_currency</f>
        <v>HKD</v>
      </c>
    </row>
    <row r="104" spans="2:6">
      <c r="B104" s="296" t="s">
        <v>404</v>
      </c>
      <c r="C104" s="325">
        <f>IF(BS!G31/BS!G27&gt;300%,"nm",BS!G31/BS!G27)</f>
        <v>0.24768740031897937</v>
      </c>
    </row>
    <row r="105" spans="2:6">
      <c r="B105" s="296" t="s">
        <v>406</v>
      </c>
      <c r="C105" s="326">
        <f>IF(BS!C50&gt;30,"nm",BS!C50)</f>
        <v>0.73855199466278643</v>
      </c>
    </row>
    <row r="107" spans="2:6">
      <c r="B107" s="1" t="s">
        <v>254</v>
      </c>
    </row>
    <row r="108" spans="2:6">
      <c r="B108" s="47" t="s">
        <v>264</v>
      </c>
      <c r="C108" s="349">
        <f>BS!C66</f>
        <v>150.19999999999999</v>
      </c>
      <c r="D108" s="1" t="str">
        <f>Reporting_currency</f>
        <v>USD</v>
      </c>
    </row>
    <row r="109" spans="2:6">
      <c r="B109" s="47" t="s">
        <v>266</v>
      </c>
      <c r="C109" s="349">
        <f>DCF!C8</f>
        <v>-130.03955100604207</v>
      </c>
      <c r="D109" s="1" t="str">
        <f>Reporting_currency</f>
        <v>USD</v>
      </c>
    </row>
    <row r="110" spans="2:6">
      <c r="B110" s="47" t="s">
        <v>282</v>
      </c>
      <c r="C110" s="223">
        <f>C109*scaling_factor*Exchange_Rate/Common_Shares</f>
        <v>-4.0303099683961134</v>
      </c>
      <c r="D110" s="1" t="str">
        <f>Market_currency</f>
        <v>HKD</v>
      </c>
    </row>
    <row r="112" spans="2:6">
      <c r="B112" s="1" t="s">
        <v>256</v>
      </c>
    </row>
    <row r="113" spans="1:6">
      <c r="B113" s="47" t="s">
        <v>257</v>
      </c>
      <c r="C113" s="349">
        <f>DCF!C9</f>
        <v>0.39</v>
      </c>
      <c r="D113" s="1" t="str">
        <f>Reporting_currency</f>
        <v>USD</v>
      </c>
    </row>
    <row r="114" spans="1:6">
      <c r="B114" s="47" t="s">
        <v>283</v>
      </c>
      <c r="C114" s="223">
        <f>C113*scaling_factor*Exchange_Rate/Common_Shares</f>
        <v>1.2087252497522481E-2</v>
      </c>
      <c r="D114" s="1" t="str">
        <f>Market_currency</f>
        <v>HKD</v>
      </c>
    </row>
    <row r="116" spans="1:6" ht="24.5" customHeight="1">
      <c r="B116" s="358" t="s">
        <v>366</v>
      </c>
      <c r="C116" s="358"/>
      <c r="D116" s="358"/>
      <c r="E116" s="358"/>
      <c r="F116" s="358"/>
    </row>
    <row r="118" spans="1:6">
      <c r="B118" s="47" t="s">
        <v>448</v>
      </c>
      <c r="C118" s="223">
        <f>IF(valuation_method="DCF",DCF!C12,DDM!C7)</f>
        <v>62.034679058309557</v>
      </c>
      <c r="D118" s="1" t="str">
        <f>Market_currency</f>
        <v>HKD</v>
      </c>
    </row>
    <row r="119" spans="1:6">
      <c r="B119" s="296" t="s">
        <v>405</v>
      </c>
      <c r="C119" s="223">
        <f>BS!D47</f>
        <v>-2.6729874144841741</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99.79 HKD</v>
      </c>
      <c r="F126" s="232">
        <f>DCF!F74</f>
        <v>0.05</v>
      </c>
    </row>
    <row r="127" spans="1:6">
      <c r="B127" s="218" t="str">
        <f>DCF!B75</f>
        <v>Optimistic</v>
      </c>
      <c r="C127" s="219">
        <f>DCF!C75</f>
        <v>0.05</v>
      </c>
      <c r="D127" s="220">
        <f>DCF!D75</f>
        <v>10</v>
      </c>
      <c r="E127" s="231" t="str">
        <f>ROUND(IF(valuation_method="DCF",DCF!E75,DDM!E70),2)&amp;" "&amp;Market_currency</f>
        <v>74.08 HKD</v>
      </c>
      <c r="F127" s="221">
        <f>DCF!F75</f>
        <v>0.18</v>
      </c>
    </row>
    <row r="128" spans="1:6">
      <c r="B128" s="218" t="str">
        <f>DCF!B76</f>
        <v>Base</v>
      </c>
      <c r="C128" s="219">
        <f>DCF!C76</f>
        <v>0.03</v>
      </c>
      <c r="D128" s="220">
        <f>DCF!D76</f>
        <v>10</v>
      </c>
      <c r="E128" s="231" t="str">
        <f>ROUND(IF(valuation_method="DCF",DCF!E76,DDM!E71),2)&amp;" "&amp;Market_currency</f>
        <v>68.91 HKD</v>
      </c>
      <c r="F128" s="221">
        <f>DCF!F76</f>
        <v>0.53999999999999992</v>
      </c>
    </row>
    <row r="129" spans="1:6">
      <c r="B129" s="218" t="str">
        <f>DCF!B77</f>
        <v>Pessimistic</v>
      </c>
      <c r="C129" s="219">
        <f>DCF!C77</f>
        <v>0.01</v>
      </c>
      <c r="D129" s="220">
        <f>DCF!D77</f>
        <v>10</v>
      </c>
      <c r="E129" s="231" t="str">
        <f>ROUND(IF(valuation_method="DCF",DCF!E77,DDM!E72),2)&amp;" "&amp;Market_currency</f>
        <v>64.22 HKD</v>
      </c>
      <c r="F129" s="221">
        <f>DCF!F77</f>
        <v>0.18</v>
      </c>
    </row>
    <row r="130" spans="1:6">
      <c r="B130" s="218" t="str">
        <f>DCF!B78</f>
        <v>Devil's advocate</v>
      </c>
      <c r="C130" s="219">
        <f>DCF!C78</f>
        <v>0</v>
      </c>
      <c r="D130" s="220">
        <f>DCF!D78</f>
        <v>15</v>
      </c>
      <c r="E130" s="231" t="str">
        <f>ROUND(IF(valuation_method="DCF",DCF!E78,DDM!E73),2)&amp;" "&amp;Market_currency</f>
        <v>62.03 HKD</v>
      </c>
      <c r="F130" s="221">
        <f>DCF!F78</f>
        <v>0.05</v>
      </c>
    </row>
    <row r="132" spans="1:6">
      <c r="B132" s="211" t="s">
        <v>258</v>
      </c>
      <c r="C132" s="217">
        <f>Scenarios!C60</f>
        <v>70.197007488526836</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5.0989899999999997</v>
      </c>
      <c r="D143" s="212" t="str">
        <f>Market_currency</f>
        <v>HKD</v>
      </c>
    </row>
    <row r="145" spans="2:4">
      <c r="B145" s="210" t="s">
        <v>408</v>
      </c>
      <c r="C145" s="241" t="str">
        <f>C11</f>
        <v>0303.HK</v>
      </c>
      <c r="D145" s="241" t="str">
        <f>IF(D11="","",D11)</f>
        <v/>
      </c>
    </row>
    <row r="146" spans="2:4">
      <c r="B146" s="1" t="s">
        <v>407</v>
      </c>
      <c r="C146" s="297">
        <f>F29</f>
        <v>0.3674</v>
      </c>
    </row>
    <row r="147" spans="2:4">
      <c r="B147" s="212" t="str">
        <f>"PV("&amp;C141&amp;" yrs of Dividends)"</f>
        <v>PV(3 yrs of Dividends)</v>
      </c>
      <c r="C147" s="216">
        <f>Scenarios!C81</f>
        <v>8.45034869684822</v>
      </c>
    </row>
    <row r="148" spans="2:4">
      <c r="B148" s="212" t="str">
        <f>"+ PV(Equity Value realized at year "&amp;C141&amp;")"</f>
        <v>+ PV(Equity Value realized at year 3)</v>
      </c>
      <c r="C148" s="216">
        <f>Scenarios!C82</f>
        <v>27.455658969943961</v>
      </c>
    </row>
    <row r="149" spans="2:4">
      <c r="B149" s="80" t="s">
        <v>260</v>
      </c>
      <c r="C149" s="215">
        <f>Scenarios!C83</f>
        <v>35.906007666792178</v>
      </c>
      <c r="D149" s="300" t="str">
        <f>IF($D$11="","",C149*$E$25)</f>
        <v/>
      </c>
    </row>
    <row r="150" spans="2:4">
      <c r="B150" s="259" t="s">
        <v>415</v>
      </c>
      <c r="C150" s="298" t="str">
        <f>Market_currency</f>
        <v>HKD</v>
      </c>
      <c r="D150" s="298" t="str">
        <f>IF($D$11="","",D$13)</f>
        <v/>
      </c>
    </row>
    <row r="151" spans="2:4">
      <c r="B151" s="214" t="s">
        <v>262</v>
      </c>
      <c r="C151" s="92">
        <f>Scenarios!F83</f>
        <v>0.48849660474970047</v>
      </c>
    </row>
    <row r="153" spans="2:4">
      <c r="B153" s="210" t="s">
        <v>411</v>
      </c>
    </row>
    <row r="154" spans="2:4">
      <c r="B154" s="1" t="s">
        <v>410</v>
      </c>
      <c r="C154" s="297">
        <f>Scenarios!C90</f>
        <v>0.21740000000000001</v>
      </c>
    </row>
    <row r="155" spans="2:4">
      <c r="B155" s="212" t="str">
        <f>"PV("&amp;C141&amp;" yrs of Dividends)"</f>
        <v>PV(3 yrs of Dividends)</v>
      </c>
      <c r="C155" s="216">
        <f>Scenarios!C91</f>
        <v>10.454973296879073</v>
      </c>
    </row>
    <row r="156" spans="2:4">
      <c r="B156" s="212" t="str">
        <f>"+ PV(Equity Value realized at year "&amp;C141&amp;")"</f>
        <v>+ PV(Equity Value realized at year 3)</v>
      </c>
      <c r="C156" s="216">
        <f>Scenarios!C92</f>
        <v>38.906190256481608</v>
      </c>
    </row>
    <row r="157" spans="2:4">
      <c r="B157" s="80" t="s">
        <v>260</v>
      </c>
      <c r="C157" s="215">
        <f>Scenarios!C93</f>
        <v>49.361163553360683</v>
      </c>
      <c r="D157" s="300" t="str">
        <f>IF($D$11="","",C157*$E$25)</f>
        <v/>
      </c>
    </row>
    <row r="158" spans="2:4">
      <c r="B158" s="259" t="s">
        <v>415</v>
      </c>
      <c r="C158" s="298" t="str">
        <f>Market_currency</f>
        <v>HKD</v>
      </c>
      <c r="D158" s="298" t="str">
        <f>IF($D$11="","",D$13)</f>
        <v/>
      </c>
    </row>
    <row r="159" spans="2:4">
      <c r="B159" s="214" t="s">
        <v>262</v>
      </c>
      <c r="C159" s="92">
        <f>Scenarios!F93</f>
        <v>0.29681954659636467</v>
      </c>
    </row>
    <row r="161" spans="2:4">
      <c r="B161" s="210" t="s">
        <v>400</v>
      </c>
    </row>
    <row r="162" spans="2:4">
      <c r="B162" s="1" t="s">
        <v>409</v>
      </c>
      <c r="C162" s="92">
        <f>Scenarios!C96</f>
        <v>7.4999999999999997E-2</v>
      </c>
    </row>
    <row r="163" spans="2:4">
      <c r="B163" s="212" t="str">
        <f>"PV("&amp;C141&amp;" yrs of Dividends)"</f>
        <v>PV(3 yrs of Dividends)</v>
      </c>
      <c r="C163" s="216">
        <f>Scenarios!C97</f>
        <v>13.260054742349721</v>
      </c>
    </row>
    <row r="164" spans="2:4">
      <c r="B164" s="212" t="str">
        <f>"+ PV(Equity Value realized at year "&amp;C141&amp;")"</f>
        <v>+ PV(Equity Value realized at year 3)</v>
      </c>
      <c r="C164" s="216">
        <f>Scenarios!C98</f>
        <v>56.505823125834432</v>
      </c>
    </row>
    <row r="165" spans="2:4">
      <c r="B165" s="80" t="s">
        <v>401</v>
      </c>
      <c r="C165" s="215">
        <f>Scenarios!C99</f>
        <v>69.765877868184148</v>
      </c>
      <c r="D165" s="300" t="str">
        <f>IF($D$11="","",C165*$E$25)</f>
        <v/>
      </c>
    </row>
    <row r="166" spans="2:4">
      <c r="B166" s="259" t="s">
        <v>415</v>
      </c>
      <c r="C166" s="298" t="str">
        <f>Market_currency</f>
        <v>HKD</v>
      </c>
      <c r="D166" s="298" t="str">
        <f>IF($D$11="","",D$13)</f>
        <v/>
      </c>
    </row>
    <row r="167" spans="2:4">
      <c r="B167" s="214" t="s">
        <v>262</v>
      </c>
      <c r="C167" s="92">
        <f>Scenarios!F99</f>
        <v>6.1417093942808254E-3</v>
      </c>
    </row>
    <row r="169" spans="2:4">
      <c r="B169" s="210" t="s">
        <v>431</v>
      </c>
    </row>
    <row r="170" spans="2:4">
      <c r="B170" s="1" t="s">
        <v>422</v>
      </c>
      <c r="C170" s="92">
        <f>F32</f>
        <v>0.1174</v>
      </c>
    </row>
    <row r="171" spans="2:4">
      <c r="B171" s="212" t="str">
        <f>"PV("&amp;C141&amp;" yrs of Dividends)"</f>
        <v>PV(3 yrs of Dividends)</v>
      </c>
      <c r="C171" s="216">
        <f>Scenarios!C103</f>
        <v>12.301839213129913</v>
      </c>
    </row>
    <row r="172" spans="2:4">
      <c r="B172" s="212" t="str">
        <f>"+ PV(Equity Value realized at year "&amp;C141&amp;")"</f>
        <v>+ PV(Equity Value realized at year 3)</v>
      </c>
      <c r="C172" s="216">
        <f>Scenarios!C104</f>
        <v>50.314434675939538</v>
      </c>
    </row>
    <row r="173" spans="2:4">
      <c r="B173" s="80" t="s">
        <v>401</v>
      </c>
      <c r="C173" s="215">
        <f>Scenarios!C105</f>
        <v>62.616273889069447</v>
      </c>
      <c r="D173" s="300" t="str">
        <f>IF($D$11="","",C173*$E$25)</f>
        <v/>
      </c>
    </row>
    <row r="174" spans="2:4">
      <c r="B174" s="259" t="s">
        <v>415</v>
      </c>
      <c r="C174" s="298" t="str">
        <f>Market_currency</f>
        <v>HKD</v>
      </c>
      <c r="D174" s="298" t="str">
        <f>IF($D$11="","",D$13)</f>
        <v/>
      </c>
    </row>
    <row r="175" spans="2:4">
      <c r="B175" s="214" t="s">
        <v>262</v>
      </c>
      <c r="C175" s="92">
        <f>Scenarios!F105</f>
        <v>0.10779972280397976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371</v>
      </c>
      <c r="C22" s="351">
        <v>355.2</v>
      </c>
      <c r="D22" s="351">
        <v>238.8</v>
      </c>
      <c r="E22" s="351">
        <v>139.6</v>
      </c>
      <c r="F22" s="351">
        <v>280.3</v>
      </c>
      <c r="G22" s="351">
        <v>237</v>
      </c>
      <c r="H22" s="351">
        <v>249.3</v>
      </c>
      <c r="I22" s="351">
        <v>175.7</v>
      </c>
      <c r="J22" s="351">
        <v>185.3</v>
      </c>
      <c r="K22" s="351">
        <v>216.7</v>
      </c>
      <c r="L22" s="351"/>
      <c r="M22" s="351"/>
    </row>
    <row r="23" spans="2:13">
      <c r="B23" s="27" t="s">
        <v>373</v>
      </c>
      <c r="C23" s="351">
        <v>-54.4</v>
      </c>
      <c r="D23" s="351">
        <v>-27.5</v>
      </c>
      <c r="E23" s="351">
        <v>-32</v>
      </c>
      <c r="F23" s="351">
        <v>-47.8</v>
      </c>
      <c r="G23" s="351">
        <v>-34.5</v>
      </c>
      <c r="H23" s="351">
        <v>-45.9</v>
      </c>
      <c r="I23" s="351">
        <v>-35.5</v>
      </c>
      <c r="J23" s="351">
        <v>-62.4</v>
      </c>
      <c r="K23" s="351">
        <v>25.7</v>
      </c>
      <c r="L23" s="351"/>
      <c r="M23" s="351"/>
    </row>
    <row r="24" spans="2:13">
      <c r="B24" s="27" t="s">
        <v>372</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5.0989899999999997</v>
      </c>
      <c r="D25" s="39">
        <f>(0.17+0.42)*Exchange_Rate</f>
        <v>4.6283139999999996</v>
      </c>
      <c r="E25" s="39"/>
      <c r="F25" s="39"/>
      <c r="G25" s="39"/>
      <c r="H25" s="39"/>
      <c r="I25" s="39"/>
      <c r="J25" s="39"/>
      <c r="K25" s="39"/>
      <c r="L25" s="39"/>
      <c r="M25" s="39"/>
    </row>
    <row r="27" spans="2:13">
      <c r="B27" s="16" t="s">
        <v>28</v>
      </c>
      <c r="C27" s="97" t="s">
        <v>463</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172</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152</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168</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393</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5.0989899999999997</v>
      </c>
      <c r="D65" s="73">
        <f t="shared" ref="D65:M65" si="33">IF(D$4="","",D25)</f>
        <v>4.6283139999999996</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168</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f>1.2+6.2</f>
        <v>7.4</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97.3+136.4+14.3</f>
        <v>248</v>
      </c>
      <c r="D19" s="261">
        <v>0.1</v>
      </c>
      <c r="F19" s="4" t="s">
        <v>182</v>
      </c>
      <c r="G19" s="19">
        <v>3.9</v>
      </c>
      <c r="H19" s="261">
        <v>0.1</v>
      </c>
    </row>
    <row r="20" spans="2:8" ht="15" customHeight="1">
      <c r="B20" s="4" t="s">
        <v>18</v>
      </c>
      <c r="C20" s="19">
        <v>0</v>
      </c>
      <c r="D20" s="261">
        <v>0.05</v>
      </c>
      <c r="F20" s="4" t="s">
        <v>179</v>
      </c>
      <c r="G20" s="19">
        <v>0</v>
      </c>
      <c r="H20" s="261">
        <v>0.2</v>
      </c>
    </row>
    <row r="21" spans="2:8" ht="15" customHeight="1">
      <c r="B21" s="4" t="s">
        <v>19</v>
      </c>
      <c r="C21" s="19">
        <v>36.1</v>
      </c>
      <c r="D21" s="261">
        <v>0.05</v>
      </c>
      <c r="F21" s="1" t="s">
        <v>180</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200</v>
      </c>
      <c r="C26" s="182" t="s">
        <v>136</v>
      </c>
      <c r="F26" s="184" t="s">
        <v>196</v>
      </c>
      <c r="G26" s="185" t="s">
        <v>136</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244</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203</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1282.1999999999998</v>
      </c>
      <c r="H35" s="200">
        <f>D12+D24</f>
        <v>587.4849999999999</v>
      </c>
    </row>
    <row r="36" spans="2:8" ht="15" customHeight="1">
      <c r="B36" s="4" t="s">
        <v>13</v>
      </c>
      <c r="C36" s="19">
        <v>0</v>
      </c>
      <c r="F36" s="190" t="s">
        <v>197</v>
      </c>
      <c r="G36" s="191">
        <f>C4+C15</f>
        <v>547.9</v>
      </c>
      <c r="H36" s="195"/>
    </row>
    <row r="37" spans="2:8" ht="15" customHeight="1">
      <c r="B37" s="4" t="s">
        <v>14</v>
      </c>
      <c r="C37" s="19">
        <v>135.80000000000001</v>
      </c>
      <c r="F37" s="190" t="s">
        <v>198</v>
      </c>
      <c r="G37" s="191">
        <f>C6</f>
        <v>425.2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248</v>
      </c>
      <c r="H39" s="188">
        <f>C7*D7+C17*D17+C19*D19+C20*D20</f>
        <v>24.8</v>
      </c>
    </row>
    <row r="40" spans="2:8" ht="15" customHeight="1">
      <c r="B40" s="80" t="s">
        <v>204</v>
      </c>
      <c r="C40" s="81">
        <f>SUM(C36:C39)</f>
        <v>135.80000000000001</v>
      </c>
      <c r="F40" s="199" t="s">
        <v>138</v>
      </c>
      <c r="G40" s="193">
        <f>G12+G24</f>
        <v>154.1</v>
      </c>
      <c r="H40" s="200">
        <f>H12+H24</f>
        <v>135.57</v>
      </c>
    </row>
    <row r="41" spans="2:8" ht="15" customHeight="1">
      <c r="B41" s="4" t="s">
        <v>17</v>
      </c>
      <c r="C41" s="21">
        <f>C42-C40</f>
        <v>3.6999999999999886</v>
      </c>
      <c r="F41" s="190" t="s">
        <v>191</v>
      </c>
      <c r="G41" s="191">
        <f>C70</f>
        <v>150.19999999999999</v>
      </c>
      <c r="H41" s="200">
        <f>H40-H42</f>
        <v>135.18</v>
      </c>
    </row>
    <row r="42" spans="2:8" ht="15" customHeight="1">
      <c r="B42" s="83" t="s">
        <v>22</v>
      </c>
      <c r="C42" s="84">
        <v>139.5</v>
      </c>
      <c r="F42" s="201" t="s">
        <v>192</v>
      </c>
      <c r="G42" s="202">
        <f>C82</f>
        <v>3.9</v>
      </c>
      <c r="H42" s="203">
        <f>D82</f>
        <v>0.39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626.99999999999977</v>
      </c>
      <c r="D46" s="76">
        <f>H29</f>
        <v>-86.245000000000118</v>
      </c>
      <c r="F46" s="253"/>
    </row>
    <row r="47" spans="2:8" ht="15" customHeight="1">
      <c r="B47" s="1" t="str">
        <f>"Equity per share ("&amp;Market_currency&amp;")"</f>
        <v>Equity per share (HKD)</v>
      </c>
      <c r="C47" s="147">
        <f>C46*H1/Common_Shares*Exchange_Rate</f>
        <v>19.432582861401521</v>
      </c>
      <c r="D47" s="147">
        <f>D46*H1/Common_Shares*Exchange_Rate</f>
        <v>-2.6729874144841741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176</v>
      </c>
      <c r="C51" s="181"/>
      <c r="D51" s="92">
        <f>G29/G32</f>
        <v>0.43653832764742734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0.16399651068722915</v>
      </c>
      <c r="D54" s="92">
        <f>Normalized_FCF!G8/G35</f>
        <v>0.15356418655435974</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150.19999999999999</v>
      </c>
      <c r="D66" s="76">
        <f>C66-D75</f>
        <v>-130.03955100604207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150.19999999999999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-269.9500781729725</v>
      </c>
      <c r="D73" s="349">
        <f>(Normalized_FCF!C25+Normalized_FCF!C35-Normalized_FCF!C91)/12</f>
        <v>-280.23955100604206</v>
      </c>
      <c r="F73" s="1" t="s">
        <v>351</v>
      </c>
    </row>
    <row r="74" spans="2:6" ht="15" customHeight="1">
      <c r="B74" s="257" t="s">
        <v>321</v>
      </c>
      <c r="C74" s="258">
        <f>-$C$66/C73</f>
        <v>0.55639917208602629</v>
      </c>
      <c r="D74" s="258">
        <f>-$C$66/D73</f>
        <v>0.5359700280020846</v>
      </c>
      <c r="F74" s="253" t="s">
        <v>319</v>
      </c>
    </row>
    <row r="75" spans="2:6" ht="15" customHeight="1">
      <c r="B75" s="80" t="s">
        <v>320</v>
      </c>
      <c r="C75" s="320"/>
      <c r="D75" s="321">
        <f>MAX(-D73*D76,G5)</f>
        <v>280.23955100604206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3.9</v>
      </c>
      <c r="D80" s="76">
        <f>G19*H19</f>
        <v>0.39</v>
      </c>
      <c r="F80" s="253"/>
    </row>
    <row r="81" spans="2:8" ht="15" customHeight="1">
      <c r="B81" s="105" t="s">
        <v>180</v>
      </c>
      <c r="C81" s="20">
        <f>G9+G21</f>
        <v>0</v>
      </c>
      <c r="D81" s="76">
        <f>G9*H9+G21*H21</f>
        <v>0</v>
      </c>
      <c r="F81" s="253"/>
    </row>
    <row r="82" spans="2:8" ht="15" customHeight="1">
      <c r="B82" s="80" t="s">
        <v>189</v>
      </c>
      <c r="C82" s="81">
        <f>SUM(C79:C81)</f>
        <v>3.9</v>
      </c>
      <c r="D82" s="81">
        <f>SUM(D79:D81)</f>
        <v>0.39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-1218.26638</v>
      </c>
      <c r="D86" s="223">
        <f>C86*scaling_factor/Common_Shares</f>
        <v>-4.8132059304236963</v>
      </c>
      <c r="E86" s="240" t="str">
        <f>Market_currency</f>
        <v>HKD</v>
      </c>
    </row>
    <row r="87" spans="2:8" ht="15" customHeight="1">
      <c r="B87" s="238" t="s">
        <v>287</v>
      </c>
      <c r="C87" s="76">
        <f>DCF!C8*Exchange_Rate</f>
        <v>-1020.1082618219976</v>
      </c>
      <c r="D87" s="223">
        <f>C87*scaling_factor/Common_Shares</f>
        <v>-4.0303099683961134</v>
      </c>
      <c r="E87" s="240" t="str">
        <f>Market_currency</f>
        <v>HKD</v>
      </c>
    </row>
    <row r="88" spans="2:8" ht="15" customHeight="1">
      <c r="B88" s="239" t="s">
        <v>189</v>
      </c>
      <c r="C88" s="76">
        <f>DCF!C9*Exchange_Rate</f>
        <v>3.0593940000000002</v>
      </c>
      <c r="D88" s="223">
        <f>C88*scaling_factor/Common_Shares</f>
        <v>1.2087252497522481E-2</v>
      </c>
      <c r="E88" s="240" t="str">
        <f>Market_currency</f>
        <v>HKD</v>
      </c>
    </row>
    <row r="89" spans="2:8" ht="15" customHeight="1">
      <c r="B89" s="80" t="s">
        <v>291</v>
      </c>
      <c r="C89" s="180">
        <f>SUM(C86:C88)</f>
        <v>-2235.3152478219977</v>
      </c>
      <c r="D89" s="242">
        <f>SUM(D86:D88)</f>
        <v>-8.8314286463222871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152</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164</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0.70821811843131843</v>
      </c>
      <c r="D28" s="26"/>
      <c r="E28" s="266" t="s">
        <v>333</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333</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-78.45</v>
      </c>
      <c r="E33" s="266" t="s">
        <v>333</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333</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0.16500000000000001</v>
      </c>
      <c r="D43" s="27"/>
      <c r="E43" s="265" t="s">
        <v>334</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336</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195</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152</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5.0989899999999997</v>
      </c>
      <c r="E90" s="268"/>
      <c r="G90" s="112">
        <f>Data!C65</f>
        <v>5.0989899999999997</v>
      </c>
      <c r="H90" s="112">
        <f>Data!D65</f>
        <v>4.6283139999999996</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1290.60093807567</v>
      </c>
      <c r="E91" s="268"/>
      <c r="G91" s="74">
        <f t="shared" ref="G91:Q91" si="37">IF(G$4="","",G90*Common_Shares/scaling_factor)</f>
        <v>1290.60093807567</v>
      </c>
      <c r="H91" s="74">
        <f t="shared" si="37"/>
        <v>1171.4685437917619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7.5258424183470165</v>
      </c>
      <c r="E92" s="268"/>
      <c r="G92" s="170">
        <f t="shared" ref="G92:Q92" si="38">IF(G$4="","",G90/(G19*scaling_factor/Common_Shares))</f>
        <v>6.4626987384860763</v>
      </c>
      <c r="H92" s="170">
        <f t="shared" si="38"/>
        <v>6.511776230082063</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9.6480416272469241E-2</v>
      </c>
      <c r="E93" s="268"/>
      <c r="G93" s="23">
        <f t="shared" ref="G93:Q93" si="39">IF(G$4="","",G90/Market_Price)</f>
        <v>9.6480416272469241E-2</v>
      </c>
      <c r="H93" s="23">
        <f t="shared" si="39"/>
        <v>8.7574531693472082E-2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164</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1436.2999999999997</v>
      </c>
      <c r="D101" s="26"/>
      <c r="E101" s="269"/>
      <c r="F101" s="26"/>
      <c r="G101" s="333">
        <f t="shared" ref="G101:Q101" si="42">IF(G$4="","",G105+G104)</f>
        <v>1436.2999999999997</v>
      </c>
      <c r="H101" s="333">
        <f t="shared" si="42"/>
        <v>1318.4</v>
      </c>
      <c r="I101" s="333">
        <f t="shared" si="42"/>
        <v>1126.9000000000001</v>
      </c>
      <c r="J101" s="333">
        <f t="shared" si="42"/>
        <v>1445.6</v>
      </c>
      <c r="K101" s="333">
        <f t="shared" si="42"/>
        <v>1195.4000000000001</v>
      </c>
      <c r="L101" s="333">
        <f t="shared" si="42"/>
        <v>1086.9000000000001</v>
      </c>
      <c r="M101" s="333">
        <f t="shared" si="42"/>
        <v>1102.7</v>
      </c>
      <c r="N101" s="333">
        <f t="shared" si="42"/>
        <v>1060</v>
      </c>
      <c r="O101" s="333">
        <f t="shared" si="42"/>
        <v>910.5</v>
      </c>
      <c r="P101" s="333" t="str">
        <f t="shared" si="42"/>
        <v/>
      </c>
      <c r="Q101" s="333" t="str">
        <f t="shared" si="42"/>
        <v/>
      </c>
    </row>
    <row r="102" spans="1:17" ht="15.75" customHeight="1">
      <c r="A102" s="10"/>
      <c r="B102" s="93" t="s">
        <v>210</v>
      </c>
      <c r="C102" s="345">
        <f>BS!C4</f>
        <v>547.9</v>
      </c>
      <c r="D102" s="89"/>
      <c r="E102" s="270"/>
      <c r="F102" s="89"/>
      <c r="G102" s="346">
        <f>IF(G$4="","",Data!D77)</f>
        <v>224.6</v>
      </c>
      <c r="H102" s="346">
        <f>IF(H$4="","",Data!E77)</f>
        <v>277.2</v>
      </c>
      <c r="I102" s="346">
        <f>IF(I$4="","",Data!F77)</f>
        <v>325.39999999999998</v>
      </c>
      <c r="J102" s="346">
        <f>IF(J$4="","",Data!G77)</f>
        <v>270.7</v>
      </c>
      <c r="K102" s="346">
        <f>IF(K$4="","",Data!H77)</f>
        <v>0</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425.2</v>
      </c>
      <c r="D103" s="89"/>
      <c r="E103" s="270"/>
      <c r="F103" s="89"/>
      <c r="G103" s="346">
        <f>IF(G$4="","",Data!D78)</f>
        <v>348</v>
      </c>
      <c r="H103" s="346">
        <f>IF(H$4="","",Data!E78)</f>
        <v>475.5</v>
      </c>
      <c r="I103" s="346">
        <f>IF(I$4="","",Data!F78)</f>
        <v>553.29999999999995</v>
      </c>
      <c r="J103" s="346">
        <f>IF(J$4="","",Data!G78)</f>
        <v>414</v>
      </c>
      <c r="K103" s="346">
        <f>IF(K$4="","",Data!H78)</f>
        <v>0</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809.3</v>
      </c>
      <c r="D104" s="26"/>
      <c r="E104" s="269"/>
      <c r="F104" s="26"/>
      <c r="G104" s="333">
        <f>Data!C79</f>
        <v>809.3</v>
      </c>
      <c r="H104" s="333">
        <f>Data!D79</f>
        <v>683.7</v>
      </c>
      <c r="I104" s="333">
        <f>Data!E79</f>
        <v>448.1</v>
      </c>
      <c r="J104" s="333">
        <f>Data!F79</f>
        <v>714.5</v>
      </c>
      <c r="K104" s="333">
        <f>Data!G79</f>
        <v>593.9</v>
      </c>
      <c r="L104" s="333">
        <f>Data!H79</f>
        <v>479.9</v>
      </c>
      <c r="M104" s="333">
        <f>Data!I79</f>
        <v>456.1</v>
      </c>
      <c r="N104" s="333">
        <f>Data!J79</f>
        <v>475.3</v>
      </c>
      <c r="O104" s="333">
        <f>Data!K79</f>
        <v>385.5</v>
      </c>
      <c r="P104" s="333" t="str">
        <f>Data!L79</f>
        <v/>
      </c>
      <c r="Q104" s="333" t="str">
        <f>Data!M79</f>
        <v/>
      </c>
    </row>
    <row r="105" spans="1:17" ht="15.75" customHeight="1">
      <c r="A105" s="10"/>
      <c r="B105" s="26" t="s">
        <v>30</v>
      </c>
      <c r="C105" s="344">
        <f>BS!G27</f>
        <v>626.99999999999977</v>
      </c>
      <c r="D105" s="26"/>
      <c r="E105" s="269"/>
      <c r="F105" s="26"/>
      <c r="G105" s="333">
        <f>Data!C80</f>
        <v>626.99999999999977</v>
      </c>
      <c r="H105" s="333">
        <f>Data!D80</f>
        <v>634.70000000000005</v>
      </c>
      <c r="I105" s="333">
        <f>Data!E80</f>
        <v>678.8</v>
      </c>
      <c r="J105" s="333">
        <f>Data!F80</f>
        <v>731.1</v>
      </c>
      <c r="K105" s="333">
        <f>Data!G80</f>
        <v>601.5</v>
      </c>
      <c r="L105" s="333">
        <f>Data!H80</f>
        <v>607</v>
      </c>
      <c r="M105" s="333">
        <f>Data!I80</f>
        <v>646.6</v>
      </c>
      <c r="N105" s="333">
        <f>Data!J80</f>
        <v>584.70000000000005</v>
      </c>
      <c r="O105" s="333">
        <f>Data!K80</f>
        <v>525</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392</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83</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91</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222</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5.3149580778473879</v>
      </c>
      <c r="D124" s="27"/>
      <c r="E124" s="265"/>
      <c r="F124" s="27"/>
      <c r="G124" s="177">
        <f t="shared" ref="G124:Q124" si="49">IF(G$4="","",G16*$C$3/Common_Shares*Exchange_Rate)</f>
        <v>6.1892931378339497</v>
      </c>
      <c r="H124" s="177">
        <f t="shared" si="49"/>
        <v>5.5756326264212612</v>
      </c>
      <c r="I124" s="177">
        <f t="shared" si="49"/>
        <v>6.2202860929557939</v>
      </c>
      <c r="J124" s="177">
        <f t="shared" si="49"/>
        <v>8.3526014053392554</v>
      </c>
      <c r="K124" s="177">
        <f t="shared" si="49"/>
        <v>7.4445078202689734</v>
      </c>
      <c r="L124" s="177">
        <f t="shared" si="49"/>
        <v>5.1541284367640774</v>
      </c>
      <c r="M124" s="177">
        <f t="shared" si="49"/>
        <v>6.2729741166629474</v>
      </c>
      <c r="N124" s="177">
        <f t="shared" si="49"/>
        <v>5.5446396712994188</v>
      </c>
      <c r="O124" s="177">
        <f t="shared" si="49"/>
        <v>5.5973276950065634</v>
      </c>
      <c r="P124" s="177" t="str">
        <f t="shared" si="49"/>
        <v/>
      </c>
      <c r="Q124" s="177" t="str">
        <f t="shared" si="49"/>
        <v/>
      </c>
    </row>
    <row r="125" spans="1:17" ht="15.75" customHeight="1">
      <c r="A125" s="10"/>
      <c r="B125" s="27" t="s">
        <v>269</v>
      </c>
      <c r="C125" s="77">
        <f>C19*Exchange_Rate*$C$3/(Market_Price*Common_Shares)</f>
        <v>0.10056685104725425</v>
      </c>
      <c r="D125" s="27"/>
      <c r="E125" s="265"/>
      <c r="F125" s="27"/>
      <c r="G125" s="77">
        <f t="shared" ref="G125" si="50">IF(G$4="","",G124/Market_Price)</f>
        <v>0.11711056079156007</v>
      </c>
      <c r="H125" s="77">
        <f t="shared" ref="H125" si="51">IF(H$4="","",H124/Market_Price)</f>
        <v>0.10549919822935215</v>
      </c>
      <c r="I125" s="77">
        <f t="shared" ref="I125" si="52">IF(I$4="","",I124/Market_Price)</f>
        <v>0.11769699324419666</v>
      </c>
      <c r="J125" s="77">
        <f t="shared" ref="J125" si="53">IF(J$4="","",J124/Market_Price)</f>
        <v>0.15804354598560558</v>
      </c>
      <c r="K125" s="77">
        <f t="shared" ref="K125" si="54">IF(K$4="","",K124/Market_Price)</f>
        <v>0.14086107512334858</v>
      </c>
      <c r="L125" s="77">
        <f t="shared" ref="L125" si="55">IF(L$4="","",L124/Market_Price)</f>
        <v>9.7523716873492469E-2</v>
      </c>
      <c r="M125" s="77">
        <f t="shared" ref="M125" si="56">IF(M$4="","",M124/Market_Price)</f>
        <v>0.11869392841367923</v>
      </c>
      <c r="N125" s="77">
        <f t="shared" ref="N125" si="57">IF(N$4="","",N124/Market_Price)</f>
        <v>0.10491276577671559</v>
      </c>
      <c r="O125" s="77">
        <f t="shared" ref="O125" si="58">IF(O$4="","",O124/Market_Price)</f>
        <v>0.10590970094619798</v>
      </c>
      <c r="P125" s="77" t="str">
        <f t="shared" ref="P125" si="59">IF(P$4="","",P124/Market_Price)</f>
        <v/>
      </c>
      <c r="Q125" s="77" t="str">
        <f t="shared" ref="Q125" si="60">IF(Q$4="","",Q124/Market_Price)</f>
        <v/>
      </c>
    </row>
    <row r="126" spans="1:17" ht="15.75" customHeight="1">
      <c r="B126" s="2" t="s">
        <v>394</v>
      </c>
      <c r="C126" s="169"/>
      <c r="G126" s="23">
        <f>IF(G$4="","",(Data!C47*$C$3)/(Market_Price*Common_Shares))</f>
        <v>1.2454382200403262E-2</v>
      </c>
      <c r="H126" s="23">
        <f>IF(H$4="","",(Data!D47*$C$3)/(Market_Price*Common_Shares))</f>
        <v>1.1153624395559223E-2</v>
      </c>
      <c r="I126" s="23">
        <f>IF(I$4="","",(Data!E47*$C$3)/(Market_Price*Common_Shares))</f>
        <v>1.2910394994055482E-2</v>
      </c>
      <c r="J126" s="23">
        <f>IF(J$4="","",(Data!F47*$C$3)/(Market_Price*Common_Shares))</f>
        <v>1.7261205582671746E-2</v>
      </c>
      <c r="K126" s="23">
        <f>IF(K$4="","",(Data!G47*$C$3)/(Market_Price*Common_Shares))</f>
        <v>1.4256006516307936E-2</v>
      </c>
      <c r="L126" s="23">
        <f>IF(L$4="","",(Data!H47*$C$3)/(Market_Price*Common_Shares))</f>
        <v>1.2805736320102514E-2</v>
      </c>
      <c r="M126" s="23">
        <f>IF(M$4="","",(Data!I47*$C$3)/(Market_Price*Common_Shares))</f>
        <v>1.5422203168926727E-2</v>
      </c>
      <c r="N126" s="23">
        <f>IF(N$4="","",(Data!J47*$C$3)/(Market_Price*Common_Shares))</f>
        <v>1.338135902684384E-2</v>
      </c>
      <c r="O126" s="23">
        <f>IF(O$4="","",(Data!K47*$C$3)/(Market_Price*Common_Shares))</f>
        <v>1.35607738964775E-2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171.48923221264295</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2286.5230961685729</v>
      </c>
      <c r="D6" t="str">
        <f>Reporting_currency</f>
        <v>USD</v>
      </c>
      <c r="E6" s="364" t="s">
        <v>249</v>
      </c>
      <c r="F6" s="364"/>
      <c r="H6" s="120"/>
    </row>
    <row r="7" spans="2:8">
      <c r="B7" s="148" t="s">
        <v>224</v>
      </c>
      <c r="C7" s="338">
        <f>BS!G31</f>
        <v>155.30000000000001</v>
      </c>
      <c r="D7" t="str">
        <f>Reporting_currency</f>
        <v>USD</v>
      </c>
      <c r="E7" s="364"/>
      <c r="F7" s="364"/>
      <c r="H7" s="120"/>
    </row>
    <row r="8" spans="2:8">
      <c r="B8" s="148" t="s">
        <v>225</v>
      </c>
      <c r="C8" s="338">
        <f>BS!D66</f>
        <v>-130.03955100604207</v>
      </c>
      <c r="D8" t="str">
        <f>Reporting_currency</f>
        <v>USD</v>
      </c>
      <c r="E8" s="364"/>
      <c r="F8" s="364"/>
      <c r="H8" s="120"/>
    </row>
    <row r="9" spans="2:8">
      <c r="B9" s="205" t="s">
        <v>190</v>
      </c>
      <c r="C9" s="348">
        <f>BS!H42</f>
        <v>0.39</v>
      </c>
      <c r="D9" t="str">
        <f>Reporting_currency</f>
        <v>USD</v>
      </c>
      <c r="E9" s="364"/>
      <c r="F9" s="364"/>
      <c r="H9" s="120"/>
    </row>
    <row r="10" spans="2:8" ht="13.15">
      <c r="B10" s="149" t="s">
        <v>227</v>
      </c>
      <c r="C10" s="347">
        <f>C6-C7+C8+C9</f>
        <v>2001.5735451625308</v>
      </c>
      <c r="D10" t="str">
        <f>Reporting_currency</f>
        <v>USD</v>
      </c>
      <c r="H10" s="120"/>
    </row>
    <row r="11" spans="2:8" ht="13.15" thickBot="1">
      <c r="B11" s="207" t="s">
        <v>166</v>
      </c>
      <c r="C11" s="208">
        <f>Exchange_Rate</f>
        <v>7.8445999999999998</v>
      </c>
      <c r="D11" t="str">
        <f>Thesis!C15</f>
        <v>USD/HKD</v>
      </c>
      <c r="H11" s="120"/>
    </row>
    <row r="12" spans="2:8" ht="13.5" thickTop="1">
      <c r="B12" s="149" t="s">
        <v>102</v>
      </c>
      <c r="C12" s="111">
        <f>(C10*scaling_factor)/Common_Shares*Exchange_Rate</f>
        <v>62.034679058309557</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3.5100095863245001E-2</v>
      </c>
      <c r="H16" s="120"/>
    </row>
    <row r="17" spans="2:17" ht="13.25" customHeight="1">
      <c r="B17" s="118" t="s">
        <v>134</v>
      </c>
      <c r="C17" s="162">
        <f>Scenarios!C64</f>
        <v>10</v>
      </c>
      <c r="H17" s="120"/>
    </row>
    <row r="18" spans="2:17" ht="13.25" customHeight="1">
      <c r="B18" s="153" t="s">
        <v>106</v>
      </c>
      <c r="C18" s="140">
        <f>(F52-C7+C8+C9)*Exchange_Rate/Common_Shares*scaling_factor</f>
        <v>70.181858815217993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129</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62.034679058309557</v>
      </c>
      <c r="C65" s="124">
        <f>C12</f>
        <v>62.034679058309557</v>
      </c>
      <c r="D65" s="124">
        <f>C12</f>
        <v>62.034679058309557</v>
      </c>
      <c r="E65" s="141">
        <f>C12</f>
        <v>62.034679058309557</v>
      </c>
      <c r="F65" s="124">
        <f>C12</f>
        <v>62.034679058309557</v>
      </c>
      <c r="H65" s="120"/>
    </row>
    <row r="66" spans="1:8" ht="13.15">
      <c r="A66" s="143">
        <f t="shared" ref="A66:A71" si="3">A56</f>
        <v>5</v>
      </c>
      <c r="B66" s="124">
        <f t="shared" ref="B66:F71" si="4">(B56-$C$7+$C$8+$C$9)/Common_Shares*$C$3*Exchange_Rate</f>
        <v>62.034679058309564</v>
      </c>
      <c r="C66" s="124">
        <f t="shared" si="4"/>
        <v>63.150272285402622</v>
      </c>
      <c r="D66" s="124">
        <f t="shared" si="4"/>
        <v>65.429850676199734</v>
      </c>
      <c r="E66" s="124">
        <f t="shared" si="4"/>
        <v>67.776322254912728</v>
      </c>
      <c r="F66" s="124">
        <f t="shared" si="4"/>
        <v>71.427871399419772</v>
      </c>
      <c r="H66" s="120"/>
    </row>
    <row r="67" spans="1:8" ht="13.15">
      <c r="A67" s="143">
        <f t="shared" si="3"/>
        <v>10</v>
      </c>
      <c r="B67" s="124">
        <f t="shared" si="4"/>
        <v>62.034679058309571</v>
      </c>
      <c r="C67" s="124">
        <f t="shared" si="4"/>
        <v>64.219882705812552</v>
      </c>
      <c r="D67" s="124">
        <f t="shared" si="4"/>
        <v>68.911996023627637</v>
      </c>
      <c r="E67" s="124">
        <f t="shared" si="4"/>
        <v>74.075880216163114</v>
      </c>
      <c r="F67" s="124">
        <f t="shared" si="4"/>
        <v>82.831451528540882</v>
      </c>
      <c r="H67" s="120"/>
    </row>
    <row r="68" spans="1:8" ht="13.15">
      <c r="A68" s="143">
        <f t="shared" si="3"/>
        <v>15</v>
      </c>
      <c r="B68" s="124">
        <f t="shared" si="4"/>
        <v>62.034679058309585</v>
      </c>
      <c r="C68" s="124">
        <f t="shared" si="4"/>
        <v>65.540467817565158</v>
      </c>
      <c r="D68" s="124">
        <f t="shared" si="4"/>
        <v>73.435471151196012</v>
      </c>
      <c r="E68" s="124">
        <f t="shared" si="4"/>
        <v>82.702922196943746</v>
      </c>
      <c r="F68" s="124">
        <f t="shared" si="4"/>
        <v>99.791167137936469</v>
      </c>
      <c r="H68" s="120"/>
    </row>
    <row r="69" spans="1:8" ht="13.15">
      <c r="A69" s="144">
        <f t="shared" si="3"/>
        <v>20</v>
      </c>
      <c r="B69" s="124">
        <f t="shared" si="4"/>
        <v>62.034679058309571</v>
      </c>
      <c r="C69" s="124">
        <f t="shared" si="4"/>
        <v>66.881679004035973</v>
      </c>
      <c r="D69" s="124">
        <f t="shared" si="4"/>
        <v>78.280441815319264</v>
      </c>
      <c r="E69" s="124">
        <f t="shared" si="4"/>
        <v>92.48068181677138</v>
      </c>
      <c r="F69" s="124">
        <f t="shared" si="4"/>
        <v>120.8327014934102</v>
      </c>
      <c r="H69" s="120"/>
    </row>
    <row r="70" spans="1:8" ht="13.15">
      <c r="A70" s="144">
        <f t="shared" si="3"/>
        <v>25</v>
      </c>
      <c r="B70" s="124">
        <f t="shared" si="4"/>
        <v>62.034679058309571</v>
      </c>
      <c r="C70" s="124">
        <f t="shared" si="4"/>
        <v>68.124374645054701</v>
      </c>
      <c r="D70" s="124">
        <f t="shared" si="4"/>
        <v>83.023241759530123</v>
      </c>
      <c r="E70" s="124">
        <f t="shared" si="4"/>
        <v>102.64169674144239</v>
      </c>
      <c r="F70" s="124">
        <f t="shared" si="4"/>
        <v>144.93407451392443</v>
      </c>
    </row>
    <row r="71" spans="1:8" ht="13.15">
      <c r="A71" s="144">
        <f t="shared" si="3"/>
        <v>30</v>
      </c>
      <c r="B71" s="124">
        <f t="shared" si="4"/>
        <v>62.034679058309571</v>
      </c>
      <c r="C71" s="124">
        <f t="shared" si="4"/>
        <v>69.21580803791953</v>
      </c>
      <c r="D71" s="124">
        <f t="shared" si="4"/>
        <v>87.431538232965949</v>
      </c>
      <c r="E71" s="124">
        <f t="shared" si="4"/>
        <v>112.6978122478679</v>
      </c>
      <c r="F71" s="124">
        <f t="shared" si="4"/>
        <v>171.3885017327903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99.791167137936469</v>
      </c>
      <c r="F74" s="142">
        <f>Scenarios!C58</f>
        <v>0.05</v>
      </c>
    </row>
    <row r="75" spans="1:8">
      <c r="B75" s="127" t="str">
        <f>Scenarios!B36</f>
        <v>Optimistic</v>
      </c>
      <c r="C75" s="142">
        <f>Scenarios!C38</f>
        <v>0.05</v>
      </c>
      <c r="D75" s="145">
        <f>Scenarios!C37</f>
        <v>10</v>
      </c>
      <c r="E75" s="135">
        <f>INDEX(B$65:F$71, MATCH(D75, A$65:A$71, 0), MATCH(C75, B$64:F$64, 0))</f>
        <v>74.075880216163114</v>
      </c>
      <c r="F75" s="142">
        <f>Scenarios!C40*(1-F$74-F$78)</f>
        <v>0.18</v>
      </c>
      <c r="H75" s="120"/>
    </row>
    <row r="76" spans="1:8">
      <c r="B76" s="127" t="str">
        <f>Scenarios!B24</f>
        <v>Base</v>
      </c>
      <c r="C76" s="142">
        <f>Scenarios!C26</f>
        <v>0.03</v>
      </c>
      <c r="D76" s="145">
        <f>Scenarios!C25</f>
        <v>10</v>
      </c>
      <c r="E76" s="135">
        <f>INDEX(B$65:F$71, MATCH(D76, A$65:A$71, 0), MATCH(C76, B$64:F$64, 0))</f>
        <v>68.911996023627637</v>
      </c>
      <c r="F76" s="142">
        <f>Scenarios!C28*(1-F$74-F$78)</f>
        <v>0.53999999999999992</v>
      </c>
      <c r="H76" s="120"/>
    </row>
    <row r="77" spans="1:8">
      <c r="B77" s="127" t="str">
        <f>Scenarios!B30</f>
        <v>Pessimistic</v>
      </c>
      <c r="C77" s="142">
        <f>Scenarios!C32</f>
        <v>0.01</v>
      </c>
      <c r="D77" s="145">
        <f>Scenarios!C31</f>
        <v>10</v>
      </c>
      <c r="E77" s="135">
        <f>INDEX(B$65:F$71, MATCH(D77, A$65:A$71, 0), MATCH(C77, B$64:F$64, 0))</f>
        <v>64.219882705812552</v>
      </c>
      <c r="F77" s="142">
        <f>Scenarios!C34*(1-F$74-F$78)</f>
        <v>0.18</v>
      </c>
      <c r="H77" s="120"/>
    </row>
    <row r="78" spans="1:8">
      <c r="B78" s="127" t="str">
        <f>Scenarios!B48</f>
        <v>Devil's advocate</v>
      </c>
      <c r="C78" s="142">
        <f>Scenarios!C50</f>
        <v>0</v>
      </c>
      <c r="D78" s="145">
        <f>Scenarios!C49</f>
        <v>15</v>
      </c>
      <c r="E78" s="135">
        <f>INDEX(B$65:F$71, MATCH(D78, A$65:A$71, 0), MATCH(C78, B$64:F$64, 0))</f>
        <v>62.034679058309585</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1290.60093807567</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17208.012507675601</v>
      </c>
      <c r="D6" t="str">
        <f>Reporting_currency</f>
        <v>USD</v>
      </c>
      <c r="E6" s="364"/>
      <c r="F6" s="364"/>
      <c r="H6" s="120"/>
    </row>
    <row r="7" spans="2:8" ht="13.15">
      <c r="B7" s="149" t="s">
        <v>443</v>
      </c>
      <c r="C7" s="111">
        <f>(C6*scaling_factor)/Common_Shares*Exchange_Rate</f>
        <v>533.32715938666672</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3.5100095863245001E-2</v>
      </c>
      <c r="H11" s="120"/>
    </row>
    <row r="12" spans="2:8" ht="13.25" customHeight="1">
      <c r="B12" s="118" t="s">
        <v>134</v>
      </c>
      <c r="C12" s="162">
        <f>Scenarios!C64</f>
        <v>10</v>
      </c>
      <c r="H12" s="120"/>
    </row>
    <row r="13" spans="2:8" ht="13.25" customHeight="1">
      <c r="B13" s="153" t="s">
        <v>106</v>
      </c>
      <c r="C13" s="140">
        <f>F47/Common_Shares*scaling_factor</f>
        <v>75.802660478686789</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1335.9011547233199</v>
      </c>
      <c r="D16" s="138">
        <f>IF($C$12&lt;B16,0,DDM!$C$11)</f>
        <v>3.5100095863245001E-2</v>
      </c>
      <c r="E16" s="124">
        <f t="shared" ref="E16:E45" si="0">IF($C$12&lt;B16,0,1/(1+Equity_Cost)^B16)</f>
        <v>0.93023255813953487</v>
      </c>
      <c r="F16" s="125">
        <f t="shared" ref="F16:F46" si="1">C16*E16</f>
        <v>1242.6987485798325</v>
      </c>
      <c r="H16" s="120"/>
    </row>
    <row r="17" spans="2:8">
      <c r="B17" s="122">
        <v>2</v>
      </c>
      <c r="C17" s="123">
        <f t="shared" ref="C17:C45" si="2">IF(ROW()-ROW($C$16)&lt;$C$12, $C$16*(1+D17)^(ROW()-ROW($C$16)), 0)</f>
        <v>1382.7914133179281</v>
      </c>
      <c r="D17" s="138">
        <f>IF($C$12&lt;B17,0,DDM!$C$11)</f>
        <v>3.5100095863245001E-2</v>
      </c>
      <c r="E17" s="124">
        <f t="shared" si="0"/>
        <v>0.86533261222282321</v>
      </c>
      <c r="F17" s="125">
        <f t="shared" si="1"/>
        <v>1196.5745058456923</v>
      </c>
      <c r="H17" s="120"/>
    </row>
    <row r="18" spans="2:8">
      <c r="B18" s="122">
        <v>3</v>
      </c>
      <c r="C18" s="123">
        <f t="shared" si="2"/>
        <v>1431.3275244842594</v>
      </c>
      <c r="D18" s="138">
        <f>IF($C$12&lt;B18,0,DDM!$C$11)</f>
        <v>3.5100095863245001E-2</v>
      </c>
      <c r="E18" s="124">
        <f t="shared" si="0"/>
        <v>0.80496056950960304</v>
      </c>
      <c r="F18" s="125">
        <f t="shared" si="1"/>
        <v>1152.1622192636196</v>
      </c>
      <c r="H18" s="120"/>
    </row>
    <row r="19" spans="2:8">
      <c r="B19" s="122">
        <v>4</v>
      </c>
      <c r="C19" s="123">
        <f t="shared" si="2"/>
        <v>1481.5672578053579</v>
      </c>
      <c r="D19" s="138">
        <f>IF($C$12&lt;B19,0,DDM!$C$11)</f>
        <v>3.5100095863245001E-2</v>
      </c>
      <c r="E19" s="124">
        <f t="shared" si="0"/>
        <v>0.7488005297763749</v>
      </c>
      <c r="F19" s="125">
        <f t="shared" si="1"/>
        <v>1109.3983475439829</v>
      </c>
      <c r="H19" s="120"/>
    </row>
    <row r="20" spans="2:8">
      <c r="B20" s="122">
        <v>5</v>
      </c>
      <c r="C20" s="123">
        <f t="shared" si="2"/>
        <v>1533.570410582171</v>
      </c>
      <c r="D20" s="138">
        <f>IF($C$12&lt;B20,0,DDM!$C$11)</f>
        <v>3.5100095863245001E-2</v>
      </c>
      <c r="E20" s="124">
        <f t="shared" si="0"/>
        <v>0.69655863235011617</v>
      </c>
      <c r="F20" s="125">
        <f t="shared" si="1"/>
        <v>1068.2217078077231</v>
      </c>
      <c r="H20" s="120"/>
    </row>
    <row r="21" spans="2:8">
      <c r="B21" s="122">
        <v>6</v>
      </c>
      <c r="C21" s="123">
        <f t="shared" si="2"/>
        <v>1587.3988790066414</v>
      </c>
      <c r="D21" s="138">
        <f>IF($C$12&lt;B21,0,DDM!$C$11)</f>
        <v>3.5100095863245001E-2</v>
      </c>
      <c r="E21" s="124">
        <f t="shared" si="0"/>
        <v>0.64796151846522443</v>
      </c>
      <c r="F21" s="125">
        <f t="shared" si="1"/>
        <v>1028.5733880511384</v>
      </c>
      <c r="H21" s="120"/>
    </row>
    <row r="22" spans="2:8">
      <c r="B22" s="122">
        <v>7</v>
      </c>
      <c r="C22" s="123">
        <f t="shared" si="2"/>
        <v>1643.1167318329819</v>
      </c>
      <c r="D22" s="138">
        <f>IF($C$12&lt;B22,0,DDM!$C$11)</f>
        <v>3.5100095863245001E-2</v>
      </c>
      <c r="E22" s="124">
        <f t="shared" si="0"/>
        <v>0.60275490089788319</v>
      </c>
      <c r="F22" s="125">
        <f t="shared" si="1"/>
        <v>990.39666285964279</v>
      </c>
      <c r="H22" s="120"/>
    </row>
    <row r="23" spans="2:8">
      <c r="B23" s="122">
        <v>8</v>
      </c>
      <c r="C23" s="123">
        <f t="shared" si="2"/>
        <v>1700.7902866348215</v>
      </c>
      <c r="D23" s="138">
        <f>IF($C$12&lt;B23,0,DDM!$C$11)</f>
        <v>3.5100095863245001E-2</v>
      </c>
      <c r="E23" s="124">
        <f t="shared" si="0"/>
        <v>0.56070223339337966</v>
      </c>
      <c r="F23" s="125">
        <f t="shared" si="1"/>
        <v>953.63691224991078</v>
      </c>
      <c r="H23" s="120"/>
    </row>
    <row r="24" spans="2:8">
      <c r="B24" s="122">
        <v>9</v>
      </c>
      <c r="C24" s="123">
        <f t="shared" si="2"/>
        <v>1760.4881887389797</v>
      </c>
      <c r="D24" s="138">
        <f>IF($C$12&lt;B24,0,DDM!$C$11)</f>
        <v>3.5100095863245001E-2</v>
      </c>
      <c r="E24" s="124">
        <f t="shared" si="0"/>
        <v>0.52158347292407414</v>
      </c>
      <c r="F24" s="125">
        <f t="shared" si="1"/>
        <v>918.24154352428991</v>
      </c>
      <c r="H24" s="120"/>
    </row>
    <row r="25" spans="2:8">
      <c r="B25" s="122">
        <v>10</v>
      </c>
      <c r="C25" s="123">
        <f t="shared" si="2"/>
        <v>1822.2814929298288</v>
      </c>
      <c r="D25" s="138">
        <f>IF($C$12&lt;B25,0,DDM!$C$11)</f>
        <v>3.5100095863245001E-2</v>
      </c>
      <c r="E25" s="124">
        <f t="shared" si="0"/>
        <v>0.48519392830146441</v>
      </c>
      <c r="F25" s="125">
        <f t="shared" si="1"/>
        <v>884.1599160256809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17812.015396310933</v>
      </c>
      <c r="D46" s="139">
        <f>Terminal_Growth</f>
        <v>0</v>
      </c>
      <c r="E46" s="124">
        <f>1/(1+Equity_Cost)^C12</f>
        <v>0.48519392830146441</v>
      </c>
      <c r="F46" s="125">
        <f t="shared" si="1"/>
        <v>8642.2817211022666</v>
      </c>
      <c r="H46" s="120"/>
    </row>
    <row r="47" spans="2:8">
      <c r="C47" s="114"/>
      <c r="E47" s="127" t="s">
        <v>100</v>
      </c>
      <c r="F47" s="137">
        <f>SUM(F16:F46)</f>
        <v>19186.345672853779</v>
      </c>
      <c r="H47" s="120"/>
    </row>
    <row r="48" spans="2:8">
      <c r="C48" s="114"/>
      <c r="H48" s="120"/>
    </row>
    <row r="49" spans="1:8" ht="13.15">
      <c r="B49" s="119" t="s">
        <v>129</v>
      </c>
      <c r="C49" s="136"/>
      <c r="D49" s="136"/>
      <c r="E49" s="117"/>
      <c r="F49" s="117"/>
      <c r="H49" s="120"/>
    </row>
    <row r="50" spans="1:8" ht="13.15">
      <c r="A50" s="133">
        <f>F47</f>
        <v>19186.345672853779</v>
      </c>
      <c r="B50" s="131">
        <f>C73</f>
        <v>0</v>
      </c>
      <c r="C50" s="131">
        <f>C72</f>
        <v>0.01</v>
      </c>
      <c r="D50" s="131">
        <f>C71</f>
        <v>0.03</v>
      </c>
      <c r="E50" s="131">
        <f>C70</f>
        <v>0.05</v>
      </c>
      <c r="F50" s="131">
        <f>C69</f>
        <v>0.08</v>
      </c>
      <c r="H50" s="120"/>
    </row>
    <row r="51" spans="1:8" ht="13.15">
      <c r="A51" s="143">
        <v>5</v>
      </c>
      <c r="B51" s="123">
        <f t="dataTable" ref="B51:F56" dt2D="1" dtr="1" r1="C11" r2="C12"/>
        <v>17208.012507675601</v>
      </c>
      <c r="C51" s="123">
        <v>17478.90564442454</v>
      </c>
      <c r="D51" s="123">
        <v>18032.44265572141</v>
      </c>
      <c r="E51" s="123">
        <v>18602.222958086724</v>
      </c>
      <c r="F51" s="123">
        <v>19488.907797798369</v>
      </c>
      <c r="H51" s="120"/>
    </row>
    <row r="52" spans="1:8" ht="13.15">
      <c r="A52" s="143">
        <v>10</v>
      </c>
      <c r="B52" s="123">
        <v>17208.012507675609</v>
      </c>
      <c r="C52" s="123">
        <v>17738.633038646185</v>
      </c>
      <c r="D52" s="123">
        <v>18877.992138159927</v>
      </c>
      <c r="E52" s="123">
        <v>20131.908666829819</v>
      </c>
      <c r="F52" s="123">
        <v>22257.974081388973</v>
      </c>
      <c r="H52" s="120"/>
    </row>
    <row r="53" spans="1:8" ht="13.15">
      <c r="A53" s="143">
        <v>15</v>
      </c>
      <c r="B53" s="123">
        <v>17208.012507675605</v>
      </c>
      <c r="C53" s="123">
        <v>18059.303184877503</v>
      </c>
      <c r="D53" s="123">
        <v>19976.401788338419</v>
      </c>
      <c r="E53" s="123">
        <v>22226.764037302106</v>
      </c>
      <c r="F53" s="123">
        <v>26376.20503530978</v>
      </c>
      <c r="H53" s="120"/>
    </row>
    <row r="54" spans="1:8" ht="13.15">
      <c r="A54" s="144">
        <v>20</v>
      </c>
      <c r="B54" s="123">
        <v>17208.012507675605</v>
      </c>
      <c r="C54" s="123">
        <v>18384.981843121572</v>
      </c>
      <c r="D54" s="123">
        <v>21152.878364913617</v>
      </c>
      <c r="E54" s="123">
        <v>24601.041605026388</v>
      </c>
      <c r="F54" s="123">
        <v>31485.600740783411</v>
      </c>
      <c r="H54" s="120"/>
    </row>
    <row r="55" spans="1:8" ht="13.15">
      <c r="A55" s="144">
        <v>25</v>
      </c>
      <c r="B55" s="123">
        <v>17208.012507675605</v>
      </c>
      <c r="C55" s="123">
        <v>18686.738533682506</v>
      </c>
      <c r="D55" s="123">
        <v>22304.545408651211</v>
      </c>
      <c r="E55" s="123">
        <v>27068.382871223632</v>
      </c>
      <c r="F55" s="123">
        <v>37337.999607076119</v>
      </c>
      <c r="H55" s="120"/>
    </row>
    <row r="56" spans="1:8" ht="13.15">
      <c r="A56" s="144">
        <v>30</v>
      </c>
      <c r="B56" s="123">
        <v>17208.012507675605</v>
      </c>
      <c r="C56" s="123">
        <v>18951.765075763713</v>
      </c>
      <c r="D56" s="123">
        <v>23374.986883560494</v>
      </c>
      <c r="E56" s="123">
        <v>29510.252010339489</v>
      </c>
      <c r="F56" s="123">
        <v>43761.777195694594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533.32715938666672</v>
      </c>
      <c r="C60" s="124">
        <f>C7</f>
        <v>533.32715938666672</v>
      </c>
      <c r="D60" s="124">
        <f>C7</f>
        <v>533.32715938666672</v>
      </c>
      <c r="E60" s="141">
        <f>C7</f>
        <v>533.32715938666672</v>
      </c>
      <c r="F60" s="124">
        <f>C7</f>
        <v>533.32715938666672</v>
      </c>
      <c r="H60" s="120"/>
    </row>
    <row r="61" spans="1:8" ht="13.15">
      <c r="A61" s="143">
        <f t="shared" ref="A61:A66" si="3">A51</f>
        <v>5</v>
      </c>
      <c r="B61" s="124">
        <f t="shared" ref="B61:F66" si="4">B51/Common_Shares*$C$3*Exchange_Rate</f>
        <v>533.32715938666672</v>
      </c>
      <c r="C61" s="124">
        <f t="shared" si="4"/>
        <v>541.72293821674441</v>
      </c>
      <c r="D61" s="124">
        <f t="shared" si="4"/>
        <v>558.8786859661526</v>
      </c>
      <c r="E61" s="124">
        <f t="shared" si="4"/>
        <v>576.5378613066764</v>
      </c>
      <c r="F61" s="124">
        <f t="shared" si="4"/>
        <v>604.01884475108636</v>
      </c>
      <c r="H61" s="120"/>
    </row>
    <row r="62" spans="1:8" ht="13.15">
      <c r="A62" s="143">
        <f t="shared" si="3"/>
        <v>10</v>
      </c>
      <c r="B62" s="124">
        <f t="shared" si="4"/>
        <v>533.32715938666695</v>
      </c>
      <c r="C62" s="124">
        <f t="shared" si="4"/>
        <v>549.77265768977145</v>
      </c>
      <c r="D62" s="124">
        <f t="shared" si="4"/>
        <v>585.08476312867526</v>
      </c>
      <c r="E62" s="124">
        <f t="shared" si="4"/>
        <v>623.94734182829018</v>
      </c>
      <c r="F62" s="124">
        <f t="shared" si="4"/>
        <v>689.84039180784487</v>
      </c>
      <c r="H62" s="120"/>
    </row>
    <row r="63" spans="1:8" ht="13.15">
      <c r="A63" s="143">
        <f t="shared" si="3"/>
        <v>15</v>
      </c>
      <c r="B63" s="124">
        <f t="shared" si="4"/>
        <v>533.32715938666684</v>
      </c>
      <c r="C63" s="124">
        <f t="shared" si="4"/>
        <v>559.71117314083665</v>
      </c>
      <c r="D63" s="124">
        <f t="shared" si="4"/>
        <v>619.12772412206698</v>
      </c>
      <c r="E63" s="124">
        <f t="shared" si="4"/>
        <v>688.87310031210961</v>
      </c>
      <c r="F63" s="124">
        <f t="shared" si="4"/>
        <v>817.47653894413634</v>
      </c>
      <c r="H63" s="120"/>
    </row>
    <row r="64" spans="1:8" ht="13.15">
      <c r="A64" s="144">
        <f t="shared" si="3"/>
        <v>20</v>
      </c>
      <c r="B64" s="124">
        <f t="shared" si="4"/>
        <v>533.32715938666684</v>
      </c>
      <c r="C64" s="124">
        <f t="shared" si="4"/>
        <v>569.80491717994028</v>
      </c>
      <c r="D64" s="124">
        <f t="shared" si="4"/>
        <v>655.59020986177279</v>
      </c>
      <c r="E64" s="124">
        <f t="shared" si="4"/>
        <v>762.45897841540943</v>
      </c>
      <c r="F64" s="124">
        <f t="shared" si="4"/>
        <v>975.83181074366667</v>
      </c>
      <c r="H64" s="120"/>
    </row>
    <row r="65" spans="1:8" ht="13.15">
      <c r="A65" s="144">
        <f t="shared" si="3"/>
        <v>25</v>
      </c>
      <c r="B65" s="124">
        <f t="shared" si="4"/>
        <v>533.32715938666684</v>
      </c>
      <c r="C65" s="124">
        <f t="shared" si="4"/>
        <v>579.15724874821399</v>
      </c>
      <c r="D65" s="124">
        <f t="shared" si="4"/>
        <v>691.28377486364866</v>
      </c>
      <c r="E65" s="124">
        <f t="shared" si="4"/>
        <v>838.92917554895541</v>
      </c>
      <c r="F65" s="124">
        <f t="shared" si="4"/>
        <v>1157.2149461618571</v>
      </c>
    </row>
    <row r="66" spans="1:8" ht="13.15">
      <c r="A66" s="144">
        <f t="shared" si="3"/>
        <v>30</v>
      </c>
      <c r="B66" s="124">
        <f t="shared" si="4"/>
        <v>533.32715938666684</v>
      </c>
      <c r="C66" s="124">
        <f t="shared" si="4"/>
        <v>587.37120447303664</v>
      </c>
      <c r="D66" s="124">
        <f t="shared" si="4"/>
        <v>724.45991945608159</v>
      </c>
      <c r="E66" s="124">
        <f t="shared" si="4"/>
        <v>914.6099161910098</v>
      </c>
      <c r="F66" s="124">
        <f t="shared" si="4"/>
        <v>1356.3067966786714</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817.47653894413634</v>
      </c>
      <c r="F69" s="142">
        <f>Scenarios!C58</f>
        <v>0.05</v>
      </c>
    </row>
    <row r="70" spans="1:8">
      <c r="B70" s="127" t="str">
        <f>Scenarios!B36</f>
        <v>Optimistic</v>
      </c>
      <c r="C70" s="142">
        <f>Scenarios!C38</f>
        <v>0.05</v>
      </c>
      <c r="D70" s="145">
        <f>Scenarios!C37</f>
        <v>10</v>
      </c>
      <c r="E70" s="135">
        <f>INDEX(B$60:F$66, MATCH(D70, A$60:A$66, 0), MATCH(C70, B$59:F$59, 0))</f>
        <v>623.94734182829018</v>
      </c>
      <c r="F70" s="142">
        <f>Scenarios!C40*(1-F$69-F$73)</f>
        <v>0.18</v>
      </c>
      <c r="H70" s="120"/>
    </row>
    <row r="71" spans="1:8">
      <c r="B71" s="127" t="str">
        <f>Scenarios!B24</f>
        <v>Base</v>
      </c>
      <c r="C71" s="142">
        <f>Scenarios!C26</f>
        <v>0.03</v>
      </c>
      <c r="D71" s="145">
        <f>Scenarios!C25</f>
        <v>10</v>
      </c>
      <c r="E71" s="135">
        <f>INDEX(B$60:F$66, MATCH(D71, A$60:A$66, 0), MATCH(C71, B$59:F$59, 0))</f>
        <v>585.08476312867526</v>
      </c>
      <c r="F71" s="142">
        <f>Scenarios!C28*(1-F$69-F$73)</f>
        <v>0.53999999999999992</v>
      </c>
      <c r="H71" s="120"/>
    </row>
    <row r="72" spans="1:8">
      <c r="B72" s="127" t="str">
        <f>Scenarios!B30</f>
        <v>Pessimistic</v>
      </c>
      <c r="C72" s="142">
        <f>Scenarios!C32</f>
        <v>0.01</v>
      </c>
      <c r="D72" s="145">
        <f>Scenarios!C31</f>
        <v>10</v>
      </c>
      <c r="E72" s="135">
        <f>INDEX(B$60:F$66, MATCH(D72, A$60:A$66, 0), MATCH(C72, B$59:F$59, 0))</f>
        <v>549.77265768977145</v>
      </c>
      <c r="F72" s="142">
        <f>Scenarios!C34*(1-F$69-F$73)</f>
        <v>0.18</v>
      </c>
      <c r="H72" s="120"/>
    </row>
    <row r="73" spans="1:8">
      <c r="B73" s="127" t="str">
        <f>Scenarios!B48</f>
        <v>Devil's advocate</v>
      </c>
      <c r="C73" s="142">
        <f>Scenarios!C50</f>
        <v>0</v>
      </c>
      <c r="D73" s="145">
        <f>Scenarios!C49</f>
        <v>15</v>
      </c>
      <c r="E73" s="135">
        <f>INDEX(B$60:F$66, MATCH(D73, A$60:A$66, 0), MATCH(C73, B$59:F$59, 0))</f>
        <v>533.32715938666684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-52.85</v>
      </c>
    </row>
    <row r="4" spans="2:9">
      <c r="B4" s="152" t="s">
        <v>146</v>
      </c>
      <c r="C4" s="120">
        <v>3</v>
      </c>
      <c r="D4" s="120"/>
      <c r="E4" s="155" t="s">
        <v>150</v>
      </c>
      <c r="F4" s="155"/>
      <c r="H4" s="247">
        <v>1</v>
      </c>
      <c r="I4" s="124">
        <f t="shared" ref="I4:I13" si="0">IF(ROW()-3 &lt; $C$76, $C$77, IF(ROW()-3 = $C$76, $C$77 + $C$60, ""))</f>
        <v>5.0989899999999997</v>
      </c>
    </row>
    <row r="5" spans="2:9">
      <c r="H5" s="247">
        <v>2</v>
      </c>
      <c r="I5" s="124">
        <f t="shared" si="0"/>
        <v>5.0989899999999997</v>
      </c>
    </row>
    <row r="6" spans="2:9" ht="13.15">
      <c r="B6" s="159" t="s">
        <v>95</v>
      </c>
      <c r="C6" s="107">
        <f>DCF!C3</f>
        <v>1000000</v>
      </c>
      <c r="E6" s="100" t="s">
        <v>279</v>
      </c>
      <c r="F6" s="100"/>
      <c r="H6" s="247">
        <v>3</v>
      </c>
      <c r="I6" s="124">
        <f t="shared" si="0"/>
        <v>75.295997488526837</v>
      </c>
    </row>
    <row r="7" spans="2:9" ht="12.75" customHeight="1">
      <c r="B7" s="100" t="s">
        <v>275</v>
      </c>
      <c r="C7" s="338">
        <f>Normalized_FCF!G8</f>
        <v>196.90000000000003</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6"/>
      <c r="H7" s="247">
        <v>4</v>
      </c>
      <c r="I7" s="124" t="str">
        <f t="shared" si="0"/>
        <v/>
      </c>
    </row>
    <row r="8" spans="2:9">
      <c r="B8" s="100" t="s">
        <v>66</v>
      </c>
      <c r="C8" s="338">
        <f>Normalized_FCF!G19</f>
        <v>199.70000000000005</v>
      </c>
      <c r="D8" t="str">
        <f>Reporting_currency</f>
        <v>USD</v>
      </c>
      <c r="E8" s="366"/>
      <c r="F8" s="366"/>
      <c r="H8" s="247">
        <v>5</v>
      </c>
      <c r="I8" s="124" t="str">
        <f t="shared" si="0"/>
        <v/>
      </c>
    </row>
    <row r="9" spans="2:9">
      <c r="B9" s="100" t="s">
        <v>57</v>
      </c>
      <c r="C9" s="338">
        <f>Normalized_FCF!C19</f>
        <v>171.48923221264295</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-3.2910954099016121E-2</v>
      </c>
      <c r="D12" s="158"/>
      <c r="E12" s="366"/>
      <c r="F12" s="366"/>
      <c r="H12" s="247">
        <v>9</v>
      </c>
      <c r="I12" s="124" t="str">
        <f t="shared" si="0"/>
        <v/>
      </c>
    </row>
    <row r="13" spans="2:9">
      <c r="B13" s="148" t="s">
        <v>152</v>
      </c>
      <c r="C13" s="158">
        <f ca="1">(Normalized_FCF!G8/OFFSET(Normalized_FCF!G8, 0, $C$4))^(1/$C$4) - 1</f>
        <v>-9.0823625892916704E-2</v>
      </c>
      <c r="E13" s="366"/>
      <c r="F13" s="366"/>
      <c r="H13" s="247">
        <v>10</v>
      </c>
      <c r="I13" s="124" t="str">
        <f t="shared" si="0"/>
        <v/>
      </c>
    </row>
    <row r="14" spans="2:9">
      <c r="B14" s="100" t="s">
        <v>66</v>
      </c>
      <c r="C14" s="158">
        <f ca="1">(Normalized_FCF!G19/OFFSET(Normalized_FCF!G19, 0, $C$4))^(1/$C$4) - 1</f>
        <v>-9.5087824202677584E-2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52.85</v>
      </c>
      <c r="D21" t="str">
        <f>Market_currency</f>
        <v>HKD</v>
      </c>
      <c r="E21" s="367"/>
      <c r="F21" s="367"/>
    </row>
    <row r="22" spans="2:6">
      <c r="B22" s="100" t="s">
        <v>278</v>
      </c>
      <c r="C22" s="160">
        <f>IF(valuation_method="DCF",DCF!C12,DDM!C7)</f>
        <v>62.034679058309557</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68.911996023627637</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64.219882705812552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74.075880216163114</v>
      </c>
      <c r="D39" t="str">
        <f>Market_currency</f>
        <v>HKD</v>
      </c>
      <c r="E39" s="365"/>
      <c r="F39" s="365"/>
    </row>
    <row r="40" spans="2:6">
      <c r="B40" s="100" t="s">
        <v>147</v>
      </c>
      <c r="C40" s="167">
        <f>1-C28-C34</f>
        <v>0.2</v>
      </c>
      <c r="D40" s="165"/>
      <c r="E40" s="365"/>
      <c r="F40" s="365"/>
    </row>
    <row r="42" spans="2:6" ht="13.15">
      <c r="B42" s="100" t="s">
        <v>120</v>
      </c>
      <c r="C42" s="154">
        <f>C27*C28+C33*C34+C39*C40</f>
        <v>69.00635019857171</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62.034679058309585</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99.791167137936469</v>
      </c>
      <c r="D57" t="str">
        <f>Market_currency</f>
        <v>HKD</v>
      </c>
      <c r="E57" s="365"/>
      <c r="F57" s="365"/>
    </row>
    <row r="58" spans="2:6">
      <c r="B58" s="100" t="s">
        <v>147</v>
      </c>
      <c r="C58" s="165">
        <v>0.05</v>
      </c>
      <c r="D58" s="165"/>
      <c r="E58" s="365"/>
      <c r="F58" s="365"/>
    </row>
    <row r="60" spans="2:6" ht="13.15">
      <c r="B60" s="100" t="s">
        <v>120</v>
      </c>
      <c r="C60" s="154">
        <f>C51*C52+C57*C58+C42*(1-C52-C58)</f>
        <v>70.197007488526836</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3.5100095863245001E-2</v>
      </c>
      <c r="D65" s="151"/>
      <c r="E65" s="251" t="s">
        <v>312</v>
      </c>
    </row>
    <row r="66" spans="2:6">
      <c r="B66" s="100" t="s">
        <v>102</v>
      </c>
      <c r="C66" s="160">
        <f>IF(valuation_method="DCF",DCF!C18,DDM!C13)</f>
        <v>70.181858815217993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-0.12580918991120407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5.0989899999999997</v>
      </c>
      <c r="D77" t="str">
        <f>Market_currency</f>
        <v>HKD</v>
      </c>
    </row>
    <row r="79" spans="2:6" ht="13.15">
      <c r="B79" s="109" t="s">
        <v>301</v>
      </c>
    </row>
    <row r="80" spans="2:6">
      <c r="B80" s="148" t="s">
        <v>299</v>
      </c>
      <c r="C80" s="167">
        <f>Thesis!F29</f>
        <v>0.3674</v>
      </c>
    </row>
    <row r="81" spans="2:8">
      <c r="B81" s="100" t="s">
        <v>121</v>
      </c>
      <c r="C81" s="116">
        <f>PV(C80, C76, -C77, 0)</f>
        <v>8.45034869684822</v>
      </c>
      <c r="D81" s="116"/>
      <c r="E81" s="100"/>
      <c r="F81" s="100"/>
    </row>
    <row r="82" spans="2:8">
      <c r="B82" s="100" t="s">
        <v>122</v>
      </c>
      <c r="C82" s="116">
        <f>C60/(1+C80)^C76</f>
        <v>27.455658969943961</v>
      </c>
      <c r="D82" s="116"/>
    </row>
    <row r="83" spans="2:8" ht="13.15">
      <c r="B83" s="110" t="s">
        <v>101</v>
      </c>
      <c r="C83" s="111">
        <f>C81+C82</f>
        <v>35.906007666792178</v>
      </c>
      <c r="D83" t="str">
        <f>Market_currency</f>
        <v>HKD</v>
      </c>
      <c r="E83" s="146" t="s">
        <v>126</v>
      </c>
      <c r="F83" s="291">
        <f>(1-C83/C60)</f>
        <v>0.48849660474970047</v>
      </c>
    </row>
    <row r="84" spans="2:8">
      <c r="E84" s="120"/>
    </row>
    <row r="85" spans="2:8" ht="13.15">
      <c r="B85" s="109" t="s">
        <v>302</v>
      </c>
    </row>
    <row r="86" spans="2:8">
      <c r="B86" s="148" t="s">
        <v>300</v>
      </c>
      <c r="C86" s="116">
        <f>Market_Price</f>
        <v>52.85</v>
      </c>
      <c r="D86" t="str">
        <f>Market_currency</f>
        <v>HKD</v>
      </c>
    </row>
    <row r="87" spans="2:8" ht="13.15">
      <c r="B87" s="100" t="s">
        <v>298</v>
      </c>
      <c r="C87" s="237">
        <f ca="1">IRR(OFFSET($I$3, 0, 0, $C$76 + 1, 1))</f>
        <v>0.18769813152508541</v>
      </c>
    </row>
    <row r="88" spans="2:8">
      <c r="B88" s="100"/>
    </row>
    <row r="89" spans="2:8" ht="13.15">
      <c r="B89" s="109" t="s">
        <v>412</v>
      </c>
    </row>
    <row r="90" spans="2:8">
      <c r="B90" s="148" t="s">
        <v>413</v>
      </c>
      <c r="C90" s="167">
        <f>Thesis!F30</f>
        <v>0.21740000000000001</v>
      </c>
    </row>
    <row r="91" spans="2:8">
      <c r="B91" s="100" t="s">
        <v>121</v>
      </c>
      <c r="C91" s="116">
        <f>PV(C90, C76, -C77, 0)</f>
        <v>10.454973296879073</v>
      </c>
      <c r="D91" s="116"/>
      <c r="E91" s="100"/>
      <c r="F91" s="100"/>
    </row>
    <row r="92" spans="2:8">
      <c r="B92" s="100" t="s">
        <v>122</v>
      </c>
      <c r="C92" s="116">
        <f>C60/(1+C90)^C76</f>
        <v>38.906190256481608</v>
      </c>
      <c r="D92" s="116"/>
    </row>
    <row r="93" spans="2:8" ht="13.15">
      <c r="B93" s="110" t="s">
        <v>101</v>
      </c>
      <c r="C93" s="111">
        <f>C91+C92</f>
        <v>49.361163553360683</v>
      </c>
      <c r="D93" t="str">
        <f>Market_currency</f>
        <v>HKD</v>
      </c>
      <c r="E93" s="146" t="s">
        <v>126</v>
      </c>
      <c r="F93" s="291">
        <f>(1-C93/C60)</f>
        <v>0.29681954659636467</v>
      </c>
    </row>
    <row r="95" spans="2:8" ht="13.15">
      <c r="B95" s="109" t="s">
        <v>397</v>
      </c>
      <c r="G95" s="2"/>
      <c r="H95" s="281"/>
    </row>
    <row r="96" spans="2:8">
      <c r="B96" s="148" t="s">
        <v>403</v>
      </c>
      <c r="C96" s="134">
        <f>Thesis!F31</f>
        <v>7.4999999999999997E-2</v>
      </c>
      <c r="G96" s="2"/>
      <c r="H96" s="281"/>
    </row>
    <row r="97" spans="2:8">
      <c r="B97" s="100" t="s">
        <v>121</v>
      </c>
      <c r="C97" s="116">
        <f>PV(C96, C76, -C77, 0)</f>
        <v>13.260054742349721</v>
      </c>
      <c r="D97" s="116"/>
      <c r="G97" s="2"/>
      <c r="H97" s="281"/>
    </row>
    <row r="98" spans="2:8">
      <c r="B98" s="100" t="s">
        <v>122</v>
      </c>
      <c r="C98" s="116">
        <f>C60/(1+C96)^C76</f>
        <v>56.505823125834432</v>
      </c>
      <c r="D98" s="116"/>
      <c r="G98" s="2"/>
      <c r="H98" s="281"/>
    </row>
    <row r="99" spans="2:8" ht="13.15">
      <c r="B99" s="110" t="s">
        <v>398</v>
      </c>
      <c r="C99" s="111">
        <f>C97+C98</f>
        <v>69.765877868184148</v>
      </c>
      <c r="D99" t="s">
        <v>396</v>
      </c>
      <c r="E99" s="146" t="s">
        <v>126</v>
      </c>
      <c r="F99" s="291">
        <f>(1-C99/C60)</f>
        <v>6.1417093942808254E-3</v>
      </c>
    </row>
    <row r="100" spans="2:8">
      <c r="B100" s="100"/>
    </row>
    <row r="101" spans="2:8" ht="13.15">
      <c r="B101" s="109" t="s">
        <v>421</v>
      </c>
    </row>
    <row r="102" spans="2:8">
      <c r="B102" s="148" t="s">
        <v>420</v>
      </c>
      <c r="C102" s="134">
        <f>Thesis!F32</f>
        <v>0.1174</v>
      </c>
    </row>
    <row r="103" spans="2:8">
      <c r="B103" s="100" t="s">
        <v>121</v>
      </c>
      <c r="C103" s="116">
        <f>PV(C102, C76, -C77, 0)</f>
        <v>12.301839213129913</v>
      </c>
      <c r="D103" s="116"/>
    </row>
    <row r="104" spans="2:8">
      <c r="B104" s="100" t="s">
        <v>122</v>
      </c>
      <c r="C104" s="116">
        <f>C60/(1+C102)^C76</f>
        <v>50.314434675939538</v>
      </c>
      <c r="D104" s="116"/>
    </row>
    <row r="105" spans="2:8" ht="13.15">
      <c r="B105" s="110" t="s">
        <v>398</v>
      </c>
      <c r="C105" s="111">
        <f>C103+C104</f>
        <v>62.616273889069447</v>
      </c>
      <c r="D105" t="s">
        <v>396</v>
      </c>
      <c r="E105" s="146" t="s">
        <v>126</v>
      </c>
      <c r="F105" s="291">
        <f>(1-C105/C66)</f>
        <v>0.10779972280397976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