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B9AFD2-6044-43FC-BAC5-F1553293B460}"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<sst xmlns="http://schemas.openxmlformats.org/spreadsheetml/2006/main" count="686" uniqueCount="465">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</sst>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1.93</v>
      </c>
      <c r="D12" s="50"/>
      <c r="E12" s="48"/>
    </row>
    <row r="13" spans="1:10">
      <c r="B13" s="1" t="s">
        <v>412</v>
      </c>
      <c r="C13" s="48" t="s">
        <v>393</v>
      </c>
      <c r="D13" s="48"/>
      <c r="E13" s="5"/>
    </row>
    <row r="14" spans="1:10">
      <c r="B14" s="4" t="s">
        <v>416</v>
      </c>
      <c r="C14" s="35">
        <f>Thesis!C12*Common_Shares/1000000</f>
        <v>4410.019019639999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3.0673220771131549E-2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33649.992691562977</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-7302.5468725696046</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4.96769753602949E-3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58" t="s">
        <v>363</v>
      </c>
      <c r="C116" s="358"/>
      <c r="D116" s="358"/>
      <c r="E116" s="358"/>
      <c r="F116" s="358"/>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4.96769753602949E-3</v>
      </c>
      <c r="D126" s="27"/>
      <c r="E126" s="265"/>
      <c r="F126" s="27"/>
      <c r="G126" s="77">
        <f t="shared" ref="G126" si="50">IF(G$4="","",G125/Market_Price)</f>
        <v>-1.524138669287904E-2</v>
      </c>
      <c r="H126" s="77">
        <f t="shared" ref="H126" si="51">IF(H$4="","",H125/Market_Price)</f>
        <v>-4.5390088715400546E-2</v>
      </c>
      <c r="I126" s="77">
        <f t="shared" ref="I126" si="52">IF(I$4="","",I125/Market_Price)</f>
        <v>-1.0162994717346748E-2</v>
      </c>
      <c r="J126" s="77">
        <f t="shared" ref="J126" si="53">IF(J$4="","",J125/Market_Price)</f>
        <v>1.8543457439935407E-2</v>
      </c>
      <c r="K126" s="77">
        <f t="shared" ref="K126" si="54">IF(K$4="","",K125/Market_Price)</f>
        <v>3.3427520231428365E-2</v>
      </c>
      <c r="L126" s="77">
        <f t="shared" ref="L126" si="55">IF(L$4="","",L125/Market_Price)</f>
        <v>9.9570999137288431E-3</v>
      </c>
      <c r="M126" s="77">
        <f t="shared" ref="M126" si="56">IF(M$4="","",M125/Market_Price)</f>
        <v>-4.5797988421484694E-3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-0.18945972710752745</v>
      </c>
      <c r="H127" s="23">
        <f>IF(H$4="","",(Data!D47*$C$3)/(Market_Price*Common_Shares))</f>
        <v>-0.10052065490551727</v>
      </c>
      <c r="I127" s="23">
        <f>IF(I$4="","",(Data!E47*$C$3)/(Market_Price*Common_Shares))</f>
        <v>-4.9557609395036294E-3</v>
      </c>
      <c r="J127" s="23">
        <f>IF(J$4="","",(Data!F47*$C$3)/(Market_Price*Common_Shares))</f>
        <v>-2.9457181345808481</v>
      </c>
      <c r="K127" s="23">
        <f>IF(K$4="","",(Data!G47*$C$3)/(Market_Price*Common_Shares))</f>
        <v>-0.1622401166102922</v>
      </c>
      <c r="L127" s="23">
        <f>IF(L$4="","",(Data!H47*$C$3)/(Market_Price*Common_Shares))</f>
        <v>-0.24534452009876459</v>
      </c>
      <c r="M127" s="23">
        <f>IF(M$4="","",(Data!I47*$C$3)/(Market_Price*Common_Shares))</f>
        <v>-0.31979567292549377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-1.93</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1.93</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1.93</v>
      </c>
      <c r="D86" t="str">
        <f>Market_currency</f>
        <v>HKD</v>
      </c>
    </row>
    <row r="87" spans="2:8" ht="13.15">
      <c r="B87" s="100" t="s">
        <v>297</v>
      </c>
      <c r="C87" s="237">
        <f ca="1">IRR(OFFSET($I$3, 0, 0, $C$76 + 1, 1))</f>
        <v>3.0673220771131549E-2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