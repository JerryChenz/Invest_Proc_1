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F1B419-F0CE-4C66-9216-2078D5FB36D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<sst xmlns="http://schemas.openxmlformats.org/spreadsheetml/2006/main" count="836" uniqueCount="560">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</sst>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2.19</v>
      </c>
      <c r="D12" s="50"/>
      <c r="E12" s="48"/>
    </row>
    <row r="13" spans="1:10">
      <c r="B13" s="1" t="s">
        <v>485</v>
      </c>
      <c r="C13" s="32" t="str">
        <f>Market_currency</f>
        <v>HKD</v>
      </c>
      <c r="D13" s="48"/>
      <c r="E13" s="5"/>
    </row>
    <row r="14" spans="1:10">
      <c r="B14" s="4" t="s">
        <v>486</v>
      </c>
      <c r="C14" s="35">
        <f>投资主题!C12*Common_Shares/1000000</f>
        <v>5004.11484612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-1.1844276894026895E-2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v>
      </c>
    </row>
    <row r="40" spans="1:6">
      <c r="B40" s="367" t="s">
        <v>494</v>
      </c>
      <c r="C40" s="367"/>
      <c r="D40" s="367"/>
      <c r="E40" s="367"/>
      <c r="F40" s="367"/>
    </row>
    <row r="41" spans="1:6">
      <c r="B41" s="47" t="s">
        <v>228</v>
      </c>
      <c r="C41" s="349">
        <f>Normalized_FCF!C8</f>
        <v>33649.992691562977</v>
      </c>
      <c r="D41" s="1" t="str">
        <f>Reporting_currency</f>
        <v>HKD</v>
      </c>
    </row>
    <row r="42" spans="1:6">
      <c r="B42" s="47"/>
      <c r="C42" s="76"/>
    </row>
    <row r="43" spans="1:6" ht="24.6" customHeight="1">
      <c r="B43" s="367" t="s">
        <v>495</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496</v>
      </c>
      <c r="C47" s="367"/>
      <c r="D47" s="367"/>
      <c r="E47" s="367"/>
      <c r="F47" s="367"/>
    </row>
    <row r="48" spans="1:6">
      <c r="B48" s="47" t="s">
        <v>233</v>
      </c>
      <c r="C48" s="349">
        <f>Normalized_FCF!C11</f>
        <v>0</v>
      </c>
      <c r="D48" s="1" t="str">
        <f>Reporting_currency</f>
        <v>HKD</v>
      </c>
    </row>
    <row r="50" spans="2:6">
      <c r="B50" s="367" t="s">
        <v>497</v>
      </c>
      <c r="C50" s="367"/>
      <c r="D50" s="367"/>
      <c r="E50" s="367"/>
      <c r="F50" s="367"/>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67" t="s">
        <v>237</v>
      </c>
      <c r="C58" s="367"/>
      <c r="D58" s="367"/>
      <c r="E58" s="367"/>
      <c r="F58" s="367"/>
    </row>
    <row r="59" spans="2:6">
      <c r="B59" s="47" t="s">
        <v>235</v>
      </c>
      <c r="C59" s="349">
        <f>Normalized_FCF!C14</f>
        <v>-7302.5468725696046</v>
      </c>
      <c r="D59" s="1" t="str">
        <f>Reporting_currency</f>
        <v>HKD</v>
      </c>
    </row>
    <row r="61" spans="2:6">
      <c r="B61" s="367"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4.3779252258159427E-3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2.19</v>
      </c>
      <c r="D12" s="50"/>
      <c r="E12" s="48"/>
    </row>
    <row r="13" spans="1:10">
      <c r="B13" s="1" t="s">
        <v>464</v>
      </c>
      <c r="C13" s="48" t="s">
        <v>377</v>
      </c>
      <c r="D13" s="48"/>
      <c r="E13" s="5"/>
    </row>
    <row r="14" spans="1:10">
      <c r="B14" s="4" t="s">
        <v>465</v>
      </c>
      <c r="C14" s="35">
        <f>Thesis!C12*Common_Shares/1000000</f>
        <v>5004.11484612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-1.1844276894026895E-2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33649.992691562977</v>
      </c>
      <c r="D41" s="1" t="str">
        <f>Reporting_currency</f>
        <v>HKD</v>
      </c>
    </row>
    <row r="42" spans="1:6">
      <c r="B42" s="47"/>
      <c r="C42" s="76"/>
    </row>
    <row r="43" spans="1:6" ht="24.6" customHeight="1">
      <c r="B43" s="367" t="s">
        <v>229</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232</v>
      </c>
      <c r="C47" s="367"/>
      <c r="D47" s="367"/>
      <c r="E47" s="367"/>
      <c r="F47" s="367"/>
    </row>
    <row r="48" spans="1:6">
      <c r="B48" s="47" t="s">
        <v>233</v>
      </c>
      <c r="C48" s="349">
        <f>Normalized_FCF!C11</f>
        <v>0</v>
      </c>
      <c r="D48" s="1" t="str">
        <f>Reporting_currency</f>
        <v>HKD</v>
      </c>
    </row>
    <row r="50" spans="2:6">
      <c r="B50" s="367" t="s">
        <v>236</v>
      </c>
      <c r="C50" s="367"/>
      <c r="D50" s="367"/>
      <c r="E50" s="367"/>
      <c r="F50" s="367"/>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67" t="s">
        <v>237</v>
      </c>
      <c r="C58" s="367"/>
      <c r="D58" s="367"/>
      <c r="E58" s="367"/>
      <c r="F58" s="367"/>
    </row>
    <row r="59" spans="2:6">
      <c r="B59" s="47" t="s">
        <v>235</v>
      </c>
      <c r="C59" s="349">
        <f>Normalized_FCF!C14</f>
        <v>-7302.5468725696046</v>
      </c>
      <c r="D59" s="1" t="str">
        <f>Reporting_currency</f>
        <v>HKD</v>
      </c>
    </row>
    <row r="61" spans="2:6">
      <c r="B61" s="367"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4.3779252258159427E-3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4.3779252258159427E-3</v>
      </c>
      <c r="D126" s="27"/>
      <c r="E126" s="265"/>
      <c r="F126" s="27"/>
      <c r="G126" s="77">
        <f t="shared" ref="G126" si="50">IF(G$4="","",G125/Market_Price)</f>
        <v>-1.3431906994181071E-2</v>
      </c>
      <c r="H126" s="77">
        <f t="shared" ref="H126" si="51">IF(H$4="","",H125/Market_Price)</f>
        <v>-4.0001311059690889E-2</v>
      </c>
      <c r="I126" s="77">
        <f t="shared" ref="I126" si="52">IF(I$4="","",I125/Market_Price)</f>
        <v>-8.956429134465399E-3</v>
      </c>
      <c r="J126" s="77">
        <f t="shared" ref="J126" si="53">IF(J$4="","",J125/Market_Price)</f>
        <v>1.6341951077203348E-2</v>
      </c>
      <c r="K126" s="77">
        <f t="shared" ref="K126" si="54">IF(K$4="","",K125/Market_Price)</f>
        <v>2.9458956185688012E-2</v>
      </c>
      <c r="L126" s="77">
        <f t="shared" ref="L126" si="55">IF(L$4="","",L125/Market_Price)</f>
        <v>8.774978462783866E-3</v>
      </c>
      <c r="M126" s="77">
        <f t="shared" ref="M126" si="56">IF(M$4="","",M125/Market_Price)</f>
        <v>-4.0360784316650893E-3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-0.16696679146919083</v>
      </c>
      <c r="H127" s="23">
        <f>IF(H$4="","",(Data!D47*$C$3)/(Market_Price*Common_Shares))</f>
        <v>-8.8586695875638499E-2</v>
      </c>
      <c r="I127" s="23">
        <f>IF(I$4="","",(Data!E47*$C$3)/(Market_Price*Common_Shares))</f>
        <v>-4.3674057594712346E-3</v>
      </c>
      <c r="J127" s="23">
        <f>IF(J$4="","",(Data!F47*$C$3)/(Market_Price*Common_Shares))</f>
        <v>-2.5959981733977333</v>
      </c>
      <c r="K127" s="23">
        <f>IF(K$4="","",(Data!G47*$C$3)/(Market_Price*Common_Shares))</f>
        <v>-0.1429787329031342</v>
      </c>
      <c r="L127" s="23">
        <f>IF(L$4="","",(Data!H47*$C$3)/(Market_Price*Common_Shares))</f>
        <v>-0.21621686017836331</v>
      </c>
      <c r="M127" s="23">
        <f>IF(M$4="","",(Data!I47*$C$3)/(Market_Price*Common_Shares))</f>
        <v>-0.28182906335443059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5" t="s">
        <v>245</v>
      </c>
      <c r="F6" s="375"/>
      <c r="H6" s="120"/>
    </row>
    <row r="7" spans="2:8">
      <c r="B7" s="148" t="s">
        <v>220</v>
      </c>
      <c r="C7" s="338">
        <f>BS!G31</f>
        <v>115864</v>
      </c>
      <c r="D7" t="str">
        <f>Reporting_currency</f>
        <v>HKD</v>
      </c>
      <c r="E7" s="375"/>
      <c r="F7" s="375"/>
      <c r="H7" s="120"/>
    </row>
    <row r="8" spans="2:8">
      <c r="B8" s="148" t="s">
        <v>221</v>
      </c>
      <c r="C8" s="338">
        <f>BS!D66</f>
        <v>4573651.4963457817</v>
      </c>
      <c r="D8" t="str">
        <f>Reporting_currency</f>
        <v>HKD</v>
      </c>
      <c r="E8" s="375"/>
      <c r="F8" s="375"/>
      <c r="H8" s="120"/>
    </row>
    <row r="9" spans="2:8">
      <c r="B9" s="205" t="s">
        <v>186</v>
      </c>
      <c r="C9" s="348">
        <f>BS!H42</f>
        <v>23866.7</v>
      </c>
      <c r="D9" t="str">
        <f>Reporting_currency</f>
        <v>HKD</v>
      </c>
      <c r="E9" s="375"/>
      <c r="F9" s="375"/>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5"/>
      <c r="F6" s="375"/>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-2.19</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77"/>
      <c r="H7" s="247">
        <v>4</v>
      </c>
      <c r="I7" s="124" t="str">
        <f t="shared" si="0"/>
        <v/>
      </c>
    </row>
    <row r="8" spans="2:9">
      <c r="B8" s="100" t="s">
        <v>64</v>
      </c>
      <c r="C8" s="338">
        <f>Normalized_FCF!G19</f>
        <v>-67214.805201284558</v>
      </c>
      <c r="D8" t="str">
        <f>Reporting_currency</f>
        <v>HKD</v>
      </c>
      <c r="E8" s="377"/>
      <c r="F8" s="377"/>
      <c r="H8" s="247">
        <v>5</v>
      </c>
      <c r="I8" s="124" t="str">
        <f t="shared" si="0"/>
        <v/>
      </c>
    </row>
    <row r="9" spans="2:9">
      <c r="B9" s="100" t="s">
        <v>55</v>
      </c>
      <c r="C9" s="338">
        <f>Normalized_FCF!C19</f>
        <v>21907.640617708814</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-4.8760226650597205E-2</v>
      </c>
      <c r="D12" s="158"/>
      <c r="E12" s="377"/>
      <c r="F12" s="377"/>
      <c r="H12" s="247">
        <v>9</v>
      </c>
      <c r="I12" s="124" t="str">
        <f t="shared" si="0"/>
        <v/>
      </c>
    </row>
    <row r="13" spans="2:9">
      <c r="B13" s="148" t="s">
        <v>148</v>
      </c>
      <c r="C13" s="158">
        <f ca="1">(Normalized_FCF!G8/OFFSET(Normalized_FCF!G8, 0, $C$4))^(1/$C$4) - 1</f>
        <v>-0.53605739463275559</v>
      </c>
      <c r="E13" s="377"/>
      <c r="F13" s="377"/>
      <c r="H13" s="247">
        <v>10</v>
      </c>
      <c r="I13" s="124" t="str">
        <f t="shared" si="0"/>
        <v/>
      </c>
    </row>
    <row r="14" spans="2:9">
      <c r="B14" s="100" t="s">
        <v>64</v>
      </c>
      <c r="C14" s="158">
        <f ca="1">(Normalized_FCF!G19/OFFSET(Normalized_FCF!G19, 0, $C$4))^(1/$C$4) - 1</f>
        <v>-1.9367231569408296</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2.19</v>
      </c>
      <c r="D21" t="str">
        <f>Market_currency</f>
        <v>HKD</v>
      </c>
      <c r="E21" s="378"/>
      <c r="F21" s="378"/>
    </row>
    <row r="22" spans="2:6">
      <c r="B22" s="100" t="s">
        <v>273</v>
      </c>
      <c r="C22" s="160">
        <f>IF(valuation_method="DCF",DCF!C12,DDM!C7)</f>
        <v>2.089185823570856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0.04</v>
      </c>
      <c r="D26" s="164"/>
      <c r="E26" s="376"/>
      <c r="F26" s="376"/>
    </row>
    <row r="27" spans="2:6">
      <c r="B27" s="100" t="s">
        <v>109</v>
      </c>
      <c r="C27" s="160">
        <f>IF(valuation_method="DCF",DCF!E76,DDM!E71)</f>
        <v>2.1061368981109276</v>
      </c>
      <c r="D27" s="160" t="str">
        <f>Market_currency</f>
        <v>HKD</v>
      </c>
      <c r="E27" s="376"/>
      <c r="F27" s="376"/>
    </row>
    <row r="28" spans="2:6">
      <c r="B28" s="100" t="s">
        <v>143</v>
      </c>
      <c r="C28" s="165">
        <v>0.5</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v>
      </c>
      <c r="D32" s="164"/>
      <c r="E32" s="376"/>
      <c r="F32" s="376"/>
    </row>
    <row r="33" spans="2:6">
      <c r="B33" s="100" t="s">
        <v>109</v>
      </c>
      <c r="C33" s="160">
        <f>IF(valuation_method="DCF",DCF!E77,DDM!E72)</f>
        <v>2.089185823570856</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0.08</v>
      </c>
      <c r="D38" s="164"/>
      <c r="E38" s="376"/>
      <c r="F38" s="376"/>
    </row>
    <row r="39" spans="2:6">
      <c r="B39" s="100" t="s">
        <v>109</v>
      </c>
      <c r="C39" s="160">
        <f>IF(valuation_method="DCF",DCF!E75,DDM!E70)</f>
        <v>2.1267011346081133</v>
      </c>
      <c r="D39" t="str">
        <f>Market_currency</f>
        <v>HKD</v>
      </c>
      <c r="E39" s="376"/>
      <c r="F39" s="376"/>
    </row>
    <row r="40" spans="2:6">
      <c r="B40" s="100" t="s">
        <v>143</v>
      </c>
      <c r="C40" s="167">
        <f>1-C28-C34</f>
        <v>0.3</v>
      </c>
      <c r="D40" s="165"/>
      <c r="E40" s="376"/>
      <c r="F40" s="376"/>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-0.15</v>
      </c>
      <c r="D50" s="164"/>
      <c r="E50" s="376"/>
      <c r="F50" s="376"/>
    </row>
    <row r="51" spans="2:6">
      <c r="B51" s="100" t="s">
        <v>109</v>
      </c>
      <c r="C51" s="160">
        <f>IF(valuation_method="DCF",DCF!E78,DDM!E73)</f>
        <v>2.0332245491925347</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0.15</v>
      </c>
      <c r="D56" s="164"/>
      <c r="E56" s="376"/>
      <c r="F56" s="376"/>
    </row>
    <row r="57" spans="2:6">
      <c r="B57" s="100" t="s">
        <v>109</v>
      </c>
      <c r="C57" s="160">
        <f>IF(valuation_method="DCF",DCF!E74,DDM!E69)</f>
        <v>2.2683112122340416</v>
      </c>
      <c r="D57" t="str">
        <f>Market_currency</f>
        <v>HKD</v>
      </c>
      <c r="E57" s="376"/>
      <c r="F57" s="376"/>
    </row>
    <row r="58" spans="2:6">
      <c r="B58" s="100" t="s">
        <v>143</v>
      </c>
      <c r="C58" s="165">
        <v>0.05</v>
      </c>
      <c r="D58" s="165"/>
      <c r="E58" s="376"/>
      <c r="F58" s="376"/>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2.19</v>
      </c>
      <c r="D86" t="str">
        <f>Market_currency</f>
        <v>HKD</v>
      </c>
    </row>
    <row r="87" spans="2:8" ht="13.15">
      <c r="B87" s="100" t="s">
        <v>293</v>
      </c>
      <c r="C87" s="237">
        <f ca="1">IRR(OFFSET($I$3, 0, 0, $C$76 + 1, 1))</f>
        <v>-1.1844276894026895E-2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