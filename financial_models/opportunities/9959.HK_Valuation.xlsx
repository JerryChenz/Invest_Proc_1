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E8CD80-495E-4376-9A33-3A4B14FAB66C}"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<sst xmlns="http://schemas.openxmlformats.org/spreadsheetml/2006/main" count="836" uniqueCount="560">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</sst>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2.31</v>
      </c>
      <c r="D12" s="50"/>
      <c r="E12" s="48"/>
    </row>
    <row r="13" spans="1:10">
      <c r="B13" s="1" t="s">
        <v>485</v>
      </c>
      <c r="C13" s="32" t="str">
        <f>Market_currency</f>
        <v>HKD</v>
      </c>
      <c r="D13" s="48"/>
      <c r="E13" s="5"/>
    </row>
    <row r="14" spans="1:10">
      <c r="B14" s="4" t="s">
        <v>486</v>
      </c>
      <c r="C14" s="35">
        <f>投资主题!C12*Common_Shares/1000000</f>
        <v>5278.3129198799998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-2.9260350440836524E-2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4.1505005387605688E-3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4" t="s">
        <v>516</v>
      </c>
      <c r="C116" s="374"/>
      <c r="D116" s="374"/>
      <c r="E116" s="374"/>
      <c r="F116" s="374"/>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2.31</v>
      </c>
      <c r="D12" s="50"/>
      <c r="E12" s="48"/>
    </row>
    <row r="13" spans="1:10">
      <c r="B13" s="1" t="s">
        <v>464</v>
      </c>
      <c r="C13" s="48" t="s">
        <v>377</v>
      </c>
      <c r="D13" s="48"/>
      <c r="E13" s="5"/>
    </row>
    <row r="14" spans="1:10">
      <c r="B14" s="4" t="s">
        <v>465</v>
      </c>
      <c r="C14" s="35">
        <f>Thesis!C12*Common_Shares/1000000</f>
        <v>5278.3129198799998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-2.9260350440836524E-2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4.1505005387605688E-3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4" t="s">
        <v>352</v>
      </c>
      <c r="C116" s="374"/>
      <c r="D116" s="374"/>
      <c r="E116" s="374"/>
      <c r="F116" s="374"/>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4.1505005387605688E-3</v>
      </c>
      <c r="D126" s="27"/>
      <c r="E126" s="265"/>
      <c r="F126" s="27"/>
      <c r="G126" s="77">
        <f t="shared" ref="G126" si="50">IF(G$4="","",G125/Market_Price)</f>
        <v>-1.2734145591885951E-2</v>
      </c>
      <c r="H126" s="77">
        <f t="shared" ref="H126" si="51">IF(H$4="","",H125/Market_Price)</f>
        <v>-3.7923320874771883E-2</v>
      </c>
      <c r="I126" s="77">
        <f t="shared" ref="I126" si="52">IF(I$4="","",I125/Market_Price)</f>
        <v>-8.4911600885191445E-3</v>
      </c>
      <c r="J126" s="77">
        <f t="shared" ref="J126" si="53">IF(J$4="","",J125/Market_Price)</f>
        <v>1.5493018553712264E-2</v>
      </c>
      <c r="K126" s="77">
        <f t="shared" ref="K126" si="54">IF(K$4="","",K125/Market_Price)</f>
        <v>2.7928620799418505E-2</v>
      </c>
      <c r="L126" s="77">
        <f t="shared" ref="L126" si="55">IF(L$4="","",L125/Market_Price)</f>
        <v>8.3191354257561318E-3</v>
      </c>
      <c r="M126" s="77">
        <f t="shared" ref="M126" si="56">IF(M$4="","",M125/Market_Price)</f>
        <v>-3.8264120196305393E-3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-0.15829319191234975</v>
      </c>
      <c r="H127" s="23">
        <f>IF(H$4="","",(Data!D47*$C$3)/(Market_Price*Common_Shares))</f>
        <v>-8.3984789596384557E-2</v>
      </c>
      <c r="I127" s="23">
        <f>IF(I$4="","",(Data!E47*$C$3)/(Market_Price*Common_Shares))</f>
        <v>-4.1405275382000017E-3</v>
      </c>
      <c r="J127" s="23">
        <f>IF(J$4="","",(Data!F47*$C$3)/(Market_Price*Common_Shares))</f>
        <v>-2.4611411254290201</v>
      </c>
      <c r="K127" s="23">
        <f>IF(K$4="","",(Data!G47*$C$3)/(Market_Price*Common_Shares))</f>
        <v>-0.13555126625881553</v>
      </c>
      <c r="L127" s="23">
        <f>IF(L$4="","",(Data!H47*$C$3)/(Market_Price*Common_Shares))</f>
        <v>-0.20498481549377298</v>
      </c>
      <c r="M127" s="23">
        <f>IF(M$4="","",(Data!I47*$C$3)/(Market_Price*Common_Shares))</f>
        <v>-0.26718859253082378</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2.31</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2.31</v>
      </c>
      <c r="D86" t="str">
        <f>Market_currency</f>
        <v>HKD</v>
      </c>
    </row>
    <row r="87" spans="2:8" ht="13.15">
      <c r="B87" s="100" t="s">
        <v>293</v>
      </c>
      <c r="C87" s="237">
        <f ca="1">IRR(OFFSET($I$3, 0, 0, $C$76 + 1, 1))</f>
        <v>-2.9260350440836524E-2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