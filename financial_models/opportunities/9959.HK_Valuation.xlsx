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3BF7A8-8D4B-4286-96EC-C059EF778D7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O92" i="2"/>
  <c r="O94" i="2"/>
  <c r="Q92" i="2"/>
  <c r="Q94" i="2"/>
  <c r="J94" i="2"/>
  <c r="K94" i="2"/>
  <c r="P92" i="2"/>
  <c r="P94" i="2"/>
  <c r="L94" i="2"/>
  <c r="M94" i="2"/>
  <c r="H94"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<sst xmlns="http://schemas.openxmlformats.org/spreadsheetml/2006/main" count="686" uniqueCount="465">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</sst>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2284983948</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1.83</v>
      </c>
      <c r="D12" s="50"/>
      <c r="E12" s="48"/>
    </row>
    <row r="13" spans="1:10">
      <c r="B13" s="1" t="s">
        <v>412</v>
      </c>
      <c r="C13" s="48" t="s">
        <v>393</v>
      </c>
      <c r="D13" s="48"/>
      <c r="E13" s="5"/>
    </row>
    <row r="14" spans="1:10">
      <c r="B14" s="4" t="s">
        <v>416</v>
      </c>
      <c r="C14" s="35">
        <f>Thesis!C12*Common_Shares/1000000</f>
        <v>4181.52062484</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2.1131011468081908</v>
      </c>
      <c r="D26" s="1" t="s">
        <v>396</v>
      </c>
      <c r="E26" s="301">
        <f ca="1">Scenarios!C87</f>
        <v>4.9114924667453375E-2</v>
      </c>
    </row>
    <row r="27" spans="2:6">
      <c r="D27" s="5"/>
      <c r="E27" s="5"/>
    </row>
    <row r="28" spans="2:6">
      <c r="B28" s="45" t="s">
        <v>429</v>
      </c>
      <c r="C28" s="309" t="str">
        <f>C145&amp;" ("&amp;Market_currency&amp;")"</f>
        <v>9959.HK (HKD)</v>
      </c>
      <c r="D28" s="309" t="str">
        <f>IF(D11="","",D145&amp;" ("&amp;D13&amp;")")</f>
        <v/>
      </c>
      <c r="E28" s="305" t="s">
        <v>425</v>
      </c>
      <c r="F28" s="303">
        <v>3</v>
      </c>
    </row>
    <row r="29" spans="2:6">
      <c r="B29" s="1" t="s">
        <v>421</v>
      </c>
      <c r="C29" s="310">
        <f>C149</f>
        <v>0.82648230361166808</v>
      </c>
      <c r="D29" s="310" t="str">
        <f>D149</f>
        <v/>
      </c>
      <c r="E29" s="306" t="s">
        <v>420</v>
      </c>
      <c r="F29" s="302">
        <v>0.3674</v>
      </c>
    </row>
    <row r="30" spans="2:6">
      <c r="B30" s="1" t="s">
        <v>422</v>
      </c>
      <c r="C30" s="311">
        <f>C157</f>
        <v>1.1711712249606363</v>
      </c>
      <c r="D30" s="311" t="str">
        <f>D157</f>
        <v/>
      </c>
      <c r="E30" s="307" t="s">
        <v>433</v>
      </c>
      <c r="F30" s="312">
        <v>0.21740000000000001</v>
      </c>
    </row>
    <row r="31" spans="2:6">
      <c r="B31" s="1" t="s">
        <v>423</v>
      </c>
      <c r="C31" s="311">
        <f>C165</f>
        <v>1.7009631025661165</v>
      </c>
      <c r="D31" s="311" t="str">
        <f>D165</f>
        <v/>
      </c>
      <c r="E31" s="307" t="s">
        <v>432</v>
      </c>
      <c r="F31" s="312">
        <v>7.4999999999999997E-2</v>
      </c>
    </row>
    <row r="32" spans="2:6">
      <c r="B32" s="1" t="s">
        <v>424</v>
      </c>
      <c r="C32" s="311">
        <f>C173</f>
        <v>1.514587208466269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33649.992691562977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6970.1947987154417</v>
      </c>
      <c r="D51" s="1" t="str">
        <f>Reporting_currency</f>
        <v>HKD</v>
      </c>
      <c r="E51" s="286"/>
      <c r="F51" s="286"/>
    </row>
    <row r="52" spans="2:6">
      <c r="B52" s="47" t="s">
        <v>338</v>
      </c>
      <c r="C52" s="350">
        <f>Normalized_FCF!C47</f>
        <v>-11410</v>
      </c>
      <c r="D52" s="1" t="str">
        <f>Reporting_currency</f>
        <v>HKD</v>
      </c>
      <c r="E52" s="286"/>
      <c r="F52" s="286"/>
    </row>
    <row r="53" spans="2:6">
      <c r="B53" s="47" t="s">
        <v>237</v>
      </c>
      <c r="C53" s="349">
        <f>Normalized_FCF!C12</f>
        <v>-4439.8052012845583</v>
      </c>
      <c r="D53" s="1" t="str">
        <f>Reporting_currency</f>
        <v>HKD</v>
      </c>
    </row>
    <row r="55" spans="2:6">
      <c r="B55" s="1" t="s">
        <v>245</v>
      </c>
    </row>
    <row r="56" spans="2:6">
      <c r="B56" s="47" t="s">
        <v>264</v>
      </c>
      <c r="C56" s="349">
        <f>Normalized_FCF!C15</f>
        <v>0</v>
      </c>
      <c r="D56" s="1" t="str">
        <f>Reporting_currency</f>
        <v>HKD</v>
      </c>
    </row>
    <row r="58" spans="2:6">
      <c r="B58" s="359" t="s">
        <v>240</v>
      </c>
      <c r="C58" s="359"/>
      <c r="D58" s="359"/>
      <c r="E58" s="359"/>
      <c r="F58" s="359"/>
    </row>
    <row r="59" spans="2:6">
      <c r="B59" s="47" t="s">
        <v>238</v>
      </c>
      <c r="C59" s="349">
        <f>Normalized_FCF!C14</f>
        <v>-7302.5468725696046</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-67214.805201284558</v>
      </c>
      <c r="D67" s="1" t="str">
        <f>Reporting_currency</f>
        <v>HKD</v>
      </c>
    </row>
    <row r="68" spans="1:6">
      <c r="B68" s="47" t="s">
        <v>247</v>
      </c>
      <c r="C68" s="349">
        <f>Normalized_FCF!C19</f>
        <v>21907.640617708814</v>
      </c>
      <c r="D68" s="1" t="str">
        <f>Reporting_currency</f>
        <v>HKD</v>
      </c>
    </row>
    <row r="69" spans="1:6">
      <c r="B69" s="227" t="s">
        <v>387</v>
      </c>
      <c r="C69" s="92">
        <f>Normalized_FCF!C126</f>
        <v>5.2391564177797344E-3</v>
      </c>
      <c r="F69" s="314"/>
    </row>
    <row r="70" spans="1:6">
      <c r="B70" s="227" t="s">
        <v>454</v>
      </c>
      <c r="C70" s="92">
        <f>Normalized_FCF!C94</f>
        <v>0</v>
      </c>
      <c r="E70" s="47" t="s">
        <v>444</v>
      </c>
      <c r="F70" s="315">
        <f>Normalized_FCF!C92</f>
        <v>0</v>
      </c>
    </row>
    <row r="72" spans="1:6">
      <c r="B72" s="210" t="s">
        <v>447</v>
      </c>
      <c r="C72" s="323" t="s">
        <v>449</v>
      </c>
      <c r="D72" s="323" t="s">
        <v>450</v>
      </c>
    </row>
    <row r="73" spans="1:6">
      <c r="B73" s="47" t="s">
        <v>448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0.12783541659382552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115864</v>
      </c>
      <c r="D102" s="1" t="str">
        <f>Reporting_currency</f>
        <v>HKD</v>
      </c>
    </row>
    <row r="103" spans="2:6">
      <c r="B103" s="47" t="s">
        <v>280</v>
      </c>
      <c r="C103" s="223">
        <f>C102*scaling_factor*Exchange_Rate/Common_Shares</f>
        <v>5.0706701944848852E-2</v>
      </c>
      <c r="D103" s="1" t="str">
        <f>Market_currency</f>
        <v>HKD</v>
      </c>
    </row>
    <row r="104" spans="2:6">
      <c r="B104" s="296" t="s">
        <v>401</v>
      </c>
      <c r="C104" s="325">
        <f>IF(BS!G31/BS!G27&gt;300%,"nm",BS!G31/BS!G27)</f>
        <v>1.4790654865358754E-2</v>
      </c>
    </row>
    <row r="105" spans="2:6">
      <c r="B105" s="296" t="s">
        <v>403</v>
      </c>
      <c r="C105" s="326">
        <f>IF(BS!C50&gt;30,"nm",BS!C50)</f>
        <v>3.4432102574884196</v>
      </c>
    </row>
    <row r="107" spans="2:6">
      <c r="B107" s="1" t="s">
        <v>253</v>
      </c>
    </row>
    <row r="108" spans="2:6">
      <c r="B108" s="47" t="s">
        <v>263</v>
      </c>
      <c r="C108" s="349">
        <f>BS!C66</f>
        <v>5072413</v>
      </c>
      <c r="D108" s="1" t="str">
        <f>Reporting_currency</f>
        <v>HKD</v>
      </c>
    </row>
    <row r="109" spans="2:6">
      <c r="B109" s="47" t="s">
        <v>265</v>
      </c>
      <c r="C109" s="349">
        <f>DCF!C8</f>
        <v>4573651.4963457817</v>
      </c>
      <c r="D109" s="1" t="str">
        <f>Reporting_currency</f>
        <v>HKD</v>
      </c>
    </row>
    <row r="110" spans="2:6">
      <c r="B110" s="47" t="s">
        <v>281</v>
      </c>
      <c r="C110" s="223">
        <f>C109*scaling_factor*Exchange_Rate/Common_Shares</f>
        <v>2.0016120902507897</v>
      </c>
      <c r="D110" s="1" t="str">
        <f>Market_currency</f>
        <v>HKD</v>
      </c>
    </row>
    <row r="112" spans="2:6">
      <c r="B112" s="1" t="s">
        <v>255</v>
      </c>
    </row>
    <row r="113" spans="1:6">
      <c r="B113" s="47" t="s">
        <v>256</v>
      </c>
      <c r="C113" s="349">
        <f>DCF!C9</f>
        <v>23866.7</v>
      </c>
      <c r="D113" s="1" t="str">
        <f>Reporting_currency</f>
        <v>HKD</v>
      </c>
    </row>
    <row r="114" spans="1:6">
      <c r="B114" s="47" t="s">
        <v>282</v>
      </c>
      <c r="C114" s="223">
        <f>C113*scaling_factor*Exchange_Rate/Common_Shares</f>
        <v>1.0445018671089587E-2</v>
      </c>
      <c r="D114" s="1" t="str">
        <f>Market_currency</f>
        <v>HKD</v>
      </c>
    </row>
    <row r="116" spans="1:6" ht="24.6" customHeight="1">
      <c r="B116" s="358" t="s">
        <v>363</v>
      </c>
      <c r="C116" s="358"/>
      <c r="D116" s="358"/>
      <c r="E116" s="358"/>
      <c r="F116" s="358"/>
    </row>
    <row r="118" spans="1:6">
      <c r="B118" s="47" t="s">
        <v>445</v>
      </c>
      <c r="C118" s="223">
        <f>IF(valuation_method="DCF",DCF!C12,DDM!C7)</f>
        <v>2.089185823570856</v>
      </c>
      <c r="D118" s="1" t="str">
        <f>Market_currency</f>
        <v>HKD</v>
      </c>
    </row>
    <row r="119" spans="1:6">
      <c r="B119" s="296" t="s">
        <v>402</v>
      </c>
      <c r="C119" s="223">
        <f>BS!D47</f>
        <v>2.0258239687205015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257</v>
      </c>
      <c r="C132" s="217">
        <f>Scenarios!C60</f>
        <v>2.1131011468081908</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v>
      </c>
      <c r="D143" s="212" t="str">
        <f>Market_currency</f>
        <v>HKD</v>
      </c>
    </row>
    <row r="145" spans="2:4">
      <c r="B145" s="210" t="s">
        <v>405</v>
      </c>
      <c r="C145" s="241" t="str">
        <f>C11</f>
        <v>9959.HK</v>
      </c>
      <c r="D145" s="241" t="str">
        <f>IF(D11="","",D11)</f>
        <v/>
      </c>
    </row>
    <row r="146" spans="2:4">
      <c r="B146" s="1" t="s">
        <v>404</v>
      </c>
      <c r="C146" s="297">
        <f>F29</f>
        <v>0.3674</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0.82648230361166808</v>
      </c>
    </row>
    <row r="149" spans="2:4">
      <c r="B149" s="80" t="s">
        <v>259</v>
      </c>
      <c r="C149" s="215">
        <f>Scenarios!C83</f>
        <v>0.82648230361166808</v>
      </c>
      <c r="D149" s="300" t="str">
        <f>IF($D$11="","",C149*$E$25)</f>
        <v/>
      </c>
    </row>
    <row r="150" spans="2:4">
      <c r="B150" s="259" t="s">
        <v>412</v>
      </c>
      <c r="C150" s="298" t="str">
        <f>Market_currency</f>
        <v>HKD</v>
      </c>
      <c r="D150" s="298" t="str">
        <f>IF($D$11="","",D$13)</f>
        <v/>
      </c>
    </row>
    <row r="151" spans="2:4">
      <c r="B151" s="214" t="s">
        <v>261</v>
      </c>
      <c r="C151" s="92">
        <f>Scenarios!F83</f>
        <v>0.60887707393464918</v>
      </c>
    </row>
    <row r="153" spans="2:4">
      <c r="B153" s="210" t="s">
        <v>408</v>
      </c>
    </row>
    <row r="154" spans="2:4">
      <c r="B154" s="1" t="s">
        <v>407</v>
      </c>
      <c r="C154" s="297">
        <f>Scenarios!C90</f>
        <v>0.21740000000000001</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1.1711712249606363</v>
      </c>
    </row>
    <row r="157" spans="2:4">
      <c r="B157" s="80" t="s">
        <v>259</v>
      </c>
      <c r="C157" s="215">
        <f>Scenarios!C93</f>
        <v>1.1711712249606363</v>
      </c>
      <c r="D157" s="300" t="str">
        <f>IF($D$11="","",C157*$E$25)</f>
        <v/>
      </c>
    </row>
    <row r="158" spans="2:4">
      <c r="B158" s="259" t="s">
        <v>412</v>
      </c>
      <c r="C158" s="298" t="str">
        <f>Market_currency</f>
        <v>HKD</v>
      </c>
      <c r="D158" s="298" t="str">
        <f>IF($D$11="","",D$13)</f>
        <v/>
      </c>
    </row>
    <row r="159" spans="2:4">
      <c r="B159" s="214" t="s">
        <v>261</v>
      </c>
      <c r="C159" s="92">
        <f>Scenarios!F93</f>
        <v>0.44575713910823733</v>
      </c>
    </row>
    <row r="161" spans="2:4">
      <c r="B161" s="210" t="s">
        <v>397</v>
      </c>
    </row>
    <row r="162" spans="2:4">
      <c r="B162" s="1" t="s">
        <v>406</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398</v>
      </c>
      <c r="C165" s="215">
        <f>Scenarios!C99</f>
        <v>1.7009631025661165</v>
      </c>
      <c r="D165" s="300" t="str">
        <f>IF($D$11="","",C165*$E$25)</f>
        <v/>
      </c>
    </row>
    <row r="166" spans="2:4">
      <c r="B166" s="259" t="s">
        <v>412</v>
      </c>
      <c r="C166" s="298" t="str">
        <f>Market_currency</f>
        <v>HKD</v>
      </c>
      <c r="D166" s="298" t="str">
        <f>IF($D$11="","",D$13)</f>
        <v/>
      </c>
    </row>
    <row r="167" spans="2:4">
      <c r="B167" s="214" t="s">
        <v>261</v>
      </c>
      <c r="C167" s="92">
        <f>Scenarios!F99</f>
        <v>0.19503943049039696</v>
      </c>
    </row>
    <row r="169" spans="2:4">
      <c r="B169" s="210" t="s">
        <v>428</v>
      </c>
    </row>
    <row r="170" spans="2:4">
      <c r="B170" s="1" t="s">
        <v>419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398</v>
      </c>
      <c r="C173" s="215">
        <f>Scenarios!C105</f>
        <v>1.514587208466269</v>
      </c>
      <c r="D173" s="300" t="str">
        <f>IF($D$11="","",C173*$E$25)</f>
        <v/>
      </c>
    </row>
    <row r="174" spans="2:4">
      <c r="B174" s="259" t="s">
        <v>412</v>
      </c>
      <c r="C174" s="298" t="str">
        <f>Market_currency</f>
        <v>HKD</v>
      </c>
      <c r="D174" s="298" t="str">
        <f>IF($D$11="","",D$13)</f>
        <v/>
      </c>
    </row>
    <row r="175" spans="2:4">
      <c r="B175" s="214" t="s">
        <v>261</v>
      </c>
      <c r="C175" s="92">
        <f>Scenarios!F105</f>
        <v>0.2819299041708756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1031173</v>
      </c>
      <c r="D4" s="351">
        <v>867764</v>
      </c>
      <c r="E4" s="351">
        <v>924200</v>
      </c>
      <c r="F4" s="351">
        <v>1198013</v>
      </c>
      <c r="G4" s="351">
        <v>1028541</v>
      </c>
      <c r="H4" s="351">
        <v>699593</v>
      </c>
      <c r="I4" s="351">
        <v>382733</v>
      </c>
      <c r="J4" s="351"/>
      <c r="K4" s="351"/>
      <c r="L4" s="351"/>
      <c r="M4" s="351"/>
    </row>
    <row r="5" spans="2:13">
      <c r="B5" s="40" t="s">
        <v>43</v>
      </c>
      <c r="C5" s="351">
        <v>313900</v>
      </c>
      <c r="D5" s="351">
        <v>341249</v>
      </c>
      <c r="E5" s="351">
        <v>149665</v>
      </c>
      <c r="F5" s="351">
        <v>270763</v>
      </c>
      <c r="G5" s="351">
        <v>398163</v>
      </c>
      <c r="H5" s="351">
        <v>336621</v>
      </c>
      <c r="I5" s="351">
        <v>189207</v>
      </c>
      <c r="J5" s="351"/>
      <c r="K5" s="351"/>
      <c r="L5" s="351"/>
      <c r="M5" s="351"/>
    </row>
    <row r="6" spans="2:13">
      <c r="B6" s="40" t="s">
        <v>54</v>
      </c>
      <c r="C6" s="351">
        <v>357132</v>
      </c>
      <c r="D6" s="351">
        <v>345571</v>
      </c>
      <c r="E6" s="351">
        <v>398159</v>
      </c>
      <c r="F6" s="351">
        <v>356401</v>
      </c>
      <c r="G6" s="351">
        <v>196214</v>
      </c>
      <c r="H6" s="351">
        <v>150727</v>
      </c>
      <c r="I6" s="351">
        <v>103615</v>
      </c>
      <c r="J6" s="351"/>
      <c r="K6" s="351"/>
      <c r="L6" s="351"/>
      <c r="M6" s="351"/>
    </row>
    <row r="7" spans="2:13">
      <c r="B7" s="69" t="s">
        <v>61</v>
      </c>
      <c r="C7" s="352">
        <v>149012</v>
      </c>
      <c r="D7" s="352">
        <v>137835</v>
      </c>
      <c r="E7" s="352">
        <v>162582</v>
      </c>
      <c r="F7" s="352">
        <v>136252</v>
      </c>
      <c r="G7" s="352">
        <v>86208</v>
      </c>
      <c r="H7" s="352">
        <v>68142</v>
      </c>
      <c r="I7" s="352">
        <v>42790</v>
      </c>
      <c r="J7" s="352"/>
      <c r="K7" s="352"/>
      <c r="L7" s="352"/>
      <c r="M7" s="352"/>
    </row>
    <row r="8" spans="2:13">
      <c r="B8" s="40" t="s">
        <v>49</v>
      </c>
      <c r="C8" s="351">
        <v>330838</v>
      </c>
      <c r="D8" s="351">
        <v>365801</v>
      </c>
      <c r="E8" s="351">
        <v>351118</v>
      </c>
      <c r="F8" s="351">
        <v>277409</v>
      </c>
      <c r="G8" s="351">
        <v>103725</v>
      </c>
      <c r="H8" s="351">
        <v>59876</v>
      </c>
      <c r="I8" s="351">
        <v>41293</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11410</v>
      </c>
      <c r="D12" s="351">
        <v>8305</v>
      </c>
      <c r="E12" s="351">
        <v>30280</v>
      </c>
      <c r="F12" s="351">
        <v>135144</v>
      </c>
      <c r="G12" s="351">
        <v>140407</v>
      </c>
      <c r="H12" s="351">
        <v>108297</v>
      </c>
      <c r="I12" s="351">
        <v>75176</v>
      </c>
      <c r="J12" s="351"/>
      <c r="K12" s="351"/>
      <c r="L12" s="351"/>
      <c r="M12" s="351"/>
    </row>
    <row r="13" spans="2:13">
      <c r="B13" s="40" t="s">
        <v>67</v>
      </c>
      <c r="C13" s="351">
        <v>70887</v>
      </c>
      <c r="D13" s="351">
        <v>126188</v>
      </c>
      <c r="E13" s="351"/>
      <c r="F13" s="351"/>
      <c r="G13" s="351"/>
      <c r="H13" s="351"/>
      <c r="I13" s="351"/>
      <c r="J13" s="351"/>
      <c r="K13" s="351"/>
      <c r="L13" s="351"/>
      <c r="M13" s="351"/>
    </row>
    <row r="14" spans="2:13">
      <c r="B14" s="40" t="s">
        <v>50</v>
      </c>
      <c r="C14" s="351">
        <v>92078</v>
      </c>
      <c r="D14" s="351">
        <v>19417</v>
      </c>
      <c r="E14" s="351">
        <v>39797</v>
      </c>
      <c r="F14" s="351">
        <v>75402</v>
      </c>
      <c r="G14" s="351">
        <v>41042</v>
      </c>
      <c r="H14" s="351">
        <v>161</v>
      </c>
      <c r="I14" s="351">
        <v>-6361</v>
      </c>
      <c r="J14" s="351"/>
      <c r="K14" s="351"/>
      <c r="L14" s="351"/>
      <c r="M14" s="351"/>
    </row>
    <row r="15" spans="2:13">
      <c r="B15" s="43" t="s">
        <v>42</v>
      </c>
      <c r="C15" s="353">
        <v>-835521</v>
      </c>
      <c r="D15" s="353">
        <v>-443298</v>
      </c>
      <c r="E15" s="353">
        <v>-21855</v>
      </c>
      <c r="F15" s="353">
        <v>-12990673</v>
      </c>
      <c r="G15" s="353">
        <v>-715482</v>
      </c>
      <c r="H15" s="353">
        <v>-1081974</v>
      </c>
      <c r="I15" s="353">
        <v>-1410305</v>
      </c>
      <c r="J15" s="353"/>
      <c r="K15" s="353"/>
      <c r="L15" s="353"/>
      <c r="M15" s="353"/>
    </row>
    <row r="16" spans="2:13">
      <c r="B16" s="28" t="s">
        <v>44</v>
      </c>
      <c r="C16" s="351">
        <v>-140</v>
      </c>
      <c r="D16" s="351">
        <v>-2058</v>
      </c>
      <c r="E16" s="351">
        <v>-8397</v>
      </c>
      <c r="F16" s="351">
        <v>1117</v>
      </c>
      <c r="G16" s="351">
        <v>1574</v>
      </c>
      <c r="H16" s="351">
        <v>-336</v>
      </c>
      <c r="I16" s="351">
        <v>0</v>
      </c>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711319</v>
      </c>
      <c r="D22" s="351">
        <v>-324183</v>
      </c>
      <c r="E22" s="351">
        <v>1859628</v>
      </c>
      <c r="F22" s="351">
        <v>-731240</v>
      </c>
      <c r="G22" s="351">
        <v>2099875</v>
      </c>
      <c r="H22" s="351">
        <v>201823</v>
      </c>
      <c r="I22" s="351">
        <v>-991306</v>
      </c>
      <c r="J22" s="351"/>
      <c r="K22" s="351"/>
      <c r="L22" s="351"/>
      <c r="M22" s="351"/>
    </row>
    <row r="23" spans="2:13">
      <c r="B23" s="27" t="s">
        <v>370</v>
      </c>
      <c r="C23" s="351">
        <v>-12356</v>
      </c>
      <c r="D23" s="351">
        <v>-155180</v>
      </c>
      <c r="E23" s="351">
        <v>-274578</v>
      </c>
      <c r="F23" s="351">
        <v>-312659</v>
      </c>
      <c r="G23" s="351">
        <v>-111290</v>
      </c>
      <c r="H23" s="351">
        <v>-94182</v>
      </c>
      <c r="I23" s="351">
        <v>-122694</v>
      </c>
      <c r="J23" s="351"/>
      <c r="K23" s="351"/>
      <c r="L23" s="351"/>
      <c r="M23" s="351"/>
    </row>
    <row r="24" spans="2:13">
      <c r="B24" s="27" t="s">
        <v>369</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463</v>
      </c>
    </row>
    <row r="28" spans="2:13">
      <c r="B28" s="26" t="s">
        <v>24</v>
      </c>
      <c r="C28" s="333">
        <f>BS!C4</f>
        <v>218642</v>
      </c>
      <c r="D28" s="351">
        <v>290847</v>
      </c>
      <c r="E28" s="351">
        <v>342114</v>
      </c>
      <c r="F28" s="351">
        <v>254075</v>
      </c>
      <c r="G28" s="351">
        <v>225175</v>
      </c>
      <c r="H28" s="351">
        <v>152761</v>
      </c>
      <c r="I28" s="351">
        <v>56051</v>
      </c>
      <c r="J28" s="351"/>
      <c r="K28" s="351"/>
      <c r="L28" s="351"/>
      <c r="M28" s="351"/>
    </row>
    <row r="29" spans="2:13">
      <c r="B29" s="26" t="s">
        <v>32</v>
      </c>
      <c r="C29" s="333">
        <f>BS!C6</f>
        <v>0</v>
      </c>
      <c r="D29" s="351">
        <v>0</v>
      </c>
      <c r="E29" s="351">
        <v>0</v>
      </c>
      <c r="F29" s="351">
        <v>0</v>
      </c>
      <c r="G29" s="351">
        <v>0</v>
      </c>
      <c r="H29" s="351">
        <v>0</v>
      </c>
      <c r="I29" s="351">
        <v>0</v>
      </c>
      <c r="J29" s="351"/>
      <c r="K29" s="351"/>
      <c r="L29" s="351"/>
      <c r="M29" s="351"/>
    </row>
    <row r="30" spans="2:13">
      <c r="B30" s="29" t="s">
        <v>40</v>
      </c>
      <c r="C30" s="334">
        <f>BS!C33+BS!C42</f>
        <v>760309</v>
      </c>
      <c r="D30" s="353">
        <v>617731</v>
      </c>
      <c r="E30" s="353">
        <v>1967828</v>
      </c>
      <c r="F30" s="353">
        <v>2086158</v>
      </c>
      <c r="G30" s="353">
        <v>9460292</v>
      </c>
      <c r="H30" s="353">
        <v>6362095</v>
      </c>
      <c r="I30" s="353">
        <v>4669537</v>
      </c>
      <c r="J30" s="353"/>
      <c r="K30" s="353"/>
      <c r="L30" s="353"/>
      <c r="M30" s="353"/>
    </row>
    <row r="31" spans="2:13">
      <c r="B31" s="29" t="s">
        <v>30</v>
      </c>
      <c r="C31" s="334">
        <f>BS!G27</f>
        <v>7833595</v>
      </c>
      <c r="D31" s="353">
        <v>9112791</v>
      </c>
      <c r="E31" s="353">
        <v>9956528</v>
      </c>
      <c r="F31" s="353">
        <v>9722107</v>
      </c>
      <c r="G31" s="353">
        <v>-3323489</v>
      </c>
      <c r="H31" s="353">
        <v>-2590443</v>
      </c>
      <c r="I31" s="353">
        <v>-1541033</v>
      </c>
      <c r="J31" s="353"/>
      <c r="K31" s="353"/>
      <c r="L31" s="353"/>
      <c r="M31" s="353"/>
    </row>
    <row r="32" spans="2:13">
      <c r="B32" s="26" t="s">
        <v>171</v>
      </c>
      <c r="C32" s="333">
        <f>BS!G28</f>
        <v>-518</v>
      </c>
      <c r="D32" s="351">
        <v>-2780</v>
      </c>
      <c r="E32" s="351">
        <v>-771</v>
      </c>
      <c r="F32" s="351">
        <v>7529</v>
      </c>
      <c r="G32" s="351">
        <v>6412</v>
      </c>
      <c r="H32" s="351">
        <v>4838</v>
      </c>
      <c r="I32" s="351">
        <v>0</v>
      </c>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43</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58</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61</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64</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49</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151</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167</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68</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50</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42</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68</v>
      </c>
    </row>
    <row r="51" spans="2:13">
      <c r="B51" s="40" t="s">
        <v>39</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67</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159</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390</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167</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85</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86</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40</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30</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218642</v>
      </c>
      <c r="D4" s="261">
        <v>0.6</v>
      </c>
      <c r="E4" s="25"/>
      <c r="F4" s="4" t="s">
        <v>77</v>
      </c>
      <c r="G4" s="19">
        <v>4898385</v>
      </c>
      <c r="H4" s="261">
        <v>0.9</v>
      </c>
    </row>
    <row r="5" spans="2:8" ht="15" customHeight="1">
      <c r="B5" s="1" t="s">
        <v>33</v>
      </c>
      <c r="C5" s="19">
        <f>171505+458442+21655</f>
        <v>651602</v>
      </c>
      <c r="D5" s="261">
        <v>0.6</v>
      </c>
      <c r="E5" s="25"/>
      <c r="F5" s="1" t="s">
        <v>29</v>
      </c>
      <c r="G5" s="19">
        <v>174028</v>
      </c>
      <c r="H5" s="261">
        <v>0.7</v>
      </c>
    </row>
    <row r="6" spans="2:8" ht="15" customHeight="1">
      <c r="B6" s="4" t="s">
        <v>10</v>
      </c>
      <c r="C6" s="19">
        <v>0</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1813746</v>
      </c>
      <c r="D9" s="261">
        <v>0.1</v>
      </c>
      <c r="E9" s="25"/>
      <c r="F9" s="4" t="s">
        <v>179</v>
      </c>
      <c r="G9" s="19">
        <v>0</v>
      </c>
      <c r="H9" s="261">
        <v>0.6</v>
      </c>
    </row>
    <row r="10" spans="2:8" ht="15" customHeight="1">
      <c r="B10" s="4" t="s">
        <v>11</v>
      </c>
      <c r="C10" s="19">
        <v>0</v>
      </c>
      <c r="D10" s="261">
        <v>0.9</v>
      </c>
      <c r="H10" s="262"/>
    </row>
    <row r="11" spans="2:8" ht="15" customHeight="1">
      <c r="B11" s="4" t="s">
        <v>12</v>
      </c>
      <c r="C11" s="19">
        <v>24965</v>
      </c>
      <c r="D11" s="261">
        <v>0.05</v>
      </c>
      <c r="H11" s="262"/>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4743</v>
      </c>
      <c r="D15" s="261">
        <v>0.4</v>
      </c>
      <c r="F15" s="4" t="s">
        <v>78</v>
      </c>
      <c r="G15" s="19">
        <v>0</v>
      </c>
      <c r="H15" s="261">
        <v>0.8</v>
      </c>
    </row>
    <row r="16" spans="2:8" ht="15" customHeight="1">
      <c r="B16" s="1" t="s">
        <v>34</v>
      </c>
      <c r="C16" s="19">
        <v>102771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28675+74147</f>
        <v>102822</v>
      </c>
      <c r="D19" s="261">
        <v>0.1</v>
      </c>
      <c r="F19" s="4" t="s">
        <v>181</v>
      </c>
      <c r="G19" s="19">
        <v>238667</v>
      </c>
      <c r="H19" s="261">
        <v>0.1</v>
      </c>
    </row>
    <row r="20" spans="2:8" ht="15" customHeight="1">
      <c r="B20" s="4" t="s">
        <v>18</v>
      </c>
      <c r="C20" s="19">
        <v>0</v>
      </c>
      <c r="D20" s="261">
        <v>0.05</v>
      </c>
      <c r="F20" s="4" t="s">
        <v>178</v>
      </c>
      <c r="G20" s="19">
        <v>0</v>
      </c>
      <c r="H20" s="261">
        <v>0.2</v>
      </c>
    </row>
    <row r="21" spans="2:8" ht="15" customHeight="1">
      <c r="B21" s="4" t="s">
        <v>19</v>
      </c>
      <c r="C21" s="19">
        <v>276368</v>
      </c>
      <c r="D21" s="261">
        <v>0.05</v>
      </c>
      <c r="F21" s="1" t="s">
        <v>179</v>
      </c>
      <c r="G21" s="19">
        <v>0</v>
      </c>
      <c r="H21" s="261">
        <v>0.1</v>
      </c>
    </row>
    <row r="22" spans="2:8" ht="15" customHeight="1">
      <c r="B22" s="4" t="s">
        <v>20</v>
      </c>
      <c r="C22" s="19">
        <v>58201</v>
      </c>
      <c r="D22" s="261">
        <v>0.9</v>
      </c>
      <c r="H22" s="262"/>
    </row>
    <row r="23" spans="2:8" ht="15" customHeight="1">
      <c r="B23" s="4" t="s">
        <v>21</v>
      </c>
      <c r="C23" s="19">
        <f>28964</f>
        <v>28964</v>
      </c>
      <c r="D23" s="261">
        <v>0</v>
      </c>
      <c r="H23" s="262"/>
    </row>
    <row r="24" spans="2:8" ht="15" customHeight="1">
      <c r="B24" s="80" t="s">
        <v>73</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199</v>
      </c>
      <c r="C26" s="182" t="s">
        <v>135</v>
      </c>
      <c r="F26" s="184" t="s">
        <v>195</v>
      </c>
      <c r="G26" s="185" t="s">
        <v>135</v>
      </c>
      <c r="H26" s="186" t="s">
        <v>35</v>
      </c>
    </row>
    <row r="27" spans="2:8" ht="15" customHeight="1">
      <c r="B27" s="4" t="s">
        <v>5</v>
      </c>
      <c r="C27" s="19">
        <v>30008</v>
      </c>
      <c r="F27" s="187" t="s">
        <v>30</v>
      </c>
      <c r="G27" s="85">
        <f>G32-G30</f>
        <v>7833595</v>
      </c>
      <c r="H27" s="188">
        <f>H32-G30</f>
        <v>4628457.25</v>
      </c>
    </row>
    <row r="28" spans="2:8" ht="15" customHeight="1">
      <c r="B28" s="4" t="s">
        <v>6</v>
      </c>
      <c r="C28" s="19">
        <v>22043</v>
      </c>
      <c r="F28" s="189" t="s">
        <v>243</v>
      </c>
      <c r="G28" s="12">
        <v>-518</v>
      </c>
      <c r="H28" s="188"/>
    </row>
    <row r="29" spans="2:8" ht="15" customHeight="1">
      <c r="B29" s="4" t="s">
        <v>7</v>
      </c>
      <c r="C29" s="19">
        <v>0</v>
      </c>
      <c r="F29" s="190" t="s">
        <v>75</v>
      </c>
      <c r="G29" s="14">
        <f>G27-G28</f>
        <v>7834113</v>
      </c>
      <c r="H29" s="188">
        <f>H27-G28</f>
        <v>4628975.25</v>
      </c>
    </row>
    <row r="30" spans="2:8" ht="15" customHeight="1">
      <c r="B30" s="2" t="s">
        <v>8</v>
      </c>
      <c r="C30" s="19">
        <v>0</v>
      </c>
      <c r="F30" s="187" t="s">
        <v>23</v>
      </c>
      <c r="G30" s="85">
        <f>C33+C42</f>
        <v>760309</v>
      </c>
      <c r="H30" s="188"/>
    </row>
    <row r="31" spans="2:8" ht="15" customHeight="1">
      <c r="B31" s="80" t="s">
        <v>202</v>
      </c>
      <c r="C31" s="81">
        <f>SUM(C27:C30)</f>
        <v>52051</v>
      </c>
      <c r="F31" s="190" t="s">
        <v>76</v>
      </c>
      <c r="G31" s="191">
        <f>C31+C40</f>
        <v>115864</v>
      </c>
      <c r="H31" s="188"/>
    </row>
    <row r="32" spans="2:8" ht="15" customHeight="1">
      <c r="B32" s="4" t="s">
        <v>9</v>
      </c>
      <c r="C32" s="21">
        <f>C33-C31</f>
        <v>643338</v>
      </c>
      <c r="F32" s="192" t="s">
        <v>74</v>
      </c>
      <c r="G32" s="193">
        <f>G35+G40</f>
        <v>8593904</v>
      </c>
      <c r="H32" s="188">
        <f>H35+H40</f>
        <v>5388766.25</v>
      </c>
    </row>
    <row r="33" spans="2:8" ht="15" customHeight="1">
      <c r="B33" s="83" t="s">
        <v>4</v>
      </c>
      <c r="C33" s="84">
        <v>695389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3282824</v>
      </c>
      <c r="H35" s="200">
        <f>D12+D24</f>
        <v>834533.45</v>
      </c>
    </row>
    <row r="36" spans="2:8" ht="15" customHeight="1">
      <c r="B36" s="4" t="s">
        <v>13</v>
      </c>
      <c r="C36" s="19">
        <v>0</v>
      </c>
      <c r="F36" s="190" t="s">
        <v>196</v>
      </c>
      <c r="G36" s="191">
        <f>C4+C15</f>
        <v>223385</v>
      </c>
      <c r="H36" s="195"/>
    </row>
    <row r="37" spans="2:8" ht="15" customHeight="1">
      <c r="B37" s="4" t="s">
        <v>14</v>
      </c>
      <c r="C37" s="19">
        <v>63813</v>
      </c>
      <c r="F37" s="190" t="s">
        <v>197</v>
      </c>
      <c r="G37" s="191">
        <f>C6</f>
        <v>0</v>
      </c>
      <c r="H37" s="195"/>
    </row>
    <row r="38" spans="2:8" ht="15" customHeight="1">
      <c r="B38" s="4" t="s">
        <v>15</v>
      </c>
      <c r="C38" s="19">
        <v>0</v>
      </c>
      <c r="F38" s="190" t="s">
        <v>198</v>
      </c>
      <c r="G38" s="191">
        <f>C7+C17</f>
        <v>0</v>
      </c>
      <c r="H38" s="195"/>
    </row>
    <row r="39" spans="2:8" ht="15" customHeight="1">
      <c r="B39" s="2" t="s">
        <v>16</v>
      </c>
      <c r="C39" s="19">
        <v>0</v>
      </c>
      <c r="F39" s="190" t="s">
        <v>79</v>
      </c>
      <c r="G39" s="191">
        <f>C7+C17+C19+C20</f>
        <v>102822</v>
      </c>
      <c r="H39" s="188">
        <f>C7*D7+C17*D17+C19*D19+C20*D20</f>
        <v>10282.200000000001</v>
      </c>
    </row>
    <row r="40" spans="2:8" ht="15" customHeight="1">
      <c r="B40" s="80" t="s">
        <v>203</v>
      </c>
      <c r="C40" s="81">
        <f>SUM(C36:C39)</f>
        <v>63813</v>
      </c>
      <c r="F40" s="199" t="s">
        <v>137</v>
      </c>
      <c r="G40" s="193">
        <f>G12+G24</f>
        <v>5311080</v>
      </c>
      <c r="H40" s="200">
        <f>H12+H24</f>
        <v>4554232.8</v>
      </c>
    </row>
    <row r="41" spans="2:8" ht="15" customHeight="1">
      <c r="B41" s="4" t="s">
        <v>17</v>
      </c>
      <c r="C41" s="21">
        <f>C42-C40</f>
        <v>1107</v>
      </c>
      <c r="F41" s="190" t="s">
        <v>190</v>
      </c>
      <c r="G41" s="191">
        <f>C70</f>
        <v>5072413</v>
      </c>
      <c r="H41" s="200">
        <f>H40-H42</f>
        <v>4530366.0999999996</v>
      </c>
    </row>
    <row r="42" spans="2:8" ht="15" customHeight="1">
      <c r="B42" s="83" t="s">
        <v>22</v>
      </c>
      <c r="C42" s="84">
        <v>64920</v>
      </c>
      <c r="F42" s="201" t="s">
        <v>191</v>
      </c>
      <c r="G42" s="202">
        <f>C82</f>
        <v>238667</v>
      </c>
      <c r="H42" s="203">
        <f>D82</f>
        <v>23866.7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3.4432102574884196</v>
      </c>
      <c r="D50" s="95">
        <f>G31/Normalized_FCF!G8</f>
        <v>3.9539978841756818</v>
      </c>
      <c r="F50" s="253"/>
    </row>
    <row r="51" spans="2:8" ht="15" customHeight="1">
      <c r="B51" s="1" t="s">
        <v>175</v>
      </c>
      <c r="C51" s="181"/>
      <c r="D51" s="92">
        <f>G29/G32</f>
        <v>0.91158954067906739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1.0250318838768991E-2</v>
      </c>
      <c r="D54" s="92">
        <f>Normalized_FCF!G8/G35</f>
        <v>8.9261562605853981E-3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1.1964527413850562E-2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-6.6121078416918412E-5</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5072413</v>
      </c>
      <c r="D66" s="76">
        <f>C66-D75</f>
        <v>4573651.4963457817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5072413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-83489.166666666672</v>
      </c>
      <c r="D73" s="349">
        <f>(Normalized_FCF!C25+Normalized_FCF!C35-Normalized_FCF!C91)/12</f>
        <v>-83126.91727570309</v>
      </c>
      <c r="F73" s="1" t="s">
        <v>348</v>
      </c>
    </row>
    <row r="74" spans="2:6" ht="15" customHeight="1">
      <c r="B74" s="257" t="s">
        <v>318</v>
      </c>
      <c r="C74" s="258">
        <f>-$C$66/C73</f>
        <v>60.75534350764071</v>
      </c>
      <c r="D74" s="258">
        <f>-$C$66/D73</f>
        <v>61.020102347553312</v>
      </c>
      <c r="F74" s="253" t="s">
        <v>316</v>
      </c>
    </row>
    <row r="75" spans="2:6" ht="15" customHeight="1">
      <c r="B75" s="80" t="s">
        <v>317</v>
      </c>
      <c r="C75" s="320"/>
      <c r="D75" s="321">
        <f>MAX(-D73*D76,G5)</f>
        <v>498761.50365421851</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238667</v>
      </c>
      <c r="D80" s="76">
        <f>G19*H19</f>
        <v>23866.7</v>
      </c>
      <c r="F80" s="253"/>
    </row>
    <row r="81" spans="2:8" ht="15" customHeight="1">
      <c r="B81" s="105" t="s">
        <v>179</v>
      </c>
      <c r="C81" s="20">
        <f>G9+G21</f>
        <v>0</v>
      </c>
      <c r="D81" s="76">
        <f>G9*H9+G21*H21</f>
        <v>0</v>
      </c>
      <c r="F81" s="253"/>
    </row>
    <row r="82" spans="2:8" ht="15" customHeight="1">
      <c r="B82" s="80" t="s">
        <v>188</v>
      </c>
      <c r="C82" s="81">
        <f>SUM(C79:C81)</f>
        <v>238667</v>
      </c>
      <c r="D82" s="81">
        <f>SUM(D79:D81)</f>
        <v>23866.7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-115864</v>
      </c>
      <c r="D86" s="223">
        <f>C86*scaling_factor/Common_Shares</f>
        <v>-5.0706701944848852E-2</v>
      </c>
      <c r="E86" s="240" t="str">
        <f>Market_currency</f>
        <v>HKD</v>
      </c>
    </row>
    <row r="87" spans="2:8" ht="15" customHeight="1">
      <c r="B87" s="238" t="s">
        <v>286</v>
      </c>
      <c r="C87" s="76">
        <f>DCF!C8*Exchange_Rate</f>
        <v>4573651.4963457817</v>
      </c>
      <c r="D87" s="223">
        <f>C87*scaling_factor/Common_Shares</f>
        <v>2.0016120902507897</v>
      </c>
      <c r="E87" s="240" t="str">
        <f>Market_currency</f>
        <v>HKD</v>
      </c>
    </row>
    <row r="88" spans="2:8" ht="15" customHeight="1">
      <c r="B88" s="239" t="s">
        <v>188</v>
      </c>
      <c r="C88" s="76">
        <f>DCF!C9*Exchange_Rate</f>
        <v>23866.7</v>
      </c>
      <c r="D88" s="223">
        <f>C88*scaling_factor/Common_Shares</f>
        <v>1.0445018671089587E-2</v>
      </c>
      <c r="E88" s="240" t="str">
        <f>Market_currency</f>
        <v>HKD</v>
      </c>
    </row>
    <row r="89" spans="2:8" ht="15" customHeight="1">
      <c r="B89" s="80" t="s">
        <v>290</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46</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48</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45</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151</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68</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163</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63</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153</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62</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46</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AVERAGE(G28:I28)</f>
        <v>0.28653386478483844</v>
      </c>
      <c r="D28" s="26"/>
      <c r="E28" s="266" t="s">
        <v>330</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330</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-217895.5</v>
      </c>
      <c r="E33" s="266" t="s">
        <v>330</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49</v>
      </c>
      <c r="C34" s="340">
        <f>AVERAGE(G34:J34)</f>
        <v>-331291.5</v>
      </c>
      <c r="D34" s="58"/>
      <c r="E34" s="266" t="s">
        <v>330</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45</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342</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339</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68</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1.3975005584127318E-2</v>
      </c>
      <c r="E53" s="265" t="s">
        <v>332</v>
      </c>
      <c r="G53" s="6">
        <f>IF(Normalized_FCF!G4="","",Normalized_FCF!G49/BS!$C$66)</f>
        <v>1.3975005584127318E-2</v>
      </c>
      <c r="H53" s="169"/>
      <c r="I53" s="169"/>
      <c r="J53" s="169"/>
      <c r="K53" s="169"/>
      <c r="L53" s="169"/>
      <c r="M53" s="169"/>
      <c r="N53" s="169"/>
      <c r="O53" s="169"/>
      <c r="P53" s="169"/>
      <c r="Q53" s="169"/>
    </row>
    <row r="54" spans="1:17" ht="15.75" customHeight="1">
      <c r="A54" s="10"/>
      <c r="B54" s="8" t="s">
        <v>87</v>
      </c>
      <c r="C54" s="82">
        <f>G54</f>
        <v>9.8477525374577088E-2</v>
      </c>
      <c r="E54" s="265" t="s">
        <v>333</v>
      </c>
      <c r="G54" s="23">
        <f>IFERROR(ABS(Normalized_FCF!G47/BS!$G$31),0)</f>
        <v>9.8477525374577088E-2</v>
      </c>
      <c r="H54" s="169"/>
      <c r="I54" s="169"/>
      <c r="J54" s="169"/>
      <c r="K54" s="169"/>
      <c r="L54" s="169"/>
      <c r="M54" s="169"/>
      <c r="N54" s="169"/>
      <c r="O54" s="169"/>
      <c r="P54" s="169"/>
      <c r="Q54" s="169"/>
    </row>
    <row r="55" spans="1:17" ht="15.75" customHeight="1">
      <c r="A55" s="10"/>
      <c r="B55" s="26" t="s">
        <v>90</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151</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163</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153</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212</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453</v>
      </c>
      <c r="C93" s="356">
        <f>C90/Market_Price</f>
        <v>0</v>
      </c>
      <c r="E93" s="268"/>
      <c r="G93" s="357"/>
      <c r="H93" s="357"/>
      <c r="I93" s="357"/>
      <c r="J93" s="357"/>
      <c r="K93" s="357"/>
      <c r="L93" s="357"/>
      <c r="M93" s="357"/>
      <c r="N93" s="357"/>
      <c r="O93" s="357"/>
      <c r="P93" s="357"/>
      <c r="Q93" s="357"/>
    </row>
    <row r="94" spans="1:17" ht="15.75" customHeight="1">
      <c r="A94" s="10"/>
      <c r="B94" s="2" t="s">
        <v>452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163</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209</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210</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40</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30</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217</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83</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91</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221</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5.2391564177797344E-3</v>
      </c>
      <c r="D126" s="27"/>
      <c r="E126" s="265"/>
      <c r="F126" s="27"/>
      <c r="G126" s="77">
        <f t="shared" ref="G126" si="50">IF(G$4="","",G125/Market_Price)</f>
        <v>-1.6074249353692099E-2</v>
      </c>
      <c r="H126" s="77">
        <f t="shared" ref="H126" si="51">IF(H$4="","",H125/Market_Price)</f>
        <v>-4.7870421432089097E-2</v>
      </c>
      <c r="I126" s="77">
        <f t="shared" ref="I126" si="52">IF(I$4="","",I125/Market_Price)</f>
        <v>-1.0718349619934002E-2</v>
      </c>
      <c r="J126" s="77">
        <f t="shared" ref="J126" si="53">IF(J$4="","",J125/Market_Price)</f>
        <v>1.9556761125177777E-2</v>
      </c>
      <c r="K126" s="77">
        <f t="shared" ref="K126" si="54">IF(K$4="","",K125/Market_Price)</f>
        <v>3.5254160681233195E-2</v>
      </c>
      <c r="L126" s="77">
        <f t="shared" ref="L126" si="55">IF(L$4="","",L125/Market_Price)</f>
        <v>1.0501203734151183E-2</v>
      </c>
      <c r="M126" s="77">
        <f t="shared" ref="M126" si="56">IF(M$4="","",M125/Market_Price)</f>
        <v>-4.8300610739598609E-3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-0.19981271765985131</v>
      </c>
      <c r="H127" s="23">
        <f>IF(H$4="","",(Data!D47*$C$3)/(Market_Price*Common_Shares))</f>
        <v>-0.10601358686756739</v>
      </c>
      <c r="I127" s="23">
        <f>IF(I$4="","",(Data!E47*$C$3)/(Market_Price*Common_Shares))</f>
        <v>-5.2265675482196742E-3</v>
      </c>
      <c r="J127" s="23">
        <f>IF(J$4="","",(Data!F47*$C$3)/(Market_Price*Common_Shares))</f>
        <v>-3.1066863386563037</v>
      </c>
      <c r="K127" s="23">
        <f>IF(K$4="","",(Data!G47*$C$3)/(Market_Price*Common_Shares))</f>
        <v>-0.17110569675293108</v>
      </c>
      <c r="L127" s="23">
        <f>IF(L$4="","",(Data!H47*$C$3)/(Market_Price*Common_Shares))</f>
        <v>-0.25875132447574622</v>
      </c>
      <c r="M127" s="23">
        <f>IF(M$4="","",(Data!I47*$C$3)/(Market_Price*Common_Shares))</f>
        <v>-0.33727084630940052</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21907.640617708814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292101.87490278418</v>
      </c>
      <c r="D6" t="str">
        <f>Reporting_currency</f>
        <v>HKD</v>
      </c>
      <c r="E6" s="366" t="s">
        <v>248</v>
      </c>
      <c r="F6" s="366"/>
      <c r="H6" s="120"/>
    </row>
    <row r="7" spans="2:8">
      <c r="B7" s="148" t="s">
        <v>223</v>
      </c>
      <c r="C7" s="338">
        <f>BS!G31</f>
        <v>115864</v>
      </c>
      <c r="D7" t="str">
        <f>Reporting_currency</f>
        <v>HKD</v>
      </c>
      <c r="E7" s="366"/>
      <c r="F7" s="366"/>
      <c r="H7" s="120"/>
    </row>
    <row r="8" spans="2:8">
      <c r="B8" s="148" t="s">
        <v>224</v>
      </c>
      <c r="C8" s="338">
        <f>BS!D66</f>
        <v>4573651.4963457817</v>
      </c>
      <c r="D8" t="str">
        <f>Reporting_currency</f>
        <v>HKD</v>
      </c>
      <c r="E8" s="366"/>
      <c r="F8" s="366"/>
      <c r="H8" s="120"/>
    </row>
    <row r="9" spans="2:8">
      <c r="B9" s="205" t="s">
        <v>189</v>
      </c>
      <c r="C9" s="348">
        <f>BS!H42</f>
        <v>23866.7</v>
      </c>
      <c r="D9" t="str">
        <f>Reporting_currency</f>
        <v>HKD</v>
      </c>
      <c r="E9" s="366"/>
      <c r="F9" s="366"/>
      <c r="H9" s="120"/>
    </row>
    <row r="10" spans="2:8" ht="13.15">
      <c r="B10" s="149" t="s">
        <v>226</v>
      </c>
      <c r="C10" s="347">
        <f>C6-C7+C8+C9</f>
        <v>4773756.0712485658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2.089185823570856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2.1092470181722871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305706.48201313155</v>
      </c>
      <c r="D51" s="139">
        <f>Terminal_Growth</f>
        <v>0</v>
      </c>
      <c r="E51" s="124">
        <f>1/(1+Equity_Cost)^C17</f>
        <v>0.48519392830146441</v>
      </c>
      <c r="F51" s="125">
        <f t="shared" si="1"/>
        <v>148326.92891517226</v>
      </c>
      <c r="H51" s="120"/>
    </row>
    <row r="52" spans="1:17">
      <c r="C52" s="114"/>
      <c r="E52" s="127" t="s">
        <v>100</v>
      </c>
      <c r="F52" s="137">
        <f>SUM(F21:F51)</f>
        <v>337941.38254475768</v>
      </c>
      <c r="H52" s="120"/>
    </row>
    <row r="53" spans="1:17">
      <c r="C53" s="114"/>
      <c r="H53" s="120"/>
    </row>
    <row r="54" spans="1:17" ht="13.15">
      <c r="B54" s="119" t="s">
        <v>128</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116</v>
      </c>
      <c r="C73" s="171" t="s">
        <v>131</v>
      </c>
      <c r="D73" s="171" t="s">
        <v>111</v>
      </c>
      <c r="E73" s="172" t="s">
        <v>112</v>
      </c>
      <c r="F73" s="172" t="s">
        <v>118</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0</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0</v>
      </c>
      <c r="D6" t="str">
        <f>Reporting_currency</f>
        <v>HKD</v>
      </c>
      <c r="E6" s="366"/>
      <c r="F6" s="366"/>
      <c r="H6" s="120"/>
    </row>
    <row r="7" spans="2:8" ht="13.15">
      <c r="B7" s="149" t="s">
        <v>440</v>
      </c>
      <c r="C7" s="111">
        <f>(C6*scaling_factor)/Common_Shares*Exchange_Rate</f>
        <v>0</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0</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0</v>
      </c>
      <c r="D46" s="139">
        <f>Terminal_Growth</f>
        <v>0</v>
      </c>
      <c r="E46" s="124">
        <f>1/(1+Equity_Cost)^C12</f>
        <v>0.48519392830146441</v>
      </c>
      <c r="F46" s="125">
        <f t="shared" si="1"/>
        <v>0</v>
      </c>
      <c r="H46" s="120"/>
    </row>
    <row r="47" spans="2:8">
      <c r="C47" s="114"/>
      <c r="E47" s="127" t="s">
        <v>100</v>
      </c>
      <c r="F47" s="137">
        <f>SUM(F16:F46)</f>
        <v>0</v>
      </c>
      <c r="H47" s="120"/>
    </row>
    <row r="48" spans="2:8">
      <c r="C48" s="114"/>
      <c r="H48" s="120"/>
    </row>
    <row r="49" spans="1:8" ht="13.15">
      <c r="B49" s="119" t="s">
        <v>128</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129</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116</v>
      </c>
      <c r="C68" s="171" t="s">
        <v>131</v>
      </c>
      <c r="D68" s="171" t="s">
        <v>111</v>
      </c>
      <c r="E68" s="172" t="s">
        <v>112</v>
      </c>
      <c r="F68" s="172" t="s">
        <v>118</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-1.83</v>
      </c>
    </row>
    <row r="4" spans="2:9">
      <c r="B4" s="152" t="s">
        <v>145</v>
      </c>
      <c r="C4" s="120">
        <v>3</v>
      </c>
      <c r="D4" s="120"/>
      <c r="E4" s="155" t="s">
        <v>149</v>
      </c>
      <c r="F4" s="155"/>
      <c r="H4" s="247">
        <v>1</v>
      </c>
      <c r="I4" s="124">
        <f t="shared" ref="I4:I13" si="0">IF(ROW()-3 &lt; $C$76, $C$77, IF(ROW()-3 = $C$76, $C$77 + $C$60, ""))</f>
        <v>0</v>
      </c>
    </row>
    <row r="5" spans="2:9">
      <c r="H5" s="247">
        <v>2</v>
      </c>
      <c r="I5" s="124">
        <f t="shared" si="0"/>
        <v>0</v>
      </c>
    </row>
    <row r="6" spans="2:9" ht="13.15">
      <c r="B6" s="159" t="s">
        <v>95</v>
      </c>
      <c r="C6" s="107">
        <f>DCF!C3</f>
        <v>1000</v>
      </c>
      <c r="E6" s="100" t="s">
        <v>278</v>
      </c>
      <c r="F6" s="100"/>
      <c r="H6" s="247">
        <v>3</v>
      </c>
      <c r="I6" s="124">
        <f t="shared" si="0"/>
        <v>2.1131011468081908</v>
      </c>
    </row>
    <row r="7" spans="2:9" ht="12.75" customHeight="1">
      <c r="B7" s="100" t="s">
        <v>274</v>
      </c>
      <c r="C7" s="338">
        <f>Normalized_FCF!G8</f>
        <v>29303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68"/>
      <c r="H7" s="247">
        <v>4</v>
      </c>
      <c r="I7" s="124" t="str">
        <f t="shared" si="0"/>
        <v/>
      </c>
    </row>
    <row r="8" spans="2:9">
      <c r="B8" s="100" t="s">
        <v>66</v>
      </c>
      <c r="C8" s="338">
        <f>Normalized_FCF!G19</f>
        <v>-67214.805201284558</v>
      </c>
      <c r="D8" t="str">
        <f>Reporting_currency</f>
        <v>HKD</v>
      </c>
      <c r="E8" s="368"/>
      <c r="F8" s="368"/>
      <c r="H8" s="247">
        <v>5</v>
      </c>
      <c r="I8" s="124" t="str">
        <f t="shared" si="0"/>
        <v/>
      </c>
    </row>
    <row r="9" spans="2:9">
      <c r="B9" s="100" t="s">
        <v>57</v>
      </c>
      <c r="C9" s="338">
        <f>Normalized_FCF!C19</f>
        <v>21907.640617708814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-4.8760226650597205E-2</v>
      </c>
      <c r="D12" s="158"/>
      <c r="E12" s="368"/>
      <c r="F12" s="368"/>
      <c r="H12" s="247">
        <v>9</v>
      </c>
      <c r="I12" s="124" t="str">
        <f t="shared" si="0"/>
        <v/>
      </c>
    </row>
    <row r="13" spans="2:9">
      <c r="B13" s="148" t="s">
        <v>151</v>
      </c>
      <c r="C13" s="158">
        <f ca="1">(Normalized_FCF!G8/OFFSET(Normalized_FCF!G8, 0, $C$4))^(1/$C$4) - 1</f>
        <v>-0.53605739463275559</v>
      </c>
      <c r="E13" s="368"/>
      <c r="F13" s="368"/>
      <c r="H13" s="247">
        <v>10</v>
      </c>
      <c r="I13" s="124" t="str">
        <f t="shared" si="0"/>
        <v/>
      </c>
    </row>
    <row r="14" spans="2:9">
      <c r="B14" s="100" t="s">
        <v>66</v>
      </c>
      <c r="C14" s="158">
        <f ca="1">(Normalized_FCF!G19/OFFSET(Normalized_FCF!G19, 0, $C$4))^(1/$C$4) - 1</f>
        <v>-1.9367231569408296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1.83</v>
      </c>
      <c r="D21" t="str">
        <f>Market_currency</f>
        <v>HKD</v>
      </c>
      <c r="E21" s="369"/>
      <c r="F21" s="369"/>
    </row>
    <row r="22" spans="2:6">
      <c r="B22" s="100" t="s">
        <v>277</v>
      </c>
      <c r="C22" s="160">
        <f>IF(valuation_method="DCF",DCF!C12,DDM!C7)</f>
        <v>2.089185823570856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2.1061368981109276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2.089185823570856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0.08</v>
      </c>
      <c r="D38" s="164"/>
      <c r="E38" s="367"/>
      <c r="F38" s="367"/>
    </row>
    <row r="39" spans="2:6">
      <c r="B39" s="100" t="s">
        <v>112</v>
      </c>
      <c r="C39" s="160">
        <f>IF(valuation_method="DCF",DCF!E75,DDM!E70)</f>
        <v>2.1267011346081133</v>
      </c>
      <c r="D39" t="str">
        <f>Market_currency</f>
        <v>HKD</v>
      </c>
      <c r="E39" s="367"/>
      <c r="F39" s="367"/>
    </row>
    <row r="40" spans="2:6">
      <c r="B40" s="100" t="s">
        <v>146</v>
      </c>
      <c r="C40" s="167">
        <f>1-C28-C34</f>
        <v>0.3</v>
      </c>
      <c r="D40" s="165"/>
      <c r="E40" s="367"/>
      <c r="F40" s="367"/>
    </row>
    <row r="42" spans="2:6" ht="13.15">
      <c r="B42" s="100" t="s">
        <v>119</v>
      </c>
      <c r="C42" s="154">
        <f>C27*C28+C33*C34+C39*C40</f>
        <v>2.108915954152069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2.0332245491925347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0.15</v>
      </c>
      <c r="D56" s="164"/>
      <c r="E56" s="367"/>
      <c r="F56" s="367"/>
    </row>
    <row r="57" spans="2:6">
      <c r="B57" s="100" t="s">
        <v>112</v>
      </c>
      <c r="C57" s="160">
        <f>IF(valuation_method="DCF",DCF!E74,DDM!E69)</f>
        <v>2.2683112122340416</v>
      </c>
      <c r="D57" t="str">
        <f>Market_currency</f>
        <v>HKD</v>
      </c>
      <c r="E57" s="367"/>
      <c r="F57" s="367"/>
    </row>
    <row r="58" spans="2:6">
      <c r="B58" s="100" t="s">
        <v>146</v>
      </c>
      <c r="C58" s="165">
        <v>0.05</v>
      </c>
      <c r="D58" s="165"/>
      <c r="E58" s="367"/>
      <c r="F58" s="367"/>
    </row>
    <row r="60" spans="2:6" ht="13.15">
      <c r="B60" s="100" t="s">
        <v>119</v>
      </c>
      <c r="C60" s="154">
        <f>C51*C52+C57*C58+C42*(1-C52-C58)</f>
        <v>2.1131011468081908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2.1092470181722871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0.92818576618522131</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v>
      </c>
      <c r="D77" t="str">
        <f>Market_currency</f>
        <v>HKD</v>
      </c>
    </row>
    <row r="79" spans="2:6" ht="13.15">
      <c r="B79" s="109" t="s">
        <v>300</v>
      </c>
    </row>
    <row r="80" spans="2:6">
      <c r="B80" s="148" t="s">
        <v>298</v>
      </c>
      <c r="C80" s="167">
        <f>Thesis!F29</f>
        <v>0.3674</v>
      </c>
    </row>
    <row r="81" spans="2:8">
      <c r="B81" s="100" t="s">
        <v>120</v>
      </c>
      <c r="C81" s="116">
        <f>PV(C80, C76, -C77, 0)</f>
        <v>0</v>
      </c>
      <c r="D81" s="116"/>
      <c r="E81" s="100"/>
      <c r="F81" s="100"/>
    </row>
    <row r="82" spans="2:8">
      <c r="B82" s="100" t="s">
        <v>121</v>
      </c>
      <c r="C82" s="116">
        <f>C60/(1+C80)^C76</f>
        <v>0.82648230361166808</v>
      </c>
      <c r="D82" s="116"/>
    </row>
    <row r="83" spans="2:8" ht="13.15">
      <c r="B83" s="110" t="s">
        <v>101</v>
      </c>
      <c r="C83" s="111">
        <f>C81+C82</f>
        <v>0.82648230361166808</v>
      </c>
      <c r="D83" t="str">
        <f>Market_currency</f>
        <v>HKD</v>
      </c>
      <c r="E83" s="146" t="s">
        <v>125</v>
      </c>
      <c r="F83" s="291">
        <f>(1-C83/C60)</f>
        <v>0.60887707393464918</v>
      </c>
    </row>
    <row r="84" spans="2:8">
      <c r="E84" s="120"/>
    </row>
    <row r="85" spans="2:8" ht="13.15">
      <c r="B85" s="109" t="s">
        <v>301</v>
      </c>
    </row>
    <row r="86" spans="2:8">
      <c r="B86" s="148" t="s">
        <v>299</v>
      </c>
      <c r="C86" s="116">
        <f>Market_Price</f>
        <v>1.83</v>
      </c>
      <c r="D86" t="str">
        <f>Market_currency</f>
        <v>HKD</v>
      </c>
    </row>
    <row r="87" spans="2:8" ht="13.15">
      <c r="B87" s="100" t="s">
        <v>297</v>
      </c>
      <c r="C87" s="237">
        <f ca="1">IRR(OFFSET($I$3, 0, 0, $C$76 + 1, 1))</f>
        <v>4.9114924667453375E-2</v>
      </c>
    </row>
    <row r="88" spans="2:8">
      <c r="B88" s="100"/>
    </row>
    <row r="89" spans="2:8" ht="13.15">
      <c r="B89" s="109" t="s">
        <v>409</v>
      </c>
    </row>
    <row r="90" spans="2:8">
      <c r="B90" s="148" t="s">
        <v>410</v>
      </c>
      <c r="C90" s="167">
        <f>Thesis!F30</f>
        <v>0.21740000000000001</v>
      </c>
    </row>
    <row r="91" spans="2:8">
      <c r="B91" s="100" t="s">
        <v>120</v>
      </c>
      <c r="C91" s="116">
        <f>PV(C90, C76, -C77, 0)</f>
        <v>0</v>
      </c>
      <c r="D91" s="116"/>
      <c r="E91" s="100"/>
      <c r="F91" s="100"/>
    </row>
    <row r="92" spans="2:8">
      <c r="B92" s="100" t="s">
        <v>121</v>
      </c>
      <c r="C92" s="116">
        <f>C60/(1+C90)^C76</f>
        <v>1.1711712249606363</v>
      </c>
      <c r="D92" s="116"/>
    </row>
    <row r="93" spans="2:8" ht="13.15">
      <c r="B93" s="110" t="s">
        <v>101</v>
      </c>
      <c r="C93" s="111">
        <f>C91+C92</f>
        <v>1.1711712249606363</v>
      </c>
      <c r="D93" t="str">
        <f>Market_currency</f>
        <v>HKD</v>
      </c>
      <c r="E93" s="146" t="s">
        <v>125</v>
      </c>
      <c r="F93" s="291">
        <f>(1-C93/C60)</f>
        <v>0.44575713910823733</v>
      </c>
    </row>
    <row r="95" spans="2:8" ht="13.15">
      <c r="B95" s="109" t="s">
        <v>394</v>
      </c>
      <c r="G95" s="2"/>
      <c r="H95" s="281"/>
    </row>
    <row r="96" spans="2:8">
      <c r="B96" s="148" t="s">
        <v>400</v>
      </c>
      <c r="C96" s="134">
        <f>Thesis!F31</f>
        <v>7.4999999999999997E-2</v>
      </c>
      <c r="G96" s="2"/>
      <c r="H96" s="281"/>
    </row>
    <row r="97" spans="2:8">
      <c r="B97" s="100" t="s">
        <v>120</v>
      </c>
      <c r="C97" s="116">
        <f>PV(C96, C76, -C77, 0)</f>
        <v>0</v>
      </c>
      <c r="D97" s="116"/>
      <c r="G97" s="2"/>
      <c r="H97" s="281"/>
    </row>
    <row r="98" spans="2:8">
      <c r="B98" s="100" t="s">
        <v>121</v>
      </c>
      <c r="C98" s="116">
        <f>C60/(1+C96)^C76</f>
        <v>1.7009631025661165</v>
      </c>
      <c r="D98" s="116"/>
      <c r="G98" s="2"/>
      <c r="H98" s="281"/>
    </row>
    <row r="99" spans="2:8" ht="13.15">
      <c r="B99" s="110" t="s">
        <v>395</v>
      </c>
      <c r="C99" s="111">
        <f>C97+C98</f>
        <v>1.7009631025661165</v>
      </c>
      <c r="D99" t="s">
        <v>393</v>
      </c>
      <c r="E99" s="146" t="s">
        <v>125</v>
      </c>
      <c r="F99" s="291">
        <f>(1-C99/C60)</f>
        <v>0.19503943049039696</v>
      </c>
    </row>
    <row r="100" spans="2:8">
      <c r="B100" s="100"/>
    </row>
    <row r="101" spans="2:8" ht="13.15">
      <c r="B101" s="109" t="s">
        <v>418</v>
      </c>
    </row>
    <row r="102" spans="2:8">
      <c r="B102" s="148" t="s">
        <v>417</v>
      </c>
      <c r="C102" s="134">
        <f>Thesis!F32</f>
        <v>0.1174</v>
      </c>
    </row>
    <row r="103" spans="2:8">
      <c r="B103" s="100" t="s">
        <v>120</v>
      </c>
      <c r="C103" s="116">
        <f>PV(C102, C76, -C77, 0)</f>
        <v>0</v>
      </c>
      <c r="D103" s="116"/>
    </row>
    <row r="104" spans="2:8">
      <c r="B104" s="100" t="s">
        <v>121</v>
      </c>
      <c r="C104" s="116">
        <f>C60/(1+C102)^C76</f>
        <v>1.514587208466269</v>
      </c>
      <c r="D104" s="116"/>
    </row>
    <row r="105" spans="2:8" ht="13.15">
      <c r="B105" s="110" t="s">
        <v>395</v>
      </c>
      <c r="C105" s="111">
        <f>C103+C104</f>
        <v>1.514587208466269</v>
      </c>
      <c r="D105" t="s">
        <v>393</v>
      </c>
      <c r="E105" s="146" t="s">
        <v>125</v>
      </c>
      <c r="F105" s="291">
        <f>(1-C105/C66)</f>
        <v>0.2819299041708756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