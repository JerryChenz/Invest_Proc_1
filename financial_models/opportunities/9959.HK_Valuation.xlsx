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478821-39B3-4982-B4E1-572CEE687E0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<sst xmlns="http://schemas.openxmlformats.org/spreadsheetml/2006/main" count="686" uniqueCount="465">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</sst>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1.84</v>
      </c>
      <c r="D12" s="50"/>
      <c r="E12" s="48"/>
    </row>
    <row r="13" spans="1:10">
      <c r="B13" s="1" t="s">
        <v>412</v>
      </c>
      <c r="C13" s="48" t="s">
        <v>393</v>
      </c>
      <c r="D13" s="48"/>
      <c r="E13" s="5"/>
    </row>
    <row r="14" spans="1:10">
      <c r="B14" s="4" t="s">
        <v>416</v>
      </c>
      <c r="C14" s="35">
        <f>Thesis!C12*Common_Shares/1000000</f>
        <v>4204.3704643199999</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4.721090065568645E-2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33649.992691562977</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1" t="s">
        <v>240</v>
      </c>
      <c r="C58" s="361"/>
      <c r="D58" s="361"/>
      <c r="E58" s="361"/>
      <c r="F58" s="361"/>
    </row>
    <row r="59" spans="2:6">
      <c r="B59" s="47" t="s">
        <v>238</v>
      </c>
      <c r="C59" s="349">
        <f>Normalized_FCF!C14</f>
        <v>-7302.5468725696046</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5.2106827415961494E-3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0" t="s">
        <v>363</v>
      </c>
      <c r="C116" s="360"/>
      <c r="D116" s="360"/>
      <c r="E116" s="360"/>
      <c r="F116" s="360"/>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5.2106827415961494E-3</v>
      </c>
      <c r="D126" s="27"/>
      <c r="E126" s="265"/>
      <c r="F126" s="27"/>
      <c r="G126" s="77">
        <f t="shared" ref="G126" si="50">IF(G$4="","",G125/Market_Price)</f>
        <v>-1.5986889302856817E-2</v>
      </c>
      <c r="H126" s="77">
        <f t="shared" ref="H126" si="51">IF(H$4="","",H125/Market_Price)</f>
        <v>-4.7610256098219048E-2</v>
      </c>
      <c r="I126" s="77">
        <f t="shared" ref="I126" si="52">IF(I$4="","",I125/Market_Price)</f>
        <v>-1.0660097719825665E-2</v>
      </c>
      <c r="J126" s="77">
        <f t="shared" ref="J126" si="53">IF(J$4="","",J125/Market_Price)</f>
        <v>1.9450474379932244E-2</v>
      </c>
      <c r="K126" s="77">
        <f t="shared" ref="K126" si="54">IF(K$4="","",K125/Market_Price)</f>
        <v>3.5062561981878668E-2</v>
      </c>
      <c r="L126" s="77">
        <f t="shared" ref="L126" si="55">IF(L$4="","",L125/Market_Price)</f>
        <v>1.0444131974726449E-2</v>
      </c>
      <c r="M126" s="77">
        <f t="shared" ref="M126" si="56">IF(M$4="","",M125/Market_Price)</f>
        <v>-4.8038107420361655E-3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-0.19872677897691735</v>
      </c>
      <c r="H127" s="23">
        <f>IF(H$4="","",(Data!D47*$C$3)/(Market_Price*Common_Shares))</f>
        <v>-0.10543742606937408</v>
      </c>
      <c r="I127" s="23">
        <f>IF(I$4="","",(Data!E47*$C$3)/(Market_Price*Common_Shares))</f>
        <v>-5.1981622898054367E-3</v>
      </c>
      <c r="J127" s="23">
        <f>IF(J$4="","",(Data!F47*$C$3)/(Market_Price*Common_Shares))</f>
        <v>-3.089802173772302</v>
      </c>
      <c r="K127" s="23">
        <f>IF(K$4="","",(Data!G47*$C$3)/(Market_Price*Common_Shares))</f>
        <v>-0.1701757744879695</v>
      </c>
      <c r="L127" s="23">
        <f>IF(L$4="","",(Data!H47*$C$3)/(Market_Price*Common_Shares))</f>
        <v>-0.2573450672775085</v>
      </c>
      <c r="M127" s="23">
        <f>IF(M$4="","",(Data!I47*$C$3)/(Market_Price*Common_Shares))</f>
        <v>-0.33543785257945807</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-1.84</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1.84</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1.84</v>
      </c>
      <c r="D86" t="str">
        <f>Market_currency</f>
        <v>HKD</v>
      </c>
    </row>
    <row r="87" spans="2:8" ht="13.15">
      <c r="B87" s="100" t="s">
        <v>297</v>
      </c>
      <c r="C87" s="237">
        <f ca="1">IRR(OFFSET($I$3, 0, 0, $C$76 + 1, 1))</f>
        <v>4.721090065568645E-2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