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71B48D7-D676-4F03-A5BB-E1C542DA80A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<sst xmlns="http://schemas.openxmlformats.org/spreadsheetml/2006/main" count="836" uniqueCount="560">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</sst>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2.38</v>
      </c>
      <c r="D12" s="50"/>
      <c r="E12" s="48"/>
    </row>
    <row r="13" spans="1:10">
      <c r="B13" s="1" t="s">
        <v>485</v>
      </c>
      <c r="C13" s="32" t="str">
        <f>Market_currency</f>
        <v>HKD</v>
      </c>
      <c r="D13" s="48"/>
      <c r="E13" s="5"/>
    </row>
    <row r="14" spans="1:10">
      <c r="B14" s="4" t="s">
        <v>486</v>
      </c>
      <c r="C14" s="35">
        <f>投资主题!C12*Common_Shares/1000000</f>
        <v>5438.26179624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-3.8872265432020159E-2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4.0284269935029057E-3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4" t="s">
        <v>516</v>
      </c>
      <c r="C116" s="374"/>
      <c r="D116" s="374"/>
      <c r="E116" s="374"/>
      <c r="F116" s="374"/>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2.38</v>
      </c>
      <c r="D12" s="50"/>
      <c r="E12" s="48"/>
    </row>
    <row r="13" spans="1:10">
      <c r="B13" s="1" t="s">
        <v>464</v>
      </c>
      <c r="C13" s="48" t="s">
        <v>377</v>
      </c>
      <c r="D13" s="48"/>
      <c r="E13" s="5"/>
    </row>
    <row r="14" spans="1:10">
      <c r="B14" s="4" t="s">
        <v>465</v>
      </c>
      <c r="C14" s="35">
        <f>Thesis!C12*Common_Shares/1000000</f>
        <v>5438.26179624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-3.8872265432020159E-2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4.0284269935029057E-3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4" t="s">
        <v>352</v>
      </c>
      <c r="C116" s="374"/>
      <c r="D116" s="374"/>
      <c r="E116" s="374"/>
      <c r="F116" s="374"/>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4.0284269935029057E-3</v>
      </c>
      <c r="D126" s="27"/>
      <c r="E126" s="265"/>
      <c r="F126" s="27"/>
      <c r="G126" s="77">
        <f t="shared" ref="G126" si="50">IF(G$4="","",G125/Market_Price)</f>
        <v>-1.2359611898006951E-2</v>
      </c>
      <c r="H126" s="77">
        <f t="shared" ref="H126" si="51">IF(H$4="","",H125/Market_Price)</f>
        <v>-3.6807929084337415E-2</v>
      </c>
      <c r="I126" s="77">
        <f t="shared" ref="I126" si="52">IF(I$4="","",I125/Market_Price)</f>
        <v>-8.2414200859156402E-3</v>
      </c>
      <c r="J126" s="77">
        <f t="shared" ref="J126" si="53">IF(J$4="","",J125/Market_Price)</f>
        <v>1.5037341537426611E-2</v>
      </c>
      <c r="K126" s="77">
        <f t="shared" ref="K126" si="54">IF(K$4="","",K125/Market_Price)</f>
        <v>2.7107190775906197E-2</v>
      </c>
      <c r="L126" s="77">
        <f t="shared" ref="L126" si="55">IF(L$4="","",L125/Market_Price)</f>
        <v>8.0744549720574241E-3</v>
      </c>
      <c r="M126" s="77">
        <f t="shared" ref="M126" si="56">IF(M$4="","",M125/Market_Price)</f>
        <v>-3.7138704896414057E-3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-0.15363750979728064</v>
      </c>
      <c r="H127" s="23">
        <f>IF(H$4="","",(Data!D47*$C$3)/(Market_Price*Common_Shares))</f>
        <v>-8.1514648725902653E-2</v>
      </c>
      <c r="I127" s="23">
        <f>IF(I$4="","",(Data!E47*$C$3)/(Market_Price*Common_Shares))</f>
        <v>-4.0187473164882371E-3</v>
      </c>
      <c r="J127" s="23">
        <f>IF(J$4="","",(Data!F47*$C$3)/(Market_Price*Common_Shares))</f>
        <v>-2.3887546217399311</v>
      </c>
      <c r="K127" s="23">
        <f>IF(K$4="","",(Data!G47*$C$3)/(Market_Price*Common_Shares))</f>
        <v>-0.13156446431002686</v>
      </c>
      <c r="L127" s="23">
        <f>IF(L$4="","",(Data!H47*$C$3)/(Market_Price*Common_Shares))</f>
        <v>-0.19895585033219143</v>
      </c>
      <c r="M127" s="23">
        <f>IF(M$4="","",(Data!I47*$C$3)/(Market_Price*Common_Shares))</f>
        <v>-0.25933010451521132</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-2.38</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2.38</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2.38</v>
      </c>
      <c r="D86" t="str">
        <f>Market_currency</f>
        <v>HKD</v>
      </c>
    </row>
    <row r="87" spans="2:8" ht="13.15">
      <c r="B87" s="100" t="s">
        <v>293</v>
      </c>
      <c r="C87" s="237">
        <f ca="1">IRR(OFFSET($I$3, 0, 0, $C$76 + 1, 1))</f>
        <v>-3.8872265432020159E-2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