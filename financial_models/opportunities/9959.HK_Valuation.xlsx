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90311D6-A1B7-4034-99F0-10A956FC9037}"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O92" i="2"/>
  <c r="O94" i="2"/>
  <c r="Q92" i="2"/>
  <c r="Q94" i="2"/>
  <c r="P92" i="2"/>
  <c r="P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<sst xmlns="http://schemas.openxmlformats.org/spreadsheetml/2006/main" count="836" uniqueCount="560">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</sst>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B58A328-ABD8-4CAF-89FD-B9EA40E119A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2284983948</v>
          </cell>
        </row>
        <row r="12">
          <cell r="C12">
            <v>2.04</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2.2400000000000002</v>
      </c>
      <c r="D12" s="50"/>
      <c r="E12" s="48"/>
    </row>
    <row r="13" spans="1:10">
      <c r="B13" s="1" t="s">
        <v>464</v>
      </c>
      <c r="C13" s="48" t="s">
        <v>377</v>
      </c>
      <c r="D13" s="48"/>
      <c r="E13" s="5"/>
    </row>
    <row r="14" spans="1:10">
      <c r="B14" s="4" t="s">
        <v>465</v>
      </c>
      <c r="C14" s="35">
        <f>Thesis!C12*Common_Shares/1000000</f>
        <v>5118.3640435200005</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-1.9252019650804364E-2</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33649.992691562977</v>
      </c>
      <c r="D41" s="1" t="str">
        <f>Reporting_currency</f>
        <v>HKD</v>
      </c>
    </row>
    <row r="42" spans="1:6">
      <c r="B42" s="47"/>
      <c r="C42" s="76"/>
    </row>
    <row r="43" spans="1:6" ht="24.6" customHeight="1">
      <c r="B43" s="373" t="s">
        <v>229</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232</v>
      </c>
      <c r="C47" s="373"/>
      <c r="D47" s="373"/>
      <c r="E47" s="373"/>
      <c r="F47" s="373"/>
    </row>
    <row r="48" spans="1:6">
      <c r="B48" s="47" t="s">
        <v>233</v>
      </c>
      <c r="C48" s="349">
        <f>Normalized_FCF!C11</f>
        <v>0</v>
      </c>
      <c r="D48" s="1" t="str">
        <f>Reporting_currency</f>
        <v>HKD</v>
      </c>
    </row>
    <row r="50" spans="2:6">
      <c r="B50" s="373" t="s">
        <v>236</v>
      </c>
      <c r="C50" s="373"/>
      <c r="D50" s="373"/>
      <c r="E50" s="373"/>
      <c r="F50" s="373"/>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73" t="s">
        <v>237</v>
      </c>
      <c r="C58" s="373"/>
      <c r="D58" s="373"/>
      <c r="E58" s="373"/>
      <c r="F58" s="373"/>
    </row>
    <row r="59" spans="2:6">
      <c r="B59" s="47" t="s">
        <v>235</v>
      </c>
      <c r="C59" s="349">
        <f>Normalized_FCF!C14</f>
        <v>-7302.5468725696046</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4.2802036805968365E-3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2" t="s">
        <v>352</v>
      </c>
      <c r="C116" s="372"/>
      <c r="D116" s="372"/>
      <c r="E116" s="372"/>
      <c r="F116" s="372"/>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4.2802036805968365E-3</v>
      </c>
      <c r="D126" s="27"/>
      <c r="E126" s="265"/>
      <c r="F126" s="27"/>
      <c r="G126" s="77">
        <f t="shared" ref="G126" si="50">IF(G$4="","",G125/Market_Price)</f>
        <v>-1.3132087641632385E-2</v>
      </c>
      <c r="H126" s="77">
        <f t="shared" ref="H126" si="51">IF(H$4="","",H125/Market_Price)</f>
        <v>-3.9108424652108502E-2</v>
      </c>
      <c r="I126" s="77">
        <f t="shared" ref="I126" si="52">IF(I$4="","",I125/Market_Price)</f>
        <v>-8.7565088412853657E-3</v>
      </c>
      <c r="J126" s="77">
        <f t="shared" ref="J126" si="53">IF(J$4="","",J125/Market_Price)</f>
        <v>1.5977175383515771E-2</v>
      </c>
      <c r="K126" s="77">
        <f t="shared" ref="K126" si="54">IF(K$4="","",K125/Market_Price)</f>
        <v>2.8801390199400329E-2</v>
      </c>
      <c r="L126" s="77">
        <f t="shared" ref="L126" si="55">IF(L$4="","",L125/Market_Price)</f>
        <v>8.5791084078110109E-3</v>
      </c>
      <c r="M126" s="77">
        <f t="shared" ref="M126" si="56">IF(M$4="","",M125/Market_Price)</f>
        <v>-3.9459873952439935E-3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-0.16323985415961068</v>
      </c>
      <c r="H127" s="23">
        <f>IF(H$4="","",(Data!D47*$C$3)/(Market_Price*Common_Shares))</f>
        <v>-8.6609314271271567E-2</v>
      </c>
      <c r="I127" s="23">
        <f>IF(I$4="","",(Data!E47*$C$3)/(Market_Price*Common_Shares))</f>
        <v>-4.2699190237687513E-3</v>
      </c>
      <c r="J127" s="23">
        <f>IF(J$4="","",(Data!F47*$C$3)/(Market_Price*Common_Shares))</f>
        <v>-2.5380517855986766</v>
      </c>
      <c r="K127" s="23">
        <f>IF(K$4="","",(Data!G47*$C$3)/(Market_Price*Common_Shares))</f>
        <v>-0.13978724332940351</v>
      </c>
      <c r="L127" s="23">
        <f>IF(L$4="","",(Data!H47*$C$3)/(Market_Price*Common_Shares))</f>
        <v>-0.21139059097795337</v>
      </c>
      <c r="M127" s="23">
        <f>IF(M$4="","",(Data!I47*$C$3)/(Market_Price*Common_Shares))</f>
        <v>-0.27553823604741201</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8" t="s">
        <v>245</v>
      </c>
      <c r="F6" s="378"/>
      <c r="H6" s="120"/>
    </row>
    <row r="7" spans="2:8">
      <c r="B7" s="148" t="s">
        <v>220</v>
      </c>
      <c r="C7" s="338">
        <f>BS!G31</f>
        <v>115864</v>
      </c>
      <c r="D7" t="str">
        <f>Reporting_currency</f>
        <v>HKD</v>
      </c>
      <c r="E7" s="378"/>
      <c r="F7" s="378"/>
      <c r="H7" s="120"/>
    </row>
    <row r="8" spans="2:8">
      <c r="B8" s="148" t="s">
        <v>221</v>
      </c>
      <c r="C8" s="338">
        <f>BS!D66</f>
        <v>4573651.4963457817</v>
      </c>
      <c r="D8" t="str">
        <f>Reporting_currency</f>
        <v>HKD</v>
      </c>
      <c r="E8" s="378"/>
      <c r="F8" s="378"/>
      <c r="H8" s="120"/>
    </row>
    <row r="9" spans="2:8">
      <c r="B9" s="205" t="s">
        <v>186</v>
      </c>
      <c r="C9" s="348">
        <f>BS!H42</f>
        <v>23866.7</v>
      </c>
      <c r="D9" t="str">
        <f>Reporting_currency</f>
        <v>HKD</v>
      </c>
      <c r="E9" s="378"/>
      <c r="F9" s="378"/>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8"/>
      <c r="F6" s="378"/>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-2.2400000000000002</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c r="B8" s="100" t="s">
        <v>64</v>
      </c>
      <c r="C8" s="338">
        <f>Normalized_FCF!G19</f>
        <v>-67214.805201284558</v>
      </c>
      <c r="D8" t="str">
        <f>Reporting_currency</f>
        <v>HKD</v>
      </c>
      <c r="E8" s="380"/>
      <c r="F8" s="380"/>
      <c r="H8" s="247">
        <v>5</v>
      </c>
      <c r="I8" s="124" t="str">
        <f t="shared" si="0"/>
        <v/>
      </c>
    </row>
    <row r="9" spans="2:9">
      <c r="B9" s="100" t="s">
        <v>55</v>
      </c>
      <c r="C9" s="338">
        <f>Normalized_FCF!C19</f>
        <v>21907.640617708814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-4.8760226650597205E-2</v>
      </c>
      <c r="D12" s="158"/>
      <c r="E12" s="380"/>
      <c r="F12" s="380"/>
      <c r="H12" s="247">
        <v>9</v>
      </c>
      <c r="I12" s="124" t="str">
        <f t="shared" si="0"/>
        <v/>
      </c>
    </row>
    <row r="13" spans="2:9">
      <c r="B13" s="148" t="s">
        <v>148</v>
      </c>
      <c r="C13" s="158">
        <f ca="1">(Normalized_FCF!G8/OFFSET(Normalized_FCF!G8, 0, $C$4))^(1/$C$4) - 1</f>
        <v>-0.53605739463275559</v>
      </c>
      <c r="E13" s="380"/>
      <c r="F13" s="380"/>
      <c r="H13" s="247">
        <v>10</v>
      </c>
      <c r="I13" s="124" t="str">
        <f t="shared" si="0"/>
        <v/>
      </c>
    </row>
    <row r="14" spans="2:9">
      <c r="B14" s="100" t="s">
        <v>64</v>
      </c>
      <c r="C14" s="158">
        <f ca="1">(Normalized_FCF!G19/OFFSET(Normalized_FCF!G19, 0, $C$4))^(1/$C$4) - 1</f>
        <v>-1.9367231569408296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2.2400000000000002</v>
      </c>
      <c r="D21" t="str">
        <f>Market_currency</f>
        <v>HKD</v>
      </c>
      <c r="E21" s="381"/>
      <c r="F21" s="381"/>
    </row>
    <row r="22" spans="2:6">
      <c r="B22" s="100" t="s">
        <v>273</v>
      </c>
      <c r="C22" s="160">
        <f>IF(valuation_method="DCF",DCF!C12,DDM!C7)</f>
        <v>2.089185823570856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2.1061368981109276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2.089185823570856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2.1267011346081133</v>
      </c>
      <c r="D39" t="str">
        <f>Market_currency</f>
        <v>HKD</v>
      </c>
      <c r="E39" s="379"/>
      <c r="F39" s="379"/>
    </row>
    <row r="40" spans="2:6">
      <c r="B40" s="100" t="s">
        <v>143</v>
      </c>
      <c r="C40" s="167">
        <f>1-C28-C34</f>
        <v>0.3</v>
      </c>
      <c r="D40" s="165"/>
      <c r="E40" s="379"/>
      <c r="F40" s="379"/>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2.0332245491925347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0.15</v>
      </c>
      <c r="D56" s="164"/>
      <c r="E56" s="379"/>
      <c r="F56" s="379"/>
    </row>
    <row r="57" spans="2:6">
      <c r="B57" s="100" t="s">
        <v>109</v>
      </c>
      <c r="C57" s="160">
        <f>IF(valuation_method="DCF",DCF!E74,DDM!E69)</f>
        <v>2.2683112122340416</v>
      </c>
      <c r="D57" t="str">
        <f>Market_currency</f>
        <v>HKD</v>
      </c>
      <c r="E57" s="379"/>
      <c r="F57" s="379"/>
    </row>
    <row r="58" spans="2:6">
      <c r="B58" s="100" t="s">
        <v>143</v>
      </c>
      <c r="C58" s="165">
        <v>0.05</v>
      </c>
      <c r="D58" s="165"/>
      <c r="E58" s="379"/>
      <c r="F58" s="379"/>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2.2400000000000002</v>
      </c>
      <c r="D86" t="str">
        <f>Market_currency</f>
        <v>HKD</v>
      </c>
    </row>
    <row r="87" spans="2:8" ht="13.15">
      <c r="B87" s="100" t="s">
        <v>293</v>
      </c>
      <c r="C87" s="237">
        <f ca="1">IRR(OFFSET($I$3, 0, 0, $C$76 + 1, 1))</f>
        <v>-1.9252019650804364E-2</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2.2400000000000002</v>
      </c>
      <c r="D12" s="50"/>
      <c r="E12" s="48"/>
    </row>
    <row r="13" spans="1:10">
      <c r="B13" s="1" t="s">
        <v>485</v>
      </c>
      <c r="C13" s="32" t="str">
        <f>Market_currency</f>
        <v>HKD</v>
      </c>
      <c r="D13" s="48"/>
      <c r="E13" s="5"/>
    </row>
    <row r="14" spans="1:10">
      <c r="B14" s="4" t="s">
        <v>486</v>
      </c>
      <c r="C14" s="35">
        <f>投资主题!C12*Common_Shares/1000000</f>
        <v>5118.3640435200005</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-1.9252019650804364E-2</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v>
      </c>
    </row>
    <row r="40" spans="1:6">
      <c r="B40" s="373" t="s">
        <v>494</v>
      </c>
      <c r="C40" s="373"/>
      <c r="D40" s="373"/>
      <c r="E40" s="373"/>
      <c r="F40" s="373"/>
    </row>
    <row r="41" spans="1:6">
      <c r="B41" s="47" t="s">
        <v>228</v>
      </c>
      <c r="C41" s="349">
        <f>Normalized_FCF!C8</f>
        <v>33649.992691562977</v>
      </c>
      <c r="D41" s="1" t="str">
        <f>Reporting_currency</f>
        <v>HKD</v>
      </c>
    </row>
    <row r="42" spans="1:6">
      <c r="B42" s="47"/>
      <c r="C42" s="76"/>
    </row>
    <row r="43" spans="1:6" ht="24.6" customHeight="1">
      <c r="B43" s="373" t="s">
        <v>495</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496</v>
      </c>
      <c r="C47" s="373"/>
      <c r="D47" s="373"/>
      <c r="E47" s="373"/>
      <c r="F47" s="373"/>
    </row>
    <row r="48" spans="1:6">
      <c r="B48" s="47" t="s">
        <v>233</v>
      </c>
      <c r="C48" s="349">
        <f>Normalized_FCF!C11</f>
        <v>0</v>
      </c>
      <c r="D48" s="1" t="str">
        <f>Reporting_currency</f>
        <v>HKD</v>
      </c>
    </row>
    <row r="50" spans="2:6">
      <c r="B50" s="373" t="s">
        <v>497</v>
      </c>
      <c r="C50" s="373"/>
      <c r="D50" s="373"/>
      <c r="E50" s="373"/>
      <c r="F50" s="373"/>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73" t="s">
        <v>237</v>
      </c>
      <c r="C58" s="373"/>
      <c r="D58" s="373"/>
      <c r="E58" s="373"/>
      <c r="F58" s="373"/>
    </row>
    <row r="59" spans="2:6">
      <c r="B59" s="47" t="s">
        <v>235</v>
      </c>
      <c r="C59" s="349">
        <f>Normalized_FCF!C14</f>
        <v>-7302.5468725696046</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4.2802036805968365E-3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2" t="s">
        <v>516</v>
      </c>
      <c r="C116" s="372"/>
      <c r="D116" s="372"/>
      <c r="E116" s="372"/>
      <c r="F116" s="372"/>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E7B43-500E-4522-860A-E52C2A7F28D9}">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