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CB3F93B-B55B-41D5-B703-0A9221A97F2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28" i="2"/>
  <c r="C29" i="2"/>
  <c r="C5" i="3"/>
  <c r="C23" i="3"/>
  <c r="C19" i="3"/>
  <c r="B138" i="6" l="1"/>
  <c r="B137" i="6"/>
  <c r="C136" i="6"/>
  <c r="D139" i="6"/>
  <c r="C90" i="9"/>
  <c r="D93" i="9"/>
  <c r="C96" i="9" l="1"/>
  <c r="C142" i="6" s="1"/>
  <c r="N92" i="2"/>
  <c r="O92" i="2"/>
  <c r="P92" i="2"/>
  <c r="Q92" i="2"/>
  <c r="N91" i="2"/>
  <c r="O91" i="2"/>
  <c r="P91" i="2"/>
  <c r="Q91" i="2"/>
  <c r="C28" i="6"/>
  <c r="H1" i="3"/>
  <c r="C3" i="2"/>
  <c r="C3" i="8"/>
  <c r="C130" i="6"/>
  <c r="D104" i="6"/>
  <c r="D145" i="6"/>
  <c r="N48" i="2"/>
  <c r="O48" i="2"/>
  <c r="P48" i="2"/>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1" i="4"/>
  <c r="I70" i="4"/>
  <c r="I72" i="4"/>
  <c r="I69" i="4"/>
  <c r="F72" i="4"/>
  <c r="E72" i="4"/>
  <c r="D72" i="4"/>
  <c r="J70" i="4"/>
  <c r="J72" i="4"/>
  <c r="J71" i="4"/>
  <c r="J69"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Q126" i="2" s="1"/>
  <c r="P4" i="2"/>
  <c r="P126" i="2" s="1"/>
  <c r="I4" i="2"/>
  <c r="G4" i="2"/>
  <c r="G91" i="2" s="1"/>
  <c r="H4" i="2"/>
  <c r="L4" i="2"/>
  <c r="K4" i="2"/>
  <c r="K38" i="4"/>
  <c r="O4" i="2"/>
  <c r="O126" i="2" s="1"/>
  <c r="J38" i="4"/>
  <c r="J43" i="4" s="1"/>
  <c r="J44" i="4" s="1"/>
  <c r="J58" i="4" s="1"/>
  <c r="N62" i="2" s="1"/>
  <c r="N4" i="2"/>
  <c r="N126" i="2" s="1"/>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H70" i="4" l="1"/>
  <c r="F69" i="4"/>
  <c r="C70" i="4"/>
  <c r="M126" i="2"/>
  <c r="M91" i="2"/>
  <c r="F70" i="4"/>
  <c r="G70" i="4"/>
  <c r="G69" i="4"/>
  <c r="L126" i="2"/>
  <c r="L91" i="2"/>
  <c r="H69" i="4"/>
  <c r="D70" i="4"/>
  <c r="D69" i="4"/>
  <c r="I91" i="2"/>
  <c r="J91" i="2"/>
  <c r="K126" i="2"/>
  <c r="K91" i="2"/>
  <c r="H91" i="2"/>
  <c r="E69" i="4"/>
  <c r="C69" i="4"/>
  <c r="C31" i="4"/>
  <c r="C80" i="4" s="1"/>
  <c r="C76" i="4" s="1"/>
  <c r="C88" i="6"/>
  <c r="G113" i="2"/>
  <c r="G126" i="2"/>
  <c r="H113" i="2"/>
  <c r="H126" i="2"/>
  <c r="J113" i="2"/>
  <c r="J126" i="2"/>
  <c r="I113" i="2"/>
  <c r="I126" i="2"/>
  <c r="K113" i="2"/>
  <c r="M113" i="2"/>
  <c r="L113" i="2"/>
  <c r="N114" i="2"/>
  <c r="N113" i="2"/>
  <c r="P113" i="2"/>
  <c r="C33" i="2"/>
  <c r="O114" i="2"/>
  <c r="O113" i="2"/>
  <c r="Q113" i="2"/>
  <c r="Q114" i="2"/>
  <c r="Q19" i="2"/>
  <c r="Q50" i="2"/>
  <c r="Q12" i="2" s="1"/>
  <c r="O19" i="2"/>
  <c r="O50" i="2"/>
  <c r="O12" i="2" s="1"/>
  <c r="Q93" i="2"/>
  <c r="O93" i="2"/>
  <c r="K93" i="2"/>
  <c r="P93" i="2"/>
  <c r="J93" i="2"/>
  <c r="H93" i="2"/>
  <c r="I9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H58" i="4" l="1"/>
  <c r="L62" i="2" s="1"/>
  <c r="G71" i="4"/>
  <c r="H71" i="4"/>
  <c r="E58" i="4"/>
  <c r="I62" i="2" s="1"/>
  <c r="E71" i="4"/>
  <c r="D71" i="4"/>
  <c r="C58" i="4"/>
  <c r="G62" i="2" s="1"/>
  <c r="G63" i="2" s="1"/>
  <c r="C71" i="4"/>
  <c r="G105" i="2"/>
  <c r="G101" i="2" s="1"/>
  <c r="G119" i="2" s="1"/>
  <c r="P40" i="2"/>
  <c r="P30" i="2"/>
  <c r="P63" i="2"/>
  <c r="P6" i="2"/>
  <c r="P73" i="2"/>
  <c r="C23" i="2"/>
  <c r="C53" i="2"/>
  <c r="C49" i="2" s="1"/>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L48" i="2" l="1"/>
  <c r="L50" i="2" s="1"/>
  <c r="L12" i="2" s="1"/>
  <c r="K48" i="2"/>
  <c r="M48" i="2"/>
  <c r="G48" i="2"/>
  <c r="G50" i="2" s="1"/>
  <c r="G12" i="2" s="1"/>
  <c r="G43" i="2" s="1"/>
  <c r="I48" i="2"/>
  <c r="I50" i="2" s="1"/>
  <c r="I12" i="2" s="1"/>
  <c r="I80" i="2" s="1"/>
  <c r="H48" i="2"/>
  <c r="H50" i="2" s="1"/>
  <c r="H12" i="2" s="1"/>
  <c r="H80" i="2" s="1"/>
  <c r="J48" i="2"/>
  <c r="J50" i="2" s="1"/>
  <c r="J12" i="2" s="1"/>
  <c r="J80" i="2" s="1"/>
  <c r="M50" i="2"/>
  <c r="M12" i="2" s="1"/>
  <c r="P50" i="2"/>
  <c r="P12" i="2" s="1"/>
  <c r="N50" i="2"/>
  <c r="N12" i="2" s="1"/>
  <c r="C40" i="6"/>
  <c r="K50" i="2"/>
  <c r="K12" i="2" s="1"/>
  <c r="K43" i="2" s="1"/>
  <c r="C87" i="3"/>
  <c r="D87" i="3" s="1"/>
  <c r="C31" i="3"/>
  <c r="L80" i="2" l="1"/>
  <c r="L43" i="2"/>
  <c r="K80" i="2"/>
  <c r="P80" i="2"/>
  <c r="P13" i="2"/>
  <c r="P43" i="2"/>
  <c r="M80" i="2"/>
  <c r="M43" i="2"/>
  <c r="J43" i="2"/>
  <c r="H43" i="2"/>
  <c r="I43" i="2"/>
  <c r="N80" i="2"/>
  <c r="N43" i="2"/>
  <c r="G80" i="2"/>
  <c r="C30" i="6"/>
  <c r="C74" i="2"/>
  <c r="C32" i="3"/>
  <c r="G31" i="3"/>
  <c r="B1" i="2"/>
  <c r="C7" i="8" l="1"/>
  <c r="C86" i="3" s="1"/>
  <c r="D86" i="3" s="1"/>
  <c r="D89" i="3" s="1"/>
  <c r="C89" i="6"/>
  <c r="P81" i="2"/>
  <c r="P117" i="2" s="1"/>
  <c r="P16" i="2"/>
  <c r="O97" i="2"/>
  <c r="C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c r="L124" i="2" l="1"/>
  <c r="L125" i="2" s="1"/>
  <c r="L19"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<sst xmlns="http://schemas.openxmlformats.org/spreadsheetml/2006/main" count="616" uniqueCount="430">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</sst>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zoomScaleNormal="100" workbookViewId="0">
      <selection activeCell="D8" sqref="D8"/>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tr">
        <f>D5&amp;" Stock Information"</f>
        <v>9959.HK Stock Information</v>
      </c>
      <c r="C4" s="46"/>
      <c r="D4" s="5"/>
      <c r="E4" s="2"/>
      <c r="F4" s="2"/>
    </row>
    <row r="5" spans="1:10" ht="12.4">
      <c r="B5" s="4" t="s">
        <v>324</v>
      </c>
      <c r="C5" s="333" t="s">
        <v>428</v>
      </c>
      <c r="D5" s="49" t="s">
        <v>427</v>
      </c>
    </row>
    <row r="6" spans="1:10">
      <c r="B6" s="4" t="s">
        <v>95</v>
      </c>
      <c r="C6" s="50">
        <v>1.1499999999999999</v>
      </c>
      <c r="D6" s="48" t="s">
        <v>407</v>
      </c>
      <c r="E6" s="48"/>
    </row>
    <row r="7" spans="1:10">
      <c r="B7" s="4" t="s">
        <v>0</v>
      </c>
      <c r="C7" s="51">
        <v>2284983948</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2627.7315401999999</v>
      </c>
      <c r="D10" s="32"/>
      <c r="E10" s="5"/>
    </row>
    <row r="11" spans="1:10">
      <c r="D11" s="5"/>
      <c r="E11" s="5"/>
    </row>
    <row r="12" spans="1:10" ht="24.4" customHeight="1">
      <c r="B12" s="342" t="s">
        <v>370</v>
      </c>
      <c r="C12" s="342"/>
      <c r="D12" s="342"/>
      <c r="E12" s="342"/>
      <c r="F12" s="342"/>
    </row>
    <row r="14" spans="1:10">
      <c r="B14" s="45" t="s">
        <v>314</v>
      </c>
      <c r="C14" s="46"/>
      <c r="D14" s="5"/>
    </row>
    <row r="15" spans="1:10">
      <c r="B15" s="2" t="s">
        <v>358</v>
      </c>
      <c r="C15" s="32" t="str">
        <f>IF(Scenarios!C69="Y",Scenarios!B69,"")&amp;IF(Scenarios!C70="Y",Scenarios!B70,"")&amp;IF(Scenarios!C71="Y",Scenarios!B71,"")&amp;" "&amp;IF(Scenarios!C72="Y",Scenarios!B72,"")</f>
        <v>Low Growth Asset Play</v>
      </c>
      <c r="E15" s="5"/>
    </row>
    <row r="16" spans="1:10">
      <c r="B16" s="4" t="s">
        <v>357</v>
      </c>
      <c r="C16" s="48" t="s">
        <v>407</v>
      </c>
      <c r="D16" s="32"/>
      <c r="E16" s="5"/>
    </row>
    <row r="17" spans="1:6">
      <c r="B17" s="4" t="s">
        <v>1</v>
      </c>
      <c r="C17" s="50">
        <v>1</v>
      </c>
      <c r="D17" s="32" t="str">
        <f>IF(C16=D6,D6,C16&amp;"/"&amp;D6)</f>
        <v>HKD</v>
      </c>
      <c r="E17" s="5"/>
    </row>
    <row r="18" spans="1:6">
      <c r="B18" s="2" t="s">
        <v>56</v>
      </c>
      <c r="C18" s="48" t="s">
        <v>429</v>
      </c>
      <c r="E18" s="5"/>
    </row>
    <row r="19" spans="1:6">
      <c r="B19" s="2" t="s">
        <v>277</v>
      </c>
      <c r="C19" s="249">
        <v>0.3</v>
      </c>
      <c r="D19" s="1" t="s">
        <v>420</v>
      </c>
      <c r="E19" s="339">
        <v>0.2</v>
      </c>
    </row>
    <row r="20" spans="1:6">
      <c r="B20" s="2" t="str">
        <f>"Target Buy Price ("&amp;Market_currency&amp;"):"</f>
        <v>Target Buy Price (HKD):</v>
      </c>
      <c r="C20" s="252">
        <f>C133</f>
        <v>0.9421991685622978</v>
      </c>
      <c r="D20" s="1" t="s">
        <v>316</v>
      </c>
      <c r="E20" s="330">
        <v>3</v>
      </c>
    </row>
    <row r="21" spans="1:6">
      <c r="B21" s="1" t="s">
        <v>410</v>
      </c>
      <c r="C21" s="280">
        <f ca="1">Scenarios!C87</f>
        <v>0.21644266614219942</v>
      </c>
      <c r="D21" s="5"/>
      <c r="E21" s="5"/>
    </row>
    <row r="22" spans="1:6">
      <c r="D22" s="5"/>
      <c r="E22" s="5"/>
    </row>
    <row r="23" spans="1:6" ht="13.9">
      <c r="A23" s="247" t="s">
        <v>365</v>
      </c>
      <c r="B23" s="36"/>
      <c r="C23" s="36"/>
      <c r="D23" s="36"/>
      <c r="E23" s="36"/>
      <c r="F23" s="36"/>
    </row>
    <row r="25" spans="1:6" ht="24.4" customHeight="1">
      <c r="B25" s="342" t="s">
        <v>371</v>
      </c>
      <c r="C25" s="342"/>
      <c r="D25" s="342"/>
      <c r="E25" s="342"/>
      <c r="F25" s="342"/>
    </row>
    <row r="26" spans="1:6" ht="24.4" customHeight="1">
      <c r="B26" s="345" t="s">
        <v>349</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33649.992691562977</v>
      </c>
      <c r="D30" s="1" t="str">
        <f>Reporting_currency</f>
        <v>HKD</v>
      </c>
    </row>
    <row r="31" spans="1:6">
      <c r="B31" s="47"/>
      <c r="C31" s="76"/>
    </row>
    <row r="32" spans="1:6" ht="24.4" customHeight="1">
      <c r="B32" s="343" t="s">
        <v>234</v>
      </c>
      <c r="C32" s="343"/>
      <c r="D32" s="343"/>
      <c r="E32" s="343"/>
      <c r="F32" s="343"/>
    </row>
    <row r="33" spans="2:6">
      <c r="B33" s="47" t="s">
        <v>235</v>
      </c>
      <c r="C33" s="188">
        <f>Normalized_FCF!C9</f>
        <v>0</v>
      </c>
      <c r="D33" s="1" t="str">
        <f>Reporting_currency</f>
        <v>HKD</v>
      </c>
    </row>
    <row r="34" spans="2:6">
      <c r="B34" s="52" t="s">
        <v>236</v>
      </c>
      <c r="C34" s="188">
        <f>Normalized_FCF!C10</f>
        <v>0</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350</v>
      </c>
      <c r="C40" s="322">
        <f>Normalized_FCF!C48</f>
        <v>0</v>
      </c>
      <c r="D40" s="1" t="str">
        <f>Reporting_currency</f>
        <v>HKD</v>
      </c>
      <c r="E40" s="321"/>
      <c r="F40" s="321"/>
    </row>
    <row r="41" spans="2:6">
      <c r="B41" s="47" t="s">
        <v>351</v>
      </c>
      <c r="C41" s="322">
        <f>Normalized_FCF!C47</f>
        <v>-11410</v>
      </c>
      <c r="D41" s="1" t="str">
        <f>Reporting_currency</f>
        <v>HKD</v>
      </c>
      <c r="E41" s="321"/>
      <c r="F41" s="321"/>
    </row>
    <row r="42" spans="2:6">
      <c r="B42" s="47" t="s">
        <v>239</v>
      </c>
      <c r="C42" s="188">
        <f>Normalized_FCF!C12</f>
        <v>-11410</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-5559.9981728907442</v>
      </c>
      <c r="D48" s="1" t="str">
        <f>Reporting_currency</f>
        <v>HKD</v>
      </c>
    </row>
    <row r="50" spans="1:6">
      <c r="B50" s="343" t="s">
        <v>348</v>
      </c>
      <c r="C50" s="344"/>
      <c r="D50" s="344"/>
      <c r="E50" s="344"/>
      <c r="F50" s="344"/>
    </row>
    <row r="51" spans="1:6">
      <c r="B51" s="47" t="s">
        <v>243</v>
      </c>
      <c r="C51" s="1">
        <f>Normalized_FCF!C17</f>
        <v>0</v>
      </c>
      <c r="D51" s="1" t="str">
        <f>Reporting_currency</f>
        <v>HKD</v>
      </c>
    </row>
    <row r="53" spans="1:6" ht="24.4" customHeight="1">
      <c r="B53" s="342" t="s">
        <v>353</v>
      </c>
      <c r="C53" s="342"/>
      <c r="D53" s="342"/>
      <c r="E53" s="342"/>
      <c r="F53" s="342"/>
    </row>
    <row r="54" spans="1:6" ht="24.4" customHeight="1">
      <c r="B54" s="342" t="s">
        <v>372</v>
      </c>
      <c r="C54" s="342"/>
      <c r="D54" s="342"/>
      <c r="E54" s="342"/>
      <c r="F54" s="342"/>
    </row>
    <row r="56" spans="1:6">
      <c r="B56" s="47" t="s">
        <v>271</v>
      </c>
      <c r="C56" s="188">
        <f>Normalized_FCF!G19</f>
        <v>-74185</v>
      </c>
      <c r="D56" s="1" t="str">
        <f>Reporting_currency</f>
        <v>HKD</v>
      </c>
    </row>
    <row r="57" spans="1:6">
      <c r="B57" s="47" t="s">
        <v>249</v>
      </c>
      <c r="C57" s="188">
        <f>Normalized_FCF!C19</f>
        <v>16679.994518672233</v>
      </c>
      <c r="D57" s="1" t="str">
        <f>Reporting_currency</f>
        <v>HKD</v>
      </c>
    </row>
    <row r="58" spans="1:6">
      <c r="B58" s="254" t="s">
        <v>401</v>
      </c>
      <c r="C58" s="92">
        <f>Normalized_FCF!C125</f>
        <v>6.3476783162570317E-3</v>
      </c>
    </row>
    <row r="59" spans="1:6">
      <c r="B59" s="254" t="s">
        <v>317</v>
      </c>
      <c r="C59" s="92">
        <f>Normalized_FCF!C93</f>
        <v>0</v>
      </c>
    </row>
    <row r="61" spans="1:6" ht="13.9">
      <c r="A61" s="247" t="s">
        <v>366</v>
      </c>
      <c r="B61" s="36"/>
      <c r="C61" s="36"/>
      <c r="D61" s="36"/>
      <c r="E61" s="36"/>
      <c r="F61" s="36"/>
    </row>
    <row r="62" spans="1:6">
      <c r="A62" s="233"/>
    </row>
    <row r="63" spans="1:6" ht="24.4" customHeight="1">
      <c r="A63" s="17"/>
      <c r="B63" s="342" t="s">
        <v>373</v>
      </c>
      <c r="C63" s="342"/>
      <c r="D63" s="342"/>
      <c r="E63" s="342"/>
      <c r="F63" s="342"/>
    </row>
    <row r="64" spans="1:6">
      <c r="B64" s="345" t="s">
        <v>253</v>
      </c>
      <c r="C64" s="345"/>
      <c r="D64" s="345"/>
      <c r="E64" s="345"/>
      <c r="F64" s="345"/>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367</v>
      </c>
      <c r="C72" s="122"/>
    </row>
    <row r="73" spans="1:6" ht="24.4" customHeight="1">
      <c r="B73" s="342" t="s">
        <v>374</v>
      </c>
      <c r="C73" s="342"/>
      <c r="D73" s="342"/>
      <c r="E73" s="342"/>
      <c r="F73" s="342"/>
    </row>
    <row r="74" spans="1:6" ht="24.4" customHeight="1">
      <c r="B74" s="342" t="s">
        <v>375</v>
      </c>
      <c r="C74" s="342"/>
      <c r="D74" s="342"/>
      <c r="E74" s="342"/>
      <c r="F74" s="342"/>
    </row>
    <row r="76" spans="1:6">
      <c r="B76" s="47" t="s">
        <v>252</v>
      </c>
      <c r="C76" s="263">
        <v>0</v>
      </c>
    </row>
    <row r="77" spans="1:6">
      <c r="B77" s="47" t="s">
        <v>284</v>
      </c>
      <c r="C77" s="248">
        <f>Valuation_Model!C6*scaling_factor*Exchange_Rate/Common_Shares</f>
        <v>9.1247875796194824E-2</v>
      </c>
      <c r="D77" s="1" t="str">
        <f>Market_currency</f>
        <v>HKD</v>
      </c>
    </row>
    <row r="79" spans="1:6" ht="13.9">
      <c r="A79" s="247" t="s">
        <v>368</v>
      </c>
      <c r="B79" s="36"/>
      <c r="C79" s="36"/>
      <c r="D79" s="36"/>
      <c r="E79" s="36"/>
      <c r="F79" s="36"/>
    </row>
    <row r="80" spans="1:6">
      <c r="A80" s="233"/>
    </row>
    <row r="81" spans="2:6">
      <c r="B81" s="342" t="s">
        <v>376</v>
      </c>
      <c r="C81" s="342"/>
      <c r="D81" s="342"/>
      <c r="E81" s="342"/>
      <c r="F81" s="342"/>
    </row>
    <row r="82" spans="2:6">
      <c r="B82" s="1" t="s">
        <v>254</v>
      </c>
    </row>
    <row r="84" spans="2:6">
      <c r="B84" s="234" t="s">
        <v>231</v>
      </c>
    </row>
    <row r="85" spans="2:6" ht="24.4" customHeight="1">
      <c r="B85" s="342" t="s">
        <v>354</v>
      </c>
      <c r="C85" s="342"/>
      <c r="D85" s="342"/>
      <c r="E85" s="342"/>
      <c r="F85" s="342"/>
    </row>
    <row r="86" spans="2:6">
      <c r="B86" s="47" t="s">
        <v>256</v>
      </c>
      <c r="C86" s="188">
        <f>Valuation_Model!C7</f>
        <v>115864</v>
      </c>
      <c r="D86" s="1" t="str">
        <f>Reporting_currency</f>
        <v>HKD</v>
      </c>
    </row>
    <row r="87" spans="2:6">
      <c r="B87" s="47" t="s">
        <v>285</v>
      </c>
      <c r="C87" s="248">
        <f>C86*scaling_factor*Exchange_Rate/Common_Shares</f>
        <v>5.0706701944848852E-2</v>
      </c>
      <c r="D87" s="1" t="str">
        <f>Market_currency</f>
        <v>HKD</v>
      </c>
    </row>
    <row r="88" spans="2:6">
      <c r="B88" s="336" t="s">
        <v>415</v>
      </c>
      <c r="C88" s="337">
        <f>BS!G30/BS!G27</f>
        <v>9.7057481271370302E-2</v>
      </c>
    </row>
    <row r="89" spans="2:6">
      <c r="B89" s="336" t="s">
        <v>416</v>
      </c>
      <c r="C89" s="337">
        <f>BS!G31/BS!G27</f>
        <v>1.4790654865358754E-2</v>
      </c>
    </row>
    <row r="90" spans="2:6">
      <c r="B90" s="336" t="s">
        <v>418</v>
      </c>
      <c r="C90" s="338">
        <f>BS!C50</f>
        <v>3.4432102574884196</v>
      </c>
    </row>
    <row r="92" spans="2:6">
      <c r="B92" s="1" t="s">
        <v>255</v>
      </c>
    </row>
    <row r="93" spans="2:6">
      <c r="B93" s="47" t="s">
        <v>265</v>
      </c>
      <c r="C93" s="188">
        <f>BS!C66</f>
        <v>5072413</v>
      </c>
      <c r="D93" s="1" t="str">
        <f>Reporting_currency</f>
        <v>HKD</v>
      </c>
    </row>
    <row r="94" spans="2:6">
      <c r="B94" s="47" t="s">
        <v>267</v>
      </c>
      <c r="C94" s="188">
        <f>Valuation_Model!C8</f>
        <v>4573651.4963457817</v>
      </c>
      <c r="D94" s="1" t="str">
        <f>Reporting_currency</f>
        <v>HKD</v>
      </c>
    </row>
    <row r="95" spans="2:6">
      <c r="B95" s="47" t="s">
        <v>286</v>
      </c>
      <c r="C95" s="248">
        <f>C94*scaling_factor*Exchange_Rate/Common_Shares</f>
        <v>2.0016120902507897</v>
      </c>
      <c r="D95" s="1" t="str">
        <f>Market_currency</f>
        <v>HKD</v>
      </c>
    </row>
    <row r="97" spans="1:6">
      <c r="B97" s="1" t="s">
        <v>257</v>
      </c>
    </row>
    <row r="98" spans="1:6">
      <c r="B98" s="47" t="s">
        <v>258</v>
      </c>
      <c r="C98" s="188">
        <f>Valuation_Model!C9</f>
        <v>23866.7</v>
      </c>
      <c r="D98" s="1" t="str">
        <f>Reporting_currency</f>
        <v>HKD</v>
      </c>
    </row>
    <row r="99" spans="1:6">
      <c r="B99" s="47" t="s">
        <v>287</v>
      </c>
      <c r="C99" s="248">
        <f>C98*scaling_factor*Exchange_Rate/Common_Shares</f>
        <v>1.0445018671089587E-2</v>
      </c>
      <c r="D99" s="1" t="str">
        <f>Market_currency</f>
        <v>HKD</v>
      </c>
    </row>
    <row r="101" spans="1:6" ht="24.4" customHeight="1">
      <c r="B101" s="342" t="s">
        <v>377</v>
      </c>
      <c r="C101" s="342"/>
      <c r="D101" s="342"/>
      <c r="E101" s="342"/>
      <c r="F101" s="342"/>
    </row>
    <row r="103" spans="1:6">
      <c r="B103" s="47" t="s">
        <v>283</v>
      </c>
      <c r="C103" s="248">
        <f>Valuation_Model!C12</f>
        <v>2.0525982827732254</v>
      </c>
      <c r="D103" s="1" t="str">
        <f>Market_currency</f>
        <v>HKD</v>
      </c>
    </row>
    <row r="104" spans="1:6">
      <c r="B104" s="336" t="s">
        <v>417</v>
      </c>
      <c r="C104" s="248">
        <f>BS!D47</f>
        <v>1.9115679363188245</v>
      </c>
      <c r="D104" s="1" t="str">
        <f>Market_currency</f>
        <v>HKD</v>
      </c>
    </row>
    <row r="106" spans="1:6" ht="13.9">
      <c r="A106" s="247" t="s">
        <v>369</v>
      </c>
      <c r="B106" s="36"/>
      <c r="C106" s="36"/>
      <c r="D106" s="36"/>
      <c r="E106" s="36"/>
      <c r="F106" s="36"/>
    </row>
    <row r="108" spans="1:6" ht="24.4" customHeight="1">
      <c r="B108" s="343" t="s">
        <v>378</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0.15</v>
      </c>
      <c r="D111" s="257">
        <f>Valuation_Model!D74</f>
        <v>15</v>
      </c>
      <c r="E111" s="258" t="str">
        <f>ROUND(Valuation_Model!E74,2)&amp;" "&amp;Market_currency</f>
        <v>2.18 HKD</v>
      </c>
      <c r="F111" s="259">
        <f>Valuation_Model!F74</f>
        <v>0.05</v>
      </c>
    </row>
    <row r="112" spans="1:6">
      <c r="B112" s="242" t="str">
        <f>Valuation_Model!B75</f>
        <v>Optimistic</v>
      </c>
      <c r="C112" s="243">
        <f>Valuation_Model!C75</f>
        <v>0.08</v>
      </c>
      <c r="D112" s="244">
        <f>Valuation_Model!D75</f>
        <v>10</v>
      </c>
      <c r="E112" s="245" t="str">
        <f>ROUND(Valuation_Model!E75,2)&amp;" "&amp;Market_currency</f>
        <v>2.08 HKD</v>
      </c>
      <c r="F112" s="246">
        <f>Valuation_Model!F75</f>
        <v>0.26999999999999996</v>
      </c>
    </row>
    <row r="113" spans="1:6">
      <c r="B113" s="242" t="str">
        <f>Valuation_Model!B76</f>
        <v>Base</v>
      </c>
      <c r="C113" s="243">
        <f>Valuation_Model!C76</f>
        <v>0.04</v>
      </c>
      <c r="D113" s="244">
        <f>Valuation_Model!D76</f>
        <v>10</v>
      </c>
      <c r="E113" s="245" t="str">
        <f>ROUND(Valuation_Model!E76,2)&amp;" "&amp;Market_currency</f>
        <v>2.06 HKD</v>
      </c>
      <c r="F113" s="246">
        <f>Valuation_Model!F76</f>
        <v>0.44999999999999996</v>
      </c>
    </row>
    <row r="114" spans="1:6">
      <c r="B114" s="242" t="str">
        <f>Valuation_Model!B77</f>
        <v>Pessimistic</v>
      </c>
      <c r="C114" s="243">
        <f>Valuation_Model!C77</f>
        <v>0</v>
      </c>
      <c r="D114" s="244">
        <f>Valuation_Model!D77</f>
        <v>10</v>
      </c>
      <c r="E114" s="245" t="str">
        <f>ROUND(Valuation_Model!E77,2)&amp;" "&amp;Market_currency</f>
        <v>2.05 HKD</v>
      </c>
      <c r="F114" s="246">
        <f>Valuation_Model!F77</f>
        <v>0.18</v>
      </c>
    </row>
    <row r="115" spans="1:6">
      <c r="B115" s="242" t="str">
        <f>Valuation_Model!B78</f>
        <v>Devil's advocate</v>
      </c>
      <c r="C115" s="243">
        <f>Valuation_Model!C78</f>
        <v>-0.15</v>
      </c>
      <c r="D115" s="244">
        <f>Valuation_Model!D78</f>
        <v>15</v>
      </c>
      <c r="E115" s="245" t="str">
        <f>ROUND(Valuation_Model!E78,2)&amp;" "&amp;Market_currency</f>
        <v>2.01 HKD</v>
      </c>
      <c r="F115" s="246">
        <f>Valuation_Model!F78</f>
        <v>0.05</v>
      </c>
    </row>
    <row r="117" spans="1:6">
      <c r="B117" s="235" t="s">
        <v>259</v>
      </c>
      <c r="C117" s="241">
        <f>Scenarios!C60</f>
        <v>2.0700115733313686</v>
      </c>
      <c r="D117" s="236" t="str">
        <f>Market_currency</f>
        <v>HKD</v>
      </c>
    </row>
    <row r="119" spans="1:6" ht="24.4" customHeight="1">
      <c r="B119" s="346" t="s">
        <v>381</v>
      </c>
      <c r="C119" s="346"/>
      <c r="D119" s="346"/>
      <c r="E119" s="346"/>
      <c r="F119" s="346"/>
    </row>
    <row r="121" spans="1:6" ht="13.9">
      <c r="A121" s="247" t="s">
        <v>413</v>
      </c>
      <c r="B121" s="36"/>
      <c r="C121" s="36"/>
      <c r="D121" s="36"/>
      <c r="E121" s="36"/>
      <c r="F121" s="36"/>
    </row>
    <row r="123" spans="1:6">
      <c r="B123" s="347" t="s">
        <v>379</v>
      </c>
      <c r="C123" s="347"/>
      <c r="D123" s="347"/>
      <c r="E123" s="347"/>
      <c r="F123" s="347"/>
    </row>
    <row r="124" spans="1:6" ht="24.4" customHeight="1">
      <c r="B124" s="342" t="s">
        <v>380</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421</v>
      </c>
      <c r="C130" s="337">
        <f>C19</f>
        <v>0.3</v>
      </c>
      <c r="D130" s="1" t="s">
        <v>419</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0.9421991685622978</v>
      </c>
    </row>
    <row r="133" spans="2:4">
      <c r="B133" s="80" t="s">
        <v>261</v>
      </c>
      <c r="C133" s="239">
        <f>Scenarios!C83</f>
        <v>0.9421991685622978</v>
      </c>
      <c r="D133" s="47" t="str">
        <f>Reporting_currency</f>
        <v>HKD</v>
      </c>
    </row>
    <row r="134" spans="2:4">
      <c r="B134" s="238" t="s">
        <v>263</v>
      </c>
      <c r="C134" s="92">
        <f>Scenarios!F83</f>
        <v>0.54483386436049175</v>
      </c>
    </row>
    <row r="136" spans="2:4">
      <c r="B136" s="234" t="s">
        <v>424</v>
      </c>
      <c r="C136" s="337">
        <f>Scenarios!C90</f>
        <v>0.2</v>
      </c>
      <c r="D136" s="1" t="s">
        <v>423</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1.197923364196394</v>
      </c>
    </row>
    <row r="139" spans="2:4">
      <c r="B139" s="80" t="s">
        <v>261</v>
      </c>
      <c r="C139" s="239">
        <f>Scenarios!C93</f>
        <v>1.197923364196394</v>
      </c>
      <c r="D139" s="47" t="str">
        <f>Reporting_currency</f>
        <v>HKD</v>
      </c>
    </row>
    <row r="140" spans="2:4">
      <c r="B140" s="238" t="s">
        <v>263</v>
      </c>
      <c r="C140" s="92">
        <f>Scenarios!F93</f>
        <v>0.42129629629629628</v>
      </c>
    </row>
    <row r="142" spans="2:4">
      <c r="B142" s="234" t="s">
        <v>411</v>
      </c>
      <c r="C142" s="92">
        <f>Scenarios!C96</f>
        <v>0.08</v>
      </c>
      <c r="D142" s="1" t="s">
        <v>422</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1.6432419261953275</v>
      </c>
    </row>
    <row r="145" spans="1:6">
      <c r="B145" s="80" t="s">
        <v>412</v>
      </c>
      <c r="C145" s="239">
        <f>Scenarios!C99</f>
        <v>1.6432419261953275</v>
      </c>
      <c r="D145" s="101" t="str">
        <f>Reporting_currency</f>
        <v>HKD</v>
      </c>
    </row>
    <row r="146" spans="1:6">
      <c r="B146" s="238" t="s">
        <v>263</v>
      </c>
      <c r="C146" s="92">
        <f>Scenarios!F99</f>
        <v>0.20616775897983042</v>
      </c>
    </row>
    <row r="148" spans="1:6" ht="13.9">
      <c r="A148" s="247" t="s">
        <v>385</v>
      </c>
      <c r="B148" s="36"/>
      <c r="C148" s="36"/>
      <c r="D148" s="36"/>
      <c r="E148" s="36"/>
      <c r="F148" s="36"/>
    </row>
    <row r="150" spans="1:6">
      <c r="B150" s="341" t="s">
        <v>387</v>
      </c>
      <c r="C150" s="342"/>
      <c r="D150" s="342"/>
      <c r="E150" s="342"/>
      <c r="F150" s="342"/>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3" t="s">
        <v>392</v>
      </c>
      <c r="C159" s="343"/>
      <c r="D159" s="343"/>
      <c r="E159" s="343"/>
      <c r="F159" s="343"/>
    </row>
    <row r="161" spans="2:6">
      <c r="B161" s="1" t="s">
        <v>396</v>
      </c>
    </row>
    <row r="162" spans="2:6" ht="24.4" customHeight="1">
      <c r="B162" s="340" t="s">
        <v>393</v>
      </c>
      <c r="C162" s="340"/>
      <c r="D162" s="340"/>
      <c r="E162" s="340"/>
      <c r="F162" s="340"/>
    </row>
    <row r="163" spans="2:6" ht="24.4" customHeight="1">
      <c r="B163" s="340" t="s">
        <v>394</v>
      </c>
      <c r="C163" s="340"/>
      <c r="D163" s="340"/>
      <c r="E163" s="340"/>
      <c r="F163" s="340"/>
    </row>
    <row r="165" spans="2:6">
      <c r="B165" s="1" t="s">
        <v>400</v>
      </c>
    </row>
    <row r="166" spans="2:6">
      <c r="B166" s="238" t="s">
        <v>397</v>
      </c>
    </row>
    <row r="167" spans="2:6">
      <c r="B167" s="238" t="s">
        <v>398</v>
      </c>
    </row>
    <row r="168" spans="2:6">
      <c r="B168"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c r="D13" s="181"/>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711319</v>
      </c>
      <c r="D22" s="181">
        <v>-324183</v>
      </c>
      <c r="E22" s="181">
        <v>1859628</v>
      </c>
      <c r="F22" s="181">
        <v>-731240</v>
      </c>
      <c r="G22" s="181">
        <v>2099875</v>
      </c>
      <c r="H22" s="181">
        <v>201823</v>
      </c>
      <c r="I22" s="181">
        <v>-991306</v>
      </c>
      <c r="J22" s="181"/>
      <c r="K22" s="181"/>
      <c r="L22" s="181"/>
      <c r="M22" s="181"/>
    </row>
    <row r="23" spans="2:13">
      <c r="B23" s="27" t="s">
        <v>384</v>
      </c>
      <c r="C23" s="181">
        <v>-12356</v>
      </c>
      <c r="D23" s="181">
        <v>-155180</v>
      </c>
      <c r="E23" s="181">
        <v>-274578</v>
      </c>
      <c r="F23" s="181">
        <v>-312659</v>
      </c>
      <c r="G23" s="181">
        <v>-111290</v>
      </c>
      <c r="H23" s="181">
        <v>-94182</v>
      </c>
      <c r="I23" s="181">
        <v>-122694</v>
      </c>
      <c r="J23" s="181"/>
      <c r="K23" s="181"/>
      <c r="L23" s="181"/>
      <c r="M23" s="181"/>
    </row>
    <row r="24" spans="2:13">
      <c r="B24" s="27" t="s">
        <v>383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220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-761336</v>
      </c>
      <c r="D44" s="187">
        <f t="shared" si="18"/>
        <v>-230719</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-11410</v>
      </c>
      <c r="D45" s="188">
        <f t="shared" si="19"/>
        <v>-8305</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-761336</v>
      </c>
      <c r="D58" s="188">
        <f t="shared" ref="D58:M58" si="28">IF(D$4="","",D44-D55-D56-D57)</f>
        <v>-230719</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2.2998409320428745</v>
      </c>
      <c r="D71" s="101">
        <f t="shared" ref="D71:M71" si="37">IF(E$36="","",D44/E44-1)</f>
        <v>-11.046986587702492</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5" sqref="D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0.3</v>
      </c>
      <c r="E4" s="25"/>
      <c r="F4" s="4" t="s">
        <v>78</v>
      </c>
      <c r="G4" s="19">
        <v>4898385</v>
      </c>
      <c r="H4" s="294">
        <v>0.9</v>
      </c>
    </row>
    <row r="5" spans="2:8" ht="15" customHeight="1">
      <c r="B5" s="1" t="s">
        <v>33</v>
      </c>
      <c r="C5" s="19">
        <f>171505+458442+21655</f>
        <v>651602</v>
      </c>
      <c r="D5" s="294">
        <v>0.3</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443696.05000000005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4367384.05</v>
      </c>
    </row>
    <row r="28" spans="2:8" ht="15" customHeight="1">
      <c r="B28" s="4" t="s">
        <v>6</v>
      </c>
      <c r="C28" s="19">
        <v>22043</v>
      </c>
      <c r="F28" s="210" t="s">
        <v>245</v>
      </c>
      <c r="G28" s="181">
        <v>-518</v>
      </c>
      <c r="H28" s="209"/>
    </row>
    <row r="29" spans="2:8" ht="15" customHeight="1">
      <c r="B29" s="4" t="s">
        <v>7</v>
      </c>
      <c r="C29" s="19">
        <v>0</v>
      </c>
      <c r="F29" s="211" t="s">
        <v>76</v>
      </c>
      <c r="G29" s="14">
        <f>G27-G28</f>
        <v>7834113</v>
      </c>
      <c r="H29" s="209">
        <f>H27-G28</f>
        <v>4367902.05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5127693.05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573460.25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7834113</v>
      </c>
      <c r="D46" s="188">
        <f>H29</f>
        <v>4367902.05</v>
      </c>
      <c r="F46" s="283"/>
    </row>
    <row r="47" spans="2:8" ht="15" customHeight="1">
      <c r="B47" s="1" t="str">
        <f>"Equity per share ("&amp;Market_currency&amp;")"</f>
        <v>Equity per share (HKD)</v>
      </c>
      <c r="C47" s="148">
        <f>C46*H1/Common_Shares*Exchange_Rate</f>
        <v>3.4285199276157017</v>
      </c>
      <c r="D47" s="148">
        <f>D46*H1/Common_Shares*Exchange_Rate</f>
        <v>1.9115679363188245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-83489.166666666672</v>
      </c>
      <c r="D73" s="188">
        <f>(Normalized_FCF!C25+Normalized_FCF!C35-Normalized_FCF!C91)/12</f>
        <v>-83126.91727570309</v>
      </c>
      <c r="F73" s="1" t="s">
        <v>361</v>
      </c>
    </row>
    <row r="74" spans="2:6" ht="15" customHeight="1">
      <c r="B74" s="288" t="s">
        <v>331</v>
      </c>
      <c r="C74" s="289">
        <f>-$C$66/C73</f>
        <v>60.75534350764071</v>
      </c>
      <c r="D74" s="289">
        <f>-$C$66/D73</f>
        <v>61.020102347553312</v>
      </c>
      <c r="F74" s="283" t="s">
        <v>328</v>
      </c>
    </row>
    <row r="75" spans="2:6" ht="15" customHeight="1">
      <c r="B75" s="80" t="s">
        <v>329</v>
      </c>
      <c r="C75" s="293"/>
      <c r="D75" s="292">
        <f>MAX(-D73*D76,G5)</f>
        <v>498761.50365421851</v>
      </c>
      <c r="F75" s="283" t="s">
        <v>362</v>
      </c>
    </row>
    <row r="76" spans="2:6" ht="15" customHeight="1">
      <c r="B76" s="290" t="s">
        <v>332</v>
      </c>
      <c r="C76" s="291"/>
      <c r="D76" s="327">
        <f>IF(D74&lt;=3,1,IF(D74&gt;18,6,2))</f>
        <v>6</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-115864</v>
      </c>
      <c r="D86" s="248">
        <f>C86*scaling_factor/Common_Shares</f>
        <v>-5.0706701944848852E-2</v>
      </c>
      <c r="E86" s="269" t="str">
        <f>Market_currency</f>
        <v>HKD</v>
      </c>
    </row>
    <row r="87" spans="2:8" ht="15" customHeight="1">
      <c r="B87" s="267" t="s">
        <v>295</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299</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9" activePane="bottomRight" state="frozen"/>
      <selection pane="topRight" activeCell="C1" sqref="C1"/>
      <selection pane="bottomLeft" activeCell="A2" sqref="A2"/>
      <selection pane="bottomRight" activeCell="E99" sqref="E9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-11410</v>
      </c>
      <c r="E12" s="302"/>
      <c r="G12" s="191">
        <f>G50</f>
        <v>-11410</v>
      </c>
      <c r="H12" s="191">
        <f t="shared" ref="H12:Q12" si="6">H50</f>
        <v>-8305</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22239.992691562977</v>
      </c>
      <c r="E13" s="302"/>
      <c r="G13" s="184">
        <f>IF(G$4="","",SUM(G8:G12))</f>
        <v>17893</v>
      </c>
      <c r="H13" s="184">
        <f t="shared" ref="H13:Q13" si="7">IF(H$4="","",SUM(H8:H12))</f>
        <v>-193162</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-5559.9981728907442</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16679.994518672233</v>
      </c>
      <c r="D16" s="61"/>
      <c r="E16" s="310"/>
      <c r="F16" s="61"/>
      <c r="G16" s="184">
        <f>IF(G$4="","",SUM(G13:G15))</f>
        <v>-74185</v>
      </c>
      <c r="H16" s="184">
        <f t="shared" ref="H16:Q16" si="8">IF(H$4="","",SUM(H13:H15))</f>
        <v>-212579</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16679.994518672233</v>
      </c>
      <c r="D19" s="27"/>
      <c r="E19" s="299"/>
      <c r="F19" s="27"/>
      <c r="G19" s="186">
        <f>IF(G$4="","",G16+G17)</f>
        <v>-74185</v>
      </c>
      <c r="H19" s="186">
        <f t="shared" ref="H19:Q19" si="9">IF(H$4="","",H16+H17)</f>
        <v>-212579</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343</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343</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5.1460347621975071</v>
      </c>
      <c r="H43" s="6">
        <f t="shared" si="18"/>
        <v>-0.10052184177012041</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352</v>
      </c>
      <c r="C49" s="324">
        <f>BS!$C$66*C53</f>
        <v>0</v>
      </c>
      <c r="D49" s="325"/>
      <c r="E49" s="326"/>
      <c r="F49" s="325"/>
      <c r="G49" s="324">
        <f>Data!C52</f>
        <v>0</v>
      </c>
      <c r="H49" s="324">
        <f>Data!D52</f>
        <v>0</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-11410</v>
      </c>
      <c r="E50" s="302"/>
      <c r="G50" s="184">
        <f>IF(G$4="","",(G47+G48))</f>
        <v>-11410</v>
      </c>
      <c r="H50" s="184">
        <f t="shared" ref="H50:Q50" si="20">IF(H$4="","",(H47+H48))</f>
        <v>-8305</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345</v>
      </c>
      <c r="G53" s="6">
        <f>IF(Normalized_FCF!G4="","",Normalized_FCF!G49/BS!$C$66)</f>
        <v>0</v>
      </c>
      <c r="H53" s="170"/>
      <c r="I53" s="170"/>
      <c r="J53" s="170"/>
      <c r="K53" s="170"/>
      <c r="L53" s="170"/>
      <c r="M53" s="170"/>
      <c r="N53" s="170"/>
      <c r="O53" s="170"/>
      <c r="P53" s="170"/>
      <c r="Q53" s="170"/>
    </row>
    <row r="54" spans="1:17" ht="15.75" customHeight="1">
      <c r="A54" s="10"/>
      <c r="B54" s="8" t="s">
        <v>88</v>
      </c>
      <c r="C54" s="82">
        <f>G54</f>
        <v>9.8477525374577088E-2</v>
      </c>
      <c r="E54" s="299" t="s">
        <v>346</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347</v>
      </c>
      <c r="G62" s="191">
        <f>Data!C58</f>
        <v>-761336</v>
      </c>
      <c r="H62" s="191">
        <f>Data!D58</f>
        <v>-230719</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-761336</v>
      </c>
      <c r="H63" s="184">
        <f t="shared" si="23"/>
        <v>-230719</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1.1065068616032422E-2</v>
      </c>
      <c r="D80" s="27"/>
      <c r="E80" s="299"/>
      <c r="F80" s="27"/>
      <c r="G80" s="6">
        <f t="shared" ref="G80:Q80" si="31">IF(G$4="","",ABS(G12/G$4))</f>
        <v>1.1065068616032422E-2</v>
      </c>
      <c r="H80" s="6">
        <f t="shared" si="31"/>
        <v>9.5705744879944314E-3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2.1567663904662918E-2</v>
      </c>
      <c r="D81" s="27"/>
      <c r="E81" s="299"/>
      <c r="F81" s="27"/>
      <c r="G81" s="65">
        <f t="shared" ref="G81:Q81" si="32">IF(G$4="","",G13/G$4)</f>
        <v>1.7352083501022623E-2</v>
      </c>
      <c r="H81" s="65">
        <f t="shared" si="32"/>
        <v>-0.22259738822997957</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5.3919159761657296E-3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1.617574792849719E-2</v>
      </c>
      <c r="D84" s="27"/>
      <c r="E84" s="299"/>
      <c r="F84" s="27"/>
      <c r="G84" s="65">
        <f t="shared" ref="G84:Q84" si="35">IF(G$4="","",ABS(G16/G$4))</f>
        <v>7.1942341391793618E-2</v>
      </c>
      <c r="H84" s="65">
        <f t="shared" si="35"/>
        <v>0.24497328766807566</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1.617574792849719E-2</v>
      </c>
      <c r="D87" s="75"/>
      <c r="E87" s="299"/>
      <c r="F87" s="75"/>
      <c r="G87" s="65">
        <f t="shared" ref="G87:Q87" si="36">IF(G$4="","",ABS(G19/G$4))</f>
        <v>7.1942341391793618E-2</v>
      </c>
      <c r="H87" s="65">
        <f t="shared" si="36"/>
        <v>0.24497328766807566</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318</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0.2429437596581332</v>
      </c>
      <c r="D97" s="27"/>
      <c r="E97" s="299"/>
      <c r="F97" s="27"/>
      <c r="G97" s="6">
        <f t="shared" ref="G97:Q97" si="41">IF(H5="","",G13/H13-1)</f>
        <v>-1.0926320911980618</v>
      </c>
      <c r="H97" s="6">
        <f t="shared" si="41"/>
        <v>37.463162086818002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403</v>
      </c>
      <c r="C114" s="170"/>
      <c r="E114" s="302"/>
      <c r="G114" s="334">
        <f>IF(G$4="","",Data!C$22/G19)</f>
        <v>-9.5884477994203685</v>
      </c>
      <c r="H114" s="334">
        <f>IF(H$4="","",Data!D$22/H19)</f>
        <v>1.5250001176033381</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2.1567663904662918E-2</v>
      </c>
      <c r="E117" s="302"/>
      <c r="G117" s="23">
        <f t="shared" ref="G117:Q117" si="45">G81</f>
        <v>1.7352083501022623E-2</v>
      </c>
      <c r="H117" s="23">
        <f t="shared" si="45"/>
        <v>-0.22259738822997957</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7.2998300636955863E-3</v>
      </c>
      <c r="D124" s="27"/>
      <c r="E124" s="299"/>
      <c r="F124" s="27"/>
      <c r="G124" s="178">
        <f t="shared" ref="G124:Q124" si="49">IF(G$4="","",G16*$C$3/Common_Shares*Exchange_Rate)</f>
        <v>-3.246631122504498E-2</v>
      </c>
      <c r="H124" s="178">
        <f t="shared" si="49"/>
        <v>-9.3033038672357446E-2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6.3476783162570317E-3</v>
      </c>
      <c r="D125" s="27"/>
      <c r="E125" s="299"/>
      <c r="F125" s="27"/>
      <c r="G125" s="77">
        <f t="shared" ref="G125" si="50">IF(G$4="","",G124/Market_Price)</f>
        <v>-2.8231574978299985E-2</v>
      </c>
      <c r="H125" s="77">
        <f t="shared" ref="H125" si="51">IF(H$4="","",H124/Market_Price)</f>
        <v>-8.0898294497702139E-2</v>
      </c>
      <c r="I125" s="77">
        <f t="shared" ref="I125" si="52">IF(I$4="","",I124/Market_Price)</f>
        <v>-1.7056156351721065E-2</v>
      </c>
      <c r="J125" s="77">
        <f t="shared" ref="J125" si="53">IF(J$4="","",J124/Market_Price)</f>
        <v>3.1120759007891595E-2</v>
      </c>
      <c r="K125" s="77">
        <f t="shared" ref="K125" si="54">IF(K$4="","",K124/Market_Price)</f>
        <v>5.610009917100587E-2</v>
      </c>
      <c r="L125" s="77">
        <f t="shared" ref="L125" si="55">IF(L$4="","",L124/Market_Price)</f>
        <v>1.6710611159562322E-2</v>
      </c>
      <c r="M125" s="77">
        <f t="shared" ref="M125" si="56">IF(M$4="","",M124/Market_Price)</f>
        <v>-7.6860971872578666E-3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405</v>
      </c>
      <c r="C126" s="170"/>
      <c r="G126" s="23">
        <f>IF(G$4="","",(Data!C47*$C$3)/(Market_Price*Common_Shares))</f>
        <v>-0.31796284636306776</v>
      </c>
      <c r="H126" s="23">
        <f>IF(H$4="","",(Data!D47*$C$3)/(Market_Price*Common_Shares))</f>
        <v>-0.16869988171099856</v>
      </c>
      <c r="I126" s="23">
        <f>IF(I$4="","",(Data!E47*$C$3)/(Market_Price*Common_Shares))</f>
        <v>-8.3170596636886994E-3</v>
      </c>
      <c r="J126" s="23">
        <f>IF(J$4="","",(Data!F47*$C$3)/(Market_Price*Common_Shares))</f>
        <v>-4.943683478035684</v>
      </c>
      <c r="K126" s="23">
        <f>IF(K$4="","",(Data!G47*$C$3)/(Market_Price*Common_Shares))</f>
        <v>-0.27228123918075126</v>
      </c>
      <c r="L126" s="23">
        <f>IF(L$4="","",(Data!H47*$C$3)/(Market_Price*Common_Shares))</f>
        <v>-0.4117521076440136</v>
      </c>
      <c r="M126" s="23">
        <f>IF(M$4="","",(Data!I47*$C$3)/(Market_Price*Common_Shares))</f>
        <v>-0.53670056412713296</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16679.994518672233</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208499.93148340291</v>
      </c>
      <c r="D6" t="str">
        <f>Reporting_currency</f>
        <v>HKD</v>
      </c>
      <c r="E6" s="348" t="s">
        <v>250</v>
      </c>
      <c r="F6" s="348"/>
      <c r="H6" s="121"/>
    </row>
    <row r="7" spans="2:8">
      <c r="B7" s="149" t="s">
        <v>225</v>
      </c>
      <c r="C7" s="226">
        <f>BS!G31</f>
        <v>115864</v>
      </c>
      <c r="D7" t="str">
        <f>Reporting_currency</f>
        <v>HKD</v>
      </c>
      <c r="E7" s="348"/>
      <c r="F7" s="348"/>
      <c r="H7" s="121"/>
    </row>
    <row r="8" spans="2:8">
      <c r="B8" s="149" t="s">
        <v>226</v>
      </c>
      <c r="C8" s="201">
        <f>BS!D66</f>
        <v>4573651.4963457817</v>
      </c>
      <c r="D8" t="str">
        <f>Reporting_currency</f>
        <v>HKD</v>
      </c>
      <c r="E8" s="348"/>
      <c r="F8" s="348"/>
      <c r="H8" s="121"/>
    </row>
    <row r="9" spans="2:8">
      <c r="B9" s="227" t="s">
        <v>191</v>
      </c>
      <c r="C9" s="229">
        <f>BS!H42</f>
        <v>23866.7</v>
      </c>
      <c r="D9" t="str">
        <f>Reporting_currency</f>
        <v>HKD</v>
      </c>
      <c r="E9" s="348"/>
      <c r="F9" s="348"/>
      <c r="H9" s="121"/>
    </row>
    <row r="10" spans="2:8" ht="13.15">
      <c r="B10" s="150" t="s">
        <v>228</v>
      </c>
      <c r="C10" s="232">
        <f>C6-C7+C8+C9</f>
        <v>4690154.1278291848</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2.0525982827732254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2.0672421186312344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17456.863109826627</v>
      </c>
      <c r="D21" s="139">
        <f>IF($C$17&lt;B21,0,Valuation_Model!$C$16)</f>
        <v>4.6574870890079501E-2</v>
      </c>
      <c r="E21" s="125">
        <f t="shared" ref="E21:E50" si="0">IF($C$17&lt;B21,0,1/(1+Equity_Cost)^B21)</f>
        <v>0.92592592592592582</v>
      </c>
      <c r="F21" s="126">
        <f t="shared" ref="F21:F51" si="1">C21*E21</f>
        <v>16163.762138728356</v>
      </c>
      <c r="H21" s="121"/>
    </row>
    <row r="22" spans="2:8">
      <c r="B22" s="123">
        <v>2</v>
      </c>
      <c r="C22" s="124">
        <f t="shared" ref="C22:C50" si="2">IF(ROW()-ROW($C$21)&lt;$C$17, $C$21*(1+D22)^(ROW()-ROW($C$21)), 0)</f>
        <v>18269.914255312593</v>
      </c>
      <c r="D22" s="139">
        <f>IF($C$17&lt;B22,0,Valuation_Model!$C$16)</f>
        <v>4.6574870890079501E-2</v>
      </c>
      <c r="E22" s="125">
        <f t="shared" si="0"/>
        <v>0.85733882030178321</v>
      </c>
      <c r="F22" s="126">
        <f t="shared" si="1"/>
        <v>15663.50673466443</v>
      </c>
      <c r="H22" s="121"/>
    </row>
    <row r="23" spans="2:8">
      <c r="B23" s="123">
        <v>3</v>
      </c>
      <c r="C23" s="124">
        <f t="shared" si="2"/>
        <v>19120.833152926603</v>
      </c>
      <c r="D23" s="139">
        <f>IF($C$17&lt;B23,0,Valuation_Model!$C$16)</f>
        <v>4.6574870890079501E-2</v>
      </c>
      <c r="E23" s="125">
        <f t="shared" si="0"/>
        <v>0.79383224102016958</v>
      </c>
      <c r="F23" s="126">
        <f t="shared" si="1"/>
        <v>15178.733831960481</v>
      </c>
      <c r="H23" s="121"/>
    </row>
    <row r="24" spans="2:8">
      <c r="B24" s="123">
        <v>4</v>
      </c>
      <c r="C24" s="124">
        <f t="shared" si="2"/>
        <v>20011.383488334912</v>
      </c>
      <c r="D24" s="139">
        <f>IF($C$17&lt;B24,0,Valuation_Model!$C$16)</f>
        <v>4.6574870890079501E-2</v>
      </c>
      <c r="E24" s="125">
        <f t="shared" si="0"/>
        <v>0.73502985279645328</v>
      </c>
      <c r="F24" s="126">
        <f t="shared" si="1"/>
        <v>14708.964259684186</v>
      </c>
      <c r="H24" s="121"/>
    </row>
    <row r="25" spans="2:8">
      <c r="B25" s="123">
        <v>5</v>
      </c>
      <c r="C25" s="124">
        <f t="shared" si="2"/>
        <v>20943.411090635982</v>
      </c>
      <c r="D25" s="139">
        <f>IF($C$17&lt;B25,0,Valuation_Model!$C$16)</f>
        <v>4.6574870890079501E-2</v>
      </c>
      <c r="E25" s="125">
        <f t="shared" si="0"/>
        <v>0.68058319703375303</v>
      </c>
      <c r="F25" s="126">
        <f t="shared" si="1"/>
        <v>14253.733676857197</v>
      </c>
      <c r="H25" s="121"/>
    </row>
    <row r="26" spans="2:8">
      <c r="B26" s="123">
        <v>6</v>
      </c>
      <c r="C26" s="124">
        <f t="shared" si="2"/>
        <v>21918.847758180211</v>
      </c>
      <c r="D26" s="139">
        <f>IF($C$17&lt;B26,0,Valuation_Model!$C$16)</f>
        <v>4.6574870890079501E-2</v>
      </c>
      <c r="E26" s="125">
        <f t="shared" si="0"/>
        <v>0.63016962688310452</v>
      </c>
      <c r="F26" s="126">
        <f t="shared" si="1"/>
        <v>13812.592113479996</v>
      </c>
      <c r="H26" s="121"/>
    </row>
    <row r="27" spans="2:8">
      <c r="B27" s="123">
        <v>7</v>
      </c>
      <c r="C27" s="124">
        <f t="shared" si="2"/>
        <v>22939.715262576767</v>
      </c>
      <c r="D27" s="139">
        <f>IF($C$17&lt;B27,0,Valuation_Model!$C$16)</f>
        <v>4.6574870890079501E-2</v>
      </c>
      <c r="E27" s="125">
        <f t="shared" si="0"/>
        <v>0.58349039526213387</v>
      </c>
      <c r="F27" s="126">
        <f t="shared" si="1"/>
        <v>13385.103525761722</v>
      </c>
      <c r="H27" s="121"/>
    </row>
    <row r="28" spans="2:8">
      <c r="B28" s="123">
        <v>8</v>
      </c>
      <c r="C28" s="124">
        <f t="shared" si="2"/>
        <v>24008.129539186466</v>
      </c>
      <c r="D28" s="139">
        <f>IF($C$17&lt;B28,0,Valuation_Model!$C$16)</f>
        <v>4.6574870890079501E-2</v>
      </c>
      <c r="E28" s="125">
        <f t="shared" si="0"/>
        <v>0.54026888450197574</v>
      </c>
      <c r="F28" s="126">
        <f t="shared" si="1"/>
        <v>12970.845365115205</v>
      </c>
      <c r="H28" s="121"/>
    </row>
    <row r="29" spans="2:8">
      <c r="B29" s="123">
        <v>9</v>
      </c>
      <c r="C29" s="124">
        <f t="shared" si="2"/>
        <v>25126.305072786381</v>
      </c>
      <c r="D29" s="139">
        <f>IF($C$17&lt;B29,0,Valuation_Model!$C$16)</f>
        <v>4.6574870890079501E-2</v>
      </c>
      <c r="E29" s="125">
        <f t="shared" si="0"/>
        <v>0.50024896713145905</v>
      </c>
      <c r="F29" s="126">
        <f t="shared" si="1"/>
        <v>12569.408160491328</v>
      </c>
      <c r="H29" s="121"/>
    </row>
    <row r="30" spans="2:8">
      <c r="B30" s="123">
        <v>10</v>
      </c>
      <c r="C30" s="124">
        <f t="shared" si="2"/>
        <v>26296.559487496157</v>
      </c>
      <c r="D30" s="139">
        <f>IF($C$17&lt;B30,0,Valuation_Model!$C$16)</f>
        <v>4.6574870890079501E-2</v>
      </c>
      <c r="E30" s="125">
        <f t="shared" si="0"/>
        <v>0.46319348808468425</v>
      </c>
      <c r="F30" s="126">
        <f t="shared" si="1"/>
        <v>12180.395113639741</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218210.78887283284</v>
      </c>
      <c r="D51" s="140">
        <f>Terminal_Growth</f>
        <v>0</v>
      </c>
      <c r="E51" s="125">
        <f>1/(1+Equity_Cost)^C17</f>
        <v>0.46319348808468425</v>
      </c>
      <c r="F51" s="126">
        <f t="shared" si="1"/>
        <v>101073.81643571805</v>
      </c>
      <c r="H51" s="121"/>
    </row>
    <row r="52" spans="1:8">
      <c r="C52" s="115"/>
      <c r="E52" s="128" t="s">
        <v>101</v>
      </c>
      <c r="F52" s="138">
        <f>SUM(F21:F51)</f>
        <v>241960.86135610071</v>
      </c>
      <c r="H52" s="121"/>
    </row>
    <row r="53" spans="1:8">
      <c r="C53" s="115"/>
      <c r="H53" s="121"/>
    </row>
    <row r="54" spans="1:8" ht="13.15">
      <c r="B54" s="120" t="s">
        <v>130</v>
      </c>
      <c r="C54" s="137"/>
      <c r="D54" s="137"/>
      <c r="E54" s="118"/>
      <c r="F54" s="118"/>
      <c r="H54" s="121"/>
    </row>
    <row r="55" spans="1:8" ht="13.15">
      <c r="A55" s="134">
        <f>F52</f>
        <v>241960.86135610071</v>
      </c>
      <c r="B55" s="132">
        <f>C78</f>
        <v>-0.15</v>
      </c>
      <c r="C55" s="132">
        <f>C77</f>
        <v>0</v>
      </c>
      <c r="D55" s="132">
        <f>C76</f>
        <v>0.04</v>
      </c>
      <c r="E55" s="132">
        <f>C75</f>
        <v>0.08</v>
      </c>
      <c r="F55" s="132">
        <f>C74</f>
        <v>0.15</v>
      </c>
      <c r="H55" s="121"/>
    </row>
    <row r="56" spans="1:8" ht="13.15">
      <c r="A56" s="144">
        <v>5</v>
      </c>
      <c r="B56" s="124">
        <f t="dataTable" ref="B56:F61" dt2D="1" dtr="1" r1="C16" r2="C17"/>
        <v>163644.78386842809</v>
      </c>
      <c r="C56" s="124">
        <v>208499.93148340285</v>
      </c>
      <c r="D56" s="124">
        <v>222156.00962145126</v>
      </c>
      <c r="E56" s="124">
        <v>236653.6465396774</v>
      </c>
      <c r="F56" s="124">
        <v>264274.76708910544</v>
      </c>
      <c r="H56" s="121"/>
    </row>
    <row r="57" spans="1:8" ht="13.15">
      <c r="A57" s="144">
        <v>10</v>
      </c>
      <c r="B57" s="124">
        <v>138111.57194634757</v>
      </c>
      <c r="C57" s="124">
        <v>208499.93148340285</v>
      </c>
      <c r="D57" s="124">
        <v>236770.65391362851</v>
      </c>
      <c r="E57" s="124">
        <v>271101.82055827463</v>
      </c>
      <c r="F57" s="124">
        <v>350529.09498645249</v>
      </c>
      <c r="H57" s="121"/>
    </row>
    <row r="58" spans="1:8" ht="13.15">
      <c r="A58" s="144">
        <v>15</v>
      </c>
      <c r="B58" s="124">
        <v>115814.63218713648</v>
      </c>
      <c r="C58" s="124">
        <v>208499.93148340279</v>
      </c>
      <c r="D58" s="124">
        <v>255822.69610664935</v>
      </c>
      <c r="E58" s="124">
        <v>321186.02157707058</v>
      </c>
      <c r="F58" s="124">
        <v>504480.31604768231</v>
      </c>
      <c r="H58" s="121"/>
    </row>
    <row r="59" spans="1:8" ht="13.15">
      <c r="A59" s="145">
        <v>20</v>
      </c>
      <c r="B59" s="124">
        <v>99154.13764283112</v>
      </c>
      <c r="C59" s="124">
        <v>208499.93148340279</v>
      </c>
      <c r="D59" s="124">
        <v>276328.9055186818</v>
      </c>
      <c r="E59" s="124">
        <v>381911.83984056796</v>
      </c>
      <c r="F59" s="124">
        <v>739641.49296367459</v>
      </c>
      <c r="H59" s="121"/>
    </row>
    <row r="60" spans="1:8" ht="13.15">
      <c r="A60" s="145">
        <v>25</v>
      </c>
      <c r="B60" s="124">
        <v>87366.674375918024</v>
      </c>
      <c r="C60" s="124">
        <v>208499.93148340273</v>
      </c>
      <c r="D60" s="124">
        <v>296528.21939604427</v>
      </c>
      <c r="E60" s="124">
        <v>449880.16399007372</v>
      </c>
      <c r="F60" s="124">
        <v>1078171.1325270489</v>
      </c>
      <c r="H60" s="121"/>
    </row>
    <row r="61" spans="1:8" ht="13.15">
      <c r="A61" s="145">
        <v>30</v>
      </c>
      <c r="B61" s="124">
        <v>79208.854230723853</v>
      </c>
      <c r="C61" s="124">
        <v>208499.93148340273</v>
      </c>
      <c r="D61" s="124">
        <v>315445.05585305241</v>
      </c>
      <c r="E61" s="124">
        <v>522777.61595001485</v>
      </c>
      <c r="F61" s="124">
        <v>1552893.2195738466</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2.0525982827732254</v>
      </c>
      <c r="C65" s="125">
        <f>C12</f>
        <v>2.0525982827732254</v>
      </c>
      <c r="D65" s="125">
        <f>C12</f>
        <v>2.0525982827732254</v>
      </c>
      <c r="E65" s="142">
        <f>C12</f>
        <v>2.0525982827732254</v>
      </c>
      <c r="F65" s="125">
        <f>C12</f>
        <v>2.0525982827732254</v>
      </c>
      <c r="H65" s="121"/>
    </row>
    <row r="66" spans="1:8" ht="13.15">
      <c r="A66" s="144">
        <f t="shared" ref="A66:A71" si="3">A56</f>
        <v>5</v>
      </c>
      <c r="B66" s="125">
        <f t="shared" ref="B66:F71" si="4">(B56-$C$7+$C$8+$C$9)/Common_Shares*$C$3*Exchange_Rate</f>
        <v>2.0329678833324611</v>
      </c>
      <c r="C66" s="125">
        <f t="shared" si="4"/>
        <v>2.0525982827732254</v>
      </c>
      <c r="D66" s="125">
        <f t="shared" si="4"/>
        <v>2.0585747265683785</v>
      </c>
      <c r="E66" s="125">
        <f t="shared" si="4"/>
        <v>2.0649194700099747</v>
      </c>
      <c r="F66" s="125">
        <f t="shared" si="4"/>
        <v>2.0770075726741548</v>
      </c>
      <c r="H66" s="121"/>
    </row>
    <row r="67" spans="1:8" ht="13.15">
      <c r="A67" s="144">
        <f t="shared" si="3"/>
        <v>10</v>
      </c>
      <c r="B67" s="125">
        <f t="shared" si="4"/>
        <v>2.0217935326572931</v>
      </c>
      <c r="C67" s="125">
        <f t="shared" si="4"/>
        <v>2.0525982827732254</v>
      </c>
      <c r="D67" s="125">
        <f t="shared" si="4"/>
        <v>2.0649706770979077</v>
      </c>
      <c r="E67" s="125">
        <f t="shared" si="4"/>
        <v>2.0799953632339725</v>
      </c>
      <c r="F67" s="125">
        <f t="shared" si="4"/>
        <v>2.1147559025794234</v>
      </c>
      <c r="H67" s="121"/>
    </row>
    <row r="68" spans="1:8" ht="13.15">
      <c r="A68" s="144">
        <f t="shared" si="3"/>
        <v>15</v>
      </c>
      <c r="B68" s="125">
        <f t="shared" si="4"/>
        <v>2.0120355036003601</v>
      </c>
      <c r="C68" s="125">
        <f t="shared" si="4"/>
        <v>2.0525982827732254</v>
      </c>
      <c r="D68" s="125">
        <f t="shared" si="4"/>
        <v>2.0733086097165137</v>
      </c>
      <c r="E68" s="125">
        <f t="shared" si="4"/>
        <v>2.1019142047482129</v>
      </c>
      <c r="F68" s="125">
        <f t="shared" si="4"/>
        <v>2.1821310896987818</v>
      </c>
      <c r="H68" s="121"/>
    </row>
    <row r="69" spans="1:8" ht="13.15">
      <c r="A69" s="145">
        <f t="shared" si="3"/>
        <v>20</v>
      </c>
      <c r="B69" s="125">
        <f t="shared" si="4"/>
        <v>2.0047442075022461</v>
      </c>
      <c r="C69" s="125">
        <f t="shared" si="4"/>
        <v>2.0525982827732254</v>
      </c>
      <c r="D69" s="125">
        <f t="shared" si="4"/>
        <v>2.0822829438381958</v>
      </c>
      <c r="E69" s="125">
        <f t="shared" si="4"/>
        <v>2.128490241886964</v>
      </c>
      <c r="F69" s="125">
        <f t="shared" si="4"/>
        <v>2.2850469885705547</v>
      </c>
      <c r="H69" s="121"/>
    </row>
    <row r="70" spans="1:8" ht="13.15">
      <c r="A70" s="145">
        <f t="shared" si="3"/>
        <v>25</v>
      </c>
      <c r="B70" s="125">
        <f t="shared" si="4"/>
        <v>1.9995855440126269</v>
      </c>
      <c r="C70" s="125">
        <f t="shared" si="4"/>
        <v>2.0525982827732254</v>
      </c>
      <c r="D70" s="125">
        <f t="shared" si="4"/>
        <v>2.091122968248452</v>
      </c>
      <c r="E70" s="125">
        <f t="shared" si="4"/>
        <v>2.1582358881130554</v>
      </c>
      <c r="F70" s="125">
        <f t="shared" si="4"/>
        <v>2.4332010444708954</v>
      </c>
    </row>
    <row r="71" spans="1:8" ht="13.15">
      <c r="A71" s="145">
        <f t="shared" si="3"/>
        <v>30</v>
      </c>
      <c r="B71" s="125">
        <f t="shared" si="4"/>
        <v>1.9960153569431143</v>
      </c>
      <c r="C71" s="125">
        <f t="shared" si="4"/>
        <v>2.0525982827732254</v>
      </c>
      <c r="D71" s="125">
        <f t="shared" si="4"/>
        <v>2.0994017294509386</v>
      </c>
      <c r="E71" s="125">
        <f t="shared" si="4"/>
        <v>2.1901387170251563</v>
      </c>
      <c r="F71" s="125">
        <f t="shared" si="4"/>
        <v>2.6409583407365051</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2.1821310896987818</v>
      </c>
      <c r="F74" s="143">
        <f>Scenarios!C58</f>
        <v>0.05</v>
      </c>
    </row>
    <row r="75" spans="1:8">
      <c r="B75" s="128" t="str">
        <f>Scenarios!B36</f>
        <v>Optimistic</v>
      </c>
      <c r="C75" s="143">
        <f>Scenarios!C38</f>
        <v>0.08</v>
      </c>
      <c r="D75" s="146">
        <f>Scenarios!C37</f>
        <v>10</v>
      </c>
      <c r="E75" s="136">
        <f>INDEX(B$65:F$71, MATCH(D75, A$65:A$71, 0), MATCH(C75, B$64:F$64, 0))</f>
        <v>2.0799953632339725</v>
      </c>
      <c r="F75" s="143">
        <f>Scenarios!C40*(1-F$74-F$78)</f>
        <v>0.26999999999999996</v>
      </c>
      <c r="H75" s="121"/>
    </row>
    <row r="76" spans="1:8">
      <c r="B76" s="128" t="str">
        <f>Scenarios!B24</f>
        <v>Base</v>
      </c>
      <c r="C76" s="143">
        <f>Scenarios!C26</f>
        <v>0.04</v>
      </c>
      <c r="D76" s="146">
        <f>Scenarios!C25</f>
        <v>10</v>
      </c>
      <c r="E76" s="136">
        <f>INDEX(B$65:F$71, MATCH(D76, A$65:A$71, 0), MATCH(C76, B$64:F$64, 0))</f>
        <v>2.0649706770979077</v>
      </c>
      <c r="F76" s="143">
        <f>Scenarios!C28*(1-F$74-F$78)</f>
        <v>0.44999999999999996</v>
      </c>
      <c r="H76" s="121"/>
    </row>
    <row r="77" spans="1:8">
      <c r="B77" s="128" t="str">
        <f>Scenarios!B30</f>
        <v>Pessimistic</v>
      </c>
      <c r="C77" s="143">
        <f>Scenarios!C32</f>
        <v>0</v>
      </c>
      <c r="D77" s="146">
        <f>Scenarios!C31</f>
        <v>10</v>
      </c>
      <c r="E77" s="136">
        <f>INDEX(B$65:F$71, MATCH(D77, A$65:A$71, 0), MATCH(C77, B$64:F$64, 0))</f>
        <v>2.0525982827732254</v>
      </c>
      <c r="F77" s="143">
        <f>Scenarios!C34*(1-F$74-F$78)</f>
        <v>0.18</v>
      </c>
      <c r="H77" s="121"/>
    </row>
    <row r="78" spans="1:8">
      <c r="B78" s="128" t="str">
        <f>Scenarios!B48</f>
        <v>Devil's advocate</v>
      </c>
      <c r="C78" s="143">
        <f>Scenarios!C50</f>
        <v>-0.15</v>
      </c>
      <c r="D78" s="146">
        <f>Scenarios!C49</f>
        <v>15</v>
      </c>
      <c r="E78" s="136">
        <f>INDEX(B$65:F$71, MATCH(D78, A$65:A$71, 0), MATCH(C78, B$64:F$64, 0))</f>
        <v>2.0120355036003601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43" zoomScale="75" zoomScaleNormal="100" workbookViewId="0">
      <selection activeCell="F83" sqref="F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-1.1499999999999999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2.0700115733313686</v>
      </c>
    </row>
    <row r="7" spans="2:9" ht="12.75" customHeight="1">
      <c r="B7" s="100" t="s">
        <v>276</v>
      </c>
      <c r="C7" s="115">
        <f>Normalized_FCF!G8</f>
        <v>29303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0"/>
      <c r="H7" s="276">
        <v>4</v>
      </c>
      <c r="I7" s="264" t="str">
        <f t="shared" si="0"/>
        <v/>
      </c>
    </row>
    <row r="8" spans="2:9">
      <c r="B8" s="100" t="s">
        <v>66</v>
      </c>
      <c r="C8" s="115">
        <f>Normalized_FCF!G19</f>
        <v>-74185</v>
      </c>
      <c r="D8" t="str">
        <f>Reporting_currency</f>
        <v>HKD</v>
      </c>
      <c r="E8" s="350"/>
      <c r="F8" s="350"/>
      <c r="H8" s="276">
        <v>5</v>
      </c>
      <c r="I8" s="264" t="str">
        <f t="shared" si="0"/>
        <v/>
      </c>
    </row>
    <row r="9" spans="2:9">
      <c r="B9" s="100" t="s">
        <v>57</v>
      </c>
      <c r="C9" s="201">
        <f>Normalized_FCF!C19</f>
        <v>16679.994518672233</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-4.8760226650597205E-2</v>
      </c>
      <c r="D12" s="159"/>
      <c r="E12" s="350"/>
      <c r="F12" s="350"/>
      <c r="H12" s="276">
        <v>9</v>
      </c>
      <c r="I12" s="264" t="str">
        <f t="shared" si="0"/>
        <v/>
      </c>
    </row>
    <row r="13" spans="2:9">
      <c r="B13" s="149" t="s">
        <v>153</v>
      </c>
      <c r="C13" s="159">
        <f ca="1">(Normalized_FCF!G8/OFFSET(Normalized_FCF!G8, 0, $C$4))^(1/$C$4) - 1</f>
        <v>-0.53605739463275559</v>
      </c>
      <c r="E13" s="350"/>
      <c r="F13" s="350"/>
      <c r="H13" s="276">
        <v>10</v>
      </c>
      <c r="I13" s="264" t="str">
        <f t="shared" si="0"/>
        <v/>
      </c>
    </row>
    <row r="14" spans="2:9">
      <c r="B14" s="100" t="s">
        <v>66</v>
      </c>
      <c r="C14" s="159">
        <f ca="1">(Normalized_FCF!G19/OFFSET(Normalized_FCF!G19, 0, $C$4))^(1/$C$4) - 1</f>
        <v>-1.968043728142399</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1.1499999999999999</v>
      </c>
      <c r="D21" t="str">
        <f>Market_currency</f>
        <v>HKD</v>
      </c>
      <c r="E21" s="351"/>
      <c r="F21" s="351"/>
    </row>
    <row r="22" spans="2:6">
      <c r="B22" s="100" t="s">
        <v>281</v>
      </c>
      <c r="C22" s="161">
        <f>Valuation_Model!C12</f>
        <v>2.0525982827732254</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2.0649706770979077</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v>
      </c>
      <c r="D32" s="165"/>
      <c r="E32" s="349"/>
      <c r="F32" s="349"/>
    </row>
    <row r="33" spans="2:6">
      <c r="B33" s="100" t="s">
        <v>114</v>
      </c>
      <c r="C33" s="161">
        <f>Valuation_Model!E77</f>
        <v>2.0525982827732254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0.08</v>
      </c>
      <c r="D38" s="165"/>
      <c r="E38" s="349"/>
      <c r="F38" s="349"/>
    </row>
    <row r="39" spans="2:6">
      <c r="B39" s="100" t="s">
        <v>114</v>
      </c>
      <c r="C39" s="161">
        <f>Valuation_Model!E75</f>
        <v>2.0799953632339725</v>
      </c>
      <c r="D39" t="str">
        <f>Market_currency</f>
        <v>HKD</v>
      </c>
      <c r="E39" s="349"/>
      <c r="F39" s="349"/>
    </row>
    <row r="40" spans="2:6">
      <c r="B40" s="100" t="s">
        <v>148</v>
      </c>
      <c r="C40" s="168">
        <f>1-C28-C34</f>
        <v>0.3</v>
      </c>
      <c r="D40" s="166"/>
      <c r="E40" s="349"/>
      <c r="F40" s="349"/>
    </row>
    <row r="42" spans="2:6" ht="13.15">
      <c r="B42" s="100" t="s">
        <v>121</v>
      </c>
      <c r="C42" s="155">
        <f>C27*C28+C33*C34+C39*C40</f>
        <v>2.0670036040737907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-0.15</v>
      </c>
      <c r="D50" s="165"/>
      <c r="E50" s="349"/>
      <c r="F50" s="349"/>
    </row>
    <row r="51" spans="2:6">
      <c r="B51" s="100" t="s">
        <v>114</v>
      </c>
      <c r="C51" s="161">
        <f>Valuation_Model!E78</f>
        <v>2.0120355036003601</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0.15</v>
      </c>
      <c r="D56" s="165"/>
      <c r="E56" s="349"/>
      <c r="F56" s="349"/>
    </row>
    <row r="57" spans="2:6">
      <c r="B57" s="100" t="s">
        <v>114</v>
      </c>
      <c r="C57" s="161">
        <f>Valuation_Model!E74</f>
        <v>2.1821310896987818</v>
      </c>
      <c r="D57" t="str">
        <f>Market_currency</f>
        <v>HKD</v>
      </c>
      <c r="E57" s="349"/>
      <c r="F57" s="349"/>
    </row>
    <row r="58" spans="2:6">
      <c r="B58" s="100" t="s">
        <v>148</v>
      </c>
      <c r="C58" s="166">
        <v>0.05</v>
      </c>
      <c r="D58" s="166"/>
      <c r="E58" s="349"/>
      <c r="F58" s="349"/>
    </row>
    <row r="60" spans="2:6" ht="13.15">
      <c r="B60" s="100" t="s">
        <v>121</v>
      </c>
      <c r="C60" s="155">
        <f>C51*C52+C57*C58+C42*(1-C52-C58)</f>
        <v>2.0700115733313686</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2.0672421186312344</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Y</v>
      </c>
      <c r="E72" s="135" t="s">
        <v>356</v>
      </c>
      <c r="F72" s="329">
        <f>BS!D89/C60</f>
        <v>0.94750697640812487</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v>
      </c>
      <c r="D77" t="str">
        <f>Market_currency</f>
        <v>HKD</v>
      </c>
    </row>
    <row r="79" spans="2:6" ht="13.15">
      <c r="B79" s="109" t="s">
        <v>309</v>
      </c>
    </row>
    <row r="80" spans="2:6">
      <c r="B80" s="149" t="s">
        <v>307</v>
      </c>
      <c r="C80" s="168">
        <f>Thesis!C127</f>
        <v>0.3</v>
      </c>
    </row>
    <row r="81" spans="2:8">
      <c r="B81" s="100" t="s">
        <v>122</v>
      </c>
      <c r="C81" s="117">
        <f>PV(C80, C76, -C77, 0)</f>
        <v>0</v>
      </c>
      <c r="D81" s="117"/>
      <c r="E81" s="100"/>
      <c r="F81" s="100"/>
    </row>
    <row r="82" spans="2:8">
      <c r="B82" s="100" t="s">
        <v>123</v>
      </c>
      <c r="C82" s="117">
        <f>C60/(1+C80)^C76</f>
        <v>0.9421991685622978</v>
      </c>
      <c r="D82" s="117"/>
    </row>
    <row r="83" spans="2:8" ht="13.15">
      <c r="B83" s="111" t="s">
        <v>102</v>
      </c>
      <c r="C83" s="112">
        <f>C81+C82</f>
        <v>0.9421991685622978</v>
      </c>
      <c r="D83" t="str">
        <f>Market_currency</f>
        <v>HKD</v>
      </c>
      <c r="E83" s="147" t="s">
        <v>127</v>
      </c>
      <c r="F83" s="329">
        <f>(1-C83/C60)</f>
        <v>0.54483386436049175</v>
      </c>
    </row>
    <row r="84" spans="2:8">
      <c r="E84" s="121"/>
    </row>
    <row r="85" spans="2:8" ht="13.15">
      <c r="B85" s="109" t="s">
        <v>310</v>
      </c>
    </row>
    <row r="86" spans="2:8">
      <c r="B86" s="149" t="s">
        <v>308</v>
      </c>
      <c r="C86" s="266">
        <f>Market_Price</f>
        <v>1.1499999999999999</v>
      </c>
      <c r="D86" t="str">
        <f>Market_currency</f>
        <v>HKD</v>
      </c>
    </row>
    <row r="87" spans="2:8" ht="13.15">
      <c r="B87" s="100" t="s">
        <v>306</v>
      </c>
      <c r="C87" s="265">
        <f ca="1">IRR(OFFSET($I$3, 0, 0, $C$76 + 1, 1))</f>
        <v>0.21644266614219942</v>
      </c>
    </row>
    <row r="88" spans="2:8">
      <c r="B88" s="100"/>
    </row>
    <row r="89" spans="2:8" ht="13.15">
      <c r="B89" s="109" t="s">
        <v>425</v>
      </c>
    </row>
    <row r="90" spans="2:8">
      <c r="B90" s="149" t="s">
        <v>426</v>
      </c>
      <c r="C90" s="168">
        <f>Thesis!E19</f>
        <v>0.2</v>
      </c>
    </row>
    <row r="91" spans="2:8">
      <c r="B91" s="100" t="s">
        <v>122</v>
      </c>
      <c r="C91" s="117">
        <f>PV(C90, C76, -C77, 0)</f>
        <v>0</v>
      </c>
      <c r="D91" s="117"/>
      <c r="E91" s="100"/>
      <c r="F91" s="100"/>
    </row>
    <row r="92" spans="2:8">
      <c r="B92" s="100" t="s">
        <v>123</v>
      </c>
      <c r="C92" s="117">
        <f>C60/(1+C90)^C76</f>
        <v>1.197923364196394</v>
      </c>
      <c r="D92" s="117"/>
    </row>
    <row r="93" spans="2:8" ht="13.15">
      <c r="B93" s="111" t="s">
        <v>102</v>
      </c>
      <c r="C93" s="112">
        <f>C91+C92</f>
        <v>1.197923364196394</v>
      </c>
      <c r="D93" t="str">
        <f>Market_currency</f>
        <v>HKD</v>
      </c>
      <c r="E93" s="147" t="s">
        <v>127</v>
      </c>
      <c r="F93" s="329">
        <f>(1-C93/C60)</f>
        <v>0.42129629629629628</v>
      </c>
    </row>
    <row r="95" spans="2:8" ht="13.15">
      <c r="B95" s="109" t="s">
        <v>408</v>
      </c>
      <c r="G95" s="2"/>
      <c r="H95" s="316"/>
    </row>
    <row r="96" spans="2:8">
      <c r="B96" s="149" t="s">
        <v>414</v>
      </c>
      <c r="C96" s="135">
        <f>Thesis!C67</f>
        <v>0.08</v>
      </c>
      <c r="G96" s="2"/>
      <c r="H96" s="316"/>
    </row>
    <row r="97" spans="2:8">
      <c r="B97" s="100" t="s">
        <v>122</v>
      </c>
      <c r="C97" s="117">
        <f>PV(C96, C76, -C77, 0)</f>
        <v>0</v>
      </c>
      <c r="D97" s="117"/>
      <c r="G97" s="2"/>
      <c r="H97" s="316"/>
    </row>
    <row r="98" spans="2:8">
      <c r="B98" s="100" t="s">
        <v>123</v>
      </c>
      <c r="C98" s="117">
        <f>C60/(1+C96)^C76</f>
        <v>1.6432419261953275</v>
      </c>
      <c r="D98" s="117"/>
      <c r="G98" s="2"/>
      <c r="H98" s="316"/>
    </row>
    <row r="99" spans="2:8" ht="13.15">
      <c r="B99" s="111" t="s">
        <v>409</v>
      </c>
      <c r="C99" s="112">
        <f>C97+C98</f>
        <v>1.6432419261953275</v>
      </c>
      <c r="D99" t="s">
        <v>407</v>
      </c>
      <c r="E99" s="147" t="s">
        <v>127</v>
      </c>
      <c r="F99" s="329">
        <f>(1-C99/C60)</f>
        <v>0.20616775897983042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2025-05-09T08:09:48Z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