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8C2FEA-D323-4412-A45C-439804CA07A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<sst xmlns="http://schemas.openxmlformats.org/spreadsheetml/2006/main" count="836" uniqueCount="560">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</sst>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2.2400000000000002</v>
      </c>
      <c r="D12" s="50"/>
      <c r="E12" s="48"/>
    </row>
    <row r="13" spans="1:10">
      <c r="B13" s="1" t="s">
        <v>485</v>
      </c>
      <c r="C13" s="32" t="str">
        <f>Market_currency</f>
        <v>HKD</v>
      </c>
      <c r="D13" s="48"/>
      <c r="E13" s="5"/>
    </row>
    <row r="14" spans="1:10">
      <c r="B14" s="4" t="s">
        <v>486</v>
      </c>
      <c r="C14" s="35">
        <f>投资主题!C12*Common_Shares/1000000</f>
        <v>5118.3640435200005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-1.9252019650804364E-2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4.2802036805968365E-3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2.2400000000000002</v>
      </c>
      <c r="D12" s="50"/>
      <c r="E12" s="48"/>
    </row>
    <row r="13" spans="1:10">
      <c r="B13" s="1" t="s">
        <v>464</v>
      </c>
      <c r="C13" s="48" t="s">
        <v>377</v>
      </c>
      <c r="D13" s="48"/>
      <c r="E13" s="5"/>
    </row>
    <row r="14" spans="1:10">
      <c r="B14" s="4" t="s">
        <v>465</v>
      </c>
      <c r="C14" s="35">
        <f>Thesis!C12*Common_Shares/1000000</f>
        <v>5118.3640435200005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-1.9252019650804364E-2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4.2802036805968365E-3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4.2802036805968365E-3</v>
      </c>
      <c r="D126" s="27"/>
      <c r="E126" s="265"/>
      <c r="F126" s="27"/>
      <c r="G126" s="77">
        <f t="shared" ref="G126" si="50">IF(G$4="","",G125/Market_Price)</f>
        <v>-1.3132087641632385E-2</v>
      </c>
      <c r="H126" s="77">
        <f t="shared" ref="H126" si="51">IF(H$4="","",H125/Market_Price)</f>
        <v>-3.9108424652108502E-2</v>
      </c>
      <c r="I126" s="77">
        <f t="shared" ref="I126" si="52">IF(I$4="","",I125/Market_Price)</f>
        <v>-8.7565088412853657E-3</v>
      </c>
      <c r="J126" s="77">
        <f t="shared" ref="J126" si="53">IF(J$4="","",J125/Market_Price)</f>
        <v>1.5977175383515771E-2</v>
      </c>
      <c r="K126" s="77">
        <f t="shared" ref="K126" si="54">IF(K$4="","",K125/Market_Price)</f>
        <v>2.8801390199400329E-2</v>
      </c>
      <c r="L126" s="77">
        <f t="shared" ref="L126" si="55">IF(L$4="","",L125/Market_Price)</f>
        <v>8.5791084078110109E-3</v>
      </c>
      <c r="M126" s="77">
        <f t="shared" ref="M126" si="56">IF(M$4="","",M125/Market_Price)</f>
        <v>-3.9459873952439935E-3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-0.16323985415961068</v>
      </c>
      <c r="H127" s="23">
        <f>IF(H$4="","",(Data!D47*$C$3)/(Market_Price*Common_Shares))</f>
        <v>-8.6609314271271567E-2</v>
      </c>
      <c r="I127" s="23">
        <f>IF(I$4="","",(Data!E47*$C$3)/(Market_Price*Common_Shares))</f>
        <v>-4.2699190237687513E-3</v>
      </c>
      <c r="J127" s="23">
        <f>IF(J$4="","",(Data!F47*$C$3)/(Market_Price*Common_Shares))</f>
        <v>-2.5380517855986766</v>
      </c>
      <c r="K127" s="23">
        <f>IF(K$4="","",(Data!G47*$C$3)/(Market_Price*Common_Shares))</f>
        <v>-0.13978724332940351</v>
      </c>
      <c r="L127" s="23">
        <f>IF(L$4="","",(Data!H47*$C$3)/(Market_Price*Common_Shares))</f>
        <v>-0.21139059097795337</v>
      </c>
      <c r="M127" s="23">
        <f>IF(M$4="","",(Data!I47*$C$3)/(Market_Price*Common_Shares))</f>
        <v>-0.27553823604741201</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-2.2400000000000002</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2.2400000000000002</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2.2400000000000002</v>
      </c>
      <c r="D86" t="str">
        <f>Market_currency</f>
        <v>HKD</v>
      </c>
    </row>
    <row r="87" spans="2:8" ht="13.15">
      <c r="B87" s="100" t="s">
        <v>293</v>
      </c>
      <c r="C87" s="237">
        <f ca="1">IRR(OFFSET($I$3, 0, 0, $C$76 + 1, 1))</f>
        <v>-1.9252019650804364E-2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