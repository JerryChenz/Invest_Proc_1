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CBD69BC-0F69-4664-AD33-0588182F8654}"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J13" i="2"/>
  <c r="J121" i="2" s="1"/>
  <c r="J117" i="2" s="1"/>
  <c r="M76" i="2"/>
  <c r="L13" i="2"/>
  <c r="L121" i="2" s="1"/>
  <c r="K13" i="2"/>
  <c r="N13" i="2"/>
  <c r="N98" i="2" s="1"/>
  <c r="M13" i="2"/>
  <c r="M121" i="2" s="1"/>
  <c r="M117" i="2" s="1"/>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<sst xmlns="http://schemas.openxmlformats.org/spreadsheetml/2006/main" count="836" uniqueCount="560">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</sst>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5B164FD-974A-4348-BF8D-5DDDC1B082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2.19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2.04</v>
      </c>
      <c r="D12" s="50"/>
      <c r="E12" s="48"/>
    </row>
    <row r="13" spans="1:10">
      <c r="B13" s="1" t="s">
        <v>485</v>
      </c>
      <c r="C13" s="32" t="str">
        <f>Market_currency</f>
        <v>HKD</v>
      </c>
      <c r="D13" s="48"/>
      <c r="E13" s="5"/>
    </row>
    <row r="14" spans="1:10">
      <c r="B14" s="4" t="s">
        <v>486</v>
      </c>
      <c r="C14" s="35">
        <f>投资主题!C12*Common_Shares/1000000</f>
        <v>4661.3672539199997</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1.1804731802044666E-2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4.6998314924200559E-3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1" t="s">
        <v>516</v>
      </c>
      <c r="C116" s="371"/>
      <c r="D116" s="371"/>
      <c r="E116" s="371"/>
      <c r="F116" s="371"/>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2.04</v>
      </c>
      <c r="D12" s="50"/>
      <c r="E12" s="48"/>
    </row>
    <row r="13" spans="1:10">
      <c r="B13" s="1" t="s">
        <v>464</v>
      </c>
      <c r="C13" s="48" t="s">
        <v>377</v>
      </c>
      <c r="D13" s="48"/>
      <c r="E13" s="5"/>
    </row>
    <row r="14" spans="1:10">
      <c r="B14" s="4" t="s">
        <v>465</v>
      </c>
      <c r="C14" s="35">
        <f>Thesis!C12*Common_Shares/1000000</f>
        <v>4661.3672539199997</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1.1804731802044666E-2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4.6998314924200559E-3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1" t="s">
        <v>352</v>
      </c>
      <c r="C116" s="371"/>
      <c r="D116" s="371"/>
      <c r="E116" s="371"/>
      <c r="F116" s="371"/>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4.6998314924200559E-3</v>
      </c>
      <c r="D126" s="27"/>
      <c r="E126" s="265"/>
      <c r="F126" s="27"/>
      <c r="G126" s="77">
        <f t="shared" ref="G126" si="50">IF(G$4="","",G125/Market_Price)</f>
        <v>-1.4419547214341443E-2</v>
      </c>
      <c r="H126" s="77">
        <f t="shared" ref="H126" si="51">IF(H$4="","",H125/Market_Price)</f>
        <v>-4.2942583931726987E-2</v>
      </c>
      <c r="I126" s="77">
        <f t="shared" ref="I126" si="52">IF(I$4="","",I125/Market_Price)</f>
        <v>-9.6149901002349127E-3</v>
      </c>
      <c r="J126" s="77">
        <f t="shared" ref="J126" si="53">IF(J$4="","",J125/Market_Price)</f>
        <v>1.7543565126997712E-2</v>
      </c>
      <c r="K126" s="77">
        <f t="shared" ref="K126" si="54">IF(K$4="","",K125/Market_Price)</f>
        <v>3.1625055905223895E-2</v>
      </c>
      <c r="L126" s="77">
        <f t="shared" ref="L126" si="55">IF(L$4="","",L125/Market_Price)</f>
        <v>9.4201974674003267E-3</v>
      </c>
      <c r="M126" s="77">
        <f t="shared" ref="M126" si="56">IF(M$4="","",M125/Market_Price)</f>
        <v>-4.3328489045816399E-3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-0.17924376143016074</v>
      </c>
      <c r="H127" s="23">
        <f>IF(H$4="","",(Data!D47*$C$3)/(Market_Price*Common_Shares))</f>
        <v>-9.5100423513553092E-2</v>
      </c>
      <c r="I127" s="23">
        <f>IF(I$4="","",(Data!E47*$C$3)/(Market_Price*Common_Shares))</f>
        <v>-4.6885385359029435E-3</v>
      </c>
      <c r="J127" s="23">
        <f>IF(J$4="","",(Data!F47*$C$3)/(Market_Price*Common_Shares))</f>
        <v>-2.7868803920299197</v>
      </c>
      <c r="K127" s="23">
        <f>IF(K$4="","",(Data!G47*$C$3)/(Market_Price*Common_Shares))</f>
        <v>-0.15349187502836467</v>
      </c>
      <c r="L127" s="23">
        <f>IF(L$4="","",(Data!H47*$C$3)/(Market_Price*Common_Shares))</f>
        <v>-0.23211515872089</v>
      </c>
      <c r="M127" s="23">
        <f>IF(M$4="","",(Data!I47*$C$3)/(Market_Price*Common_Shares))</f>
        <v>-0.30255178860107984</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-2.04</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2.04</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2.04</v>
      </c>
      <c r="D86" t="str">
        <f>Market_currency</f>
        <v>HKD</v>
      </c>
    </row>
    <row r="87" spans="2:8" ht="13.15">
      <c r="B87" s="100" t="s">
        <v>293</v>
      </c>
      <c r="C87" s="237">
        <f ca="1">IRR(OFFSET($I$3, 0, 0, $C$76 + 1, 1))</f>
        <v>1.1804731802044666E-2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2584A-B057-4D8D-B32E-98AB995355A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