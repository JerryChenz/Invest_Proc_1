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E171D08-7EA9-42AB-9CAD-493C8C51D37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26" i="6"/>
  <c r="C80" i="9"/>
  <c r="C78" i="6"/>
  <c r="C79" i="6"/>
  <c r="C80" i="6" s="1"/>
  <c r="C165" i="6"/>
  <c r="D169" i="6"/>
  <c r="C169" i="6"/>
  <c r="C102" i="9"/>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H9" i="2"/>
  <c r="D62" i="4"/>
  <c r="H10" i="2" s="1"/>
  <c r="K9" i="2"/>
  <c r="G62" i="4"/>
  <c r="K10" i="2" s="1"/>
  <c r="M9" i="2"/>
  <c r="I62" i="4"/>
  <c r="M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D71" i="8"/>
  <c r="E67" i="8"/>
  <c r="B70" i="8"/>
  <c r="C66" i="8"/>
  <c r="E70" i="8"/>
  <c r="F71" i="8"/>
  <c r="B68" i="8"/>
  <c r="B67" i="8"/>
  <c r="B66" i="8"/>
  <c r="G54" i="2"/>
  <c r="D66" i="8" l="1"/>
  <c r="D70" i="8"/>
  <c r="B69" i="8"/>
  <c r="F69" i="8"/>
  <c r="C71" i="8"/>
  <c r="D67" i="8"/>
  <c r="E71" i="8"/>
  <c r="F70" i="8"/>
  <c r="F67" i="8"/>
  <c r="C69"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<sst xmlns="http://schemas.openxmlformats.org/spreadsheetml/2006/main" count="648" uniqueCount="453">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</sst>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2284983948</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1.1399999999999999</v>
      </c>
      <c r="D12" s="50"/>
      <c r="E12" s="48"/>
    </row>
    <row r="13" spans="1:10">
      <c r="B13" s="1" t="s">
        <v>419</v>
      </c>
      <c r="C13" s="48" t="s">
        <v>399</v>
      </c>
      <c r="D13" s="48"/>
      <c r="E13" s="5"/>
    </row>
    <row r="14" spans="1:10">
      <c r="B14" s="4" t="s">
        <v>423</v>
      </c>
      <c r="C14" s="35">
        <f>Thesis!C12*Common_Shares/1000000</f>
        <v>2604.8817007199996</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2.1040668676405563</v>
      </c>
      <c r="D26" s="1" t="s">
        <v>402</v>
      </c>
      <c r="E26" s="337">
        <f ca="1">Scenarios!C87</f>
        <v>0.22664312414291476</v>
      </c>
    </row>
    <row r="27" spans="2:6">
      <c r="D27" s="5"/>
      <c r="E27" s="5"/>
    </row>
    <row r="28" spans="2:6">
      <c r="B28" s="45" t="s">
        <v>436</v>
      </c>
      <c r="C28" s="268" t="str">
        <f>C140&amp;" ("&amp;Market_currency&amp;")"</f>
        <v>9959.HK (HKD)</v>
      </c>
      <c r="D28" s="268" t="str">
        <f>IF(D11="","",D140&amp;" ("&amp;D13&amp;")")</f>
        <v/>
      </c>
      <c r="E28" s="342" t="s">
        <v>432</v>
      </c>
      <c r="F28" s="340">
        <v>3</v>
      </c>
    </row>
    <row r="29" spans="2:6">
      <c r="B29" s="1" t="s">
        <v>428</v>
      </c>
      <c r="C29" s="339">
        <f>C144</f>
        <v>0.76678821707017375</v>
      </c>
      <c r="D29" s="339" t="str">
        <f>D144</f>
        <v/>
      </c>
      <c r="E29" s="343" t="s">
        <v>427</v>
      </c>
      <c r="F29" s="338">
        <v>0.4</v>
      </c>
    </row>
    <row r="30" spans="2:6">
      <c r="B30" s="1" t="s">
        <v>429</v>
      </c>
      <c r="C30" s="148">
        <f>C152</f>
        <v>1.1661640402286717</v>
      </c>
      <c r="D30" s="148" t="str">
        <f>D152</f>
        <v/>
      </c>
      <c r="E30" s="344" t="s">
        <v>440</v>
      </c>
      <c r="F30" s="307">
        <v>0.21740000000000001</v>
      </c>
    </row>
    <row r="31" spans="2:6">
      <c r="B31" s="1" t="s">
        <v>430</v>
      </c>
      <c r="C31" s="148">
        <f>C160</f>
        <v>1.6702761167953912</v>
      </c>
      <c r="D31" s="148" t="str">
        <f>D160</f>
        <v/>
      </c>
      <c r="E31" s="344" t="s">
        <v>439</v>
      </c>
      <c r="F31" s="307">
        <v>0.08</v>
      </c>
    </row>
    <row r="32" spans="2:6">
      <c r="B32" s="1" t="s">
        <v>431</v>
      </c>
      <c r="C32" s="148">
        <f>C168</f>
        <v>1.5081117949794698</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33649.992691562977</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8">
        <f>Normalized_FCF!C48</f>
        <v>6970.1947987154417</v>
      </c>
      <c r="D51" s="1" t="str">
        <f>Reporting_currency</f>
        <v>HKD</v>
      </c>
      <c r="E51" s="317"/>
      <c r="F51" s="317"/>
    </row>
    <row r="52" spans="2:6">
      <c r="B52" s="47" t="s">
        <v>344</v>
      </c>
      <c r="C52" s="318">
        <f>Normalized_FCF!C47</f>
        <v>-11410</v>
      </c>
      <c r="D52" s="1" t="str">
        <f>Reporting_currency</f>
        <v>HKD</v>
      </c>
      <c r="E52" s="317"/>
      <c r="F52" s="317"/>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-7302.5468725696046</v>
      </c>
      <c r="D59" s="1" t="str">
        <f>Reporting_currency</f>
        <v>HKD</v>
      </c>
    </row>
    <row r="61" spans="2:6">
      <c r="B61" s="349" t="s">
        <v>341</v>
      </c>
      <c r="C61" s="350"/>
      <c r="D61" s="350"/>
      <c r="E61" s="350"/>
      <c r="F61" s="350"/>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2" t="s">
        <v>393</v>
      </c>
      <c r="C69" s="92">
        <f>Normalized_FCF!C125</f>
        <v>8.4102247759095753E-3</v>
      </c>
    </row>
    <row r="70" spans="1:6">
      <c r="B70" s="252" t="s">
        <v>311</v>
      </c>
      <c r="C70" s="92">
        <f>Normalized_FCF!C93</f>
        <v>0</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0.11984570305671145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115864</v>
      </c>
      <c r="D96" s="1" t="str">
        <f>Reporting_currency</f>
        <v>HKD</v>
      </c>
    </row>
    <row r="97" spans="2:6">
      <c r="B97" s="47" t="s">
        <v>284</v>
      </c>
      <c r="C97" s="248">
        <f>C96*scaling_factor*Exchange_Rate/Common_Shares</f>
        <v>5.0706701944848852E-2</v>
      </c>
      <c r="D97" s="1" t="str">
        <f>Market_currency</f>
        <v>HKD</v>
      </c>
    </row>
    <row r="98" spans="2:6">
      <c r="B98" s="331" t="s">
        <v>407</v>
      </c>
      <c r="C98" s="332">
        <f>BS!G30/BS!G27</f>
        <v>9.7057481271370302E-2</v>
      </c>
    </row>
    <row r="99" spans="2:6">
      <c r="B99" s="331" t="s">
        <v>408</v>
      </c>
      <c r="C99" s="332">
        <f>BS!G31/BS!G27</f>
        <v>1.4790654865358754E-2</v>
      </c>
    </row>
    <row r="100" spans="2:6">
      <c r="B100" s="331" t="s">
        <v>410</v>
      </c>
      <c r="C100" s="333">
        <f>BS!C50</f>
        <v>3.4432102574884196</v>
      </c>
    </row>
    <row r="102" spans="2:6">
      <c r="B102" s="1" t="s">
        <v>255</v>
      </c>
    </row>
    <row r="103" spans="2:6">
      <c r="B103" s="47" t="s">
        <v>265</v>
      </c>
      <c r="C103" s="188">
        <f>BS!C66</f>
        <v>5072413</v>
      </c>
      <c r="D103" s="1" t="str">
        <f>Reporting_currency</f>
        <v>HKD</v>
      </c>
    </row>
    <row r="104" spans="2:6">
      <c r="B104" s="47" t="s">
        <v>267</v>
      </c>
      <c r="C104" s="188">
        <f>Valuation_Model!C8</f>
        <v>4573651.4963457817</v>
      </c>
      <c r="D104" s="1" t="str">
        <f>Reporting_currency</f>
        <v>HKD</v>
      </c>
    </row>
    <row r="105" spans="2:6">
      <c r="B105" s="47" t="s">
        <v>285</v>
      </c>
      <c r="C105" s="248">
        <f>C104*scaling_factor*Exchange_Rate/Common_Shares</f>
        <v>2.0016120902507897</v>
      </c>
      <c r="D105" s="1" t="str">
        <f>Market_currency</f>
        <v>HKD</v>
      </c>
    </row>
    <row r="107" spans="2:6">
      <c r="B107" s="1" t="s">
        <v>257</v>
      </c>
    </row>
    <row r="108" spans="2:6">
      <c r="B108" s="47" t="s">
        <v>258</v>
      </c>
      <c r="C108" s="188">
        <f>Valuation_Model!C9</f>
        <v>23866.7</v>
      </c>
      <c r="D108" s="1" t="str">
        <f>Reporting_currency</f>
        <v>HKD</v>
      </c>
    </row>
    <row r="109" spans="2:6">
      <c r="B109" s="47" t="s">
        <v>286</v>
      </c>
      <c r="C109" s="248">
        <f>C108*scaling_factor*Exchange_Rate/Common_Shares</f>
        <v>1.0445018671089587E-2</v>
      </c>
      <c r="D109" s="1" t="str">
        <f>Market_currency</f>
        <v>HKD</v>
      </c>
    </row>
    <row r="111" spans="2:6" ht="24.4" customHeight="1">
      <c r="B111" s="348" t="s">
        <v>369</v>
      </c>
      <c r="C111" s="348"/>
      <c r="D111" s="348"/>
      <c r="E111" s="348"/>
      <c r="F111" s="348"/>
    </row>
    <row r="113" spans="1:6">
      <c r="B113" s="47" t="s">
        <v>282</v>
      </c>
      <c r="C113" s="248">
        <f>Valuation_Model!C12</f>
        <v>2.0811961100337415</v>
      </c>
      <c r="D113" s="1" t="str">
        <f>Market_currency</f>
        <v>HKD</v>
      </c>
    </row>
    <row r="114" spans="1:6">
      <c r="B114" s="331" t="s">
        <v>409</v>
      </c>
      <c r="C114" s="248">
        <f>BS!D47</f>
        <v>2.0258239687205015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0.15</v>
      </c>
      <c r="D121" s="255">
        <f>Valuation_Model!D74</f>
        <v>15</v>
      </c>
      <c r="E121" s="256" t="str">
        <f>ROUND(Valuation_Model!E74,2)&amp;" "&amp;Market_currency</f>
        <v>2.25 HKD</v>
      </c>
      <c r="F121" s="257">
        <f>Valuation_Model!F74</f>
        <v>0.05</v>
      </c>
    </row>
    <row r="122" spans="1:6">
      <c r="B122" s="242" t="str">
        <f>Valuation_Model!B75</f>
        <v>Optimistic</v>
      </c>
      <c r="C122" s="243">
        <f>Valuation_Model!C75</f>
        <v>0.08</v>
      </c>
      <c r="D122" s="244">
        <f>Valuation_Model!D75</f>
        <v>10</v>
      </c>
      <c r="E122" s="245" t="str">
        <f>ROUND(Valuation_Model!E75,2)&amp;" "&amp;Market_currency</f>
        <v>2.12 HKD</v>
      </c>
      <c r="F122" s="246">
        <f>Valuation_Model!F75</f>
        <v>0.26999999999999996</v>
      </c>
    </row>
    <row r="123" spans="1:6">
      <c r="B123" s="242" t="str">
        <f>Valuation_Model!B76</f>
        <v>Base</v>
      </c>
      <c r="C123" s="243">
        <f>Valuation_Model!C76</f>
        <v>0.04</v>
      </c>
      <c r="D123" s="244">
        <f>Valuation_Model!D76</f>
        <v>10</v>
      </c>
      <c r="E123" s="245" t="str">
        <f>ROUND(Valuation_Model!E76,2)&amp;" "&amp;Market_currency</f>
        <v>2.1 HKD</v>
      </c>
      <c r="F123" s="246">
        <f>Valuation_Model!F76</f>
        <v>0.44999999999999996</v>
      </c>
    </row>
    <row r="124" spans="1:6">
      <c r="B124" s="242" t="str">
        <f>Valuation_Model!B77</f>
        <v>Pessimistic</v>
      </c>
      <c r="C124" s="243">
        <f>Valuation_Model!C77</f>
        <v>0</v>
      </c>
      <c r="D124" s="244">
        <f>Valuation_Model!D77</f>
        <v>10</v>
      </c>
      <c r="E124" s="245" t="str">
        <f>ROUND(Valuation_Model!E77,2)&amp;" "&amp;Market_currency</f>
        <v>2.08 HKD</v>
      </c>
      <c r="F124" s="246">
        <f>Valuation_Model!F77</f>
        <v>0.18</v>
      </c>
    </row>
    <row r="125" spans="1:6">
      <c r="B125" s="242" t="str">
        <f>Valuation_Model!B78</f>
        <v>Devil's advocate</v>
      </c>
      <c r="C125" s="243">
        <f>Valuation_Model!C78</f>
        <v>-0.15</v>
      </c>
      <c r="D125" s="244">
        <f>Valuation_Model!D78</f>
        <v>15</v>
      </c>
      <c r="E125" s="245" t="str">
        <f>ROUND(Valuation_Model!E78,2)&amp;" "&amp;Market_currency</f>
        <v>2.03 HKD</v>
      </c>
      <c r="F125" s="246">
        <f>Valuation_Model!F78</f>
        <v>0.05</v>
      </c>
    </row>
    <row r="127" spans="1:6">
      <c r="B127" s="235" t="s">
        <v>259</v>
      </c>
      <c r="C127" s="241">
        <f>Scenarios!C60</f>
        <v>2.1040668676405563</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v>
      </c>
      <c r="D138" s="236" t="str">
        <f>Market_currency</f>
        <v>HKD</v>
      </c>
    </row>
    <row r="140" spans="1:6">
      <c r="B140" s="234" t="s">
        <v>412</v>
      </c>
      <c r="C140" s="268" t="str">
        <f>C11</f>
        <v>9959.HK</v>
      </c>
      <c r="D140" s="268" t="str">
        <f>IF(D11="","",D11)</f>
        <v/>
      </c>
    </row>
    <row r="141" spans="1:6">
      <c r="B141" s="1" t="s">
        <v>411</v>
      </c>
      <c r="C141" s="332">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6" t="str">
        <f>IF($D$11="","",C144*$E$25)</f>
        <v/>
      </c>
    </row>
    <row r="145" spans="2:4">
      <c r="B145" s="286" t="s">
        <v>419</v>
      </c>
      <c r="C145" s="334" t="str">
        <f>Market_currency</f>
        <v>HKD</v>
      </c>
      <c r="D145" s="334" t="str">
        <f>IF($D$11="","",D$13)</f>
        <v/>
      </c>
    </row>
    <row r="146" spans="2:4">
      <c r="B146" s="238" t="s">
        <v>263</v>
      </c>
      <c r="C146" s="92">
        <f>Scenarios!F83</f>
        <v>0.63556851311953344</v>
      </c>
    </row>
    <row r="148" spans="2:4">
      <c r="B148" s="234" t="s">
        <v>415</v>
      </c>
    </row>
    <row r="149" spans="2:4">
      <c r="B149" s="1" t="s">
        <v>414</v>
      </c>
      <c r="C149" s="332">
        <f>Scenarios!C90</f>
        <v>0.21740000000000001</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1.1661640402286717</v>
      </c>
    </row>
    <row r="152" spans="2:4">
      <c r="B152" s="80" t="s">
        <v>261</v>
      </c>
      <c r="C152" s="239">
        <f>Scenarios!C93</f>
        <v>1.1661640402286717</v>
      </c>
      <c r="D152" s="336" t="str">
        <f>IF($D$11="","",C152*$E$25)</f>
        <v/>
      </c>
    </row>
    <row r="153" spans="2:4">
      <c r="B153" s="286" t="s">
        <v>419</v>
      </c>
      <c r="C153" s="334" t="str">
        <f>Market_currency</f>
        <v>HKD</v>
      </c>
      <c r="D153" s="334" t="str">
        <f>IF($D$11="","",D$13)</f>
        <v/>
      </c>
    </row>
    <row r="154" spans="2:4">
      <c r="B154" s="238" t="s">
        <v>263</v>
      </c>
      <c r="C154" s="92">
        <f>Scenarios!F93</f>
        <v>0.44575713910823733</v>
      </c>
    </row>
    <row r="156" spans="2:4">
      <c r="B156" s="234" t="s">
        <v>403</v>
      </c>
    </row>
    <row r="157" spans="2:4">
      <c r="B157" s="1" t="s">
        <v>413</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404</v>
      </c>
      <c r="C160" s="239">
        <f>Scenarios!C99</f>
        <v>1.6702761167953912</v>
      </c>
      <c r="D160" s="336" t="str">
        <f>IF($D$11="","",C160*$E$25)</f>
        <v/>
      </c>
    </row>
    <row r="161" spans="1:6">
      <c r="B161" s="286" t="s">
        <v>419</v>
      </c>
      <c r="C161" s="334" t="str">
        <f>Market_currency</f>
        <v>HKD</v>
      </c>
      <c r="D161" s="334" t="str">
        <f>IF($D$11="","",D$13)</f>
        <v/>
      </c>
    </row>
    <row r="162" spans="1:6">
      <c r="B162" s="238" t="s">
        <v>263</v>
      </c>
      <c r="C162" s="92">
        <f>Scenarios!F99</f>
        <v>0.20616775897983042</v>
      </c>
    </row>
    <row r="164" spans="1:6">
      <c r="B164" s="234" t="s">
        <v>435</v>
      </c>
    </row>
    <row r="165" spans="1:6">
      <c r="B165" s="1" t="s">
        <v>426</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404</v>
      </c>
      <c r="C168" s="239">
        <f>Scenarios!C105</f>
        <v>1.5081117949794698</v>
      </c>
      <c r="D168" s="336" t="str">
        <f>IF($D$11="","",C168*$E$25)</f>
        <v/>
      </c>
    </row>
    <row r="169" spans="1:6">
      <c r="B169" s="286" t="s">
        <v>419</v>
      </c>
      <c r="C169" s="334" t="str">
        <f>Market_currency</f>
        <v>HKD</v>
      </c>
      <c r="D169" s="334" t="str">
        <f>IF($D$11="","",D$13)</f>
        <v/>
      </c>
    </row>
    <row r="170" spans="1:6">
      <c r="B170" s="238" t="s">
        <v>263</v>
      </c>
      <c r="C170" s="92">
        <f>Scenarios!F105</f>
        <v>0.28199835524143158</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711319</v>
      </c>
      <c r="D22" s="181">
        <v>-324183</v>
      </c>
      <c r="E22" s="181">
        <v>1859628</v>
      </c>
      <c r="F22" s="181">
        <v>-731240</v>
      </c>
      <c r="G22" s="181">
        <v>2099875</v>
      </c>
      <c r="H22" s="181">
        <v>201823</v>
      </c>
      <c r="I22" s="181">
        <v>-991306</v>
      </c>
      <c r="J22" s="181"/>
      <c r="K22" s="181"/>
      <c r="L22" s="181"/>
      <c r="M22" s="181"/>
    </row>
    <row r="23" spans="2:13">
      <c r="B23" s="27" t="s">
        <v>376</v>
      </c>
      <c r="C23" s="181">
        <v>-12356</v>
      </c>
      <c r="D23" s="181">
        <v>-155180</v>
      </c>
      <c r="E23" s="181">
        <v>-274578</v>
      </c>
      <c r="F23" s="181">
        <v>-312659</v>
      </c>
      <c r="G23" s="181">
        <v>-111290</v>
      </c>
      <c r="H23" s="181">
        <v>-94182</v>
      </c>
      <c r="I23" s="181">
        <v>-122694</v>
      </c>
      <c r="J23" s="181"/>
      <c r="K23" s="181"/>
      <c r="L23" s="181"/>
      <c r="M23" s="181"/>
    </row>
    <row r="24" spans="2:13">
      <c r="B24" s="27" t="s">
        <v>375</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396</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0"/>
      <c r="J77" s="330"/>
      <c r="K77" s="330"/>
      <c r="L77" s="330"/>
      <c r="M77" s="330"/>
    </row>
    <row r="78" spans="2:13">
      <c r="B78" s="93" t="s">
        <v>87</v>
      </c>
      <c r="C78" s="185">
        <f t="shared" si="40"/>
        <v>0</v>
      </c>
      <c r="D78" s="185">
        <f t="shared" si="40"/>
        <v>0</v>
      </c>
      <c r="E78" s="185">
        <f t="shared" si="40"/>
        <v>0</v>
      </c>
      <c r="F78" s="185">
        <f t="shared" si="40"/>
        <v>0</v>
      </c>
      <c r="G78" s="185">
        <f t="shared" si="40"/>
        <v>0</v>
      </c>
      <c r="H78" s="185">
        <f t="shared" si="40"/>
        <v>0</v>
      </c>
      <c r="I78" s="330"/>
      <c r="J78" s="330"/>
      <c r="K78" s="330"/>
      <c r="L78" s="330"/>
      <c r="M78" s="330"/>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0">
        <v>0.6</v>
      </c>
      <c r="E4" s="25"/>
      <c r="F4" s="4" t="s">
        <v>78</v>
      </c>
      <c r="G4" s="19">
        <v>4898385</v>
      </c>
      <c r="H4" s="290">
        <v>0.9</v>
      </c>
    </row>
    <row r="5" spans="2:8" ht="15" customHeight="1">
      <c r="B5" s="1" t="s">
        <v>33</v>
      </c>
      <c r="C5" s="19">
        <f>171505+458442+21655</f>
        <v>651602</v>
      </c>
      <c r="D5" s="290">
        <v>0.6</v>
      </c>
      <c r="E5" s="25"/>
      <c r="F5" s="1" t="s">
        <v>29</v>
      </c>
      <c r="G5" s="19">
        <v>174028</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1813746</v>
      </c>
      <c r="D9" s="290">
        <v>0.1</v>
      </c>
      <c r="E9" s="25"/>
      <c r="F9" s="4" t="s">
        <v>181</v>
      </c>
      <c r="G9" s="19">
        <v>0</v>
      </c>
      <c r="H9" s="290">
        <v>0.6</v>
      </c>
    </row>
    <row r="10" spans="2:8" ht="15" customHeight="1">
      <c r="B10" s="4" t="s">
        <v>11</v>
      </c>
      <c r="C10" s="19">
        <v>0</v>
      </c>
      <c r="D10" s="290">
        <v>0.9</v>
      </c>
      <c r="H10" s="291"/>
    </row>
    <row r="11" spans="2:8" ht="15" customHeight="1">
      <c r="B11" s="4" t="s">
        <v>12</v>
      </c>
      <c r="C11" s="19">
        <v>24965</v>
      </c>
      <c r="D11" s="290">
        <v>0.05</v>
      </c>
      <c r="H11" s="291"/>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0">
        <v>0.4</v>
      </c>
      <c r="F15" s="4" t="s">
        <v>79</v>
      </c>
      <c r="G15" s="19">
        <v>0</v>
      </c>
      <c r="H15" s="290">
        <v>0.8</v>
      </c>
    </row>
    <row r="16" spans="2:8" ht="15" customHeight="1">
      <c r="B16" s="1" t="s">
        <v>34</v>
      </c>
      <c r="C16" s="19">
        <v>102771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28675+74147</f>
        <v>102822</v>
      </c>
      <c r="D19" s="290">
        <v>0.1</v>
      </c>
      <c r="F19" s="4" t="s">
        <v>183</v>
      </c>
      <c r="G19" s="19">
        <v>238667</v>
      </c>
      <c r="H19" s="290">
        <v>0.1</v>
      </c>
    </row>
    <row r="20" spans="2:8" ht="15" customHeight="1">
      <c r="B20" s="4" t="s">
        <v>18</v>
      </c>
      <c r="C20" s="19">
        <v>0</v>
      </c>
      <c r="D20" s="290">
        <v>0.05</v>
      </c>
      <c r="F20" s="4" t="s">
        <v>180</v>
      </c>
      <c r="G20" s="19">
        <v>0</v>
      </c>
      <c r="H20" s="290">
        <v>0.2</v>
      </c>
    </row>
    <row r="21" spans="2:8" ht="15" customHeight="1">
      <c r="B21" s="4" t="s">
        <v>19</v>
      </c>
      <c r="C21" s="19">
        <v>276368</v>
      </c>
      <c r="D21" s="290">
        <v>0.05</v>
      </c>
      <c r="F21" s="1" t="s">
        <v>181</v>
      </c>
      <c r="G21" s="19">
        <v>0</v>
      </c>
      <c r="H21" s="290">
        <v>0.1</v>
      </c>
    </row>
    <row r="22" spans="2:8" ht="15" customHeight="1">
      <c r="B22" s="4" t="s">
        <v>20</v>
      </c>
      <c r="C22" s="19">
        <v>58201</v>
      </c>
      <c r="D22" s="290">
        <v>0.9</v>
      </c>
      <c r="H22" s="291"/>
    </row>
    <row r="23" spans="2:8" ht="15" customHeight="1">
      <c r="B23" s="4" t="s">
        <v>21</v>
      </c>
      <c r="C23" s="19">
        <f>28964</f>
        <v>28964</v>
      </c>
      <c r="D23" s="290">
        <v>0</v>
      </c>
      <c r="H23" s="291"/>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7834113</v>
      </c>
      <c r="D46" s="188">
        <f>H29</f>
        <v>4628975.25</v>
      </c>
      <c r="F46" s="280"/>
    </row>
    <row r="47" spans="2:8" ht="15" customHeight="1">
      <c r="B47" s="1" t="str">
        <f>"Equity per share ("&amp;Market_currency&amp;")"</f>
        <v>Equity per share (HKD)</v>
      </c>
      <c r="C47" s="148">
        <f>C46*H1/Common_Shares*Exchange_Rate</f>
        <v>3.4285199276157017</v>
      </c>
      <c r="D47" s="148">
        <f>D46*H1/Common_Shares*Exchange_Rate</f>
        <v>2.0258239687205015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3.4432102574884196</v>
      </c>
      <c r="D50" s="95">
        <f>G31/Normalized_FCF!G8</f>
        <v>3.9539978841756818</v>
      </c>
      <c r="F50" s="280"/>
    </row>
    <row r="51" spans="2:8" ht="15" customHeight="1">
      <c r="B51" s="1" t="s">
        <v>177</v>
      </c>
      <c r="C51" s="202"/>
      <c r="D51" s="92">
        <f>G29/G32</f>
        <v>0.91158954067906739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1.0250318838768991E-2</v>
      </c>
      <c r="D54" s="92">
        <f>Normalized_FCF!G8/G35</f>
        <v>8.9261562605853981E-3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1.1964527413850562E-2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-6.6121078416918412E-5</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5072413</v>
      </c>
      <c r="D66" s="188">
        <f>C66-D75</f>
        <v>4573651.4963457817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5072413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-83489.166666666672</v>
      </c>
      <c r="D73" s="188">
        <f>(Normalized_FCF!C25+Normalized_FCF!C35-Normalized_FCF!C91)/12</f>
        <v>-83126.91727570309</v>
      </c>
      <c r="F73" s="1" t="s">
        <v>354</v>
      </c>
    </row>
    <row r="74" spans="2:6" ht="15" customHeight="1">
      <c r="B74" s="284" t="s">
        <v>324</v>
      </c>
      <c r="C74" s="285">
        <f>-$C$66/C73</f>
        <v>60.75534350764071</v>
      </c>
      <c r="D74" s="285">
        <f>-$C$66/D73</f>
        <v>61.020102347553312</v>
      </c>
      <c r="F74" s="280" t="s">
        <v>322</v>
      </c>
    </row>
    <row r="75" spans="2:6" ht="15" customHeight="1">
      <c r="B75" s="80" t="s">
        <v>323</v>
      </c>
      <c r="C75" s="289"/>
      <c r="D75" s="288">
        <f>MAX(-D73*D76,G5)</f>
        <v>498761.50365421851</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238667</v>
      </c>
      <c r="D80" s="188">
        <f>G19*H19</f>
        <v>23866.7</v>
      </c>
      <c r="F80" s="280"/>
    </row>
    <row r="81" spans="2:8" ht="15" customHeight="1">
      <c r="B81" s="105" t="s">
        <v>181</v>
      </c>
      <c r="C81" s="20">
        <f>G9+G21</f>
        <v>0</v>
      </c>
      <c r="D81" s="188">
        <f>G9*H9+G21*H21</f>
        <v>0</v>
      </c>
      <c r="F81" s="280"/>
    </row>
    <row r="82" spans="2:8" ht="15" customHeight="1">
      <c r="B82" s="80" t="s">
        <v>190</v>
      </c>
      <c r="C82" s="81">
        <f>SUM(C79:C81)</f>
        <v>238667</v>
      </c>
      <c r="D82" s="81">
        <f>SUM(D79:D81)</f>
        <v>23866.7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-115864</v>
      </c>
      <c r="D86" s="248">
        <f>C86*scaling_factor/Common_Shares</f>
        <v>-5.0706701944848852E-2</v>
      </c>
      <c r="E86" s="267" t="str">
        <f>Market_currency</f>
        <v>HKD</v>
      </c>
    </row>
    <row r="87" spans="2:8" ht="15" customHeight="1">
      <c r="B87" s="265" t="s">
        <v>290</v>
      </c>
      <c r="C87" s="188">
        <f>Valuation_Model!C8*Exchange_Rate</f>
        <v>4573651.4963457817</v>
      </c>
      <c r="D87" s="248">
        <f>C87*scaling_factor/Common_Shares</f>
        <v>2.0016120902507897</v>
      </c>
      <c r="E87" s="267" t="str">
        <f>Market_currency</f>
        <v>HKD</v>
      </c>
    </row>
    <row r="88" spans="2:8" ht="15" customHeight="1">
      <c r="B88" s="266" t="s">
        <v>190</v>
      </c>
      <c r="C88" s="188">
        <f>Valuation_Model!C9*Exchange_Rate</f>
        <v>23866.7</v>
      </c>
      <c r="D88" s="248">
        <f>C88*scaling_factor/Common_Shares</f>
        <v>1.0445018671089587E-2</v>
      </c>
      <c r="E88" s="267" t="str">
        <f>Market_currency</f>
        <v>HKD</v>
      </c>
    </row>
    <row r="89" spans="2:8" ht="15" customHeight="1">
      <c r="B89" s="80" t="s">
        <v>294</v>
      </c>
      <c r="C89" s="187">
        <f>SUM(C86:C88)</f>
        <v>4481654.1963457819</v>
      </c>
      <c r="D89" s="269">
        <f>SUM(D86:D88)</f>
        <v>1.9613504069770304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1031173</v>
      </c>
      <c r="D4" s="57"/>
      <c r="E4" s="296"/>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8"/>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8"/>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8"/>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4"/>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8"/>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8"/>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8"/>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6"/>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5"/>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-295465.98495177622</v>
      </c>
      <c r="D23" s="58"/>
      <c r="E23" s="297"/>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5"/>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3"/>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AVERAGE(G28:I28)</f>
        <v>0.28653386478483844</v>
      </c>
      <c r="D28" s="26"/>
      <c r="E28" s="296" t="s">
        <v>336</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6" t="s">
        <v>336</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-217895.5</v>
      </c>
      <c r="E33" s="296" t="s">
        <v>336</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6" t="s">
        <v>336</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7"/>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0.21130838375325964</v>
      </c>
      <c r="D38" s="27"/>
      <c r="E38" s="29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-11410</v>
      </c>
      <c r="E47" s="298"/>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348</v>
      </c>
      <c r="C48" s="191">
        <f>BS!D75*C53</f>
        <v>6970.1947987154417</v>
      </c>
      <c r="E48" s="298"/>
      <c r="G48" s="324">
        <f>IFERROR(IF(G$4="","",($C$48/$C$49)*G49),0)</f>
        <v>6970.1947987154417</v>
      </c>
      <c r="H48" s="324">
        <f t="shared" ref="H48:Q48" si="19">IFERROR(IF(H$4="","",($C$48/$C$49)*H49),0)</f>
        <v>12407.845461936662</v>
      </c>
      <c r="I48" s="324">
        <f t="shared" si="19"/>
        <v>0</v>
      </c>
      <c r="J48" s="324">
        <f t="shared" si="19"/>
        <v>0</v>
      </c>
      <c r="K48" s="324">
        <f t="shared" si="19"/>
        <v>0</v>
      </c>
      <c r="L48" s="324">
        <f t="shared" si="19"/>
        <v>0</v>
      </c>
      <c r="M48" s="324">
        <f t="shared" si="19"/>
        <v>0</v>
      </c>
      <c r="N48" s="324" t="str">
        <f t="shared" si="19"/>
        <v/>
      </c>
      <c r="O48" s="324" t="str">
        <f t="shared" si="19"/>
        <v/>
      </c>
      <c r="P48" s="324" t="str">
        <f t="shared" si="19"/>
        <v/>
      </c>
      <c r="Q48" s="324" t="str">
        <f t="shared" si="19"/>
        <v/>
      </c>
    </row>
    <row r="49" spans="1:17" ht="15.75" customHeight="1">
      <c r="A49" s="10"/>
      <c r="B49" s="319" t="s">
        <v>345</v>
      </c>
      <c r="C49" s="320">
        <f>BS!$C$66*C53</f>
        <v>70887</v>
      </c>
      <c r="D49" s="321"/>
      <c r="E49" s="322"/>
      <c r="F49" s="321"/>
      <c r="G49" s="320">
        <f>Data!C52</f>
        <v>70887</v>
      </c>
      <c r="H49" s="320">
        <f>Data!D52</f>
        <v>126188</v>
      </c>
      <c r="I49" s="320">
        <f>Data!E52</f>
        <v>0</v>
      </c>
      <c r="J49" s="320">
        <f>Data!F52</f>
        <v>0</v>
      </c>
      <c r="K49" s="320">
        <f>Data!G52</f>
        <v>0</v>
      </c>
      <c r="L49" s="320">
        <f>Data!H52</f>
        <v>0</v>
      </c>
      <c r="M49" s="320">
        <f>Data!I52</f>
        <v>0</v>
      </c>
      <c r="N49" s="320" t="str">
        <f>Data!J52</f>
        <v/>
      </c>
      <c r="O49" s="320" t="str">
        <f>Data!K52</f>
        <v/>
      </c>
      <c r="P49" s="320" t="str">
        <f>Data!L52</f>
        <v/>
      </c>
      <c r="Q49" s="320" t="str">
        <f>Data!M52</f>
        <v/>
      </c>
    </row>
    <row r="50" spans="1:17" ht="15.75" customHeight="1">
      <c r="A50" s="10"/>
      <c r="B50" s="70" t="s">
        <v>68</v>
      </c>
      <c r="C50" s="184">
        <f>C47+C48</f>
        <v>-4439.8052012845583</v>
      </c>
      <c r="E50" s="298"/>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1.3975005584127318E-2</v>
      </c>
      <c r="E53" s="295" t="s">
        <v>338</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5" t="s">
        <v>339</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0.43478253145537848</v>
      </c>
      <c r="D73" s="27"/>
      <c r="E73" s="29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v>
      </c>
      <c r="E90" s="298"/>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8"/>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312</v>
      </c>
      <c r="C93" s="23">
        <f>C90/Market_Price</f>
        <v>0</v>
      </c>
      <c r="E93" s="29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8593904</v>
      </c>
      <c r="D101" s="26"/>
      <c r="E101" s="299"/>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0"/>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9"/>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9"/>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-0.85134784164611066</v>
      </c>
      <c r="H113" s="329">
        <f>IF(H$4="","",Data!D$22/Data!D15)</f>
        <v>0.7312981335354547</v>
      </c>
      <c r="I113" s="329">
        <f>IF(I$4="","",Data!E$22/Data!E15)</f>
        <v>-85.089361702127661</v>
      </c>
      <c r="J113" s="329">
        <f>IF(J$4="","",Data!F$22/Data!F15)</f>
        <v>5.6289616404015405E-2</v>
      </c>
      <c r="K113" s="329">
        <f>IF(K$4="","",Data!G$22/Data!G15)</f>
        <v>-2.9349096133795118</v>
      </c>
      <c r="L113" s="329">
        <f>IF(L$4="","",Data!H$22/Data!H15)</f>
        <v>-0.18653220872220588</v>
      </c>
      <c r="M113" s="329">
        <f>IF(M$4="","",Data!I$22/Data!I15)</f>
        <v>0.70290185456337462</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-10.58277261787565</v>
      </c>
      <c r="H114" s="329">
        <f>IF(H$4="","",Data!D$22/H19)</f>
        <v>1.6195290512667515</v>
      </c>
      <c r="I114" s="329">
        <f>IF(I$4="","",Data!E$22/I19)</f>
        <v>-41.491956536290409</v>
      </c>
      <c r="J114" s="329">
        <f>IF(J$4="","",Data!F$22/J19)</f>
        <v>-8.9418785233011722</v>
      </c>
      <c r="K114" s="329">
        <f>IF(K$4="","",Data!G$22/K19)</f>
        <v>14.244552830086286</v>
      </c>
      <c r="L114" s="329">
        <f>IF(L$4="","",Data!H$22/L19)</f>
        <v>4.5961831887226436</v>
      </c>
      <c r="M114" s="329">
        <f>IF(M$4="","",Data!I$22/M19)</f>
        <v>49.081843838193791</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1"/>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5"/>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5"/>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273845.50772136019</v>
      </c>
      <c r="D6" t="str">
        <f>Reporting_currency</f>
        <v>HKD</v>
      </c>
      <c r="E6" s="354" t="s">
        <v>250</v>
      </c>
      <c r="F6" s="354"/>
      <c r="H6" s="121"/>
    </row>
    <row r="7" spans="2:8">
      <c r="B7" s="149" t="s">
        <v>225</v>
      </c>
      <c r="C7" s="226">
        <f>BS!G31</f>
        <v>115864</v>
      </c>
      <c r="D7" t="str">
        <f>Reporting_currency</f>
        <v>HKD</v>
      </c>
      <c r="E7" s="354"/>
      <c r="F7" s="354"/>
      <c r="H7" s="121"/>
    </row>
    <row r="8" spans="2:8">
      <c r="B8" s="149" t="s">
        <v>226</v>
      </c>
      <c r="C8" s="201">
        <f>BS!D66</f>
        <v>4573651.4963457817</v>
      </c>
      <c r="D8" t="str">
        <f>Reporting_currency</f>
        <v>HKD</v>
      </c>
      <c r="E8" s="354"/>
      <c r="F8" s="354"/>
      <c r="H8" s="121"/>
    </row>
    <row r="9" spans="2:8">
      <c r="B9" s="227" t="s">
        <v>191</v>
      </c>
      <c r="C9" s="229">
        <f>BS!H42</f>
        <v>23866.7</v>
      </c>
      <c r="D9" t="str">
        <f>Reporting_currency</f>
        <v>HKD</v>
      </c>
      <c r="E9" s="354"/>
      <c r="F9" s="354"/>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-1.1399999999999999</v>
      </c>
    </row>
    <row r="4" spans="2:9">
      <c r="B4" s="153" t="s">
        <v>147</v>
      </c>
      <c r="C4" s="121">
        <v>3</v>
      </c>
      <c r="D4" s="121"/>
      <c r="E4" s="156" t="s">
        <v>151</v>
      </c>
      <c r="F4" s="156"/>
      <c r="H4" s="274">
        <v>1</v>
      </c>
      <c r="I4" s="262">
        <f t="shared" ref="I4:I13" si="0">IF(ROW()-3 &lt; $C$76, $C$77, IF(ROW()-3 = $C$76, $C$77 + $C$60, ""))</f>
        <v>0</v>
      </c>
    </row>
    <row r="5" spans="2:9">
      <c r="H5" s="274">
        <v>2</v>
      </c>
      <c r="I5" s="262">
        <f t="shared" si="0"/>
        <v>0</v>
      </c>
    </row>
    <row r="6" spans="2:9" ht="13.15">
      <c r="B6" s="160" t="s">
        <v>96</v>
      </c>
      <c r="C6" s="107">
        <f>Valuation_Model!C3</f>
        <v>1000</v>
      </c>
      <c r="E6" s="100" t="s">
        <v>281</v>
      </c>
      <c r="F6" s="100"/>
      <c r="H6" s="274">
        <v>3</v>
      </c>
      <c r="I6" s="262">
        <f t="shared" si="0"/>
        <v>2.1040668676405563</v>
      </c>
    </row>
    <row r="7" spans="2:9" ht="12.75" customHeight="1">
      <c r="B7" s="100" t="s">
        <v>276</v>
      </c>
      <c r="C7" s="115">
        <f>Normalized_FCF!G8</f>
        <v>29303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6"/>
      <c r="H7" s="274">
        <v>4</v>
      </c>
      <c r="I7" s="262" t="str">
        <f t="shared" si="0"/>
        <v/>
      </c>
    </row>
    <row r="8" spans="2:9">
      <c r="B8" s="100" t="s">
        <v>66</v>
      </c>
      <c r="C8" s="115">
        <f>Normalized_FCF!G19</f>
        <v>-67214.805201284558</v>
      </c>
      <c r="D8" t="str">
        <f>Reporting_currency</f>
        <v>HKD</v>
      </c>
      <c r="E8" s="356"/>
      <c r="F8" s="356"/>
      <c r="H8" s="274">
        <v>5</v>
      </c>
      <c r="I8" s="262" t="str">
        <f t="shared" si="0"/>
        <v/>
      </c>
    </row>
    <row r="9" spans="2:9">
      <c r="B9" s="100" t="s">
        <v>57</v>
      </c>
      <c r="C9" s="201">
        <f>Normalized_FCF!C19</f>
        <v>21907.640617708814</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-4.8760226650597205E-2</v>
      </c>
      <c r="D12" s="159"/>
      <c r="E12" s="356"/>
      <c r="F12" s="356"/>
      <c r="H12" s="274">
        <v>9</v>
      </c>
      <c r="I12" s="262" t="str">
        <f t="shared" si="0"/>
        <v/>
      </c>
    </row>
    <row r="13" spans="2:9">
      <c r="B13" s="149" t="s">
        <v>153</v>
      </c>
      <c r="C13" s="159">
        <f ca="1">(Normalized_FCF!G8/OFFSET(Normalized_FCF!G8, 0, $C$4))^(1/$C$4) - 1</f>
        <v>-0.53605739463275559</v>
      </c>
      <c r="E13" s="356"/>
      <c r="F13" s="356"/>
      <c r="H13" s="274">
        <v>10</v>
      </c>
      <c r="I13" s="262" t="str">
        <f t="shared" si="0"/>
        <v/>
      </c>
    </row>
    <row r="14" spans="2:9">
      <c r="B14" s="100" t="s">
        <v>66</v>
      </c>
      <c r="C14" s="159">
        <f ca="1">(Normalized_FCF!G19/OFFSET(Normalized_FCF!G19, 0, $C$4))^(1/$C$4) - 1</f>
        <v>-1.9367231569408296</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1.1399999999999999</v>
      </c>
      <c r="D21" t="str">
        <f>Market_currency</f>
        <v>HKD</v>
      </c>
      <c r="E21" s="357"/>
      <c r="F21" s="357"/>
    </row>
    <row r="22" spans="2:6">
      <c r="B22" s="100" t="s">
        <v>280</v>
      </c>
      <c r="C22" s="161">
        <f>Valuation_Model!C12</f>
        <v>2.0811961100337415</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2.0974461134820221</v>
      </c>
      <c r="D27" s="161" t="str">
        <f>Market_currency</f>
        <v>HKD</v>
      </c>
      <c r="E27" s="355"/>
      <c r="F27" s="355"/>
    </row>
    <row r="28" spans="2:6">
      <c r="B28" s="100" t="s">
        <v>148</v>
      </c>
      <c r="C28" s="166">
        <v>0.5</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v>
      </c>
      <c r="D32" s="165"/>
      <c r="E32" s="355"/>
      <c r="F32" s="355"/>
    </row>
    <row r="33" spans="2:6">
      <c r="B33" s="100" t="s">
        <v>114</v>
      </c>
      <c r="C33" s="161">
        <f>Valuation_Model!E77</f>
        <v>2.0811961100337415</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0.08</v>
      </c>
      <c r="D38" s="165"/>
      <c r="E38" s="355"/>
      <c r="F38" s="355"/>
    </row>
    <row r="39" spans="2:6">
      <c r="B39" s="100" t="s">
        <v>114</v>
      </c>
      <c r="C39" s="161">
        <f>Valuation_Model!E75</f>
        <v>2.1171796585916631</v>
      </c>
      <c r="D39" t="str">
        <f>Market_currency</f>
        <v>HKD</v>
      </c>
      <c r="E39" s="355"/>
      <c r="F39" s="355"/>
    </row>
    <row r="40" spans="2:6">
      <c r="B40" s="100" t="s">
        <v>148</v>
      </c>
      <c r="C40" s="168">
        <f>1-C28-C34</f>
        <v>0.3</v>
      </c>
      <c r="D40" s="166"/>
      <c r="E40" s="355"/>
      <c r="F40" s="355"/>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-0.15</v>
      </c>
      <c r="D50" s="165"/>
      <c r="E50" s="355"/>
      <c r="F50" s="355"/>
    </row>
    <row r="51" spans="2:6">
      <c r="B51" s="100" t="s">
        <v>114</v>
      </c>
      <c r="C51" s="161">
        <f>Valuation_Model!E78</f>
        <v>2.0279206255855997</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0.15</v>
      </c>
      <c r="D56" s="165"/>
      <c r="E56" s="355"/>
      <c r="F56" s="355"/>
    </row>
    <row r="57" spans="2:6">
      <c r="B57" s="100" t="s">
        <v>114</v>
      </c>
      <c r="C57" s="161">
        <f>Valuation_Model!E74</f>
        <v>2.2513255533708758</v>
      </c>
      <c r="D57" t="str">
        <f>Market_currency</f>
        <v>HKD</v>
      </c>
      <c r="E57" s="355"/>
      <c r="F57" s="355"/>
    </row>
    <row r="58" spans="2:6">
      <c r="B58" s="100" t="s">
        <v>148</v>
      </c>
      <c r="C58" s="166">
        <v>0.05</v>
      </c>
      <c r="D58" s="166"/>
      <c r="E58" s="355"/>
      <c r="F58" s="355"/>
    </row>
    <row r="60" spans="2:6" ht="13.15">
      <c r="B60" s="100" t="s">
        <v>121</v>
      </c>
      <c r="C60" s="155">
        <f>C51*C52+C57*C58+C42*(1-C52-C58)</f>
        <v>2.1040668676405563</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2.1004294432871107</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5">
        <f>BS!D89/C60</f>
        <v>0.93217113825685383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v>
      </c>
      <c r="D77" t="str">
        <f>Market_currency</f>
        <v>HKD</v>
      </c>
    </row>
    <row r="79" spans="2:6" ht="13.15">
      <c r="B79" s="109" t="s">
        <v>304</v>
      </c>
    </row>
    <row r="80" spans="2:6">
      <c r="B80" s="149" t="s">
        <v>302</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5">
        <f>(1-C83/C60)</f>
        <v>0.63556851311953344</v>
      </c>
    </row>
    <row r="84" spans="2:8">
      <c r="E84" s="121"/>
    </row>
    <row r="85" spans="2:8" ht="13.15">
      <c r="B85" s="109" t="s">
        <v>305</v>
      </c>
    </row>
    <row r="86" spans="2:8">
      <c r="B86" s="149" t="s">
        <v>303</v>
      </c>
      <c r="C86" s="264">
        <f>Market_Price</f>
        <v>1.1399999999999999</v>
      </c>
      <c r="D86" t="str">
        <f>Market_currency</f>
        <v>HKD</v>
      </c>
    </row>
    <row r="87" spans="2:8" ht="13.15">
      <c r="B87" s="100" t="s">
        <v>301</v>
      </c>
      <c r="C87" s="263">
        <f ca="1">IRR(OFFSET($I$3, 0, 0, $C$76 + 1, 1))</f>
        <v>0.22664312414291476</v>
      </c>
    </row>
    <row r="88" spans="2:8">
      <c r="B88" s="100"/>
    </row>
    <row r="89" spans="2:8" ht="13.15">
      <c r="B89" s="109" t="s">
        <v>416</v>
      </c>
    </row>
    <row r="90" spans="2:8">
      <c r="B90" s="149" t="s">
        <v>417</v>
      </c>
      <c r="C90" s="168">
        <f>Thesis!F30</f>
        <v>0.21740000000000001</v>
      </c>
    </row>
    <row r="91" spans="2:8">
      <c r="B91" s="100" t="s">
        <v>122</v>
      </c>
      <c r="C91" s="117">
        <f>PV(C90, C76, -C77, 0)</f>
        <v>0</v>
      </c>
      <c r="D91" s="117"/>
      <c r="E91" s="100"/>
      <c r="F91" s="100"/>
    </row>
    <row r="92" spans="2:8">
      <c r="B92" s="100" t="s">
        <v>123</v>
      </c>
      <c r="C92" s="117">
        <f>C60/(1+C90)^C76</f>
        <v>1.1661640402286717</v>
      </c>
      <c r="D92" s="117"/>
    </row>
    <row r="93" spans="2:8" ht="13.15">
      <c r="B93" s="111" t="s">
        <v>102</v>
      </c>
      <c r="C93" s="112">
        <f>C91+C92</f>
        <v>1.1661640402286717</v>
      </c>
      <c r="D93" t="str">
        <f>Market_currency</f>
        <v>HKD</v>
      </c>
      <c r="E93" s="147" t="s">
        <v>127</v>
      </c>
      <c r="F93" s="325">
        <f>(1-C93/C60)</f>
        <v>0.44575713910823733</v>
      </c>
    </row>
    <row r="95" spans="2:8" ht="13.15">
      <c r="B95" s="109" t="s">
        <v>400</v>
      </c>
      <c r="G95" s="2"/>
      <c r="H95" s="312"/>
    </row>
    <row r="96" spans="2:8">
      <c r="B96" s="149" t="s">
        <v>406</v>
      </c>
      <c r="C96" s="135">
        <f>Thesis!F31</f>
        <v>0.08</v>
      </c>
      <c r="G96" s="2"/>
      <c r="H96" s="312"/>
    </row>
    <row r="97" spans="2:8">
      <c r="B97" s="100" t="s">
        <v>122</v>
      </c>
      <c r="C97" s="117">
        <f>PV(C96, C76, -C77, 0)</f>
        <v>0</v>
      </c>
      <c r="D97" s="117"/>
      <c r="G97" s="2"/>
      <c r="H97" s="312"/>
    </row>
    <row r="98" spans="2:8">
      <c r="B98" s="100" t="s">
        <v>123</v>
      </c>
      <c r="C98" s="117">
        <f>C60/(1+C96)^C76</f>
        <v>1.6702761167953912</v>
      </c>
      <c r="D98" s="117"/>
      <c r="G98" s="2"/>
      <c r="H98" s="312"/>
    </row>
    <row r="99" spans="2:8" ht="13.15">
      <c r="B99" s="111" t="s">
        <v>401</v>
      </c>
      <c r="C99" s="112">
        <f>C97+C98</f>
        <v>1.6702761167953912</v>
      </c>
      <c r="D99" t="s">
        <v>399</v>
      </c>
      <c r="E99" s="147" t="s">
        <v>127</v>
      </c>
      <c r="F99" s="325">
        <f>(1-C99/C60)</f>
        <v>0.20616775897983042</v>
      </c>
    </row>
    <row r="100" spans="2:8">
      <c r="B100" s="100"/>
    </row>
    <row r="101" spans="2:8" ht="13.15">
      <c r="B101" s="109" t="s">
        <v>425</v>
      </c>
    </row>
    <row r="102" spans="2:8">
      <c r="B102" s="149" t="s">
        <v>424</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401</v>
      </c>
      <c r="C105" s="112">
        <f>C103+C104</f>
        <v>1.5081117949794698</v>
      </c>
      <c r="D105" t="s">
        <v>399</v>
      </c>
      <c r="E105" s="147" t="s">
        <v>127</v>
      </c>
      <c r="F105" s="325">
        <f>(1-C105/C66)</f>
        <v>0.28199835524143158</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