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DBF9B5-144F-4541-9D5B-BB74C527AEBC}"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O92" i="2"/>
  <c r="O94" i="2"/>
  <c r="Q92" i="2"/>
  <c r="Q94" i="2"/>
  <c r="P92" i="2"/>
  <c r="P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J13" i="2"/>
  <c r="J121" i="2" s="1"/>
  <c r="J117" i="2" s="1"/>
  <c r="M76" i="2"/>
  <c r="L13" i="2"/>
  <c r="L121" i="2" s="1"/>
  <c r="L117" i="2" s="1"/>
  <c r="K13" i="2"/>
  <c r="N13" i="2"/>
  <c r="N98" i="2" s="1"/>
  <c r="M13" i="2"/>
  <c r="M121" i="2" s="1"/>
  <c r="M117" i="2" s="1"/>
  <c r="I13" i="2"/>
  <c r="I121" i="2" s="1"/>
  <c r="I117" i="2" s="1"/>
  <c r="K76" i="2"/>
  <c r="K16" i="2" l="1"/>
  <c r="K19" i="2" s="1"/>
  <c r="K92" i="2" s="1"/>
  <c r="K121" i="2"/>
  <c r="K117" i="2" s="1"/>
  <c r="D74" i="6"/>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<sst xmlns="http://schemas.openxmlformats.org/spreadsheetml/2006/main" count="836" uniqueCount="560">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</sst>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B58A328-ABD8-4CAF-89FD-B9EA40E119A6}"/>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2284983948</v>
          </cell>
        </row>
        <row r="12">
          <cell r="C12">
            <v>2.04</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2.09</v>
      </c>
      <c r="D12" s="50"/>
      <c r="E12" s="48"/>
    </row>
    <row r="13" spans="1:10">
      <c r="B13" s="1" t="s">
        <v>464</v>
      </c>
      <c r="C13" s="48" t="s">
        <v>377</v>
      </c>
      <c r="D13" s="48"/>
      <c r="E13" s="5"/>
    </row>
    <row r="14" spans="1:10">
      <c r="B14" s="4" t="s">
        <v>465</v>
      </c>
      <c r="C14" s="35">
        <f>Thesis!C12*Common_Shares/1000000</f>
        <v>4775.6164513200001</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3.670901424012607E-3</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v>
      </c>
    </row>
    <row r="40" spans="1:6" ht="24.6" customHeight="1">
      <c r="B40" s="371" t="s">
        <v>227</v>
      </c>
      <c r="C40" s="371"/>
      <c r="D40" s="371"/>
      <c r="E40" s="371"/>
      <c r="F40" s="371"/>
    </row>
    <row r="41" spans="1:6">
      <c r="B41" s="47" t="s">
        <v>228</v>
      </c>
      <c r="C41" s="349">
        <f>Normalized_FCF!C8</f>
        <v>33649.992691562977</v>
      </c>
      <c r="D41" s="1" t="str">
        <f>Reporting_currency</f>
        <v>HKD</v>
      </c>
    </row>
    <row r="42" spans="1:6">
      <c r="B42" s="47"/>
      <c r="C42" s="76"/>
    </row>
    <row r="43" spans="1:6" ht="24.6" customHeight="1">
      <c r="B43" s="371" t="s">
        <v>229</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232</v>
      </c>
      <c r="C47" s="371"/>
      <c r="D47" s="371"/>
      <c r="E47" s="371"/>
      <c r="F47" s="371"/>
    </row>
    <row r="48" spans="1:6">
      <c r="B48" s="47" t="s">
        <v>233</v>
      </c>
      <c r="C48" s="349">
        <f>Normalized_FCF!C11</f>
        <v>0</v>
      </c>
      <c r="D48" s="1" t="str">
        <f>Reporting_currency</f>
        <v>HKD</v>
      </c>
    </row>
    <row r="50" spans="2:6">
      <c r="B50" s="371" t="s">
        <v>236</v>
      </c>
      <c r="C50" s="371"/>
      <c r="D50" s="371"/>
      <c r="E50" s="371"/>
      <c r="F50" s="371"/>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-7302.5468725696046</v>
      </c>
      <c r="D59" s="1" t="str">
        <f>Reporting_currency</f>
        <v>HKD</v>
      </c>
    </row>
    <row r="61" spans="2:6">
      <c r="B61" s="371" t="s">
        <v>329</v>
      </c>
      <c r="C61" s="374"/>
      <c r="D61" s="374"/>
      <c r="E61" s="374"/>
      <c r="F61" s="374"/>
    </row>
    <row r="62" spans="2:6">
      <c r="B62" s="47" t="s">
        <v>238</v>
      </c>
      <c r="C62" s="349">
        <f>Normalized_FCF!C17</f>
        <v>0</v>
      </c>
      <c r="D62" s="1" t="str">
        <f>Reporting_currency</f>
        <v>HKD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4.5873953323143134E-3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0" t="s">
        <v>352</v>
      </c>
      <c r="C116" s="370"/>
      <c r="D116" s="370"/>
      <c r="E116" s="370"/>
      <c r="F116" s="370"/>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4.5873953323143134E-3</v>
      </c>
      <c r="D126" s="27"/>
      <c r="E126" s="265"/>
      <c r="F126" s="27"/>
      <c r="G126" s="77">
        <f t="shared" ref="G126" si="50">IF(G$4="","",G125/Market_Price)</f>
        <v>-1.4074581969979209E-2</v>
      </c>
      <c r="H126" s="77">
        <f t="shared" ref="H126" si="51">IF(H$4="","",H125/Market_Price)</f>
        <v>-4.1915249387905772E-2</v>
      </c>
      <c r="I126" s="77">
        <f t="shared" ref="I126" si="52">IF(I$4="","",I125/Market_Price)</f>
        <v>-9.3849664136264228E-3</v>
      </c>
      <c r="J126" s="77">
        <f t="shared" ref="J126" si="53">IF(J$4="","",J125/Market_Price)</f>
        <v>1.7123862611997769E-2</v>
      </c>
      <c r="K126" s="77">
        <f t="shared" ref="K126" si="54">IF(K$4="","",K125/Market_Price)</f>
        <v>3.0868475620409928E-2</v>
      </c>
      <c r="L126" s="77">
        <f t="shared" ref="L126" si="55">IF(L$4="","",L125/Market_Price)</f>
        <v>9.1948338916252002E-3</v>
      </c>
      <c r="M126" s="77">
        <f t="shared" ref="M126" si="56">IF(M$4="","",M125/Market_Price)</f>
        <v>-4.2291922322232282E-3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-0.17495563316628132</v>
      </c>
      <c r="H127" s="23">
        <f>IF(H$4="","",(Data!D47*$C$3)/(Market_Price*Common_Shares))</f>
        <v>-9.282529376442504E-2</v>
      </c>
      <c r="I127" s="23">
        <f>IF(I$4="","",(Data!E47*$C$3)/(Market_Price*Common_Shares))</f>
        <v>-4.5763725422210549E-3</v>
      </c>
      <c r="J127" s="23">
        <f>IF(J$4="","",(Data!F47*$C$3)/(Market_Price*Common_Shares))</f>
        <v>-2.7202086123162856</v>
      </c>
      <c r="K127" s="23">
        <f>IF(K$4="","",(Data!G47*$C$3)/(Market_Price*Common_Shares))</f>
        <v>-0.14981982060184876</v>
      </c>
      <c r="L127" s="23">
        <f>IF(L$4="","",(Data!H47*$C$3)/(Market_Price*Common_Shares))</f>
        <v>-0.22656216449311753</v>
      </c>
      <c r="M127" s="23">
        <f>IF(M$4="","",(Data!I47*$C$3)/(Market_Price*Common_Shares))</f>
        <v>-0.29531370753406838</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-2.09</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2.09</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2.09</v>
      </c>
      <c r="D86" t="str">
        <f>Market_currency</f>
        <v>HKD</v>
      </c>
    </row>
    <row r="87" spans="2:8" ht="13.15">
      <c r="B87" s="100" t="s">
        <v>293</v>
      </c>
      <c r="C87" s="237">
        <f ca="1">IRR(OFFSET($I$3, 0, 0, $C$76 + 1, 1))</f>
        <v>3.670901424012607E-3</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2.09</v>
      </c>
      <c r="D12" s="50"/>
      <c r="E12" s="48"/>
    </row>
    <row r="13" spans="1:10">
      <c r="B13" s="1" t="s">
        <v>485</v>
      </c>
      <c r="C13" s="32" t="str">
        <f>Market_currency</f>
        <v>HKD</v>
      </c>
      <c r="D13" s="48"/>
      <c r="E13" s="5"/>
    </row>
    <row r="14" spans="1:10">
      <c r="B14" s="4" t="s">
        <v>486</v>
      </c>
      <c r="C14" s="35">
        <f>投资主题!C12*Common_Shares/1000000</f>
        <v>4775.6164513200001</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3.670901424012607E-3</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v>
      </c>
    </row>
    <row r="40" spans="1:6">
      <c r="B40" s="371" t="s">
        <v>494</v>
      </c>
      <c r="C40" s="371"/>
      <c r="D40" s="371"/>
      <c r="E40" s="371"/>
      <c r="F40" s="371"/>
    </row>
    <row r="41" spans="1:6">
      <c r="B41" s="47" t="s">
        <v>228</v>
      </c>
      <c r="C41" s="349">
        <f>Normalized_FCF!C8</f>
        <v>33649.992691562977</v>
      </c>
      <c r="D41" s="1" t="str">
        <f>Reporting_currency</f>
        <v>HKD</v>
      </c>
    </row>
    <row r="42" spans="1:6">
      <c r="B42" s="47"/>
      <c r="C42" s="76"/>
    </row>
    <row r="43" spans="1:6" ht="24.6" customHeight="1">
      <c r="B43" s="371" t="s">
        <v>495</v>
      </c>
      <c r="C43" s="371"/>
      <c r="D43" s="371"/>
      <c r="E43" s="371"/>
      <c r="F43" s="371"/>
    </row>
    <row r="44" spans="1:6">
      <c r="B44" s="47" t="s">
        <v>230</v>
      </c>
      <c r="C44" s="349">
        <f>Normalized_FCF!C9</f>
        <v>0</v>
      </c>
      <c r="D44" s="1" t="str">
        <f>Reporting_currency</f>
        <v>HKD</v>
      </c>
    </row>
    <row r="45" spans="1:6">
      <c r="B45" s="52" t="s">
        <v>231</v>
      </c>
      <c r="C45" s="349">
        <f>Normalized_FCF!C10</f>
        <v>0</v>
      </c>
      <c r="D45" s="1" t="str">
        <f>Reporting_currency</f>
        <v>HKD</v>
      </c>
    </row>
    <row r="47" spans="1:6">
      <c r="B47" s="371" t="s">
        <v>496</v>
      </c>
      <c r="C47" s="371"/>
      <c r="D47" s="371"/>
      <c r="E47" s="371"/>
      <c r="F47" s="371"/>
    </row>
    <row r="48" spans="1:6">
      <c r="B48" s="47" t="s">
        <v>233</v>
      </c>
      <c r="C48" s="349">
        <f>Normalized_FCF!C11</f>
        <v>0</v>
      </c>
      <c r="D48" s="1" t="str">
        <f>Reporting_currency</f>
        <v>HKD</v>
      </c>
    </row>
    <row r="50" spans="2:6">
      <c r="B50" s="371" t="s">
        <v>497</v>
      </c>
      <c r="C50" s="371"/>
      <c r="D50" s="371"/>
      <c r="E50" s="371"/>
      <c r="F50" s="371"/>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1" t="s">
        <v>237</v>
      </c>
      <c r="C58" s="371"/>
      <c r="D58" s="371"/>
      <c r="E58" s="371"/>
      <c r="F58" s="371"/>
    </row>
    <row r="59" spans="2:6">
      <c r="B59" s="47" t="s">
        <v>235</v>
      </c>
      <c r="C59" s="349">
        <f>Normalized_FCF!C14</f>
        <v>-7302.5468725696046</v>
      </c>
      <c r="D59" s="1" t="str">
        <f>Reporting_currency</f>
        <v>HKD</v>
      </c>
    </row>
    <row r="61" spans="2:6">
      <c r="B61" s="371" t="s">
        <v>499</v>
      </c>
      <c r="C61" s="374"/>
      <c r="D61" s="374"/>
      <c r="E61" s="374"/>
      <c r="F61" s="374"/>
    </row>
    <row r="62" spans="2:6">
      <c r="B62" s="47" t="s">
        <v>238</v>
      </c>
      <c r="C62" s="349">
        <f>Normalized_FCF!C17</f>
        <v>0</v>
      </c>
      <c r="D62" s="1" t="str">
        <f>Reporting_currency</f>
        <v>HKD</v>
      </c>
    </row>
    <row r="64" spans="2:6">
      <c r="B64" s="370" t="s">
        <v>500</v>
      </c>
      <c r="C64" s="370"/>
      <c r="D64" s="370"/>
      <c r="E64" s="370"/>
      <c r="F64" s="370"/>
    </row>
    <row r="65" spans="1:6">
      <c r="B65" s="370" t="s">
        <v>501</v>
      </c>
      <c r="C65" s="370"/>
      <c r="D65" s="370"/>
      <c r="E65" s="370"/>
      <c r="F65" s="370"/>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4.5873953323143134E-3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0" t="s">
        <v>516</v>
      </c>
      <c r="C116" s="370"/>
      <c r="D116" s="370"/>
      <c r="E116" s="370"/>
      <c r="F116" s="370"/>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8E7B43-500E-4522-860A-E52C2A7F28D9}">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