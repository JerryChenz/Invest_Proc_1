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53A7B8-BC55-4C95-BEA8-29323E32D2C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<sst xmlns="http://schemas.openxmlformats.org/spreadsheetml/2006/main" count="685" uniqueCount="465">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</sst>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1.76</v>
      </c>
      <c r="D12" s="50"/>
      <c r="E12" s="48"/>
    </row>
    <row r="13" spans="1:10">
      <c r="B13" s="1" t="s">
        <v>415</v>
      </c>
      <c r="C13" s="48" t="s">
        <v>396</v>
      </c>
      <c r="D13" s="48"/>
      <c r="E13" s="5"/>
    </row>
    <row r="14" spans="1:10">
      <c r="B14" s="4" t="s">
        <v>419</v>
      </c>
      <c r="C14" s="35">
        <f>Thesis!C12*Common_Shares/1000000</f>
        <v>4021.5717484800002</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6.2843218767976605E-2</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33649.992691562977</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-7302.5468725696046</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5.4475319571232472E-3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8" t="s">
        <v>366</v>
      </c>
      <c r="C116" s="358"/>
      <c r="D116" s="358"/>
      <c r="E116" s="358"/>
      <c r="F116" s="358"/>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5.4475319571232472E-3</v>
      </c>
      <c r="D125" s="27"/>
      <c r="E125" s="265"/>
      <c r="F125" s="27"/>
      <c r="G125" s="77">
        <f t="shared" ref="G125" si="50">IF(G$4="","",G124/Market_Price)</f>
        <v>-1.6713566089350308E-2</v>
      </c>
      <c r="H125" s="77">
        <f t="shared" ref="H125" si="51">IF(H$4="","",H124/Market_Price)</f>
        <v>-4.9774358648138096E-2</v>
      </c>
      <c r="I125" s="77">
        <f t="shared" ref="I125" si="52">IF(I$4="","",I124/Market_Price)</f>
        <v>-1.1144647616181377E-2</v>
      </c>
      <c r="J125" s="77">
        <f t="shared" ref="J125" si="53">IF(J$4="","",J124/Market_Price)</f>
        <v>2.0334586851747348E-2</v>
      </c>
      <c r="K125" s="77">
        <f t="shared" ref="K125" si="54">IF(K$4="","",K124/Market_Price)</f>
        <v>3.665631479923679E-2</v>
      </c>
      <c r="L125" s="77">
        <f t="shared" ref="L125" si="55">IF(L$4="","",L124/Market_Price)</f>
        <v>1.0918865246304924E-2</v>
      </c>
      <c r="M125" s="77">
        <f t="shared" ref="M125" si="56">IF(M$4="","",M124/Market_Price)</f>
        <v>-5.0221657757650827E-3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-0.20775981438495905</v>
      </c>
      <c r="H126" s="23">
        <f>IF(H$4="","",(Data!D47*$C$3)/(Market_Price*Common_Shares))</f>
        <v>-0.11023003634525473</v>
      </c>
      <c r="I126" s="23">
        <f>IF(I$4="","",(Data!E47*$C$3)/(Market_Price*Common_Shares))</f>
        <v>-5.4344423938875027E-3</v>
      </c>
      <c r="J126" s="23">
        <f>IF(J$4="","",(Data!F47*$C$3)/(Market_Price*Common_Shares))</f>
        <v>-3.2302477271255889</v>
      </c>
      <c r="K126" s="23">
        <f>IF(K$4="","",(Data!G47*$C$3)/(Market_Price*Common_Shares))</f>
        <v>-0.1779110369646954</v>
      </c>
      <c r="L126" s="23">
        <f>IF(L$4="","",(Data!H47*$C$3)/(Market_Price*Common_Shares))</f>
        <v>-0.26904257033557705</v>
      </c>
      <c r="M126" s="23">
        <f>IF(M$4="","",(Data!I47*$C$3)/(Market_Price*Common_Shares))</f>
        <v>-0.35068502769670623</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-1.76</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1.76</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1.76</v>
      </c>
      <c r="D86" t="str">
        <f>Market_currency</f>
        <v>HKD</v>
      </c>
    </row>
    <row r="87" spans="2:8" ht="13.15">
      <c r="B87" s="100" t="s">
        <v>298</v>
      </c>
      <c r="C87" s="237">
        <f ca="1">IRR(OFFSET($I$3, 0, 0, $C$76 + 1, 1))</f>
        <v>6.2843218767976605E-2</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