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D34D3B3-B066-4065-AF6D-492BA5EB912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67" i="8"/>
  <c r="C70" i="8"/>
  <c r="E66" i="8"/>
  <c r="D71" i="8"/>
  <c r="D70" i="8"/>
  <c r="D68" i="8"/>
  <c r="C68" i="8"/>
  <c r="E67" i="8"/>
  <c r="B70" i="8"/>
  <c r="C66" i="8"/>
  <c r="E70" i="8"/>
  <c r="F71" i="8"/>
  <c r="E69" i="8"/>
  <c r="C69" i="8"/>
  <c r="B68" i="8"/>
  <c r="B67" i="8"/>
  <c r="D66" i="8"/>
  <c r="B66" i="8"/>
  <c r="G54" i="2"/>
  <c r="F69" i="8" l="1"/>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<sst xmlns="http://schemas.openxmlformats.org/spreadsheetml/2006/main" count="626" uniqueCount="439">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</sst>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abSelected="1" topLeftCell="A5" zoomScaleNormal="100" workbookViewId="0">
      <selection activeCell="C13" sqref="C13"/>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2284983948</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1.1599999999999999</v>
      </c>
      <c r="D12" s="50"/>
      <c r="E12" s="48"/>
    </row>
    <row r="13" spans="1:10">
      <c r="B13" s="1" t="s">
        <v>425</v>
      </c>
      <c r="C13" s="48" t="s">
        <v>404</v>
      </c>
      <c r="D13" s="48"/>
      <c r="E13" s="5"/>
    </row>
    <row r="14" spans="1:10">
      <c r="B14" s="4" t="s">
        <v>429</v>
      </c>
      <c r="C14" s="35">
        <f>Thesis!C12*Common_Shares/1000000</f>
        <v>2650.5813796799998</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0.3</v>
      </c>
      <c r="D24" s="1" t="s">
        <v>417</v>
      </c>
      <c r="E24" s="339">
        <v>0.2</v>
      </c>
    </row>
    <row r="25" spans="1:6">
      <c r="B25" s="2" t="str">
        <f>"Target Buy Price ("&amp;Market_currency&amp;"):"</f>
        <v>Target Buy Price (HKD):</v>
      </c>
      <c r="C25" s="252">
        <f>C139</f>
        <v>0.9576999852710768</v>
      </c>
      <c r="D25" s="1" t="s">
        <v>315</v>
      </c>
      <c r="E25" s="330">
        <v>3</v>
      </c>
    </row>
    <row r="26" spans="1:6">
      <c r="B26" s="1" t="s">
        <v>407</v>
      </c>
      <c r="C26" s="280">
        <f ca="1">Scenarios!C87</f>
        <v>0.21955254305698646</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33649.992691562977</v>
      </c>
      <c r="D35" s="1" t="str">
        <f>Reporting_currency</f>
        <v>HKD</v>
      </c>
    </row>
    <row r="36" spans="2:6">
      <c r="B36" s="47"/>
      <c r="C36" s="76"/>
    </row>
    <row r="37" spans="2:6" ht="24.4" customHeight="1">
      <c r="B37" s="344" t="s">
        <v>234</v>
      </c>
      <c r="C37" s="344"/>
      <c r="D37" s="344"/>
      <c r="E37" s="344"/>
      <c r="F37" s="344"/>
    </row>
    <row r="38" spans="2:6">
      <c r="B38" s="47" t="s">
        <v>235</v>
      </c>
      <c r="C38" s="188">
        <f>Normalized_FCF!C9</f>
        <v>0</v>
      </c>
      <c r="D38" s="1" t="str">
        <f>Reporting_currency</f>
        <v>HKD</v>
      </c>
    </row>
    <row r="39" spans="2:6">
      <c r="B39" s="52" t="s">
        <v>236</v>
      </c>
      <c r="C39" s="188">
        <f>Normalized_FCF!C10</f>
        <v>0</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6970.1947987154417</v>
      </c>
      <c r="D45" s="1" t="str">
        <f>Reporting_currency</f>
        <v>HKD</v>
      </c>
      <c r="E45" s="321"/>
      <c r="F45" s="321"/>
    </row>
    <row r="46" spans="2:6">
      <c r="B46" s="47" t="s">
        <v>349</v>
      </c>
      <c r="C46" s="322">
        <f>Normalized_FCF!C47</f>
        <v>-11410</v>
      </c>
      <c r="D46" s="1" t="str">
        <f>Reporting_currency</f>
        <v>HKD</v>
      </c>
      <c r="E46" s="321"/>
      <c r="F46" s="321"/>
    </row>
    <row r="47" spans="2:6">
      <c r="B47" s="47" t="s">
        <v>239</v>
      </c>
      <c r="C47" s="188">
        <f>Normalized_FCF!C12</f>
        <v>-4439.8052012845583</v>
      </c>
      <c r="D47" s="1" t="str">
        <f>Reporting_currency</f>
        <v>HKD</v>
      </c>
    </row>
    <row r="49" spans="2:6">
      <c r="B49" s="1" t="s">
        <v>247</v>
      </c>
    </row>
    <row r="50" spans="2:6">
      <c r="B50" s="47" t="s">
        <v>266</v>
      </c>
      <c r="C50" s="188">
        <f>Normalized_FCF!C15</f>
        <v>0</v>
      </c>
      <c r="D50" s="1" t="str">
        <f>Reporting_currency</f>
        <v>HKD</v>
      </c>
    </row>
    <row r="52" spans="2:6">
      <c r="B52" s="344" t="s">
        <v>242</v>
      </c>
      <c r="C52" s="344"/>
      <c r="D52" s="344"/>
      <c r="E52" s="344"/>
      <c r="F52" s="344"/>
    </row>
    <row r="53" spans="2:6">
      <c r="B53" s="47" t="s">
        <v>240</v>
      </c>
      <c r="C53" s="188">
        <f>Normalized_FCF!C14</f>
        <v>-7302.5468725696046</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-67214.805201284558</v>
      </c>
      <c r="D61" s="1" t="str">
        <f>Reporting_currency</f>
        <v>HKD</v>
      </c>
    </row>
    <row r="62" spans="2:6">
      <c r="B62" s="47" t="s">
        <v>249</v>
      </c>
      <c r="C62" s="188">
        <f>Normalized_FCF!C19</f>
        <v>21907.640617708814</v>
      </c>
      <c r="D62" s="1" t="str">
        <f>Reporting_currency</f>
        <v>HKD</v>
      </c>
    </row>
    <row r="63" spans="2:6">
      <c r="B63" s="254" t="s">
        <v>398</v>
      </c>
      <c r="C63" s="92">
        <f>Normalized_FCF!C125</f>
        <v>8.265220900462859E-3</v>
      </c>
    </row>
    <row r="64" spans="2:6">
      <c r="B64" s="254" t="s">
        <v>316</v>
      </c>
      <c r="C64" s="92">
        <f>Normalized_FCF!C93</f>
        <v>0</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0.11984570305671145</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115864</v>
      </c>
      <c r="D91" s="1" t="str">
        <f>Reporting_currency</f>
        <v>HKD</v>
      </c>
    </row>
    <row r="92" spans="1:6">
      <c r="B92" s="47" t="s">
        <v>285</v>
      </c>
      <c r="C92" s="248">
        <f>C91*scaling_factor*Exchange_Rate/Common_Shares</f>
        <v>5.0706701944848852E-2</v>
      </c>
      <c r="D92" s="1" t="str">
        <f>Market_currency</f>
        <v>HKD</v>
      </c>
    </row>
    <row r="93" spans="1:6">
      <c r="B93" s="336" t="s">
        <v>412</v>
      </c>
      <c r="C93" s="337">
        <f>BS!G30/BS!G27</f>
        <v>9.7057481271370302E-2</v>
      </c>
    </row>
    <row r="94" spans="1:6">
      <c r="B94" s="336" t="s">
        <v>413</v>
      </c>
      <c r="C94" s="337">
        <f>BS!G31/BS!G27</f>
        <v>1.4790654865358754E-2</v>
      </c>
    </row>
    <row r="95" spans="1:6">
      <c r="B95" s="336" t="s">
        <v>415</v>
      </c>
      <c r="C95" s="338">
        <f>BS!C50</f>
        <v>3.4432102574884196</v>
      </c>
    </row>
    <row r="97" spans="1:6">
      <c r="B97" s="1" t="s">
        <v>255</v>
      </c>
    </row>
    <row r="98" spans="1:6">
      <c r="B98" s="47" t="s">
        <v>265</v>
      </c>
      <c r="C98" s="188">
        <f>BS!C66</f>
        <v>5072413</v>
      </c>
      <c r="D98" s="1" t="str">
        <f>Reporting_currency</f>
        <v>HKD</v>
      </c>
    </row>
    <row r="99" spans="1:6">
      <c r="B99" s="47" t="s">
        <v>267</v>
      </c>
      <c r="C99" s="188">
        <f>Valuation_Model!C8</f>
        <v>4573651.4963457817</v>
      </c>
      <c r="D99" s="1" t="str">
        <f>Reporting_currency</f>
        <v>HKD</v>
      </c>
    </row>
    <row r="100" spans="1:6">
      <c r="B100" s="47" t="s">
        <v>286</v>
      </c>
      <c r="C100" s="248">
        <f>C99*scaling_factor*Exchange_Rate/Common_Shares</f>
        <v>2.0016120902507897</v>
      </c>
      <c r="D100" s="1" t="str">
        <f>Market_currency</f>
        <v>HKD</v>
      </c>
    </row>
    <row r="102" spans="1:6">
      <c r="B102" s="1" t="s">
        <v>257</v>
      </c>
    </row>
    <row r="103" spans="1:6">
      <c r="B103" s="47" t="s">
        <v>258</v>
      </c>
      <c r="C103" s="188">
        <f>Valuation_Model!C9</f>
        <v>23866.7</v>
      </c>
      <c r="D103" s="1" t="str">
        <f>Reporting_currency</f>
        <v>HKD</v>
      </c>
    </row>
    <row r="104" spans="1:6">
      <c r="B104" s="47" t="s">
        <v>287</v>
      </c>
      <c r="C104" s="248">
        <f>C103*scaling_factor*Exchange_Rate/Common_Shares</f>
        <v>1.0445018671089587E-2</v>
      </c>
      <c r="D104" s="1" t="str">
        <f>Market_currency</f>
        <v>HKD</v>
      </c>
    </row>
    <row r="106" spans="1:6" ht="24.4" customHeight="1">
      <c r="B106" s="343" t="s">
        <v>374</v>
      </c>
      <c r="C106" s="343"/>
      <c r="D106" s="343"/>
      <c r="E106" s="343"/>
      <c r="F106" s="343"/>
    </row>
    <row r="108" spans="1:6">
      <c r="B108" s="47" t="s">
        <v>283</v>
      </c>
      <c r="C108" s="248">
        <f>Valuation_Model!C12</f>
        <v>2.0811961100337415</v>
      </c>
      <c r="D108" s="1" t="str">
        <f>Market_currency</f>
        <v>HKD</v>
      </c>
    </row>
    <row r="109" spans="1:6">
      <c r="B109" s="336" t="s">
        <v>414</v>
      </c>
      <c r="C109" s="248">
        <f>BS!D47</f>
        <v>2.0258239687205015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0.15</v>
      </c>
      <c r="D116" s="257">
        <f>Valuation_Model!D74</f>
        <v>15</v>
      </c>
      <c r="E116" s="258" t="str">
        <f>ROUND(Valuation_Model!E74,2)&amp;" "&amp;Market_currency</f>
        <v>2.25 HKD</v>
      </c>
      <c r="F116" s="259">
        <f>Valuation_Model!F74</f>
        <v>0.05</v>
      </c>
    </row>
    <row r="117" spans="1:6">
      <c r="B117" s="242" t="str">
        <f>Valuation_Model!B75</f>
        <v>Optimistic</v>
      </c>
      <c r="C117" s="243">
        <f>Valuation_Model!C75</f>
        <v>0.08</v>
      </c>
      <c r="D117" s="244">
        <f>Valuation_Model!D75</f>
        <v>10</v>
      </c>
      <c r="E117" s="245" t="str">
        <f>ROUND(Valuation_Model!E75,2)&amp;" "&amp;Market_currency</f>
        <v>2.12 HKD</v>
      </c>
      <c r="F117" s="246">
        <f>Valuation_Model!F75</f>
        <v>0.26999999999999996</v>
      </c>
    </row>
    <row r="118" spans="1:6">
      <c r="B118" s="242" t="str">
        <f>Valuation_Model!B76</f>
        <v>Base</v>
      </c>
      <c r="C118" s="243">
        <f>Valuation_Model!C76</f>
        <v>0.04</v>
      </c>
      <c r="D118" s="244">
        <f>Valuation_Model!D76</f>
        <v>10</v>
      </c>
      <c r="E118" s="245" t="str">
        <f>ROUND(Valuation_Model!E76,2)&amp;" "&amp;Market_currency</f>
        <v>2.1 HKD</v>
      </c>
      <c r="F118" s="246">
        <f>Valuation_Model!F76</f>
        <v>0.44999999999999996</v>
      </c>
    </row>
    <row r="119" spans="1:6">
      <c r="B119" s="242" t="str">
        <f>Valuation_Model!B77</f>
        <v>Pessimistic</v>
      </c>
      <c r="C119" s="243">
        <f>Valuation_Model!C77</f>
        <v>0</v>
      </c>
      <c r="D119" s="244">
        <f>Valuation_Model!D77</f>
        <v>10</v>
      </c>
      <c r="E119" s="245" t="str">
        <f>ROUND(Valuation_Model!E77,2)&amp;" "&amp;Market_currency</f>
        <v>2.08 HKD</v>
      </c>
      <c r="F119" s="246">
        <f>Valuation_Model!F77</f>
        <v>0.18</v>
      </c>
    </row>
    <row r="120" spans="1:6">
      <c r="B120" s="242" t="str">
        <f>Valuation_Model!B78</f>
        <v>Devil's advocate</v>
      </c>
      <c r="C120" s="243">
        <f>Valuation_Model!C78</f>
        <v>-0.15</v>
      </c>
      <c r="D120" s="244">
        <f>Valuation_Model!D78</f>
        <v>15</v>
      </c>
      <c r="E120" s="245" t="str">
        <f>ROUND(Valuation_Model!E78,2)&amp;" "&amp;Market_currency</f>
        <v>2.03 HKD</v>
      </c>
      <c r="F120" s="246">
        <f>Valuation_Model!F78</f>
        <v>0.05</v>
      </c>
    </row>
    <row r="122" spans="1:6">
      <c r="B122" s="235" t="s">
        <v>259</v>
      </c>
      <c r="C122" s="241">
        <f>Scenarios!C60</f>
        <v>2.1040668676405563</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0.3</v>
      </c>
    </row>
    <row r="133" spans="2:6">
      <c r="B133" s="236" t="s">
        <v>262</v>
      </c>
      <c r="C133" s="237">
        <f>Scenarios!C77</f>
        <v>0</v>
      </c>
      <c r="D133" s="236" t="str">
        <f>Market_currency</f>
        <v>HKD</v>
      </c>
    </row>
    <row r="135" spans="2:6">
      <c r="B135" s="234" t="s">
        <v>418</v>
      </c>
      <c r="C135" s="270" t="str">
        <f>C11</f>
        <v>9959.HK</v>
      </c>
      <c r="D135" s="270" t="str">
        <f>IF(D11="","",D11)</f>
        <v/>
      </c>
    </row>
    <row r="136" spans="2:6">
      <c r="B136" s="1" t="s">
        <v>416</v>
      </c>
      <c r="C136" s="337">
        <f>C24</f>
        <v>0.3</v>
      </c>
    </row>
    <row r="137" spans="2:6">
      <c r="B137" s="236" t="str">
        <f>"PV("&amp;C131&amp;" yrs of Dividends)"</f>
        <v>PV(3 yrs of Dividends)</v>
      </c>
      <c r="C137" s="240">
        <f>Scenarios!C81</f>
        <v>0</v>
      </c>
    </row>
    <row r="138" spans="2:6">
      <c r="B138" s="236" t="str">
        <f>"+ PV(Equity Value realized at year "&amp;C131&amp;")"</f>
        <v>+ PV(Equity Value realized at year 3)</v>
      </c>
      <c r="C138" s="240">
        <f>Scenarios!C82</f>
        <v>0.9576999852710768</v>
      </c>
    </row>
    <row r="139" spans="2:6">
      <c r="B139" s="80" t="s">
        <v>261</v>
      </c>
      <c r="C139" s="239">
        <f>Scenarios!C83</f>
        <v>0.9576999852710768</v>
      </c>
      <c r="D139" s="342" t="str">
        <f>IF($D$11="","",C139*$E$22)</f>
        <v/>
      </c>
    </row>
    <row r="140" spans="2:6">
      <c r="B140" s="290" t="s">
        <v>425</v>
      </c>
      <c r="C140" s="340" t="str">
        <f>Market_currency</f>
        <v>HKD</v>
      </c>
      <c r="D140" s="340" t="str">
        <f>IF($D$11="","",D$13)</f>
        <v/>
      </c>
    </row>
    <row r="141" spans="2:6">
      <c r="B141" s="238" t="s">
        <v>263</v>
      </c>
      <c r="C141" s="92">
        <f>Scenarios!F83</f>
        <v>0.54483386436049175</v>
      </c>
    </row>
    <row r="143" spans="2:6">
      <c r="B143" s="234" t="s">
        <v>421</v>
      </c>
    </row>
    <row r="144" spans="2:6">
      <c r="B144" s="1" t="s">
        <v>420</v>
      </c>
      <c r="C144" s="337">
        <f>Scenarios!C90</f>
        <v>0.2</v>
      </c>
    </row>
    <row r="145" spans="1:6">
      <c r="B145" s="236" t="str">
        <f>"PV("&amp;C131&amp;" yrs of Dividends)"</f>
        <v>PV(3 yrs of Dividends)</v>
      </c>
      <c r="C145" s="240">
        <f>Scenarios!C91</f>
        <v>0</v>
      </c>
    </row>
    <row r="146" spans="1:6">
      <c r="B146" s="236" t="str">
        <f>"+ PV(Equity Value realized at year "&amp;C131&amp;")"</f>
        <v>+ PV(Equity Value realized at year 3)</v>
      </c>
      <c r="C146" s="240">
        <f>Scenarios!C92</f>
        <v>1.2176312891438406</v>
      </c>
    </row>
    <row r="147" spans="1:6">
      <c r="B147" s="80" t="s">
        <v>261</v>
      </c>
      <c r="C147" s="239">
        <f>Scenarios!C93</f>
        <v>1.2176312891438406</v>
      </c>
      <c r="D147" s="342" t="str">
        <f>IF($D$11="","",C147*$E$22)</f>
        <v/>
      </c>
    </row>
    <row r="148" spans="1:6">
      <c r="B148" s="290" t="s">
        <v>425</v>
      </c>
      <c r="C148" s="340" t="str">
        <f>Market_currency</f>
        <v>HKD</v>
      </c>
      <c r="D148" s="340" t="str">
        <f>IF($D$11="","",D$13)</f>
        <v/>
      </c>
    </row>
    <row r="149" spans="1:6">
      <c r="B149" s="238" t="s">
        <v>263</v>
      </c>
      <c r="C149" s="92">
        <f>Scenarios!F93</f>
        <v>0.42129629629629628</v>
      </c>
    </row>
    <row r="151" spans="1:6">
      <c r="B151" s="234" t="s">
        <v>408</v>
      </c>
    </row>
    <row r="152" spans="1:6">
      <c r="B152" s="1" t="s">
        <v>419</v>
      </c>
      <c r="C152" s="92">
        <f>Scenarios!C96</f>
        <v>0.08</v>
      </c>
    </row>
    <row r="153" spans="1:6">
      <c r="B153" s="236" t="str">
        <f>"PV("&amp;C131&amp;" yrs of Dividends)"</f>
        <v>PV(3 yrs of Dividends)</v>
      </c>
      <c r="C153" s="240">
        <f>Scenarios!C97</f>
        <v>0</v>
      </c>
    </row>
    <row r="154" spans="1:6">
      <c r="B154" s="236" t="str">
        <f>"+ PV(Equity Value realized at year "&amp;C131&amp;")"</f>
        <v>+ PV(Equity Value realized at year 3)</v>
      </c>
      <c r="C154" s="240">
        <f>Scenarios!C98</f>
        <v>1.6702761167953912</v>
      </c>
    </row>
    <row r="155" spans="1:6">
      <c r="B155" s="80" t="s">
        <v>409</v>
      </c>
      <c r="C155" s="239">
        <f>Scenarios!C99</f>
        <v>1.6702761167953912</v>
      </c>
      <c r="D155" s="342" t="str">
        <f>IF($D$11="","",C155*$E$22)</f>
        <v/>
      </c>
    </row>
    <row r="156" spans="1:6">
      <c r="B156" s="290" t="s">
        <v>425</v>
      </c>
      <c r="C156" s="340" t="str">
        <f>Market_currency</f>
        <v>HKD</v>
      </c>
      <c r="D156" s="340" t="str">
        <f>IF($D$11="","",D$13)</f>
        <v/>
      </c>
    </row>
    <row r="157" spans="1:6">
      <c r="B157" s="238" t="s">
        <v>263</v>
      </c>
      <c r="C157" s="92">
        <f>Scenarios!F99</f>
        <v>0.20616775897983042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711319</v>
      </c>
      <c r="D22" s="181">
        <v>-324183</v>
      </c>
      <c r="E22" s="181">
        <v>1859628</v>
      </c>
      <c r="F22" s="181">
        <v>-731240</v>
      </c>
      <c r="G22" s="181">
        <v>2099875</v>
      </c>
      <c r="H22" s="181">
        <v>201823</v>
      </c>
      <c r="I22" s="181">
        <v>-991306</v>
      </c>
      <c r="J22" s="181"/>
      <c r="K22" s="181"/>
      <c r="L22" s="181"/>
      <c r="M22" s="181"/>
    </row>
    <row r="23" spans="2:13">
      <c r="B23" s="27" t="s">
        <v>381</v>
      </c>
      <c r="C23" s="181">
        <v>-12356</v>
      </c>
      <c r="D23" s="181">
        <v>-155180</v>
      </c>
      <c r="E23" s="181">
        <v>-274578</v>
      </c>
      <c r="F23" s="181">
        <v>-312659</v>
      </c>
      <c r="G23" s="181">
        <v>-111290</v>
      </c>
      <c r="H23" s="181">
        <v>-94182</v>
      </c>
      <c r="I23" s="181">
        <v>-122694</v>
      </c>
      <c r="J23" s="181"/>
      <c r="K23" s="181"/>
      <c r="L23" s="181"/>
      <c r="M23" s="181"/>
    </row>
    <row r="24" spans="2:13">
      <c r="B24" s="27" t="s">
        <v>380</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436</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401</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4">
        <v>0.6</v>
      </c>
      <c r="E4" s="25"/>
      <c r="F4" s="4" t="s">
        <v>78</v>
      </c>
      <c r="G4" s="19">
        <v>4898385</v>
      </c>
      <c r="H4" s="294">
        <v>0.9</v>
      </c>
    </row>
    <row r="5" spans="2:8" ht="15" customHeight="1">
      <c r="B5" s="1" t="s">
        <v>33</v>
      </c>
      <c r="C5" s="19">
        <f>171505+458442+21655</f>
        <v>651602</v>
      </c>
      <c r="D5" s="294">
        <v>0.6</v>
      </c>
      <c r="E5" s="25"/>
      <c r="F5" s="1" t="s">
        <v>29</v>
      </c>
      <c r="G5" s="19">
        <v>174028</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1813746</v>
      </c>
      <c r="D9" s="294">
        <v>0.1</v>
      </c>
      <c r="E9" s="25"/>
      <c r="F9" s="4" t="s">
        <v>181</v>
      </c>
      <c r="G9" s="19">
        <v>0</v>
      </c>
      <c r="H9" s="294">
        <v>0.6</v>
      </c>
    </row>
    <row r="10" spans="2:8" ht="15" customHeight="1">
      <c r="B10" s="4" t="s">
        <v>11</v>
      </c>
      <c r="C10" s="19">
        <v>0</v>
      </c>
      <c r="D10" s="294">
        <v>0.9</v>
      </c>
      <c r="H10" s="295"/>
    </row>
    <row r="11" spans="2:8" ht="15" customHeight="1">
      <c r="B11" s="4" t="s">
        <v>12</v>
      </c>
      <c r="C11" s="19">
        <v>24965</v>
      </c>
      <c r="D11" s="294">
        <v>0.05</v>
      </c>
      <c r="H11" s="295"/>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4">
        <v>0.4</v>
      </c>
      <c r="F15" s="4" t="s">
        <v>79</v>
      </c>
      <c r="G15" s="19">
        <v>0</v>
      </c>
      <c r="H15" s="294">
        <v>0.8</v>
      </c>
    </row>
    <row r="16" spans="2:8" ht="15" customHeight="1">
      <c r="B16" s="1" t="s">
        <v>34</v>
      </c>
      <c r="C16" s="19">
        <v>102771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28675+74147</f>
        <v>102822</v>
      </c>
      <c r="D19" s="294">
        <v>0.1</v>
      </c>
      <c r="F19" s="4" t="s">
        <v>183</v>
      </c>
      <c r="G19" s="19">
        <v>238667</v>
      </c>
      <c r="H19" s="294">
        <v>0.1</v>
      </c>
    </row>
    <row r="20" spans="2:8" ht="15" customHeight="1">
      <c r="B20" s="4" t="s">
        <v>18</v>
      </c>
      <c r="C20" s="19">
        <v>0</v>
      </c>
      <c r="D20" s="294">
        <v>0.05</v>
      </c>
      <c r="F20" s="4" t="s">
        <v>180</v>
      </c>
      <c r="G20" s="19">
        <v>0</v>
      </c>
      <c r="H20" s="294">
        <v>0.2</v>
      </c>
    </row>
    <row r="21" spans="2:8" ht="15" customHeight="1">
      <c r="B21" s="4" t="s">
        <v>19</v>
      </c>
      <c r="C21" s="19">
        <v>276368</v>
      </c>
      <c r="D21" s="294">
        <v>0.05</v>
      </c>
      <c r="F21" s="1" t="s">
        <v>181</v>
      </c>
      <c r="G21" s="19">
        <v>0</v>
      </c>
      <c r="H21" s="294">
        <v>0.1</v>
      </c>
    </row>
    <row r="22" spans="2:8" ht="15" customHeight="1">
      <c r="B22" s="4" t="s">
        <v>20</v>
      </c>
      <c r="C22" s="19">
        <v>58201</v>
      </c>
      <c r="D22" s="294">
        <v>0.9</v>
      </c>
      <c r="H22" s="295"/>
    </row>
    <row r="23" spans="2:8" ht="15" customHeight="1">
      <c r="B23" s="4" t="s">
        <v>21</v>
      </c>
      <c r="C23" s="19">
        <f>28964</f>
        <v>28964</v>
      </c>
      <c r="D23" s="294">
        <v>0</v>
      </c>
      <c r="H23" s="295"/>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81">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7834113</v>
      </c>
      <c r="D46" s="188">
        <f>H29</f>
        <v>4628975.25</v>
      </c>
      <c r="F46" s="283"/>
    </row>
    <row r="47" spans="2:8" ht="15" customHeight="1">
      <c r="B47" s="1" t="str">
        <f>"Equity per share ("&amp;Market_currency&amp;")"</f>
        <v>Equity per share (HKD)</v>
      </c>
      <c r="C47" s="148">
        <f>C46*H1/Common_Shares*Exchange_Rate</f>
        <v>3.4285199276157017</v>
      </c>
      <c r="D47" s="148">
        <f>D46*H1/Common_Shares*Exchange_Rate</f>
        <v>2.0258239687205015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3.4432102574884196</v>
      </c>
      <c r="D50" s="95">
        <f>G31/Normalized_FCF!G8</f>
        <v>3.9539978841756818</v>
      </c>
      <c r="F50" s="283"/>
    </row>
    <row r="51" spans="2:8" ht="15" customHeight="1">
      <c r="B51" s="1" t="s">
        <v>177</v>
      </c>
      <c r="C51" s="202"/>
      <c r="D51" s="92">
        <f>G29/G32</f>
        <v>0.91158954067906739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1.0250318838768991E-2</v>
      </c>
      <c r="D54" s="92">
        <f>Normalized_FCF!G8/G35</f>
        <v>8.9261562605853981E-3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1.1964527413850562E-2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-6.6121078416918412E-5</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5072413</v>
      </c>
      <c r="D66" s="188">
        <f>C66-D75</f>
        <v>4573651.4963457817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5072413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-83489.166666666672</v>
      </c>
      <c r="D73" s="188">
        <f>(Normalized_FCF!C25+Normalized_FCF!C35-Normalized_FCF!C91)/12</f>
        <v>-83126.91727570309</v>
      </c>
      <c r="F73" s="1" t="s">
        <v>359</v>
      </c>
    </row>
    <row r="74" spans="2:6" ht="15" customHeight="1">
      <c r="B74" s="288" t="s">
        <v>329</v>
      </c>
      <c r="C74" s="289">
        <f>-$C$66/C73</f>
        <v>60.75534350764071</v>
      </c>
      <c r="D74" s="289">
        <f>-$C$66/D73</f>
        <v>61.020102347553312</v>
      </c>
      <c r="F74" s="283" t="s">
        <v>327</v>
      </c>
    </row>
    <row r="75" spans="2:6" ht="15" customHeight="1">
      <c r="B75" s="80" t="s">
        <v>328</v>
      </c>
      <c r="C75" s="293"/>
      <c r="D75" s="292">
        <f>MAX(-D73*D76,G5)</f>
        <v>498761.50365421851</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238667</v>
      </c>
      <c r="D80" s="188">
        <f>G19*H19</f>
        <v>23866.7</v>
      </c>
      <c r="F80" s="283"/>
    </row>
    <row r="81" spans="2:8" ht="15" customHeight="1">
      <c r="B81" s="105" t="s">
        <v>181</v>
      </c>
      <c r="C81" s="20">
        <f>G9+G21</f>
        <v>0</v>
      </c>
      <c r="D81" s="188">
        <f>G9*H9+G21*H21</f>
        <v>0</v>
      </c>
      <c r="F81" s="283"/>
    </row>
    <row r="82" spans="2:8" ht="15" customHeight="1">
      <c r="B82" s="80" t="s">
        <v>190</v>
      </c>
      <c r="C82" s="81">
        <f>SUM(C79:C81)</f>
        <v>238667</v>
      </c>
      <c r="D82" s="81">
        <f>SUM(D79:D81)</f>
        <v>23866.7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-115864</v>
      </c>
      <c r="D86" s="248">
        <f>C86*scaling_factor/Common_Shares</f>
        <v>-5.0706701944848852E-2</v>
      </c>
      <c r="E86" s="269" t="str">
        <f>Market_currency</f>
        <v>HKD</v>
      </c>
    </row>
    <row r="87" spans="2:8" ht="15" customHeight="1">
      <c r="B87" s="267" t="s">
        <v>294</v>
      </c>
      <c r="C87" s="188">
        <f>Valuation_Model!C8*Exchange_Rate</f>
        <v>4573651.4963457817</v>
      </c>
      <c r="D87" s="248">
        <f>C87*scaling_factor/Common_Shares</f>
        <v>2.0016120902507897</v>
      </c>
      <c r="E87" s="269" t="str">
        <f>Market_currency</f>
        <v>HKD</v>
      </c>
    </row>
    <row r="88" spans="2:8" ht="15" customHeight="1">
      <c r="B88" s="268" t="s">
        <v>190</v>
      </c>
      <c r="C88" s="188">
        <f>Valuation_Model!C9*Exchange_Rate</f>
        <v>23866.7</v>
      </c>
      <c r="D88" s="248">
        <f>C88*scaling_factor/Common_Shares</f>
        <v>1.0445018671089587E-2</v>
      </c>
      <c r="E88" s="269" t="str">
        <f>Market_currency</f>
        <v>HKD</v>
      </c>
    </row>
    <row r="89" spans="2:8" ht="15" customHeight="1">
      <c r="B89" s="80" t="s">
        <v>298</v>
      </c>
      <c r="C89" s="187">
        <f>SUM(C86:C88)</f>
        <v>4481654.1963457819</v>
      </c>
      <c r="D89" s="271">
        <f>SUM(D86:D88)</f>
        <v>1.9613504069770304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1031173</v>
      </c>
      <c r="D4" s="57"/>
      <c r="E4" s="300"/>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302"/>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302"/>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302"/>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8"/>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302"/>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302"/>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302"/>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10"/>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9"/>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-295465.98495177622</v>
      </c>
      <c r="D23" s="58"/>
      <c r="E23" s="301"/>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9"/>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7"/>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AVERAGE(G28:I28)</f>
        <v>0.28653386478483844</v>
      </c>
      <c r="D28" s="26"/>
      <c r="E28" s="300" t="s">
        <v>341</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300" t="s">
        <v>341</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302"/>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-217895.5</v>
      </c>
      <c r="E33" s="300" t="s">
        <v>341</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300" t="s">
        <v>341</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301"/>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0.21130838375325964</v>
      </c>
      <c r="D38" s="27"/>
      <c r="E38" s="299"/>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9"/>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302"/>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-11410</v>
      </c>
      <c r="E47" s="302"/>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353</v>
      </c>
      <c r="C48" s="191">
        <f>BS!D75*C53</f>
        <v>6970.1947987154417</v>
      </c>
      <c r="E48" s="302"/>
      <c r="G48" s="328">
        <f>IFERROR(IF(G$4="","",($C$48/$C$49)*G49),0)</f>
        <v>6970.1947987154417</v>
      </c>
      <c r="H48" s="328">
        <f t="shared" ref="H48:Q48" si="19">IFERROR(IF(H$4="","",($C$48/$C$49)*H49),0)</f>
        <v>12407.845461936662</v>
      </c>
      <c r="I48" s="328">
        <f t="shared" si="19"/>
        <v>0</v>
      </c>
      <c r="J48" s="328">
        <f t="shared" si="19"/>
        <v>0</v>
      </c>
      <c r="K48" s="328">
        <f t="shared" si="19"/>
        <v>0</v>
      </c>
      <c r="L48" s="328">
        <f t="shared" si="19"/>
        <v>0</v>
      </c>
      <c r="M48" s="328">
        <f t="shared" si="19"/>
        <v>0</v>
      </c>
      <c r="N48" s="328" t="str">
        <f t="shared" si="19"/>
        <v/>
      </c>
      <c r="O48" s="328" t="str">
        <f t="shared" si="19"/>
        <v/>
      </c>
      <c r="P48" s="328" t="str">
        <f t="shared" si="19"/>
        <v/>
      </c>
      <c r="Q48" s="328" t="str">
        <f t="shared" si="19"/>
        <v/>
      </c>
    </row>
    <row r="49" spans="1:17" ht="15.75" customHeight="1">
      <c r="A49" s="10"/>
      <c r="B49" s="323" t="s">
        <v>350</v>
      </c>
      <c r="C49" s="324">
        <f>BS!$C$66*C53</f>
        <v>70887</v>
      </c>
      <c r="D49" s="325"/>
      <c r="E49" s="326"/>
      <c r="F49" s="325"/>
      <c r="G49" s="324">
        <f>Data!C52</f>
        <v>70887</v>
      </c>
      <c r="H49" s="324">
        <f>Data!D52</f>
        <v>126188</v>
      </c>
      <c r="I49" s="324">
        <f>Data!E52</f>
        <v>0</v>
      </c>
      <c r="J49" s="324">
        <f>Data!F52</f>
        <v>0</v>
      </c>
      <c r="K49" s="324">
        <f>Data!G52</f>
        <v>0</v>
      </c>
      <c r="L49" s="324">
        <f>Data!H52</f>
        <v>0</v>
      </c>
      <c r="M49" s="324">
        <f>Data!I52</f>
        <v>0</v>
      </c>
      <c r="N49" s="324" t="str">
        <f>Data!J52</f>
        <v/>
      </c>
      <c r="O49" s="324" t="str">
        <f>Data!K52</f>
        <v/>
      </c>
      <c r="P49" s="324" t="str">
        <f>Data!L52</f>
        <v/>
      </c>
      <c r="Q49" s="324" t="str">
        <f>Data!M52</f>
        <v/>
      </c>
    </row>
    <row r="50" spans="1:17" ht="15.75" customHeight="1">
      <c r="A50" s="10"/>
      <c r="B50" s="70" t="s">
        <v>68</v>
      </c>
      <c r="C50" s="184">
        <f>C47+C48</f>
        <v>-4439.8052012845583</v>
      </c>
      <c r="E50" s="302"/>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1.3975005584127318E-2</v>
      </c>
      <c r="E53" s="299" t="s">
        <v>343</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9" t="s">
        <v>344</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302"/>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0.43478253145537848</v>
      </c>
      <c r="D73" s="27"/>
      <c r="E73" s="299"/>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9"/>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9"/>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9"/>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9"/>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9"/>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9"/>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9"/>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9"/>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9"/>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8593904</v>
      </c>
      <c r="D101" s="26"/>
      <c r="E101" s="303"/>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4"/>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303"/>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303"/>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303"/>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-0.85134784164611066</v>
      </c>
      <c r="H113" s="334">
        <f>IF(H$4="","",Data!D$22/Data!D15)</f>
        <v>0.7312981335354547</v>
      </c>
      <c r="I113" s="334">
        <f>IF(I$4="","",Data!E$22/Data!E15)</f>
        <v>-85.089361702127661</v>
      </c>
      <c r="J113" s="334">
        <f>IF(J$4="","",Data!F$22/Data!F15)</f>
        <v>5.6289616404015405E-2</v>
      </c>
      <c r="K113" s="334">
        <f>IF(K$4="","",Data!G$22/Data!G15)</f>
        <v>-2.9349096133795118</v>
      </c>
      <c r="L113" s="334">
        <f>IF(L$4="","",Data!H$22/Data!H15)</f>
        <v>-0.18653220872220588</v>
      </c>
      <c r="M113" s="334">
        <f>IF(M$4="","",Data!I$22/Data!I15)</f>
        <v>0.70290185456337462</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-10.58277261787565</v>
      </c>
      <c r="H114" s="334">
        <f>IF(H$4="","",Data!D$22/H19)</f>
        <v>1.6195290512667515</v>
      </c>
      <c r="I114" s="334">
        <f>IF(I$4="","",Data!E$22/I19)</f>
        <v>-41.491956536290409</v>
      </c>
      <c r="J114" s="334">
        <f>IF(J$4="","",Data!F$22/J19)</f>
        <v>-8.9418785233011722</v>
      </c>
      <c r="K114" s="334">
        <f>IF(K$4="","",Data!G$22/K19)</f>
        <v>14.244552830086286</v>
      </c>
      <c r="L114" s="334">
        <f>IF(L$4="","",Data!H$22/L19)</f>
        <v>4.5961831887226436</v>
      </c>
      <c r="M114" s="334">
        <f>IF(M$4="","",Data!I$22/M19)</f>
        <v>49.081843838193791</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302"/>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302"/>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6"/>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5"/>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9"/>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8.265220900462859E-3</v>
      </c>
      <c r="D125" s="27"/>
      <c r="E125" s="299"/>
      <c r="F125" s="27"/>
      <c r="G125" s="77">
        <f t="shared" ref="G125" si="50">IF(G$4="","",G124/Market_Price)</f>
        <v>-2.535851406660047E-2</v>
      </c>
      <c r="H125" s="77">
        <f t="shared" ref="H125" si="51">IF(H$4="","",H124/Market_Price)</f>
        <v>-7.5519716569588835E-2</v>
      </c>
      <c r="I125" s="77">
        <f t="shared" ref="I125" si="52">IF(I$4="","",I124/Market_Price)</f>
        <v>-1.6909120521102779E-2</v>
      </c>
      <c r="J125" s="77">
        <f t="shared" ref="J125" si="53">IF(J$4="","",J124/Market_Price)</f>
        <v>3.0852476602651148E-2</v>
      </c>
      <c r="K125" s="77">
        <f t="shared" ref="K125" si="54">IF(K$4="","",K124/Market_Price)</f>
        <v>5.5616477626428233E-2</v>
      </c>
      <c r="L125" s="77">
        <f t="shared" ref="L125" si="55">IF(L$4="","",L124/Market_Price)</f>
        <v>1.6566554166807471E-2</v>
      </c>
      <c r="M125" s="77">
        <f t="shared" ref="M125" si="56">IF(M$4="","",M124/Market_Price)</f>
        <v>-7.6198377287470228E-3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-0.31522178734269651</v>
      </c>
      <c r="H126" s="23">
        <f>IF(H$4="","",(Data!D47*$C$3)/(Market_Price*Common_Shares))</f>
        <v>-0.16724557238590373</v>
      </c>
      <c r="I126" s="23">
        <f>IF(I$4="","",(Data!E47*$C$3)/(Market_Price*Common_Shares))</f>
        <v>-8.2453608734844863E-3</v>
      </c>
      <c r="J126" s="23">
        <f>IF(J$4="","",(Data!F47*$C$3)/(Market_Price*Common_Shares))</f>
        <v>-4.901065517018135</v>
      </c>
      <c r="K126" s="23">
        <f>IF(K$4="","",(Data!G47*$C$3)/(Market_Price*Common_Shares))</f>
        <v>-0.2699339871188482</v>
      </c>
      <c r="L126" s="23">
        <f>IF(L$4="","",(Data!H47*$C$3)/(Market_Price*Common_Shares))</f>
        <v>-0.4082025205091514</v>
      </c>
      <c r="M126" s="23">
        <f>IF(M$4="","",(Data!I47*$C$3)/(Market_Price*Common_Shares))</f>
        <v>-0.53207383512603701</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273845.50772136019</v>
      </c>
      <c r="D6" t="str">
        <f>Reporting_currency</f>
        <v>HKD</v>
      </c>
      <c r="E6" s="351" t="s">
        <v>250</v>
      </c>
      <c r="F6" s="351"/>
      <c r="H6" s="121"/>
    </row>
    <row r="7" spans="2:8">
      <c r="B7" s="149" t="s">
        <v>225</v>
      </c>
      <c r="C7" s="226">
        <f>BS!G31</f>
        <v>115864</v>
      </c>
      <c r="D7" t="str">
        <f>Reporting_currency</f>
        <v>HKD</v>
      </c>
      <c r="E7" s="351"/>
      <c r="F7" s="351"/>
      <c r="H7" s="121"/>
    </row>
    <row r="8" spans="2:8">
      <c r="B8" s="149" t="s">
        <v>226</v>
      </c>
      <c r="C8" s="201">
        <f>BS!D66</f>
        <v>4573651.4963457817</v>
      </c>
      <c r="D8" t="str">
        <f>Reporting_currency</f>
        <v>HKD</v>
      </c>
      <c r="E8" s="351"/>
      <c r="F8" s="351"/>
      <c r="H8" s="121"/>
    </row>
    <row r="9" spans="2:8">
      <c r="B9" s="227" t="s">
        <v>191</v>
      </c>
      <c r="C9" s="229">
        <f>BS!H42</f>
        <v>23866.7</v>
      </c>
      <c r="D9" t="str">
        <f>Reporting_currency</f>
        <v>HKD</v>
      </c>
      <c r="E9" s="351"/>
      <c r="F9" s="351"/>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IF($C$17&lt;B21,0,Valuation_Model!$C$16)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IF($C$17&lt;B22,0,Valuation_Model!$C$16)</f>
        <v>4.6574870890079501E-2</v>
      </c>
      <c r="E22" s="125">
        <f t="shared" si="0"/>
        <v>0.85733882030178321</v>
      </c>
      <c r="F22" s="126">
        <f t="shared" si="1"/>
        <v>20572.577285439398</v>
      </c>
      <c r="H22" s="121"/>
    </row>
    <row r="23" spans="2:8">
      <c r="B23" s="123">
        <v>3</v>
      </c>
      <c r="C23" s="124">
        <f t="shared" si="2"/>
        <v>25113.457954471374</v>
      </c>
      <c r="D23" s="139">
        <f>IF($C$17&lt;B23,0,Valuation_Model!$C$16)</f>
        <v>4.6574870890079501E-2</v>
      </c>
      <c r="E23" s="125">
        <f t="shared" si="0"/>
        <v>0.79383224102016958</v>
      </c>
      <c r="F23" s="126">
        <f t="shared" si="1"/>
        <v>19935.872607763817</v>
      </c>
      <c r="H23" s="121"/>
    </row>
    <row r="24" spans="2:8">
      <c r="B24" s="123">
        <v>4</v>
      </c>
      <c r="C24" s="124">
        <f t="shared" si="2"/>
        <v>26283.11401630432</v>
      </c>
      <c r="D24" s="139">
        <f>IF($C$17&lt;B24,0,Valuation_Model!$C$16)</f>
        <v>4.6574870890079501E-2</v>
      </c>
      <c r="E24" s="125">
        <f t="shared" si="0"/>
        <v>0.73502985279645328</v>
      </c>
      <c r="F24" s="126">
        <f t="shared" si="1"/>
        <v>19318.873426436563</v>
      </c>
      <c r="H24" s="121"/>
    </row>
    <row r="25" spans="2:8">
      <c r="B25" s="123">
        <v>5</v>
      </c>
      <c r="C25" s="124">
        <f t="shared" si="2"/>
        <v>27507.246658202934</v>
      </c>
      <c r="D25" s="139">
        <f>IF($C$17&lt;B25,0,Valuation_Model!$C$16)</f>
        <v>4.6574870890079501E-2</v>
      </c>
      <c r="E25" s="125">
        <f t="shared" si="0"/>
        <v>0.68058319703375303</v>
      </c>
      <c r="F25" s="126">
        <f t="shared" si="1"/>
        <v>18720.969872235772</v>
      </c>
      <c r="H25" s="121"/>
    </row>
    <row r="26" spans="2:8">
      <c r="B26" s="123">
        <v>6</v>
      </c>
      <c r="C26" s="124">
        <f t="shared" si="2"/>
        <v>28788.393119850305</v>
      </c>
      <c r="D26" s="139">
        <f>IF($C$17&lt;B26,0,Valuation_Model!$C$16)</f>
        <v>4.6574870890079501E-2</v>
      </c>
      <c r="E26" s="125">
        <f t="shared" si="0"/>
        <v>0.63016962688310452</v>
      </c>
      <c r="F26" s="126">
        <f t="shared" si="1"/>
        <v>18141.570950900201</v>
      </c>
      <c r="H26" s="121"/>
    </row>
    <row r="27" spans="2:8">
      <c r="B27" s="123">
        <v>7</v>
      </c>
      <c r="C27" s="124">
        <f t="shared" si="2"/>
        <v>30129.208812540193</v>
      </c>
      <c r="D27" s="139">
        <f>IF($C$17&lt;B27,0,Valuation_Model!$C$16)</f>
        <v>4.6574870890079501E-2</v>
      </c>
      <c r="E27" s="125">
        <f t="shared" si="0"/>
        <v>0.58349039526213387</v>
      </c>
      <c r="F27" s="126">
        <f t="shared" si="1"/>
        <v>17580.103958964446</v>
      </c>
      <c r="H27" s="121"/>
    </row>
    <row r="28" spans="2:8">
      <c r="B28" s="123">
        <v>8</v>
      </c>
      <c r="C28" s="124">
        <f t="shared" si="2"/>
        <v>31532.472823004497</v>
      </c>
      <c r="D28" s="139">
        <f>IF($C$17&lt;B28,0,Valuation_Model!$C$16)</f>
        <v>4.6574870890079501E-2</v>
      </c>
      <c r="E28" s="125">
        <f t="shared" si="0"/>
        <v>0.54026888450197574</v>
      </c>
      <c r="F28" s="126">
        <f t="shared" si="1"/>
        <v>17036.013917673507</v>
      </c>
      <c r="H28" s="121"/>
    </row>
    <row r="29" spans="2:8">
      <c r="B29" s="123">
        <v>9</v>
      </c>
      <c r="C29" s="124">
        <f t="shared" si="2"/>
        <v>33001.093673580872</v>
      </c>
      <c r="D29" s="139">
        <f>IF($C$17&lt;B29,0,Valuation_Model!$C$16)</f>
        <v>4.6574870890079501E-2</v>
      </c>
      <c r="E29" s="125">
        <f t="shared" si="0"/>
        <v>0.50024896713145905</v>
      </c>
      <c r="F29" s="126">
        <f t="shared" si="1"/>
        <v>16508.76302441736</v>
      </c>
      <c r="H29" s="121"/>
    </row>
    <row r="30" spans="2:8">
      <c r="B30" s="123">
        <v>10</v>
      </c>
      <c r="C30" s="124">
        <f t="shared" si="2"/>
        <v>34538.115350659325</v>
      </c>
      <c r="D30" s="139">
        <f>IF($C$17&lt;B30,0,Valuation_Model!$C$16)</f>
        <v>4.6574870890079501E-2</v>
      </c>
      <c r="E30" s="125">
        <f t="shared" si="0"/>
        <v>0.46319348808468425</v>
      </c>
      <c r="F30" s="126">
        <f t="shared" si="1"/>
        <v>15997.83012114307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C83" sqref="C8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-1.1599999999999999</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v>
      </c>
      <c r="E6" s="100" t="s">
        <v>282</v>
      </c>
      <c r="F6" s="100"/>
      <c r="H6" s="276">
        <v>3</v>
      </c>
      <c r="I6" s="264">
        <f t="shared" si="0"/>
        <v>2.1040668676405563</v>
      </c>
    </row>
    <row r="7" spans="2:9" ht="12.75" customHeight="1">
      <c r="B7" s="100" t="s">
        <v>276</v>
      </c>
      <c r="C7" s="115">
        <f>Normalized_FCF!G8</f>
        <v>29303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3"/>
      <c r="H7" s="276">
        <v>4</v>
      </c>
      <c r="I7" s="264" t="str">
        <f t="shared" si="0"/>
        <v/>
      </c>
    </row>
    <row r="8" spans="2:9">
      <c r="B8" s="100" t="s">
        <v>66</v>
      </c>
      <c r="C8" s="115">
        <f>Normalized_FCF!G19</f>
        <v>-67214.805201284558</v>
      </c>
      <c r="D8" t="str">
        <f>Reporting_currency</f>
        <v>HKD</v>
      </c>
      <c r="E8" s="353"/>
      <c r="F8" s="353"/>
      <c r="H8" s="276">
        <v>5</v>
      </c>
      <c r="I8" s="264" t="str">
        <f t="shared" si="0"/>
        <v/>
      </c>
    </row>
    <row r="9" spans="2:9">
      <c r="B9" s="100" t="s">
        <v>57</v>
      </c>
      <c r="C9" s="201">
        <f>Normalized_FCF!C19</f>
        <v>21907.640617708814</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-4.8760226650597205E-2</v>
      </c>
      <c r="D12" s="159"/>
      <c r="E12" s="353"/>
      <c r="F12" s="353"/>
      <c r="H12" s="276">
        <v>9</v>
      </c>
      <c r="I12" s="264" t="str">
        <f t="shared" si="0"/>
        <v/>
      </c>
    </row>
    <row r="13" spans="2:9">
      <c r="B13" s="149" t="s">
        <v>153</v>
      </c>
      <c r="C13" s="159">
        <f ca="1">(Normalized_FCF!G8/OFFSET(Normalized_FCF!G8, 0, $C$4))^(1/$C$4) - 1</f>
        <v>-0.53605739463275559</v>
      </c>
      <c r="E13" s="353"/>
      <c r="F13" s="353"/>
      <c r="H13" s="276">
        <v>10</v>
      </c>
      <c r="I13" s="264" t="str">
        <f t="shared" si="0"/>
        <v/>
      </c>
    </row>
    <row r="14" spans="2:9">
      <c r="B14" s="100" t="s">
        <v>66</v>
      </c>
      <c r="C14" s="159">
        <f ca="1">(Normalized_FCF!G19/OFFSET(Normalized_FCF!G19, 0, $C$4))^(1/$C$4) - 1</f>
        <v>-1.9367231569408296</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1.1599999999999999</v>
      </c>
      <c r="D21" t="str">
        <f>Market_currency</f>
        <v>HKD</v>
      </c>
      <c r="E21" s="354"/>
      <c r="F21" s="354"/>
    </row>
    <row r="22" spans="2:6">
      <c r="B22" s="100" t="s">
        <v>281</v>
      </c>
      <c r="C22" s="161">
        <f>Valuation_Model!C12</f>
        <v>2.0811961100337415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2.0974461134820221</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2.0811961100337415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0.08</v>
      </c>
      <c r="D38" s="165"/>
      <c r="E38" s="352"/>
      <c r="F38" s="352"/>
    </row>
    <row r="39" spans="2:6">
      <c r="B39" s="100" t="s">
        <v>114</v>
      </c>
      <c r="C39" s="161">
        <f>Valuation_Model!E75</f>
        <v>2.1171796585916631</v>
      </c>
      <c r="D39" t="str">
        <f>Market_currency</f>
        <v>HKD</v>
      </c>
      <c r="E39" s="352"/>
      <c r="F39" s="352"/>
    </row>
    <row r="40" spans="2:6">
      <c r="B40" s="100" t="s">
        <v>148</v>
      </c>
      <c r="C40" s="168">
        <f>1-C28-C34</f>
        <v>0.3</v>
      </c>
      <c r="D40" s="166"/>
      <c r="E40" s="352"/>
      <c r="F40" s="352"/>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-0.15</v>
      </c>
      <c r="D50" s="165"/>
      <c r="E50" s="352"/>
      <c r="F50" s="352"/>
    </row>
    <row r="51" spans="2:6">
      <c r="B51" s="100" t="s">
        <v>114</v>
      </c>
      <c r="C51" s="161">
        <f>Valuation_Model!E78</f>
        <v>2.0279206255855997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0.15</v>
      </c>
      <c r="D56" s="165"/>
      <c r="E56" s="352"/>
      <c r="F56" s="352"/>
    </row>
    <row r="57" spans="2:6">
      <c r="B57" s="100" t="s">
        <v>114</v>
      </c>
      <c r="C57" s="161">
        <f>Valuation_Model!E74</f>
        <v>2.2513255533708758</v>
      </c>
      <c r="D57" t="str">
        <f>Market_currency</f>
        <v>HKD</v>
      </c>
      <c r="E57" s="352"/>
      <c r="F57" s="352"/>
    </row>
    <row r="58" spans="2:6">
      <c r="B58" s="100" t="s">
        <v>148</v>
      </c>
      <c r="C58" s="166">
        <v>0.05</v>
      </c>
      <c r="D58" s="166"/>
      <c r="E58" s="352"/>
      <c r="F58" s="352"/>
    </row>
    <row r="60" spans="2:6" ht="13.15">
      <c r="B60" s="100" t="s">
        <v>121</v>
      </c>
      <c r="C60" s="155">
        <f>C51*C52+C57*C58+C42*(1-C52-C58)</f>
        <v>2.1040668676405563</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2.1004294432871107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0.93217113825685383</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Thesis!C132</f>
        <v>0.3</v>
      </c>
    </row>
    <row r="81" spans="2:8">
      <c r="B81" s="100" t="s">
        <v>122</v>
      </c>
      <c r="C81" s="117">
        <f>PV(C80, C76, -C77, 0)</f>
        <v>0</v>
      </c>
      <c r="D81" s="117"/>
      <c r="E81" s="100"/>
      <c r="F81" s="100"/>
    </row>
    <row r="82" spans="2:8">
      <c r="B82" s="100" t="s">
        <v>123</v>
      </c>
      <c r="C82" s="117">
        <f>C60/(1+C80)^C76</f>
        <v>0.9576999852710768</v>
      </c>
      <c r="D82" s="117"/>
    </row>
    <row r="83" spans="2:8" ht="13.15">
      <c r="B83" s="111" t="s">
        <v>102</v>
      </c>
      <c r="C83" s="112">
        <f>C81+C82</f>
        <v>0.9576999852710768</v>
      </c>
      <c r="D83" t="str">
        <f>Market_currency</f>
        <v>HKD</v>
      </c>
      <c r="E83" s="147" t="s">
        <v>127</v>
      </c>
      <c r="F83" s="329">
        <f>(1-C83/C60)</f>
        <v>0.54483386436049175</v>
      </c>
    </row>
    <row r="84" spans="2:8">
      <c r="E84" s="121"/>
    </row>
    <row r="85" spans="2:8" ht="13.15">
      <c r="B85" s="109" t="s">
        <v>309</v>
      </c>
    </row>
    <row r="86" spans="2:8">
      <c r="B86" s="149" t="s">
        <v>307</v>
      </c>
      <c r="C86" s="266">
        <f>Market_Price</f>
        <v>1.1599999999999999</v>
      </c>
      <c r="D86" t="str">
        <f>Market_currency</f>
        <v>HKD</v>
      </c>
    </row>
    <row r="87" spans="2:8" ht="13.15">
      <c r="B87" s="100" t="s">
        <v>305</v>
      </c>
      <c r="C87" s="265">
        <f ca="1">IRR(OFFSET($I$3, 0, 0, $C$76 + 1, 1))</f>
        <v>0.21955254305698646</v>
      </c>
    </row>
    <row r="88" spans="2:8">
      <c r="B88" s="100"/>
    </row>
    <row r="89" spans="2:8" ht="13.15">
      <c r="B89" s="109" t="s">
        <v>422</v>
      </c>
    </row>
    <row r="90" spans="2:8">
      <c r="B90" s="149" t="s">
        <v>423</v>
      </c>
      <c r="C90" s="168">
        <f>Thesis!E24</f>
        <v>0.2</v>
      </c>
    </row>
    <row r="91" spans="2:8">
      <c r="B91" s="100" t="s">
        <v>122</v>
      </c>
      <c r="C91" s="117">
        <f>PV(C90, C76, -C77, 0)</f>
        <v>0</v>
      </c>
      <c r="D91" s="117"/>
      <c r="E91" s="100"/>
      <c r="F91" s="100"/>
    </row>
    <row r="92" spans="2:8">
      <c r="B92" s="100" t="s">
        <v>123</v>
      </c>
      <c r="C92" s="117">
        <f>C60/(1+C90)^C76</f>
        <v>1.2176312891438406</v>
      </c>
      <c r="D92" s="117"/>
    </row>
    <row r="93" spans="2:8" ht="13.15">
      <c r="B93" s="111" t="s">
        <v>102</v>
      </c>
      <c r="C93" s="112">
        <f>C91+C92</f>
        <v>1.2176312891438406</v>
      </c>
      <c r="D93" t="str">
        <f>Market_currency</f>
        <v>HKD</v>
      </c>
      <c r="E93" s="147" t="s">
        <v>127</v>
      </c>
      <c r="F93" s="329">
        <f>(1-C93/C60)</f>
        <v>0.42129629629629628</v>
      </c>
    </row>
    <row r="95" spans="2:8" ht="13.15">
      <c r="B95" s="109" t="s">
        <v>405</v>
      </c>
      <c r="G95" s="2"/>
      <c r="H95" s="316"/>
    </row>
    <row r="96" spans="2:8">
      <c r="B96" s="149" t="s">
        <v>411</v>
      </c>
      <c r="C96" s="135">
        <f>Thesis!C72</f>
        <v>0.08</v>
      </c>
      <c r="G96" s="2"/>
      <c r="H96" s="316"/>
    </row>
    <row r="97" spans="2:8">
      <c r="B97" s="100" t="s">
        <v>122</v>
      </c>
      <c r="C97" s="117">
        <f>PV(C96, C76, -C77, 0)</f>
        <v>0</v>
      </c>
      <c r="D97" s="117"/>
      <c r="G97" s="2"/>
      <c r="H97" s="316"/>
    </row>
    <row r="98" spans="2:8">
      <c r="B98" s="100" t="s">
        <v>123</v>
      </c>
      <c r="C98" s="117">
        <f>C60/(1+C96)^C76</f>
        <v>1.6702761167953912</v>
      </c>
      <c r="D98" s="117"/>
      <c r="G98" s="2"/>
      <c r="H98" s="316"/>
    </row>
    <row r="99" spans="2:8" ht="13.15">
      <c r="B99" s="111" t="s">
        <v>406</v>
      </c>
      <c r="C99" s="112">
        <f>C97+C98</f>
        <v>1.6702761167953912</v>
      </c>
      <c r="D99" t="s">
        <v>404</v>
      </c>
      <c r="E99" s="147" t="s">
        <v>127</v>
      </c>
      <c r="F99" s="329">
        <f>(1-C99/C60)</f>
        <v>0.20616775897983042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2025-05-11T07:45:12Z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