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95D3786-B703-4CEA-A3B1-04E12DF03748}" xr6:coauthVersionLast="47" xr6:coauthVersionMax="47" xr10:uidLastSave="{00000000-0000-0000-0000-000000000000}"/>
  <bookViews>
    <workbookView xWindow="2205" yWindow="2205"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3" i="2"/>
  <c r="C90" i="2"/>
  <c r="C83" i="2"/>
  <c r="C78" i="2"/>
  <c r="C66" i="2"/>
  <c r="C67" i="2"/>
  <c r="C68" i="2"/>
  <c r="C53" i="2"/>
  <c r="C54" i="2"/>
  <c r="C33" i="2"/>
  <c r="C34" i="2"/>
  <c r="C28" i="2"/>
  <c r="C29" i="2"/>
  <c r="C4" i="2"/>
  <c r="C19" i="3"/>
  <c r="C23" i="3"/>
  <c r="C5" i="3"/>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J94" i="2"/>
  <c r="K94" i="2"/>
  <c r="L94" i="2"/>
  <c r="M94" i="2"/>
  <c r="H94" i="2"/>
  <c r="C147" i="6"/>
  <c r="C147" i="12"/>
  <c r="C163" i="6"/>
  <c r="C163" i="12"/>
  <c r="C171" i="6"/>
  <c r="C171" i="12"/>
  <c r="C155" i="6"/>
  <c r="C155" i="1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165" i="12"/>
  <c r="C31" i="12" s="1"/>
  <c r="F83" i="9"/>
  <c r="C149" i="12"/>
  <c r="C29" i="12" s="1"/>
  <c r="C149" i="6"/>
  <c r="C29" i="6" s="1"/>
  <c r="C173" i="6"/>
  <c r="C32" i="6" s="1"/>
  <c r="C173" i="12"/>
  <c r="C32" i="12" s="1"/>
  <c r="F99" i="9"/>
  <c r="D165" i="6"/>
  <c r="D31" i="6" s="1"/>
  <c r="C31" i="6"/>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J13" i="2"/>
  <c r="J121" i="2" s="1"/>
  <c r="J117" i="2" s="1"/>
  <c r="M76" i="2"/>
  <c r="L13" i="2"/>
  <c r="L121" i="2" s="1"/>
  <c r="K13" i="2"/>
  <c r="N13" i="2"/>
  <c r="N98" i="2" s="1"/>
  <c r="M13" i="2"/>
  <c r="M121" i="2" s="1"/>
  <c r="M117" i="2" s="1"/>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<sst xmlns="http://schemas.openxmlformats.org/spreadsheetml/2006/main" count="836" uniqueCount="560">
  <si>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</si>
  <si>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</si>
  <si>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</si>
  <si>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</si>
  <si>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</si>
  <si>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</si>
  <si>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</si>
  <si>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</si>
  <si>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</si>
  <si>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</si>
  <si>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</si>
  <si>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</si>
  <si>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</si>
  <si>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</si>
  <si>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</si>
  <si>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</si>
  <si>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</si>
  <si>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</si>
  <si>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</si>
  <si>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</si>
  <si>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</si>
  <si>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</si>
  <si>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</si>
  <si>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</si>
  <si>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</si>
  <si>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</si>
  <si>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</si>
  <si>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</si>
  <si>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</si>
  <si>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</si>
  <si>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</si>
  <si>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</si>
  <si>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</si>
  <si>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</si>
  <si>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</si>
  <si>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</si>
  <si>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</si>
  <si>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</si>
  <si>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</si>
  <si>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</si>
  <si>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</si>
  <si>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</si>
  <si>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</si>
  <si>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</si>
  <si>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</si>
  <si>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</si>
  <si>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</si>
  <si>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</si>
  <si>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</si>
  <si>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</si>
  <si>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</si>
  <si>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</si>
  <si>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</si>
  <si>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</si>
  <si>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</si>
  <si>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</si>
  <si>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</si>
  <si>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</si>
  <si>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</si>
  <si>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</si>
  <si>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</si>
  <si>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</si>
  <si>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</si>
  <si>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</si>
  <si>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</si>
  <si>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</si>
  <si>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</si>
  <si>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</si>
  <si>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</si>
  <si>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</si>
  <si>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</si>
  <si>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</si>
  <si>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</si>
  <si>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</si>
  <si>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</si>
  <si>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</si>
  <si>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</si>
  <si>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</si>
  <si>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</si>
  <si>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</si>
  <si>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</si>
  <si>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</si>
  <si>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</si>
  <si>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</si>
  <si>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</si>
  <si>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</si>
  <si>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</si>
  <si>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</si>
  <si>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</si>
  <si>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</si>
  <si>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</si>
  <si>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</si>
  <si>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</si>
  <si>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</si>
  <si>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</si>
  <si>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</si>
  <si>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</si>
  <si>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</si>
  <si>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</si>
  <si>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</si>
  <si>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</si>
  <si>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</si>
  <si>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</si>
  <si>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</si>
  <si>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</si>
  <si>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</si>
  <si>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</si>
  <si>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</si>
  <si>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</si>
  <si>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</si>
  <si>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</si>
  <si>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</si>
  <si>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</si>
  <si>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</si>
  <si>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</si>
  <si>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</si>
  <si>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</si>
  <si>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</si>
  <si>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</si>
  <si>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</si>
  <si>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</si>
  <si>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</si>
  <si>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</si>
  <si>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</si>
  <si>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</si>
  <si>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</si>
  <si>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</si>
  <si>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</si>
  <si>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</si>
  <si>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</si>
  <si>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</si>
  <si>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</si>
  <si>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</si>
  <si>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</si>
  <si>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</si>
  <si>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</si>
  <si>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</si>
  <si>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</si>
  <si>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</si>
  <si>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</si>
  <si>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</si>
  <si>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</si>
  <si>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</si>
  <si>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</si>
  <si>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</si>
  <si>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</si>
  <si>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</si>
  <si>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</si>
  <si>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</si>
  <si>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</si>
  <si>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</si>
  <si>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</si>
  <si>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</si>
  <si>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</si>
  <si>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</si>
  <si>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</si>
  <si>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</si>
  <si>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</si>
  <si>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</si>
  <si>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</si>
  <si>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</si>
  <si>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</si>
  <si>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</si>
  <si>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</si>
  <si>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</si>
  <si>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</si>
  <si>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</si>
  <si>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</si>
  <si>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</si>
  <si>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</si>
  <si>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</si>
  <si>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</si>
  <si>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</si>
  <si>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</si>
  <si>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</si>
  <si>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</si>
  <si>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</si>
  <si>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</si>
  <si>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</si>
  <si>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</si>
  <si>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</si>
  <si>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</si>
  <si>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</si>
  <si>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</si>
  <si>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</si>
  <si>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</si>
  <si>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</si>
  <si>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</si>
  <si>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</si>
  <si>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</si>
  <si>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</si>
  <si>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</si>
  <si>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</si>
  <si>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</si>
  <si>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</si>
  <si>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</si>
  <si>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</si>
  <si>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</si>
  <si>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</si>
  <si>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</si>
  <si>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</si>
  <si>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</si>
  <si>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</si>
  <si>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</si>
  <si>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</si>
  <si>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</si>
  <si>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</si>
  <si>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</si>
  <si>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</si>
  <si>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</si>
  <si>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</si>
  <si>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</si>
  <si>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</si>
  <si>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</si>
  <si>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</si>
  <si>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</si>
  <si>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</si>
  <si>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</si>
  <si>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</si>
  <si>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</si>
  <si>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</si>
  <si>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</si>
  <si>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</si>
  <si>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</si>
  <si>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</si>
  <si>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</si>
  <si>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</si>
  <si>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</si>
  <si>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</si>
  <si>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</si>
  <si>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</si>
  <si>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</si>
  <si>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</si>
  <si>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</si>
  <si>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</si>
  <si>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</si>
  <si>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</si>
  <si>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</si>
  <si>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</si>
  <si>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</si>
  <si>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</si>
  <si>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</si>
  <si>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</si>
  <si>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</si>
  <si>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</si>
  <si>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</si>
  <si>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</si>
  <si>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</si>
  <si>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</si>
  <si>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</si>
  <si>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</si>
  <si>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</si>
  <si>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</si>
  <si>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</si>
  <si>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</si>
  <si>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</si>
  <si>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</si>
  <si>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</si>
  <si>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</si>
  <si>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</si>
  <si>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</si>
  <si>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</si>
  <si>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</si>
  <si>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</si>
  <si>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</si>
  <si>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</si>
  <si>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</si>
  <si>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</si>
  <si>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</si>
  <si>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</si>
  <si>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</si>
  <si>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</si>
  <si>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</si>
  <si>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</si>
  <si>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</si>
  <si>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</si>
  <si>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</si>
  <si>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</si>
  <si>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</si>
  <si>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</si>
  <si>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</si>
  <si>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</si>
  <si>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</si>
  <si>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</si>
  <si>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</si>
  <si>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</si>
  <si>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</si>
  <si>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</si>
  <si>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</si>
  <si>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</si>
  <si>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</si>
  <si>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</si>
  <si>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</si>
  <si>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</si>
  <si>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</si>
  <si>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</si>
  <si>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</si>
  <si>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</si>
  <si>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</si>
  <si>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</si>
  <si>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</si>
  <si>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</si>
  <si>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</si>
  <si>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</si>
  <si>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</si>
  <si>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</si>
  <si>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</si>
  <si>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</si>
  <si>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</si>
  <si>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</si>
  <si>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</si>
  <si>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</si>
  <si>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</si>
  <si>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</si>
  <si>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</si>
  <si>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</si>
  <si>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</si>
  <si>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</si>
  <si>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</si>
  <si>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</si>
  <si>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</si>
  <si>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</si>
  <si>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</si>
  <si>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</si>
  <si>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</si>
  <si>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</si>
  <si>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</si>
  <si>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</si>
  <si>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</si>
  <si>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</si>
  <si>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</si>
  <si>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</si>
  <si>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</si>
  <si>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</si>
  <si>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</si>
  <si>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</si>
  <si>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</si>
  <si>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</si>
  <si>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</si>
  <si>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</si>
  <si>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</si>
  <si>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</si>
  <si>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</si>
  <si>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</si>
  <si>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</si>
  <si>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</si>
  <si>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</si>
  <si>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</si>
  <si>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</si>
  <si>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</si>
  <si>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</si>
  <si>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</si>
  <si>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</si>
  <si>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</si>
  <si>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</si>
  <si>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</si>
  <si>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</si>
  <si>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</si>
  <si>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</si>
  <si>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</si>
  <si>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</si>
  <si>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</si>
  <si>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</si>
  <si>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</si>
  <si>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</si>
  <si>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</si>
  <si>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</si>
  <si>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</si>
  <si>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</si>
  <si>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</si>
  <si>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</si>
  <si>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</si>
  <si>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</si>
  <si>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</si>
  <si>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</si>
  <si>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</si>
  <si>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</si>
  <si>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</si>
  <si>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</si>
  <si>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</si>
  <si>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</si>
  <si>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</si>
  <si>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</si>
  <si>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</si>
  <si>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</si>
  <si>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</si>
  <si>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</si>
  <si>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</si>
  <si>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</si>
  <si>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</si>
  <si>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</si>
  <si>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</si>
  <si>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</si>
  <si>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</si>
  <si>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</si>
  <si>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</si>
  <si>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</si>
  <si>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</si>
  <si>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</si>
  <si>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</si>
  <si>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</si>
  <si>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</si>
  <si>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</si>
  <si>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</si>
  <si>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</si>
  <si>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</si>
  <si>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</si>
  <si>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</si>
  <si>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</si>
  <si>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</si>
  <si>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</si>
  <si>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</si>
  <si>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</si>
  <si>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</si>
  <si>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</si>
  <si>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</si>
  <si>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</si>
  <si>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</si>
  <si>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</si>
  <si>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</si>
  <si>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</si>
  <si>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</si>
  <si>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</si>
  <si>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</si>
  <si>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</si>
  <si>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</si>
  <si>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</si>
  <si>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</si>
  <si>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</si>
  <si>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</si>
  <si>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</si>
  <si>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</si>
  <si>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</si>
  <si>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</si>
  <si>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</si>
  <si>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</si>
  <si>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</si>
  <si>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</si>
  <si>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</si>
  <si>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</si>
  <si>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</si>
  <si>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</si>
  <si>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</si>
  <si>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</si>
  <si>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</si>
  <si>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</si>
  <si>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</si>
  <si>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</si>
  <si>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</si>
  <si>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</si>
  <si>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</si>
  <si>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</si>
  <si>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</si>
  <si>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</si>
  <si>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</si>
  <si>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</si>
  <si>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</si>
  <si>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</si>
  <si>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</si>
  <si>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</si>
  <si>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</si>
  <si>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</si>
  <si>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</si>
  <si>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</si>
  <si>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</si>
  <si>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</si>
  <si>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</si>
  <si>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</si>
  <si>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</si>
  <si>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</si>
  <si>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</si>
  <si>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</si>
  <si>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</si>
  <si>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</si>
  <si>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</si>
  <si>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</si>
  <si>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</si>
  <si>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</si>
  <si>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</si>
  <si>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</si>
  <si>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</si>
  <si>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</si>
  <si>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</si>
  <si>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</si>
  <si>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</si>
  <si>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</si>
  <si>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</si>
  <si>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</si>
  <si>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</si>
  <si>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</si>
  <si>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</si>
  <si>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</si>
  <si>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</si>
  <si>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</si>
  <si>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</si>
  <si>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</si>
  <si>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</si>
  <si>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</si>
  <si>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</si>
  <si>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</si>
  <si>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</si>
  <si>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</si>
  <si>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</si>
  <si>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</si>
  <si>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</si>
  <si>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</si>
  <si>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</si>
  <si>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</si>
  <si>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</si>
  <si>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</si>
  <si>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</si>
  <si>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</si>
  <si>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</si>
  <si>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</si>
  <si>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</si>
  <si>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</si>
  <si>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</si>
  <si>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</si>
  <si>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</si>
  <si>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</si>
  <si>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</si>
  <si>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</si>
  <si>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</si>
  <si>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</si>
  <si>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</si>
  <si>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</si>
  <si>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</si>
  <si>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</si>
  <si>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</si>
  <si>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</si>
  <si>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</si>
  <si>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</si>
  <si>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</si>
  <si>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</si>
  <si>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</si>
  <si>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</si>
  <si>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</si>
  <si>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</si>
  <si>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</si>
  <si>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</si>
  <si>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</si>
  <si>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</si>
  <si>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</si>
  <si>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</si>
  <si>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</si>
  <si>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</si>
  <si>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</si>
  <si>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</si>
  <si>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</si>
  <si>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</si>
  <si>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</si>
  <si>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</si>
  <si>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聯易融科技</t>
  </si>
  <si>
    <t>9959.HK</t>
  </si>
  <si>
    <t/>
  </si>
  <si>
    <t>FIN_03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</si>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</sst>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5B164FD-974A-4348-BF8D-5DDDC1B0823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9959.HK_Valuation_backup.xlsx" TargetMode="External"/><Relationship Id="rId1" Type="http://schemas.openxmlformats.org/officeDocument/2006/relationships/externalLinkPath" Target="995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2284983948</v>
          </cell>
        </row>
        <row r="12">
          <cell r="C12">
            <v>2.19</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聯易融科技</v>
      </c>
    </row>
    <row r="6" spans="1:10">
      <c r="B6" s="4" t="s">
        <v>480</v>
      </c>
      <c r="C6" s="34">
        <f>Common_Shares</f>
        <v>2284983948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9959.HK</v>
      </c>
      <c r="D11" s="49"/>
      <c r="E11" s="34"/>
    </row>
    <row r="12" spans="1:10">
      <c r="B12" s="4" t="s">
        <v>484</v>
      </c>
      <c r="C12" s="366">
        <f>Market_Price</f>
        <v>2.19</v>
      </c>
      <c r="D12" s="50"/>
      <c r="E12" s="48"/>
    </row>
    <row r="13" spans="1:10">
      <c r="B13" s="1" t="s">
        <v>485</v>
      </c>
      <c r="C13" s="32" t="str">
        <f>Market_currency</f>
        <v>HKD</v>
      </c>
      <c r="D13" s="48"/>
      <c r="E13" s="5"/>
    </row>
    <row r="14" spans="1:10">
      <c r="B14" s="4" t="s">
        <v>486</v>
      </c>
      <c r="C14" s="35">
        <f>投资主题!C12*Common_Shares/1000000</f>
        <v>5004.11484612</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FIN_03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2.1131011468081908</v>
      </c>
      <c r="D26" s="1" t="s">
        <v>446</v>
      </c>
      <c r="E26" s="301">
        <f ca="1">Scenarios!C87</f>
        <v>-1.1844276894026895E-2</v>
      </c>
    </row>
    <row r="27" spans="2:6">
      <c r="D27" s="5"/>
      <c r="E27" s="5"/>
    </row>
    <row r="28" spans="2:6">
      <c r="B28" s="45" t="s">
        <v>448</v>
      </c>
      <c r="C28" s="309" t="str">
        <f>C145&amp;" ("&amp;Market_currency&amp;")"</f>
        <v>9959.HK (HKD)</v>
      </c>
      <c r="D28" s="309" t="str">
        <f>IF(D11="","",D145&amp;" ("&amp;D13&amp;")")</f>
        <v/>
      </c>
      <c r="E28" s="305" t="s">
        <v>453</v>
      </c>
      <c r="F28" s="361">
        <f>Thesis!F28</f>
        <v>3</v>
      </c>
    </row>
    <row r="29" spans="2:6">
      <c r="B29" s="1" t="s">
        <v>449</v>
      </c>
      <c r="C29" s="310">
        <f>C149</f>
        <v>0.8588532832629947</v>
      </c>
      <c r="D29" s="310" t="str">
        <f>D149</f>
        <v/>
      </c>
      <c r="E29" s="306" t="s">
        <v>455</v>
      </c>
      <c r="F29" s="362">
        <f>Thesis!F29</f>
        <v>0.35</v>
      </c>
    </row>
    <row r="30" spans="2:6">
      <c r="B30" s="1" t="s">
        <v>450</v>
      </c>
      <c r="C30" s="311">
        <f>C157</f>
        <v>1.0819077871657936</v>
      </c>
      <c r="D30" s="311" t="str">
        <f>D157</f>
        <v/>
      </c>
      <c r="E30" s="307" t="s">
        <v>454</v>
      </c>
      <c r="F30" s="224">
        <f>Thesis!F30</f>
        <v>0.25</v>
      </c>
    </row>
    <row r="31" spans="2:6">
      <c r="B31" s="1" t="s">
        <v>451</v>
      </c>
      <c r="C31" s="311">
        <f>C165</f>
        <v>1.7009631025661165</v>
      </c>
      <c r="D31" s="311" t="str">
        <f>D165</f>
        <v/>
      </c>
      <c r="E31" s="307" t="s">
        <v>491</v>
      </c>
      <c r="F31" s="224">
        <f>Thesis!F31</f>
        <v>7.4999999999999997E-2</v>
      </c>
    </row>
    <row r="32" spans="2:6">
      <c r="B32" s="1" t="s">
        <v>452</v>
      </c>
      <c r="C32" s="311">
        <f>C173</f>
        <v>1.514587208466269</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v>
      </c>
    </row>
    <row r="40" spans="1:6">
      <c r="B40" s="370" t="s">
        <v>494</v>
      </c>
      <c r="C40" s="370"/>
      <c r="D40" s="370"/>
      <c r="E40" s="370"/>
      <c r="F40" s="370"/>
    </row>
    <row r="41" spans="1:6">
      <c r="B41" s="47" t="s">
        <v>228</v>
      </c>
      <c r="C41" s="349">
        <f>Normalized_FCF!C8</f>
        <v>33649.992691562977</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498</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-7302.5468725696046</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4.3779252258159427E-3</v>
      </c>
      <c r="F69" s="314"/>
    </row>
    <row r="70" spans="1:6">
      <c r="B70" s="227" t="s">
        <v>434</v>
      </c>
      <c r="C70" s="92">
        <f>Normalized_FCF!C94</f>
        <v>0</v>
      </c>
      <c r="E70" s="47" t="s">
        <v>503</v>
      </c>
      <c r="F70" s="315">
        <f>Normalized_FCF!C92</f>
        <v>0</v>
      </c>
    </row>
    <row r="72" spans="1:6">
      <c r="B72" s="210" t="s">
        <v>513</v>
      </c>
      <c r="C72" s="323" t="s">
        <v>429</v>
      </c>
      <c r="D72" s="323" t="s">
        <v>504</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0.12783541659382552</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514</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515</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c r="B116" s="374" t="s">
        <v>516</v>
      </c>
      <c r="C116" s="374"/>
      <c r="D116" s="374"/>
      <c r="E116" s="374"/>
      <c r="F116" s="374"/>
    </row>
    <row r="118" spans="1:6">
      <c r="B118" s="47" t="s">
        <v>517</v>
      </c>
      <c r="C118" s="223">
        <f>IF(valuation_method="DCF",DCF!C12,DDM!C7)</f>
        <v>2.089185823570856</v>
      </c>
      <c r="D118" s="1" t="str">
        <f>Market_currency</f>
        <v>HKD</v>
      </c>
    </row>
    <row r="119" spans="1:6">
      <c r="B119" s="296" t="s">
        <v>550</v>
      </c>
      <c r="C119" s="223">
        <f>BS!D47</f>
        <v>2.0258239687205015</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v>
      </c>
      <c r="D143" s="212" t="str">
        <f>Market_currency</f>
        <v>HKD</v>
      </c>
    </row>
    <row r="145" spans="2:4">
      <c r="B145" s="210" t="s">
        <v>531</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532</v>
      </c>
      <c r="C150" s="298" t="str">
        <f>Market_currency</f>
        <v>HKD</v>
      </c>
      <c r="D150" s="298" t="str">
        <f>IF($D$11="","",D$13)</f>
        <v/>
      </c>
    </row>
    <row r="151" spans="2:4">
      <c r="B151" s="214" t="s">
        <v>533</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532</v>
      </c>
      <c r="C158" s="298" t="str">
        <f>Market_currency</f>
        <v>HKD</v>
      </c>
      <c r="D158" s="298" t="str">
        <f>IF($D$11="","",D$13)</f>
        <v/>
      </c>
    </row>
    <row r="159" spans="2:4">
      <c r="B159" s="214" t="s">
        <v>533</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532</v>
      </c>
      <c r="C166" s="298" t="str">
        <f>Market_currency</f>
        <v>HKD</v>
      </c>
      <c r="D166" s="298" t="str">
        <f>IF($D$11="","",D$13)</f>
        <v/>
      </c>
    </row>
    <row r="167" spans="2:4">
      <c r="B167" s="214" t="s">
        <v>533</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532</v>
      </c>
      <c r="C174" s="298" t="str">
        <f>Market_currency</f>
        <v>HKD</v>
      </c>
      <c r="D174" s="298" t="str">
        <f>IF($D$11="","",D$13)</f>
        <v/>
      </c>
    </row>
    <row r="175" spans="2:4">
      <c r="B175" s="214" t="s">
        <v>533</v>
      </c>
      <c r="C175" s="92">
        <f>Scenarios!F105</f>
        <v>0.2819299041708756</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2284983948</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2.19</v>
      </c>
      <c r="D12" s="50"/>
      <c r="E12" s="48"/>
    </row>
    <row r="13" spans="1:10">
      <c r="B13" s="1" t="s">
        <v>464</v>
      </c>
      <c r="C13" s="48" t="s">
        <v>377</v>
      </c>
      <c r="D13" s="48"/>
      <c r="E13" s="5"/>
    </row>
    <row r="14" spans="1:10">
      <c r="B14" s="4" t="s">
        <v>465</v>
      </c>
      <c r="C14" s="35">
        <f>Thesis!C12*Common_Shares/1000000</f>
        <v>5004.11484612</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2.1131011468081908</v>
      </c>
      <c r="D26" s="1" t="s">
        <v>380</v>
      </c>
      <c r="E26" s="301">
        <f ca="1">Scenarios!C87</f>
        <v>-1.1844276894026895E-2</v>
      </c>
    </row>
    <row r="27" spans="2:6">
      <c r="D27" s="5"/>
      <c r="E27" s="5"/>
    </row>
    <row r="28" spans="2:6">
      <c r="B28" s="45" t="s">
        <v>409</v>
      </c>
      <c r="C28" s="309" t="str">
        <f>C145&amp;" ("&amp;Market_currency&amp;")"</f>
        <v>9959.HK (HKD)</v>
      </c>
      <c r="D28" s="309" t="str">
        <f>IF(D11="","",D145&amp;" ("&amp;D13&amp;")")</f>
        <v/>
      </c>
      <c r="E28" s="305" t="s">
        <v>405</v>
      </c>
      <c r="F28" s="303">
        <v>3</v>
      </c>
    </row>
    <row r="29" spans="2:6">
      <c r="B29" s="1" t="s">
        <v>401</v>
      </c>
      <c r="C29" s="310">
        <f>C149</f>
        <v>0.8588532832629947</v>
      </c>
      <c r="D29" s="310" t="str">
        <f>D149</f>
        <v/>
      </c>
      <c r="E29" s="306" t="s">
        <v>400</v>
      </c>
      <c r="F29" s="302">
        <v>0.35</v>
      </c>
    </row>
    <row r="30" spans="2:6">
      <c r="B30" s="1" t="s">
        <v>402</v>
      </c>
      <c r="C30" s="311">
        <f>C157</f>
        <v>1.0819077871657936</v>
      </c>
      <c r="D30" s="311" t="str">
        <f>D157</f>
        <v/>
      </c>
      <c r="E30" s="307" t="s">
        <v>413</v>
      </c>
      <c r="F30" s="312">
        <v>0.25</v>
      </c>
    </row>
    <row r="31" spans="2:6">
      <c r="B31" s="1" t="s">
        <v>403</v>
      </c>
      <c r="C31" s="311">
        <f>C165</f>
        <v>1.7009631025661165</v>
      </c>
      <c r="D31" s="311" t="str">
        <f>D165</f>
        <v/>
      </c>
      <c r="E31" s="307" t="s">
        <v>412</v>
      </c>
      <c r="F31" s="312">
        <v>7.4999999999999997E-2</v>
      </c>
    </row>
    <row r="32" spans="2:6">
      <c r="B32" s="1" t="s">
        <v>404</v>
      </c>
      <c r="C32" s="311">
        <f>C173</f>
        <v>1.514587208466269</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33649.992691562977</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242</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-7302.5468725696046</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4.3779252258159427E-3</v>
      </c>
      <c r="F69" s="314"/>
    </row>
    <row r="70" spans="1:6">
      <c r="B70" s="227" t="s">
        <v>434</v>
      </c>
      <c r="C70" s="92">
        <f>Normalized_FCF!C94</f>
        <v>0</v>
      </c>
      <c r="E70" s="47" t="s">
        <v>424</v>
      </c>
      <c r="F70" s="315">
        <f>Normalized_FCF!C92</f>
        <v>0</v>
      </c>
    </row>
    <row r="72" spans="1:6">
      <c r="B72" s="210" t="s">
        <v>427</v>
      </c>
      <c r="C72" s="323" t="s">
        <v>429</v>
      </c>
      <c r="D72" s="323" t="s">
        <v>430</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0.12783541659382552</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250</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252</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ht="24.6" customHeight="1">
      <c r="B116" s="374" t="s">
        <v>352</v>
      </c>
      <c r="C116" s="374"/>
      <c r="D116" s="374"/>
      <c r="E116" s="374"/>
      <c r="F116" s="374"/>
    </row>
    <row r="118" spans="1:6">
      <c r="B118" s="47" t="s">
        <v>425</v>
      </c>
      <c r="C118" s="223">
        <f>IF(valuation_method="DCF",DCF!C12,DDM!C7)</f>
        <v>2.089185823570856</v>
      </c>
      <c r="D118" s="1" t="str">
        <f>Market_currency</f>
        <v>HKD</v>
      </c>
    </row>
    <row r="119" spans="1:6">
      <c r="B119" s="296" t="s">
        <v>549</v>
      </c>
      <c r="C119" s="223">
        <f>BS!D47</f>
        <v>2.0258239687205015</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v>
      </c>
      <c r="D143" s="212" t="str">
        <f>Market_currency</f>
        <v>HKD</v>
      </c>
    </row>
    <row r="145" spans="2:4">
      <c r="B145" s="210" t="s">
        <v>388</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395</v>
      </c>
      <c r="C150" s="298" t="str">
        <f>Market_currency</f>
        <v>HKD</v>
      </c>
      <c r="D150" s="298" t="str">
        <f>IF($D$11="","",D$13)</f>
        <v/>
      </c>
    </row>
    <row r="151" spans="2:4">
      <c r="B151" s="214" t="s">
        <v>258</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395</v>
      </c>
      <c r="C158" s="298" t="str">
        <f>Market_currency</f>
        <v>HKD</v>
      </c>
      <c r="D158" s="298" t="str">
        <f>IF($D$11="","",D$13)</f>
        <v/>
      </c>
    </row>
    <row r="159" spans="2:4">
      <c r="B159" s="214" t="s">
        <v>258</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395</v>
      </c>
      <c r="C166" s="298" t="str">
        <f>Market_currency</f>
        <v>HKD</v>
      </c>
      <c r="D166" s="298" t="str">
        <f>IF($D$11="","",D$13)</f>
        <v/>
      </c>
    </row>
    <row r="167" spans="2:4">
      <c r="B167" s="214" t="s">
        <v>258</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395</v>
      </c>
      <c r="C174" s="298" t="str">
        <f>Market_currency</f>
        <v>HKD</v>
      </c>
      <c r="D174" s="298" t="str">
        <f>IF($D$11="","",D$13)</f>
        <v/>
      </c>
    </row>
    <row r="175" spans="2:4">
      <c r="B175" s="214" t="s">
        <v>258</v>
      </c>
      <c r="C175" s="92">
        <f>Scenarios!F105</f>
        <v>0.2819299041708756</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1031173</v>
      </c>
      <c r="D4" s="351">
        <v>867764</v>
      </c>
      <c r="E4" s="351">
        <v>924200</v>
      </c>
      <c r="F4" s="351">
        <v>1198013</v>
      </c>
      <c r="G4" s="351">
        <v>1028541</v>
      </c>
      <c r="H4" s="351">
        <v>699593</v>
      </c>
      <c r="I4" s="351">
        <v>382733</v>
      </c>
      <c r="J4" s="351"/>
      <c r="K4" s="351"/>
      <c r="L4" s="351"/>
      <c r="M4" s="351"/>
    </row>
    <row r="5" spans="2:13">
      <c r="B5" s="40" t="s">
        <v>41</v>
      </c>
      <c r="C5" s="351">
        <v>313900</v>
      </c>
      <c r="D5" s="351">
        <v>341249</v>
      </c>
      <c r="E5" s="351">
        <v>149665</v>
      </c>
      <c r="F5" s="351">
        <v>270763</v>
      </c>
      <c r="G5" s="351">
        <v>398163</v>
      </c>
      <c r="H5" s="351">
        <v>336621</v>
      </c>
      <c r="I5" s="351">
        <v>189207</v>
      </c>
      <c r="J5" s="351"/>
      <c r="K5" s="351"/>
      <c r="L5" s="351"/>
      <c r="M5" s="351"/>
    </row>
    <row r="6" spans="2:13">
      <c r="B6" s="40" t="s">
        <v>52</v>
      </c>
      <c r="C6" s="351">
        <v>357132</v>
      </c>
      <c r="D6" s="351">
        <v>345571</v>
      </c>
      <c r="E6" s="351">
        <v>398159</v>
      </c>
      <c r="F6" s="351">
        <v>356401</v>
      </c>
      <c r="G6" s="351">
        <v>196214</v>
      </c>
      <c r="H6" s="351">
        <v>150727</v>
      </c>
      <c r="I6" s="351">
        <v>103615</v>
      </c>
      <c r="J6" s="351"/>
      <c r="K6" s="351"/>
      <c r="L6" s="351"/>
      <c r="M6" s="351"/>
    </row>
    <row r="7" spans="2:13">
      <c r="B7" s="69" t="s">
        <v>59</v>
      </c>
      <c r="C7" s="352">
        <v>149012</v>
      </c>
      <c r="D7" s="352">
        <v>137835</v>
      </c>
      <c r="E7" s="352">
        <v>162582</v>
      </c>
      <c r="F7" s="352">
        <v>136252</v>
      </c>
      <c r="G7" s="352">
        <v>86208</v>
      </c>
      <c r="H7" s="352">
        <v>68142</v>
      </c>
      <c r="I7" s="352">
        <v>42790</v>
      </c>
      <c r="J7" s="352"/>
      <c r="K7" s="352"/>
      <c r="L7" s="352"/>
      <c r="M7" s="352"/>
    </row>
    <row r="8" spans="2:13">
      <c r="B8" s="40" t="s">
        <v>47</v>
      </c>
      <c r="C8" s="351">
        <v>330838</v>
      </c>
      <c r="D8" s="351">
        <v>365801</v>
      </c>
      <c r="E8" s="351">
        <v>351118</v>
      </c>
      <c r="F8" s="351">
        <v>277409</v>
      </c>
      <c r="G8" s="351">
        <v>103725</v>
      </c>
      <c r="H8" s="351">
        <v>59876</v>
      </c>
      <c r="I8" s="351">
        <v>41293</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11410</v>
      </c>
      <c r="D12" s="351">
        <v>8305</v>
      </c>
      <c r="E12" s="351">
        <v>30280</v>
      </c>
      <c r="F12" s="351">
        <v>135144</v>
      </c>
      <c r="G12" s="351">
        <v>140407</v>
      </c>
      <c r="H12" s="351">
        <v>108297</v>
      </c>
      <c r="I12" s="351">
        <v>75176</v>
      </c>
      <c r="J12" s="351"/>
      <c r="K12" s="351"/>
      <c r="L12" s="351"/>
      <c r="M12" s="351"/>
    </row>
    <row r="13" spans="2:13">
      <c r="B13" s="40" t="s">
        <v>65</v>
      </c>
      <c r="C13" s="351">
        <v>70887</v>
      </c>
      <c r="D13" s="351">
        <v>126188</v>
      </c>
      <c r="E13" s="351"/>
      <c r="F13" s="351"/>
      <c r="G13" s="351"/>
      <c r="H13" s="351"/>
      <c r="I13" s="351"/>
      <c r="J13" s="351"/>
      <c r="K13" s="351"/>
      <c r="L13" s="351"/>
      <c r="M13" s="351"/>
    </row>
    <row r="14" spans="2:13">
      <c r="B14" s="40" t="s">
        <v>48</v>
      </c>
      <c r="C14" s="351">
        <v>92078</v>
      </c>
      <c r="D14" s="351">
        <v>19417</v>
      </c>
      <c r="E14" s="351">
        <v>39797</v>
      </c>
      <c r="F14" s="351">
        <v>75402</v>
      </c>
      <c r="G14" s="351">
        <v>41042</v>
      </c>
      <c r="H14" s="351">
        <v>161</v>
      </c>
      <c r="I14" s="351">
        <v>-6361</v>
      </c>
      <c r="J14" s="351"/>
      <c r="K14" s="351"/>
      <c r="L14" s="351"/>
      <c r="M14" s="351"/>
    </row>
    <row r="15" spans="2:13">
      <c r="B15" s="43" t="s">
        <v>40</v>
      </c>
      <c r="C15" s="353">
        <v>-835521</v>
      </c>
      <c r="D15" s="353">
        <v>-443298</v>
      </c>
      <c r="E15" s="353">
        <v>-21855</v>
      </c>
      <c r="F15" s="353">
        <v>-12990673</v>
      </c>
      <c r="G15" s="353">
        <v>-715482</v>
      </c>
      <c r="H15" s="353">
        <v>-1081974</v>
      </c>
      <c r="I15" s="353">
        <v>-1410305</v>
      </c>
      <c r="J15" s="353"/>
      <c r="K15" s="353"/>
      <c r="L15" s="353"/>
      <c r="M15" s="353"/>
    </row>
    <row r="16" spans="2:13">
      <c r="B16" s="28" t="s">
        <v>42</v>
      </c>
      <c r="C16" s="351">
        <v>-140</v>
      </c>
      <c r="D16" s="351">
        <v>-2058</v>
      </c>
      <c r="E16" s="351">
        <v>-8397</v>
      </c>
      <c r="F16" s="351">
        <v>1117</v>
      </c>
      <c r="G16" s="351">
        <v>1574</v>
      </c>
      <c r="H16" s="351">
        <v>-336</v>
      </c>
      <c r="I16" s="351">
        <v>0</v>
      </c>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711319</v>
      </c>
      <c r="D22" s="351">
        <v>-324183</v>
      </c>
      <c r="E22" s="351">
        <v>1859628</v>
      </c>
      <c r="F22" s="351">
        <v>-731240</v>
      </c>
      <c r="G22" s="351">
        <v>2099875</v>
      </c>
      <c r="H22" s="351">
        <v>201823</v>
      </c>
      <c r="I22" s="351">
        <v>-991306</v>
      </c>
      <c r="J22" s="351"/>
      <c r="K22" s="351"/>
      <c r="L22" s="351"/>
      <c r="M22" s="351"/>
    </row>
    <row r="23" spans="2:13">
      <c r="B23" s="27" t="s">
        <v>356</v>
      </c>
      <c r="C23" s="351">
        <v>-12356</v>
      </c>
      <c r="D23" s="351">
        <v>-155180</v>
      </c>
      <c r="E23" s="351">
        <v>-274578</v>
      </c>
      <c r="F23" s="351">
        <v>-312659</v>
      </c>
      <c r="G23" s="351">
        <v>-111290</v>
      </c>
      <c r="H23" s="351">
        <v>-94182</v>
      </c>
      <c r="I23" s="351">
        <v>-122694</v>
      </c>
      <c r="J23" s="351"/>
      <c r="K23" s="351"/>
      <c r="L23" s="351"/>
      <c r="M23" s="351"/>
    </row>
    <row r="24" spans="2:13">
      <c r="B24" s="27" t="s">
        <v>355</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26</v>
      </c>
      <c r="C27" s="97" t="s">
        <v>558</v>
      </c>
    </row>
    <row r="28" spans="2:13">
      <c r="B28" s="26" t="s">
        <v>22</v>
      </c>
      <c r="C28" s="333">
        <f>BS!C4</f>
        <v>218642</v>
      </c>
      <c r="D28" s="351">
        <v>290847</v>
      </c>
      <c r="E28" s="351">
        <v>342114</v>
      </c>
      <c r="F28" s="351">
        <v>254075</v>
      </c>
      <c r="G28" s="351">
        <v>225175</v>
      </c>
      <c r="H28" s="351">
        <v>152761</v>
      </c>
      <c r="I28" s="351">
        <v>56051</v>
      </c>
      <c r="J28" s="351"/>
      <c r="K28" s="351"/>
      <c r="L28" s="351"/>
      <c r="M28" s="351"/>
    </row>
    <row r="29" spans="2:13">
      <c r="B29" s="26" t="s">
        <v>30</v>
      </c>
      <c r="C29" s="333">
        <f>BS!C6</f>
        <v>0</v>
      </c>
      <c r="D29" s="351">
        <v>0</v>
      </c>
      <c r="E29" s="351">
        <v>0</v>
      </c>
      <c r="F29" s="351">
        <v>0</v>
      </c>
      <c r="G29" s="351">
        <v>0</v>
      </c>
      <c r="H29" s="351">
        <v>0</v>
      </c>
      <c r="I29" s="351">
        <v>0</v>
      </c>
      <c r="J29" s="351"/>
      <c r="K29" s="351"/>
      <c r="L29" s="351"/>
      <c r="M29" s="351"/>
    </row>
    <row r="30" spans="2:13">
      <c r="B30" s="29" t="s">
        <v>38</v>
      </c>
      <c r="C30" s="334">
        <f>BS!C33+BS!C42</f>
        <v>760309</v>
      </c>
      <c r="D30" s="353">
        <v>617731</v>
      </c>
      <c r="E30" s="353">
        <v>1967828</v>
      </c>
      <c r="F30" s="353">
        <v>2086158</v>
      </c>
      <c r="G30" s="353">
        <v>9460292</v>
      </c>
      <c r="H30" s="353">
        <v>6362095</v>
      </c>
      <c r="I30" s="353">
        <v>4669537</v>
      </c>
      <c r="J30" s="353"/>
      <c r="K30" s="353"/>
      <c r="L30" s="353"/>
      <c r="M30" s="353"/>
    </row>
    <row r="31" spans="2:13">
      <c r="B31" s="29" t="s">
        <v>28</v>
      </c>
      <c r="C31" s="334">
        <f>BS!G27</f>
        <v>7833595</v>
      </c>
      <c r="D31" s="353">
        <v>9112791</v>
      </c>
      <c r="E31" s="353">
        <v>9956528</v>
      </c>
      <c r="F31" s="353">
        <v>9722107</v>
      </c>
      <c r="G31" s="353">
        <v>-3323489</v>
      </c>
      <c r="H31" s="353">
        <v>-2590443</v>
      </c>
      <c r="I31" s="353">
        <v>-1541033</v>
      </c>
      <c r="J31" s="353"/>
      <c r="K31" s="353"/>
      <c r="L31" s="353"/>
      <c r="M31" s="353"/>
    </row>
    <row r="32" spans="2:13">
      <c r="B32" s="26" t="s">
        <v>168</v>
      </c>
      <c r="C32" s="333">
        <f>BS!G28</f>
        <v>-518</v>
      </c>
      <c r="D32" s="351">
        <v>-2780</v>
      </c>
      <c r="E32" s="351">
        <v>-771</v>
      </c>
      <c r="F32" s="351">
        <v>7529</v>
      </c>
      <c r="G32" s="351">
        <v>6412</v>
      </c>
      <c r="H32" s="351">
        <v>4838</v>
      </c>
      <c r="I32" s="351">
        <v>0</v>
      </c>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41</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56</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59</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62</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47</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148</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164</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66</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48</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40</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66</v>
      </c>
    </row>
    <row r="51" spans="2:13">
      <c r="B51" s="40" t="s">
        <v>37</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65</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156</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374</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34</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56</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164</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83</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28</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218642</v>
      </c>
      <c r="D4" s="261">
        <v>0.6</v>
      </c>
      <c r="E4" s="25"/>
      <c r="F4" s="4" t="s">
        <v>75</v>
      </c>
      <c r="G4" s="19">
        <v>4898385</v>
      </c>
      <c r="H4" s="261">
        <v>0.9</v>
      </c>
    </row>
    <row r="5" spans="2:8" ht="15" customHeight="1">
      <c r="B5" s="1" t="s">
        <v>31</v>
      </c>
      <c r="C5" s="19">
        <f>171505+458442+21655</f>
        <v>651602</v>
      </c>
      <c r="D5" s="261">
        <v>0.6</v>
      </c>
      <c r="E5" s="25"/>
      <c r="F5" s="1" t="s">
        <v>27</v>
      </c>
      <c r="G5" s="19">
        <v>174028</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1813746</v>
      </c>
      <c r="D9" s="261">
        <v>0.1</v>
      </c>
      <c r="E9" s="25"/>
      <c r="F9" s="4" t="s">
        <v>176</v>
      </c>
      <c r="G9" s="19">
        <v>0</v>
      </c>
      <c r="H9" s="261">
        <v>0.6</v>
      </c>
    </row>
    <row r="10" spans="2:8" ht="15" customHeight="1">
      <c r="B10" s="4" t="s">
        <v>9</v>
      </c>
      <c r="C10" s="19">
        <v>0</v>
      </c>
      <c r="D10" s="261">
        <v>0.9</v>
      </c>
      <c r="H10" s="262"/>
    </row>
    <row r="11" spans="2:8" ht="15" customHeight="1">
      <c r="B11" s="4" t="s">
        <v>10</v>
      </c>
      <c r="C11" s="19">
        <v>24965</v>
      </c>
      <c r="D11" s="261">
        <v>0.05</v>
      </c>
      <c r="H11" s="262"/>
    </row>
    <row r="12" spans="2:8" ht="15" customHeight="1">
      <c r="B12" s="80" t="s">
        <v>70</v>
      </c>
      <c r="C12" s="81">
        <f>SUM(C4:C11)</f>
        <v>2708955</v>
      </c>
      <c r="D12" s="20">
        <f>C4*D4+C5*D5+C9*D9+C6*D6+C8*D8+C7*D7+C10*D10+C11*D11</f>
        <v>704769.25</v>
      </c>
      <c r="F12" s="80" t="s">
        <v>68</v>
      </c>
      <c r="G12" s="81">
        <f>SUM(G4:G9)</f>
        <v>5072413</v>
      </c>
      <c r="H12" s="20">
        <f>G4*H4+G5*H5+G6*H6+G7*H7+G8*H8+G9*H9</f>
        <v>4530366.0999999996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4743</v>
      </c>
      <c r="D15" s="261">
        <v>0.4</v>
      </c>
      <c r="F15" s="4" t="s">
        <v>76</v>
      </c>
      <c r="G15" s="19">
        <v>0</v>
      </c>
      <c r="H15" s="261">
        <v>0.8</v>
      </c>
    </row>
    <row r="16" spans="2:8" ht="15" customHeight="1">
      <c r="B16" s="1" t="s">
        <v>32</v>
      </c>
      <c r="C16" s="19">
        <v>102771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28675+74147</f>
        <v>102822</v>
      </c>
      <c r="D19" s="261">
        <v>0.1</v>
      </c>
      <c r="F19" s="4" t="s">
        <v>178</v>
      </c>
      <c r="G19" s="19">
        <v>238667</v>
      </c>
      <c r="H19" s="261">
        <v>0.1</v>
      </c>
    </row>
    <row r="20" spans="2:8" ht="15" customHeight="1">
      <c r="B20" s="4" t="s">
        <v>16</v>
      </c>
      <c r="C20" s="19">
        <v>0</v>
      </c>
      <c r="D20" s="261">
        <v>0.05</v>
      </c>
      <c r="F20" s="4" t="s">
        <v>175</v>
      </c>
      <c r="G20" s="19">
        <v>0</v>
      </c>
      <c r="H20" s="261">
        <v>0.2</v>
      </c>
    </row>
    <row r="21" spans="2:8" ht="15" customHeight="1">
      <c r="B21" s="4" t="s">
        <v>17</v>
      </c>
      <c r="C21" s="19">
        <v>276368</v>
      </c>
      <c r="D21" s="261">
        <v>0.05</v>
      </c>
      <c r="F21" s="1" t="s">
        <v>176</v>
      </c>
      <c r="G21" s="19">
        <v>0</v>
      </c>
      <c r="H21" s="261">
        <v>0.1</v>
      </c>
    </row>
    <row r="22" spans="2:8" ht="15" customHeight="1">
      <c r="B22" s="4" t="s">
        <v>18</v>
      </c>
      <c r="C22" s="19">
        <v>58201</v>
      </c>
      <c r="D22" s="261">
        <v>0.9</v>
      </c>
      <c r="H22" s="262"/>
    </row>
    <row r="23" spans="2:8" ht="15" customHeight="1">
      <c r="B23" s="4" t="s">
        <v>19</v>
      </c>
      <c r="C23" s="19">
        <f>28964</f>
        <v>28964</v>
      </c>
      <c r="D23" s="261">
        <v>0</v>
      </c>
      <c r="H23" s="262"/>
    </row>
    <row r="24" spans="2:8" ht="15" customHeight="1">
      <c r="B24" s="80" t="s">
        <v>71</v>
      </c>
      <c r="C24" s="81">
        <f>SUM(C15:C23)</f>
        <v>573869</v>
      </c>
      <c r="D24" s="20">
        <f>C15*D15+C16*D16+C18*D18+C17*D17+C19*D19+C20*D20+C21*D21+C22*D22+C23*D23</f>
        <v>129764.19999999998</v>
      </c>
      <c r="F24" s="80" t="s">
        <v>69</v>
      </c>
      <c r="G24" s="81">
        <f>SUM(G15:G21)</f>
        <v>238667</v>
      </c>
      <c r="H24" s="20">
        <f>G15*H15+G16*H16+G17*H17+G18*H18+G19*H19+G20*H20+G21*H21</f>
        <v>23866.7</v>
      </c>
    </row>
    <row r="26" spans="2:8" ht="15" customHeight="1">
      <c r="B26" s="16" t="s">
        <v>196</v>
      </c>
      <c r="C26" s="182" t="s">
        <v>132</v>
      </c>
      <c r="F26" s="184" t="s">
        <v>192</v>
      </c>
      <c r="G26" s="185" t="s">
        <v>132</v>
      </c>
      <c r="H26" s="186" t="s">
        <v>33</v>
      </c>
    </row>
    <row r="27" spans="2:8" ht="15" customHeight="1">
      <c r="B27" s="4" t="s">
        <v>3</v>
      </c>
      <c r="C27" s="19">
        <v>30008</v>
      </c>
      <c r="F27" s="187" t="s">
        <v>28</v>
      </c>
      <c r="G27" s="85">
        <f>G32-G30</f>
        <v>7833595</v>
      </c>
      <c r="H27" s="188">
        <f>H32-G30</f>
        <v>4628457.25</v>
      </c>
    </row>
    <row r="28" spans="2:8" ht="15" customHeight="1">
      <c r="B28" s="4" t="s">
        <v>4</v>
      </c>
      <c r="C28" s="19">
        <v>22043</v>
      </c>
      <c r="F28" s="189" t="s">
        <v>240</v>
      </c>
      <c r="G28" s="12">
        <v>-518</v>
      </c>
      <c r="H28" s="188"/>
    </row>
    <row r="29" spans="2:8" ht="15" customHeight="1">
      <c r="B29" s="4" t="s">
        <v>5</v>
      </c>
      <c r="C29" s="19">
        <v>0</v>
      </c>
      <c r="F29" s="190" t="s">
        <v>73</v>
      </c>
      <c r="G29" s="14">
        <f>G27-G28</f>
        <v>7834113</v>
      </c>
      <c r="H29" s="188">
        <f>H27-G28</f>
        <v>4628975.25</v>
      </c>
    </row>
    <row r="30" spans="2:8" ht="15" customHeight="1">
      <c r="B30" s="2" t="s">
        <v>6</v>
      </c>
      <c r="C30" s="19">
        <v>0</v>
      </c>
      <c r="F30" s="187" t="s">
        <v>21</v>
      </c>
      <c r="G30" s="85">
        <f>C33+C42</f>
        <v>760309</v>
      </c>
      <c r="H30" s="188"/>
    </row>
    <row r="31" spans="2:8" ht="15" customHeight="1">
      <c r="B31" s="80" t="s">
        <v>199</v>
      </c>
      <c r="C31" s="81">
        <f>SUM(C27:C30)</f>
        <v>52051</v>
      </c>
      <c r="F31" s="190" t="s">
        <v>74</v>
      </c>
      <c r="G31" s="191">
        <f>C31+C40</f>
        <v>115864</v>
      </c>
      <c r="H31" s="188"/>
    </row>
    <row r="32" spans="2:8" ht="15" customHeight="1">
      <c r="B32" s="4" t="s">
        <v>7</v>
      </c>
      <c r="C32" s="21">
        <f>C33-C31</f>
        <v>643338</v>
      </c>
      <c r="F32" s="192" t="s">
        <v>72</v>
      </c>
      <c r="G32" s="193">
        <f>G35+G40</f>
        <v>8593904</v>
      </c>
      <c r="H32" s="188">
        <f>H35+H40</f>
        <v>5388766.25</v>
      </c>
    </row>
    <row r="33" spans="2:8" ht="15" customHeight="1">
      <c r="B33" s="83" t="s">
        <v>2</v>
      </c>
      <c r="C33" s="84">
        <v>695389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3282824</v>
      </c>
      <c r="H35" s="200">
        <f>D12+D24</f>
        <v>834533.45</v>
      </c>
    </row>
    <row r="36" spans="2:8" ht="15" customHeight="1">
      <c r="B36" s="4" t="s">
        <v>11</v>
      </c>
      <c r="C36" s="19">
        <v>0</v>
      </c>
      <c r="F36" s="190" t="s">
        <v>193</v>
      </c>
      <c r="G36" s="191">
        <f>C4+C15</f>
        <v>223385</v>
      </c>
      <c r="H36" s="195"/>
    </row>
    <row r="37" spans="2:8" ht="15" customHeight="1">
      <c r="B37" s="4" t="s">
        <v>12</v>
      </c>
      <c r="C37" s="19">
        <v>63813</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102822</v>
      </c>
      <c r="H39" s="188">
        <f>C7*D7+C17*D17+C19*D19+C20*D20</f>
        <v>10282.200000000001</v>
      </c>
    </row>
    <row r="40" spans="2:8" ht="15" customHeight="1">
      <c r="B40" s="80" t="s">
        <v>200</v>
      </c>
      <c r="C40" s="81">
        <f>SUM(C36:C39)</f>
        <v>63813</v>
      </c>
      <c r="F40" s="199" t="s">
        <v>134</v>
      </c>
      <c r="G40" s="193">
        <f>G12+G24</f>
        <v>5311080</v>
      </c>
      <c r="H40" s="200">
        <f>H12+H24</f>
        <v>4554232.8</v>
      </c>
    </row>
    <row r="41" spans="2:8" ht="15" customHeight="1">
      <c r="B41" s="4" t="s">
        <v>15</v>
      </c>
      <c r="C41" s="21">
        <f>C42-C40</f>
        <v>1107</v>
      </c>
      <c r="F41" s="190" t="s">
        <v>187</v>
      </c>
      <c r="G41" s="191">
        <f>C70</f>
        <v>5072413</v>
      </c>
      <c r="H41" s="200">
        <f>H40-H42</f>
        <v>4530366.0999999996</v>
      </c>
    </row>
    <row r="42" spans="2:8" ht="15" customHeight="1">
      <c r="B42" s="83" t="s">
        <v>20</v>
      </c>
      <c r="C42" s="84">
        <v>64920</v>
      </c>
      <c r="F42" s="201" t="s">
        <v>188</v>
      </c>
      <c r="G42" s="202">
        <f>C82</f>
        <v>238667</v>
      </c>
      <c r="H42" s="203">
        <f>D82</f>
        <v>23866.7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3.4432102574884196</v>
      </c>
      <c r="D50" s="95">
        <f>G31/Normalized_FCF!G8</f>
        <v>3.9539978841756818</v>
      </c>
      <c r="F50" s="253"/>
    </row>
    <row r="51" spans="2:8" ht="15" customHeight="1">
      <c r="B51" s="1" t="s">
        <v>172</v>
      </c>
      <c r="C51" s="181"/>
      <c r="D51" s="92">
        <f>G29/G32</f>
        <v>0.91158954067906739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1.0250318838768991E-2</v>
      </c>
      <c r="D54" s="92">
        <f>Normalized_FCF!G8/G35</f>
        <v>8.9261562605853981E-3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1.1964527413850562E-2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-6.6121078416918412E-5</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5072413</v>
      </c>
      <c r="D66" s="76">
        <f>C66-D75</f>
        <v>4573651.4963457817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5072413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-83489.166666666672</v>
      </c>
      <c r="D73" s="349">
        <f>(Normalized_FCF!C25+Normalized_FCF!C35-Normalized_FCF!C91)/12</f>
        <v>-83126.91727570309</v>
      </c>
      <c r="F73" s="1" t="s">
        <v>342</v>
      </c>
    </row>
    <row r="74" spans="2:6" ht="15" customHeight="1">
      <c r="B74" s="257" t="s">
        <v>312</v>
      </c>
      <c r="C74" s="258">
        <f>-$C$66/C73</f>
        <v>60.75534350764071</v>
      </c>
      <c r="D74" s="258">
        <f>-$C$66/D73</f>
        <v>61.020102347553312</v>
      </c>
      <c r="F74" s="253" t="s">
        <v>310</v>
      </c>
    </row>
    <row r="75" spans="2:6" ht="15" customHeight="1">
      <c r="B75" s="80" t="s">
        <v>311</v>
      </c>
      <c r="C75" s="320"/>
      <c r="D75" s="321">
        <f>MAX(-D73*D76,G5)</f>
        <v>498761.50365421851</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238667</v>
      </c>
      <c r="D80" s="76">
        <f>G19*H19</f>
        <v>23866.7</v>
      </c>
      <c r="F80" s="253"/>
    </row>
    <row r="81" spans="2:8" ht="15" customHeight="1">
      <c r="B81" s="105" t="s">
        <v>176</v>
      </c>
      <c r="C81" s="20">
        <f>G9+G21</f>
        <v>0</v>
      </c>
      <c r="D81" s="76">
        <f>G9*H9+G21*H21</f>
        <v>0</v>
      </c>
      <c r="F81" s="253"/>
    </row>
    <row r="82" spans="2:8" ht="15" customHeight="1">
      <c r="B82" s="80" t="s">
        <v>185</v>
      </c>
      <c r="C82" s="81">
        <f>SUM(C79:C81)</f>
        <v>238667</v>
      </c>
      <c r="D82" s="81">
        <f>SUM(D79:D81)</f>
        <v>23866.7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-115864</v>
      </c>
      <c r="D86" s="223">
        <f>C86*scaling_factor/Common_Shares</f>
        <v>-5.0706701944848852E-2</v>
      </c>
      <c r="E86" s="240" t="str">
        <f>Market_currency</f>
        <v>HKD</v>
      </c>
    </row>
    <row r="87" spans="2:8" ht="15" customHeight="1">
      <c r="B87" s="238" t="s">
        <v>282</v>
      </c>
      <c r="C87" s="76">
        <f>DCF!C8*Exchange_Rate</f>
        <v>4573651.4963457817</v>
      </c>
      <c r="D87" s="223">
        <f>C87*scaling_factor/Common_Shares</f>
        <v>2.0016120902507897</v>
      </c>
      <c r="E87" s="240" t="str">
        <f>Market_currency</f>
        <v>HKD</v>
      </c>
    </row>
    <row r="88" spans="2:8" ht="15" customHeight="1">
      <c r="B88" s="239" t="s">
        <v>185</v>
      </c>
      <c r="C88" s="76">
        <f>DCF!C9*Exchange_Rate</f>
        <v>23866.7</v>
      </c>
      <c r="D88" s="223">
        <f>C88*scaling_factor/Common_Shares</f>
        <v>1.0445018671089587E-2</v>
      </c>
      <c r="E88" s="240" t="str">
        <f>Market_currency</f>
        <v>HKD</v>
      </c>
    </row>
    <row r="89" spans="2:8" ht="15" customHeight="1">
      <c r="B89" s="80" t="s">
        <v>286</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44</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46</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43</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148</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66</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160</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61</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150</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60</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44</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AVERAGE(G28:I28)</f>
        <v>0.28653386478483844</v>
      </c>
      <c r="D28" s="26"/>
      <c r="E28" s="266" t="s">
        <v>324</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324</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44</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-217895.5</v>
      </c>
      <c r="E33" s="266" t="s">
        <v>324</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47</v>
      </c>
      <c r="C34" s="340">
        <f>AVERAGE(G34:J34)</f>
        <v>-331291.5</v>
      </c>
      <c r="D34" s="58"/>
      <c r="E34" s="266" t="s">
        <v>324</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43</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43</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336</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333</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66</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1.3975005584127318E-2</v>
      </c>
      <c r="E53" s="265" t="s">
        <v>326</v>
      </c>
      <c r="G53" s="6">
        <f>IF(Normalized_FCF!G4="","",Normalized_FCF!G49/BS!$C$66)</f>
        <v>1.3975005584127318E-2</v>
      </c>
      <c r="H53" s="169"/>
      <c r="I53" s="169"/>
      <c r="J53" s="169"/>
      <c r="K53" s="169"/>
      <c r="L53" s="169"/>
      <c r="M53" s="169"/>
      <c r="N53" s="169"/>
      <c r="O53" s="169"/>
      <c r="P53" s="169"/>
      <c r="Q53" s="169"/>
    </row>
    <row r="54" spans="1:17" ht="15.75" customHeight="1">
      <c r="A54" s="10"/>
      <c r="B54" s="8" t="s">
        <v>85</v>
      </c>
      <c r="C54" s="82">
        <f>G54</f>
        <v>9.8477525374577088E-2</v>
      </c>
      <c r="E54" s="265" t="s">
        <v>327</v>
      </c>
      <c r="G54" s="23">
        <f>IFERROR(ABS(Normalized_FCF!G47/BS!$G$31),0)</f>
        <v>9.8477525374577088E-2</v>
      </c>
      <c r="H54" s="169"/>
      <c r="I54" s="169"/>
      <c r="J54" s="169"/>
      <c r="K54" s="169"/>
      <c r="L54" s="169"/>
      <c r="M54" s="169"/>
      <c r="N54" s="169"/>
      <c r="O54" s="169"/>
      <c r="P54" s="169"/>
      <c r="Q54" s="169"/>
    </row>
    <row r="55" spans="1:17" ht="15.75" customHeight="1">
      <c r="A55" s="10"/>
      <c r="B55" s="26" t="s">
        <v>88</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46</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43</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148</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66</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160</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61</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150</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209</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433</v>
      </c>
      <c r="C93" s="356">
        <f>C90/Market_Price</f>
        <v>0</v>
      </c>
      <c r="E93" s="268"/>
      <c r="G93" s="357"/>
      <c r="H93" s="357"/>
      <c r="I93" s="357"/>
      <c r="J93" s="357"/>
      <c r="K93" s="357"/>
      <c r="L93" s="357"/>
      <c r="M93" s="357"/>
      <c r="N93" s="357"/>
      <c r="O93" s="357"/>
      <c r="P93" s="357"/>
      <c r="Q93" s="357"/>
    </row>
    <row r="94" spans="1:17" ht="15.75" customHeight="1">
      <c r="A94" s="10"/>
      <c r="B94" s="2" t="s">
        <v>432</v>
      </c>
      <c r="C94" s="23">
        <f>(C90*(1-dividend_tax_rate))/Market_Price</f>
        <v>0</v>
      </c>
      <c r="E94" s="268"/>
      <c r="G94" s="23">
        <f t="shared" ref="G94:Q94" si="39">IF(G$4="","",(G90*(1-dividend_tax_rate))/Market_Price)</f>
        <v>0</v>
      </c>
      <c r="H94" s="23">
        <f t="shared" si="39"/>
        <v>0</v>
      </c>
      <c r="I94" s="23">
        <f t="shared" si="39"/>
        <v>0</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0.18831041619610867</v>
      </c>
      <c r="H97" s="6">
        <f t="shared" si="40"/>
        <v>-6.1064704609391951E-2</v>
      </c>
      <c r="I97" s="6">
        <f t="shared" si="40"/>
        <v>-0.22855595056147138</v>
      </c>
      <c r="J97" s="6">
        <f t="shared" si="40"/>
        <v>0.16476931887012758</v>
      </c>
      <c r="K97" s="6">
        <f t="shared" si="40"/>
        <v>0.47019910147757349</v>
      </c>
      <c r="L97" s="6">
        <f t="shared" si="40"/>
        <v>0.82788784870915233</v>
      </c>
      <c r="M97" s="6" t="str">
        <f t="shared" si="40"/>
        <v/>
      </c>
      <c r="N97" s="6" t="str">
        <f t="shared" si="40"/>
        <v/>
      </c>
      <c r="O97" s="6" t="str">
        <f t="shared" si="40"/>
        <v/>
      </c>
      <c r="P97" s="6" t="str">
        <f t="shared" si="40"/>
        <v/>
      </c>
      <c r="Q97" s="6" t="str">
        <f t="shared" si="40"/>
        <v/>
      </c>
    </row>
    <row r="98" spans="1:17" ht="15.75" customHeight="1">
      <c r="A98" s="10"/>
      <c r="B98" s="70" t="s">
        <v>160</v>
      </c>
      <c r="C98" s="77">
        <f>C13/G13-1</f>
        <v>0.17483644908688745</v>
      </c>
      <c r="D98" s="27"/>
      <c r="E98" s="265"/>
      <c r="F98" s="27"/>
      <c r="G98" s="6">
        <f t="shared" ref="G98:Q98" si="41">IF(H5="","",G13/H13-1)</f>
        <v>-1.1375525495513839</v>
      </c>
      <c r="H98" s="6">
        <f t="shared" si="41"/>
        <v>34.992464065723482</v>
      </c>
      <c r="I98" s="6">
        <f t="shared" si="41"/>
        <v>-1.031725375246374</v>
      </c>
      <c r="J98" s="6">
        <f t="shared" si="41"/>
        <v>-0.16700345205018097</v>
      </c>
      <c r="K98" s="6">
        <f t="shared" si="41"/>
        <v>3.3118533309130518</v>
      </c>
      <c r="L98" s="6">
        <f t="shared" si="41"/>
        <v>-2.6594623089088034</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8593904</v>
      </c>
      <c r="D102" s="26"/>
      <c r="E102" s="269"/>
      <c r="F102" s="26"/>
      <c r="G102" s="333">
        <f t="shared" ref="G102:Q102" si="42">IF(G$4="","",G106+G105)</f>
        <v>8593904</v>
      </c>
      <c r="H102" s="333">
        <f t="shared" si="42"/>
        <v>9730522</v>
      </c>
      <c r="I102" s="333">
        <f t="shared" si="42"/>
        <v>11924356</v>
      </c>
      <c r="J102" s="333">
        <f t="shared" si="42"/>
        <v>11808265</v>
      </c>
      <c r="K102" s="333">
        <f t="shared" si="42"/>
        <v>6136803</v>
      </c>
      <c r="L102" s="333">
        <f t="shared" si="42"/>
        <v>3771652</v>
      </c>
      <c r="M102" s="333">
        <f t="shared" si="42"/>
        <v>3128504</v>
      </c>
      <c r="N102" s="333" t="str">
        <f t="shared" si="42"/>
        <v/>
      </c>
      <c r="O102" s="333" t="str">
        <f t="shared" si="42"/>
        <v/>
      </c>
      <c r="P102" s="333" t="str">
        <f t="shared" si="42"/>
        <v/>
      </c>
      <c r="Q102" s="333" t="str">
        <f t="shared" si="42"/>
        <v/>
      </c>
    </row>
    <row r="103" spans="1:17" ht="15.75" customHeight="1">
      <c r="A103" s="10"/>
      <c r="B103" s="93" t="s">
        <v>206</v>
      </c>
      <c r="C103" s="345">
        <f>BS!C4</f>
        <v>218642</v>
      </c>
      <c r="D103" s="89"/>
      <c r="E103" s="270"/>
      <c r="F103" s="89"/>
      <c r="G103" s="346">
        <f>IF(G$4="","",Data!D77)</f>
        <v>290847</v>
      </c>
      <c r="H103" s="346">
        <f>IF(H$4="","",Data!E77)</f>
        <v>342114</v>
      </c>
      <c r="I103" s="346">
        <f>IF(I$4="","",Data!F77)</f>
        <v>254075</v>
      </c>
      <c r="J103" s="346">
        <f>IF(J$4="","",Data!G77)</f>
        <v>225175</v>
      </c>
      <c r="K103" s="346">
        <f>IF(K$4="","",Data!H77)</f>
        <v>152761</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38</v>
      </c>
      <c r="C105" s="344">
        <f>BS!G30</f>
        <v>760309</v>
      </c>
      <c r="D105" s="26"/>
      <c r="E105" s="269"/>
      <c r="F105" s="26"/>
      <c r="G105" s="333">
        <f>Data!C79</f>
        <v>760309</v>
      </c>
      <c r="H105" s="333">
        <f>Data!D79</f>
        <v>617731</v>
      </c>
      <c r="I105" s="333">
        <f>Data!E79</f>
        <v>1967828</v>
      </c>
      <c r="J105" s="333">
        <f>Data!F79</f>
        <v>2086158</v>
      </c>
      <c r="K105" s="333">
        <f>Data!G79</f>
        <v>9460292</v>
      </c>
      <c r="L105" s="333">
        <f>Data!H79</f>
        <v>6362095</v>
      </c>
      <c r="M105" s="333">
        <f>Data!I79</f>
        <v>4669537</v>
      </c>
      <c r="N105" s="333" t="str">
        <f>Data!J79</f>
        <v/>
      </c>
      <c r="O105" s="333" t="str">
        <f>Data!K79</f>
        <v/>
      </c>
      <c r="P105" s="333" t="str">
        <f>Data!L79</f>
        <v/>
      </c>
      <c r="Q105" s="333" t="str">
        <f>Data!M79</f>
        <v/>
      </c>
    </row>
    <row r="106" spans="1:17" ht="15.75" customHeight="1">
      <c r="A106" s="10"/>
      <c r="B106" s="26" t="s">
        <v>28</v>
      </c>
      <c r="C106" s="344">
        <f>BS!G27</f>
        <v>7833595</v>
      </c>
      <c r="D106" s="26"/>
      <c r="E106" s="269"/>
      <c r="F106" s="26"/>
      <c r="G106" s="333">
        <f>Data!C80</f>
        <v>7833595</v>
      </c>
      <c r="H106" s="333">
        <f>Data!D80</f>
        <v>9112791</v>
      </c>
      <c r="I106" s="333">
        <f>Data!E80</f>
        <v>9956528</v>
      </c>
      <c r="J106" s="333">
        <f>Data!F80</f>
        <v>9722107</v>
      </c>
      <c r="K106" s="333">
        <f>Data!G80</f>
        <v>-3323489</v>
      </c>
      <c r="L106" s="333">
        <f>Data!H80</f>
        <v>-2590443</v>
      </c>
      <c r="M106" s="333">
        <f>Data!I80</f>
        <v>-1541033</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0.2120323165947906</v>
      </c>
      <c r="D109" s="26"/>
      <c r="E109" s="269"/>
      <c r="F109" s="26"/>
      <c r="G109" s="94">
        <f t="shared" ref="G109:Q109" si="43">IF(G$4="","",G103/G$4)</f>
        <v>0.28205451461587921</v>
      </c>
      <c r="H109" s="94">
        <f t="shared" si="43"/>
        <v>0.39424774477853425</v>
      </c>
      <c r="I109" s="94">
        <f t="shared" si="43"/>
        <v>0.27491343864964296</v>
      </c>
      <c r="J109" s="94">
        <f t="shared" si="43"/>
        <v>0.18795705889668976</v>
      </c>
      <c r="K109" s="94">
        <f t="shared" si="43"/>
        <v>0.14852203266568859</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-0.85134784164611066</v>
      </c>
      <c r="H114" s="295">
        <f>IF(H$4="","",Data!D$22/Data!D15)</f>
        <v>0.7312981335354547</v>
      </c>
      <c r="I114" s="295">
        <f>IF(I$4="","",Data!E$22/Data!E15)</f>
        <v>-85.089361702127661</v>
      </c>
      <c r="J114" s="295">
        <f>IF(J$4="","",Data!F$22/Data!F15)</f>
        <v>5.6289616404015405E-2</v>
      </c>
      <c r="K114" s="295">
        <f>IF(K$4="","",Data!G$22/Data!G15)</f>
        <v>-2.9349096133795118</v>
      </c>
      <c r="L114" s="295">
        <f>IF(L$4="","",Data!H$22/Data!H15)</f>
        <v>-0.18653220872220588</v>
      </c>
      <c r="M114" s="295">
        <f>IF(M$4="","",Data!I$22/Data!I15)</f>
        <v>0.70290185456337462</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-10.58277261787565</v>
      </c>
      <c r="H115" s="295">
        <f>IF(H$4="","",Data!D$22/H19)</f>
        <v>1.6195290512667515</v>
      </c>
      <c r="I115" s="295">
        <f>IF(I$4="","",Data!E$22/I19)</f>
        <v>-41.491956536290409</v>
      </c>
      <c r="J115" s="295">
        <f>IF(J$4="","",Data!F$22/J19)</f>
        <v>-8.9418785233011722</v>
      </c>
      <c r="K115" s="295">
        <f>IF(K$4="","",Data!G$22/K19)</f>
        <v>14.244552830086286</v>
      </c>
      <c r="L115" s="295">
        <f>IF(L$4="","",Data!H$22/L19)</f>
        <v>4.5961831887226436</v>
      </c>
      <c r="M115" s="295">
        <f>IF(M$4="","",Data!I$22/M19)</f>
        <v>49.081843838193791</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2.8327145387125552E-2</v>
      </c>
      <c r="E118" s="268"/>
      <c r="G118" s="23">
        <f t="shared" ref="G118:Q118" si="45">IF(G4="","",IF(valuation_method="DDM",G13/(G4+G12),G81))</f>
        <v>2.4111564983485257E-2</v>
      </c>
      <c r="H118" s="23">
        <f t="shared" si="45"/>
        <v>-0.20829874774485152</v>
      </c>
      <c r="I118" s="23">
        <f t="shared" si="45"/>
        <v>-5.4338887686647911E-3</v>
      </c>
      <c r="J118" s="23">
        <f t="shared" si="45"/>
        <v>0.13213212210551972</v>
      </c>
      <c r="K118" s="23">
        <f t="shared" si="45"/>
        <v>0.18475879911447379</v>
      </c>
      <c r="L118" s="23">
        <f t="shared" si="45"/>
        <v>6.2996628039445793E-2</v>
      </c>
      <c r="M118" s="23">
        <f t="shared" si="45"/>
        <v>-6.9390410547300593E-2</v>
      </c>
      <c r="N118" s="23" t="str">
        <f t="shared" si="45"/>
        <v/>
      </c>
      <c r="O118" s="23" t="str">
        <f t="shared" si="45"/>
        <v/>
      </c>
      <c r="P118" s="23" t="str">
        <f t="shared" si="45"/>
        <v/>
      </c>
      <c r="Q118" s="23" t="str">
        <f t="shared" si="45"/>
        <v/>
      </c>
    </row>
    <row r="119" spans="1:17" ht="15.75" customHeight="1">
      <c r="B119" s="7" t="s">
        <v>81</v>
      </c>
      <c r="C119" s="42">
        <f>IF(valuation_method="DDM",(C4+C12)/C102,C4/C102)</f>
        <v>0.11998888979909481</v>
      </c>
      <c r="E119" s="268"/>
      <c r="G119" s="42">
        <f t="shared" ref="G119:Q119" si="46">IF(G4="","",IF(valuation_method="DDM",(G4+G12)/G102,G4/G102))</f>
        <v>0.11998888979909481</v>
      </c>
      <c r="H119" s="42">
        <f t="shared" si="46"/>
        <v>8.9179593859404466E-2</v>
      </c>
      <c r="I119" s="42">
        <f t="shared" si="46"/>
        <v>7.7505233825625464E-2</v>
      </c>
      <c r="J119" s="42">
        <f t="shared" si="46"/>
        <v>0.10145546360959887</v>
      </c>
      <c r="K119" s="42">
        <f t="shared" si="46"/>
        <v>0.16760208857934661</v>
      </c>
      <c r="L119" s="42">
        <f t="shared" si="46"/>
        <v>0.18548715523065223</v>
      </c>
      <c r="M119" s="42">
        <f t="shared" si="46"/>
        <v>0.12233738553634581</v>
      </c>
      <c r="N119" s="42" t="str">
        <f t="shared" si="46"/>
        <v/>
      </c>
      <c r="O119" s="42" t="str">
        <f t="shared" si="46"/>
        <v/>
      </c>
      <c r="P119" s="42" t="str">
        <f t="shared" si="46"/>
        <v/>
      </c>
      <c r="Q119" s="42" t="str">
        <f t="shared" si="46"/>
        <v/>
      </c>
    </row>
    <row r="120" spans="1:17" ht="15.75" customHeight="1">
      <c r="B120" s="7" t="s">
        <v>89</v>
      </c>
      <c r="C120" s="15">
        <f>C102/C106</f>
        <v>1.0970574812713703</v>
      </c>
      <c r="D120" s="11"/>
      <c r="E120" s="272"/>
      <c r="F120" s="11"/>
      <c r="G120" s="15">
        <f t="shared" ref="G120:Q120" si="47">IF(G$4="","",G102/G106)</f>
        <v>1.0970574812713703</v>
      </c>
      <c r="H120" s="15">
        <f t="shared" si="47"/>
        <v>1.0677872454223958</v>
      </c>
      <c r="I120" s="15">
        <f t="shared" si="47"/>
        <v>1.1976419892556924</v>
      </c>
      <c r="J120" s="15">
        <f t="shared" si="47"/>
        <v>1.2145787944938273</v>
      </c>
      <c r="K120" s="15">
        <f t="shared" si="47"/>
        <v>-1.8464941511766702</v>
      </c>
      <c r="L120" s="15">
        <f t="shared" si="47"/>
        <v>-1.4559872577779167</v>
      </c>
      <c r="M120" s="15">
        <f t="shared" si="47"/>
        <v>-2.0301343319708272</v>
      </c>
      <c r="N120" s="15" t="str">
        <f t="shared" si="47"/>
        <v/>
      </c>
      <c r="O120" s="15" t="str">
        <f t="shared" si="47"/>
        <v/>
      </c>
      <c r="P120" s="15" t="str">
        <f t="shared" si="47"/>
        <v/>
      </c>
      <c r="Q120" s="15" t="str">
        <f t="shared" si="47"/>
        <v/>
      </c>
    </row>
    <row r="121" spans="1:17" ht="15.75" customHeight="1">
      <c r="A121" s="10"/>
      <c r="B121" s="70" t="s">
        <v>218</v>
      </c>
      <c r="C121" s="102">
        <f>C13/C106</f>
        <v>3.7288355461672987E-3</v>
      </c>
      <c r="D121" s="103"/>
      <c r="E121" s="271"/>
      <c r="F121" s="103"/>
      <c r="G121" s="102">
        <f t="shared" ref="G121:Q121" si="48">IF(G$4="","",G13/G106)</f>
        <v>3.1739188455256421E-3</v>
      </c>
      <c r="H121" s="102">
        <f t="shared" si="48"/>
        <v>-1.9835213442079745E-2</v>
      </c>
      <c r="I121" s="102">
        <f t="shared" si="48"/>
        <v>-5.0439269592773709E-4</v>
      </c>
      <c r="J121" s="102">
        <f t="shared" si="48"/>
        <v>1.6282067251471313E-2</v>
      </c>
      <c r="K121" s="102">
        <f t="shared" si="48"/>
        <v>-5.7178465161160458E-2</v>
      </c>
      <c r="L121" s="102">
        <f t="shared" si="48"/>
        <v>-1.7013306218280039E-2</v>
      </c>
      <c r="M121" s="102">
        <f t="shared" si="48"/>
        <v>1.7233894407193098E-2</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9.587656244536915E-3</v>
      </c>
      <c r="D125" s="27"/>
      <c r="E125" s="265"/>
      <c r="F125" s="27"/>
      <c r="G125" s="177">
        <f t="shared" ref="G125:Q125" si="49">IF(G$4="","",G16*$C$3/Common_Shares*Exchange_Rate)</f>
        <v>-2.9415876317256544E-2</v>
      </c>
      <c r="H125" s="177">
        <f t="shared" si="49"/>
        <v>-8.760287122072305E-2</v>
      </c>
      <c r="I125" s="177">
        <f t="shared" si="49"/>
        <v>-1.9614579804479223E-2</v>
      </c>
      <c r="J125" s="177">
        <f t="shared" si="49"/>
        <v>3.5788872859075331E-2</v>
      </c>
      <c r="K125" s="177">
        <f t="shared" si="49"/>
        <v>6.4515114046656746E-2</v>
      </c>
      <c r="L125" s="177">
        <f t="shared" si="49"/>
        <v>1.9217202833496667E-2</v>
      </c>
      <c r="M125" s="177">
        <f t="shared" si="49"/>
        <v>-8.8390117653465456E-3</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4.3779252258159427E-3</v>
      </c>
      <c r="D126" s="27"/>
      <c r="E126" s="265"/>
      <c r="F126" s="27"/>
      <c r="G126" s="77">
        <f t="shared" ref="G126" si="50">IF(G$4="","",G125/Market_Price)</f>
        <v>-1.3431906994181071E-2</v>
      </c>
      <c r="H126" s="77">
        <f t="shared" ref="H126" si="51">IF(H$4="","",H125/Market_Price)</f>
        <v>-4.0001311059690889E-2</v>
      </c>
      <c r="I126" s="77">
        <f t="shared" ref="I126" si="52">IF(I$4="","",I125/Market_Price)</f>
        <v>-8.956429134465399E-3</v>
      </c>
      <c r="J126" s="77">
        <f t="shared" ref="J126" si="53">IF(J$4="","",J125/Market_Price)</f>
        <v>1.6341951077203348E-2</v>
      </c>
      <c r="K126" s="77">
        <f t="shared" ref="K126" si="54">IF(K$4="","",K125/Market_Price)</f>
        <v>2.9458956185688012E-2</v>
      </c>
      <c r="L126" s="77">
        <f t="shared" ref="L126" si="55">IF(L$4="","",L125/Market_Price)</f>
        <v>8.774978462783866E-3</v>
      </c>
      <c r="M126" s="77">
        <f t="shared" ref="M126" si="56">IF(M$4="","",M125/Market_Price)</f>
        <v>-4.0360784316650893E-3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-0.16696679146919083</v>
      </c>
      <c r="H127" s="23">
        <f>IF(H$4="","",(Data!D47*$C$3)/(Market_Price*Common_Shares))</f>
        <v>-8.8586695875638499E-2</v>
      </c>
      <c r="I127" s="23">
        <f>IF(I$4="","",(Data!E47*$C$3)/(Market_Price*Common_Shares))</f>
        <v>-4.3674057594712346E-3</v>
      </c>
      <c r="J127" s="23">
        <f>IF(J$4="","",(Data!F47*$C$3)/(Market_Price*Common_Shares))</f>
        <v>-2.5959981733977333</v>
      </c>
      <c r="K127" s="23">
        <f>IF(K$4="","",(Data!G47*$C$3)/(Market_Price*Common_Shares))</f>
        <v>-0.1429787329031342</v>
      </c>
      <c r="L127" s="23">
        <f>IF(L$4="","",(Data!H47*$C$3)/(Market_Price*Common_Shares))</f>
        <v>-0.21621686017836331</v>
      </c>
      <c r="M127" s="23">
        <f>IF(M$4="","",(Data!I47*$C$3)/(Market_Price*Common_Shares))</f>
        <v>-0.28182906335443059</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21907.640617708814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292101.87490278418</v>
      </c>
      <c r="D6" t="str">
        <f>Reporting_currency</f>
        <v>HKD</v>
      </c>
      <c r="E6" s="378" t="s">
        <v>245</v>
      </c>
      <c r="F6" s="378"/>
      <c r="H6" s="120"/>
    </row>
    <row r="7" spans="2:8">
      <c r="B7" s="148" t="s">
        <v>220</v>
      </c>
      <c r="C7" s="338">
        <f>BS!G31</f>
        <v>115864</v>
      </c>
      <c r="D7" t="str">
        <f>Reporting_currency</f>
        <v>HKD</v>
      </c>
      <c r="E7" s="378"/>
      <c r="F7" s="378"/>
      <c r="H7" s="120"/>
    </row>
    <row r="8" spans="2:8">
      <c r="B8" s="148" t="s">
        <v>221</v>
      </c>
      <c r="C8" s="338">
        <f>BS!D66</f>
        <v>4573651.4963457817</v>
      </c>
      <c r="D8" t="str">
        <f>Reporting_currency</f>
        <v>HKD</v>
      </c>
      <c r="E8" s="378"/>
      <c r="F8" s="378"/>
      <c r="H8" s="120"/>
    </row>
    <row r="9" spans="2:8">
      <c r="B9" s="205" t="s">
        <v>186</v>
      </c>
      <c r="C9" s="348">
        <f>BS!H42</f>
        <v>23866.7</v>
      </c>
      <c r="D9" t="str">
        <f>Reporting_currency</f>
        <v>HKD</v>
      </c>
      <c r="E9" s="378"/>
      <c r="F9" s="378"/>
      <c r="H9" s="120"/>
    </row>
    <row r="10" spans="2:8" ht="13.15">
      <c r="B10" s="149" t="s">
        <v>223</v>
      </c>
      <c r="C10" s="347">
        <f>C6-C7+C8+C9</f>
        <v>4773756.0712485658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2.089185823570856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2.1092470181722871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305706.48201313155</v>
      </c>
      <c r="D51" s="139">
        <f>Terminal_Growth</f>
        <v>0</v>
      </c>
      <c r="E51" s="124">
        <f>1/(1+Equity_Cost)^C17</f>
        <v>0.48519392830146441</v>
      </c>
      <c r="F51" s="125">
        <f t="shared" si="1"/>
        <v>148326.92891517226</v>
      </c>
      <c r="H51" s="120"/>
    </row>
    <row r="52" spans="1:17">
      <c r="C52" s="114"/>
      <c r="E52" s="127" t="s">
        <v>97</v>
      </c>
      <c r="F52" s="137">
        <f>SUM(F21:F51)</f>
        <v>337941.38254475768</v>
      </c>
      <c r="H52" s="120"/>
    </row>
    <row r="53" spans="1:17">
      <c r="C53" s="114"/>
      <c r="H53" s="120"/>
    </row>
    <row r="54" spans="1:17" ht="13.15">
      <c r="B54" s="119" t="s">
        <v>125</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113</v>
      </c>
      <c r="C73" s="171" t="s">
        <v>128</v>
      </c>
      <c r="D73" s="171" t="s">
        <v>108</v>
      </c>
      <c r="E73" s="172" t="s">
        <v>109</v>
      </c>
      <c r="F73" s="172" t="s">
        <v>115</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0</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0</v>
      </c>
      <c r="D6" t="str">
        <f>Reporting_currency</f>
        <v>HKD</v>
      </c>
      <c r="E6" s="378"/>
      <c r="F6" s="378"/>
      <c r="H6" s="120"/>
    </row>
    <row r="7" spans="2:8" ht="13.15">
      <c r="B7" s="149" t="s">
        <v>420</v>
      </c>
      <c r="C7" s="111">
        <f>(C6*scaling_factor)/Common_Shares*Exchange_Rate</f>
        <v>0</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0</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0</v>
      </c>
      <c r="D46" s="139">
        <f>Terminal_Growth</f>
        <v>0</v>
      </c>
      <c r="E46" s="124">
        <f>1/(1+Equity_Cost)^C12</f>
        <v>0.48519392830146441</v>
      </c>
      <c r="F46" s="125">
        <f t="shared" si="1"/>
        <v>0</v>
      </c>
      <c r="H46" s="120"/>
    </row>
    <row r="47" spans="2:8">
      <c r="C47" s="114"/>
      <c r="E47" s="127" t="s">
        <v>97</v>
      </c>
      <c r="F47" s="137">
        <f>SUM(F16:F46)</f>
        <v>0</v>
      </c>
      <c r="H47" s="120"/>
    </row>
    <row r="48" spans="2:8">
      <c r="C48" s="114"/>
      <c r="H48" s="120"/>
    </row>
    <row r="49" spans="1:8" ht="13.15">
      <c r="B49" s="119" t="s">
        <v>125</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126</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113</v>
      </c>
      <c r="C68" s="171" t="s">
        <v>128</v>
      </c>
      <c r="D68" s="171" t="s">
        <v>108</v>
      </c>
      <c r="E68" s="172" t="s">
        <v>109</v>
      </c>
      <c r="F68" s="172" t="s">
        <v>115</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-2.19</v>
      </c>
    </row>
    <row r="4" spans="2:9">
      <c r="B4" s="152" t="s">
        <v>142</v>
      </c>
      <c r="C4" s="120">
        <v>3</v>
      </c>
      <c r="D4" s="120"/>
      <c r="E4" s="155" t="s">
        <v>146</v>
      </c>
      <c r="F4" s="155"/>
      <c r="H4" s="247">
        <v>1</v>
      </c>
      <c r="I4" s="124">
        <f t="shared" ref="I4:I13" si="0">IF(ROW()-3 &lt; $C$76, $C$77, IF(ROW()-3 = $C$76, $C$77 + $C$60, ""))</f>
        <v>0</v>
      </c>
    </row>
    <row r="5" spans="2:9">
      <c r="H5" s="247">
        <v>2</v>
      </c>
      <c r="I5" s="124">
        <f t="shared" si="0"/>
        <v>0</v>
      </c>
    </row>
    <row r="6" spans="2:9" ht="13.15">
      <c r="B6" s="159" t="s">
        <v>92</v>
      </c>
      <c r="C6" s="107">
        <f>DCF!C3</f>
        <v>1000</v>
      </c>
      <c r="E6" s="100" t="s">
        <v>274</v>
      </c>
      <c r="F6" s="100"/>
      <c r="H6" s="247">
        <v>3</v>
      </c>
      <c r="I6" s="124">
        <f t="shared" si="0"/>
        <v>2.1131011468081908</v>
      </c>
    </row>
    <row r="7" spans="2:9" ht="12.75" customHeight="1">
      <c r="B7" s="100" t="s">
        <v>270</v>
      </c>
      <c r="C7" s="338">
        <f>Normalized_FCF!G8</f>
        <v>29303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80"/>
      <c r="H7" s="247">
        <v>4</v>
      </c>
      <c r="I7" s="124" t="str">
        <f t="shared" si="0"/>
        <v/>
      </c>
    </row>
    <row r="8" spans="2:9">
      <c r="B8" s="100" t="s">
        <v>64</v>
      </c>
      <c r="C8" s="338">
        <f>Normalized_FCF!G19</f>
        <v>-67214.805201284558</v>
      </c>
      <c r="D8" t="str">
        <f>Reporting_currency</f>
        <v>HKD</v>
      </c>
      <c r="E8" s="380"/>
      <c r="F8" s="380"/>
      <c r="H8" s="247">
        <v>5</v>
      </c>
      <c r="I8" s="124" t="str">
        <f t="shared" si="0"/>
        <v/>
      </c>
    </row>
    <row r="9" spans="2:9">
      <c r="B9" s="100" t="s">
        <v>55</v>
      </c>
      <c r="C9" s="338">
        <f>Normalized_FCF!C19</f>
        <v>21907.640617708814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-4.8760226650597205E-2</v>
      </c>
      <c r="D12" s="158"/>
      <c r="E12" s="380"/>
      <c r="F12" s="380"/>
      <c r="H12" s="247">
        <v>9</v>
      </c>
      <c r="I12" s="124" t="str">
        <f t="shared" si="0"/>
        <v/>
      </c>
    </row>
    <row r="13" spans="2:9">
      <c r="B13" s="148" t="s">
        <v>148</v>
      </c>
      <c r="C13" s="158">
        <f ca="1">(Normalized_FCF!G8/OFFSET(Normalized_FCF!G8, 0, $C$4))^(1/$C$4) - 1</f>
        <v>-0.53605739463275559</v>
      </c>
      <c r="E13" s="380"/>
      <c r="F13" s="380"/>
      <c r="H13" s="247">
        <v>10</v>
      </c>
      <c r="I13" s="124" t="str">
        <f t="shared" si="0"/>
        <v/>
      </c>
    </row>
    <row r="14" spans="2:9">
      <c r="B14" s="100" t="s">
        <v>64</v>
      </c>
      <c r="C14" s="158">
        <f ca="1">(Normalized_FCF!G19/OFFSET(Normalized_FCF!G19, 0, $C$4))^(1/$C$4) - 1</f>
        <v>-1.9367231569408296</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2.19</v>
      </c>
      <c r="D21" t="str">
        <f>Market_currency</f>
        <v>HKD</v>
      </c>
      <c r="E21" s="381"/>
      <c r="F21" s="381"/>
    </row>
    <row r="22" spans="2:6">
      <c r="B22" s="100" t="s">
        <v>273</v>
      </c>
      <c r="C22" s="160">
        <f>IF(valuation_method="DCF",DCF!C12,DDM!C7)</f>
        <v>2.089185823570856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2.1061368981109276</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2.089185823570856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2.1267011346081133</v>
      </c>
      <c r="D39" t="str">
        <f>Market_currency</f>
        <v>HKD</v>
      </c>
      <c r="E39" s="379"/>
      <c r="F39" s="379"/>
    </row>
    <row r="40" spans="2:6">
      <c r="B40" s="100" t="s">
        <v>143</v>
      </c>
      <c r="C40" s="167">
        <f>1-C28-C34</f>
        <v>0.3</v>
      </c>
      <c r="D40" s="165"/>
      <c r="E40" s="379"/>
      <c r="F40" s="379"/>
    </row>
    <row r="42" spans="2:6" ht="13.15">
      <c r="B42" s="100" t="s">
        <v>116</v>
      </c>
      <c r="C42" s="154">
        <f>C27*C28+C33*C34+C39*C40</f>
        <v>2.108915954152069</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2.0332245491925347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0.15</v>
      </c>
      <c r="D56" s="164"/>
      <c r="E56" s="379"/>
      <c r="F56" s="379"/>
    </row>
    <row r="57" spans="2:6">
      <c r="B57" s="100" t="s">
        <v>109</v>
      </c>
      <c r="C57" s="160">
        <f>IF(valuation_method="DCF",DCF!E74,DDM!E69)</f>
        <v>2.2683112122340416</v>
      </c>
      <c r="D57" t="str">
        <f>Market_currency</f>
        <v>HKD</v>
      </c>
      <c r="E57" s="379"/>
      <c r="F57" s="379"/>
    </row>
    <row r="58" spans="2:6">
      <c r="B58" s="100" t="s">
        <v>143</v>
      </c>
      <c r="C58" s="165">
        <v>0.05</v>
      </c>
      <c r="D58" s="165"/>
      <c r="E58" s="379"/>
      <c r="F58" s="379"/>
    </row>
    <row r="60" spans="2:6" ht="13.15">
      <c r="B60" s="100" t="s">
        <v>116</v>
      </c>
      <c r="C60" s="154">
        <f>C51*C52+C57*C58+C42*(1-C52-C58)</f>
        <v>2.1131011468081908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2.1092470181722871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0.92818576618522131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v>
      </c>
      <c r="D77" t="str">
        <f>Market_currency</f>
        <v>HKD</v>
      </c>
    </row>
    <row r="79" spans="2:6" ht="13.15">
      <c r="B79" s="109" t="s">
        <v>296</v>
      </c>
    </row>
    <row r="80" spans="2:6">
      <c r="B80" s="148" t="s">
        <v>294</v>
      </c>
      <c r="C80" s="167">
        <f>Thesis!F29</f>
        <v>0.35</v>
      </c>
    </row>
    <row r="81" spans="2:8">
      <c r="B81" s="100" t="s">
        <v>117</v>
      </c>
      <c r="C81" s="116">
        <f>PV(C80, C76, -C77, 0)</f>
        <v>0</v>
      </c>
      <c r="D81" s="116"/>
      <c r="E81" s="100"/>
      <c r="F81" s="100"/>
    </row>
    <row r="82" spans="2:8">
      <c r="B82" s="100" t="s">
        <v>118</v>
      </c>
      <c r="C82" s="116">
        <f>C60/(1+C80)^C76</f>
        <v>0.8588532832629947</v>
      </c>
      <c r="D82" s="116"/>
    </row>
    <row r="83" spans="2:8" ht="13.15">
      <c r="B83" s="110" t="s">
        <v>98</v>
      </c>
      <c r="C83" s="111">
        <f>C81+C82</f>
        <v>0.8588532832629947</v>
      </c>
      <c r="D83" t="str">
        <f>Market_currency</f>
        <v>HKD</v>
      </c>
      <c r="E83" s="146" t="s">
        <v>122</v>
      </c>
      <c r="F83" s="291">
        <f>(1-C83/C60)</f>
        <v>0.59355789259767322</v>
      </c>
    </row>
    <row r="84" spans="2:8">
      <c r="E84" s="120"/>
    </row>
    <row r="85" spans="2:8" ht="13.15">
      <c r="B85" s="109" t="s">
        <v>297</v>
      </c>
    </row>
    <row r="86" spans="2:8">
      <c r="B86" s="148" t="s">
        <v>295</v>
      </c>
      <c r="C86" s="116">
        <f>Market_Price</f>
        <v>2.19</v>
      </c>
      <c r="D86" t="str">
        <f>Market_currency</f>
        <v>HKD</v>
      </c>
    </row>
    <row r="87" spans="2:8" ht="13.15">
      <c r="B87" s="100" t="s">
        <v>293</v>
      </c>
      <c r="C87" s="237">
        <f ca="1">IRR(OFFSET($I$3, 0, 0, $C$76 + 1, 1))</f>
        <v>-1.1844276894026895E-2</v>
      </c>
    </row>
    <row r="88" spans="2:8">
      <c r="B88" s="100"/>
    </row>
    <row r="89" spans="2:8" ht="13.15">
      <c r="B89" s="109" t="s">
        <v>392</v>
      </c>
    </row>
    <row r="90" spans="2:8">
      <c r="B90" s="148" t="s">
        <v>393</v>
      </c>
      <c r="C90" s="167">
        <f>Thesis!F30</f>
        <v>0.25</v>
      </c>
    </row>
    <row r="91" spans="2:8">
      <c r="B91" s="100" t="s">
        <v>117</v>
      </c>
      <c r="C91" s="116">
        <f>PV(C90, C76, -C77, 0)</f>
        <v>0</v>
      </c>
      <c r="D91" s="116"/>
      <c r="E91" s="100"/>
      <c r="F91" s="100"/>
    </row>
    <row r="92" spans="2:8">
      <c r="B92" s="100" t="s">
        <v>118</v>
      </c>
      <c r="C92" s="116">
        <f>C60/(1+C90)^C76</f>
        <v>1.0819077871657936</v>
      </c>
      <c r="D92" s="116"/>
    </row>
    <row r="93" spans="2:8" ht="13.15">
      <c r="B93" s="110" t="s">
        <v>98</v>
      </c>
      <c r="C93" s="111">
        <f>C91+C92</f>
        <v>1.0819077871657936</v>
      </c>
      <c r="D93" t="str">
        <f>Market_currency</f>
        <v>HKD</v>
      </c>
      <c r="E93" s="146" t="s">
        <v>122</v>
      </c>
      <c r="F93" s="291">
        <f>(1-C93/C60)</f>
        <v>0.4880000000000001</v>
      </c>
    </row>
    <row r="95" spans="2:8" ht="13.15">
      <c r="B95" s="109" t="s">
        <v>378</v>
      </c>
      <c r="G95" s="2"/>
      <c r="H95" s="281"/>
    </row>
    <row r="96" spans="2:8">
      <c r="B96" s="148" t="s">
        <v>383</v>
      </c>
      <c r="C96" s="134">
        <f>Thesis!F31</f>
        <v>7.4999999999999997E-2</v>
      </c>
      <c r="G96" s="2"/>
      <c r="H96" s="281"/>
    </row>
    <row r="97" spans="2:8">
      <c r="B97" s="100" t="s">
        <v>117</v>
      </c>
      <c r="C97" s="116">
        <f>PV(C96, C76, -C77, 0)</f>
        <v>0</v>
      </c>
      <c r="D97" s="116"/>
      <c r="G97" s="2"/>
      <c r="H97" s="281"/>
    </row>
    <row r="98" spans="2:8">
      <c r="B98" s="100" t="s">
        <v>118</v>
      </c>
      <c r="C98" s="116">
        <f>C60/(1+C96)^C76</f>
        <v>1.7009631025661165</v>
      </c>
      <c r="D98" s="116"/>
      <c r="G98" s="2"/>
      <c r="H98" s="281"/>
    </row>
    <row r="99" spans="2:8" ht="13.15">
      <c r="B99" s="110" t="s">
        <v>379</v>
      </c>
      <c r="C99" s="111">
        <f>C97+C98</f>
        <v>1.7009631025661165</v>
      </c>
      <c r="D99" t="s">
        <v>377</v>
      </c>
      <c r="E99" s="146" t="s">
        <v>122</v>
      </c>
      <c r="F99" s="291">
        <f>(1-C99/C60)</f>
        <v>0.19503943049039696</v>
      </c>
    </row>
    <row r="100" spans="2:8">
      <c r="B100" s="100"/>
    </row>
    <row r="101" spans="2:8" ht="13.15">
      <c r="B101" s="109" t="s">
        <v>398</v>
      </c>
    </row>
    <row r="102" spans="2:8">
      <c r="B102" s="148" t="s">
        <v>397</v>
      </c>
      <c r="C102" s="134">
        <f>Thesis!F32</f>
        <v>0.1174</v>
      </c>
    </row>
    <row r="103" spans="2:8">
      <c r="B103" s="100" t="s">
        <v>117</v>
      </c>
      <c r="C103" s="116">
        <f>PV(C102, C76, -C77, 0)</f>
        <v>0</v>
      </c>
      <c r="D103" s="116"/>
    </row>
    <row r="104" spans="2:8">
      <c r="B104" s="100" t="s">
        <v>118</v>
      </c>
      <c r="C104" s="116">
        <f>C60/(1+C102)^C76</f>
        <v>1.514587208466269</v>
      </c>
      <c r="D104" s="116"/>
    </row>
    <row r="105" spans="2:8" ht="13.15">
      <c r="B105" s="110" t="s">
        <v>379</v>
      </c>
      <c r="C105" s="111">
        <f>C103+C104</f>
        <v>1.514587208466269</v>
      </c>
      <c r="D105" t="s">
        <v>377</v>
      </c>
      <c r="E105" s="146" t="s">
        <v>122</v>
      </c>
      <c r="F105" s="291">
        <f>(1-C105/C66)</f>
        <v>0.2819299041708756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C2584A-B057-4D8D-B32E-98AB995355A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2025-07-14T10:13:52Z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