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D82D18-C99C-496E-ADDA-3E8EC7D9846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DCF!$B$73:$L$73</definedName>
    <definedName name="Common_Shares">Thesis!$C$6</definedName>
    <definedName name="dividend_tax_rate">Normalized_FCF!$C$91</definedName>
    <definedName name="Equity_Cost">Thesis!$C$108</definedName>
    <definedName name="Exchange_Rate">Thesis!$C$16</definedName>
    <definedName name="FV_adjustments">DCF!$F$7</definedName>
    <definedName name="Holding_Period">Thesis!$E$28</definedName>
    <definedName name="Market_currency">Thesis!$C$13</definedName>
    <definedName name="Market_Price">Thesis!$C$12</definedName>
    <definedName name="Reporting_currency">Thesis!$C$25</definedName>
    <definedName name="scaling_factor">Data!$C$3</definedName>
    <definedName name="Terminal_Growth">Thesis!$C$111</definedName>
    <definedName name="valuation_method">Thesis!$E$24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D21" i="4" l="1"/>
  <c r="C21" i="4"/>
  <c r="F16" i="8"/>
  <c r="E25" i="4" l="1"/>
  <c r="D25" i="4"/>
  <c r="C25" i="4"/>
  <c r="C29" i="2"/>
  <c r="C4" i="2"/>
  <c r="C19" i="3" l="1"/>
  <c r="C1" i="3" l="1"/>
  <c r="C150" i="6"/>
  <c r="C146" i="6"/>
  <c r="C146" i="12"/>
  <c r="C150" i="12"/>
  <c r="E150" i="12"/>
  <c r="E146" i="12"/>
  <c r="E150" i="6" l="1"/>
  <c r="E146" i="6"/>
  <c r="D99" i="6"/>
  <c r="G8" i="8"/>
  <c r="C9" i="8"/>
  <c r="G23" i="9"/>
  <c r="G24" i="9"/>
  <c r="G30" i="9"/>
  <c r="G29" i="9"/>
  <c r="C57" i="9"/>
  <c r="F33" i="9"/>
  <c r="E28" i="12"/>
  <c r="E65" i="9"/>
  <c r="E61" i="9"/>
  <c r="D33" i="9"/>
  <c r="D25" i="9"/>
  <c r="B78" i="8"/>
  <c r="B74" i="8"/>
  <c r="E4" i="9"/>
  <c r="E28" i="9"/>
  <c r="B76" i="8"/>
  <c r="B77" i="8"/>
  <c r="B75" i="8"/>
  <c r="D30" i="9"/>
  <c r="D29" i="9"/>
  <c r="E21" i="9"/>
  <c r="Q117" i="2"/>
  <c r="Q116" i="2"/>
  <c r="D10" i="8"/>
  <c r="G7" i="8"/>
  <c r="H8" i="8"/>
  <c r="H20" i="8"/>
  <c r="H3" i="2"/>
  <c r="H12" i="3"/>
  <c r="G12" i="3"/>
  <c r="C16" i="8" l="1"/>
  <c r="I9" i="8"/>
  <c r="E31" i="12"/>
  <c r="F151" i="12" s="1"/>
  <c r="E32" i="12"/>
  <c r="C109" i="12" s="1"/>
  <c r="E30" i="12"/>
  <c r="E29" i="12"/>
  <c r="C142" i="12"/>
  <c r="C25" i="12"/>
  <c r="C24" i="12"/>
  <c r="C23" i="12"/>
  <c r="C22" i="12"/>
  <c r="C16" i="12"/>
  <c r="C13" i="12"/>
  <c r="B26" i="12" s="1"/>
  <c r="C11" i="12"/>
  <c r="C28" i="12" s="1"/>
  <c r="C12" i="12"/>
  <c r="C14" i="12" s="1"/>
  <c r="C7" i="12"/>
  <c r="C8" i="12" s="1"/>
  <c r="C6" i="12"/>
  <c r="C5" i="12"/>
  <c r="F1" i="12"/>
  <c r="D1" i="12"/>
  <c r="C1" i="12"/>
  <c r="D145" i="12"/>
  <c r="D143" i="12"/>
  <c r="D132" i="12"/>
  <c r="D118" i="12"/>
  <c r="D119" i="12"/>
  <c r="D97" i="12"/>
  <c r="D96" i="12"/>
  <c r="D93" i="12"/>
  <c r="D91" i="12"/>
  <c r="D92" i="12"/>
  <c r="D86" i="12"/>
  <c r="D85" i="12"/>
  <c r="D99" i="12"/>
  <c r="B76" i="12"/>
  <c r="B75" i="12"/>
  <c r="B74" i="12"/>
  <c r="D68" i="12"/>
  <c r="D67" i="12"/>
  <c r="D62" i="12"/>
  <c r="D59" i="12"/>
  <c r="D56" i="12"/>
  <c r="D53" i="12"/>
  <c r="D52" i="12"/>
  <c r="D51" i="12"/>
  <c r="D48" i="12"/>
  <c r="D45" i="12"/>
  <c r="D44" i="12"/>
  <c r="D41" i="12"/>
  <c r="C39" i="12"/>
  <c r="E25" i="12"/>
  <c r="D25" i="12"/>
  <c r="D15" i="12"/>
  <c r="D14" i="12"/>
  <c r="B89" i="2"/>
  <c r="B88" i="2"/>
  <c r="B75" i="6"/>
  <c r="B76" i="6"/>
  <c r="B74" i="6"/>
  <c r="I15" i="8"/>
  <c r="F147" i="12" l="1"/>
  <c r="C110" i="12"/>
  <c r="C108" i="12" s="1"/>
  <c r="C15" i="12"/>
  <c r="D36" i="4"/>
  <c r="E36" i="4"/>
  <c r="F36" i="4"/>
  <c r="D37" i="4"/>
  <c r="E37" i="4"/>
  <c r="F37" i="4"/>
  <c r="F38" i="4" l="1"/>
  <c r="E38" i="4"/>
  <c r="D38" i="4"/>
  <c r="B26" i="6"/>
  <c r="F62" i="9"/>
  <c r="C109" i="6"/>
  <c r="C110" i="6"/>
  <c r="C108" i="6" s="1"/>
  <c r="F151" i="6"/>
  <c r="F66" i="9"/>
  <c r="M62" i="4"/>
  <c r="D145" i="6"/>
  <c r="C28" i="6"/>
  <c r="D15" i="6"/>
  <c r="D14" i="6"/>
  <c r="C14" i="6"/>
  <c r="C5" i="8" l="1"/>
  <c r="F63" i="9"/>
  <c r="F148" i="6" l="1"/>
  <c r="F148" i="12"/>
  <c r="F67" i="9"/>
  <c r="C39" i="6"/>
  <c r="H1" i="3"/>
  <c r="C3" i="2"/>
  <c r="C3" i="8"/>
  <c r="F147" i="6"/>
  <c r="D118" i="6"/>
  <c r="C45" i="9"/>
  <c r="M69" i="4"/>
  <c r="M70" i="4"/>
  <c r="M71" i="4"/>
  <c r="M72" i="4"/>
  <c r="C32" i="4"/>
  <c r="C30" i="4"/>
  <c r="C29" i="4"/>
  <c r="C28" i="4"/>
  <c r="D64" i="4"/>
  <c r="E64" i="4"/>
  <c r="F64" i="4"/>
  <c r="G64" i="4"/>
  <c r="H64" i="4"/>
  <c r="I64" i="4"/>
  <c r="J64" i="4"/>
  <c r="K64" i="4"/>
  <c r="L64" i="4"/>
  <c r="M64" i="4"/>
  <c r="C64" i="4"/>
  <c r="E83" i="2"/>
  <c r="E84" i="2"/>
  <c r="D52" i="6"/>
  <c r="D51" i="6"/>
  <c r="F152" i="6" l="1"/>
  <c r="F152" i="12"/>
  <c r="C40" i="3"/>
  <c r="C8" i="6" l="1"/>
  <c r="C52" i="9"/>
  <c r="D47" i="9"/>
  <c r="J18" i="8"/>
  <c r="D35" i="9"/>
  <c r="D34" i="9"/>
  <c r="D9" i="9"/>
  <c r="E87" i="3"/>
  <c r="E88" i="3"/>
  <c r="E89" i="3"/>
  <c r="E86" i="3"/>
  <c r="D97" i="6" l="1"/>
  <c r="D93" i="6"/>
  <c r="D86" i="6"/>
  <c r="D8" i="9"/>
  <c r="D7" i="9"/>
  <c r="C34" i="9"/>
  <c r="D67" i="6"/>
  <c r="B123" i="2"/>
  <c r="C142" i="6"/>
  <c r="D92" i="6"/>
  <c r="D119" i="6"/>
  <c r="D143" i="6"/>
  <c r="D132" i="6"/>
  <c r="F78" i="8"/>
  <c r="F129" i="12" s="1"/>
  <c r="F74" i="8"/>
  <c r="D96" i="6"/>
  <c r="D91" i="6"/>
  <c r="D85" i="6"/>
  <c r="D68" i="6"/>
  <c r="D56" i="6"/>
  <c r="B81" i="2"/>
  <c r="D62" i="6"/>
  <c r="D59" i="6"/>
  <c r="D53" i="6"/>
  <c r="D48" i="6"/>
  <c r="D45" i="6"/>
  <c r="D44" i="6"/>
  <c r="D41" i="6"/>
  <c r="F125" i="6" l="1"/>
  <c r="F125" i="12"/>
  <c r="F76" i="8"/>
  <c r="F77" i="8"/>
  <c r="F129" i="6"/>
  <c r="F128" i="6" l="1"/>
  <c r="F128" i="12"/>
  <c r="F127" i="6"/>
  <c r="F127"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25"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9" i="6" l="1"/>
  <c r="B129" i="12"/>
  <c r="B127" i="6"/>
  <c r="B127" i="12"/>
  <c r="B125" i="6"/>
  <c r="B125" i="12"/>
  <c r="B128" i="6"/>
  <c r="B128" i="12"/>
  <c r="B126" i="6"/>
  <c r="B126" i="12"/>
  <c r="C88" i="3"/>
  <c r="D88" i="3" s="1"/>
  <c r="C96" i="12"/>
  <c r="C97" i="12" s="1"/>
  <c r="F75" i="8"/>
  <c r="D74" i="8"/>
  <c r="F55" i="8"/>
  <c r="F64" i="8" s="1"/>
  <c r="C125" i="6"/>
  <c r="C96" i="6"/>
  <c r="C97" i="6" s="1"/>
  <c r="G65" i="2"/>
  <c r="C65" i="2" s="1"/>
  <c r="C57" i="2" s="1"/>
  <c r="D125" i="6" l="1"/>
  <c r="D125" i="12"/>
  <c r="F126" i="6"/>
  <c r="F126" i="12"/>
  <c r="C77" i="8"/>
  <c r="C128" i="12" s="1"/>
  <c r="D24" i="9"/>
  <c r="D78" i="8"/>
  <c r="D23" i="9"/>
  <c r="C76" i="8"/>
  <c r="C127" i="12" s="1"/>
  <c r="C78" i="8"/>
  <c r="C129" i="12" s="1"/>
  <c r="D75" i="8"/>
  <c r="C75" i="8"/>
  <c r="C126" i="12" s="1"/>
  <c r="C15" i="8"/>
  <c r="B51" i="8" s="1"/>
  <c r="Q95" i="2"/>
  <c r="D51" i="8"/>
  <c r="A71" i="8"/>
  <c r="A70" i="8"/>
  <c r="D129" i="6" l="1"/>
  <c r="D129" i="12"/>
  <c r="D126" i="6"/>
  <c r="D126" i="12"/>
  <c r="D77" i="8"/>
  <c r="D76" i="8"/>
  <c r="C59" i="2"/>
  <c r="C61" i="2" s="1"/>
  <c r="D55" i="8"/>
  <c r="C127" i="6"/>
  <c r="B55" i="8"/>
  <c r="B64" i="8" s="1"/>
  <c r="C129" i="6"/>
  <c r="C55" i="8"/>
  <c r="C128" i="6"/>
  <c r="E55" i="8"/>
  <c r="C126" i="6"/>
  <c r="H35" i="3"/>
  <c r="H40" i="3"/>
  <c r="H41" i="3" s="1"/>
  <c r="J51" i="8"/>
  <c r="J22" i="8"/>
  <c r="J28" i="8"/>
  <c r="J27" i="8"/>
  <c r="J39" i="8"/>
  <c r="J38" i="8"/>
  <c r="J21" i="8"/>
  <c r="J43" i="8"/>
  <c r="J29" i="8"/>
  <c r="J47" i="8"/>
  <c r="J37" i="8"/>
  <c r="J46" i="8"/>
  <c r="J35" i="8"/>
  <c r="J45" i="8"/>
  <c r="J31" i="8"/>
  <c r="J36" i="8"/>
  <c r="J44" i="8"/>
  <c r="J30" i="8"/>
  <c r="J50" i="8"/>
  <c r="J42" i="8"/>
  <c r="J34" i="8"/>
  <c r="J26" i="8"/>
  <c r="J49" i="8"/>
  <c r="J41" i="8"/>
  <c r="J33" i="8"/>
  <c r="J25" i="8"/>
  <c r="J48" i="8"/>
  <c r="J40" i="8"/>
  <c r="J32" i="8"/>
  <c r="J24" i="8"/>
  <c r="J23" i="8"/>
  <c r="D127" i="6" l="1"/>
  <c r="D127" i="12"/>
  <c r="D128" i="6"/>
  <c r="D128" i="12"/>
  <c r="C11" i="2"/>
  <c r="I7" i="8" s="1"/>
  <c r="H32" i="3"/>
  <c r="H27" i="3" s="1"/>
  <c r="H29" i="3" s="1"/>
  <c r="D46" i="3" s="1"/>
  <c r="D47" i="3" s="1"/>
  <c r="D64" i="8"/>
  <c r="E64" i="8"/>
  <c r="A67" i="8"/>
  <c r="A68" i="8"/>
  <c r="A69" i="8"/>
  <c r="A66" i="8"/>
  <c r="D4" i="8"/>
  <c r="C48" i="6" l="1"/>
  <c r="C48" i="12"/>
  <c r="C118" i="6"/>
  <c r="C118"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C15" i="6"/>
  <c r="D1" i="4"/>
  <c r="B9" i="8" l="1"/>
  <c r="D9" i="8"/>
  <c r="K76" i="4"/>
  <c r="L76" i="4"/>
  <c r="J76" i="4"/>
  <c r="I76" i="4"/>
  <c r="H76" i="4"/>
  <c r="F76" i="4"/>
  <c r="E76" i="4"/>
  <c r="G76" i="4"/>
  <c r="C46" i="4" l="1"/>
  <c r="G14" i="2" s="1"/>
  <c r="C47" i="4"/>
  <c r="C48" i="4"/>
  <c r="G15" i="2" s="1"/>
  <c r="C66" i="3"/>
  <c r="C92" i="12" s="1"/>
  <c r="C24" i="3"/>
  <c r="G24" i="3"/>
  <c r="C12" i="3"/>
  <c r="M45" i="4"/>
  <c r="D46" i="4"/>
  <c r="H14" i="2" s="1"/>
  <c r="E46" i="4"/>
  <c r="I14" i="2" s="1"/>
  <c r="F46" i="4"/>
  <c r="J14" i="2" s="1"/>
  <c r="G46" i="4"/>
  <c r="K14" i="2" s="1"/>
  <c r="H46" i="4"/>
  <c r="L14" i="2" s="1"/>
  <c r="I46" i="4"/>
  <c r="M14" i="2" s="1"/>
  <c r="J46" i="4"/>
  <c r="N14" i="2" s="1"/>
  <c r="K46" i="4"/>
  <c r="O14" i="2" s="1"/>
  <c r="L46" i="4"/>
  <c r="P14" i="2" s="1"/>
  <c r="M46" i="4"/>
  <c r="Q14"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L45" i="4"/>
  <c r="C70" i="3"/>
  <c r="C67" i="2" s="1"/>
  <c r="C92" i="6"/>
  <c r="J45" i="4"/>
  <c r="I45" i="4"/>
  <c r="G35" i="3"/>
  <c r="G40" i="3"/>
  <c r="D76" i="4"/>
  <c r="C45" i="4"/>
  <c r="F45" i="4"/>
  <c r="D45" i="4"/>
  <c r="G45" i="4"/>
  <c r="E45" i="4"/>
  <c r="H45" i="4"/>
  <c r="I41" i="4"/>
  <c r="J41" i="4"/>
  <c r="K41" i="4"/>
  <c r="L41" i="4"/>
  <c r="M41" i="4"/>
  <c r="D41" i="4"/>
  <c r="G36" i="4"/>
  <c r="H36" i="4"/>
  <c r="I36" i="4"/>
  <c r="J36" i="4"/>
  <c r="K36" i="4"/>
  <c r="L36" i="4"/>
  <c r="M36" i="4"/>
  <c r="C36" i="4"/>
  <c r="B31" i="2"/>
  <c r="B30" i="2"/>
  <c r="C143" i="6" l="1"/>
  <c r="C143" i="12"/>
  <c r="C70" i="6"/>
  <c r="C89" i="2"/>
  <c r="G72" i="4"/>
  <c r="I72" i="4"/>
  <c r="F72" i="4"/>
  <c r="E72" i="4"/>
  <c r="D72" i="4"/>
  <c r="J72" i="4"/>
  <c r="H72" i="4"/>
  <c r="L69" i="4"/>
  <c r="L70" i="4"/>
  <c r="L72" i="4"/>
  <c r="L71" i="4"/>
  <c r="K72" i="4"/>
  <c r="C72" i="4"/>
  <c r="C9"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I35" i="2" l="1"/>
  <c r="I26" i="2"/>
  <c r="G35" i="2"/>
  <c r="C35" i="2" s="1"/>
  <c r="G26" i="2"/>
  <c r="K35" i="2"/>
  <c r="K26" i="2"/>
  <c r="K32" i="2" s="1"/>
  <c r="Q35" i="2"/>
  <c r="Q26" i="2"/>
  <c r="Q5" i="2" s="1"/>
  <c r="P96" i="2" s="1"/>
  <c r="J35" i="2"/>
  <c r="J26" i="2"/>
  <c r="L35" i="2"/>
  <c r="L26" i="2"/>
  <c r="N26" i="2"/>
  <c r="N5" i="2" s="1"/>
  <c r="N35" i="2"/>
  <c r="N7" i="2" s="1"/>
  <c r="N73" i="2" s="1"/>
  <c r="P26" i="2"/>
  <c r="P5" i="2" s="1"/>
  <c r="P35" i="2"/>
  <c r="P7" i="2" s="1"/>
  <c r="P73" i="2" s="1"/>
  <c r="O26" i="2"/>
  <c r="O35" i="2"/>
  <c r="O7" i="2" s="1"/>
  <c r="O73" i="2" s="1"/>
  <c r="M26" i="2"/>
  <c r="M35" i="2"/>
  <c r="H26" i="2"/>
  <c r="H32" i="2" s="1"/>
  <c r="H35" i="2"/>
  <c r="H38" i="2" s="1"/>
  <c r="Q90" i="2"/>
  <c r="Q92" i="2"/>
  <c r="G92" i="2"/>
  <c r="C25" i="2"/>
  <c r="F71" i="4"/>
  <c r="M92" i="2"/>
  <c r="N92" i="2"/>
  <c r="P92" i="2"/>
  <c r="O92" i="2"/>
  <c r="L92" i="2"/>
  <c r="J92" i="2"/>
  <c r="I92" i="2"/>
  <c r="K92" i="2"/>
  <c r="C44" i="6"/>
  <c r="C44" i="12"/>
  <c r="H92" i="2"/>
  <c r="C147" i="6"/>
  <c r="C147" i="12"/>
  <c r="C152" i="6"/>
  <c r="C152" i="12"/>
  <c r="C151" i="6"/>
  <c r="C151" i="12"/>
  <c r="C148" i="6"/>
  <c r="C148"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2" i="2" s="1"/>
  <c r="Q79"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11" i="2" s="1"/>
  <c r="G59" i="2"/>
  <c r="I59" i="2"/>
  <c r="I11" i="2" s="1"/>
  <c r="Q59" i="2"/>
  <c r="Q11" i="2" s="1"/>
  <c r="Q61" i="2"/>
  <c r="M59" i="2"/>
  <c r="P59" i="2"/>
  <c r="P11" i="2" s="1"/>
  <c r="P77" i="2" s="1"/>
  <c r="J59" i="2"/>
  <c r="J11" i="2" s="1"/>
  <c r="N59" i="2"/>
  <c r="K59" i="2"/>
  <c r="K11" i="2" s="1"/>
  <c r="O59" i="2"/>
  <c r="O11" i="2" s="1"/>
  <c r="O77" i="2" s="1"/>
  <c r="L59" i="2"/>
  <c r="L11" i="2" s="1"/>
  <c r="F58" i="4"/>
  <c r="J60" i="2" s="1"/>
  <c r="D58" i="4"/>
  <c r="H60" i="2" s="1"/>
  <c r="G58" i="4"/>
  <c r="H44" i="4"/>
  <c r="E44" i="4"/>
  <c r="C44" i="4"/>
  <c r="Q13" i="2"/>
  <c r="Q16" i="2"/>
  <c r="C104" i="2"/>
  <c r="G51" i="2"/>
  <c r="M95" i="2"/>
  <c r="O95" i="2"/>
  <c r="P95" i="2"/>
  <c r="N95" i="2"/>
  <c r="L95" i="2"/>
  <c r="G95" i="2"/>
  <c r="I95" i="2"/>
  <c r="C100" i="2"/>
  <c r="D59" i="3"/>
  <c r="K95" i="2"/>
  <c r="H95" i="2"/>
  <c r="J95" i="2"/>
  <c r="Q118" i="2"/>
  <c r="Q107" i="2"/>
  <c r="Q108" i="2"/>
  <c r="K80" i="2"/>
  <c r="Q77" i="2"/>
  <c r="J30" i="2"/>
  <c r="P81" i="2"/>
  <c r="G76" i="2"/>
  <c r="G101" i="2"/>
  <c r="G107" i="2" s="1"/>
  <c r="G102" i="2"/>
  <c r="G108" i="2" s="1"/>
  <c r="L81" i="2"/>
  <c r="J75" i="2"/>
  <c r="P75" i="2"/>
  <c r="I32" i="2"/>
  <c r="Q7" i="2"/>
  <c r="Q75" i="2"/>
  <c r="H30" i="2"/>
  <c r="Q6" i="2"/>
  <c r="Q81" i="2"/>
  <c r="Q73" i="2"/>
  <c r="Q85" i="2"/>
  <c r="I80" i="2"/>
  <c r="Q82" i="2"/>
  <c r="Q78" i="2"/>
  <c r="Q80" i="2"/>
  <c r="Q71" i="2"/>
  <c r="Q30" i="2"/>
  <c r="Q74" i="2"/>
  <c r="Q38" i="2"/>
  <c r="Q31" i="2"/>
  <c r="Q32" i="2"/>
  <c r="Q29" i="2"/>
  <c r="Q72" i="2"/>
  <c r="Q76" i="2"/>
  <c r="J38" i="2"/>
  <c r="I30" i="2"/>
  <c r="H31" i="2"/>
  <c r="H80" i="2"/>
  <c r="I31" i="2"/>
  <c r="H81" i="2"/>
  <c r="H75" i="2"/>
  <c r="H76" i="2"/>
  <c r="I76" i="2"/>
  <c r="H29" i="2"/>
  <c r="I75" i="2"/>
  <c r="I29" i="2"/>
  <c r="I81" i="2"/>
  <c r="J31" i="2"/>
  <c r="L76" i="2"/>
  <c r="J81" i="2"/>
  <c r="J76" i="2"/>
  <c r="J32" i="2"/>
  <c r="J29" i="2"/>
  <c r="L29" i="2"/>
  <c r="L32" i="2"/>
  <c r="L38" i="2"/>
  <c r="J80" i="2"/>
  <c r="L80" i="2"/>
  <c r="L75" i="2"/>
  <c r="L30" i="2"/>
  <c r="G38" i="2"/>
  <c r="L31" i="2"/>
  <c r="G81" i="2"/>
  <c r="G75" i="2"/>
  <c r="G31" i="2"/>
  <c r="G80" i="2"/>
  <c r="K29" i="2"/>
  <c r="K30" i="2"/>
  <c r="K75" i="2"/>
  <c r="G30" i="2"/>
  <c r="P31" i="2"/>
  <c r="P80" i="2"/>
  <c r="P30" i="2"/>
  <c r="G29" i="2"/>
  <c r="P29" i="2"/>
  <c r="K31" i="2"/>
  <c r="K81" i="2"/>
  <c r="P76" i="2"/>
  <c r="K76" i="2"/>
  <c r="B1" i="4"/>
  <c r="O76" i="2"/>
  <c r="O75" i="2"/>
  <c r="O81" i="2"/>
  <c r="M76" i="2"/>
  <c r="M81" i="2"/>
  <c r="M75" i="2"/>
  <c r="N76" i="2"/>
  <c r="N81" i="2"/>
  <c r="N75" i="2"/>
  <c r="I38" i="2"/>
  <c r="M80" i="2"/>
  <c r="M31" i="2"/>
  <c r="M7" i="2"/>
  <c r="M73" i="2" s="1"/>
  <c r="M29" i="2"/>
  <c r="M30" i="2"/>
  <c r="M5" i="2"/>
  <c r="N29" i="2"/>
  <c r="N80" i="2"/>
  <c r="N31" i="2"/>
  <c r="N30" i="2"/>
  <c r="O31" i="2"/>
  <c r="O30" i="2"/>
  <c r="O5" i="2"/>
  <c r="O6" i="2" s="1"/>
  <c r="O80" i="2"/>
  <c r="O29" i="2"/>
  <c r="C117" i="2" l="1"/>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23" i="2"/>
  <c r="C47" i="2"/>
  <c r="C24" i="2"/>
  <c r="C109" i="2"/>
  <c r="G32" i="2"/>
  <c r="C17" i="2"/>
  <c r="M61" i="2"/>
  <c r="M11" i="2"/>
  <c r="N61" i="2"/>
  <c r="N11" i="2"/>
  <c r="G67" i="2"/>
  <c r="G11" i="2"/>
  <c r="N71" i="2"/>
  <c r="M6" i="2"/>
  <c r="M8" i="2" s="1"/>
  <c r="C95" i="2"/>
  <c r="J61" i="2"/>
  <c r="J77" i="2" s="1"/>
  <c r="H61" i="2"/>
  <c r="H77" i="2" s="1"/>
  <c r="N38" i="2"/>
  <c r="N118" i="2"/>
  <c r="M118" i="2"/>
  <c r="M38" i="2"/>
  <c r="N6" i="2"/>
  <c r="N8" i="2" s="1"/>
  <c r="M32" i="2"/>
  <c r="M71" i="2"/>
  <c r="N32" i="2"/>
  <c r="K60" i="2"/>
  <c r="C118" i="2"/>
  <c r="C55" i="3"/>
  <c r="L118" i="2"/>
  <c r="J118" i="2"/>
  <c r="H118" i="2"/>
  <c r="K118" i="2"/>
  <c r="I118" i="2"/>
  <c r="H5" i="2"/>
  <c r="I5" i="2"/>
  <c r="C107" i="2"/>
  <c r="C108" i="2"/>
  <c r="K5" i="2"/>
  <c r="J7" i="2"/>
  <c r="J73" i="2" s="1"/>
  <c r="C75" i="2"/>
  <c r="L5" i="2"/>
  <c r="G7" i="2"/>
  <c r="G73" i="2" s="1"/>
  <c r="J5" i="2"/>
  <c r="L7" i="2"/>
  <c r="L73" i="2" s="1"/>
  <c r="H7" i="2"/>
  <c r="H73" i="2" s="1"/>
  <c r="G5" i="2"/>
  <c r="G71" i="2" s="1"/>
  <c r="K7" i="2"/>
  <c r="K73" i="2" s="1"/>
  <c r="K38" i="2"/>
  <c r="I7" i="2"/>
  <c r="I73" i="2" s="1"/>
  <c r="C7" i="2"/>
  <c r="I5" i="8" s="1"/>
  <c r="C26" i="2" l="1"/>
  <c r="C76" i="2"/>
  <c r="C18" i="8" s="1"/>
  <c r="G118" i="2"/>
  <c r="G117" i="2"/>
  <c r="C76" i="6"/>
  <c r="C76" i="12"/>
  <c r="D76" i="6"/>
  <c r="D76" i="12"/>
  <c r="C62" i="6"/>
  <c r="C62" i="12"/>
  <c r="M72" i="2"/>
  <c r="O53" i="2"/>
  <c r="O74" i="2"/>
  <c r="M53" i="2"/>
  <c r="M77" i="2"/>
  <c r="P72" i="2"/>
  <c r="P8" i="2"/>
  <c r="N77" i="2"/>
  <c r="N53" i="2"/>
  <c r="K71" i="2"/>
  <c r="I71" i="2"/>
  <c r="H71" i="2"/>
  <c r="J71" i="2"/>
  <c r="L71" i="2"/>
  <c r="L61" i="2"/>
  <c r="L77" i="2" s="1"/>
  <c r="K61" i="2"/>
  <c r="K77" i="2" s="1"/>
  <c r="I61" i="2"/>
  <c r="I77" i="2" s="1"/>
  <c r="N72" i="2"/>
  <c r="C77" i="2"/>
  <c r="H6" i="2"/>
  <c r="H8" i="2" s="1"/>
  <c r="K6" i="2"/>
  <c r="K8" i="2" s="1"/>
  <c r="G6" i="2"/>
  <c r="G8" i="2" s="1"/>
  <c r="I6" i="2"/>
  <c r="I8" i="2" s="1"/>
  <c r="L6" i="2"/>
  <c r="L8" i="2" s="1"/>
  <c r="J6" i="2"/>
  <c r="J8" i="2" s="1"/>
  <c r="C73" i="2"/>
  <c r="C38" i="2"/>
  <c r="C10" i="2" l="1"/>
  <c r="C45" i="12" s="1"/>
  <c r="L53" i="2"/>
  <c r="P53" i="2"/>
  <c r="P74" i="2"/>
  <c r="C32" i="2"/>
  <c r="C17" i="8" s="1"/>
  <c r="C5" i="2"/>
  <c r="C6" i="2" s="1"/>
  <c r="C8" i="2" s="1"/>
  <c r="C41" i="12" s="1"/>
  <c r="I53" i="2"/>
  <c r="H53" i="2"/>
  <c r="J53" i="2"/>
  <c r="G53" i="2"/>
  <c r="C7" i="9"/>
  <c r="K53" i="2"/>
  <c r="C13" i="9"/>
  <c r="G77" i="2"/>
  <c r="L72" i="2"/>
  <c r="I72" i="2"/>
  <c r="H72" i="2"/>
  <c r="G72" i="2"/>
  <c r="K72" i="2"/>
  <c r="J72" i="2"/>
  <c r="C103" i="2"/>
  <c r="C45" i="6" l="1"/>
  <c r="F17" i="8"/>
  <c r="E51" i="8" s="1"/>
  <c r="E21" i="8"/>
  <c r="D55" i="3"/>
  <c r="G29" i="3"/>
  <c r="D62" i="3" s="1"/>
  <c r="F14" i="8" l="1"/>
  <c r="B39" i="9" s="1"/>
  <c r="D51" i="3"/>
  <c r="C46" i="3"/>
  <c r="C47" i="3" s="1"/>
  <c r="C62" i="3"/>
  <c r="C81" i="2" s="1"/>
  <c r="F18" i="8" l="1"/>
  <c r="H51" i="8" s="1"/>
  <c r="E15" i="8"/>
  <c r="F15" i="8"/>
  <c r="C15" i="2"/>
  <c r="C56" i="12" s="1"/>
  <c r="G1" i="2"/>
  <c r="A41" i="8" l="1"/>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C56" i="6"/>
  <c r="D73" i="3"/>
  <c r="C73" i="3"/>
  <c r="C74" i="3" s="1"/>
  <c r="F1" i="3"/>
  <c r="H1" i="2"/>
  <c r="E1" i="4"/>
  <c r="F1" i="4" s="1"/>
  <c r="G1" i="4" s="1"/>
  <c r="H1" i="4" s="1"/>
  <c r="I1" i="4" s="1"/>
  <c r="J1" i="4" s="1"/>
  <c r="K1" i="4" s="1"/>
  <c r="L1" i="4" s="1"/>
  <c r="M1" i="4" s="1"/>
  <c r="D46" i="8" l="1"/>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51"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2" i="2" s="1"/>
  <c r="K46" i="2"/>
  <c r="K48" i="2" s="1"/>
  <c r="K12" i="2" s="1"/>
  <c r="K41" i="2" s="1"/>
  <c r="M46" i="2"/>
  <c r="M48" i="2" s="1"/>
  <c r="M12" i="2" s="1"/>
  <c r="P46" i="2"/>
  <c r="P48" i="2" s="1"/>
  <c r="P12" i="2" s="1"/>
  <c r="O46" i="2"/>
  <c r="O48" i="2" s="1"/>
  <c r="O12" i="2" s="1"/>
  <c r="N46" i="2"/>
  <c r="N48" i="2" s="1"/>
  <c r="N12" i="2" s="1"/>
  <c r="G46" i="2"/>
  <c r="G48" i="2" s="1"/>
  <c r="G12" i="2" s="1"/>
  <c r="J46" i="2"/>
  <c r="J48" i="2" s="1"/>
  <c r="J12" i="2" s="1"/>
  <c r="H46" i="2"/>
  <c r="H48" i="2" s="1"/>
  <c r="H12" i="2" s="1"/>
  <c r="I46" i="2"/>
  <c r="I48" i="2" s="1"/>
  <c r="I12" i="2" s="1"/>
  <c r="C51" i="6"/>
  <c r="C31" i="3"/>
  <c r="C26" i="8" l="1"/>
  <c r="I78" i="2"/>
  <c r="H78" i="2"/>
  <c r="J78" i="2"/>
  <c r="C91" i="6"/>
  <c r="C93" i="6" s="1"/>
  <c r="C91" i="12"/>
  <c r="C93" i="12" s="1"/>
  <c r="G41" i="2"/>
  <c r="C87" i="3"/>
  <c r="D87" i="3" s="1"/>
  <c r="O78" i="2"/>
  <c r="O13" i="2"/>
  <c r="O119" i="2" s="1"/>
  <c r="O115" i="2" s="1"/>
  <c r="O41" i="2"/>
  <c r="L78" i="2"/>
  <c r="L41" i="2"/>
  <c r="K78" i="2"/>
  <c r="P78" i="2"/>
  <c r="P13" i="2"/>
  <c r="P119" i="2" s="1"/>
  <c r="P115" i="2" s="1"/>
  <c r="P41" i="2"/>
  <c r="M78" i="2"/>
  <c r="M41" i="2"/>
  <c r="J41" i="2"/>
  <c r="H41" i="2"/>
  <c r="I41" i="2"/>
  <c r="N78" i="2"/>
  <c r="N41" i="2"/>
  <c r="G78" i="2"/>
  <c r="C41"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7" i="6"/>
  <c r="C87" i="12"/>
  <c r="D75" i="6"/>
  <c r="D75" i="12"/>
  <c r="O79" i="2"/>
  <c r="O116" i="2" s="1"/>
  <c r="O16" i="2"/>
  <c r="P79" i="2"/>
  <c r="P116" i="2" s="1"/>
  <c r="P16" i="2"/>
  <c r="O96" i="2"/>
  <c r="G52" i="2"/>
  <c r="C99" i="6" l="1"/>
  <c r="C99" i="12"/>
  <c r="C28" i="8"/>
  <c r="C7" i="8"/>
  <c r="C86" i="3"/>
  <c r="D86" i="3" s="1"/>
  <c r="D89" i="3" s="1"/>
  <c r="C85" i="12"/>
  <c r="C86" i="12" s="1"/>
  <c r="C85" i="6"/>
  <c r="C86" i="6" s="1"/>
  <c r="O82" i="2"/>
  <c r="O19" i="2"/>
  <c r="O90" i="2" s="1"/>
  <c r="O123" i="2"/>
  <c r="O124" i="2" s="1"/>
  <c r="P82" i="2"/>
  <c r="P19" i="2"/>
  <c r="P90" i="2" s="1"/>
  <c r="P123" i="2"/>
  <c r="P124" i="2" s="1"/>
  <c r="C45" i="2"/>
  <c r="C52" i="12" s="1"/>
  <c r="C29" i="8" l="1"/>
  <c r="C89" i="3"/>
  <c r="O113" i="2"/>
  <c r="O85" i="2"/>
  <c r="P113" i="2"/>
  <c r="P85" i="2"/>
  <c r="C53" i="2"/>
  <c r="C52" i="6"/>
  <c r="E78" i="8"/>
  <c r="C48" i="2"/>
  <c r="C12" i="2" s="1"/>
  <c r="I8" i="8" s="1"/>
  <c r="I6" i="8" s="1"/>
  <c r="I1" i="2"/>
  <c r="G21" i="8" l="1"/>
  <c r="I21" i="8" s="1"/>
  <c r="G26" i="8"/>
  <c r="I26" i="8" s="1"/>
  <c r="G27" i="8"/>
  <c r="I27" i="8" s="1"/>
  <c r="G28" i="8"/>
  <c r="I28" i="8" s="1"/>
  <c r="E129" i="6"/>
  <c r="E129" i="12"/>
  <c r="E30" i="9"/>
  <c r="G29" i="8"/>
  <c r="I29" i="8" s="1"/>
  <c r="C30" i="8"/>
  <c r="C31" i="8" s="1"/>
  <c r="G23" i="8"/>
  <c r="I23" i="8" s="1"/>
  <c r="G22" i="8"/>
  <c r="G24" i="8"/>
  <c r="I24" i="8" s="1"/>
  <c r="G25" i="8"/>
  <c r="I25" i="8" s="1"/>
  <c r="C53" i="12"/>
  <c r="C13" i="2"/>
  <c r="C14" i="2"/>
  <c r="C53" i="6"/>
  <c r="C78" i="2"/>
  <c r="J1" i="2"/>
  <c r="K1" i="2" s="1"/>
  <c r="L1" i="2" s="1"/>
  <c r="M1" i="2" s="1"/>
  <c r="N1" i="2" s="1"/>
  <c r="O1" i="2" s="1"/>
  <c r="P1" i="2" s="1"/>
  <c r="Q1" i="2" s="1"/>
  <c r="G31" i="8" l="1"/>
  <c r="I31" i="8" s="1"/>
  <c r="C32" i="8"/>
  <c r="G30" i="8"/>
  <c r="I30" i="8" s="1"/>
  <c r="I22" i="8"/>
  <c r="C59" i="6"/>
  <c r="C59" i="12"/>
  <c r="C75" i="6"/>
  <c r="C75" i="12"/>
  <c r="C119" i="2"/>
  <c r="C16" i="2"/>
  <c r="C19" i="2" s="1"/>
  <c r="G32" i="8" l="1"/>
  <c r="I32" i="8" s="1"/>
  <c r="C33" i="8"/>
  <c r="C90" i="2"/>
  <c r="F70" i="12" s="1"/>
  <c r="C68" i="12"/>
  <c r="C73" i="6"/>
  <c r="C73" i="12"/>
  <c r="C4" i="8"/>
  <c r="G33" i="8" l="1"/>
  <c r="I33" i="8" s="1"/>
  <c r="C34" i="8"/>
  <c r="F70" i="6"/>
  <c r="G34" i="8" l="1"/>
  <c r="I34" i="8" s="1"/>
  <c r="C35" i="8"/>
  <c r="C36" i="8" s="1"/>
  <c r="C64" i="8"/>
  <c r="G36" i="8" l="1"/>
  <c r="I36" i="8" s="1"/>
  <c r="C37" i="8"/>
  <c r="G35" i="8"/>
  <c r="I35" i="8" s="1"/>
  <c r="E74" i="8"/>
  <c r="E75" i="8"/>
  <c r="E77" i="8"/>
  <c r="E76" i="8"/>
  <c r="E127" i="6" l="1"/>
  <c r="E127" i="12"/>
  <c r="E128" i="6"/>
  <c r="E128" i="12"/>
  <c r="E125" i="12"/>
  <c r="E125" i="6"/>
  <c r="E126" i="12"/>
  <c r="E126" i="6"/>
  <c r="E24" i="9"/>
  <c r="E29" i="9"/>
  <c r="E23" i="9"/>
  <c r="E22" i="9"/>
  <c r="G37" i="8"/>
  <c r="I37" i="8" s="1"/>
  <c r="C38" i="8"/>
  <c r="C25" i="9" l="1"/>
  <c r="C36" i="9" s="1"/>
  <c r="F34" i="9" s="1"/>
  <c r="G38" i="8"/>
  <c r="I38" i="8" s="1"/>
  <c r="C39" i="8"/>
  <c r="D62" i="9" l="1"/>
  <c r="D63" i="9"/>
  <c r="D67" i="9"/>
  <c r="D66" i="9"/>
  <c r="G39" i="8"/>
  <c r="I39" i="8" s="1"/>
  <c r="C40" i="8"/>
  <c r="C41" i="8" s="1"/>
  <c r="C132" i="12"/>
  <c r="C26" i="12" s="1"/>
  <c r="C132" i="6"/>
  <c r="C26" i="6" s="1"/>
  <c r="F53" i="9"/>
  <c r="C53" i="9" s="1"/>
  <c r="H74" i="2"/>
  <c r="H13" i="2"/>
  <c r="E12" i="12" l="1"/>
  <c r="C42" i="8"/>
  <c r="G41" i="8"/>
  <c r="I41" i="8" s="1"/>
  <c r="G40" i="8"/>
  <c r="I40" i="8" s="1"/>
  <c r="H119" i="2"/>
  <c r="H115" i="2" s="1"/>
  <c r="E66" i="9"/>
  <c r="D151" i="12"/>
  <c r="E62" i="9"/>
  <c r="D147" i="12"/>
  <c r="D152" i="6"/>
  <c r="D152" i="12"/>
  <c r="D148" i="6"/>
  <c r="D148" i="12"/>
  <c r="D151" i="6"/>
  <c r="D147" i="6"/>
  <c r="E67" i="9"/>
  <c r="E63" i="9"/>
  <c r="E148" i="12" s="1"/>
  <c r="C30" i="12" s="1"/>
  <c r="H16" i="2"/>
  <c r="H19" i="2" s="1"/>
  <c r="H90" i="2" s="1"/>
  <c r="H79" i="2"/>
  <c r="H116" i="2" s="1"/>
  <c r="E12" i="6" l="1"/>
  <c r="G42" i="8"/>
  <c r="I42" i="8" s="1"/>
  <c r="C43" i="8"/>
  <c r="E152" i="6"/>
  <c r="C32" i="6" s="1"/>
  <c r="E152" i="12"/>
  <c r="C32" i="12" s="1"/>
  <c r="G62" i="9"/>
  <c r="E147" i="12"/>
  <c r="C29" i="12" s="1"/>
  <c r="E147" i="6"/>
  <c r="C29" i="6" s="1"/>
  <c r="E151" i="6"/>
  <c r="C31" i="6" s="1"/>
  <c r="E151" i="12"/>
  <c r="C31" i="12" s="1"/>
  <c r="G67" i="9"/>
  <c r="H113" i="2"/>
  <c r="G63" i="9"/>
  <c r="E148" i="6"/>
  <c r="H123" i="2"/>
  <c r="H124" i="2" s="1"/>
  <c r="H82" i="2"/>
  <c r="G74" i="2"/>
  <c r="D54" i="3"/>
  <c r="D50" i="3"/>
  <c r="G13" i="2"/>
  <c r="G43" i="8" l="1"/>
  <c r="I43" i="8" s="1"/>
  <c r="C44" i="8"/>
  <c r="G96" i="2"/>
  <c r="G119" i="2"/>
  <c r="D73" i="12" s="1"/>
  <c r="C30" i="6"/>
  <c r="H85" i="2"/>
  <c r="G16" i="2"/>
  <c r="G19" i="2" s="1"/>
  <c r="G79" i="2"/>
  <c r="G116" i="2" s="1"/>
  <c r="C45" i="8" l="1"/>
  <c r="G44" i="8"/>
  <c r="I44" i="8" s="1"/>
  <c r="D74" i="12"/>
  <c r="G90" i="2"/>
  <c r="C67" i="12"/>
  <c r="G115" i="2"/>
  <c r="D73" i="6"/>
  <c r="G113" i="2"/>
  <c r="G123" i="2"/>
  <c r="G124" i="2" s="1"/>
  <c r="G82" i="2"/>
  <c r="J74" i="2"/>
  <c r="I74" i="2"/>
  <c r="N74" i="2"/>
  <c r="L74" i="2"/>
  <c r="J13" i="2"/>
  <c r="M74" i="2"/>
  <c r="L13" i="2"/>
  <c r="L119" i="2" s="1"/>
  <c r="L115" i="2" s="1"/>
  <c r="K13" i="2"/>
  <c r="N13" i="2"/>
  <c r="M13" i="2"/>
  <c r="M119" i="2" s="1"/>
  <c r="M115" i="2" s="1"/>
  <c r="I13" i="2"/>
  <c r="K74" i="2"/>
  <c r="G45" i="8" l="1"/>
  <c r="I45" i="8" s="1"/>
  <c r="C46" i="8"/>
  <c r="K16" i="2"/>
  <c r="K19" i="2" s="1"/>
  <c r="K90" i="2" s="1"/>
  <c r="K119" i="2"/>
  <c r="K115" i="2" s="1"/>
  <c r="N96" i="2"/>
  <c r="N119" i="2"/>
  <c r="N115" i="2" s="1"/>
  <c r="D74" i="6"/>
  <c r="I119" i="2"/>
  <c r="I115" i="2" s="1"/>
  <c r="J119" i="2"/>
  <c r="J115" i="2" s="1"/>
  <c r="C8" i="9"/>
  <c r="C67" i="6"/>
  <c r="G85" i="2"/>
  <c r="K79" i="2"/>
  <c r="K116" i="2" s="1"/>
  <c r="K96" i="2"/>
  <c r="L96" i="2"/>
  <c r="M96" i="2"/>
  <c r="I96" i="2"/>
  <c r="H96" i="2"/>
  <c r="J96" i="2"/>
  <c r="I16" i="2"/>
  <c r="I19" i="2" s="1"/>
  <c r="I90" i="2" s="1"/>
  <c r="I79" i="2"/>
  <c r="I116" i="2" s="1"/>
  <c r="N16" i="2"/>
  <c r="N19" i="2" s="1"/>
  <c r="N90" i="2" s="1"/>
  <c r="N79" i="2"/>
  <c r="N116" i="2" s="1"/>
  <c r="L16" i="2"/>
  <c r="L79" i="2"/>
  <c r="L116" i="2" s="1"/>
  <c r="J16" i="2"/>
  <c r="J19" i="2" s="1"/>
  <c r="J90" i="2" s="1"/>
  <c r="J79" i="2"/>
  <c r="J116" i="2" s="1"/>
  <c r="M16" i="2"/>
  <c r="M79" i="2"/>
  <c r="M116" i="2" s="1"/>
  <c r="K123" i="2"/>
  <c r="K124" i="2" s="1"/>
  <c r="K82" i="2"/>
  <c r="K113" i="2" l="1"/>
  <c r="C47" i="8"/>
  <c r="G46" i="8"/>
  <c r="I46" i="8" s="1"/>
  <c r="N82" i="2"/>
  <c r="L123" i="2"/>
  <c r="L124" i="2" s="1"/>
  <c r="L19" i="2"/>
  <c r="N113" i="2"/>
  <c r="I113" i="2"/>
  <c r="J113" i="2"/>
  <c r="M123" i="2"/>
  <c r="M124" i="2" s="1"/>
  <c r="M19" i="2"/>
  <c r="M90" i="2" s="1"/>
  <c r="I123" i="2"/>
  <c r="I124" i="2" s="1"/>
  <c r="J82" i="2"/>
  <c r="N123" i="2"/>
  <c r="N124" i="2" s="1"/>
  <c r="M82" i="2"/>
  <c r="I85" i="2"/>
  <c r="I82" i="2"/>
  <c r="J123" i="2"/>
  <c r="J124" i="2" s="1"/>
  <c r="K85" i="2"/>
  <c r="L82" i="2"/>
  <c r="N85" i="2"/>
  <c r="C74" i="2"/>
  <c r="C50" i="3"/>
  <c r="C54" i="3"/>
  <c r="C48" i="8" l="1"/>
  <c r="G47" i="8"/>
  <c r="I47" i="8" s="1"/>
  <c r="L85" i="2"/>
  <c r="L90" i="2"/>
  <c r="C88" i="6"/>
  <c r="C88" i="12"/>
  <c r="M113" i="2"/>
  <c r="L113" i="2"/>
  <c r="C14" i="9"/>
  <c r="M85" i="2"/>
  <c r="C79" i="2"/>
  <c r="C116" i="2" s="1"/>
  <c r="C96" i="2"/>
  <c r="J85" i="2"/>
  <c r="C80" i="2"/>
  <c r="C49" i="8" l="1"/>
  <c r="G48" i="8"/>
  <c r="I48" i="8" s="1"/>
  <c r="C74" i="12"/>
  <c r="C123" i="2"/>
  <c r="G49" i="8" l="1"/>
  <c r="I49" i="8" s="1"/>
  <c r="C50" i="8"/>
  <c r="C74" i="6"/>
  <c r="C82" i="2"/>
  <c r="C9" i="9"/>
  <c r="G50" i="8" l="1"/>
  <c r="I50" i="8" s="1"/>
  <c r="C51" i="8"/>
  <c r="G51" i="8" s="1"/>
  <c r="I51" i="8" s="1"/>
  <c r="C68" i="6"/>
  <c r="C124" i="2"/>
  <c r="C85" i="2"/>
  <c r="C69" i="6" l="1"/>
  <c r="C69" i="12"/>
  <c r="C6" i="8"/>
  <c r="C8" i="8" l="1"/>
  <c r="C10" i="8" s="1"/>
  <c r="K46" i="8"/>
  <c r="K49" i="8"/>
  <c r="K43" i="8"/>
  <c r="K47" i="8"/>
  <c r="K44" i="8"/>
  <c r="K45" i="8"/>
  <c r="K50" i="8"/>
  <c r="K48" i="8"/>
  <c r="K41" i="8"/>
  <c r="K42" i="8"/>
  <c r="K36" i="8"/>
  <c r="K39" i="8"/>
  <c r="K40" i="8"/>
  <c r="K38" i="8"/>
  <c r="K37" i="8"/>
  <c r="K24" i="8"/>
  <c r="K30" i="8"/>
  <c r="K35" i="8"/>
  <c r="K51" i="8"/>
  <c r="K28" i="8"/>
  <c r="K31" i="8"/>
  <c r="K29" i="8"/>
  <c r="K21" i="8"/>
  <c r="K23" i="8"/>
  <c r="K32" i="8"/>
  <c r="K34" i="8"/>
  <c r="K25" i="8"/>
  <c r="K26" i="8"/>
  <c r="K27" i="8"/>
  <c r="K33" i="8"/>
  <c r="K22" i="8"/>
  <c r="C11" i="8" l="1"/>
  <c r="K52" i="8"/>
  <c r="B65" i="8" l="1"/>
  <c r="C119" i="6"/>
  <c r="C119" i="12"/>
  <c r="C35" i="9"/>
  <c r="F35" i="9" s="1"/>
  <c r="I18" i="8"/>
  <c r="C65" i="8"/>
  <c r="D65" i="8"/>
  <c r="E65" i="8"/>
  <c r="F65" i="8"/>
  <c r="A55" i="8"/>
  <c r="C50" i="9" l="1"/>
  <c r="C51" i="9" s="1"/>
  <c r="C21" i="6" s="1"/>
  <c r="C47" i="9"/>
  <c r="G66" i="9" s="1"/>
  <c r="C21"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<sst xmlns="http://schemas.openxmlformats.org/spreadsheetml/2006/main" count="766" uniqueCount="555">
  <si>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</si>
  <si>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</si>
  <si>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</si>
  <si>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</si>
  <si>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</si>
  <si>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</si>
  <si>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</si>
  <si>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</si>
  <si>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</si>
  <si>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</si>
  <si>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</si>
  <si>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</si>
  <si>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</si>
  <si>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</si>
  <si>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</si>
  <si>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</si>
  <si>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</si>
  <si>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</si>
  <si>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</si>
  <si>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</si>
  <si>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</si>
  <si>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</si>
  <si>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</si>
  <si>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</si>
  <si>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</si>
  <si>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</si>
  <si>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</si>
  <si>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</si>
  <si>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</si>
  <si>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</si>
  <si>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</si>
  <si>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</si>
  <si>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</si>
  <si>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</si>
  <si>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</si>
  <si>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</si>
  <si>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</si>
  <si>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</si>
  <si>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</si>
  <si>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</si>
  <si>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</si>
  <si>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</si>
  <si>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</si>
  <si>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</si>
  <si>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</si>
  <si>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</si>
  <si>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</si>
  <si>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</si>
  <si>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</si>
  <si>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</si>
  <si>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</si>
  <si>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</si>
  <si>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</si>
  <si>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</si>
  <si>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</si>
  <si>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</si>
  <si>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</si>
  <si>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</si>
  <si>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</si>
  <si>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</si>
  <si>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</si>
  <si>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</si>
  <si>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</si>
  <si>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</si>
  <si>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</si>
  <si>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</si>
  <si>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</si>
  <si>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</si>
  <si>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</si>
  <si>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</si>
  <si>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</si>
  <si>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</si>
  <si>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</si>
  <si>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</si>
  <si>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</si>
  <si>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</si>
  <si>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</si>
  <si>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</si>
  <si>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</si>
  <si>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</si>
  <si>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</si>
  <si>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</si>
  <si>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</si>
  <si>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</si>
  <si>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</si>
  <si>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</si>
  <si>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</si>
  <si>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</si>
  <si>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</si>
  <si>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</si>
  <si>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</si>
  <si>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</si>
  <si>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</si>
  <si>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</si>
  <si>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</si>
  <si>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</si>
  <si>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</si>
  <si>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</si>
  <si>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</si>
  <si>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</si>
  <si>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Discount Factor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</si>
  <si>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</si>
  <si>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</si>
  <si>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</si>
  <si>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</si>
  <si>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</si>
  <si>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</si>
  <si>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</si>
  <si>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</si>
  <si>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</si>
  <si>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</si>
  <si>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</si>
  <si>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</si>
  <si>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</si>
  <si>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</si>
  <si>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</si>
  <si>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</si>
  <si>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</si>
  <si>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</si>
  <si>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</si>
  <si>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</si>
  <si>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</si>
  <si>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</si>
  <si>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</si>
  <si>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</si>
  <si>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</si>
  <si>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</si>
  <si>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</si>
  <si>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</si>
  <si>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</si>
  <si>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</si>
  <si>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</si>
  <si>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</si>
  <si>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</si>
  <si>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</si>
  <si>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</si>
  <si>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</si>
  <si>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</si>
  <si>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</si>
  <si>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</si>
  <si>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</si>
  <si>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</si>
  <si>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</si>
  <si>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</si>
  <si>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</si>
  <si>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</si>
  <si>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</si>
  <si>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</si>
  <si>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</si>
  <si>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</si>
  <si>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</si>
  <si>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</si>
  <si>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</si>
  <si>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</si>
  <si>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</si>
  <si>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</si>
  <si>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</si>
  <si>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</si>
  <si>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</si>
  <si>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</si>
  <si>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</si>
  <si>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</si>
  <si>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</si>
  <si>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</si>
  <si>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</si>
  <si>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</si>
  <si>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</si>
  <si>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</si>
  <si>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</si>
  <si>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</si>
  <si>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</si>
  <si>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</si>
  <si>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</si>
  <si>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</si>
  <si>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</si>
  <si>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</si>
  <si>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</si>
  <si>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</si>
  <si>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</si>
  <si>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</si>
  <si>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</si>
  <si>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</si>
  <si>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</si>
  <si>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</si>
  <si>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</si>
  <si>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</si>
  <si>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</si>
  <si>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</si>
  <si>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</si>
  <si>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</si>
  <si>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</si>
  <si>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</si>
  <si>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</si>
  <si>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</si>
  <si>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</si>
  <si>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</si>
  <si>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</si>
  <si>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</si>
  <si>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</si>
  <si>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</si>
  <si>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</si>
  <si>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</si>
  <si>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</si>
  <si>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</si>
  <si>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</si>
  <si>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</si>
  <si>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</si>
  <si>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</si>
  <si>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</si>
  <si>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</si>
  <si>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</si>
  <si>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</si>
  <si>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</si>
  <si>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</si>
  <si>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</si>
  <si>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</si>
  <si>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</si>
  <si>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</si>
  <si>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</si>
  <si>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</si>
  <si>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</si>
  <si>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</si>
  <si>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</si>
  <si>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</si>
  <si>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</si>
  <si>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</si>
  <si>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</si>
  <si>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</si>
  <si>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</si>
  <si>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</si>
  <si>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</si>
  <si>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</si>
  <si>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</si>
  <si>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</si>
  <si>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</si>
  <si>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</si>
  <si>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</si>
  <si>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</si>
  <si>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</si>
  <si>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</si>
  <si>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</si>
  <si>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</si>
  <si>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</si>
  <si>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</si>
  <si>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</si>
  <si>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</si>
  <si>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</si>
  <si>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</si>
  <si>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</si>
  <si>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</si>
  <si>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</si>
  <si>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</si>
  <si>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</si>
  <si>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</si>
  <si>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</si>
  <si>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</si>
  <si>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</si>
  <si>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</si>
  <si>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</si>
  <si>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</si>
  <si>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</si>
  <si>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</si>
  <si>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</si>
  <si>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</si>
  <si>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</si>
  <si>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</si>
  <si>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</si>
  <si>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</si>
  <si>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</si>
  <si>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</si>
  <si>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</si>
  <si>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</si>
  <si>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</si>
  <si>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</si>
  <si>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</si>
  <si>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</si>
  <si>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</si>
  <si>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</si>
  <si>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</si>
  <si>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</si>
  <si>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</si>
  <si>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</si>
  <si>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</si>
  <si>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</si>
  <si>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</si>
  <si>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</si>
  <si>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</si>
  <si>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</si>
  <si>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</si>
  <si>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</si>
  <si>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</si>
  <si>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</si>
  <si>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</si>
  <si>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</si>
  <si>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</si>
  <si>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</si>
  <si>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</si>
  <si>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</si>
  <si>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</si>
  <si>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</si>
  <si>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</si>
  <si>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</si>
  <si>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</si>
  <si>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</si>
  <si>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</si>
  <si>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</si>
  <si>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</si>
  <si>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</si>
  <si>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</si>
  <si>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</si>
  <si>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</si>
  <si>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</si>
  <si>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</si>
  <si>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</si>
  <si>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</si>
  <si>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</si>
  <si>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</si>
  <si>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</si>
  <si>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Company Information</t>
  </si>
  <si>
    <t>Listing Information</t>
  </si>
  <si>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</si>
  <si>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</si>
  <si>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</si>
  <si>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</si>
  <si>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</si>
  <si>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</si>
  <si>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</si>
  <si>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</si>
  <si>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</si>
  <si>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</si>
  <si>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</si>
  <si>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</si>
  <si>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</si>
  <si>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</si>
  <si>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</si>
  <si>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</si>
  <si>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</si>
  <si>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</si>
  <si>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</si>
  <si>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</si>
  <si>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</si>
  <si>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</si>
  <si>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</si>
  <si>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</si>
  <si>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</si>
  <si>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</si>
  <si>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</si>
  <si>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</si>
  <si>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</si>
  <si>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</si>
  <si>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</si>
  <si>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</si>
  <si>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</si>
  <si>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</si>
  <si>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</si>
  <si>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</si>
  <si>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</si>
  <si>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</si>
  <si>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</si>
  <si>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</si>
  <si>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</si>
  <si>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</si>
  <si>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</si>
  <si>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</si>
  <si>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</si>
  <si>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</si>
  <si>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</si>
  <si>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</si>
  <si>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</si>
  <si>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</si>
  <si>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</si>
  <si>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</si>
  <si>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</si>
  <si>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</si>
  <si>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</si>
  <si>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公司名称：</t>
  </si>
  <si>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</si>
  <si>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</si>
  <si>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</si>
  <si>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</si>
  <si>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</si>
  <si>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</si>
  <si>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</si>
  <si>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</si>
  <si>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</si>
  <si>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</si>
  <si>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</si>
  <si>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</si>
  <si>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</si>
  <si>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</si>
  <si>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</si>
  <si>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</si>
  <si>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</si>
  <si>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</si>
  <si>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</si>
  <si>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</si>
  <si>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</si>
  <si>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</si>
  <si>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</si>
  <si>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</si>
  <si>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</si>
  <si>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</si>
  <si>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</si>
  <si>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</si>
  <si>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</si>
  <si>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</si>
  <si>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</si>
  <si>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</si>
  <si>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</si>
  <si>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</si>
  <si>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</si>
  <si>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</si>
  <si>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</si>
  <si>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</si>
  <si>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</si>
  <si>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</si>
  <si>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</si>
  <si>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</si>
  <si>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</si>
  <si>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</si>
  <si>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</si>
  <si>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</si>
  <si>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Valuation Conclusion</t>
  </si>
  <si>
    <t>Price Targets</t>
  </si>
  <si>
    <t>I</t>
  </si>
  <si>
    <t>Note on g=0: It's to avoid overestimating the stock’s value, especially if future growth is uncertain or unreliable.</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</si>
  <si>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</si>
  <si>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</si>
  <si>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</si>
  <si>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</si>
  <si>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</si>
  <si>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</si>
  <si>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</si>
  <si>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</si>
  <si>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</si>
  <si>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</si>
  <si>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</si>
  <si>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</si>
  <si>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EBITDA</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</si>
  <si>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</si>
  <si>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</si>
  <si>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</si>
  <si>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</si>
  <si>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</si>
  <si>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</si>
  <si>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</si>
  <si>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</si>
  <si>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</si>
  <si>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</si>
  <si>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</si>
  <si>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</si>
  <si>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</si>
  <si>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</si>
  <si>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</si>
  <si>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</si>
  <si>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</si>
  <si>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</si>
  <si>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</si>
  <si>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</si>
  <si>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</si>
  <si>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</si>
  <si>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</si>
  <si>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</si>
  <si>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</si>
  <si>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</si>
  <si>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</si>
  <si>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</si>
  <si>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</si>
  <si>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</si>
  <si>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</si>
  <si>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</si>
  <si>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</si>
  <si>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</si>
  <si>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</si>
  <si>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</si>
  <si>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</si>
  <si>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</si>
  <si>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</si>
  <si>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</si>
  <si>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</si>
  <si>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</si>
  <si>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</si>
  <si>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</si>
  <si>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</si>
  <si>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</si>
  <si>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</si>
  <si>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</si>
  <si>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</si>
  <si>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</si>
  <si>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</si>
  <si>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</si>
  <si>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</si>
  <si>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</si>
  <si>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</si>
  <si>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</si>
  <si>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</si>
  <si>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</si>
  <si>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</si>
  <si>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</si>
  <si>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</si>
  <si>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</si>
  <si>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</si>
  <si>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</si>
  <si>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</si>
  <si>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</si>
  <si>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</si>
  <si>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</si>
  <si>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</si>
  <si>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</si>
  <si>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</si>
  <si>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</si>
  <si>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</si>
  <si>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</si>
  <si>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</si>
  <si>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</si>
  <si>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</si>
  <si>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</si>
  <si>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</si>
  <si>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</si>
  <si>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大家乐集团</t>
  </si>
  <si>
    <t>0341.HK</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</si>
  <si>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</si>
  <si>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</si>
  <si>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</si>
  <si>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</si>
  <si>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</si>
  <si>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</si>
  <si>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</si>
  <si>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</si>
  <si>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</si>
  <si>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</si>
  <si>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</si>
  <si>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</si>
  <si>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</si>
  <si>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</si>
  <si>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</si>
  <si>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</si>
  <si>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</si>
  <si>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</si>
  <si>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</si>
  <si>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</si>
  <si>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</si>
  <si>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Terminal Growth Rate:</t>
    </r>
    <r>
      <rPr>
        <i/>
        <sz val="9"/>
        <color rgb="FF000000"/>
        <rFont val="Microsoft YaHei"/>
        <family val="2"/>
      </rPr>
      <t xml:space="preserve"> 将g设为0%是一个保守假设，仅基于公司当前表现的盈利能力估值，不依赖潜在乐观的未来增长预测。</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</si>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</sst>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9"/>
      <color rgb="FF0000FF"/>
      <name val="Microsoft YaHei"/>
      <family val="2"/>
      <charset val="134"/>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6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3" fillId="0" borderId="1" xfId="0" applyFont="1" applyBorder="1" applyAlignment="1">
      <alignment horizontal="left"/>
    </xf>
    <xf numFmtId="9" fontId="3" fillId="0" borderId="1" xfId="0" applyNumberFormat="1" applyFont="1" applyBorder="1"/>
    <xf numFmtId="175" fontId="46" fillId="0" borderId="1" xfId="0" applyNumberFormat="1" applyFont="1" applyBorder="1" applyAlignment="1">
      <alignment horizontal="right"/>
    </xf>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0" fontId="47" fillId="0" borderId="0" xfId="0" applyNumberFormat="1" applyFont="1" applyAlignment="1">
      <alignment horizontal="right"/>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0" fontId="24"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0" fontId="24" fillId="0" borderId="0" xfId="0" applyFont="1"/>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10" fontId="0" fillId="0" borderId="3" xfId="0" applyNumberFormat="1" applyBorder="1" applyAlignment="1">
      <alignment horizontal="center"/>
    </xf>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10" fontId="47" fillId="0" borderId="0" xfId="0" applyNumberFormat="1" applyFont="1"/>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4" fillId="6" borderId="4" xfId="0" applyFont="1" applyFill="1" applyBorder="1" applyAlignment="1">
      <alignment horizontal="center"/>
    </xf>
    <xf numFmtId="0" fontId="54" fillId="6" borderId="1" xfId="0" applyFont="1" applyFill="1" applyBorder="1" applyAlignment="1">
      <alignment horizontal="center"/>
    </xf>
    <xf numFmtId="0" fontId="54" fillId="6" borderId="2" xfId="0" applyFont="1" applyFill="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5" fillId="0" borderId="0" xfId="0" applyFont="1"/>
    <xf numFmtId="0" fontId="56" fillId="0" borderId="1" xfId="0" applyFont="1" applyBorder="1"/>
    <xf numFmtId="164" fontId="57" fillId="0" borderId="1" xfId="0" applyNumberFormat="1" applyFont="1" applyBorder="1" applyAlignment="1">
      <alignment horizontal="left"/>
    </xf>
    <xf numFmtId="0" fontId="57" fillId="0" borderId="0" xfId="0" applyFont="1" applyAlignment="1">
      <alignment horizontal="left"/>
    </xf>
    <xf numFmtId="0" fontId="58" fillId="0" borderId="1" xfId="0" applyFont="1" applyBorder="1" applyAlignment="1">
      <alignment horizontal="right"/>
    </xf>
    <xf numFmtId="0" fontId="57" fillId="0" borderId="1" xfId="0" applyFont="1" applyBorder="1" applyAlignment="1">
      <alignment horizontal="right"/>
    </xf>
    <xf numFmtId="0" fontId="59" fillId="3" borderId="0" xfId="0" applyFont="1" applyFill="1"/>
    <xf numFmtId="0" fontId="27" fillId="0" borderId="0" xfId="0" applyFont="1"/>
    <xf numFmtId="0" fontId="58" fillId="0" borderId="2" xfId="0" applyFont="1" applyBorder="1"/>
    <xf numFmtId="0" fontId="57" fillId="0" borderId="2" xfId="0" applyFont="1" applyBorder="1"/>
    <xf numFmtId="0" fontId="57" fillId="0" borderId="1" xfId="0" applyFont="1" applyBorder="1"/>
    <xf numFmtId="0" fontId="55" fillId="0" borderId="1" xfId="0" applyFont="1" applyBorder="1"/>
    <xf numFmtId="0" fontId="60" fillId="0" borderId="1" xfId="0" applyFont="1" applyBorder="1"/>
    <xf numFmtId="0" fontId="57" fillId="0" borderId="1" xfId="0" applyFont="1" applyBorder="1" applyAlignment="1">
      <alignment horizontal="left"/>
    </xf>
    <xf numFmtId="3" fontId="57" fillId="0" borderId="1" xfId="0" applyNumberFormat="1" applyFont="1" applyBorder="1" applyAlignment="1">
      <alignment horizontal="left"/>
    </xf>
    <xf numFmtId="0" fontId="61" fillId="0" borderId="1" xfId="0" applyFont="1" applyBorder="1" applyAlignment="1">
      <alignment horizontal="left"/>
    </xf>
    <xf numFmtId="177" fontId="57" fillId="0" borderId="1" xfId="0" applyNumberFormat="1" applyFont="1" applyBorder="1" applyAlignment="1">
      <alignment horizontal="left"/>
    </xf>
    <xf numFmtId="49" fontId="57" fillId="0" borderId="1" xfId="0" applyNumberFormat="1" applyFont="1" applyBorder="1" applyAlignment="1">
      <alignment horizontal="left"/>
    </xf>
    <xf numFmtId="49" fontId="61" fillId="0" borderId="1" xfId="0" applyNumberFormat="1" applyFont="1" applyBorder="1" applyAlignment="1">
      <alignment horizontal="left"/>
    </xf>
    <xf numFmtId="4" fontId="57" fillId="0" borderId="1" xfId="0" applyNumberFormat="1" applyFont="1" applyBorder="1" applyAlignment="1">
      <alignment horizontal="left"/>
    </xf>
    <xf numFmtId="4" fontId="61" fillId="0" borderId="1" xfId="0" applyNumberFormat="1" applyFont="1" applyBorder="1" applyAlignment="1">
      <alignment horizontal="left"/>
    </xf>
    <xf numFmtId="165" fontId="57" fillId="0" borderId="1" xfId="0" applyNumberFormat="1" applyFont="1" applyBorder="1" applyAlignment="1">
      <alignment horizontal="left"/>
    </xf>
    <xf numFmtId="0" fontId="62" fillId="0" borderId="0" xfId="0" applyFont="1" applyAlignment="1">
      <alignment horizontal="left" wrapText="1"/>
    </xf>
    <xf numFmtId="0" fontId="57" fillId="0" borderId="1" xfId="0" applyFont="1" applyBorder="1" applyAlignment="1">
      <alignment horizontal="center"/>
    </xf>
    <xf numFmtId="10" fontId="57" fillId="0" borderId="1" xfId="0" applyNumberFormat="1" applyFont="1" applyBorder="1" applyAlignment="1">
      <alignment horizontal="center"/>
    </xf>
    <xf numFmtId="0" fontId="57" fillId="0" borderId="0" xfId="0" applyFont="1"/>
    <xf numFmtId="4" fontId="55" fillId="0" borderId="0" xfId="0" applyNumberFormat="1" applyFont="1" applyAlignment="1">
      <alignment horizontal="center"/>
    </xf>
    <xf numFmtId="40" fontId="55" fillId="0" borderId="0" xfId="0" applyNumberFormat="1" applyFont="1" applyAlignment="1">
      <alignment horizontal="left"/>
    </xf>
    <xf numFmtId="10" fontId="55" fillId="0" borderId="0" xfId="0" applyNumberFormat="1" applyFont="1" applyAlignment="1">
      <alignment horizontal="right"/>
    </xf>
    <xf numFmtId="0" fontId="64" fillId="0" borderId="0" xfId="0" applyFont="1" applyAlignment="1">
      <alignment horizontal="left"/>
    </xf>
    <xf numFmtId="0" fontId="65" fillId="0" borderId="1" xfId="0" applyFont="1" applyBorder="1"/>
    <xf numFmtId="175" fontId="65" fillId="0" borderId="1" xfId="0" applyNumberFormat="1" applyFont="1" applyBorder="1" applyAlignment="1">
      <alignment horizontal="right"/>
    </xf>
    <xf numFmtId="174" fontId="57" fillId="0" borderId="1" xfId="0" applyNumberFormat="1" applyFont="1" applyBorder="1" applyAlignment="1">
      <alignment horizontal="left"/>
    </xf>
    <xf numFmtId="0" fontId="57" fillId="0" borderId="1" xfId="0" quotePrefix="1" applyFont="1" applyBorder="1"/>
    <xf numFmtId="10" fontId="57" fillId="0" borderId="1" xfId="0" applyNumberFormat="1" applyFont="1" applyBorder="1" applyAlignment="1">
      <alignment horizontal="right"/>
    </xf>
    <xf numFmtId="174" fontId="55" fillId="0" borderId="0" xfId="0" applyNumberFormat="1" applyFont="1" applyAlignment="1">
      <alignment horizontal="left"/>
    </xf>
    <xf numFmtId="10" fontId="57" fillId="0" borderId="0" xfId="0" applyNumberFormat="1" applyFont="1"/>
    <xf numFmtId="0" fontId="66" fillId="0" borderId="0" xfId="0" applyFont="1" applyAlignment="1">
      <alignment horizontal="left" wrapText="1"/>
    </xf>
    <xf numFmtId="0" fontId="67" fillId="0" borderId="0" xfId="0" applyFont="1"/>
    <xf numFmtId="173" fontId="68" fillId="0" borderId="1" xfId="0" applyNumberFormat="1" applyFont="1" applyBorder="1" applyAlignment="1">
      <alignment horizontal="right"/>
    </xf>
    <xf numFmtId="0" fontId="55" fillId="0" borderId="0" xfId="0" applyFont="1" applyAlignment="1">
      <alignment horizontal="left" wrapText="1"/>
    </xf>
    <xf numFmtId="0" fontId="66" fillId="0" borderId="0" xfId="0" applyFont="1"/>
    <xf numFmtId="181" fontId="55" fillId="0" borderId="0" xfId="0" applyNumberFormat="1" applyFont="1"/>
    <xf numFmtId="37" fontId="55" fillId="0" borderId="0" xfId="0" applyNumberFormat="1" applyFont="1"/>
    <xf numFmtId="0" fontId="66" fillId="0" borderId="0" xfId="0" applyFont="1" applyAlignment="1">
      <alignment horizontal="left"/>
    </xf>
    <xf numFmtId="181" fontId="55" fillId="0" borderId="0" xfId="0" applyNumberFormat="1" applyFont="1" applyAlignment="1">
      <alignment horizontal="right"/>
    </xf>
    <xf numFmtId="0" fontId="55" fillId="0" borderId="0" xfId="0" applyFont="1" applyAlignment="1">
      <alignment horizontal="left" wrapText="1"/>
    </xf>
    <xf numFmtId="0" fontId="55" fillId="0" borderId="0" xfId="0" applyFont="1" applyAlignment="1">
      <alignment horizontal="left"/>
    </xf>
    <xf numFmtId="0" fontId="66" fillId="0" borderId="0" xfId="0" quotePrefix="1" applyFont="1"/>
    <xf numFmtId="10" fontId="55" fillId="0" borderId="0" xfId="0" applyNumberFormat="1" applyFont="1"/>
    <xf numFmtId="180" fontId="55" fillId="0" borderId="0" xfId="0" applyNumberFormat="1" applyFont="1"/>
    <xf numFmtId="10" fontId="55" fillId="0" borderId="0" xfId="0" applyNumberFormat="1" applyFont="1" applyAlignment="1">
      <alignment horizontal="left"/>
    </xf>
    <xf numFmtId="0" fontId="67" fillId="0" borderId="0" xfId="0" applyFont="1" applyAlignment="1">
      <alignment horizontal="right"/>
    </xf>
    <xf numFmtId="0" fontId="62" fillId="0" borderId="0" xfId="0" applyFont="1" applyAlignment="1">
      <alignment horizontal="left" indent="1"/>
    </xf>
    <xf numFmtId="10" fontId="62" fillId="0" borderId="0" xfId="0" applyNumberFormat="1" applyFont="1"/>
    <xf numFmtId="166" fontId="62" fillId="0" borderId="0" xfId="0" applyNumberFormat="1" applyFont="1"/>
    <xf numFmtId="0" fontId="55" fillId="0" borderId="0" xfId="0" applyFont="1" applyAlignment="1">
      <alignment horizontal="center"/>
    </xf>
    <xf numFmtId="0" fontId="66" fillId="0" borderId="0" xfId="0" applyFont="1" applyAlignment="1">
      <alignment horizontal="center"/>
    </xf>
    <xf numFmtId="39" fontId="55" fillId="0" borderId="0" xfId="0" applyNumberFormat="1" applyFont="1"/>
    <xf numFmtId="9" fontId="62" fillId="0" borderId="0" xfId="0" applyNumberFormat="1" applyFont="1" applyAlignment="1">
      <alignment horizontal="right"/>
    </xf>
    <xf numFmtId="178" fontId="62" fillId="0" borderId="0" xfId="0" applyNumberFormat="1" applyFont="1" applyAlignment="1">
      <alignment horizontal="right"/>
    </xf>
    <xf numFmtId="181" fontId="62" fillId="0" borderId="0" xfId="0" applyNumberFormat="1" applyFont="1"/>
    <xf numFmtId="0" fontId="62" fillId="0" borderId="0" xfId="0" applyFont="1"/>
    <xf numFmtId="10" fontId="61" fillId="0" borderId="0" xfId="0" applyNumberFormat="1" applyFont="1"/>
    <xf numFmtId="0" fontId="63" fillId="0" borderId="0" xfId="0" applyFont="1"/>
    <xf numFmtId="39" fontId="66" fillId="0" borderId="0" xfId="0" applyNumberFormat="1" applyFont="1"/>
    <xf numFmtId="0" fontId="55" fillId="0" borderId="13" xfId="0" applyFont="1" applyBorder="1"/>
    <xf numFmtId="10" fontId="57" fillId="0" borderId="13" xfId="0" applyNumberFormat="1" applyFont="1" applyBorder="1" applyAlignment="1">
      <alignment horizontal="center"/>
    </xf>
    <xf numFmtId="175" fontId="57" fillId="0" borderId="13" xfId="0" applyNumberFormat="1" applyFont="1" applyBorder="1" applyAlignment="1">
      <alignment horizontal="center"/>
    </xf>
    <xf numFmtId="39" fontId="55" fillId="0" borderId="13" xfId="0" applyNumberFormat="1" applyFont="1" applyBorder="1" applyAlignment="1">
      <alignment horizontal="center"/>
    </xf>
    <xf numFmtId="10" fontId="55" fillId="0" borderId="13" xfId="0" applyNumberFormat="1" applyFont="1" applyBorder="1" applyAlignment="1">
      <alignment horizontal="center"/>
    </xf>
    <xf numFmtId="0" fontId="55" fillId="0" borderId="3" xfId="0" applyFont="1" applyBorder="1"/>
    <xf numFmtId="10" fontId="57" fillId="0" borderId="3" xfId="0" applyNumberFormat="1" applyFont="1" applyBorder="1" applyAlignment="1">
      <alignment horizontal="center"/>
    </xf>
    <xf numFmtId="175" fontId="57" fillId="0" borderId="3" xfId="0" applyNumberFormat="1" applyFont="1" applyBorder="1" applyAlignment="1">
      <alignment horizontal="center"/>
    </xf>
    <xf numFmtId="10" fontId="55" fillId="0" borderId="3" xfId="0" applyNumberFormat="1" applyFont="1" applyBorder="1" applyAlignment="1">
      <alignment horizontal="center"/>
    </xf>
    <xf numFmtId="40" fontId="66" fillId="0" borderId="0" xfId="0" applyNumberFormat="1" applyFont="1" applyAlignment="1">
      <alignment horizontal="right"/>
    </xf>
    <xf numFmtId="0" fontId="62" fillId="0" borderId="0" xfId="0" applyFont="1" applyAlignment="1">
      <alignment horizontal="left" vertical="center" wrapText="1"/>
    </xf>
    <xf numFmtId="0" fontId="62" fillId="0" borderId="0" xfId="0" applyFont="1" applyAlignment="1">
      <alignment horizontal="left"/>
    </xf>
    <xf numFmtId="175" fontId="57" fillId="0" borderId="0" xfId="0" applyNumberFormat="1" applyFont="1"/>
    <xf numFmtId="176" fontId="55" fillId="0" borderId="0" xfId="0" applyNumberFormat="1" applyFont="1"/>
    <xf numFmtId="0" fontId="64" fillId="0" borderId="0" xfId="0" applyFont="1" applyAlignment="1">
      <alignment horizontal="right"/>
    </xf>
    <xf numFmtId="0" fontId="55" fillId="0" borderId="3" xfId="0" applyFont="1" applyBorder="1" applyAlignment="1">
      <alignment horizontal="center"/>
    </xf>
    <xf numFmtId="39" fontId="55" fillId="0" borderId="3" xfId="0" applyNumberFormat="1" applyFont="1" applyBorder="1"/>
    <xf numFmtId="174" fontId="66" fillId="0" borderId="3" xfId="0" applyNumberFormat="1" applyFont="1" applyBorder="1"/>
    <xf numFmtId="10" fontId="55" fillId="0" borderId="3" xfId="0" applyNumberFormat="1" applyFont="1" applyBorder="1"/>
    <xf numFmtId="0" fontId="63" fillId="0" borderId="0" xfId="0" applyFont="1" applyAlignment="1">
      <alignment horizontal="left" wrapText="1"/>
    </xf>
    <xf numFmtId="0" fontId="55" fillId="0" borderId="0" xfId="0" quotePrefix="1" applyFont="1"/>
    <xf numFmtId="0" fontId="55" fillId="0" borderId="0" xfId="0" quotePrefix="1" applyFont="1" applyAlignment="1">
      <alignment horizontal="left" wrapText="1"/>
    </xf>
    <xf numFmtId="8" fontId="0" fillId="0" borderId="0" xfId="0" applyNumberFormat="1"/>
    <xf numFmtId="0" fontId="69" fillId="0" borderId="0" xfId="0" applyFont="1" applyAlignment="1"/>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I174"/>
  <sheetViews>
    <sheetView showGridLines="0" tabSelected="1" zoomScaleNormal="100" workbookViewId="0">
      <selection activeCell="E16" sqref="E16"/>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9">
      <c r="B1" s="3" t="s">
        <v>39</v>
      </c>
      <c r="C1" s="43">
        <v>45930</v>
      </c>
      <c r="D1" s="273" t="s">
        <v>332</v>
      </c>
      <c r="E1" s="261" t="s">
        <v>284</v>
      </c>
      <c r="F1" s="232" t="s">
        <v>521</v>
      </c>
    </row>
    <row r="2" spans="1:9" ht="13.9">
      <c r="A2" s="206" t="s">
        <v>227</v>
      </c>
      <c r="B2" s="35"/>
      <c r="C2" s="35"/>
      <c r="D2" s="35"/>
      <c r="E2" s="35"/>
      <c r="F2" s="35"/>
      <c r="G2" s="21"/>
      <c r="H2" s="21"/>
      <c r="I2" s="21"/>
    </row>
    <row r="4" spans="1:9">
      <c r="B4" s="44" t="s">
        <v>318</v>
      </c>
      <c r="C4" s="45"/>
      <c r="D4" s="5"/>
      <c r="E4" s="2"/>
      <c r="F4" s="2"/>
    </row>
    <row r="5" spans="1:9" ht="12.4">
      <c r="B5" s="4" t="s">
        <v>359</v>
      </c>
      <c r="C5" s="263" t="s">
        <v>519</v>
      </c>
    </row>
    <row r="6" spans="1:9">
      <c r="B6" s="4" t="s">
        <v>360</v>
      </c>
      <c r="C6" s="50">
        <v>580004033</v>
      </c>
      <c r="E6" s="47"/>
    </row>
    <row r="7" spans="1:9">
      <c r="B7" s="2" t="s">
        <v>361</v>
      </c>
      <c r="C7" s="228">
        <v>6</v>
      </c>
      <c r="D7" s="47"/>
      <c r="E7" s="47"/>
    </row>
    <row r="8" spans="1:9">
      <c r="B8" s="1" t="s">
        <v>362</v>
      </c>
      <c r="C8" s="32">
        <f>EOMONTH(EDATE(BS!C1,C7+2),0)</f>
        <v>45991</v>
      </c>
      <c r="E8" s="47"/>
    </row>
    <row r="9" spans="1:9">
      <c r="E9" s="33"/>
    </row>
    <row r="10" spans="1:9">
      <c r="B10" s="44" t="s">
        <v>319</v>
      </c>
      <c r="C10" s="45"/>
      <c r="E10" s="33"/>
    </row>
    <row r="11" spans="1:9">
      <c r="B11" s="1" t="s">
        <v>363</v>
      </c>
      <c r="C11" s="48" t="s">
        <v>520</v>
      </c>
      <c r="D11" s="48"/>
      <c r="E11" s="33"/>
    </row>
    <row r="12" spans="1:9">
      <c r="B12" s="4" t="s">
        <v>364</v>
      </c>
      <c r="C12" s="49">
        <v>6.46</v>
      </c>
      <c r="D12" s="1" t="s">
        <v>553</v>
      </c>
      <c r="E12" s="319">
        <f>Scenarios!F34</f>
        <v>0.15580592250843173</v>
      </c>
    </row>
    <row r="13" spans="1:9">
      <c r="B13" s="1" t="s">
        <v>365</v>
      </c>
      <c r="C13" s="47" t="s">
        <v>314</v>
      </c>
      <c r="D13" s="47"/>
      <c r="E13" s="5"/>
    </row>
    <row r="14" spans="1:9">
      <c r="B14" s="4" t="s">
        <v>366</v>
      </c>
      <c r="C14" s="34">
        <f>Thesis!C12*Common_Shares/1000000</f>
        <v>3746.8260531799997</v>
      </c>
      <c r="D14" s="34" t="str">
        <f>IF(D11="","",Thesis!#REF!*Common_Shares/1000000)</f>
        <v/>
      </c>
      <c r="E14" s="5"/>
    </row>
    <row r="15" spans="1:9">
      <c r="B15" s="4" t="s">
        <v>367</v>
      </c>
      <c r="C15" s="31" t="str">
        <f>IF(C25=C13,C13,C25&amp;"/"&amp;C13)</f>
        <v>HKD</v>
      </c>
      <c r="D15" s="31" t="str">
        <f>IF(D11="","",IF(C25=D13,D13,C25&amp;"/"&amp;D13))</f>
        <v/>
      </c>
      <c r="E15" s="5"/>
    </row>
    <row r="16" spans="1:9">
      <c r="B16" s="4" t="s">
        <v>368</v>
      </c>
      <c r="C16" s="49">
        <v>1</v>
      </c>
      <c r="D16" s="49"/>
      <c r="E16" s="5"/>
    </row>
    <row r="17" spans="2:6">
      <c r="D17" s="5"/>
      <c r="E17" s="5"/>
    </row>
    <row r="18" spans="2:6" ht="24.6" customHeight="1">
      <c r="B18" s="367" t="s">
        <v>369</v>
      </c>
      <c r="C18" s="367"/>
      <c r="D18" s="367"/>
      <c r="E18" s="367"/>
      <c r="F18" s="367"/>
    </row>
    <row r="20" spans="2:6">
      <c r="B20" s="44" t="s">
        <v>422</v>
      </c>
      <c r="C20" s="45"/>
      <c r="D20" s="5"/>
    </row>
    <row r="21" spans="2:6">
      <c r="B21" s="2" t="s">
        <v>279</v>
      </c>
      <c r="C21" s="31" t="str">
        <f>IF(Scenarios!C50="Y",Scenarios!B50,"")&amp;IF(Scenarios!C51="Y",Scenarios!B51,"")&amp;IF(Scenarios!C52="Y",Scenarios!B52,"")&amp;" "&amp;IF(Scenarios!C53="Y",Scenarios!B53,"")</f>
        <v>Low Growth Asset Play</v>
      </c>
    </row>
    <row r="22" spans="2:6">
      <c r="B22" s="2" t="s">
        <v>54</v>
      </c>
      <c r="C22" s="47" t="s">
        <v>419</v>
      </c>
      <c r="E22" s="81"/>
    </row>
    <row r="23" spans="2:6">
      <c r="B23" s="1" t="s">
        <v>327</v>
      </c>
      <c r="C23" s="240" t="s">
        <v>262</v>
      </c>
    </row>
    <row r="24" spans="2:6">
      <c r="B24" s="1" t="s">
        <v>328</v>
      </c>
      <c r="C24" s="240" t="s">
        <v>262</v>
      </c>
      <c r="D24" s="231"/>
      <c r="E24" s="267"/>
    </row>
    <row r="25" spans="2:6">
      <c r="B25" s="4" t="s">
        <v>278</v>
      </c>
      <c r="C25" s="47" t="s">
        <v>314</v>
      </c>
    </row>
    <row r="26" spans="2:6">
      <c r="B26" s="1" t="str">
        <f>"Expected Equity Value ("&amp;C13&amp;") :"</f>
        <v>Expected Equity Value (HKD) :</v>
      </c>
      <c r="C26" s="266">
        <f>C132</f>
        <v>8.5777338138733441</v>
      </c>
    </row>
    <row r="27" spans="2:6">
      <c r="D27" s="5"/>
      <c r="E27" s="5"/>
    </row>
    <row r="28" spans="2:6">
      <c r="B28" s="44" t="s">
        <v>423</v>
      </c>
      <c r="C28" s="268" t="str">
        <f>C145&amp;" ("&amp;Market_currency&amp;")"</f>
        <v xml:space="preserve"> (HKD)</v>
      </c>
      <c r="D28" s="31" t="s">
        <v>324</v>
      </c>
      <c r="E28" s="265">
        <v>3</v>
      </c>
    </row>
    <row r="29" spans="2:6">
      <c r="B29" s="1" t="s">
        <v>320</v>
      </c>
      <c r="C29" s="269">
        <f>E147</f>
        <v>4.1647040853013637</v>
      </c>
      <c r="D29" s="39" t="s">
        <v>426</v>
      </c>
      <c r="E29" s="81">
        <v>0.35</v>
      </c>
    </row>
    <row r="30" spans="2:6">
      <c r="B30" s="1" t="s">
        <v>321</v>
      </c>
      <c r="C30" s="270">
        <f>E148</f>
        <v>5.1725997127031524</v>
      </c>
      <c r="D30" s="39" t="s">
        <v>427</v>
      </c>
      <c r="E30" s="358">
        <v>0.25</v>
      </c>
    </row>
    <row r="31" spans="2:6">
      <c r="B31" s="1" t="s">
        <v>323</v>
      </c>
      <c r="C31" s="270">
        <f>E151</f>
        <v>7.1132211099836802</v>
      </c>
      <c r="D31" s="39" t="s">
        <v>428</v>
      </c>
      <c r="E31" s="358">
        <v>0.1174</v>
      </c>
    </row>
    <row r="32" spans="2:6">
      <c r="B32" s="1" t="s">
        <v>322</v>
      </c>
      <c r="C32" s="270">
        <f>E152</f>
        <v>7.94494779186605</v>
      </c>
      <c r="D32" s="39" t="s">
        <v>429</v>
      </c>
      <c r="E32" s="321">
        <v>7.4999999999999997E-2</v>
      </c>
    </row>
    <row r="33" spans="1:6">
      <c r="D33" s="5"/>
      <c r="E33" s="5"/>
    </row>
    <row r="34" spans="1:6" ht="13.9">
      <c r="A34" s="206" t="s">
        <v>286</v>
      </c>
      <c r="B34" s="35"/>
      <c r="C34" s="35"/>
      <c r="D34" s="35"/>
      <c r="E34" s="35"/>
      <c r="F34" s="35"/>
    </row>
    <row r="36" spans="1:6">
      <c r="B36" s="367" t="s">
        <v>370</v>
      </c>
      <c r="C36" s="367"/>
      <c r="D36" s="367"/>
      <c r="E36" s="367"/>
      <c r="F36" s="367"/>
    </row>
    <row r="37" spans="1:6" ht="24.6" customHeight="1">
      <c r="B37" s="371" t="s">
        <v>270</v>
      </c>
      <c r="C37" s="371"/>
      <c r="D37" s="371"/>
      <c r="E37" s="371"/>
      <c r="F37" s="371"/>
    </row>
    <row r="39" spans="1:6">
      <c r="B39" s="196" t="s">
        <v>197</v>
      </c>
      <c r="C39" s="107">
        <f>scaling_factor</f>
        <v>1000</v>
      </c>
    </row>
    <row r="40" spans="1:6" ht="24.6" customHeight="1">
      <c r="B40" s="368" t="s">
        <v>198</v>
      </c>
      <c r="C40" s="368"/>
      <c r="D40" s="368"/>
      <c r="E40" s="368"/>
      <c r="F40" s="368"/>
    </row>
    <row r="41" spans="1:6">
      <c r="B41" s="46" t="s">
        <v>199</v>
      </c>
      <c r="C41" s="301">
        <f>Normalized_FCF!C8</f>
        <v>399119.96227138769</v>
      </c>
      <c r="D41" s="1" t="str">
        <f>Reporting_currency</f>
        <v>HKD</v>
      </c>
    </row>
    <row r="42" spans="1:6">
      <c r="B42" s="46"/>
      <c r="C42" s="75"/>
    </row>
    <row r="43" spans="1:6" ht="24.6" customHeight="1">
      <c r="B43" s="368" t="s">
        <v>200</v>
      </c>
      <c r="C43" s="368"/>
      <c r="D43" s="368"/>
      <c r="E43" s="368"/>
      <c r="F43" s="368"/>
    </row>
    <row r="44" spans="1:6">
      <c r="B44" s="46" t="s">
        <v>201</v>
      </c>
      <c r="C44" s="301">
        <f>Normalized_FCF!C9</f>
        <v>378473</v>
      </c>
      <c r="D44" s="1" t="str">
        <f>Reporting_currency</f>
        <v>HKD</v>
      </c>
    </row>
    <row r="45" spans="1:6">
      <c r="B45" s="51" t="s">
        <v>202</v>
      </c>
      <c r="C45" s="301">
        <f>Normalized_FCF!C10</f>
        <v>-378473</v>
      </c>
      <c r="D45" s="1" t="str">
        <f>Reporting_currency</f>
        <v>HKD</v>
      </c>
    </row>
    <row r="47" spans="1:6">
      <c r="B47" s="368" t="s">
        <v>203</v>
      </c>
      <c r="C47" s="368"/>
      <c r="D47" s="368"/>
      <c r="E47" s="368"/>
      <c r="F47" s="368"/>
    </row>
    <row r="48" spans="1:6">
      <c r="B48" s="46" t="s">
        <v>204</v>
      </c>
      <c r="C48" s="301">
        <f>Normalized_FCF!C11</f>
        <v>0</v>
      </c>
      <c r="D48" s="1" t="str">
        <f>Reporting_currency</f>
        <v>HKD</v>
      </c>
    </row>
    <row r="50" spans="2:6">
      <c r="B50" s="368" t="s">
        <v>207</v>
      </c>
      <c r="C50" s="368"/>
      <c r="D50" s="368"/>
      <c r="E50" s="368"/>
      <c r="F50" s="368"/>
    </row>
    <row r="51" spans="2:6">
      <c r="B51" s="46" t="s">
        <v>271</v>
      </c>
      <c r="C51" s="302">
        <f>Normalized_FCF!C46</f>
        <v>6692.5186674405113</v>
      </c>
      <c r="D51" s="1" t="str">
        <f>Reporting_currency</f>
        <v>HKD</v>
      </c>
      <c r="E51" s="255"/>
      <c r="F51" s="255"/>
    </row>
    <row r="52" spans="2:6">
      <c r="B52" s="46" t="s">
        <v>272</v>
      </c>
      <c r="C52" s="302">
        <f>Normalized_FCF!C45</f>
        <v>-85372.400000000009</v>
      </c>
      <c r="D52" s="1" t="str">
        <f>Reporting_currency</f>
        <v>HKD</v>
      </c>
      <c r="E52" s="255"/>
      <c r="F52" s="255"/>
    </row>
    <row r="53" spans="2:6">
      <c r="B53" s="46" t="s">
        <v>205</v>
      </c>
      <c r="C53" s="301">
        <f>Normalized_FCF!C12</f>
        <v>-78679.881332559497</v>
      </c>
      <c r="D53" s="1" t="str">
        <f>Reporting_currency</f>
        <v>HKD</v>
      </c>
    </row>
    <row r="55" spans="2:6">
      <c r="B55" s="1" t="s">
        <v>213</v>
      </c>
    </row>
    <row r="56" spans="2:6">
      <c r="B56" s="46" t="s">
        <v>225</v>
      </c>
      <c r="C56" s="301">
        <f>Normalized_FCF!C15</f>
        <v>-2604.2914835892152</v>
      </c>
      <c r="D56" s="1" t="str">
        <f>Reporting_currency</f>
        <v>HKD</v>
      </c>
    </row>
    <row r="58" spans="2:6">
      <c r="B58" s="368" t="s">
        <v>208</v>
      </c>
      <c r="C58" s="368"/>
      <c r="D58" s="368"/>
      <c r="E58" s="368"/>
      <c r="F58" s="368"/>
    </row>
    <row r="59" spans="2:6">
      <c r="B59" s="46" t="s">
        <v>206</v>
      </c>
      <c r="C59" s="301">
        <f>Normalized_FCF!C14</f>
        <v>-52872.613354906651</v>
      </c>
      <c r="D59" s="1" t="str">
        <f>Reporting_currency</f>
        <v>HKD</v>
      </c>
    </row>
    <row r="61" spans="2:6">
      <c r="B61" s="368" t="s">
        <v>269</v>
      </c>
      <c r="C61" s="369"/>
      <c r="D61" s="369"/>
      <c r="E61" s="369"/>
      <c r="F61" s="369"/>
    </row>
    <row r="62" spans="2:6">
      <c r="B62" s="46" t="s">
        <v>209</v>
      </c>
      <c r="C62" s="301">
        <f>Normalized_FCF!C17</f>
        <v>0</v>
      </c>
      <c r="D62" s="1" t="str">
        <f>Reporting_currency</f>
        <v>HKD</v>
      </c>
    </row>
    <row r="64" spans="2:6" ht="24.6" customHeight="1">
      <c r="B64" s="367" t="s">
        <v>274</v>
      </c>
      <c r="C64" s="367"/>
      <c r="D64" s="367"/>
      <c r="E64" s="367"/>
      <c r="F64" s="367"/>
    </row>
    <row r="65" spans="1:6" ht="24.6" customHeight="1">
      <c r="B65" s="367" t="s">
        <v>288</v>
      </c>
      <c r="C65" s="367"/>
      <c r="D65" s="367"/>
      <c r="E65" s="367"/>
      <c r="F65" s="367"/>
    </row>
    <row r="67" spans="1:6">
      <c r="B67" s="46" t="s">
        <v>229</v>
      </c>
      <c r="C67" s="301">
        <f>Normalized_FCF!G19</f>
        <v>362404.65016124537</v>
      </c>
      <c r="D67" s="1" t="str">
        <f>Reporting_currency</f>
        <v>HKD</v>
      </c>
    </row>
    <row r="68" spans="1:6">
      <c r="B68" s="46" t="s">
        <v>215</v>
      </c>
      <c r="C68" s="301">
        <f>Normalized_FCF!C19</f>
        <v>264963.17610033229</v>
      </c>
      <c r="D68" s="1" t="str">
        <f>Reporting_currency</f>
        <v>HKD</v>
      </c>
    </row>
    <row r="69" spans="1:6">
      <c r="B69" s="210" t="s">
        <v>308</v>
      </c>
      <c r="C69" s="91">
        <f>Normalized_FCF!C124</f>
        <v>7.0716700572596158E-2</v>
      </c>
      <c r="F69" s="271"/>
    </row>
    <row r="70" spans="1:6">
      <c r="B70" s="210" t="s">
        <v>340</v>
      </c>
      <c r="C70" s="91">
        <f>Normalized_FCF!C92</f>
        <v>6.1919504643962855E-2</v>
      </c>
      <c r="E70" s="46" t="s">
        <v>330</v>
      </c>
      <c r="F70" s="272">
        <f>Normalized_FCF!C90</f>
        <v>0.87559945730779254</v>
      </c>
    </row>
    <row r="72" spans="1:6">
      <c r="B72" s="196" t="s">
        <v>333</v>
      </c>
      <c r="C72" s="279" t="s">
        <v>335</v>
      </c>
      <c r="D72" s="279" t="s">
        <v>336</v>
      </c>
    </row>
    <row r="73" spans="1:6">
      <c r="B73" s="46" t="s">
        <v>334</v>
      </c>
      <c r="C73" s="91">
        <f>Normalized_FCF!C119</f>
        <v>0.1167471410506614</v>
      </c>
      <c r="D73" s="91">
        <f>Normalized_FCF!G119</f>
        <v>0.14467098116585544</v>
      </c>
    </row>
    <row r="74" spans="1:6">
      <c r="B74" s="237" t="str">
        <f>Normalized_FCF!B116</f>
        <v>Pre-tax Profit/Sales</v>
      </c>
      <c r="C74" s="278">
        <f>Normalized_FCF!C116</f>
        <v>3.9086921133773919E-2</v>
      </c>
      <c r="D74" s="278">
        <f>Normalized_FCF!G116</f>
        <v>4.6343249224001092E-2</v>
      </c>
    </row>
    <row r="75" spans="1:6">
      <c r="B75" s="237" t="str">
        <f>Normalized_FCF!B117</f>
        <v>Sales/Total Assets</v>
      </c>
      <c r="C75" s="280">
        <f>Normalized_FCF!C117</f>
        <v>1.3708738209065539</v>
      </c>
      <c r="D75" s="280">
        <f>Normalized_FCF!G117</f>
        <v>1.4327738230803833</v>
      </c>
    </row>
    <row r="76" spans="1:6">
      <c r="B76" s="237" t="str">
        <f>Normalized_FCF!B118</f>
        <v>Total Assets/Equity</v>
      </c>
      <c r="C76" s="280">
        <f>Normalized_FCF!C118</f>
        <v>2.1787997096988563</v>
      </c>
      <c r="D76" s="280">
        <f>Normalized_FCF!G118</f>
        <v>2.1787997096988563</v>
      </c>
    </row>
    <row r="78" spans="1:6" ht="13.9">
      <c r="A78" s="206" t="s">
        <v>499</v>
      </c>
      <c r="B78" s="35"/>
      <c r="C78" s="35"/>
      <c r="D78" s="35"/>
      <c r="E78" s="35"/>
      <c r="F78" s="35"/>
    </row>
    <row r="79" spans="1:6">
      <c r="A79" s="195"/>
    </row>
    <row r="80" spans="1:6">
      <c r="A80" s="195"/>
      <c r="B80" s="367" t="s">
        <v>500</v>
      </c>
      <c r="C80" s="367"/>
      <c r="D80" s="367"/>
      <c r="E80" s="367"/>
      <c r="F80" s="367"/>
    </row>
    <row r="81" spans="1:6">
      <c r="A81" s="195"/>
      <c r="B81" s="1" t="s">
        <v>487</v>
      </c>
    </row>
    <row r="82" spans="1:6">
      <c r="A82" s="195"/>
    </row>
    <row r="83" spans="1:6">
      <c r="A83" s="195"/>
      <c r="B83" s="196" t="s">
        <v>197</v>
      </c>
    </row>
    <row r="84" spans="1:6">
      <c r="A84" s="195"/>
      <c r="B84" s="367" t="s">
        <v>275</v>
      </c>
      <c r="C84" s="367"/>
      <c r="D84" s="367"/>
      <c r="E84" s="367"/>
      <c r="F84" s="367"/>
    </row>
    <row r="85" spans="1:6">
      <c r="A85" s="195"/>
      <c r="B85" s="1" t="s">
        <v>217</v>
      </c>
      <c r="C85" s="301">
        <f>DCF!F4</f>
        <v>-2134310</v>
      </c>
      <c r="D85" s="1" t="str">
        <f>Reporting_currency</f>
        <v>HKD</v>
      </c>
    </row>
    <row r="86" spans="1:6">
      <c r="A86" s="195"/>
      <c r="B86" s="46" t="s">
        <v>237</v>
      </c>
      <c r="C86" s="207">
        <f>C85*scaling_factor*Exchange_Rate/Common_Shares</f>
        <v>-3.679819240153456</v>
      </c>
      <c r="D86" s="1" t="str">
        <f>Market_currency</f>
        <v>HKD</v>
      </c>
    </row>
    <row r="87" spans="1:6">
      <c r="A87" s="195"/>
      <c r="B87" s="237" t="s">
        <v>315</v>
      </c>
      <c r="C87" s="359">
        <f>IF(BS!G31/BS!G27&gt;300%,"nm",BS!G31/BS!G27)</f>
        <v>0.77760119734648436</v>
      </c>
    </row>
    <row r="88" spans="1:6">
      <c r="A88" s="195"/>
      <c r="B88" s="237" t="s">
        <v>317</v>
      </c>
      <c r="C88" s="360">
        <f>IF(BS!C50&gt;30,"nm",BS!C50)</f>
        <v>5.3475400925918697</v>
      </c>
    </row>
    <row r="89" spans="1:6">
      <c r="A89" s="195"/>
    </row>
    <row r="90" spans="1:6">
      <c r="A90" s="195"/>
      <c r="B90" s="1" t="s">
        <v>488</v>
      </c>
    </row>
    <row r="91" spans="1:6">
      <c r="A91" s="195"/>
      <c r="B91" s="1" t="s">
        <v>226</v>
      </c>
      <c r="C91" s="301">
        <f>DCF!F5</f>
        <v>384381.13325594889</v>
      </c>
      <c r="D91" s="1" t="str">
        <f>Reporting_currency</f>
        <v>HKD</v>
      </c>
    </row>
    <row r="92" spans="1:6">
      <c r="A92" s="195"/>
      <c r="B92" s="237" t="s">
        <v>224</v>
      </c>
      <c r="C92" s="307">
        <f>BS!C66</f>
        <v>1053633</v>
      </c>
      <c r="D92" s="361" t="str">
        <f>Reporting_currency</f>
        <v>HKD</v>
      </c>
    </row>
    <row r="93" spans="1:6">
      <c r="A93" s="195"/>
      <c r="B93" s="46" t="s">
        <v>238</v>
      </c>
      <c r="C93" s="207">
        <f>C91*scaling_factor*Exchange_Rate/Common_Shares</f>
        <v>0.66272148362104388</v>
      </c>
      <c r="D93" s="1" t="str">
        <f>Market_currency</f>
        <v>HKD</v>
      </c>
    </row>
    <row r="94" spans="1:6">
      <c r="A94" s="195"/>
    </row>
    <row r="95" spans="1:6">
      <c r="A95" s="195"/>
      <c r="B95" s="1" t="s">
        <v>218</v>
      </c>
    </row>
    <row r="96" spans="1:6">
      <c r="A96" s="195"/>
      <c r="B96" s="1" t="s">
        <v>219</v>
      </c>
      <c r="C96" s="301">
        <f>DCF!F6</f>
        <v>63482.2</v>
      </c>
      <c r="D96" s="1" t="str">
        <f>Reporting_currency</f>
        <v>HKD</v>
      </c>
    </row>
    <row r="97" spans="1:6">
      <c r="A97" s="195"/>
      <c r="B97" s="46" t="s">
        <v>239</v>
      </c>
      <c r="C97" s="207">
        <f>C96*scaling_factor*Exchange_Rate/Common_Shares</f>
        <v>0.10945130790150902</v>
      </c>
      <c r="D97" s="1" t="str">
        <f>Market_currency</f>
        <v>HKD</v>
      </c>
    </row>
    <row r="98" spans="1:6">
      <c r="A98" s="195"/>
    </row>
    <row r="99" spans="1:6">
      <c r="A99" s="195"/>
      <c r="B99" s="46" t="s">
        <v>491</v>
      </c>
      <c r="C99" s="223">
        <f>DCF!F8</f>
        <v>-2.9076464486309033</v>
      </c>
      <c r="D99" s="46" t="str">
        <f>Market_currency</f>
        <v>HKD</v>
      </c>
    </row>
    <row r="101" spans="1:6" ht="13.9">
      <c r="A101" s="206" t="s">
        <v>492</v>
      </c>
      <c r="B101" s="35"/>
      <c r="C101" s="35"/>
      <c r="D101" s="35"/>
      <c r="E101" s="35"/>
      <c r="F101" s="35"/>
    </row>
    <row r="102" spans="1:6">
      <c r="A102" s="195"/>
    </row>
    <row r="103" spans="1:6" ht="11.65" customHeight="1">
      <c r="B103" s="367" t="s">
        <v>507</v>
      </c>
      <c r="C103" s="367"/>
      <c r="D103" s="367"/>
      <c r="E103" s="367"/>
      <c r="F103" s="367"/>
    </row>
    <row r="104" spans="1:6">
      <c r="B104" s="371" t="s">
        <v>506</v>
      </c>
      <c r="C104" s="371"/>
      <c r="D104" s="371"/>
      <c r="E104" s="371"/>
      <c r="F104" s="371"/>
    </row>
    <row r="105" spans="1:6">
      <c r="B105" s="371" t="s">
        <v>505</v>
      </c>
      <c r="C105" s="371"/>
      <c r="D105" s="371"/>
      <c r="E105" s="371"/>
      <c r="F105" s="371"/>
    </row>
    <row r="107" spans="1:6">
      <c r="B107" s="196" t="s">
        <v>197</v>
      </c>
    </row>
    <row r="108" spans="1:6">
      <c r="B108" s="51" t="s">
        <v>489</v>
      </c>
      <c r="C108" s="218">
        <f>E32+C110</f>
        <v>7.4999999999999997E-2</v>
      </c>
    </row>
    <row r="109" spans="1:6">
      <c r="B109" s="237" t="s">
        <v>326</v>
      </c>
      <c r="C109" s="278">
        <f>E32</f>
        <v>7.4999999999999997E-2</v>
      </c>
    </row>
    <row r="110" spans="1:6">
      <c r="B110" s="237" t="s">
        <v>325</v>
      </c>
      <c r="C110" s="278">
        <f>IF(C23="Y",1%,0)+IF(C24="Y",1%,0)</f>
        <v>0</v>
      </c>
    </row>
    <row r="111" spans="1:6">
      <c r="B111" s="46" t="s">
        <v>216</v>
      </c>
      <c r="C111" s="218">
        <v>0</v>
      </c>
    </row>
    <row r="113" spans="2:6">
      <c r="B113" s="262" t="s">
        <v>287</v>
      </c>
      <c r="C113" s="119"/>
    </row>
    <row r="114" spans="2:6">
      <c r="B114" s="367" t="s">
        <v>289</v>
      </c>
      <c r="C114" s="367"/>
      <c r="D114" s="367"/>
      <c r="E114" s="367"/>
      <c r="F114" s="367"/>
    </row>
    <row r="115" spans="2:6">
      <c r="B115" s="367" t="s">
        <v>290</v>
      </c>
      <c r="C115" s="367"/>
      <c r="D115" s="367"/>
      <c r="E115" s="367"/>
      <c r="F115" s="367"/>
    </row>
    <row r="117" spans="2:6">
      <c r="B117" s="196" t="s">
        <v>509</v>
      </c>
    </row>
    <row r="118" spans="2:6">
      <c r="B118" s="51" t="s">
        <v>490</v>
      </c>
      <c r="C118" s="223">
        <f>BS!D47</f>
        <v>-2.5047246524922007</v>
      </c>
      <c r="D118" s="1" t="str">
        <f>Market_currency</f>
        <v>HKD</v>
      </c>
    </row>
    <row r="119" spans="2:6">
      <c r="B119" s="46" t="s">
        <v>331</v>
      </c>
      <c r="C119" s="223">
        <f>DCF!C11</f>
        <v>3.1834186940220452</v>
      </c>
      <c r="D119" s="1" t="str">
        <f>Market_currency</f>
        <v>HKD</v>
      </c>
    </row>
    <row r="121" spans="2:6" ht="24.6" customHeight="1">
      <c r="B121" s="367" t="s">
        <v>513</v>
      </c>
      <c r="C121" s="367"/>
      <c r="D121" s="367"/>
      <c r="E121" s="367"/>
      <c r="F121" s="367"/>
    </row>
    <row r="123" spans="2:6">
      <c r="B123" s="196" t="s">
        <v>510</v>
      </c>
    </row>
    <row r="124" spans="2:6" ht="12.4">
      <c r="B124" s="364" t="s">
        <v>103</v>
      </c>
      <c r="C124" s="364" t="s">
        <v>112</v>
      </c>
      <c r="D124" s="364" t="s">
        <v>101</v>
      </c>
      <c r="E124" s="364" t="s">
        <v>221</v>
      </c>
      <c r="F124" s="364" t="s">
        <v>126</v>
      </c>
    </row>
    <row r="125" spans="2:6">
      <c r="B125" s="211" t="str">
        <f>DCF!B74</f>
        <v>Snowball Scenario</v>
      </c>
      <c r="C125" s="212">
        <f>DCF!C74</f>
        <v>0.04</v>
      </c>
      <c r="D125" s="213">
        <f>DCF!D74</f>
        <v>5</v>
      </c>
      <c r="E125" s="214" t="str">
        <f>ROUND(DCF!E74,2)&amp;" "&amp;Market_currency</f>
        <v>9.08 HKD</v>
      </c>
      <c r="F125" s="215">
        <f>DCF!F74</f>
        <v>0.05</v>
      </c>
    </row>
    <row r="126" spans="2:6">
      <c r="B126" s="202" t="str">
        <f>DCF!B75</f>
        <v>Optimistic</v>
      </c>
      <c r="C126" s="203">
        <f>DCF!C75</f>
        <v>0.03</v>
      </c>
      <c r="D126" s="204">
        <f>DCF!D75</f>
        <v>5</v>
      </c>
      <c r="E126" s="214" t="str">
        <f>ROUND(DCF!E75,2)&amp;" "&amp;Market_currency</f>
        <v>8.83 HKD</v>
      </c>
      <c r="F126" s="205">
        <f>DCF!F75</f>
        <v>0.18</v>
      </c>
    </row>
    <row r="127" spans="2:6">
      <c r="B127" s="202" t="str">
        <f>DCF!B76</f>
        <v>Base</v>
      </c>
      <c r="C127" s="203">
        <f>DCF!C76</f>
        <v>0.02</v>
      </c>
      <c r="D127" s="204">
        <f>DCF!D76</f>
        <v>5</v>
      </c>
      <c r="E127" s="214" t="str">
        <f>ROUND(DCF!E76,2)&amp;" "&amp;Market_currency</f>
        <v>8.58 HKD</v>
      </c>
      <c r="F127" s="205">
        <f>DCF!F76</f>
        <v>0.53999999999999992</v>
      </c>
    </row>
    <row r="128" spans="2:6">
      <c r="B128" s="202" t="str">
        <f>DCF!B77</f>
        <v>Pessimistic</v>
      </c>
      <c r="C128" s="203">
        <f>DCF!C77</f>
        <v>0.01</v>
      </c>
      <c r="D128" s="204">
        <f>DCF!D77</f>
        <v>5</v>
      </c>
      <c r="E128" s="214" t="str">
        <f>ROUND(DCF!E77,2)&amp;" "&amp;Market_currency</f>
        <v>8.33 HKD</v>
      </c>
      <c r="F128" s="205">
        <f>DCF!F77</f>
        <v>0.18</v>
      </c>
    </row>
    <row r="129" spans="1:6">
      <c r="B129" s="202" t="str">
        <f>DCF!B78</f>
        <v>Devil's advocate</v>
      </c>
      <c r="C129" s="203">
        <f>DCF!C78</f>
        <v>0</v>
      </c>
      <c r="D129" s="204">
        <f>DCF!D78</f>
        <v>5</v>
      </c>
      <c r="E129" s="214" t="str">
        <f>ROUND(DCF!E78,2)&amp;" "&amp;Market_currency</f>
        <v>8.08 HKD</v>
      </c>
      <c r="F129" s="205">
        <f>DCF!F78</f>
        <v>0.05</v>
      </c>
    </row>
    <row r="131" spans="1:6">
      <c r="B131" s="368" t="s">
        <v>371</v>
      </c>
      <c r="C131" s="368"/>
      <c r="D131" s="368"/>
      <c r="E131" s="368"/>
      <c r="F131" s="368"/>
    </row>
    <row r="132" spans="1:6">
      <c r="B132" s="197" t="s">
        <v>220</v>
      </c>
      <c r="C132" s="201">
        <f>Scenarios!C36</f>
        <v>8.5777338138733441</v>
      </c>
      <c r="D132" s="198" t="str">
        <f>Market_currency</f>
        <v>HKD</v>
      </c>
    </row>
    <row r="134" spans="1:6" ht="24.6" customHeight="1">
      <c r="B134" s="370" t="s">
        <v>372</v>
      </c>
      <c r="C134" s="370"/>
      <c r="D134" s="370"/>
      <c r="E134" s="370"/>
      <c r="F134" s="370"/>
    </row>
    <row r="136" spans="1:6" ht="13.9">
      <c r="A136" s="206" t="s">
        <v>496</v>
      </c>
      <c r="B136" s="35"/>
      <c r="C136" s="35"/>
      <c r="D136" s="35"/>
      <c r="E136" s="35"/>
      <c r="F136" s="35"/>
    </row>
    <row r="138" spans="1:6">
      <c r="B138" s="372" t="s">
        <v>291</v>
      </c>
      <c r="C138" s="372"/>
      <c r="D138" s="372"/>
      <c r="E138" s="372"/>
      <c r="F138" s="372"/>
    </row>
    <row r="139" spans="1:6">
      <c r="B139" s="367" t="s">
        <v>373</v>
      </c>
      <c r="C139" s="367"/>
      <c r="D139" s="367"/>
      <c r="E139" s="367"/>
      <c r="F139" s="367"/>
    </row>
    <row r="141" spans="1:6">
      <c r="B141" s="196" t="s">
        <v>197</v>
      </c>
    </row>
    <row r="142" spans="1:6">
      <c r="B142" s="1" t="s">
        <v>223</v>
      </c>
      <c r="C142" s="208">
        <f>E28</f>
        <v>3</v>
      </c>
    </row>
    <row r="143" spans="1:6">
      <c r="B143" s="198" t="s">
        <v>222</v>
      </c>
      <c r="C143" s="199">
        <f>Scenarios!C58</f>
        <v>0.4</v>
      </c>
      <c r="D143" s="198" t="str">
        <f>Market_currency</f>
        <v>HKD</v>
      </c>
    </row>
    <row r="145" spans="1:6">
      <c r="B145" s="196" t="s">
        <v>516</v>
      </c>
      <c r="C145" s="221"/>
      <c r="D145" s="222" t="str">
        <f>IF(D11="","",D11)</f>
        <v/>
      </c>
    </row>
    <row r="146" spans="1:6" ht="12.4">
      <c r="B146" s="362" t="s">
        <v>484</v>
      </c>
      <c r="C146" s="362" t="str">
        <f>"PV("&amp;Holding_Period&amp;" yrs of Dividends)"</f>
        <v>PV(3 yrs of Dividends)</v>
      </c>
      <c r="D146" s="362" t="s">
        <v>493</v>
      </c>
      <c r="E146" s="363" t="str">
        <f>"Buy below ("&amp;Market_currency&amp;")"</f>
        <v>Buy below (HKD)</v>
      </c>
      <c r="F146" s="363" t="s">
        <v>494</v>
      </c>
    </row>
    <row r="147" spans="1:6">
      <c r="B147" s="357" t="s">
        <v>320</v>
      </c>
      <c r="C147" s="354">
        <f>Scenarios!C62</f>
        <v>0.67835187725448365</v>
      </c>
      <c r="D147" s="354">
        <f>Scenarios!D62</f>
        <v>3.4863522080468803</v>
      </c>
      <c r="E147" s="355">
        <f>Scenarios!E62</f>
        <v>4.1647040853013637</v>
      </c>
      <c r="F147" s="356">
        <f>E29</f>
        <v>0.35</v>
      </c>
    </row>
    <row r="148" spans="1:6">
      <c r="B148" s="357" t="s">
        <v>321</v>
      </c>
      <c r="C148" s="354">
        <f>Scenarios!C63</f>
        <v>0.78080000000000005</v>
      </c>
      <c r="D148" s="354">
        <f>Scenarios!D63</f>
        <v>4.3917997127031523</v>
      </c>
      <c r="E148" s="355">
        <f>Scenarios!E63</f>
        <v>5.1725997127031524</v>
      </c>
      <c r="F148" s="356">
        <f>Scenarios!F63</f>
        <v>0.25</v>
      </c>
    </row>
    <row r="149" spans="1:6">
      <c r="B149" s="198"/>
      <c r="C149" s="198"/>
      <c r="D149" s="198"/>
      <c r="E149" s="198"/>
      <c r="F149" s="198"/>
    </row>
    <row r="150" spans="1:6" ht="12.4">
      <c r="B150" s="362" t="s">
        <v>485</v>
      </c>
      <c r="C150" s="362" t="str">
        <f>"PV("&amp;Holding_Period&amp;" yrs of Dividends)"</f>
        <v>PV(3 yrs of Dividends)</v>
      </c>
      <c r="D150" s="362" t="s">
        <v>493</v>
      </c>
      <c r="E150" s="363" t="str">
        <f>"Sell above ("&amp;Market_currency&amp;")"</f>
        <v>Sell above (HKD)</v>
      </c>
      <c r="F150" s="363" t="s">
        <v>494</v>
      </c>
    </row>
    <row r="151" spans="1:6">
      <c r="B151" s="357" t="s">
        <v>323</v>
      </c>
      <c r="C151" s="354">
        <f>Scenarios!C66</f>
        <v>0.96504125037545974</v>
      </c>
      <c r="D151" s="354">
        <f>Scenarios!D66</f>
        <v>6.14817985960822</v>
      </c>
      <c r="E151" s="355">
        <f>Scenarios!E66</f>
        <v>7.1132211099836802</v>
      </c>
      <c r="F151" s="356">
        <f>E31</f>
        <v>0.1174</v>
      </c>
    </row>
    <row r="152" spans="1:6">
      <c r="B152" s="357" t="s">
        <v>322</v>
      </c>
      <c r="C152" s="354">
        <f>Scenarios!C67</f>
        <v>1.0402102959487838</v>
      </c>
      <c r="D152" s="354">
        <f>Scenarios!D67</f>
        <v>6.9047374959172663</v>
      </c>
      <c r="E152" s="355">
        <f>Scenarios!E67</f>
        <v>7.94494779186605</v>
      </c>
      <c r="F152" s="356">
        <f>Scenarios!F67</f>
        <v>7.4999999999999997E-2</v>
      </c>
    </row>
    <row r="154" spans="1:6" ht="13.9">
      <c r="A154" s="206" t="s">
        <v>497</v>
      </c>
      <c r="B154" s="35"/>
      <c r="C154" s="35"/>
      <c r="D154" s="35"/>
      <c r="E154" s="35"/>
      <c r="F154" s="35"/>
    </row>
    <row r="156" spans="1:6">
      <c r="B156" s="366" t="s">
        <v>374</v>
      </c>
      <c r="C156" s="367"/>
      <c r="D156" s="367"/>
      <c r="E156" s="367"/>
      <c r="F156" s="367"/>
    </row>
    <row r="158" spans="1:6">
      <c r="B158" s="196" t="s">
        <v>295</v>
      </c>
    </row>
    <row r="159" spans="1:6">
      <c r="B159" s="369" t="s">
        <v>299</v>
      </c>
      <c r="C159" s="369"/>
      <c r="D159" s="369"/>
      <c r="E159" s="369"/>
      <c r="F159" s="369"/>
    </row>
    <row r="160" spans="1:6">
      <c r="B160" s="200" t="s">
        <v>296</v>
      </c>
    </row>
    <row r="161" spans="2:6">
      <c r="B161" s="200" t="s">
        <v>297</v>
      </c>
    </row>
    <row r="162" spans="2:6">
      <c r="B162" s="200" t="s">
        <v>298</v>
      </c>
    </row>
    <row r="164" spans="2:6">
      <c r="B164" s="1" t="s">
        <v>302</v>
      </c>
    </row>
    <row r="165" spans="2:6" ht="34.35" customHeight="1">
      <c r="B165" s="368" t="s">
        <v>460</v>
      </c>
      <c r="C165" s="368"/>
      <c r="D165" s="368"/>
      <c r="E165" s="368"/>
      <c r="F165" s="368"/>
    </row>
    <row r="167" spans="2:6">
      <c r="B167" s="1" t="s">
        <v>303</v>
      </c>
    </row>
    <row r="168" spans="2:6" ht="24.6" customHeight="1">
      <c r="B168" s="365" t="s">
        <v>300</v>
      </c>
      <c r="C168" s="365"/>
      <c r="D168" s="365"/>
      <c r="E168" s="365"/>
      <c r="F168" s="365"/>
    </row>
    <row r="169" spans="2:6" ht="24.6" customHeight="1">
      <c r="B169" s="365" t="s">
        <v>301</v>
      </c>
      <c r="C169" s="365"/>
      <c r="D169" s="365"/>
      <c r="E169" s="365"/>
      <c r="F169" s="365"/>
    </row>
    <row r="171" spans="2:6">
      <c r="B171" s="1" t="s">
        <v>307</v>
      </c>
    </row>
    <row r="172" spans="2:6">
      <c r="B172" s="200" t="s">
        <v>304</v>
      </c>
    </row>
    <row r="173" spans="2:6">
      <c r="B173" s="200" t="s">
        <v>305</v>
      </c>
    </row>
    <row r="174" spans="2:6">
      <c r="B174" s="200" t="s">
        <v>306</v>
      </c>
    </row>
  </sheetData>
  <mergeCells count="28">
    <mergeCell ref="B139:F139"/>
    <mergeCell ref="B47:F47"/>
    <mergeCell ref="B18:F18"/>
    <mergeCell ref="B36:F36"/>
    <mergeCell ref="B37:F37"/>
    <mergeCell ref="B40:F40"/>
    <mergeCell ref="B43:F43"/>
    <mergeCell ref="B115:F115"/>
    <mergeCell ref="B138:F138"/>
    <mergeCell ref="B50:F50"/>
    <mergeCell ref="B58:F58"/>
    <mergeCell ref="B61:F61"/>
    <mergeCell ref="B65:F65"/>
    <mergeCell ref="B103:F103"/>
    <mergeCell ref="B105:F105"/>
    <mergeCell ref="B131:F131"/>
    <mergeCell ref="B114:F114"/>
    <mergeCell ref="B134:F134"/>
    <mergeCell ref="B64:F64"/>
    <mergeCell ref="B84:F84"/>
    <mergeCell ref="B80:F80"/>
    <mergeCell ref="B104:F104"/>
    <mergeCell ref="B121:F121"/>
    <mergeCell ref="B168:F168"/>
    <mergeCell ref="B169:F169"/>
    <mergeCell ref="B156:F156"/>
    <mergeCell ref="B165:F165"/>
    <mergeCell ref="B159:F159"/>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 xr:uid="{00000000-0002-0000-0000-000001000000}">
      <formula1>"HKD,USD,CNY,EUR"</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1" sqref="C21"/>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89" t="str">
        <f>Thesis!C25</f>
        <v>HKD</v>
      </c>
      <c r="C1" s="103">
        <v>45747</v>
      </c>
      <c r="D1" s="37">
        <f>EOMONTH(EDATE(C1,-12),0)</f>
        <v>45382</v>
      </c>
      <c r="E1" s="37">
        <f t="shared" ref="E1:M1" si="0">EOMONTH(EDATE(D1,-12),0)</f>
        <v>45016</v>
      </c>
      <c r="F1" s="37">
        <f t="shared" si="0"/>
        <v>44651</v>
      </c>
      <c r="G1" s="37">
        <f t="shared" si="0"/>
        <v>44286</v>
      </c>
      <c r="H1" s="37">
        <f t="shared" si="0"/>
        <v>43921</v>
      </c>
      <c r="I1" s="37">
        <f t="shared" si="0"/>
        <v>43555</v>
      </c>
      <c r="J1" s="37">
        <f t="shared" si="0"/>
        <v>43190</v>
      </c>
      <c r="K1" s="37">
        <f t="shared" si="0"/>
        <v>42825</v>
      </c>
      <c r="L1" s="37">
        <f t="shared" si="0"/>
        <v>42460</v>
      </c>
      <c r="M1" s="37">
        <f t="shared" si="0"/>
        <v>42094</v>
      </c>
    </row>
    <row r="2" spans="2:13" ht="13.9">
      <c r="B2" s="35" t="s">
        <v>94</v>
      </c>
      <c r="C2" s="36"/>
      <c r="D2" s="36"/>
      <c r="E2" s="36"/>
      <c r="F2" s="36"/>
      <c r="G2" s="36"/>
      <c r="H2" s="36"/>
      <c r="I2" s="36"/>
      <c r="J2" s="36"/>
      <c r="K2" s="36"/>
      <c r="L2" s="36"/>
      <c r="M2" s="36"/>
    </row>
    <row r="3" spans="2:13">
      <c r="B3" s="16" t="s">
        <v>25</v>
      </c>
      <c r="C3" s="105">
        <v>1000</v>
      </c>
    </row>
    <row r="4" spans="2:13">
      <c r="B4" s="31" t="s">
        <v>0</v>
      </c>
      <c r="C4" s="303">
        <v>8568317</v>
      </c>
      <c r="D4" s="303">
        <v>8691449</v>
      </c>
      <c r="E4" s="303">
        <v>8024044</v>
      </c>
      <c r="F4" s="303">
        <v>7508753</v>
      </c>
      <c r="G4" s="303">
        <v>6714255</v>
      </c>
      <c r="H4" s="303">
        <v>7963097</v>
      </c>
      <c r="I4" s="303">
        <v>8493883</v>
      </c>
      <c r="J4" s="303">
        <v>8427399</v>
      </c>
      <c r="K4" s="303">
        <v>7895262</v>
      </c>
      <c r="L4" s="303">
        <v>7567176</v>
      </c>
      <c r="M4" s="303"/>
    </row>
    <row r="5" spans="2:13">
      <c r="B5" s="39" t="s">
        <v>41</v>
      </c>
      <c r="C5" s="303">
        <v>7675662</v>
      </c>
      <c r="D5" s="303">
        <v>7702163</v>
      </c>
      <c r="E5" s="303">
        <v>7321395</v>
      </c>
      <c r="F5" s="303">
        <v>6961032</v>
      </c>
      <c r="G5" s="303">
        <v>6339067</v>
      </c>
      <c r="H5" s="303">
        <v>7232445</v>
      </c>
      <c r="I5" s="303">
        <v>7356665</v>
      </c>
      <c r="J5" s="303">
        <v>7385291</v>
      </c>
      <c r="K5" s="303">
        <v>6838442</v>
      </c>
      <c r="L5" s="303">
        <v>6522504</v>
      </c>
      <c r="M5" s="303"/>
    </row>
    <row r="6" spans="2:13">
      <c r="B6" s="39" t="s">
        <v>52</v>
      </c>
      <c r="C6" s="303">
        <v>494493</v>
      </c>
      <c r="D6" s="303">
        <v>503213</v>
      </c>
      <c r="E6" s="303">
        <v>486079</v>
      </c>
      <c r="F6" s="303">
        <v>458843</v>
      </c>
      <c r="G6" s="303">
        <v>462619</v>
      </c>
      <c r="H6" s="303">
        <v>481414</v>
      </c>
      <c r="I6" s="303">
        <v>447788</v>
      </c>
      <c r="J6" s="303">
        <v>458819</v>
      </c>
      <c r="K6" s="303">
        <v>430609</v>
      </c>
      <c r="L6" s="303">
        <v>430039</v>
      </c>
      <c r="M6" s="303"/>
    </row>
    <row r="7" spans="2:13">
      <c r="B7" s="68" t="s">
        <v>59</v>
      </c>
      <c r="C7" s="304"/>
      <c r="D7" s="304"/>
      <c r="E7" s="304"/>
      <c r="F7" s="304"/>
      <c r="G7" s="304"/>
      <c r="H7" s="304"/>
      <c r="I7" s="304"/>
      <c r="J7" s="304"/>
      <c r="K7" s="304"/>
      <c r="L7" s="304"/>
      <c r="M7" s="304"/>
    </row>
    <row r="8" spans="2:13">
      <c r="B8" s="39" t="s">
        <v>47</v>
      </c>
      <c r="C8" s="303"/>
      <c r="D8" s="303"/>
      <c r="E8" s="303"/>
      <c r="F8" s="303"/>
      <c r="G8" s="303"/>
      <c r="H8" s="303"/>
      <c r="I8" s="303"/>
      <c r="J8" s="303"/>
      <c r="K8" s="303"/>
      <c r="L8" s="303"/>
      <c r="M8" s="303"/>
    </row>
    <row r="9" spans="2:13">
      <c r="B9" s="39" t="s">
        <v>136</v>
      </c>
      <c r="C9" s="303"/>
      <c r="D9" s="303"/>
      <c r="E9" s="303"/>
      <c r="F9" s="303"/>
      <c r="G9" s="303"/>
      <c r="H9" s="303"/>
      <c r="I9" s="303"/>
      <c r="J9" s="303"/>
      <c r="K9" s="303"/>
      <c r="L9" s="303"/>
      <c r="M9" s="303"/>
    </row>
    <row r="10" spans="2:13">
      <c r="B10" s="39" t="s">
        <v>140</v>
      </c>
      <c r="C10" s="303"/>
      <c r="D10" s="303"/>
      <c r="E10" s="303"/>
      <c r="F10" s="303"/>
      <c r="G10" s="303"/>
      <c r="H10" s="303"/>
      <c r="I10" s="303"/>
      <c r="J10" s="303"/>
      <c r="K10" s="303"/>
      <c r="L10" s="303"/>
      <c r="M10" s="303"/>
    </row>
    <row r="11" spans="2:13">
      <c r="B11" s="39" t="s">
        <v>135</v>
      </c>
      <c r="C11" s="303"/>
      <c r="D11" s="303"/>
      <c r="E11" s="303"/>
      <c r="F11" s="303"/>
      <c r="G11" s="303"/>
      <c r="H11" s="303"/>
      <c r="I11" s="303"/>
      <c r="J11" s="303"/>
      <c r="K11" s="303"/>
      <c r="L11" s="303"/>
      <c r="M11" s="303"/>
    </row>
    <row r="12" spans="2:13">
      <c r="B12" s="39" t="s">
        <v>37</v>
      </c>
      <c r="C12" s="303">
        <v>104115</v>
      </c>
      <c r="D12" s="303">
        <v>108592</v>
      </c>
      <c r="E12" s="303">
        <v>98508</v>
      </c>
      <c r="F12" s="303">
        <v>88044</v>
      </c>
      <c r="G12" s="303"/>
      <c r="H12" s="303"/>
      <c r="I12" s="303"/>
      <c r="J12" s="303"/>
      <c r="K12" s="303"/>
      <c r="L12" s="303"/>
      <c r="M12" s="303"/>
    </row>
    <row r="13" spans="2:13">
      <c r="B13" s="39" t="s">
        <v>65</v>
      </c>
      <c r="C13" s="303">
        <v>46652</v>
      </c>
      <c r="D13" s="303">
        <v>45304</v>
      </c>
      <c r="E13" s="303">
        <v>38847</v>
      </c>
      <c r="F13" s="303">
        <v>7659</v>
      </c>
      <c r="G13" s="303"/>
      <c r="H13" s="303"/>
      <c r="I13" s="303"/>
      <c r="J13" s="303"/>
      <c r="K13" s="303"/>
      <c r="L13" s="303"/>
      <c r="M13" s="303"/>
    </row>
    <row r="14" spans="2:13">
      <c r="B14" s="39" t="s">
        <v>48</v>
      </c>
      <c r="C14" s="303">
        <v>32312</v>
      </c>
      <c r="D14" s="303">
        <v>56313</v>
      </c>
      <c r="E14" s="303">
        <v>32989</v>
      </c>
      <c r="F14" s="303">
        <v>27939</v>
      </c>
      <c r="G14" s="303">
        <v>29996</v>
      </c>
      <c r="H14" s="303">
        <v>39872</v>
      </c>
      <c r="I14" s="303">
        <v>129810</v>
      </c>
      <c r="J14" s="303">
        <v>121949</v>
      </c>
      <c r="K14" s="303">
        <v>108832</v>
      </c>
      <c r="L14" s="303">
        <v>110223</v>
      </c>
      <c r="M14" s="303"/>
    </row>
    <row r="15" spans="2:13">
      <c r="B15" s="42" t="s">
        <v>40</v>
      </c>
      <c r="C15" s="305">
        <v>235111</v>
      </c>
      <c r="D15" s="305">
        <v>333215</v>
      </c>
      <c r="E15" s="305">
        <v>111187</v>
      </c>
      <c r="F15" s="305">
        <v>22850</v>
      </c>
      <c r="G15" s="305">
        <v>360550</v>
      </c>
      <c r="H15" s="305">
        <v>74386</v>
      </c>
      <c r="I15" s="305">
        <v>592110</v>
      </c>
      <c r="J15" s="305">
        <v>459295</v>
      </c>
      <c r="K15" s="305">
        <v>503850</v>
      </c>
      <c r="L15" s="305">
        <v>517860</v>
      </c>
      <c r="M15" s="305"/>
    </row>
    <row r="16" spans="2:13">
      <c r="B16" s="27" t="s">
        <v>42</v>
      </c>
      <c r="C16" s="303">
        <v>2367</v>
      </c>
      <c r="D16" s="303">
        <v>2761</v>
      </c>
      <c r="E16" s="303">
        <v>834</v>
      </c>
      <c r="F16" s="303">
        <v>1636</v>
      </c>
      <c r="G16" s="303">
        <v>1420</v>
      </c>
      <c r="H16" s="303">
        <v>752</v>
      </c>
      <c r="I16" s="303">
        <v>1825</v>
      </c>
      <c r="J16" s="303">
        <v>1240</v>
      </c>
      <c r="K16" s="303">
        <v>23</v>
      </c>
      <c r="L16" s="303">
        <v>-122</v>
      </c>
      <c r="M16" s="303"/>
    </row>
    <row r="18" spans="2:13">
      <c r="B18" s="16" t="s">
        <v>49</v>
      </c>
      <c r="C18" s="9"/>
    </row>
    <row r="19" spans="2:13">
      <c r="B19" s="26" t="s">
        <v>45</v>
      </c>
      <c r="C19" s="303">
        <v>378473</v>
      </c>
      <c r="D19" s="303">
        <v>394190</v>
      </c>
      <c r="E19" s="303"/>
      <c r="F19" s="303"/>
      <c r="G19" s="303"/>
      <c r="H19" s="303"/>
      <c r="I19" s="303"/>
      <c r="J19" s="303"/>
      <c r="K19" s="303"/>
      <c r="L19" s="303"/>
      <c r="M19" s="303"/>
    </row>
    <row r="20" spans="2:13">
      <c r="B20" s="26" t="s">
        <v>51</v>
      </c>
      <c r="C20" s="303">
        <v>305069</v>
      </c>
      <c r="D20" s="303">
        <v>316358</v>
      </c>
      <c r="E20" s="303"/>
      <c r="F20" s="303"/>
      <c r="G20" s="303"/>
      <c r="H20" s="303"/>
      <c r="I20" s="303"/>
      <c r="J20" s="303"/>
      <c r="K20" s="303"/>
      <c r="L20" s="303"/>
      <c r="M20" s="303"/>
    </row>
    <row r="21" spans="2:13">
      <c r="B21" s="26" t="s">
        <v>50</v>
      </c>
      <c r="C21" s="303">
        <f>1620363-1596408</f>
        <v>23955</v>
      </c>
      <c r="D21" s="303">
        <f>1695309-1694297</f>
        <v>1012</v>
      </c>
      <c r="E21" s="303"/>
      <c r="F21" s="303"/>
      <c r="G21" s="303"/>
      <c r="H21" s="303"/>
      <c r="I21" s="303"/>
      <c r="J21" s="303"/>
      <c r="K21" s="303"/>
      <c r="L21" s="303"/>
      <c r="M21" s="303"/>
    </row>
    <row r="22" spans="2:13">
      <c r="B22" s="26" t="s">
        <v>292</v>
      </c>
      <c r="C22" s="303">
        <v>1510999</v>
      </c>
      <c r="D22" s="303">
        <v>1663154</v>
      </c>
      <c r="E22" s="303">
        <v>1698885</v>
      </c>
      <c r="F22" s="303">
        <v>1164441</v>
      </c>
      <c r="G22" s="303">
        <v>1692931</v>
      </c>
      <c r="H22" s="303">
        <v>1417017</v>
      </c>
      <c r="I22" s="303">
        <v>952115</v>
      </c>
      <c r="J22" s="303">
        <v>892669</v>
      </c>
      <c r="K22" s="303">
        <v>875824</v>
      </c>
      <c r="L22" s="303">
        <v>781447</v>
      </c>
      <c r="M22" s="303"/>
    </row>
    <row r="23" spans="2:13">
      <c r="B23" s="26" t="s">
        <v>294</v>
      </c>
      <c r="C23" s="303">
        <v>-254050</v>
      </c>
      <c r="D23" s="303">
        <v>-263006</v>
      </c>
      <c r="E23" s="303">
        <v>-407351</v>
      </c>
      <c r="F23" s="303">
        <v>-456030</v>
      </c>
      <c r="G23" s="303">
        <v>-273175</v>
      </c>
      <c r="H23" s="303">
        <v>-434207</v>
      </c>
      <c r="I23" s="303">
        <v>-198683</v>
      </c>
      <c r="J23" s="303">
        <v>-456669</v>
      </c>
      <c r="K23" s="303">
        <v>-592640</v>
      </c>
      <c r="L23" s="303">
        <v>-179257</v>
      </c>
      <c r="M23" s="303"/>
    </row>
    <row r="24" spans="2:13">
      <c r="B24" s="26" t="s">
        <v>293</v>
      </c>
      <c r="C24" s="303">
        <v>-1460236</v>
      </c>
      <c r="D24" s="303">
        <v>-1802477</v>
      </c>
      <c r="E24" s="303">
        <v>-1192662</v>
      </c>
      <c r="F24" s="303">
        <v>-1206590</v>
      </c>
      <c r="G24" s="303">
        <v>287961</v>
      </c>
      <c r="H24" s="303">
        <v>-1461178</v>
      </c>
      <c r="I24" s="303">
        <v>-690622</v>
      </c>
      <c r="J24" s="303">
        <v>-465820</v>
      </c>
      <c r="K24" s="303">
        <v>-661826</v>
      </c>
      <c r="L24" s="303">
        <v>-463395</v>
      </c>
      <c r="M24" s="303"/>
    </row>
    <row r="25" spans="2:13">
      <c r="B25" s="23" t="str">
        <f>"Dividend per share ("&amp;Market_currency&amp;")"</f>
        <v>Dividend per share (HKD)</v>
      </c>
      <c r="C25" s="38">
        <f>0.25+0.15</f>
        <v>0.4</v>
      </c>
      <c r="D25" s="38">
        <f>0.42+0.15</f>
        <v>0.56999999999999995</v>
      </c>
      <c r="E25" s="38">
        <f>0.28+0.1</f>
        <v>0.38</v>
      </c>
      <c r="F25" s="38">
        <v>0.38</v>
      </c>
      <c r="G25" s="38"/>
      <c r="H25" s="38"/>
      <c r="I25" s="38"/>
      <c r="J25" s="38"/>
      <c r="K25" s="38"/>
      <c r="L25" s="38"/>
      <c r="M25" s="38"/>
    </row>
    <row r="27" spans="2:13">
      <c r="B27" s="16" t="s">
        <v>26</v>
      </c>
      <c r="C27" s="96" t="s">
        <v>190</v>
      </c>
    </row>
    <row r="28" spans="2:13">
      <c r="B28" s="25" t="s">
        <v>22</v>
      </c>
      <c r="C28" s="286">
        <f>BS!C4</f>
        <v>124515</v>
      </c>
      <c r="D28" s="303">
        <v>89430</v>
      </c>
      <c r="E28" s="303">
        <v>75868</v>
      </c>
      <c r="F28" s="303">
        <v>51007</v>
      </c>
      <c r="G28" s="303">
        <v>37326</v>
      </c>
      <c r="H28" s="303">
        <v>50182</v>
      </c>
      <c r="I28" s="303">
        <v>70869</v>
      </c>
      <c r="J28" s="303">
        <v>65261</v>
      </c>
      <c r="K28" s="303">
        <v>45658</v>
      </c>
      <c r="L28" s="303">
        <v>43197</v>
      </c>
      <c r="M28" s="303"/>
    </row>
    <row r="29" spans="2:13">
      <c r="B29" s="25" t="s">
        <v>30</v>
      </c>
      <c r="C29" s="286">
        <f>BS!C6</f>
        <v>220637</v>
      </c>
      <c r="D29" s="303">
        <v>230288</v>
      </c>
      <c r="E29" s="303">
        <v>268243</v>
      </c>
      <c r="F29" s="303">
        <v>303542</v>
      </c>
      <c r="G29" s="303">
        <v>234924</v>
      </c>
      <c r="H29" s="303">
        <v>260626</v>
      </c>
      <c r="I29" s="303">
        <v>241325</v>
      </c>
      <c r="J29" s="303">
        <v>234362</v>
      </c>
      <c r="K29" s="303">
        <v>240154</v>
      </c>
      <c r="L29" s="303">
        <v>214551</v>
      </c>
      <c r="M29" s="303"/>
    </row>
    <row r="30" spans="2:13">
      <c r="B30" s="28" t="s">
        <v>38</v>
      </c>
      <c r="C30" s="287">
        <f>BS!C33+BS!C42</f>
        <v>3235494</v>
      </c>
      <c r="D30" s="305">
        <v>3603411</v>
      </c>
      <c r="E30" s="305">
        <v>4383277</v>
      </c>
      <c r="F30" s="305">
        <v>4045470</v>
      </c>
      <c r="G30" s="305">
        <v>4119837</v>
      </c>
      <c r="H30" s="305">
        <v>3549446</v>
      </c>
      <c r="I30" s="305">
        <v>1072340</v>
      </c>
      <c r="J30" s="305">
        <v>1042829</v>
      </c>
      <c r="K30" s="305">
        <v>945690</v>
      </c>
      <c r="L30" s="305">
        <v>903190</v>
      </c>
      <c r="M30" s="305"/>
    </row>
    <row r="31" spans="2:13">
      <c r="B31" s="28" t="s">
        <v>28</v>
      </c>
      <c r="C31" s="287">
        <f>BS!G27</f>
        <v>2744736</v>
      </c>
      <c r="D31" s="305">
        <v>2910513</v>
      </c>
      <c r="E31" s="305">
        <v>2792063</v>
      </c>
      <c r="F31" s="305">
        <v>2826376</v>
      </c>
      <c r="G31" s="305">
        <v>3034836</v>
      </c>
      <c r="H31" s="305">
        <v>2671312</v>
      </c>
      <c r="I31" s="305">
        <v>3421750</v>
      </c>
      <c r="J31" s="305">
        <v>3573500</v>
      </c>
      <c r="K31" s="305">
        <v>3491120</v>
      </c>
      <c r="L31" s="305">
        <v>3541997</v>
      </c>
      <c r="M31" s="305"/>
    </row>
    <row r="32" spans="2:13">
      <c r="B32" s="25" t="s">
        <v>145</v>
      </c>
      <c r="C32" s="286">
        <f>BS!G28</f>
        <v>12450</v>
      </c>
      <c r="D32" s="303">
        <v>10665</v>
      </c>
      <c r="E32" s="303">
        <v>8469</v>
      </c>
      <c r="F32" s="303">
        <v>7635</v>
      </c>
      <c r="G32" s="303">
        <v>5999</v>
      </c>
      <c r="H32" s="303">
        <v>4579</v>
      </c>
      <c r="I32" s="303">
        <v>6262</v>
      </c>
      <c r="J32" s="303">
        <v>3819</v>
      </c>
      <c r="K32" s="303">
        <v>3743</v>
      </c>
      <c r="L32" s="303">
        <v>3720</v>
      </c>
      <c r="M32" s="303"/>
    </row>
    <row r="34" spans="2:13" ht="13.9">
      <c r="B34" s="35" t="s">
        <v>79</v>
      </c>
      <c r="C34" s="36"/>
      <c r="D34" s="36"/>
      <c r="E34" s="36"/>
      <c r="F34" s="36"/>
      <c r="G34" s="36"/>
      <c r="H34" s="36"/>
      <c r="I34" s="36"/>
      <c r="J34" s="36"/>
      <c r="K34" s="36"/>
      <c r="L34" s="36"/>
      <c r="M34" s="36"/>
    </row>
    <row r="35" spans="2:13">
      <c r="B35" s="16" t="s">
        <v>25</v>
      </c>
    </row>
    <row r="36" spans="2:13">
      <c r="B36" s="31" t="s">
        <v>0</v>
      </c>
      <c r="C36" s="286">
        <f t="shared" ref="C36:M36" si="1">IF(C$4="","",C4)</f>
        <v>8568317</v>
      </c>
      <c r="D36" s="286">
        <f t="shared" si="1"/>
        <v>8691449</v>
      </c>
      <c r="E36" s="286">
        <f t="shared" si="1"/>
        <v>8024044</v>
      </c>
      <c r="F36" s="286">
        <f t="shared" si="1"/>
        <v>7508753</v>
      </c>
      <c r="G36" s="286">
        <f t="shared" si="1"/>
        <v>6714255</v>
      </c>
      <c r="H36" s="286">
        <f t="shared" si="1"/>
        <v>7963097</v>
      </c>
      <c r="I36" s="286">
        <f t="shared" si="1"/>
        <v>8493883</v>
      </c>
      <c r="J36" s="286">
        <f t="shared" si="1"/>
        <v>8427399</v>
      </c>
      <c r="K36" s="286">
        <f t="shared" si="1"/>
        <v>7895262</v>
      </c>
      <c r="L36" s="286">
        <f t="shared" si="1"/>
        <v>7567176</v>
      </c>
      <c r="M36" s="286" t="str">
        <f t="shared" si="1"/>
        <v/>
      </c>
    </row>
    <row r="37" spans="2:13">
      <c r="B37" s="39" t="s">
        <v>41</v>
      </c>
      <c r="C37" s="286">
        <f t="shared" ref="C37:M37" si="2">IF(C$4="","",-C5)</f>
        <v>-7675662</v>
      </c>
      <c r="D37" s="286">
        <f t="shared" si="2"/>
        <v>-7702163</v>
      </c>
      <c r="E37" s="286">
        <f t="shared" si="2"/>
        <v>-7321395</v>
      </c>
      <c r="F37" s="286">
        <f t="shared" si="2"/>
        <v>-6961032</v>
      </c>
      <c r="G37" s="286">
        <f t="shared" si="2"/>
        <v>-6339067</v>
      </c>
      <c r="H37" s="286">
        <f t="shared" si="2"/>
        <v>-7232445</v>
      </c>
      <c r="I37" s="286">
        <f t="shared" si="2"/>
        <v>-7356665</v>
      </c>
      <c r="J37" s="286">
        <f t="shared" si="2"/>
        <v>-7385291</v>
      </c>
      <c r="K37" s="286">
        <f t="shared" si="2"/>
        <v>-6838442</v>
      </c>
      <c r="L37" s="286">
        <f t="shared" si="2"/>
        <v>-6522504</v>
      </c>
      <c r="M37" s="286" t="str">
        <f t="shared" si="2"/>
        <v/>
      </c>
    </row>
    <row r="38" spans="2:13">
      <c r="B38" s="30" t="s">
        <v>56</v>
      </c>
      <c r="C38" s="283">
        <f>IF(C36="","",C36+C37)</f>
        <v>892655</v>
      </c>
      <c r="D38" s="283">
        <f t="shared" ref="D38" si="3">IF(D36="","",D36+D37)</f>
        <v>989286</v>
      </c>
      <c r="E38" s="283">
        <f t="shared" ref="E38" si="4">IF(E36="","",E36+E37)</f>
        <v>702649</v>
      </c>
      <c r="F38" s="283">
        <f t="shared" ref="F38" si="5">IF(F36="","",F36+F37)</f>
        <v>547721</v>
      </c>
      <c r="G38" s="283">
        <f t="shared" ref="G38" si="6">IF(G36="","",G36+G37)</f>
        <v>375188</v>
      </c>
      <c r="H38" s="283">
        <f t="shared" ref="H38" si="7">IF(H36="","",H36+H37)</f>
        <v>730652</v>
      </c>
      <c r="I38" s="283">
        <f t="shared" ref="I38" si="8">IF(I36="","",I36+I37)</f>
        <v>1137218</v>
      </c>
      <c r="J38" s="283">
        <f t="shared" ref="J38" si="9">IF(J36="","",J36+J37)</f>
        <v>1042108</v>
      </c>
      <c r="K38" s="283">
        <f t="shared" ref="K38" si="10">IF(K36="","",K36+K37)</f>
        <v>1056820</v>
      </c>
      <c r="L38" s="283">
        <f t="shared" ref="L38" si="11">IF(L36="","",L36+L37)</f>
        <v>1044672</v>
      </c>
      <c r="M38" s="283" t="str">
        <f t="shared" ref="M38" si="12">IF(M36="","",M36+M37)</f>
        <v/>
      </c>
    </row>
    <row r="39" spans="2:13">
      <c r="B39" s="39" t="s">
        <v>52</v>
      </c>
      <c r="C39" s="286">
        <f t="shared" ref="C39:M39" si="13">IF(C$4="","",-C6)</f>
        <v>-494493</v>
      </c>
      <c r="D39" s="286">
        <f t="shared" si="13"/>
        <v>-503213</v>
      </c>
      <c r="E39" s="286">
        <f t="shared" si="13"/>
        <v>-486079</v>
      </c>
      <c r="F39" s="286">
        <f t="shared" si="13"/>
        <v>-458843</v>
      </c>
      <c r="G39" s="286">
        <f t="shared" si="13"/>
        <v>-462619</v>
      </c>
      <c r="H39" s="286">
        <f t="shared" si="13"/>
        <v>-481414</v>
      </c>
      <c r="I39" s="286">
        <f t="shared" si="13"/>
        <v>-447788</v>
      </c>
      <c r="J39" s="286">
        <f t="shared" si="13"/>
        <v>-458819</v>
      </c>
      <c r="K39" s="286">
        <f t="shared" si="13"/>
        <v>-430609</v>
      </c>
      <c r="L39" s="286">
        <f t="shared" si="13"/>
        <v>-430039</v>
      </c>
      <c r="M39" s="286" t="str">
        <f t="shared" si="13"/>
        <v/>
      </c>
    </row>
    <row r="40" spans="2:13">
      <c r="B40" s="68" t="s">
        <v>59</v>
      </c>
      <c r="C40" s="298">
        <f t="shared" ref="C40:M40" si="14">IF(C$4="","",-C7)</f>
        <v>0</v>
      </c>
      <c r="D40" s="298">
        <f t="shared" si="14"/>
        <v>0</v>
      </c>
      <c r="E40" s="298">
        <f t="shared" si="14"/>
        <v>0</v>
      </c>
      <c r="F40" s="298">
        <f t="shared" si="14"/>
        <v>0</v>
      </c>
      <c r="G40" s="298">
        <f t="shared" si="14"/>
        <v>0</v>
      </c>
      <c r="H40" s="298">
        <f t="shared" si="14"/>
        <v>0</v>
      </c>
      <c r="I40" s="298">
        <f t="shared" si="14"/>
        <v>0</v>
      </c>
      <c r="J40" s="298">
        <f t="shared" si="14"/>
        <v>0</v>
      </c>
      <c r="K40" s="298">
        <f t="shared" si="14"/>
        <v>0</v>
      </c>
      <c r="L40" s="298">
        <f t="shared" si="14"/>
        <v>0</v>
      </c>
      <c r="M40" s="298" t="str">
        <f t="shared" si="14"/>
        <v/>
      </c>
    </row>
    <row r="41" spans="2:13">
      <c r="B41" s="68" t="s">
        <v>62</v>
      </c>
      <c r="C41" s="298">
        <f>IF(C$4="","",C39-C40)</f>
        <v>-494493</v>
      </c>
      <c r="D41" s="298">
        <f t="shared" ref="D41:M41" si="15">IF(D$4="","",D39-D40)</f>
        <v>-503213</v>
      </c>
      <c r="E41" s="298">
        <f t="shared" si="15"/>
        <v>-486079</v>
      </c>
      <c r="F41" s="298">
        <f t="shared" si="15"/>
        <v>-458843</v>
      </c>
      <c r="G41" s="298">
        <f t="shared" si="15"/>
        <v>-462619</v>
      </c>
      <c r="H41" s="298">
        <f t="shared" si="15"/>
        <v>-481414</v>
      </c>
      <c r="I41" s="298">
        <f t="shared" si="15"/>
        <v>-447788</v>
      </c>
      <c r="J41" s="298">
        <f t="shared" si="15"/>
        <v>-458819</v>
      </c>
      <c r="K41" s="298">
        <f t="shared" si="15"/>
        <v>-430609</v>
      </c>
      <c r="L41" s="298">
        <f t="shared" si="15"/>
        <v>-430039</v>
      </c>
      <c r="M41" s="298" t="str">
        <f t="shared" si="15"/>
        <v/>
      </c>
    </row>
    <row r="42" spans="2:13">
      <c r="B42" s="39" t="s">
        <v>47</v>
      </c>
      <c r="C42" s="286">
        <f t="shared" ref="C42:M42" si="16">IF(C$4="","",-C8)</f>
        <v>0</v>
      </c>
      <c r="D42" s="286">
        <f t="shared" si="16"/>
        <v>0</v>
      </c>
      <c r="E42" s="286">
        <f t="shared" si="16"/>
        <v>0</v>
      </c>
      <c r="F42" s="286">
        <f t="shared" si="16"/>
        <v>0</v>
      </c>
      <c r="G42" s="286">
        <f t="shared" si="16"/>
        <v>0</v>
      </c>
      <c r="H42" s="286">
        <f t="shared" si="16"/>
        <v>0</v>
      </c>
      <c r="I42" s="286">
        <f t="shared" si="16"/>
        <v>0</v>
      </c>
      <c r="J42" s="286">
        <f t="shared" si="16"/>
        <v>0</v>
      </c>
      <c r="K42" s="286">
        <f t="shared" si="16"/>
        <v>0</v>
      </c>
      <c r="L42" s="286">
        <f t="shared" si="16"/>
        <v>0</v>
      </c>
      <c r="M42" s="286" t="str">
        <f t="shared" si="16"/>
        <v/>
      </c>
    </row>
    <row r="43" spans="2:13">
      <c r="B43" s="42" t="s">
        <v>129</v>
      </c>
      <c r="C43" s="287">
        <f>IF(C$4="","",C38+C39+C42)</f>
        <v>398162</v>
      </c>
      <c r="D43" s="287">
        <f t="shared" ref="D43:M43" si="17">IF(D$4="","",D38+D39+D42)</f>
        <v>486073</v>
      </c>
      <c r="E43" s="287">
        <f t="shared" si="17"/>
        <v>216570</v>
      </c>
      <c r="F43" s="287">
        <f t="shared" si="17"/>
        <v>88878</v>
      </c>
      <c r="G43" s="287">
        <f t="shared" si="17"/>
        <v>-87431</v>
      </c>
      <c r="H43" s="287">
        <f t="shared" si="17"/>
        <v>249238</v>
      </c>
      <c r="I43" s="287">
        <f t="shared" si="17"/>
        <v>689430</v>
      </c>
      <c r="J43" s="287">
        <f t="shared" si="17"/>
        <v>583289</v>
      </c>
      <c r="K43" s="287">
        <f t="shared" si="17"/>
        <v>626211</v>
      </c>
      <c r="L43" s="287">
        <f t="shared" si="17"/>
        <v>614633</v>
      </c>
      <c r="M43" s="287" t="str">
        <f t="shared" si="17"/>
        <v/>
      </c>
    </row>
    <row r="44" spans="2:13">
      <c r="B44" s="42" t="s">
        <v>141</v>
      </c>
      <c r="C44" s="306">
        <f t="shared" ref="C44:M44" si="18">IF(C$4="","",C47-C46-C45-C43)</f>
        <v>-73276</v>
      </c>
      <c r="D44" s="306">
        <f t="shared" si="18"/>
        <v>-33257</v>
      </c>
      <c r="E44" s="306">
        <f t="shared" si="18"/>
        <v>-12733</v>
      </c>
      <c r="F44" s="306">
        <f t="shared" si="18"/>
        <v>42296</v>
      </c>
      <c r="G44" s="306">
        <f t="shared" si="18"/>
        <v>477977</v>
      </c>
      <c r="H44" s="306">
        <f t="shared" si="18"/>
        <v>-134980</v>
      </c>
      <c r="I44" s="306">
        <f t="shared" si="18"/>
        <v>32490</v>
      </c>
      <c r="J44" s="306">
        <f t="shared" si="18"/>
        <v>-2045</v>
      </c>
      <c r="K44" s="306">
        <f t="shared" si="18"/>
        <v>-13529</v>
      </c>
      <c r="L44" s="306">
        <f t="shared" si="18"/>
        <v>13450</v>
      </c>
      <c r="M44" s="306" t="str">
        <f t="shared" si="18"/>
        <v/>
      </c>
    </row>
    <row r="45" spans="2:13">
      <c r="B45" s="39" t="s">
        <v>66</v>
      </c>
      <c r="C45" s="301">
        <f t="shared" ref="C45:M45" si="19">IF(C$4="","",C51+C52)</f>
        <v>-57463</v>
      </c>
      <c r="D45" s="301">
        <f t="shared" si="19"/>
        <v>-63288</v>
      </c>
      <c r="E45" s="301">
        <f t="shared" si="19"/>
        <v>-59661</v>
      </c>
      <c r="F45" s="301">
        <f t="shared" si="19"/>
        <v>-80385</v>
      </c>
      <c r="G45" s="301">
        <f t="shared" si="19"/>
        <v>0</v>
      </c>
      <c r="H45" s="301">
        <f t="shared" si="19"/>
        <v>0</v>
      </c>
      <c r="I45" s="301">
        <f t="shared" si="19"/>
        <v>0</v>
      </c>
      <c r="J45" s="301">
        <f t="shared" si="19"/>
        <v>0</v>
      </c>
      <c r="K45" s="301">
        <f t="shared" si="19"/>
        <v>0</v>
      </c>
      <c r="L45" s="301">
        <f t="shared" si="19"/>
        <v>0</v>
      </c>
      <c r="M45" s="301" t="str">
        <f t="shared" si="19"/>
        <v/>
      </c>
    </row>
    <row r="46" spans="2:13">
      <c r="B46" s="39" t="s">
        <v>48</v>
      </c>
      <c r="C46" s="286">
        <f t="shared" ref="C46:M46" si="20">IF(C$4="","",-C14)</f>
        <v>-32312</v>
      </c>
      <c r="D46" s="286">
        <f t="shared" si="20"/>
        <v>-56313</v>
      </c>
      <c r="E46" s="286">
        <f t="shared" si="20"/>
        <v>-32989</v>
      </c>
      <c r="F46" s="286">
        <f t="shared" si="20"/>
        <v>-27939</v>
      </c>
      <c r="G46" s="286">
        <f t="shared" si="20"/>
        <v>-29996</v>
      </c>
      <c r="H46" s="286">
        <f t="shared" si="20"/>
        <v>-39872</v>
      </c>
      <c r="I46" s="286">
        <f t="shared" si="20"/>
        <v>-129810</v>
      </c>
      <c r="J46" s="286">
        <f t="shared" si="20"/>
        <v>-121949</v>
      </c>
      <c r="K46" s="286">
        <f t="shared" si="20"/>
        <v>-108832</v>
      </c>
      <c r="L46" s="286">
        <f t="shared" si="20"/>
        <v>-110223</v>
      </c>
      <c r="M46" s="286" t="str">
        <f t="shared" si="20"/>
        <v/>
      </c>
    </row>
    <row r="47" spans="2:13">
      <c r="B47" s="42" t="s">
        <v>40</v>
      </c>
      <c r="C47" s="287">
        <f t="shared" ref="C47:M47" si="21">IF(C$4="","",C15)</f>
        <v>235111</v>
      </c>
      <c r="D47" s="287">
        <f t="shared" si="21"/>
        <v>333215</v>
      </c>
      <c r="E47" s="287">
        <f t="shared" si="21"/>
        <v>111187</v>
      </c>
      <c r="F47" s="287">
        <f t="shared" si="21"/>
        <v>22850</v>
      </c>
      <c r="G47" s="287">
        <f t="shared" si="21"/>
        <v>360550</v>
      </c>
      <c r="H47" s="287">
        <f t="shared" si="21"/>
        <v>74386</v>
      </c>
      <c r="I47" s="287">
        <f t="shared" si="21"/>
        <v>592110</v>
      </c>
      <c r="J47" s="287">
        <f t="shared" si="21"/>
        <v>459295</v>
      </c>
      <c r="K47" s="287">
        <f t="shared" si="21"/>
        <v>503850</v>
      </c>
      <c r="L47" s="287">
        <f t="shared" si="21"/>
        <v>517860</v>
      </c>
      <c r="M47" s="287" t="str">
        <f t="shared" si="21"/>
        <v/>
      </c>
    </row>
    <row r="48" spans="2:13">
      <c r="B48" s="27" t="s">
        <v>42</v>
      </c>
      <c r="C48" s="286">
        <f t="shared" ref="C48:M48" si="22">IF(C$4="","",MIN(-C16,0))</f>
        <v>-2367</v>
      </c>
      <c r="D48" s="286">
        <f t="shared" si="22"/>
        <v>-2761</v>
      </c>
      <c r="E48" s="286">
        <f t="shared" si="22"/>
        <v>-834</v>
      </c>
      <c r="F48" s="286">
        <f t="shared" si="22"/>
        <v>-1636</v>
      </c>
      <c r="G48" s="286">
        <f t="shared" si="22"/>
        <v>-1420</v>
      </c>
      <c r="H48" s="286">
        <f t="shared" si="22"/>
        <v>-752</v>
      </c>
      <c r="I48" s="286">
        <f t="shared" si="22"/>
        <v>-1825</v>
      </c>
      <c r="J48" s="286">
        <f t="shared" si="22"/>
        <v>-1240</v>
      </c>
      <c r="K48" s="286">
        <f t="shared" si="22"/>
        <v>-23</v>
      </c>
      <c r="L48" s="286">
        <f t="shared" si="22"/>
        <v>0</v>
      </c>
      <c r="M48" s="286" t="str">
        <f t="shared" si="22"/>
        <v/>
      </c>
    </row>
    <row r="50" spans="2:13">
      <c r="B50" s="16" t="s">
        <v>66</v>
      </c>
    </row>
    <row r="51" spans="2:13">
      <c r="B51" s="39" t="s">
        <v>37</v>
      </c>
      <c r="C51" s="286">
        <f t="shared" ref="C51:M51" si="23">IF(C$4="","",-C12)</f>
        <v>-104115</v>
      </c>
      <c r="D51" s="286">
        <f t="shared" si="23"/>
        <v>-108592</v>
      </c>
      <c r="E51" s="286">
        <f t="shared" si="23"/>
        <v>-98508</v>
      </c>
      <c r="F51" s="286">
        <f t="shared" si="23"/>
        <v>-88044</v>
      </c>
      <c r="G51" s="286">
        <f t="shared" si="23"/>
        <v>0</v>
      </c>
      <c r="H51" s="286">
        <f t="shared" si="23"/>
        <v>0</v>
      </c>
      <c r="I51" s="286">
        <f t="shared" si="23"/>
        <v>0</v>
      </c>
      <c r="J51" s="286">
        <f t="shared" si="23"/>
        <v>0</v>
      </c>
      <c r="K51" s="286">
        <f t="shared" si="23"/>
        <v>0</v>
      </c>
      <c r="L51" s="286">
        <f t="shared" si="23"/>
        <v>0</v>
      </c>
      <c r="M51" s="286" t="str">
        <f t="shared" si="23"/>
        <v/>
      </c>
    </row>
    <row r="52" spans="2:13">
      <c r="B52" s="39" t="s">
        <v>65</v>
      </c>
      <c r="C52" s="286">
        <f t="shared" ref="C52:M52" si="24">IF(C$4="","",C13)</f>
        <v>46652</v>
      </c>
      <c r="D52" s="286">
        <f t="shared" si="24"/>
        <v>45304</v>
      </c>
      <c r="E52" s="286">
        <f t="shared" si="24"/>
        <v>38847</v>
      </c>
      <c r="F52" s="286">
        <f t="shared" si="24"/>
        <v>7659</v>
      </c>
      <c r="G52" s="286">
        <f t="shared" si="24"/>
        <v>0</v>
      </c>
      <c r="H52" s="286">
        <f t="shared" si="24"/>
        <v>0</v>
      </c>
      <c r="I52" s="286">
        <f t="shared" si="24"/>
        <v>0</v>
      </c>
      <c r="J52" s="286">
        <f t="shared" si="24"/>
        <v>0</v>
      </c>
      <c r="K52" s="286">
        <f t="shared" si="24"/>
        <v>0</v>
      </c>
      <c r="L52" s="286">
        <f t="shared" si="24"/>
        <v>0</v>
      </c>
      <c r="M52" s="286" t="str">
        <f t="shared" si="24"/>
        <v/>
      </c>
    </row>
    <row r="54" spans="2:13">
      <c r="B54" s="160" t="s">
        <v>141</v>
      </c>
    </row>
    <row r="55" spans="2:13">
      <c r="B55" s="39" t="s">
        <v>136</v>
      </c>
      <c r="C55" s="301">
        <f t="shared" ref="C55:M55" si="25">IF(C$4="","",C9)</f>
        <v>0</v>
      </c>
      <c r="D55" s="301">
        <f t="shared" si="25"/>
        <v>0</v>
      </c>
      <c r="E55" s="301">
        <f t="shared" si="25"/>
        <v>0</v>
      </c>
      <c r="F55" s="301">
        <f t="shared" si="25"/>
        <v>0</v>
      </c>
      <c r="G55" s="301">
        <f t="shared" si="25"/>
        <v>0</v>
      </c>
      <c r="H55" s="301">
        <f t="shared" si="25"/>
        <v>0</v>
      </c>
      <c r="I55" s="301">
        <f t="shared" si="25"/>
        <v>0</v>
      </c>
      <c r="J55" s="301">
        <f t="shared" si="25"/>
        <v>0</v>
      </c>
      <c r="K55" s="301">
        <f t="shared" si="25"/>
        <v>0</v>
      </c>
      <c r="L55" s="301">
        <f t="shared" si="25"/>
        <v>0</v>
      </c>
      <c r="M55" s="301" t="str">
        <f t="shared" si="25"/>
        <v/>
      </c>
    </row>
    <row r="56" spans="2:13">
      <c r="B56" s="39" t="s">
        <v>140</v>
      </c>
      <c r="C56" s="301">
        <f t="shared" ref="C56:M56" si="26">IF(C$4="","",C10)</f>
        <v>0</v>
      </c>
      <c r="D56" s="301">
        <f t="shared" si="26"/>
        <v>0</v>
      </c>
      <c r="E56" s="301">
        <f t="shared" si="26"/>
        <v>0</v>
      </c>
      <c r="F56" s="301">
        <f t="shared" si="26"/>
        <v>0</v>
      </c>
      <c r="G56" s="301">
        <f t="shared" si="26"/>
        <v>0</v>
      </c>
      <c r="H56" s="301">
        <f t="shared" si="26"/>
        <v>0</v>
      </c>
      <c r="I56" s="301">
        <f t="shared" si="26"/>
        <v>0</v>
      </c>
      <c r="J56" s="301">
        <f t="shared" si="26"/>
        <v>0</v>
      </c>
      <c r="K56" s="301">
        <f t="shared" si="26"/>
        <v>0</v>
      </c>
      <c r="L56" s="301">
        <f t="shared" si="26"/>
        <v>0</v>
      </c>
      <c r="M56" s="301" t="str">
        <f t="shared" si="26"/>
        <v/>
      </c>
    </row>
    <row r="57" spans="2:13">
      <c r="B57" s="39" t="s">
        <v>135</v>
      </c>
      <c r="C57" s="301">
        <f t="shared" ref="C57:M57" si="27">IF(C$4="","",C11)</f>
        <v>0</v>
      </c>
      <c r="D57" s="301">
        <f t="shared" si="27"/>
        <v>0</v>
      </c>
      <c r="E57" s="301">
        <f t="shared" si="27"/>
        <v>0</v>
      </c>
      <c r="F57" s="301">
        <f t="shared" si="27"/>
        <v>0</v>
      </c>
      <c r="G57" s="301">
        <f t="shared" si="27"/>
        <v>0</v>
      </c>
      <c r="H57" s="301">
        <f t="shared" si="27"/>
        <v>0</v>
      </c>
      <c r="I57" s="301">
        <f t="shared" si="27"/>
        <v>0</v>
      </c>
      <c r="J57" s="301">
        <f t="shared" si="27"/>
        <v>0</v>
      </c>
      <c r="K57" s="301">
        <f t="shared" si="27"/>
        <v>0</v>
      </c>
      <c r="L57" s="301">
        <f t="shared" si="27"/>
        <v>0</v>
      </c>
      <c r="M57" s="301" t="str">
        <f t="shared" si="27"/>
        <v/>
      </c>
    </row>
    <row r="58" spans="2:13">
      <c r="B58" s="39" t="s">
        <v>137</v>
      </c>
      <c r="C58" s="301">
        <f>IF(C$4="","",C44-C55-C56-C57)</f>
        <v>-73276</v>
      </c>
      <c r="D58" s="301">
        <f t="shared" ref="D58:M58" si="28">IF(D$4="","",D44-D55-D56-D57)</f>
        <v>-33257</v>
      </c>
      <c r="E58" s="301">
        <f t="shared" si="28"/>
        <v>-12733</v>
      </c>
      <c r="F58" s="301">
        <f t="shared" si="28"/>
        <v>42296</v>
      </c>
      <c r="G58" s="301">
        <f t="shared" si="28"/>
        <v>477977</v>
      </c>
      <c r="H58" s="301">
        <f t="shared" si="28"/>
        <v>-134980</v>
      </c>
      <c r="I58" s="301">
        <f t="shared" si="28"/>
        <v>32490</v>
      </c>
      <c r="J58" s="301">
        <f t="shared" si="28"/>
        <v>-2045</v>
      </c>
      <c r="K58" s="301">
        <f t="shared" si="28"/>
        <v>-13529</v>
      </c>
      <c r="L58" s="301">
        <f t="shared" si="28"/>
        <v>13450</v>
      </c>
      <c r="M58" s="301" t="str">
        <f t="shared" si="28"/>
        <v/>
      </c>
    </row>
    <row r="60" spans="2:13">
      <c r="B60" s="16" t="s">
        <v>49</v>
      </c>
      <c r="C60" s="9"/>
    </row>
    <row r="61" spans="2:13">
      <c r="B61" s="26" t="s">
        <v>45</v>
      </c>
      <c r="C61" s="286">
        <f>IF(C$4="","",-C19)</f>
        <v>-378473</v>
      </c>
      <c r="D61" s="286">
        <f t="shared" ref="D61:M61" si="29">IF(D$4="","",-D19)</f>
        <v>-394190</v>
      </c>
      <c r="E61" s="286">
        <f t="shared" si="29"/>
        <v>0</v>
      </c>
      <c r="F61" s="286">
        <f t="shared" si="29"/>
        <v>0</v>
      </c>
      <c r="G61" s="286">
        <f t="shared" si="29"/>
        <v>0</v>
      </c>
      <c r="H61" s="286">
        <f t="shared" si="29"/>
        <v>0</v>
      </c>
      <c r="I61" s="286">
        <f t="shared" si="29"/>
        <v>0</v>
      </c>
      <c r="J61" s="286">
        <f t="shared" si="29"/>
        <v>0</v>
      </c>
      <c r="K61" s="286">
        <f t="shared" si="29"/>
        <v>0</v>
      </c>
      <c r="L61" s="286">
        <f t="shared" si="29"/>
        <v>0</v>
      </c>
      <c r="M61" s="286" t="str">
        <f t="shared" si="29"/>
        <v/>
      </c>
    </row>
    <row r="62" spans="2:13">
      <c r="B62" s="26" t="s">
        <v>51</v>
      </c>
      <c r="C62" s="286">
        <f>IF(C$4="","",IF(C20=0,C61,-C20))</f>
        <v>-305069</v>
      </c>
      <c r="D62" s="286">
        <f t="shared" ref="D62:M62" si="30">IF(D$4="","",IF(D20=0,D61,-D20))</f>
        <v>-316358</v>
      </c>
      <c r="E62" s="286">
        <f t="shared" si="30"/>
        <v>0</v>
      </c>
      <c r="F62" s="286">
        <f t="shared" si="30"/>
        <v>0</v>
      </c>
      <c r="G62" s="286">
        <f t="shared" si="30"/>
        <v>0</v>
      </c>
      <c r="H62" s="286">
        <f t="shared" si="30"/>
        <v>0</v>
      </c>
      <c r="I62" s="286">
        <f t="shared" si="30"/>
        <v>0</v>
      </c>
      <c r="J62" s="286">
        <f t="shared" si="30"/>
        <v>0</v>
      </c>
      <c r="K62" s="286">
        <f t="shared" si="30"/>
        <v>0</v>
      </c>
      <c r="L62" s="286">
        <f t="shared" si="30"/>
        <v>0</v>
      </c>
      <c r="M62" s="286" t="str">
        <f t="shared" si="30"/>
        <v/>
      </c>
    </row>
    <row r="63" spans="2:13">
      <c r="B63" s="26" t="s">
        <v>50</v>
      </c>
      <c r="C63" s="286">
        <f>IF(C$4="","",-C21)</f>
        <v>-23955</v>
      </c>
      <c r="D63" s="286">
        <f t="shared" ref="D63:M63" si="31">IF(D$4="","",-D21)</f>
        <v>-1012</v>
      </c>
      <c r="E63" s="286">
        <f t="shared" si="31"/>
        <v>0</v>
      </c>
      <c r="F63" s="286">
        <f t="shared" si="31"/>
        <v>0</v>
      </c>
      <c r="G63" s="286">
        <f t="shared" si="31"/>
        <v>0</v>
      </c>
      <c r="H63" s="286">
        <f t="shared" si="31"/>
        <v>0</v>
      </c>
      <c r="I63" s="286">
        <f t="shared" si="31"/>
        <v>0</v>
      </c>
      <c r="J63" s="286">
        <f t="shared" si="31"/>
        <v>0</v>
      </c>
      <c r="K63" s="286">
        <f t="shared" si="31"/>
        <v>0</v>
      </c>
      <c r="L63" s="286">
        <f t="shared" si="31"/>
        <v>0</v>
      </c>
      <c r="M63" s="286" t="str">
        <f t="shared" si="31"/>
        <v/>
      </c>
    </row>
    <row r="64" spans="2:13">
      <c r="B64" s="26" t="s">
        <v>311</v>
      </c>
      <c r="C64" s="286">
        <f>IF(C$4="","",C22+C23+C24)</f>
        <v>-203287</v>
      </c>
      <c r="D64" s="286">
        <f t="shared" ref="D64:M64" si="32">IF(D$4="","",D22+D23+D24)</f>
        <v>-402329</v>
      </c>
      <c r="E64" s="286">
        <f t="shared" si="32"/>
        <v>98872</v>
      </c>
      <c r="F64" s="286">
        <f t="shared" si="32"/>
        <v>-498179</v>
      </c>
      <c r="G64" s="286">
        <f t="shared" si="32"/>
        <v>1707717</v>
      </c>
      <c r="H64" s="286">
        <f t="shared" si="32"/>
        <v>-478368</v>
      </c>
      <c r="I64" s="286">
        <f t="shared" si="32"/>
        <v>62810</v>
      </c>
      <c r="J64" s="286">
        <f t="shared" si="32"/>
        <v>-29820</v>
      </c>
      <c r="K64" s="286">
        <f t="shared" si="32"/>
        <v>-378642</v>
      </c>
      <c r="L64" s="286">
        <f t="shared" si="32"/>
        <v>138795</v>
      </c>
      <c r="M64" s="286" t="str">
        <f t="shared" si="32"/>
        <v/>
      </c>
    </row>
    <row r="65" spans="2:13">
      <c r="B65" s="23" t="s">
        <v>34</v>
      </c>
      <c r="C65" s="72">
        <f>IF(C$4="","",C25)</f>
        <v>0.4</v>
      </c>
      <c r="D65" s="72">
        <f t="shared" ref="D65:M65" si="33">IF(D$4="","",D25)</f>
        <v>0.56999999999999995</v>
      </c>
      <c r="E65" s="72">
        <f t="shared" si="33"/>
        <v>0.38</v>
      </c>
      <c r="F65" s="72">
        <f t="shared" si="33"/>
        <v>0.38</v>
      </c>
      <c r="G65" s="72">
        <f t="shared" si="33"/>
        <v>0</v>
      </c>
      <c r="H65" s="72">
        <f t="shared" si="33"/>
        <v>0</v>
      </c>
      <c r="I65" s="72">
        <f t="shared" si="33"/>
        <v>0</v>
      </c>
      <c r="J65" s="72">
        <f t="shared" si="33"/>
        <v>0</v>
      </c>
      <c r="K65" s="72">
        <f t="shared" si="33"/>
        <v>0</v>
      </c>
      <c r="L65" s="72">
        <f t="shared" si="33"/>
        <v>0</v>
      </c>
      <c r="M65" s="72" t="str">
        <f t="shared" si="33"/>
        <v/>
      </c>
    </row>
    <row r="67" spans="2:13">
      <c r="B67" s="90" t="s">
        <v>82</v>
      </c>
    </row>
    <row r="68" spans="2:13">
      <c r="B68" s="1" t="str">
        <f>B36</f>
        <v>Sales</v>
      </c>
      <c r="C68" s="91">
        <f t="shared" ref="C68:M68" si="34">IF(D$36="","",C36/D36-1)</f>
        <v>-1.4167027845414459E-2</v>
      </c>
      <c r="D68" s="91">
        <f t="shared" si="34"/>
        <v>8.3175640612140223E-2</v>
      </c>
      <c r="E68" s="91">
        <f t="shared" si="34"/>
        <v>6.862537627752574E-2</v>
      </c>
      <c r="F68" s="91">
        <f t="shared" si="34"/>
        <v>0.11833003065865078</v>
      </c>
      <c r="G68" s="91">
        <f t="shared" si="34"/>
        <v>-0.15682868110233994</v>
      </c>
      <c r="H68" s="91">
        <f t="shared" si="34"/>
        <v>-6.2490382784881726E-2</v>
      </c>
      <c r="I68" s="91">
        <f t="shared" si="34"/>
        <v>7.8890295807758637E-3</v>
      </c>
      <c r="J68" s="91">
        <f t="shared" si="34"/>
        <v>6.7399536582826602E-2</v>
      </c>
      <c r="K68" s="91">
        <f t="shared" si="34"/>
        <v>4.335646481593658E-2</v>
      </c>
      <c r="L68" s="91" t="str">
        <f t="shared" si="34"/>
        <v/>
      </c>
      <c r="M68" s="91" t="str">
        <f t="shared" si="34"/>
        <v/>
      </c>
    </row>
    <row r="69" spans="2:13">
      <c r="B69" s="30" t="s">
        <v>56</v>
      </c>
      <c r="C69" s="91">
        <f>IF(D$36="","",C38/D38-1)</f>
        <v>-9.7677516916240603E-2</v>
      </c>
      <c r="D69" s="91">
        <f t="shared" ref="D69:M69" si="35">IF(E$36="","",D38/E38-1)</f>
        <v>0.40793767585238139</v>
      </c>
      <c r="E69" s="91">
        <f t="shared" si="35"/>
        <v>0.28285933897002313</v>
      </c>
      <c r="F69" s="91">
        <f t="shared" si="35"/>
        <v>0.45985745812765866</v>
      </c>
      <c r="G69" s="91">
        <f t="shared" si="35"/>
        <v>-0.48650246629038174</v>
      </c>
      <c r="H69" s="91">
        <f t="shared" si="35"/>
        <v>-0.35750929021524458</v>
      </c>
      <c r="I69" s="91">
        <f t="shared" si="35"/>
        <v>9.1266932026239145E-2</v>
      </c>
      <c r="J69" s="91">
        <f t="shared" si="35"/>
        <v>-1.3921008307942739E-2</v>
      </c>
      <c r="K69" s="91">
        <f t="shared" si="35"/>
        <v>1.1628530294676143E-2</v>
      </c>
      <c r="L69" s="91" t="str">
        <f t="shared" si="35"/>
        <v/>
      </c>
      <c r="M69" s="91" t="str">
        <f t="shared" si="35"/>
        <v/>
      </c>
    </row>
    <row r="70" spans="2:13">
      <c r="B70" s="79" t="str">
        <f>B43</f>
        <v>Operating EBIT</v>
      </c>
      <c r="C70" s="100">
        <f>IF(D$36="","",C43/D43-1)</f>
        <v>-0.18085966511203044</v>
      </c>
      <c r="D70" s="100">
        <f t="shared" ref="D70:M70" si="36">IF(E$36="","",D43/E43-1)</f>
        <v>1.2444152006279725</v>
      </c>
      <c r="E70" s="100">
        <f t="shared" si="36"/>
        <v>1.4367109970971446</v>
      </c>
      <c r="F70" s="100">
        <f t="shared" si="36"/>
        <v>-2.0165501938671637</v>
      </c>
      <c r="G70" s="100">
        <f t="shared" si="36"/>
        <v>-1.3507932177276338</v>
      </c>
      <c r="H70" s="100">
        <f t="shared" si="36"/>
        <v>-0.63848686596173643</v>
      </c>
      <c r="I70" s="100">
        <f t="shared" si="36"/>
        <v>0.18196982970705777</v>
      </c>
      <c r="J70" s="100">
        <f t="shared" si="36"/>
        <v>-6.8542392260755536E-2</v>
      </c>
      <c r="K70" s="100">
        <f t="shared" si="36"/>
        <v>1.8837257355202253E-2</v>
      </c>
      <c r="L70" s="100" t="str">
        <f t="shared" si="36"/>
        <v/>
      </c>
      <c r="M70" s="100" t="str">
        <f t="shared" si="36"/>
        <v/>
      </c>
    </row>
    <row r="71" spans="2:13">
      <c r="B71" s="42" t="s">
        <v>141</v>
      </c>
      <c r="C71" s="100">
        <f>IF(D$36="","",C44/D44-1)</f>
        <v>1.2033256156598613</v>
      </c>
      <c r="D71" s="100">
        <f t="shared" ref="D71:M71" si="37">IF(E$36="","",D44/E44-1)</f>
        <v>1.611874656404618</v>
      </c>
      <c r="E71" s="100">
        <f t="shared" si="37"/>
        <v>-1.3010450160771705</v>
      </c>
      <c r="F71" s="100">
        <f t="shared" si="37"/>
        <v>-0.91151038648303162</v>
      </c>
      <c r="G71" s="100">
        <f t="shared" si="37"/>
        <v>-4.5410949770336346</v>
      </c>
      <c r="H71" s="100">
        <f t="shared" si="37"/>
        <v>-5.1545090797168358</v>
      </c>
      <c r="I71" s="100">
        <f t="shared" si="37"/>
        <v>-16.887530562347187</v>
      </c>
      <c r="J71" s="100">
        <f t="shared" si="37"/>
        <v>-0.84884322566338977</v>
      </c>
      <c r="K71" s="100">
        <f t="shared" si="37"/>
        <v>-2.0058736059479552</v>
      </c>
      <c r="L71" s="100" t="str">
        <f t="shared" si="37"/>
        <v/>
      </c>
      <c r="M71" s="100" t="str">
        <f t="shared" si="37"/>
        <v/>
      </c>
    </row>
    <row r="72" spans="2:13">
      <c r="B72" s="79" t="str">
        <f>B47</f>
        <v>Reported Net Income</v>
      </c>
      <c r="C72" s="100">
        <f>IF(D$36="","",C47/D47-1)</f>
        <v>-0.29441651786384171</v>
      </c>
      <c r="D72" s="100">
        <f t="shared" ref="D72:M72" si="38">IF(E$36="","",D47/E47-1)</f>
        <v>1.9968881254103445</v>
      </c>
      <c r="E72" s="100">
        <f t="shared" si="38"/>
        <v>3.8659518599562359</v>
      </c>
      <c r="F72" s="100">
        <f t="shared" si="38"/>
        <v>-0.93662460130356395</v>
      </c>
      <c r="G72" s="100">
        <f t="shared" si="38"/>
        <v>3.8470142231064983</v>
      </c>
      <c r="H72" s="100">
        <f t="shared" si="38"/>
        <v>-0.87437131614058194</v>
      </c>
      <c r="I72" s="100">
        <f t="shared" si="38"/>
        <v>0.28917144754460633</v>
      </c>
      <c r="J72" s="100">
        <f t="shared" si="38"/>
        <v>-8.8429095961099491E-2</v>
      </c>
      <c r="K72" s="100">
        <f t="shared" si="38"/>
        <v>-2.7053643841964958E-2</v>
      </c>
      <c r="L72" s="100" t="str">
        <f t="shared" si="38"/>
        <v/>
      </c>
      <c r="M72" s="100" t="str">
        <f t="shared" si="38"/>
        <v/>
      </c>
    </row>
    <row r="74" spans="2:13" ht="13.9">
      <c r="B74" s="35" t="s">
        <v>80</v>
      </c>
      <c r="C74" s="36"/>
      <c r="D74" s="36"/>
      <c r="E74" s="36"/>
      <c r="F74" s="36"/>
      <c r="G74" s="36"/>
      <c r="H74" s="36"/>
      <c r="I74" s="36"/>
      <c r="J74" s="36"/>
      <c r="K74" s="36"/>
      <c r="L74" s="36"/>
      <c r="M74" s="36"/>
    </row>
    <row r="75" spans="2:13">
      <c r="B75" s="16" t="s">
        <v>26</v>
      </c>
      <c r="C75" s="9"/>
    </row>
    <row r="76" spans="2:13">
      <c r="B76" s="25" t="s">
        <v>1</v>
      </c>
      <c r="C76" s="75">
        <f>IF(C$4="","",C79+C80)</f>
        <v>5980230</v>
      </c>
      <c r="D76" s="301">
        <f t="shared" ref="D76:M76" si="39">IF(D$4="","",D79+D80)</f>
        <v>6513924</v>
      </c>
      <c r="E76" s="301">
        <f t="shared" si="39"/>
        <v>7175340</v>
      </c>
      <c r="F76" s="301">
        <f t="shared" si="39"/>
        <v>6871846</v>
      </c>
      <c r="G76" s="301">
        <f t="shared" si="39"/>
        <v>7154673</v>
      </c>
      <c r="H76" s="301">
        <f t="shared" si="39"/>
        <v>6220758</v>
      </c>
      <c r="I76" s="301">
        <f t="shared" si="39"/>
        <v>4494090</v>
      </c>
      <c r="J76" s="301">
        <f t="shared" si="39"/>
        <v>4616329</v>
      </c>
      <c r="K76" s="301">
        <f t="shared" si="39"/>
        <v>4436810</v>
      </c>
      <c r="L76" s="301">
        <f t="shared" si="39"/>
        <v>4445187</v>
      </c>
      <c r="M76" s="301" t="str">
        <f t="shared" si="39"/>
        <v/>
      </c>
    </row>
    <row r="77" spans="2:13">
      <c r="B77" s="92" t="s">
        <v>83</v>
      </c>
      <c r="C77" s="275">
        <f t="shared" ref="C77:H78" si="40">IF(C$4="","",C28)</f>
        <v>124515</v>
      </c>
      <c r="D77" s="298">
        <f t="shared" si="40"/>
        <v>89430</v>
      </c>
      <c r="E77" s="298">
        <f t="shared" si="40"/>
        <v>75868</v>
      </c>
      <c r="F77" s="298">
        <f t="shared" si="40"/>
        <v>51007</v>
      </c>
      <c r="G77" s="298">
        <f t="shared" si="40"/>
        <v>37326</v>
      </c>
      <c r="H77" s="298">
        <f t="shared" si="40"/>
        <v>50182</v>
      </c>
      <c r="I77" s="307"/>
      <c r="J77" s="307"/>
      <c r="K77" s="307"/>
      <c r="L77" s="307"/>
      <c r="M77" s="307"/>
    </row>
    <row r="78" spans="2:13">
      <c r="B78" s="92" t="s">
        <v>84</v>
      </c>
      <c r="C78" s="275">
        <f t="shared" si="40"/>
        <v>220637</v>
      </c>
      <c r="D78" s="298">
        <f t="shared" si="40"/>
        <v>230288</v>
      </c>
      <c r="E78" s="298">
        <f t="shared" si="40"/>
        <v>268243</v>
      </c>
      <c r="F78" s="298">
        <f t="shared" si="40"/>
        <v>303542</v>
      </c>
      <c r="G78" s="298">
        <f t="shared" si="40"/>
        <v>234924</v>
      </c>
      <c r="H78" s="298">
        <f t="shared" si="40"/>
        <v>260626</v>
      </c>
      <c r="I78" s="307"/>
      <c r="J78" s="307"/>
      <c r="K78" s="307"/>
      <c r="L78" s="307"/>
      <c r="M78" s="307"/>
    </row>
    <row r="79" spans="2:13">
      <c r="B79" s="25" t="s">
        <v>38</v>
      </c>
      <c r="C79" s="274">
        <f t="shared" ref="C79:M79" si="41">IF(C$4="","",C30)</f>
        <v>3235494</v>
      </c>
      <c r="D79" s="286">
        <f t="shared" si="41"/>
        <v>3603411</v>
      </c>
      <c r="E79" s="286">
        <f t="shared" si="41"/>
        <v>4383277</v>
      </c>
      <c r="F79" s="286">
        <f t="shared" si="41"/>
        <v>4045470</v>
      </c>
      <c r="G79" s="286">
        <f t="shared" si="41"/>
        <v>4119837</v>
      </c>
      <c r="H79" s="286">
        <f t="shared" si="41"/>
        <v>3549446</v>
      </c>
      <c r="I79" s="286">
        <f t="shared" si="41"/>
        <v>1072340</v>
      </c>
      <c r="J79" s="286">
        <f t="shared" si="41"/>
        <v>1042829</v>
      </c>
      <c r="K79" s="286">
        <f t="shared" si="41"/>
        <v>945690</v>
      </c>
      <c r="L79" s="286">
        <f t="shared" si="41"/>
        <v>903190</v>
      </c>
      <c r="M79" s="286" t="str">
        <f t="shared" si="41"/>
        <v/>
      </c>
    </row>
    <row r="80" spans="2:13">
      <c r="B80" s="25" t="s">
        <v>28</v>
      </c>
      <c r="C80" s="274">
        <f t="shared" ref="C80:M80" si="42">IF(C$4="","",C31)</f>
        <v>2744736</v>
      </c>
      <c r="D80" s="286">
        <f t="shared" si="42"/>
        <v>2910513</v>
      </c>
      <c r="E80" s="286">
        <f t="shared" si="42"/>
        <v>2792063</v>
      </c>
      <c r="F80" s="286">
        <f t="shared" si="42"/>
        <v>2826376</v>
      </c>
      <c r="G80" s="286">
        <f t="shared" si="42"/>
        <v>3034836</v>
      </c>
      <c r="H80" s="286">
        <f t="shared" si="42"/>
        <v>2671312</v>
      </c>
      <c r="I80" s="286">
        <f t="shared" si="42"/>
        <v>3421750</v>
      </c>
      <c r="J80" s="286">
        <f t="shared" si="42"/>
        <v>3573500</v>
      </c>
      <c r="K80" s="286">
        <f t="shared" si="42"/>
        <v>3491120</v>
      </c>
      <c r="L80" s="286">
        <f t="shared" si="42"/>
        <v>3541997</v>
      </c>
      <c r="M80" s="286"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B23" sqref="B23"/>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7" t="s">
        <v>35</v>
      </c>
      <c r="C1" s="98">
        <f>Data!C1</f>
        <v>45747</v>
      </c>
      <c r="F1" s="85" t="str">
        <f>IF(MONTH(C1)=MONTH(Normalized_FCF!G1),"FY","Quarter")&amp;" Report"</f>
        <v>FY Report</v>
      </c>
      <c r="H1" s="106">
        <f>scaling_factor</f>
        <v>1000</v>
      </c>
    </row>
    <row r="2" spans="2:8" ht="15" customHeight="1">
      <c r="B2" s="78" t="s">
        <v>133</v>
      </c>
      <c r="C2" s="36"/>
      <c r="D2" s="36"/>
      <c r="E2" s="36"/>
      <c r="F2" s="36"/>
      <c r="G2" s="36"/>
      <c r="H2" s="36"/>
    </row>
    <row r="3" spans="2:8" ht="15" customHeight="1">
      <c r="B3" s="16" t="s">
        <v>156</v>
      </c>
      <c r="C3" s="168" t="s">
        <v>115</v>
      </c>
      <c r="D3" s="169" t="s">
        <v>33</v>
      </c>
      <c r="F3" s="16" t="s">
        <v>157</v>
      </c>
      <c r="G3" s="168" t="s">
        <v>115</v>
      </c>
      <c r="H3" s="169" t="s">
        <v>33</v>
      </c>
    </row>
    <row r="4" spans="2:8" ht="15" customHeight="1">
      <c r="B4" s="4" t="s">
        <v>22</v>
      </c>
      <c r="C4" s="18">
        <v>124515</v>
      </c>
      <c r="D4" s="239">
        <v>0.6</v>
      </c>
      <c r="E4" s="24"/>
      <c r="F4" s="4" t="s">
        <v>75</v>
      </c>
      <c r="G4" s="18">
        <v>1053633</v>
      </c>
      <c r="H4" s="239">
        <v>0.9</v>
      </c>
    </row>
    <row r="5" spans="2:8" ht="15" customHeight="1">
      <c r="B5" s="1" t="s">
        <v>31</v>
      </c>
      <c r="C5" s="18">
        <v>0</v>
      </c>
      <c r="D5" s="239">
        <v>0.6</v>
      </c>
      <c r="E5" s="24"/>
      <c r="F5" s="1" t="s">
        <v>27</v>
      </c>
      <c r="G5" s="18">
        <v>0</v>
      </c>
      <c r="H5" s="239">
        <v>0.7</v>
      </c>
    </row>
    <row r="6" spans="2:8" ht="15" customHeight="1">
      <c r="B6" s="4" t="s">
        <v>8</v>
      </c>
      <c r="C6" s="18">
        <v>220637</v>
      </c>
      <c r="D6" s="239">
        <v>0.5</v>
      </c>
      <c r="E6" s="24"/>
      <c r="F6" s="4" t="s">
        <v>149</v>
      </c>
      <c r="G6" s="18">
        <v>0</v>
      </c>
      <c r="H6" s="239">
        <v>0.6</v>
      </c>
    </row>
    <row r="7" spans="2:8" ht="15" customHeight="1">
      <c r="B7" s="1" t="s">
        <v>67</v>
      </c>
      <c r="C7" s="18">
        <v>0</v>
      </c>
      <c r="D7" s="239">
        <v>0.6</v>
      </c>
      <c r="E7" s="24"/>
      <c r="F7" s="4" t="s">
        <v>150</v>
      </c>
      <c r="G7" s="18">
        <v>0</v>
      </c>
      <c r="H7" s="239">
        <v>0.6</v>
      </c>
    </row>
    <row r="8" spans="2:8" ht="15" customHeight="1">
      <c r="B8" s="1" t="s">
        <v>146</v>
      </c>
      <c r="C8" s="18">
        <v>0</v>
      </c>
      <c r="D8" s="239">
        <v>0.6</v>
      </c>
      <c r="E8" s="24"/>
      <c r="F8" s="1" t="s">
        <v>151</v>
      </c>
      <c r="G8" s="18">
        <v>0</v>
      </c>
      <c r="H8" s="239">
        <v>0.6</v>
      </c>
    </row>
    <row r="9" spans="2:8" ht="15" customHeight="1">
      <c r="B9" s="4" t="s">
        <v>23</v>
      </c>
      <c r="C9" s="18">
        <v>84648</v>
      </c>
      <c r="D9" s="239">
        <v>0.1</v>
      </c>
      <c r="E9" s="24"/>
      <c r="F9" s="4" t="s">
        <v>152</v>
      </c>
      <c r="G9" s="18">
        <v>0</v>
      </c>
      <c r="H9" s="239">
        <v>0.6</v>
      </c>
    </row>
    <row r="10" spans="2:8" ht="15" customHeight="1">
      <c r="B10" s="4" t="s">
        <v>9</v>
      </c>
      <c r="C10" s="18">
        <v>17181</v>
      </c>
      <c r="D10" s="239">
        <v>0.9</v>
      </c>
      <c r="F10" s="1" t="s">
        <v>420</v>
      </c>
      <c r="G10" s="18">
        <v>0</v>
      </c>
      <c r="H10" s="239">
        <v>0.6</v>
      </c>
    </row>
    <row r="11" spans="2:8" ht="15" customHeight="1">
      <c r="B11" s="4" t="s">
        <v>10</v>
      </c>
      <c r="C11" s="18">
        <v>0</v>
      </c>
      <c r="D11" s="239">
        <v>0.05</v>
      </c>
      <c r="H11" s="240"/>
    </row>
    <row r="12" spans="2:8" ht="15" customHeight="1">
      <c r="B12" s="79" t="s">
        <v>70</v>
      </c>
      <c r="C12" s="80">
        <f>SUM(C4:C11)</f>
        <v>446981</v>
      </c>
      <c r="D12" s="19">
        <f>C4*D4+C5*D5+C9*D9+C6*D6+C8*D8+C7*D7+C10*D10+C11*D11</f>
        <v>208955.19999999998</v>
      </c>
      <c r="F12" s="79" t="s">
        <v>68</v>
      </c>
      <c r="G12" s="80">
        <f>SUM(G4:G10)</f>
        <v>1053633</v>
      </c>
      <c r="H12" s="19">
        <f>G4*H4+G5*H5+G6*H6+G7*H7+G8*H8+G9*H9+G10*H10</f>
        <v>948269.70000000007</v>
      </c>
    </row>
    <row r="13" spans="2:8" ht="15" customHeight="1">
      <c r="F13" s="79"/>
      <c r="G13" s="80"/>
      <c r="H13" s="19"/>
    </row>
    <row r="14" spans="2:8" ht="15" customHeight="1">
      <c r="B14" s="16" t="s">
        <v>155</v>
      </c>
      <c r="C14" s="168" t="s">
        <v>115</v>
      </c>
      <c r="D14" s="169" t="s">
        <v>33</v>
      </c>
      <c r="F14" s="16" t="s">
        <v>158</v>
      </c>
      <c r="G14" s="168" t="s">
        <v>115</v>
      </c>
      <c r="H14" s="169" t="s">
        <v>33</v>
      </c>
    </row>
    <row r="15" spans="2:8" ht="15" customHeight="1">
      <c r="B15" s="4" t="s">
        <v>337</v>
      </c>
      <c r="C15" s="18">
        <v>307271</v>
      </c>
      <c r="D15" s="239">
        <v>0.4</v>
      </c>
      <c r="F15" s="4" t="s">
        <v>76</v>
      </c>
      <c r="G15" s="18">
        <v>0</v>
      </c>
      <c r="H15" s="239">
        <v>0.8</v>
      </c>
    </row>
    <row r="16" spans="2:8" ht="15" customHeight="1">
      <c r="B16" s="1" t="s">
        <v>32</v>
      </c>
      <c r="C16" s="18">
        <v>0</v>
      </c>
      <c r="D16" s="239">
        <v>0.5</v>
      </c>
      <c r="F16" s="4" t="s">
        <v>149</v>
      </c>
      <c r="G16" s="18">
        <v>0</v>
      </c>
      <c r="H16" s="239">
        <v>0.6</v>
      </c>
    </row>
    <row r="17" spans="2:8" ht="15" customHeight="1">
      <c r="B17" s="1" t="s">
        <v>67</v>
      </c>
      <c r="C17" s="18">
        <v>0</v>
      </c>
      <c r="D17" s="239">
        <v>0.6</v>
      </c>
      <c r="F17" s="4" t="s">
        <v>150</v>
      </c>
      <c r="G17" s="18">
        <v>38787</v>
      </c>
      <c r="H17" s="239">
        <v>0.6</v>
      </c>
    </row>
    <row r="18" spans="2:8" ht="15" customHeight="1">
      <c r="B18" s="4" t="s">
        <v>146</v>
      </c>
      <c r="C18" s="18">
        <v>0</v>
      </c>
      <c r="D18" s="239">
        <v>0.6</v>
      </c>
      <c r="F18" s="4" t="s">
        <v>153</v>
      </c>
      <c r="G18" s="18">
        <v>0</v>
      </c>
      <c r="H18" s="239">
        <v>0.1</v>
      </c>
    </row>
    <row r="19" spans="2:8" ht="15" customHeight="1">
      <c r="B19" s="4" t="s">
        <v>24</v>
      </c>
      <c r="C19" s="18">
        <f>1464996+2159044</f>
        <v>3624040</v>
      </c>
      <c r="D19" s="239">
        <v>0.1</v>
      </c>
      <c r="F19" s="4" t="s">
        <v>154</v>
      </c>
      <c r="G19" s="18">
        <v>0</v>
      </c>
      <c r="H19" s="239">
        <v>0.1</v>
      </c>
    </row>
    <row r="20" spans="2:8" ht="15" customHeight="1">
      <c r="B20" s="4" t="s">
        <v>16</v>
      </c>
      <c r="C20" s="18">
        <v>0</v>
      </c>
      <c r="D20" s="239">
        <v>0.05</v>
      </c>
      <c r="F20" s="4" t="s">
        <v>151</v>
      </c>
      <c r="G20" s="18">
        <v>0</v>
      </c>
      <c r="H20" s="239">
        <v>0.2</v>
      </c>
    </row>
    <row r="21" spans="2:8" ht="15" customHeight="1">
      <c r="B21" s="4" t="s">
        <v>17</v>
      </c>
      <c r="C21" s="18">
        <v>1104</v>
      </c>
      <c r="D21" s="239">
        <v>0.05</v>
      </c>
      <c r="F21" s="1" t="s">
        <v>152</v>
      </c>
      <c r="G21" s="18">
        <v>402100</v>
      </c>
      <c r="H21" s="239">
        <v>0.1</v>
      </c>
    </row>
    <row r="22" spans="2:8" ht="15" customHeight="1">
      <c r="B22" s="4" t="s">
        <v>18</v>
      </c>
      <c r="C22" s="18">
        <v>99021</v>
      </c>
      <c r="D22" s="239">
        <v>0.9</v>
      </c>
      <c r="H22" s="240"/>
    </row>
    <row r="23" spans="2:8" ht="15" customHeight="1">
      <c r="B23" s="4" t="s">
        <v>19</v>
      </c>
      <c r="C23" s="18">
        <v>7293</v>
      </c>
      <c r="D23" s="239">
        <v>0</v>
      </c>
      <c r="H23" s="240"/>
    </row>
    <row r="24" spans="2:8" ht="15" customHeight="1">
      <c r="B24" s="79" t="s">
        <v>71</v>
      </c>
      <c r="C24" s="80">
        <f>SUM(C15:C23)</f>
        <v>4038729</v>
      </c>
      <c r="D24" s="19">
        <f>C15*D15+C16*D16+C18*D18+C17*D17+C19*D19+C20*D20+C21*D21+C22*D22+C23*D23</f>
        <v>574486.5</v>
      </c>
      <c r="F24" s="79" t="s">
        <v>69</v>
      </c>
      <c r="G24" s="80">
        <f>SUM(G15:G21)</f>
        <v>440887</v>
      </c>
      <c r="H24" s="19">
        <f>G15*H15+G16*H16+G17*H17+G18*H18+G19*H19+G20*H20+G21*H21</f>
        <v>63482.2</v>
      </c>
    </row>
    <row r="26" spans="2:8" ht="15" customHeight="1">
      <c r="B26" s="16" t="s">
        <v>171</v>
      </c>
      <c r="C26" s="168" t="s">
        <v>115</v>
      </c>
      <c r="F26" s="170" t="s">
        <v>167</v>
      </c>
      <c r="G26" s="171" t="s">
        <v>115</v>
      </c>
      <c r="H26" s="172" t="s">
        <v>33</v>
      </c>
    </row>
    <row r="27" spans="2:8" ht="15" customHeight="1">
      <c r="B27" s="4" t="s">
        <v>3</v>
      </c>
      <c r="C27" s="18">
        <v>80000</v>
      </c>
      <c r="F27" s="173" t="s">
        <v>28</v>
      </c>
      <c r="G27" s="84">
        <f>G32-G30</f>
        <v>2744736</v>
      </c>
      <c r="H27" s="174">
        <f>H32-G30</f>
        <v>-1440300.4</v>
      </c>
    </row>
    <row r="28" spans="2:8" ht="15" customHeight="1">
      <c r="B28" s="4" t="s">
        <v>4</v>
      </c>
      <c r="C28" s="18">
        <v>735986</v>
      </c>
      <c r="F28" s="175" t="s">
        <v>211</v>
      </c>
      <c r="G28" s="303">
        <v>12450</v>
      </c>
      <c r="H28" s="174"/>
    </row>
    <row r="29" spans="2:8" ht="15" customHeight="1">
      <c r="B29" s="4" t="s">
        <v>5</v>
      </c>
      <c r="C29" s="18">
        <v>0</v>
      </c>
      <c r="F29" s="176" t="s">
        <v>73</v>
      </c>
      <c r="G29" s="14">
        <f>G27-G28</f>
        <v>2732286</v>
      </c>
      <c r="H29" s="174">
        <f>H27-G28</f>
        <v>-1452750.4</v>
      </c>
    </row>
    <row r="30" spans="2:8" ht="15" customHeight="1">
      <c r="B30" s="2" t="s">
        <v>6</v>
      </c>
      <c r="C30" s="18">
        <v>0</v>
      </c>
      <c r="F30" s="173" t="s">
        <v>21</v>
      </c>
      <c r="G30" s="84">
        <f>C33+C42</f>
        <v>3235494</v>
      </c>
      <c r="H30" s="174"/>
    </row>
    <row r="31" spans="2:8" ht="15" customHeight="1">
      <c r="B31" s="79" t="s">
        <v>174</v>
      </c>
      <c r="C31" s="80">
        <f>SUM(C27:C30)</f>
        <v>815986</v>
      </c>
      <c r="F31" s="176" t="s">
        <v>74</v>
      </c>
      <c r="G31" s="177">
        <f>C31+C40</f>
        <v>2134310</v>
      </c>
      <c r="H31" s="174"/>
    </row>
    <row r="32" spans="2:8" ht="15" customHeight="1">
      <c r="B32" s="4" t="s">
        <v>7</v>
      </c>
      <c r="C32" s="20">
        <f>C33-C31</f>
        <v>988505</v>
      </c>
      <c r="F32" s="178" t="s">
        <v>72</v>
      </c>
      <c r="G32" s="179">
        <f>G35+G40</f>
        <v>5980230</v>
      </c>
      <c r="H32" s="174">
        <f>H35+H40</f>
        <v>1795193.6</v>
      </c>
    </row>
    <row r="33" spans="2:8" ht="15" customHeight="1">
      <c r="B33" s="82" t="s">
        <v>2</v>
      </c>
      <c r="C33" s="83">
        <v>1804491</v>
      </c>
      <c r="F33" s="180"/>
      <c r="G33" s="2"/>
      <c r="H33" s="181"/>
    </row>
    <row r="34" spans="2:8" ht="15" customHeight="1">
      <c r="B34" s="82"/>
      <c r="C34" s="83"/>
      <c r="F34" s="182" t="s">
        <v>173</v>
      </c>
      <c r="G34" s="183" t="s">
        <v>115</v>
      </c>
      <c r="H34" s="184" t="s">
        <v>33</v>
      </c>
    </row>
    <row r="35" spans="2:8" ht="15" customHeight="1">
      <c r="B35" s="16" t="s">
        <v>172</v>
      </c>
      <c r="C35" s="168" t="s">
        <v>115</v>
      </c>
      <c r="F35" s="185" t="s">
        <v>29</v>
      </c>
      <c r="G35" s="179">
        <f>C12+C24</f>
        <v>4485710</v>
      </c>
      <c r="H35" s="186">
        <f>D12+D24</f>
        <v>783441.7</v>
      </c>
    </row>
    <row r="36" spans="2:8" ht="15" customHeight="1">
      <c r="B36" s="4" t="s">
        <v>11</v>
      </c>
      <c r="C36" s="18">
        <v>225000</v>
      </c>
      <c r="F36" s="176" t="s">
        <v>168</v>
      </c>
      <c r="G36" s="177">
        <f>C4+C15</f>
        <v>431786</v>
      </c>
      <c r="H36" s="181"/>
    </row>
    <row r="37" spans="2:8" ht="15" customHeight="1">
      <c r="B37" s="4" t="s">
        <v>12</v>
      </c>
      <c r="C37" s="18">
        <v>1093324</v>
      </c>
      <c r="F37" s="176" t="s">
        <v>169</v>
      </c>
      <c r="G37" s="177">
        <f>C6</f>
        <v>220637</v>
      </c>
      <c r="H37" s="181"/>
    </row>
    <row r="38" spans="2:8" ht="15" customHeight="1">
      <c r="B38" s="4" t="s">
        <v>13</v>
      </c>
      <c r="C38" s="18">
        <v>0</v>
      </c>
      <c r="F38" s="176" t="s">
        <v>170</v>
      </c>
      <c r="G38" s="177">
        <f>C7+C17</f>
        <v>0</v>
      </c>
      <c r="H38" s="181"/>
    </row>
    <row r="39" spans="2:8" ht="15" customHeight="1">
      <c r="B39" s="2" t="s">
        <v>14</v>
      </c>
      <c r="C39" s="18">
        <v>0</v>
      </c>
      <c r="F39" s="176" t="s">
        <v>77</v>
      </c>
      <c r="G39" s="177">
        <f>C7+C17+C19+C20</f>
        <v>3624040</v>
      </c>
      <c r="H39" s="174">
        <f>C7*D7+C17*D17+C19*D19+C20*D20</f>
        <v>362404</v>
      </c>
    </row>
    <row r="40" spans="2:8" ht="15" customHeight="1">
      <c r="B40" s="79" t="s">
        <v>175</v>
      </c>
      <c r="C40" s="80">
        <f>SUM(C36:C39)</f>
        <v>1318324</v>
      </c>
      <c r="F40" s="185" t="s">
        <v>117</v>
      </c>
      <c r="G40" s="179">
        <f>G12+G24</f>
        <v>1494520</v>
      </c>
      <c r="H40" s="186">
        <f>H12+H24</f>
        <v>1011751.9</v>
      </c>
    </row>
    <row r="41" spans="2:8" ht="15" customHeight="1">
      <c r="B41" s="4" t="s">
        <v>15</v>
      </c>
      <c r="C41" s="20">
        <f>C42-C40</f>
        <v>112679</v>
      </c>
      <c r="F41" s="176" t="s">
        <v>162</v>
      </c>
      <c r="G41" s="177">
        <f>C70</f>
        <v>1053633</v>
      </c>
      <c r="H41" s="186">
        <f>H40-H42</f>
        <v>948269.70000000007</v>
      </c>
    </row>
    <row r="42" spans="2:8" ht="15" customHeight="1">
      <c r="B42" s="82" t="s">
        <v>20</v>
      </c>
      <c r="C42" s="83">
        <v>1431003</v>
      </c>
      <c r="F42" s="187" t="s">
        <v>163</v>
      </c>
      <c r="G42" s="188">
        <f>C82</f>
        <v>440887</v>
      </c>
      <c r="H42" s="189">
        <f>D82</f>
        <v>63482.2</v>
      </c>
    </row>
    <row r="44" spans="2:8" ht="15" customHeight="1">
      <c r="B44" s="78" t="s">
        <v>93</v>
      </c>
      <c r="C44" s="36"/>
      <c r="D44" s="36"/>
      <c r="E44" s="36"/>
      <c r="F44" s="36"/>
      <c r="G44" s="36"/>
      <c r="H44" s="36"/>
    </row>
    <row r="45" spans="2:8" ht="15" customHeight="1">
      <c r="B45" s="16" t="s">
        <v>230</v>
      </c>
      <c r="C45" s="216" t="s">
        <v>115</v>
      </c>
      <c r="D45" s="168" t="s">
        <v>316</v>
      </c>
      <c r="F45" s="234" t="s">
        <v>57</v>
      </c>
    </row>
    <row r="46" spans="2:8" ht="15" customHeight="1">
      <c r="B46" s="1" t="s">
        <v>232</v>
      </c>
      <c r="C46" s="75">
        <f>G29</f>
        <v>2732286</v>
      </c>
      <c r="D46" s="75">
        <f>H29</f>
        <v>-1452750.4</v>
      </c>
      <c r="F46" s="231"/>
    </row>
    <row r="47" spans="2:8" ht="15" customHeight="1">
      <c r="B47" s="1" t="str">
        <f>"Equity per share ("&amp;Market_currency&amp;")"</f>
        <v>Equity per share (HKD)</v>
      </c>
      <c r="C47" s="137">
        <f>C46*H1/Common_Shares*Exchange_Rate</f>
        <v>4.7108051746943627</v>
      </c>
      <c r="D47" s="137">
        <f>D46*H1/Common_Shares*Exchange_Rate</f>
        <v>-2.5047246524922007</v>
      </c>
      <c r="F47" s="231"/>
    </row>
    <row r="48" spans="2:8" ht="15" customHeight="1">
      <c r="F48" s="231"/>
    </row>
    <row r="49" spans="2:8" ht="15" customHeight="1">
      <c r="B49" s="147" t="s">
        <v>122</v>
      </c>
      <c r="C49" s="217" t="s">
        <v>55</v>
      </c>
      <c r="D49" s="183" t="s">
        <v>92</v>
      </c>
      <c r="E49" s="2"/>
      <c r="F49" s="231"/>
    </row>
    <row r="50" spans="2:8" ht="15" customHeight="1">
      <c r="B50" s="8" t="s">
        <v>91</v>
      </c>
      <c r="C50" s="94">
        <f>G31/Normalized_FCF!C8</f>
        <v>5.3475400925918697</v>
      </c>
      <c r="D50" s="94">
        <f>G31/Normalized_FCF!G8</f>
        <v>5.3604060658726853</v>
      </c>
      <c r="F50" s="231"/>
    </row>
    <row r="51" spans="2:8" ht="15" customHeight="1">
      <c r="B51" s="1" t="s">
        <v>148</v>
      </c>
      <c r="C51" s="167"/>
      <c r="D51" s="91">
        <f>G29/G32</f>
        <v>0.45688644082251018</v>
      </c>
      <c r="F51" s="231"/>
    </row>
    <row r="52" spans="2:8" ht="15" customHeight="1">
      <c r="F52" s="231"/>
    </row>
    <row r="53" spans="2:8" ht="15" customHeight="1">
      <c r="B53" s="147" t="s">
        <v>121</v>
      </c>
      <c r="C53" s="217" t="s">
        <v>55</v>
      </c>
      <c r="D53" s="183" t="s">
        <v>92</v>
      </c>
      <c r="F53" s="231"/>
    </row>
    <row r="54" spans="2:8" ht="15" customHeight="1">
      <c r="B54" s="1" t="s">
        <v>118</v>
      </c>
      <c r="C54" s="91">
        <f>Normalized_FCF!C8/G35</f>
        <v>8.897587277630245E-2</v>
      </c>
      <c r="D54" s="91">
        <f>Normalized_FCF!G8/G35</f>
        <v>8.8762314104121762E-2</v>
      </c>
      <c r="F54" s="231"/>
    </row>
    <row r="55" spans="2:8" ht="15" customHeight="1">
      <c r="B55" s="1" t="s">
        <v>120</v>
      </c>
      <c r="C55" s="91">
        <f>Normalized_FCF!C11/G40</f>
        <v>0</v>
      </c>
      <c r="D55" s="91">
        <f>Normalized_FCF!G11/G40</f>
        <v>0</v>
      </c>
      <c r="F55" s="231"/>
    </row>
    <row r="56" spans="2:8" ht="15" customHeight="1">
      <c r="F56" s="231"/>
    </row>
    <row r="57" spans="2:8" ht="15" customHeight="1">
      <c r="B57" s="147" t="s">
        <v>147</v>
      </c>
      <c r="C57" s="217" t="s">
        <v>55</v>
      </c>
      <c r="D57" s="183" t="s">
        <v>92</v>
      </c>
      <c r="F57" s="231"/>
    </row>
    <row r="58" spans="2:8" ht="15" customHeight="1">
      <c r="B58" s="2" t="s">
        <v>87</v>
      </c>
      <c r="C58" s="97"/>
      <c r="D58" s="22">
        <f>Normalized_FCF!G9/BS!$G$39</f>
        <v>0.10443400183220936</v>
      </c>
      <c r="F58" s="5"/>
    </row>
    <row r="59" spans="2:8" ht="15" customHeight="1">
      <c r="B59" s="1" t="s">
        <v>90</v>
      </c>
      <c r="C59" s="97"/>
      <c r="D59" s="91">
        <f>G39/G32</f>
        <v>0.60600344802791861</v>
      </c>
      <c r="F59" s="231"/>
    </row>
    <row r="60" spans="2:8" ht="15" customHeight="1">
      <c r="F60" s="231"/>
    </row>
    <row r="61" spans="2:8" ht="15" customHeight="1">
      <c r="B61" s="147" t="s">
        <v>233</v>
      </c>
      <c r="C61" s="217" t="s">
        <v>116</v>
      </c>
      <c r="D61" s="183" t="s">
        <v>92</v>
      </c>
      <c r="F61" s="231"/>
    </row>
    <row r="62" spans="2:8" ht="15" customHeight="1">
      <c r="B62" s="1" t="s">
        <v>212</v>
      </c>
      <c r="C62" s="91">
        <f>IF(G28&lt;=0,0,G28/G29)</f>
        <v>4.556624013737947E-3</v>
      </c>
      <c r="D62" s="91">
        <f>G28/G29</f>
        <v>4.556624013737947E-3</v>
      </c>
      <c r="F62" s="231" t="s">
        <v>231</v>
      </c>
    </row>
    <row r="64" spans="2:8" ht="15" customHeight="1">
      <c r="B64" s="78" t="s">
        <v>164</v>
      </c>
      <c r="C64" s="36"/>
      <c r="D64" s="36"/>
      <c r="E64" s="36"/>
      <c r="F64" s="36"/>
      <c r="G64" s="36"/>
      <c r="H64" s="36"/>
    </row>
    <row r="65" spans="2:6" ht="15" customHeight="1">
      <c r="B65" s="16" t="s">
        <v>160</v>
      </c>
      <c r="C65" s="216" t="s">
        <v>115</v>
      </c>
      <c r="D65" s="169" t="s">
        <v>241</v>
      </c>
      <c r="F65" s="234" t="s">
        <v>57</v>
      </c>
    </row>
    <row r="66" spans="2:6" ht="15" customHeight="1">
      <c r="B66" s="104" t="s">
        <v>159</v>
      </c>
      <c r="C66" s="19">
        <f>G4+G5+G15</f>
        <v>1053633</v>
      </c>
      <c r="D66" s="75">
        <f>C66-D75</f>
        <v>384381.13325594889</v>
      </c>
      <c r="F66" s="5" t="s">
        <v>195</v>
      </c>
    </row>
    <row r="67" spans="2:6" ht="15" customHeight="1">
      <c r="B67" s="104" t="s">
        <v>149</v>
      </c>
      <c r="C67" s="19">
        <f>G6+G16</f>
        <v>0</v>
      </c>
      <c r="F67" s="231"/>
    </row>
    <row r="68" spans="2:6" ht="15" customHeight="1">
      <c r="B68" s="104" t="s">
        <v>153</v>
      </c>
      <c r="C68" s="19">
        <f>G18</f>
        <v>0</v>
      </c>
      <c r="F68" s="231"/>
    </row>
    <row r="69" spans="2:6" ht="15" customHeight="1">
      <c r="B69" s="104" t="s">
        <v>151</v>
      </c>
      <c r="C69" s="19">
        <f>G8+G20</f>
        <v>0</v>
      </c>
      <c r="F69" s="231"/>
    </row>
    <row r="70" spans="2:6" ht="15" customHeight="1">
      <c r="B70" s="79" t="s">
        <v>160</v>
      </c>
      <c r="C70" s="80">
        <f>SUM(C66:C69)</f>
        <v>1053633</v>
      </c>
      <c r="F70" s="231"/>
    </row>
    <row r="71" spans="2:6" ht="15" customHeight="1">
      <c r="F71" s="231"/>
    </row>
    <row r="72" spans="2:6" ht="15" customHeight="1">
      <c r="B72" s="233" t="s">
        <v>259</v>
      </c>
      <c r="C72" s="216" t="s">
        <v>92</v>
      </c>
      <c r="D72" s="168" t="s">
        <v>55</v>
      </c>
      <c r="F72" s="231"/>
    </row>
    <row r="73" spans="2:6" ht="15" customHeight="1">
      <c r="B73" s="104" t="s">
        <v>258</v>
      </c>
      <c r="C73" s="301">
        <f>(Normalized_FCF!G26+Normalized_FCF!G35-Normalized_FCF!G89)/12</f>
        <v>-700179.71776666667</v>
      </c>
      <c r="D73" s="301">
        <f>(Normalized_FCF!C26+Normalized_FCF!C35-Normalized_FCF!C89)/12</f>
        <v>-669251.86674405111</v>
      </c>
      <c r="F73" s="1" t="s">
        <v>282</v>
      </c>
    </row>
    <row r="74" spans="2:6" ht="15" customHeight="1">
      <c r="B74" s="235" t="s">
        <v>263</v>
      </c>
      <c r="C74" s="236">
        <f>-$C$66/C73</f>
        <v>1.5048036572106489</v>
      </c>
      <c r="D74" s="236">
        <f>-$C$66/D73</f>
        <v>1.5743445066892159</v>
      </c>
      <c r="F74" s="231" t="s">
        <v>260</v>
      </c>
    </row>
    <row r="75" spans="2:6" ht="15" customHeight="1">
      <c r="B75" s="79" t="s">
        <v>261</v>
      </c>
      <c r="C75" s="276"/>
      <c r="D75" s="277">
        <f>MAX(-D73*D76,G5)</f>
        <v>669251.86674405111</v>
      </c>
      <c r="F75" s="231" t="s">
        <v>283</v>
      </c>
    </row>
    <row r="76" spans="2:6" ht="15" customHeight="1">
      <c r="B76" s="237" t="s">
        <v>264</v>
      </c>
      <c r="C76" s="238"/>
      <c r="D76" s="259">
        <f>IF(D74&lt;=3,1,IF(D74&gt;18,6,2))</f>
        <v>1</v>
      </c>
      <c r="F76" s="231" t="s">
        <v>265</v>
      </c>
    </row>
    <row r="77" spans="2:6" ht="15" customHeight="1">
      <c r="F77" s="231"/>
    </row>
    <row r="78" spans="2:6" ht="15" customHeight="1">
      <c r="B78" s="16" t="s">
        <v>161</v>
      </c>
      <c r="C78" s="216" t="s">
        <v>115</v>
      </c>
      <c r="D78" s="169" t="s">
        <v>33</v>
      </c>
      <c r="F78" s="231"/>
    </row>
    <row r="79" spans="2:6" ht="15" customHeight="1">
      <c r="B79" s="104" t="s">
        <v>150</v>
      </c>
      <c r="C79" s="19">
        <f>G7+G17</f>
        <v>38787</v>
      </c>
      <c r="D79" s="75">
        <f>G7*H7+G17*H17</f>
        <v>23272.2</v>
      </c>
      <c r="F79" s="231"/>
    </row>
    <row r="80" spans="2:6" ht="15" customHeight="1">
      <c r="B80" s="104" t="s">
        <v>154</v>
      </c>
      <c r="C80" s="19">
        <f>G19</f>
        <v>0</v>
      </c>
      <c r="D80" s="75">
        <f>G19*H19</f>
        <v>0</v>
      </c>
      <c r="F80" s="231"/>
    </row>
    <row r="81" spans="2:8" ht="15" customHeight="1">
      <c r="B81" s="104" t="s">
        <v>152</v>
      </c>
      <c r="C81" s="19">
        <f>G9+G21</f>
        <v>402100</v>
      </c>
      <c r="D81" s="75">
        <f>G9*H9+G21*H21</f>
        <v>40210</v>
      </c>
      <c r="F81" s="231"/>
    </row>
    <row r="82" spans="2:8" ht="15" customHeight="1">
      <c r="B82" s="79" t="s">
        <v>161</v>
      </c>
      <c r="C82" s="80">
        <f>SUM(C79:C81)</f>
        <v>440887</v>
      </c>
      <c r="D82" s="80">
        <f>SUM(D79:D81)</f>
        <v>63482.2</v>
      </c>
      <c r="F82" s="231"/>
    </row>
    <row r="84" spans="2:8" ht="15" customHeight="1">
      <c r="B84" s="78" t="s">
        <v>244</v>
      </c>
      <c r="C84" s="36"/>
      <c r="D84" s="36"/>
      <c r="E84" s="36"/>
      <c r="F84" s="36"/>
      <c r="G84" s="36"/>
      <c r="H84" s="36"/>
    </row>
    <row r="85" spans="2:8" ht="15" customHeight="1">
      <c r="B85" s="16" t="s">
        <v>245</v>
      </c>
      <c r="D85" s="222" t="s">
        <v>246</v>
      </c>
    </row>
    <row r="86" spans="2:8" ht="15" customHeight="1">
      <c r="B86" s="219" t="s">
        <v>242</v>
      </c>
      <c r="C86" s="75">
        <f>-DCF!F4*Exchange_Rate</f>
        <v>2134310</v>
      </c>
      <c r="D86" s="207">
        <f>C86*scaling_factor/Common_Shares</f>
        <v>3.679819240153456</v>
      </c>
      <c r="E86" s="221" t="str">
        <f>Market_currency</f>
        <v>HKD</v>
      </c>
    </row>
    <row r="87" spans="2:8" ht="15" customHeight="1">
      <c r="B87" s="219" t="s">
        <v>243</v>
      </c>
      <c r="C87" s="75">
        <f>DCF!F5*Exchange_Rate</f>
        <v>384381.13325594889</v>
      </c>
      <c r="D87" s="207">
        <f>C87*scaling_factor/Common_Shares</f>
        <v>0.66272148362104388</v>
      </c>
      <c r="E87" s="221" t="str">
        <f>Market_currency</f>
        <v>HKD</v>
      </c>
    </row>
    <row r="88" spans="2:8" ht="15" customHeight="1">
      <c r="B88" s="220" t="s">
        <v>161</v>
      </c>
      <c r="C88" s="75">
        <f>DCF!F6*Exchange_Rate</f>
        <v>63482.2</v>
      </c>
      <c r="D88" s="207">
        <f>C88*scaling_factor/Common_Shares</f>
        <v>0.10945130790150902</v>
      </c>
      <c r="E88" s="221" t="str">
        <f>Market_currency</f>
        <v>HKD</v>
      </c>
    </row>
    <row r="89" spans="2:8" ht="15" customHeight="1">
      <c r="B89" s="79" t="s">
        <v>247</v>
      </c>
      <c r="C89" s="166">
        <f>SUM(C86:C88)</f>
        <v>2582173.333255949</v>
      </c>
      <c r="D89" s="223">
        <f>SUM(D86:D88)</f>
        <v>4.4519920316760082</v>
      </c>
      <c r="E89" s="221"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E23" sqref="E2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89" t="str">
        <f>Thesis!C25</f>
        <v>HKD</v>
      </c>
      <c r="C1" s="52" t="s">
        <v>55</v>
      </c>
      <c r="D1" s="52"/>
      <c r="E1" s="52"/>
      <c r="F1" s="52"/>
      <c r="G1" s="37">
        <f>Data!C1</f>
        <v>45747</v>
      </c>
      <c r="H1" s="37">
        <f>EOMONTH(EDATE(G1,-12),0)</f>
        <v>45382</v>
      </c>
      <c r="I1" s="37">
        <f t="shared" ref="I1:Q1" si="0">EOMONTH(EDATE(H1,-12),0)</f>
        <v>45016</v>
      </c>
      <c r="J1" s="37">
        <f t="shared" si="0"/>
        <v>44651</v>
      </c>
      <c r="K1" s="37">
        <f t="shared" si="0"/>
        <v>44286</v>
      </c>
      <c r="L1" s="37">
        <f t="shared" si="0"/>
        <v>43921</v>
      </c>
      <c r="M1" s="37">
        <f t="shared" si="0"/>
        <v>43555</v>
      </c>
      <c r="N1" s="37">
        <f t="shared" si="0"/>
        <v>43190</v>
      </c>
      <c r="O1" s="37">
        <f t="shared" si="0"/>
        <v>42825</v>
      </c>
      <c r="P1" s="37">
        <f t="shared" si="0"/>
        <v>42460</v>
      </c>
      <c r="Q1" s="37">
        <f t="shared" si="0"/>
        <v>42094</v>
      </c>
    </row>
    <row r="2" spans="1:17" ht="15.75" customHeight="1">
      <c r="A2" s="3"/>
      <c r="B2" s="53" t="s">
        <v>96</v>
      </c>
      <c r="C2" s="53"/>
      <c r="D2" s="55"/>
      <c r="E2" s="65" t="s">
        <v>57</v>
      </c>
      <c r="F2" s="55"/>
      <c r="G2" s="36"/>
      <c r="H2" s="36"/>
      <c r="I2" s="36"/>
      <c r="J2" s="36"/>
      <c r="K2" s="36"/>
      <c r="L2" s="36"/>
      <c r="M2" s="36"/>
      <c r="N2" s="36"/>
      <c r="O2" s="36"/>
      <c r="P2" s="36"/>
      <c r="Q2" s="36"/>
    </row>
    <row r="3" spans="1:17" ht="15.75" customHeight="1">
      <c r="A3" s="10"/>
      <c r="B3" s="16" t="s">
        <v>408</v>
      </c>
      <c r="C3" s="106">
        <f>scaling_factor</f>
        <v>1000</v>
      </c>
      <c r="D3" s="9"/>
      <c r="E3" s="246"/>
      <c r="F3" s="9"/>
      <c r="G3" s="16" t="s">
        <v>430</v>
      </c>
      <c r="H3" s="106">
        <f>scaling_factor</f>
        <v>1000</v>
      </c>
    </row>
    <row r="4" spans="1:17" ht="15.75" customHeight="1">
      <c r="A4" s="10"/>
      <c r="B4" s="25" t="s">
        <v>0</v>
      </c>
      <c r="C4" s="281">
        <f>AVERAGE(G4:J4)</f>
        <v>8198140.75</v>
      </c>
      <c r="D4" s="56"/>
      <c r="E4" s="244"/>
      <c r="F4" s="56"/>
      <c r="G4" s="286">
        <f>Data!C36</f>
        <v>8568317</v>
      </c>
      <c r="H4" s="286">
        <f>Data!D36</f>
        <v>8691449</v>
      </c>
      <c r="I4" s="286">
        <f>Data!E36</f>
        <v>8024044</v>
      </c>
      <c r="J4" s="286">
        <f>Data!F36</f>
        <v>7508753</v>
      </c>
      <c r="K4" s="286">
        <f>Data!G36</f>
        <v>6714255</v>
      </c>
      <c r="L4" s="286">
        <f>Data!H36</f>
        <v>7963097</v>
      </c>
      <c r="M4" s="286">
        <f>Data!I36</f>
        <v>8493883</v>
      </c>
      <c r="N4" s="286">
        <f>Data!J36</f>
        <v>8427399</v>
      </c>
      <c r="O4" s="286">
        <f>Data!K36</f>
        <v>7895262</v>
      </c>
      <c r="P4" s="286">
        <f>Data!L36</f>
        <v>7567176</v>
      </c>
      <c r="Q4" s="286" t="str">
        <f>Data!M36</f>
        <v/>
      </c>
    </row>
    <row r="5" spans="1:17" ht="15.75" customHeight="1">
      <c r="A5" s="10"/>
      <c r="B5" s="2" t="s">
        <v>44</v>
      </c>
      <c r="C5" s="282">
        <f>C26</f>
        <v>-7304527.7877286123</v>
      </c>
      <c r="E5" s="246"/>
      <c r="G5" s="286">
        <f t="shared" ref="G5:Q5" si="1">G26</f>
        <v>-7675662</v>
      </c>
      <c r="H5" s="286">
        <f t="shared" si="1"/>
        <v>-7702163</v>
      </c>
      <c r="I5" s="286">
        <f t="shared" si="1"/>
        <v>-7321395</v>
      </c>
      <c r="J5" s="286">
        <f t="shared" si="1"/>
        <v>-6961032</v>
      </c>
      <c r="K5" s="286">
        <f t="shared" si="1"/>
        <v>-6339067</v>
      </c>
      <c r="L5" s="286">
        <f t="shared" si="1"/>
        <v>-7232445</v>
      </c>
      <c r="M5" s="286">
        <f t="shared" si="1"/>
        <v>-7356665</v>
      </c>
      <c r="N5" s="286">
        <f t="shared" si="1"/>
        <v>-7385291</v>
      </c>
      <c r="O5" s="286">
        <f t="shared" si="1"/>
        <v>-6838442</v>
      </c>
      <c r="P5" s="286">
        <f t="shared" si="1"/>
        <v>-6522504</v>
      </c>
      <c r="Q5" s="286" t="str">
        <f t="shared" si="1"/>
        <v/>
      </c>
    </row>
    <row r="6" spans="1:17" ht="15.75" customHeight="1">
      <c r="A6" s="10"/>
      <c r="B6" s="30" t="s">
        <v>46</v>
      </c>
      <c r="C6" s="283">
        <f>C4+C5</f>
        <v>893612.96227138769</v>
      </c>
      <c r="E6" s="246"/>
      <c r="G6" s="283">
        <f>IF(G4="","",G4+G5)</f>
        <v>892655</v>
      </c>
      <c r="H6" s="283">
        <f t="shared" ref="H6:Q6" si="2">IF(H4="","",H4+H5)</f>
        <v>989286</v>
      </c>
      <c r="I6" s="283">
        <f t="shared" si="2"/>
        <v>702649</v>
      </c>
      <c r="J6" s="283">
        <f t="shared" si="2"/>
        <v>547721</v>
      </c>
      <c r="K6" s="283">
        <f t="shared" si="2"/>
        <v>375188</v>
      </c>
      <c r="L6" s="283">
        <f t="shared" si="2"/>
        <v>730652</v>
      </c>
      <c r="M6" s="283">
        <f t="shared" si="2"/>
        <v>1137218</v>
      </c>
      <c r="N6" s="283">
        <f t="shared" si="2"/>
        <v>1042108</v>
      </c>
      <c r="O6" s="283">
        <f t="shared" si="2"/>
        <v>1056820</v>
      </c>
      <c r="P6" s="283">
        <f t="shared" si="2"/>
        <v>1044672</v>
      </c>
      <c r="Q6" s="283" t="str">
        <f t="shared" si="2"/>
        <v/>
      </c>
    </row>
    <row r="7" spans="1:17" ht="15.75" customHeight="1">
      <c r="A7" s="10"/>
      <c r="B7" s="8" t="s">
        <v>43</v>
      </c>
      <c r="C7" s="282">
        <f>C35</f>
        <v>-494493</v>
      </c>
      <c r="E7" s="246"/>
      <c r="G7" s="282">
        <f t="shared" ref="G7:Q7" si="3">G35</f>
        <v>-494493</v>
      </c>
      <c r="H7" s="282">
        <f t="shared" si="3"/>
        <v>-503213</v>
      </c>
      <c r="I7" s="282">
        <f t="shared" si="3"/>
        <v>-486079</v>
      </c>
      <c r="J7" s="282">
        <f t="shared" si="3"/>
        <v>-458843</v>
      </c>
      <c r="K7" s="282">
        <f t="shared" si="3"/>
        <v>-462619</v>
      </c>
      <c r="L7" s="282">
        <f t="shared" si="3"/>
        <v>-481414</v>
      </c>
      <c r="M7" s="282">
        <f t="shared" si="3"/>
        <v>-447788</v>
      </c>
      <c r="N7" s="282">
        <f t="shared" si="3"/>
        <v>-458819</v>
      </c>
      <c r="O7" s="282">
        <f t="shared" si="3"/>
        <v>-430609</v>
      </c>
      <c r="P7" s="282">
        <f t="shared" si="3"/>
        <v>-430039</v>
      </c>
      <c r="Q7" s="282" t="str">
        <f t="shared" si="3"/>
        <v/>
      </c>
    </row>
    <row r="8" spans="1:17" ht="15.75" customHeight="1">
      <c r="A8" s="10"/>
      <c r="B8" s="28" t="s">
        <v>129</v>
      </c>
      <c r="C8" s="284">
        <f>C6+C7</f>
        <v>399119.96227138769</v>
      </c>
      <c r="D8" s="58"/>
      <c r="E8" s="252"/>
      <c r="F8" s="58"/>
      <c r="G8" s="283">
        <f>IF(G$4="","",G6+G7)</f>
        <v>398162</v>
      </c>
      <c r="H8" s="283">
        <f t="shared" ref="H8:Q8" si="4">IF(H$4="","",H6+H7)</f>
        <v>486073</v>
      </c>
      <c r="I8" s="283">
        <f t="shared" si="4"/>
        <v>216570</v>
      </c>
      <c r="J8" s="283">
        <f t="shared" si="4"/>
        <v>88878</v>
      </c>
      <c r="K8" s="283">
        <f t="shared" si="4"/>
        <v>-87431</v>
      </c>
      <c r="L8" s="283">
        <f t="shared" si="4"/>
        <v>249238</v>
      </c>
      <c r="M8" s="283">
        <f t="shared" si="4"/>
        <v>689430</v>
      </c>
      <c r="N8" s="283">
        <f t="shared" si="4"/>
        <v>583289</v>
      </c>
      <c r="O8" s="283">
        <f t="shared" si="4"/>
        <v>626211</v>
      </c>
      <c r="P8" s="283">
        <f t="shared" si="4"/>
        <v>614633</v>
      </c>
      <c r="Q8" s="283" t="str">
        <f t="shared" si="4"/>
        <v/>
      </c>
    </row>
    <row r="9" spans="1:17" ht="15.75" customHeight="1">
      <c r="A9" s="10"/>
      <c r="B9" s="2" t="s">
        <v>63</v>
      </c>
      <c r="C9" s="282">
        <f>BS!$G$39*BS!D58</f>
        <v>378473</v>
      </c>
      <c r="E9" s="246"/>
      <c r="G9" s="282">
        <f>IF(Data!C61="","",-Data!C61)</f>
        <v>378473</v>
      </c>
      <c r="H9" s="282">
        <f>IF(Data!D61="","",-Data!D61)</f>
        <v>394190</v>
      </c>
      <c r="I9" s="282">
        <f>IF(Data!E61="","",-Data!E61)</f>
        <v>0</v>
      </c>
      <c r="J9" s="282">
        <f>IF(Data!F61="","",-Data!F61)</f>
        <v>0</v>
      </c>
      <c r="K9" s="282">
        <f>IF(Data!G61="","",-Data!G61)</f>
        <v>0</v>
      </c>
      <c r="L9" s="282">
        <f>IF(Data!H61="","",-Data!H61)</f>
        <v>0</v>
      </c>
      <c r="M9" s="282">
        <f>IF(Data!I61="","",-Data!I61)</f>
        <v>0</v>
      </c>
      <c r="N9" s="282">
        <f>IF(Data!J61="","",-Data!J61)</f>
        <v>0</v>
      </c>
      <c r="O9" s="282">
        <f>IF(Data!K61="","",-Data!K61)</f>
        <v>0</v>
      </c>
      <c r="P9" s="282">
        <f>IF(Data!L61="","",-Data!L61)</f>
        <v>0</v>
      </c>
      <c r="Q9" s="282" t="str">
        <f>IF(Data!M61="","",-Data!M61)</f>
        <v/>
      </c>
    </row>
    <row r="10" spans="1:17" ht="15.75" customHeight="1">
      <c r="A10" s="10"/>
      <c r="B10" s="2" t="s">
        <v>414</v>
      </c>
      <c r="C10" s="282">
        <f>-C4*C76</f>
        <v>-378473</v>
      </c>
      <c r="E10" s="246"/>
      <c r="G10" s="282">
        <f>Data!C62</f>
        <v>-305069</v>
      </c>
      <c r="H10" s="282">
        <f>Data!D62</f>
        <v>-316358</v>
      </c>
      <c r="I10" s="282">
        <f>Data!E62</f>
        <v>0</v>
      </c>
      <c r="J10" s="282">
        <f>Data!F62</f>
        <v>0</v>
      </c>
      <c r="K10" s="282">
        <f>Data!G62</f>
        <v>0</v>
      </c>
      <c r="L10" s="282">
        <f>Data!H62</f>
        <v>0</v>
      </c>
      <c r="M10" s="282">
        <f>Data!I62</f>
        <v>0</v>
      </c>
      <c r="N10" s="282">
        <f>Data!J62</f>
        <v>0</v>
      </c>
      <c r="O10" s="282">
        <f>Data!K62</f>
        <v>0</v>
      </c>
      <c r="P10" s="282">
        <f>Data!L62</f>
        <v>0</v>
      </c>
      <c r="Q10" s="282" t="str">
        <f>Data!M62</f>
        <v/>
      </c>
    </row>
    <row r="11" spans="1:17" ht="15.75" customHeight="1">
      <c r="A11" s="10"/>
      <c r="B11" s="26" t="s">
        <v>435</v>
      </c>
      <c r="C11" s="316">
        <f>C61</f>
        <v>0</v>
      </c>
      <c r="D11" s="57"/>
      <c r="E11" s="245"/>
      <c r="F11" s="57"/>
      <c r="G11" s="286">
        <f>G59</f>
        <v>0</v>
      </c>
      <c r="H11" s="286">
        <f t="shared" ref="H11:Q11" si="5">H59</f>
        <v>0</v>
      </c>
      <c r="I11" s="286">
        <f t="shared" si="5"/>
        <v>0</v>
      </c>
      <c r="J11" s="286">
        <f t="shared" si="5"/>
        <v>0</v>
      </c>
      <c r="K11" s="286">
        <f t="shared" si="5"/>
        <v>0</v>
      </c>
      <c r="L11" s="286">
        <f t="shared" si="5"/>
        <v>0</v>
      </c>
      <c r="M11" s="286">
        <f t="shared" si="5"/>
        <v>0</v>
      </c>
      <c r="N11" s="286">
        <f t="shared" si="5"/>
        <v>0</v>
      </c>
      <c r="O11" s="286">
        <f t="shared" si="5"/>
        <v>0</v>
      </c>
      <c r="P11" s="286">
        <f t="shared" si="5"/>
        <v>0</v>
      </c>
      <c r="Q11" s="286" t="str">
        <f t="shared" si="5"/>
        <v/>
      </c>
    </row>
    <row r="12" spans="1:17" ht="15.75" customHeight="1">
      <c r="A12" s="10"/>
      <c r="B12" s="2" t="s">
        <v>66</v>
      </c>
      <c r="C12" s="282">
        <f>C48</f>
        <v>-78679.881332559497</v>
      </c>
      <c r="E12" s="246"/>
      <c r="G12" s="282">
        <f>G48</f>
        <v>-74482.349838754599</v>
      </c>
      <c r="H12" s="282">
        <f t="shared" ref="H12:Q12" si="6">H48</f>
        <v>-79815.579205498987</v>
      </c>
      <c r="I12" s="282">
        <f t="shared" si="6"/>
        <v>-73832.968687003769</v>
      </c>
      <c r="J12" s="282">
        <f t="shared" si="6"/>
        <v>-83179.118160315134</v>
      </c>
      <c r="K12" s="282">
        <f t="shared" si="6"/>
        <v>0</v>
      </c>
      <c r="L12" s="282">
        <f t="shared" si="6"/>
        <v>0</v>
      </c>
      <c r="M12" s="282">
        <f t="shared" si="6"/>
        <v>0</v>
      </c>
      <c r="N12" s="282">
        <f t="shared" si="6"/>
        <v>0</v>
      </c>
      <c r="O12" s="282">
        <f t="shared" si="6"/>
        <v>0</v>
      </c>
      <c r="P12" s="282">
        <f t="shared" si="6"/>
        <v>0</v>
      </c>
      <c r="Q12" s="282" t="str">
        <f t="shared" si="6"/>
        <v/>
      </c>
    </row>
    <row r="13" spans="1:17" ht="15.75" customHeight="1">
      <c r="A13" s="10"/>
      <c r="B13" s="69" t="s">
        <v>139</v>
      </c>
      <c r="C13" s="283">
        <f>SUM(C8:C12)</f>
        <v>320440.08093882818</v>
      </c>
      <c r="E13" s="246"/>
      <c r="G13" s="283">
        <f>IF(G$4="","",SUM(G8:G12))</f>
        <v>397083.65016124537</v>
      </c>
      <c r="H13" s="283">
        <f t="shared" ref="H13:Q13" si="7">IF(H$4="","",SUM(H8:H12))</f>
        <v>484089.42079450103</v>
      </c>
      <c r="I13" s="283">
        <f t="shared" si="7"/>
        <v>142737.03131299623</v>
      </c>
      <c r="J13" s="283">
        <f t="shared" si="7"/>
        <v>5698.8818396848656</v>
      </c>
      <c r="K13" s="283">
        <f t="shared" si="7"/>
        <v>-87431</v>
      </c>
      <c r="L13" s="283">
        <f t="shared" si="7"/>
        <v>249238</v>
      </c>
      <c r="M13" s="283">
        <f t="shared" si="7"/>
        <v>689430</v>
      </c>
      <c r="N13" s="283">
        <f t="shared" si="7"/>
        <v>583289</v>
      </c>
      <c r="O13" s="283">
        <f t="shared" si="7"/>
        <v>626211</v>
      </c>
      <c r="P13" s="283">
        <f t="shared" si="7"/>
        <v>614633</v>
      </c>
      <c r="Q13" s="283" t="str">
        <f t="shared" si="7"/>
        <v/>
      </c>
    </row>
    <row r="14" spans="1:17" ht="15.75" customHeight="1">
      <c r="A14" s="10"/>
      <c r="B14" s="2" t="s">
        <v>61</v>
      </c>
      <c r="C14" s="282">
        <f>-SUM(C8+C11,C12)*C41</f>
        <v>-52872.613354906651</v>
      </c>
      <c r="E14" s="246"/>
      <c r="G14" s="282">
        <f>Data!C46</f>
        <v>-32312</v>
      </c>
      <c r="H14" s="282">
        <f>Data!D46</f>
        <v>-56313</v>
      </c>
      <c r="I14" s="282">
        <f>Data!E46</f>
        <v>-32989</v>
      </c>
      <c r="J14" s="282">
        <f>Data!F46</f>
        <v>-27939</v>
      </c>
      <c r="K14" s="282">
        <f>Data!G46</f>
        <v>-29996</v>
      </c>
      <c r="L14" s="282">
        <f>Data!H46</f>
        <v>-39872</v>
      </c>
      <c r="M14" s="282">
        <f>Data!I46</f>
        <v>-129810</v>
      </c>
      <c r="N14" s="282">
        <f>Data!J46</f>
        <v>-121949</v>
      </c>
      <c r="O14" s="282">
        <f>Data!K46</f>
        <v>-108832</v>
      </c>
      <c r="P14" s="282">
        <f>Data!L46</f>
        <v>-110223</v>
      </c>
      <c r="Q14" s="282" t="str">
        <f>Data!M46</f>
        <v/>
      </c>
    </row>
    <row r="15" spans="1:17" ht="15.75" customHeight="1">
      <c r="A15" s="10"/>
      <c r="B15" s="39" t="s">
        <v>210</v>
      </c>
      <c r="C15" s="282">
        <f>-C4*C81</f>
        <v>-2604.2914835892152</v>
      </c>
      <c r="D15" s="59"/>
      <c r="E15" s="253"/>
      <c r="F15" s="59"/>
      <c r="G15" s="286">
        <f>Data!C48</f>
        <v>-2367</v>
      </c>
      <c r="H15" s="286">
        <f>Data!D48</f>
        <v>-2761</v>
      </c>
      <c r="I15" s="286">
        <f>Data!E48</f>
        <v>-834</v>
      </c>
      <c r="J15" s="286">
        <f>Data!F48</f>
        <v>-1636</v>
      </c>
      <c r="K15" s="286">
        <f>Data!G48</f>
        <v>-1420</v>
      </c>
      <c r="L15" s="286">
        <f>Data!H48</f>
        <v>-752</v>
      </c>
      <c r="M15" s="286">
        <f>Data!I48</f>
        <v>-1825</v>
      </c>
      <c r="N15" s="286">
        <f>Data!J48</f>
        <v>-1240</v>
      </c>
      <c r="O15" s="286">
        <f>Data!K48</f>
        <v>-23</v>
      </c>
      <c r="P15" s="286">
        <f>Data!L48</f>
        <v>0</v>
      </c>
      <c r="Q15" s="286" t="str">
        <f>Data!M48</f>
        <v/>
      </c>
    </row>
    <row r="16" spans="1:17" ht="15.75" customHeight="1">
      <c r="A16" s="10"/>
      <c r="B16" s="40" t="s">
        <v>131</v>
      </c>
      <c r="C16" s="285">
        <f>SUM(C13:C15)</f>
        <v>264963.17610033229</v>
      </c>
      <c r="D16" s="60"/>
      <c r="E16" s="254"/>
      <c r="F16" s="60"/>
      <c r="G16" s="283">
        <f>IF(G$4="","",SUM(G13:G15))</f>
        <v>362404.65016124537</v>
      </c>
      <c r="H16" s="283">
        <f t="shared" ref="H16:Q16" si="8">IF(H$4="","",SUM(H13:H15))</f>
        <v>425015.42079450103</v>
      </c>
      <c r="I16" s="283">
        <f t="shared" si="8"/>
        <v>108914.03131299623</v>
      </c>
      <c r="J16" s="283">
        <f t="shared" si="8"/>
        <v>-23876.118160315134</v>
      </c>
      <c r="K16" s="283">
        <f t="shared" si="8"/>
        <v>-118847</v>
      </c>
      <c r="L16" s="283">
        <f t="shared" si="8"/>
        <v>208614</v>
      </c>
      <c r="M16" s="283">
        <f t="shared" si="8"/>
        <v>557795</v>
      </c>
      <c r="N16" s="283">
        <f t="shared" si="8"/>
        <v>460100</v>
      </c>
      <c r="O16" s="283">
        <f t="shared" si="8"/>
        <v>517356</v>
      </c>
      <c r="P16" s="283">
        <f t="shared" si="8"/>
        <v>504410</v>
      </c>
      <c r="Q16" s="283" t="str">
        <f t="shared" si="8"/>
        <v/>
      </c>
    </row>
    <row r="17" spans="1:17" ht="15.75" customHeight="1">
      <c r="A17" s="10"/>
      <c r="B17" s="26" t="s">
        <v>50</v>
      </c>
      <c r="C17" s="282">
        <f>-C4*C83</f>
        <v>0</v>
      </c>
      <c r="D17" s="57"/>
      <c r="E17" s="245" t="s">
        <v>266</v>
      </c>
      <c r="F17" s="57"/>
      <c r="G17" s="288"/>
      <c r="H17" s="288"/>
      <c r="I17" s="288"/>
      <c r="J17" s="288"/>
      <c r="K17" s="288"/>
      <c r="L17" s="288"/>
      <c r="M17" s="288"/>
      <c r="N17" s="288"/>
      <c r="O17" s="288"/>
      <c r="P17" s="288"/>
      <c r="Q17" s="288"/>
    </row>
    <row r="18" spans="1:17" ht="15.75" customHeight="1">
      <c r="A18" s="10"/>
      <c r="B18" s="26" t="s">
        <v>95</v>
      </c>
      <c r="C18" s="282">
        <v>0</v>
      </c>
      <c r="D18" s="57"/>
      <c r="E18" s="245" t="s">
        <v>267</v>
      </c>
      <c r="F18" s="57"/>
      <c r="G18" s="289"/>
      <c r="H18" s="289"/>
      <c r="I18" s="289"/>
      <c r="J18" s="289"/>
      <c r="K18" s="289"/>
      <c r="L18" s="289"/>
      <c r="M18" s="289"/>
      <c r="N18" s="289"/>
      <c r="O18" s="289"/>
      <c r="P18" s="289"/>
      <c r="Q18" s="289"/>
    </row>
    <row r="19" spans="1:17" ht="15.75" customHeight="1">
      <c r="A19" s="10"/>
      <c r="B19" s="30" t="s">
        <v>64</v>
      </c>
      <c r="C19" s="283">
        <f>C16+C17</f>
        <v>264963.17610033229</v>
      </c>
      <c r="D19" s="26"/>
      <c r="E19" s="243"/>
      <c r="F19" s="26"/>
      <c r="G19" s="287">
        <f>IF(G$4="","",G16+G17)</f>
        <v>362404.65016124537</v>
      </c>
      <c r="H19" s="287">
        <f t="shared" ref="H19:Q19" si="9">IF(H$4="","",H16+H17)</f>
        <v>425015.42079450103</v>
      </c>
      <c r="I19" s="287">
        <f t="shared" si="9"/>
        <v>108914.03131299623</v>
      </c>
      <c r="J19" s="287">
        <f t="shared" si="9"/>
        <v>-23876.118160315134</v>
      </c>
      <c r="K19" s="287">
        <f t="shared" si="9"/>
        <v>-118847</v>
      </c>
      <c r="L19" s="287">
        <f t="shared" si="9"/>
        <v>208614</v>
      </c>
      <c r="M19" s="287">
        <f t="shared" si="9"/>
        <v>557795</v>
      </c>
      <c r="N19" s="287">
        <f t="shared" si="9"/>
        <v>460100</v>
      </c>
      <c r="O19" s="287">
        <f t="shared" si="9"/>
        <v>517356</v>
      </c>
      <c r="P19" s="287">
        <f t="shared" si="9"/>
        <v>504410</v>
      </c>
      <c r="Q19" s="287" t="str">
        <f t="shared" si="9"/>
        <v/>
      </c>
    </row>
    <row r="20" spans="1:17" ht="15.75" customHeight="1">
      <c r="A20" s="10"/>
      <c r="B20" s="26"/>
      <c r="C20" s="61"/>
      <c r="D20" s="26"/>
      <c r="E20" s="66"/>
      <c r="F20" s="26"/>
      <c r="G20" s="12"/>
      <c r="H20" s="12"/>
      <c r="I20" s="12"/>
      <c r="J20" s="12"/>
      <c r="K20" s="12"/>
      <c r="L20" s="12"/>
      <c r="M20" s="12"/>
      <c r="N20" s="12"/>
      <c r="O20" s="12"/>
      <c r="P20" s="12"/>
      <c r="Q20" s="12"/>
    </row>
    <row r="21" spans="1:17" ht="15.75" customHeight="1">
      <c r="A21" s="10"/>
      <c r="B21" s="53" t="s">
        <v>176</v>
      </c>
      <c r="C21" s="53"/>
      <c r="D21" s="55"/>
      <c r="E21" s="65" t="s">
        <v>57</v>
      </c>
      <c r="F21" s="55"/>
      <c r="G21" s="36"/>
      <c r="H21" s="36"/>
      <c r="I21" s="36"/>
      <c r="J21" s="36"/>
      <c r="K21" s="36"/>
      <c r="L21" s="36"/>
      <c r="M21" s="36"/>
      <c r="N21" s="36"/>
      <c r="O21" s="36"/>
      <c r="P21" s="36"/>
      <c r="Q21" s="36"/>
    </row>
    <row r="22" spans="1:17" ht="15.75" customHeight="1">
      <c r="A22" s="10"/>
      <c r="B22" s="63" t="s">
        <v>44</v>
      </c>
      <c r="C22" s="61"/>
      <c r="D22" s="26"/>
      <c r="E22" s="243"/>
      <c r="F22" s="26"/>
      <c r="G22" s="12"/>
      <c r="H22" s="12"/>
      <c r="I22" s="12"/>
      <c r="J22" s="12"/>
      <c r="K22" s="12"/>
      <c r="L22" s="12"/>
      <c r="M22" s="12"/>
      <c r="N22" s="12"/>
      <c r="O22" s="12"/>
      <c r="P22" s="12"/>
      <c r="Q22" s="12"/>
    </row>
    <row r="23" spans="1:17" ht="15.75" customHeight="1">
      <c r="A23" s="10"/>
      <c r="B23" s="26" t="s">
        <v>41</v>
      </c>
      <c r="C23" s="290">
        <f>-C4*C29</f>
        <v>-7304527.7877286123</v>
      </c>
      <c r="D23" s="57"/>
      <c r="E23" s="245"/>
      <c r="F23" s="57"/>
      <c r="G23" s="286">
        <f>Data!C37</f>
        <v>-7675662</v>
      </c>
      <c r="H23" s="286">
        <f>Data!D37</f>
        <v>-7702163</v>
      </c>
      <c r="I23" s="286">
        <f>Data!E37</f>
        <v>-7321395</v>
      </c>
      <c r="J23" s="286">
        <f>Data!F37</f>
        <v>-6961032</v>
      </c>
      <c r="K23" s="286">
        <f>Data!G37</f>
        <v>-6339067</v>
      </c>
      <c r="L23" s="286">
        <f>Data!H37</f>
        <v>-7232445</v>
      </c>
      <c r="M23" s="286">
        <f>Data!I37</f>
        <v>-7356665</v>
      </c>
      <c r="N23" s="286">
        <f>Data!J37</f>
        <v>-7385291</v>
      </c>
      <c r="O23" s="286">
        <f>Data!K37</f>
        <v>-6838442</v>
      </c>
      <c r="P23" s="286">
        <f>Data!L37</f>
        <v>-6522504</v>
      </c>
      <c r="Q23" s="286" t="str">
        <f>Data!M37</f>
        <v/>
      </c>
    </row>
    <row r="24" spans="1:17" ht="15.75" customHeight="1">
      <c r="A24" s="10"/>
      <c r="B24" s="67" t="s">
        <v>60</v>
      </c>
      <c r="C24" s="282">
        <f>-C4*C30</f>
        <v>0</v>
      </c>
      <c r="D24" s="26"/>
      <c r="E24" s="243"/>
      <c r="F24" s="26"/>
      <c r="G24" s="286">
        <f>Data!C40</f>
        <v>0</v>
      </c>
      <c r="H24" s="286">
        <f>Data!D40</f>
        <v>0</v>
      </c>
      <c r="I24" s="286">
        <f>Data!E40</f>
        <v>0</v>
      </c>
      <c r="J24" s="286">
        <f>Data!F40</f>
        <v>0</v>
      </c>
      <c r="K24" s="286">
        <f>Data!G40</f>
        <v>0</v>
      </c>
      <c r="L24" s="286">
        <f>Data!H40</f>
        <v>0</v>
      </c>
      <c r="M24" s="286">
        <f>Data!I40</f>
        <v>0</v>
      </c>
      <c r="N24" s="286">
        <f>Data!J40</f>
        <v>0</v>
      </c>
      <c r="O24" s="286">
        <f>Data!K40</f>
        <v>0</v>
      </c>
      <c r="P24" s="286">
        <f>Data!L40</f>
        <v>0</v>
      </c>
      <c r="Q24" s="286" t="str">
        <f>Data!M40</f>
        <v/>
      </c>
    </row>
    <row r="25" spans="1:17" ht="15.75" customHeight="1">
      <c r="A25" s="10"/>
      <c r="B25" s="26" t="s">
        <v>47</v>
      </c>
      <c r="C25" s="282">
        <f>-C4*C31</f>
        <v>0</v>
      </c>
      <c r="D25" s="57"/>
      <c r="E25" s="244"/>
      <c r="F25" s="57"/>
      <c r="G25" s="286">
        <f>Data!C42</f>
        <v>0</v>
      </c>
      <c r="H25" s="286">
        <f>Data!D42</f>
        <v>0</v>
      </c>
      <c r="I25" s="286">
        <f>Data!E42</f>
        <v>0</v>
      </c>
      <c r="J25" s="286">
        <f>Data!F42</f>
        <v>0</v>
      </c>
      <c r="K25" s="286">
        <f>Data!G42</f>
        <v>0</v>
      </c>
      <c r="L25" s="286">
        <f>Data!H42</f>
        <v>0</v>
      </c>
      <c r="M25" s="286">
        <f>Data!I42</f>
        <v>0</v>
      </c>
      <c r="N25" s="286">
        <f>Data!J42</f>
        <v>0</v>
      </c>
      <c r="O25" s="286">
        <f>Data!K42</f>
        <v>0</v>
      </c>
      <c r="P25" s="286">
        <f>Data!L42</f>
        <v>0</v>
      </c>
      <c r="Q25" s="286" t="str">
        <f>Data!M42</f>
        <v/>
      </c>
    </row>
    <row r="26" spans="1:17" ht="15.75" customHeight="1">
      <c r="A26" s="10"/>
      <c r="B26" s="69" t="s">
        <v>44</v>
      </c>
      <c r="C26" s="283">
        <f>SUM(C23:C25)</f>
        <v>-7304527.7877286123</v>
      </c>
      <c r="D26" s="9"/>
      <c r="E26" s="251"/>
      <c r="F26" s="9"/>
      <c r="G26" s="283">
        <f>IF(G$4="","",SUM(G23:G25))</f>
        <v>-7675662</v>
      </c>
      <c r="H26" s="283">
        <f t="shared" ref="H26:Q26" si="10">IF(H$4="","",SUM(H23:H25))</f>
        <v>-7702163</v>
      </c>
      <c r="I26" s="283">
        <f t="shared" si="10"/>
        <v>-7321395</v>
      </c>
      <c r="J26" s="283">
        <f t="shared" si="10"/>
        <v>-6961032</v>
      </c>
      <c r="K26" s="283">
        <f t="shared" si="10"/>
        <v>-6339067</v>
      </c>
      <c r="L26" s="283">
        <f t="shared" si="10"/>
        <v>-7232445</v>
      </c>
      <c r="M26" s="283">
        <f t="shared" si="10"/>
        <v>-7356665</v>
      </c>
      <c r="N26" s="283">
        <f t="shared" si="10"/>
        <v>-7385291</v>
      </c>
      <c r="O26" s="283">
        <f t="shared" si="10"/>
        <v>-6838442</v>
      </c>
      <c r="P26" s="283">
        <f t="shared" si="10"/>
        <v>-6522504</v>
      </c>
      <c r="Q26" s="283" t="str">
        <f t="shared" si="10"/>
        <v/>
      </c>
    </row>
    <row r="27" spans="1:17" ht="15.75" customHeight="1">
      <c r="A27" s="10"/>
      <c r="E27" s="246"/>
    </row>
    <row r="28" spans="1:17" ht="15.75" customHeight="1">
      <c r="A28" s="10"/>
      <c r="B28" s="63" t="s">
        <v>177</v>
      </c>
      <c r="E28" s="246"/>
    </row>
    <row r="29" spans="1:17" ht="15.75" customHeight="1">
      <c r="A29" s="10"/>
      <c r="B29" s="25" t="s">
        <v>41</v>
      </c>
      <c r="C29" s="62">
        <f>AVERAGE(G29:H29)</f>
        <v>0.89099809462634716</v>
      </c>
      <c r="D29" s="25"/>
      <c r="E29" s="244"/>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7" t="str">
        <f>B24</f>
        <v>Selling Expenses</v>
      </c>
      <c r="C30" s="62">
        <v>0</v>
      </c>
      <c r="D30" s="25"/>
      <c r="E30" s="244"/>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2">
        <v>0</v>
      </c>
      <c r="D31" s="26"/>
      <c r="E31" s="243"/>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9" t="s">
        <v>44</v>
      </c>
      <c r="C32" s="70">
        <f>ABS(C26/$C$4)</f>
        <v>0.89099809462634716</v>
      </c>
      <c r="E32" s="246"/>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6"/>
    </row>
    <row r="34" spans="1:17" ht="15.75" customHeight="1">
      <c r="A34" s="10"/>
      <c r="B34" s="63" t="s">
        <v>43</v>
      </c>
      <c r="E34" s="246"/>
    </row>
    <row r="35" spans="1:17" ht="15.75" customHeight="1">
      <c r="A35" s="10"/>
      <c r="B35" s="314" t="s">
        <v>412</v>
      </c>
      <c r="C35" s="292">
        <f>G35</f>
        <v>-494493</v>
      </c>
      <c r="D35" s="57"/>
      <c r="E35" s="245"/>
      <c r="F35" s="57"/>
      <c r="G35" s="283">
        <f>IF(G4="","",Data!C41)</f>
        <v>-494493</v>
      </c>
      <c r="H35" s="283">
        <f>IF(H4="","",Data!D41)</f>
        <v>-503213</v>
      </c>
      <c r="I35" s="283">
        <f>IF(I4="","",Data!E41)</f>
        <v>-486079</v>
      </c>
      <c r="J35" s="283">
        <f>IF(J4="","",Data!F41)</f>
        <v>-458843</v>
      </c>
      <c r="K35" s="283">
        <f>IF(K4="","",Data!G41)</f>
        <v>-462619</v>
      </c>
      <c r="L35" s="283">
        <f>IF(L4="","",Data!H41)</f>
        <v>-481414</v>
      </c>
      <c r="M35" s="283">
        <f>IF(M4="","",Data!I41)</f>
        <v>-447788</v>
      </c>
      <c r="N35" s="283">
        <f>IF(N4="","",Data!J41)</f>
        <v>-458819</v>
      </c>
      <c r="O35" s="283">
        <f>IF(O4="","",Data!K41)</f>
        <v>-430609</v>
      </c>
      <c r="P35" s="283">
        <f>IF(P4="","",Data!L41)</f>
        <v>-430039</v>
      </c>
      <c r="Q35" s="283" t="str">
        <f>IF(Q4="","",Data!M41)</f>
        <v/>
      </c>
    </row>
    <row r="36" spans="1:17" ht="15.75" customHeight="1">
      <c r="A36" s="10"/>
      <c r="E36" s="246"/>
    </row>
    <row r="37" spans="1:17" ht="15.75" customHeight="1">
      <c r="A37" s="10"/>
      <c r="B37" s="63" t="s">
        <v>178</v>
      </c>
      <c r="E37" s="246"/>
    </row>
    <row r="38" spans="1:17" ht="15.75" customHeight="1">
      <c r="A38" s="10"/>
      <c r="B38" s="314" t="s">
        <v>412</v>
      </c>
      <c r="C38" s="70">
        <f>ABS(C35/$C$4)</f>
        <v>6.0317700693294389E-2</v>
      </c>
      <c r="E38" s="246"/>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6"/>
    </row>
    <row r="40" spans="1:17" ht="15.75" customHeight="1">
      <c r="A40" s="10"/>
      <c r="B40" s="63" t="s">
        <v>179</v>
      </c>
      <c r="E40" s="246"/>
    </row>
    <row r="41" spans="1:17" ht="15.75" customHeight="1">
      <c r="A41" s="10"/>
      <c r="B41" s="26" t="s">
        <v>144</v>
      </c>
      <c r="C41" s="241">
        <v>0.16500000000000001</v>
      </c>
      <c r="D41" s="26"/>
      <c r="E41" s="243" t="s">
        <v>421</v>
      </c>
      <c r="F41" s="26"/>
      <c r="G41" s="6">
        <f t="shared" ref="G41:Q41" si="16">IF(G$4="","",-G14/SUM(G8+G11,G12))</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3" t="s">
        <v>180</v>
      </c>
      <c r="C43" s="53"/>
      <c r="D43" s="55"/>
      <c r="E43" s="65" t="s">
        <v>57</v>
      </c>
      <c r="F43" s="55"/>
      <c r="G43" s="36"/>
      <c r="H43" s="36"/>
      <c r="I43" s="36"/>
      <c r="J43" s="36"/>
      <c r="K43" s="36"/>
      <c r="L43" s="36"/>
      <c r="M43" s="36"/>
      <c r="N43" s="36"/>
      <c r="O43" s="36"/>
      <c r="P43" s="36"/>
      <c r="Q43" s="36"/>
    </row>
    <row r="44" spans="1:17" ht="15.75" customHeight="1">
      <c r="A44" s="10"/>
      <c r="B44" s="63" t="s">
        <v>58</v>
      </c>
      <c r="E44" s="246"/>
    </row>
    <row r="45" spans="1:17" ht="15.75" customHeight="1">
      <c r="A45" s="10"/>
      <c r="B45" s="2" t="s">
        <v>37</v>
      </c>
      <c r="C45" s="282">
        <f>-BS!G31*Normalized_FCF!C52</f>
        <v>-85372.400000000009</v>
      </c>
      <c r="E45" s="246"/>
      <c r="G45" s="282">
        <f>Data!C51</f>
        <v>-104115</v>
      </c>
      <c r="H45" s="282">
        <f>Data!D51</f>
        <v>-108592</v>
      </c>
      <c r="I45" s="282">
        <f>Data!E51</f>
        <v>-98508</v>
      </c>
      <c r="J45" s="282">
        <f>Data!F51</f>
        <v>-88044</v>
      </c>
      <c r="K45" s="282">
        <f>Data!G51</f>
        <v>0</v>
      </c>
      <c r="L45" s="282">
        <f>Data!H51</f>
        <v>0</v>
      </c>
      <c r="M45" s="282">
        <f>Data!I51</f>
        <v>0</v>
      </c>
      <c r="N45" s="282">
        <f>Data!J51</f>
        <v>0</v>
      </c>
      <c r="O45" s="282">
        <f>Data!K51</f>
        <v>0</v>
      </c>
      <c r="P45" s="282">
        <f>Data!L51</f>
        <v>0</v>
      </c>
      <c r="Q45" s="282" t="str">
        <f>Data!M51</f>
        <v/>
      </c>
    </row>
    <row r="46" spans="1:17" ht="15.75" customHeight="1">
      <c r="A46" s="10"/>
      <c r="B46" s="2" t="s">
        <v>276</v>
      </c>
      <c r="C46" s="282">
        <f>BS!D75*C51</f>
        <v>6692.5186674405113</v>
      </c>
      <c r="E46" s="246"/>
      <c r="G46" s="290">
        <f t="shared" ref="G46:Q46" si="17">IFERROR(IF(G$4="","",($C$46/$C$47)*G47),0)</f>
        <v>29632.650161245398</v>
      </c>
      <c r="H46" s="290">
        <f t="shared" si="17"/>
        <v>28776.420794501017</v>
      </c>
      <c r="I46" s="290">
        <f t="shared" si="17"/>
        <v>24675.031312996227</v>
      </c>
      <c r="J46" s="290">
        <f t="shared" si="17"/>
        <v>4864.8818396848692</v>
      </c>
      <c r="K46" s="290">
        <f t="shared" si="17"/>
        <v>0</v>
      </c>
      <c r="L46" s="290">
        <f t="shared" si="17"/>
        <v>0</v>
      </c>
      <c r="M46" s="290">
        <f t="shared" si="17"/>
        <v>0</v>
      </c>
      <c r="N46" s="290">
        <f t="shared" si="17"/>
        <v>0</v>
      </c>
      <c r="O46" s="290">
        <f t="shared" si="17"/>
        <v>0</v>
      </c>
      <c r="P46" s="290">
        <f t="shared" si="17"/>
        <v>0</v>
      </c>
      <c r="Q46" s="290" t="str">
        <f t="shared" si="17"/>
        <v/>
      </c>
    </row>
    <row r="47" spans="1:17" ht="15.75" customHeight="1">
      <c r="A47" s="10"/>
      <c r="B47" s="256" t="s">
        <v>273</v>
      </c>
      <c r="C47" s="294">
        <f>BS!$C$66*C51</f>
        <v>10536.33</v>
      </c>
      <c r="D47" s="257"/>
      <c r="E47" s="258"/>
      <c r="F47" s="257"/>
      <c r="G47" s="294">
        <f>Data!C52</f>
        <v>46652</v>
      </c>
      <c r="H47" s="294">
        <f>Data!D52</f>
        <v>45304</v>
      </c>
      <c r="I47" s="294">
        <f>Data!E52</f>
        <v>38847</v>
      </c>
      <c r="J47" s="294">
        <f>Data!F52</f>
        <v>7659</v>
      </c>
      <c r="K47" s="294">
        <f>Data!G52</f>
        <v>0</v>
      </c>
      <c r="L47" s="294">
        <f>Data!H52</f>
        <v>0</v>
      </c>
      <c r="M47" s="294">
        <f>Data!I52</f>
        <v>0</v>
      </c>
      <c r="N47" s="294">
        <f>Data!J52</f>
        <v>0</v>
      </c>
      <c r="O47" s="294">
        <f>Data!K52</f>
        <v>0</v>
      </c>
      <c r="P47" s="294">
        <f>Data!L52</f>
        <v>0</v>
      </c>
      <c r="Q47" s="294" t="str">
        <f>Data!M52</f>
        <v/>
      </c>
    </row>
    <row r="48" spans="1:17" ht="15.75" customHeight="1">
      <c r="A48" s="10"/>
      <c r="B48" s="69" t="s">
        <v>66</v>
      </c>
      <c r="C48" s="283">
        <f>C45+C46</f>
        <v>-78679.881332559497</v>
      </c>
      <c r="E48" s="246"/>
      <c r="G48" s="283">
        <f>IF(G$4="","",(G45+G46))</f>
        <v>-74482.349838754599</v>
      </c>
      <c r="H48" s="283">
        <f t="shared" ref="H48:Q48" si="18">IF(H$4="","",(H45+H46))</f>
        <v>-79815.579205498987</v>
      </c>
      <c r="I48" s="283">
        <f t="shared" si="18"/>
        <v>-73832.968687003769</v>
      </c>
      <c r="J48" s="283">
        <f t="shared" si="18"/>
        <v>-83179.118160315134</v>
      </c>
      <c r="K48" s="283">
        <f t="shared" si="18"/>
        <v>0</v>
      </c>
      <c r="L48" s="283">
        <f t="shared" si="18"/>
        <v>0</v>
      </c>
      <c r="M48" s="283">
        <f t="shared" si="18"/>
        <v>0</v>
      </c>
      <c r="N48" s="283">
        <f t="shared" si="18"/>
        <v>0</v>
      </c>
      <c r="O48" s="283">
        <f t="shared" si="18"/>
        <v>0</v>
      </c>
      <c r="P48" s="283">
        <f t="shared" si="18"/>
        <v>0</v>
      </c>
      <c r="Q48" s="283" t="str">
        <f t="shared" si="18"/>
        <v/>
      </c>
    </row>
    <row r="49" spans="1:17" ht="15.75" customHeight="1">
      <c r="A49" s="10"/>
      <c r="E49" s="246"/>
    </row>
    <row r="50" spans="1:17" ht="15.75" customHeight="1">
      <c r="A50" s="10"/>
      <c r="B50" s="71" t="s">
        <v>132</v>
      </c>
      <c r="E50" s="246"/>
      <c r="G50" s="96" t="s">
        <v>190</v>
      </c>
    </row>
    <row r="51" spans="1:17" ht="15.75" customHeight="1">
      <c r="A51" s="10"/>
      <c r="B51" s="8" t="s">
        <v>86</v>
      </c>
      <c r="C51" s="86">
        <v>0.01</v>
      </c>
      <c r="E51" s="243"/>
      <c r="G51" s="6">
        <f>IF(Normalized_FCF!G4="","",Normalized_FCF!G47/BS!$C$66)</f>
        <v>4.4277276812704235E-2</v>
      </c>
      <c r="H51" s="155"/>
      <c r="I51" s="155"/>
      <c r="J51" s="155"/>
      <c r="K51" s="155"/>
      <c r="L51" s="155"/>
      <c r="M51" s="155"/>
      <c r="N51" s="155"/>
      <c r="O51" s="155"/>
      <c r="P51" s="155"/>
      <c r="Q51" s="155"/>
    </row>
    <row r="52" spans="1:17" ht="15.75" customHeight="1">
      <c r="A52" s="10"/>
      <c r="B52" s="8" t="s">
        <v>85</v>
      </c>
      <c r="C52" s="81">
        <v>0.04</v>
      </c>
      <c r="E52" s="243"/>
      <c r="G52" s="22">
        <f>IFERROR(ABS(Normalized_FCF!G45/BS!$G$31),0)</f>
        <v>4.8781573435911371E-2</v>
      </c>
      <c r="H52" s="155"/>
      <c r="I52" s="155"/>
      <c r="J52" s="155"/>
      <c r="K52" s="155"/>
      <c r="L52" s="155"/>
      <c r="M52" s="155"/>
      <c r="N52" s="155"/>
      <c r="O52" s="155"/>
      <c r="P52" s="155"/>
      <c r="Q52" s="155"/>
    </row>
    <row r="53" spans="1:17" ht="15.75" customHeight="1">
      <c r="A53" s="10"/>
      <c r="B53" s="25" t="s">
        <v>88</v>
      </c>
      <c r="C53" s="41">
        <f>-C8/C45</f>
        <v>4.6750467630216281</v>
      </c>
      <c r="E53" s="246"/>
      <c r="G53" s="41">
        <f t="shared" ref="G53:Q53" si="19">IF(G4="","",-G8/G45)</f>
        <v>3.8242520290063871</v>
      </c>
      <c r="H53" s="41">
        <f t="shared" si="19"/>
        <v>4.4761400471489612</v>
      </c>
      <c r="I53" s="41">
        <f t="shared" si="19"/>
        <v>2.1985016445364844</v>
      </c>
      <c r="J53" s="41">
        <f t="shared" si="19"/>
        <v>1.0094725364590431</v>
      </c>
      <c r="K53" s="41" t="e">
        <f t="shared" si="19"/>
        <v>#DIV/0!</v>
      </c>
      <c r="L53" s="41" t="e">
        <f t="shared" si="19"/>
        <v>#DIV/0!</v>
      </c>
      <c r="M53" s="41" t="e">
        <f t="shared" si="19"/>
        <v>#DIV/0!</v>
      </c>
      <c r="N53" s="41" t="e">
        <f t="shared" si="19"/>
        <v>#DIV/0!</v>
      </c>
      <c r="O53" s="41" t="e">
        <f t="shared" si="19"/>
        <v>#DIV/0!</v>
      </c>
      <c r="P53" s="41" t="e">
        <f t="shared" si="19"/>
        <v>#DIV/0!</v>
      </c>
      <c r="Q53" s="41" t="str">
        <f t="shared" si="19"/>
        <v/>
      </c>
    </row>
    <row r="54" spans="1:17" ht="15.75" customHeight="1">
      <c r="A54" s="10"/>
      <c r="E54" s="246"/>
    </row>
    <row r="55" spans="1:17" ht="15.75" customHeight="1">
      <c r="A55" s="10"/>
      <c r="B55" s="63" t="s">
        <v>141</v>
      </c>
      <c r="E55" s="246"/>
      <c r="G55" s="96" t="s">
        <v>190</v>
      </c>
    </row>
    <row r="56" spans="1:17" ht="15.75" customHeight="1">
      <c r="A56" s="10"/>
      <c r="B56" s="39" t="s">
        <v>140</v>
      </c>
      <c r="C56" s="282">
        <f>BS!$C67*C64</f>
        <v>0</v>
      </c>
      <c r="E56" s="246"/>
      <c r="G56" s="282">
        <f>Data!C56</f>
        <v>0</v>
      </c>
      <c r="H56" s="282">
        <f>Data!D56</f>
        <v>0</v>
      </c>
      <c r="I56" s="282">
        <f>Data!E56</f>
        <v>0</v>
      </c>
      <c r="J56" s="282">
        <f>Data!F56</f>
        <v>0</v>
      </c>
      <c r="K56" s="282">
        <f>Data!G56</f>
        <v>0</v>
      </c>
      <c r="L56" s="282">
        <f>Data!H56</f>
        <v>0</v>
      </c>
      <c r="M56" s="282">
        <f>Data!I56</f>
        <v>0</v>
      </c>
      <c r="N56" s="282">
        <f>Data!J56</f>
        <v>0</v>
      </c>
      <c r="O56" s="282">
        <f>Data!K56</f>
        <v>0</v>
      </c>
      <c r="P56" s="282">
        <f>Data!L56</f>
        <v>0</v>
      </c>
      <c r="Q56" s="282" t="str">
        <f>Data!M56</f>
        <v/>
      </c>
    </row>
    <row r="57" spans="1:17" ht="15.75" customHeight="1">
      <c r="A57" s="10"/>
      <c r="B57" s="39" t="s">
        <v>136</v>
      </c>
      <c r="C57" s="282">
        <f>BS!$C68*C65</f>
        <v>0</v>
      </c>
      <c r="E57" s="246"/>
      <c r="G57" s="282">
        <f>Data!C55</f>
        <v>0</v>
      </c>
      <c r="H57" s="282">
        <f>Data!D55</f>
        <v>0</v>
      </c>
      <c r="I57" s="282">
        <f>Data!E55</f>
        <v>0</v>
      </c>
      <c r="J57" s="282">
        <f>Data!F55</f>
        <v>0</v>
      </c>
      <c r="K57" s="282">
        <f>Data!G55</f>
        <v>0</v>
      </c>
      <c r="L57" s="282">
        <f>Data!H55</f>
        <v>0</v>
      </c>
      <c r="M57" s="282">
        <f>Data!I55</f>
        <v>0</v>
      </c>
      <c r="N57" s="282">
        <f>Data!J55</f>
        <v>0</v>
      </c>
      <c r="O57" s="282">
        <f>Data!K55</f>
        <v>0</v>
      </c>
      <c r="P57" s="282">
        <f>Data!L55</f>
        <v>0</v>
      </c>
      <c r="Q57" s="282" t="str">
        <f>Data!M55</f>
        <v/>
      </c>
    </row>
    <row r="58" spans="1:17" ht="15.75" customHeight="1">
      <c r="A58" s="10"/>
      <c r="B58" s="39" t="s">
        <v>135</v>
      </c>
      <c r="C58" s="282">
        <f>BS!$C69*C66</f>
        <v>0</v>
      </c>
      <c r="E58" s="246"/>
      <c r="G58" s="282">
        <f>Data!C57</f>
        <v>0</v>
      </c>
      <c r="H58" s="282">
        <f>Data!D57</f>
        <v>0</v>
      </c>
      <c r="I58" s="282">
        <f>Data!E57</f>
        <v>0</v>
      </c>
      <c r="J58" s="282">
        <f>Data!F57</f>
        <v>0</v>
      </c>
      <c r="K58" s="282">
        <f>Data!G57</f>
        <v>0</v>
      </c>
      <c r="L58" s="282">
        <f>Data!H57</f>
        <v>0</v>
      </c>
      <c r="M58" s="282">
        <f>Data!I57</f>
        <v>0</v>
      </c>
      <c r="N58" s="282">
        <f>Data!J57</f>
        <v>0</v>
      </c>
      <c r="O58" s="282">
        <f>Data!K57</f>
        <v>0</v>
      </c>
      <c r="P58" s="282">
        <f>Data!L57</f>
        <v>0</v>
      </c>
      <c r="Q58" s="282" t="str">
        <f>Data!M57</f>
        <v/>
      </c>
    </row>
    <row r="59" spans="1:17" ht="15.75" customHeight="1">
      <c r="A59" s="10"/>
      <c r="B59" s="30" t="s">
        <v>165</v>
      </c>
      <c r="C59" s="283">
        <f>SUM(C56:C58)</f>
        <v>0</v>
      </c>
      <c r="E59" s="246"/>
      <c r="G59" s="283">
        <f t="shared" ref="G59:Q59" si="20">IF(G4="","",SUM(G56:G58))</f>
        <v>0</v>
      </c>
      <c r="H59" s="283">
        <f t="shared" si="20"/>
        <v>0</v>
      </c>
      <c r="I59" s="283">
        <f t="shared" si="20"/>
        <v>0</v>
      </c>
      <c r="J59" s="283">
        <f t="shared" si="20"/>
        <v>0</v>
      </c>
      <c r="K59" s="283">
        <f t="shared" si="20"/>
        <v>0</v>
      </c>
      <c r="L59" s="283">
        <f t="shared" si="20"/>
        <v>0</v>
      </c>
      <c r="M59" s="283">
        <f t="shared" si="20"/>
        <v>0</v>
      </c>
      <c r="N59" s="283">
        <f t="shared" si="20"/>
        <v>0</v>
      </c>
      <c r="O59" s="283">
        <f t="shared" si="20"/>
        <v>0</v>
      </c>
      <c r="P59" s="283">
        <f t="shared" si="20"/>
        <v>0</v>
      </c>
      <c r="Q59" s="283" t="str">
        <f t="shared" si="20"/>
        <v/>
      </c>
    </row>
    <row r="60" spans="1:17" ht="15.75" customHeight="1">
      <c r="A60" s="10"/>
      <c r="B60" s="39" t="s">
        <v>137</v>
      </c>
      <c r="C60" s="295">
        <v>0</v>
      </c>
      <c r="E60" s="244" t="s">
        <v>268</v>
      </c>
      <c r="G60" s="282">
        <f>Data!C58</f>
        <v>-73276</v>
      </c>
      <c r="H60" s="282">
        <f>Data!D58</f>
        <v>-33257</v>
      </c>
      <c r="I60" s="282">
        <f>Data!E58</f>
        <v>-12733</v>
      </c>
      <c r="J60" s="282">
        <f>Data!F58</f>
        <v>42296</v>
      </c>
      <c r="K60" s="282">
        <f>Data!G58</f>
        <v>477977</v>
      </c>
      <c r="L60" s="282">
        <f>Data!H58</f>
        <v>-134980</v>
      </c>
      <c r="M60" s="282">
        <f>Data!I58</f>
        <v>32490</v>
      </c>
      <c r="N60" s="282">
        <f>Data!J58</f>
        <v>-2045</v>
      </c>
      <c r="O60" s="282">
        <f>Data!K58</f>
        <v>-13529</v>
      </c>
      <c r="P60" s="282">
        <f>Data!L58</f>
        <v>13450</v>
      </c>
      <c r="Q60" s="282" t="str">
        <f>Data!M58</f>
        <v/>
      </c>
    </row>
    <row r="61" spans="1:17" ht="15.75" customHeight="1">
      <c r="A61" s="10"/>
      <c r="B61" s="30" t="s">
        <v>166</v>
      </c>
      <c r="C61" s="283">
        <f>C59+C60</f>
        <v>0</v>
      </c>
      <c r="E61" s="246"/>
      <c r="G61" s="283">
        <f t="shared" ref="G61:Q61" si="21">IF(G4="","",G59+G60)</f>
        <v>-73276</v>
      </c>
      <c r="H61" s="283">
        <f t="shared" si="21"/>
        <v>-33257</v>
      </c>
      <c r="I61" s="283">
        <f t="shared" si="21"/>
        <v>-12733</v>
      </c>
      <c r="J61" s="283">
        <f t="shared" si="21"/>
        <v>42296</v>
      </c>
      <c r="K61" s="283">
        <f t="shared" si="21"/>
        <v>477977</v>
      </c>
      <c r="L61" s="283">
        <f t="shared" si="21"/>
        <v>-134980</v>
      </c>
      <c r="M61" s="283">
        <f t="shared" si="21"/>
        <v>32490</v>
      </c>
      <c r="N61" s="283">
        <f t="shared" si="21"/>
        <v>-2045</v>
      </c>
      <c r="O61" s="283">
        <f t="shared" si="21"/>
        <v>-13529</v>
      </c>
      <c r="P61" s="283">
        <f t="shared" si="21"/>
        <v>13450</v>
      </c>
      <c r="Q61" s="283" t="str">
        <f t="shared" si="21"/>
        <v/>
      </c>
    </row>
    <row r="62" spans="1:17" ht="15.75" customHeight="1">
      <c r="A62" s="10"/>
      <c r="E62" s="246"/>
    </row>
    <row r="63" spans="1:17" ht="15.75" customHeight="1">
      <c r="A63" s="10"/>
      <c r="B63" s="95" t="s">
        <v>142</v>
      </c>
      <c r="E63" s="246"/>
      <c r="G63" s="96" t="s">
        <v>190</v>
      </c>
    </row>
    <row r="64" spans="1:17" ht="15.75" customHeight="1">
      <c r="A64" s="10"/>
      <c r="B64" s="39" t="s">
        <v>140</v>
      </c>
      <c r="C64" s="162">
        <f>G64</f>
        <v>0</v>
      </c>
      <c r="E64" s="246"/>
      <c r="G64" s="22">
        <f>IFERROR(G56/BS!$C$67,0)</f>
        <v>0</v>
      </c>
      <c r="H64" s="161"/>
      <c r="I64" s="161"/>
      <c r="J64" s="161"/>
      <c r="K64" s="161"/>
      <c r="L64" s="161"/>
      <c r="M64" s="161"/>
      <c r="N64" s="161"/>
      <c r="O64" s="161"/>
      <c r="P64" s="161"/>
      <c r="Q64" s="161"/>
    </row>
    <row r="65" spans="1:17" ht="15.75" customHeight="1">
      <c r="A65" s="10"/>
      <c r="B65" s="104" t="s">
        <v>134</v>
      </c>
      <c r="C65" s="162">
        <f>G65</f>
        <v>0</v>
      </c>
      <c r="E65" s="246"/>
      <c r="G65" s="22">
        <f>IFERROR(G57/BS!$C$68,0)</f>
        <v>0</v>
      </c>
      <c r="H65" s="161"/>
      <c r="I65" s="161"/>
      <c r="J65" s="161"/>
      <c r="K65" s="161"/>
      <c r="L65" s="161"/>
      <c r="M65" s="161"/>
      <c r="N65" s="161"/>
      <c r="O65" s="161"/>
      <c r="P65" s="161"/>
      <c r="Q65" s="161"/>
    </row>
    <row r="66" spans="1:17" ht="15.75" customHeight="1">
      <c r="A66" s="10"/>
      <c r="B66" s="104" t="s">
        <v>135</v>
      </c>
      <c r="C66" s="162">
        <f>G66</f>
        <v>0</v>
      </c>
      <c r="E66" s="246"/>
      <c r="G66" s="22">
        <f>IFERROR(G58/BS!$C$69,0)</f>
        <v>0</v>
      </c>
      <c r="H66" s="161"/>
      <c r="I66" s="161"/>
      <c r="J66" s="161"/>
      <c r="K66" s="161"/>
      <c r="L66" s="161"/>
      <c r="M66" s="161"/>
      <c r="N66" s="161"/>
      <c r="O66" s="161"/>
      <c r="P66" s="161"/>
      <c r="Q66" s="161"/>
    </row>
    <row r="67" spans="1:17" ht="15.75" customHeight="1">
      <c r="A67" s="10"/>
      <c r="B67" s="30" t="s">
        <v>165</v>
      </c>
      <c r="C67" s="70">
        <f>C59/BS!C70</f>
        <v>0</v>
      </c>
      <c r="D67" s="9"/>
      <c r="E67" s="251"/>
      <c r="F67" s="9"/>
      <c r="G67" s="70">
        <f>G59/BS!C70</f>
        <v>0</v>
      </c>
      <c r="H67" s="161"/>
      <c r="I67" s="161"/>
      <c r="J67" s="161"/>
      <c r="K67" s="161"/>
      <c r="L67" s="161"/>
      <c r="M67" s="161"/>
      <c r="N67" s="161"/>
      <c r="O67" s="161"/>
      <c r="P67" s="161"/>
      <c r="Q67" s="161"/>
    </row>
    <row r="68" spans="1:17" ht="15.75" customHeight="1">
      <c r="A68" s="10"/>
    </row>
    <row r="69" spans="1:17" ht="15.75" customHeight="1">
      <c r="A69" s="10"/>
      <c r="B69" s="53" t="s">
        <v>183</v>
      </c>
      <c r="C69" s="53"/>
      <c r="D69" s="55"/>
      <c r="E69" s="65" t="s">
        <v>57</v>
      </c>
      <c r="F69" s="55"/>
      <c r="G69" s="36"/>
      <c r="H69" s="36"/>
      <c r="I69" s="36"/>
      <c r="J69" s="36"/>
      <c r="K69" s="36"/>
      <c r="L69" s="36"/>
      <c r="M69" s="36"/>
      <c r="N69" s="36"/>
      <c r="O69" s="36"/>
      <c r="P69" s="36"/>
      <c r="Q69" s="36"/>
    </row>
    <row r="70" spans="1:17" ht="15.75" customHeight="1">
      <c r="A70" s="10"/>
      <c r="B70" s="71" t="s">
        <v>187</v>
      </c>
      <c r="C70" s="61"/>
      <c r="D70" s="26"/>
      <c r="E70" s="243"/>
      <c r="F70" s="26"/>
      <c r="G70" s="96"/>
      <c r="H70" s="12"/>
      <c r="I70" s="12"/>
      <c r="J70" s="12"/>
      <c r="K70" s="12"/>
      <c r="L70" s="12"/>
      <c r="M70" s="12"/>
      <c r="N70" s="12"/>
      <c r="O70" s="12"/>
      <c r="P70" s="12"/>
      <c r="Q70" s="12"/>
    </row>
    <row r="71" spans="1:17" ht="15.75" customHeight="1">
      <c r="A71" s="10"/>
      <c r="B71" s="2" t="s">
        <v>44</v>
      </c>
      <c r="C71" s="76">
        <f>ABS(C5/C$4)</f>
        <v>0.89099809462634716</v>
      </c>
      <c r="D71" s="26"/>
      <c r="E71" s="243"/>
      <c r="F71" s="26"/>
      <c r="G71" s="6">
        <f t="shared" ref="G71:Q71" si="22">IF(G$4="","",ABS(G5/G$4))</f>
        <v>0.89581909726262465</v>
      </c>
      <c r="H71" s="6">
        <f t="shared" si="22"/>
        <v>0.88617709199006978</v>
      </c>
      <c r="I71" s="6">
        <f t="shared" si="22"/>
        <v>0.9124320604423406</v>
      </c>
      <c r="J71" s="6">
        <f t="shared" si="22"/>
        <v>0.92705566423612551</v>
      </c>
      <c r="K71" s="6">
        <f t="shared" si="22"/>
        <v>0.94412068055204934</v>
      </c>
      <c r="L71" s="6">
        <f t="shared" si="22"/>
        <v>0.90824524679279939</v>
      </c>
      <c r="M71" s="6">
        <f t="shared" si="22"/>
        <v>0.86611329588599228</v>
      </c>
      <c r="N71" s="6">
        <f t="shared" si="22"/>
        <v>0.87634286687980478</v>
      </c>
      <c r="O71" s="6">
        <f t="shared" si="22"/>
        <v>0.86614503736544779</v>
      </c>
      <c r="P71" s="6">
        <f t="shared" si="22"/>
        <v>0.86194691388174405</v>
      </c>
      <c r="Q71" s="6" t="str">
        <f t="shared" si="22"/>
        <v/>
      </c>
    </row>
    <row r="72" spans="1:17" ht="15.75" customHeight="1">
      <c r="A72" s="10"/>
      <c r="B72" s="30" t="s">
        <v>46</v>
      </c>
      <c r="C72" s="77">
        <f>ABS(C6/C$4)</f>
        <v>0.10900190537365288</v>
      </c>
      <c r="D72" s="26"/>
      <c r="E72" s="243"/>
      <c r="F72" s="26"/>
      <c r="G72" s="64">
        <f t="shared" ref="G72:Q72" si="23">IF(G$4="","",ABS(G6/G$4))</f>
        <v>0.10418090273737537</v>
      </c>
      <c r="H72" s="64">
        <f t="shared" si="23"/>
        <v>0.11382290800993022</v>
      </c>
      <c r="I72" s="64">
        <f t="shared" si="23"/>
        <v>8.7567939557659458E-2</v>
      </c>
      <c r="J72" s="64">
        <f t="shared" si="23"/>
        <v>7.2944335763874504E-2</v>
      </c>
      <c r="K72" s="64">
        <f t="shared" si="23"/>
        <v>5.5879319447950666E-2</v>
      </c>
      <c r="L72" s="64">
        <f t="shared" si="23"/>
        <v>9.1754753207200668E-2</v>
      </c>
      <c r="M72" s="64">
        <f t="shared" si="23"/>
        <v>0.13388670411400769</v>
      </c>
      <c r="N72" s="64">
        <f t="shared" si="23"/>
        <v>0.12365713312019522</v>
      </c>
      <c r="O72" s="64">
        <f t="shared" si="23"/>
        <v>0.13385496263455221</v>
      </c>
      <c r="P72" s="64">
        <f t="shared" si="23"/>
        <v>0.13805308611825601</v>
      </c>
      <c r="Q72" s="64" t="str">
        <f t="shared" si="23"/>
        <v/>
      </c>
    </row>
    <row r="73" spans="1:17" ht="15.75" customHeight="1">
      <c r="A73" s="10"/>
      <c r="B73" s="8" t="s">
        <v>43</v>
      </c>
      <c r="C73" s="76">
        <f>ABS(C7/C$4)</f>
        <v>6.0317700693294389E-2</v>
      </c>
      <c r="D73" s="26"/>
      <c r="E73" s="243"/>
      <c r="F73" s="26"/>
      <c r="G73" s="6">
        <f t="shared" ref="G73:Q73" si="24">IF(G$4="","",ABS(G7/G$4))</f>
        <v>5.7711800345388718E-2</v>
      </c>
      <c r="H73" s="6">
        <f t="shared" si="24"/>
        <v>5.7897480615717818E-2</v>
      </c>
      <c r="I73" s="6">
        <f t="shared" si="24"/>
        <v>6.0577808396863227E-2</v>
      </c>
      <c r="J73" s="6">
        <f t="shared" si="24"/>
        <v>6.1107749848743197E-2</v>
      </c>
      <c r="K73" s="6">
        <f t="shared" si="24"/>
        <v>6.8901017313164309E-2</v>
      </c>
      <c r="L73" s="6">
        <f t="shared" si="24"/>
        <v>6.0455624237655277E-2</v>
      </c>
      <c r="M73" s="6">
        <f t="shared" si="24"/>
        <v>5.2718880163524738E-2</v>
      </c>
      <c r="N73" s="6">
        <f t="shared" si="24"/>
        <v>5.444372575690317E-2</v>
      </c>
      <c r="O73" s="6">
        <f t="shared" si="24"/>
        <v>5.4540178653982606E-2</v>
      </c>
      <c r="P73" s="6">
        <f t="shared" si="24"/>
        <v>5.6829522664729883E-2</v>
      </c>
      <c r="Q73" s="6" t="str">
        <f t="shared" si="24"/>
        <v/>
      </c>
    </row>
    <row r="74" spans="1:17" ht="15.75" customHeight="1">
      <c r="A74" s="10"/>
      <c r="B74" s="28" t="s">
        <v>129</v>
      </c>
      <c r="C74" s="77">
        <f>ABS(C8/C$4)</f>
        <v>4.8684204680358494E-2</v>
      </c>
      <c r="D74" s="26"/>
      <c r="E74" s="243"/>
      <c r="F74" s="26"/>
      <c r="G74" s="64">
        <f t="shared" ref="G74:Q74" si="25">IF(G$4="","",ABS(G8/G$4))</f>
        <v>4.6469102391986664E-2</v>
      </c>
      <c r="H74" s="64">
        <f t="shared" si="25"/>
        <v>5.5925427394212406E-2</v>
      </c>
      <c r="I74" s="64">
        <f t="shared" si="25"/>
        <v>2.6990131160796228E-2</v>
      </c>
      <c r="J74" s="64">
        <f t="shared" si="25"/>
        <v>1.1836585915131315E-2</v>
      </c>
      <c r="K74" s="64">
        <f t="shared" si="25"/>
        <v>1.3021697865213639E-2</v>
      </c>
      <c r="L74" s="64">
        <f t="shared" si="25"/>
        <v>3.1299128969545391E-2</v>
      </c>
      <c r="M74" s="64">
        <f t="shared" si="25"/>
        <v>8.1167823950482956E-2</v>
      </c>
      <c r="N74" s="64">
        <f t="shared" si="25"/>
        <v>6.921340736329204E-2</v>
      </c>
      <c r="O74" s="64">
        <f t="shared" si="25"/>
        <v>7.9314783980569611E-2</v>
      </c>
      <c r="P74" s="64">
        <f t="shared" si="25"/>
        <v>8.1223563453526118E-2</v>
      </c>
      <c r="Q74" s="64" t="str">
        <f t="shared" si="25"/>
        <v/>
      </c>
    </row>
    <row r="75" spans="1:17" ht="15.75" customHeight="1">
      <c r="A75" s="10"/>
      <c r="B75" s="2" t="s">
        <v>63</v>
      </c>
      <c r="C75" s="76">
        <f>ABS(C9/C$4)</f>
        <v>4.6165711414505782E-2</v>
      </c>
      <c r="D75" s="26"/>
      <c r="E75" s="243"/>
      <c r="F75" s="26"/>
      <c r="G75" s="6">
        <f t="shared" ref="G75:Q75" si="26">IF(G$4="","",G9/G$4)</f>
        <v>4.4171218221734795E-2</v>
      </c>
      <c r="H75" s="6">
        <f t="shared" si="26"/>
        <v>4.5353772426208791E-2</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 t="s">
        <v>78</v>
      </c>
      <c r="C76" s="87">
        <f>MAX(AVERAGE(G76:J76),C75)</f>
        <v>4.6165711414505782E-2</v>
      </c>
      <c r="D76" s="26"/>
      <c r="E76" s="244" t="s">
        <v>285</v>
      </c>
      <c r="F76" s="26"/>
      <c r="G76" s="6">
        <f t="shared" ref="G76:Q76" si="27">IF(G$4="","",-G10/G$4)</f>
        <v>3.5604308290647979E-2</v>
      </c>
      <c r="H76" s="6">
        <f t="shared" si="27"/>
        <v>3.639876388850697E-2</v>
      </c>
      <c r="I76" s="6">
        <f t="shared" si="27"/>
        <v>0</v>
      </c>
      <c r="J76" s="6">
        <f t="shared" si="27"/>
        <v>0</v>
      </c>
      <c r="K76" s="6">
        <f t="shared" si="27"/>
        <v>0</v>
      </c>
      <c r="L76" s="6">
        <f t="shared" si="27"/>
        <v>0</v>
      </c>
      <c r="M76" s="6">
        <f t="shared" si="27"/>
        <v>0</v>
      </c>
      <c r="N76" s="6">
        <f t="shared" si="27"/>
        <v>0</v>
      </c>
      <c r="O76" s="6">
        <f t="shared" si="27"/>
        <v>0</v>
      </c>
      <c r="P76" s="6">
        <f t="shared" si="27"/>
        <v>0</v>
      </c>
      <c r="Q76" s="6" t="str">
        <f t="shared" si="27"/>
        <v/>
      </c>
    </row>
    <row r="77" spans="1:17" ht="15.75" customHeight="1">
      <c r="A77" s="10"/>
      <c r="B77" s="30" t="s">
        <v>130</v>
      </c>
      <c r="C77" s="77">
        <f>ABS(C11/C$4)</f>
        <v>0</v>
      </c>
      <c r="D77" s="26"/>
      <c r="E77" s="243"/>
      <c r="F77" s="26"/>
      <c r="G77" s="64">
        <f t="shared" ref="G77:Q77" si="28">IF(G$4="","",G11/G$4)</f>
        <v>0</v>
      </c>
      <c r="H77" s="64">
        <f t="shared" si="28"/>
        <v>0</v>
      </c>
      <c r="I77" s="64">
        <f t="shared" si="28"/>
        <v>0</v>
      </c>
      <c r="J77" s="64">
        <f t="shared" si="28"/>
        <v>0</v>
      </c>
      <c r="K77" s="64">
        <f t="shared" si="28"/>
        <v>0</v>
      </c>
      <c r="L77" s="64">
        <f t="shared" si="28"/>
        <v>0</v>
      </c>
      <c r="M77" s="64">
        <f t="shared" si="28"/>
        <v>0</v>
      </c>
      <c r="N77" s="64">
        <f t="shared" si="28"/>
        <v>0</v>
      </c>
      <c r="O77" s="64">
        <f t="shared" si="28"/>
        <v>0</v>
      </c>
      <c r="P77" s="64">
        <f t="shared" si="28"/>
        <v>0</v>
      </c>
      <c r="Q77" s="64" t="str">
        <f t="shared" si="28"/>
        <v/>
      </c>
    </row>
    <row r="78" spans="1:17" ht="15.75" customHeight="1">
      <c r="A78" s="10"/>
      <c r="B78" s="2" t="s">
        <v>66</v>
      </c>
      <c r="C78" s="76">
        <f>ABS(C12/C$4)</f>
        <v>9.5972835465845709E-3</v>
      </c>
      <c r="D78" s="26"/>
      <c r="E78" s="243"/>
      <c r="F78" s="26"/>
      <c r="G78" s="6">
        <f t="shared" ref="G78:Q78" si="29">IF(G$4="","",ABS(G12/G$4))</f>
        <v>8.6927630990723849E-3</v>
      </c>
      <c r="H78" s="6">
        <f t="shared" si="29"/>
        <v>9.1832304608240791E-3</v>
      </c>
      <c r="I78" s="6">
        <f t="shared" si="29"/>
        <v>9.2014660795733134E-3</v>
      </c>
      <c r="J78" s="6">
        <f t="shared" si="29"/>
        <v>1.1077620766099928E-2</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69" t="s">
        <v>139</v>
      </c>
      <c r="C79" s="77">
        <f>C13/C4</f>
        <v>3.9086921133773919E-2</v>
      </c>
      <c r="D79" s="26"/>
      <c r="E79" s="243"/>
      <c r="F79" s="26"/>
      <c r="G79" s="64">
        <f t="shared" ref="G79:Q79" si="30">IF(G$4="","",G13/G$4)</f>
        <v>4.6343249224001092E-2</v>
      </c>
      <c r="H79" s="64">
        <f t="shared" si="30"/>
        <v>5.5697205471090153E-2</v>
      </c>
      <c r="I79" s="64">
        <f t="shared" si="30"/>
        <v>1.7788665081222912E-2</v>
      </c>
      <c r="J79" s="64">
        <f t="shared" si="30"/>
        <v>7.5896514903138587E-4</v>
      </c>
      <c r="K79" s="64">
        <f t="shared" si="30"/>
        <v>-1.3021697865213639E-2</v>
      </c>
      <c r="L79" s="64">
        <f t="shared" si="30"/>
        <v>3.1299128969545391E-2</v>
      </c>
      <c r="M79" s="64">
        <f t="shared" si="30"/>
        <v>8.1167823950482956E-2</v>
      </c>
      <c r="N79" s="64">
        <f t="shared" si="30"/>
        <v>6.921340736329204E-2</v>
      </c>
      <c r="O79" s="64">
        <f t="shared" si="30"/>
        <v>7.9314783980569611E-2</v>
      </c>
      <c r="P79" s="64">
        <f t="shared" si="30"/>
        <v>8.1223563453526118E-2</v>
      </c>
      <c r="Q79" s="64" t="str">
        <f t="shared" si="30"/>
        <v/>
      </c>
    </row>
    <row r="80" spans="1:17" ht="15.75" customHeight="1">
      <c r="A80" s="10"/>
      <c r="B80" s="2" t="s">
        <v>61</v>
      </c>
      <c r="C80" s="76">
        <f>ABS(C14/C$4)</f>
        <v>6.4493419870726969E-3</v>
      </c>
      <c r="D80" s="26"/>
      <c r="E80" s="243"/>
      <c r="F80" s="26"/>
      <c r="G80" s="6">
        <f t="shared" ref="G80:Q80" si="31">IF(G$4="","",ABS(G14/G$4))</f>
        <v>3.7711023063222333E-3</v>
      </c>
      <c r="H80" s="6">
        <f t="shared" si="31"/>
        <v>6.4791267831175213E-3</v>
      </c>
      <c r="I80" s="6">
        <f t="shared" si="31"/>
        <v>4.1112685822759691E-3</v>
      </c>
      <c r="J80" s="6">
        <f t="shared" si="31"/>
        <v>3.7208575112272304E-3</v>
      </c>
      <c r="K80" s="6">
        <f t="shared" si="31"/>
        <v>4.4675097981831191E-3</v>
      </c>
      <c r="L80" s="6">
        <f t="shared" si="31"/>
        <v>5.0070971130955705E-3</v>
      </c>
      <c r="M80" s="6">
        <f t="shared" si="31"/>
        <v>1.5282762901254939E-2</v>
      </c>
      <c r="N80" s="6">
        <f t="shared" si="31"/>
        <v>1.4470538300132698E-2</v>
      </c>
      <c r="O80" s="6">
        <f t="shared" si="31"/>
        <v>1.3784469723740643E-2</v>
      </c>
      <c r="P80" s="6">
        <f t="shared" si="31"/>
        <v>1.4565935825993739E-2</v>
      </c>
      <c r="Q80" s="6" t="str">
        <f t="shared" si="31"/>
        <v/>
      </c>
    </row>
    <row r="81" spans="1:17" ht="15.75" customHeight="1">
      <c r="A81" s="10"/>
      <c r="B81" s="39" t="str">
        <f>B15</f>
        <v>NCI’s Share of Profits</v>
      </c>
      <c r="C81" s="242">
        <f>MIN(BS!C62,MAX(G81:K81))</f>
        <v>3.176685498586024E-4</v>
      </c>
      <c r="D81" s="26"/>
      <c r="E81" s="243"/>
      <c r="F81" s="26"/>
      <c r="G81" s="6">
        <f t="shared" ref="G81:Q81" si="32">IF(G$4="","",-G15/G$4)</f>
        <v>2.7625028345706632E-4</v>
      </c>
      <c r="H81" s="6">
        <f t="shared" si="32"/>
        <v>3.176685498586024E-4</v>
      </c>
      <c r="I81" s="6">
        <f t="shared" si="32"/>
        <v>1.0393761549662489E-4</v>
      </c>
      <c r="J81" s="6">
        <f t="shared" si="32"/>
        <v>2.1787905395210096E-4</v>
      </c>
      <c r="K81" s="6">
        <f t="shared" si="32"/>
        <v>2.1149032915788871E-4</v>
      </c>
      <c r="L81" s="6">
        <f t="shared" si="32"/>
        <v>9.4435619709266379E-5</v>
      </c>
      <c r="M81" s="6">
        <f t="shared" si="32"/>
        <v>2.1486050608420201E-4</v>
      </c>
      <c r="N81" s="6">
        <f t="shared" si="32"/>
        <v>1.4713911136757617E-4</v>
      </c>
      <c r="O81" s="6">
        <f t="shared" si="32"/>
        <v>2.9131395512903816E-6</v>
      </c>
      <c r="P81" s="6">
        <f t="shared" si="32"/>
        <v>0</v>
      </c>
      <c r="Q81" s="6" t="str">
        <f t="shared" si="32"/>
        <v/>
      </c>
    </row>
    <row r="82" spans="1:17" ht="15.75" customHeight="1">
      <c r="A82" s="10"/>
      <c r="B82" s="40" t="s">
        <v>131</v>
      </c>
      <c r="C82" s="77">
        <f>ABS(C16/C$4)</f>
        <v>3.2319910596842617E-2</v>
      </c>
      <c r="D82" s="26"/>
      <c r="E82" s="243"/>
      <c r="F82" s="26"/>
      <c r="G82" s="64">
        <f t="shared" ref="G82:Q82" si="33">IF(G$4="","",ABS(G16/G$4))</f>
        <v>4.2295896634221793E-2</v>
      </c>
      <c r="H82" s="64">
        <f t="shared" si="33"/>
        <v>4.8900410138114025E-2</v>
      </c>
      <c r="I82" s="64">
        <f t="shared" si="33"/>
        <v>1.3573458883450318E-2</v>
      </c>
      <c r="J82" s="64">
        <f t="shared" si="33"/>
        <v>3.1797714161479456E-3</v>
      </c>
      <c r="K82" s="64">
        <f t="shared" si="33"/>
        <v>1.7700697992554647E-2</v>
      </c>
      <c r="L82" s="64">
        <f t="shared" si="33"/>
        <v>2.6197596236740554E-2</v>
      </c>
      <c r="M82" s="64">
        <f t="shared" si="33"/>
        <v>6.567020054314382E-2</v>
      </c>
      <c r="N82" s="64">
        <f t="shared" si="33"/>
        <v>5.4595729951791766E-2</v>
      </c>
      <c r="O82" s="64">
        <f t="shared" si="33"/>
        <v>6.5527401117277673E-2</v>
      </c>
      <c r="P82" s="64">
        <f t="shared" si="33"/>
        <v>6.6657627627532384E-2</v>
      </c>
      <c r="Q82" s="64" t="str">
        <f t="shared" si="33"/>
        <v/>
      </c>
    </row>
    <row r="83" spans="1:17" ht="15.75" customHeight="1">
      <c r="A83" s="10"/>
      <c r="B83" s="26" t="s">
        <v>50</v>
      </c>
      <c r="C83" s="242">
        <v>0</v>
      </c>
      <c r="D83" s="26"/>
      <c r="E83" s="245" t="str">
        <f>E17</f>
        <v>WCInv is by default excluded</v>
      </c>
      <c r="F83" s="26"/>
      <c r="G83" s="209"/>
      <c r="H83" s="209"/>
      <c r="I83" s="209"/>
      <c r="J83" s="209"/>
      <c r="K83" s="209"/>
      <c r="L83" s="209"/>
      <c r="M83" s="209"/>
      <c r="N83" s="209"/>
      <c r="O83" s="209"/>
      <c r="P83" s="209"/>
      <c r="Q83" s="209"/>
    </row>
    <row r="84" spans="1:17" ht="15.75" customHeight="1">
      <c r="A84" s="10"/>
      <c r="B84" s="8" t="s">
        <v>95</v>
      </c>
      <c r="C84" s="76">
        <v>0</v>
      </c>
      <c r="E84" s="245" t="str">
        <f>E18</f>
        <v>Net borrowing is excluded</v>
      </c>
      <c r="G84" s="155"/>
      <c r="H84" s="155"/>
      <c r="I84" s="155"/>
      <c r="J84" s="155"/>
      <c r="K84" s="155"/>
      <c r="L84" s="155"/>
      <c r="M84" s="155"/>
      <c r="N84" s="155"/>
      <c r="O84" s="155"/>
      <c r="P84" s="155"/>
      <c r="Q84" s="155"/>
    </row>
    <row r="85" spans="1:17" ht="15.75" customHeight="1">
      <c r="A85" s="10"/>
      <c r="B85" s="30" t="s">
        <v>119</v>
      </c>
      <c r="C85" s="77">
        <f>ABS(C19/C$4)</f>
        <v>3.2319910596842617E-2</v>
      </c>
      <c r="D85" s="74"/>
      <c r="E85" s="243"/>
      <c r="F85" s="74"/>
      <c r="G85" s="64">
        <f t="shared" ref="G85:Q85" si="34">IF(G$4="","",ABS(G19/G$4))</f>
        <v>4.2295896634221793E-2</v>
      </c>
      <c r="H85" s="64">
        <f t="shared" si="34"/>
        <v>4.8900410138114025E-2</v>
      </c>
      <c r="I85" s="64">
        <f t="shared" si="34"/>
        <v>1.3573458883450318E-2</v>
      </c>
      <c r="J85" s="64">
        <f t="shared" si="34"/>
        <v>3.1797714161479456E-3</v>
      </c>
      <c r="K85" s="64">
        <f t="shared" si="34"/>
        <v>1.7700697992554647E-2</v>
      </c>
      <c r="L85" s="64">
        <f t="shared" si="34"/>
        <v>2.6197596236740554E-2</v>
      </c>
      <c r="M85" s="64">
        <f t="shared" si="34"/>
        <v>6.567020054314382E-2</v>
      </c>
      <c r="N85" s="64">
        <f t="shared" si="34"/>
        <v>5.4595729951791766E-2</v>
      </c>
      <c r="O85" s="64">
        <f t="shared" si="34"/>
        <v>6.5527401117277673E-2</v>
      </c>
      <c r="P85" s="64">
        <f t="shared" si="34"/>
        <v>6.6657627627532384E-2</v>
      </c>
      <c r="Q85" s="64" t="str">
        <f t="shared" si="34"/>
        <v/>
      </c>
    </row>
    <row r="86" spans="1:17" ht="15.75" customHeight="1">
      <c r="A86" s="10"/>
      <c r="E86" s="246"/>
    </row>
    <row r="87" spans="1:17" ht="15.75" customHeight="1">
      <c r="A87" s="10"/>
      <c r="B87" s="63" t="s">
        <v>185</v>
      </c>
      <c r="E87" s="246"/>
    </row>
    <row r="88" spans="1:17" ht="15.75" customHeight="1">
      <c r="A88" s="10"/>
      <c r="B88" s="2" t="str">
        <f>"Dividend per share ("&amp;Market_currency&amp;")"</f>
        <v>Dividend per share (HKD)</v>
      </c>
      <c r="C88" s="112">
        <f>G88</f>
        <v>0.4</v>
      </c>
      <c r="E88" s="246"/>
      <c r="G88" s="111">
        <f>Data!C65</f>
        <v>0.4</v>
      </c>
      <c r="H88" s="111">
        <f>Data!D65</f>
        <v>0.56999999999999995</v>
      </c>
      <c r="I88" s="111">
        <f>Data!E65</f>
        <v>0.38</v>
      </c>
      <c r="J88" s="111">
        <f>Data!F65</f>
        <v>0.38</v>
      </c>
      <c r="K88" s="111">
        <f>Data!G65</f>
        <v>0</v>
      </c>
      <c r="L88" s="111">
        <f>Data!H65</f>
        <v>0</v>
      </c>
      <c r="M88" s="111">
        <f>Data!I65</f>
        <v>0</v>
      </c>
      <c r="N88" s="111">
        <f>Data!J65</f>
        <v>0</v>
      </c>
      <c r="O88" s="111">
        <f>Data!K65</f>
        <v>0</v>
      </c>
      <c r="P88" s="111">
        <f>Data!L65</f>
        <v>0</v>
      </c>
      <c r="Q88" s="111" t="str">
        <f>Data!M65</f>
        <v/>
      </c>
    </row>
    <row r="89" spans="1:17" ht="15.75" customHeight="1">
      <c r="A89" s="10"/>
      <c r="B89" s="2" t="str">
        <f>"Dividend ("&amp;Market_currency&amp;")"</f>
        <v>Dividend (HKD)</v>
      </c>
      <c r="C89" s="73">
        <f>C88*Common_Shares/scaling_factor</f>
        <v>232001.61320000002</v>
      </c>
      <c r="E89" s="246"/>
      <c r="G89" s="73">
        <f t="shared" ref="G89:Q89" si="35">IF(G$4="","",G88*Common_Shares/scaling_factor)</f>
        <v>232001.61320000002</v>
      </c>
      <c r="H89" s="73">
        <f t="shared" si="35"/>
        <v>330602.29880999995</v>
      </c>
      <c r="I89" s="73">
        <f t="shared" si="35"/>
        <v>220401.53253999999</v>
      </c>
      <c r="J89" s="73">
        <f t="shared" si="35"/>
        <v>220401.53253999999</v>
      </c>
      <c r="K89" s="73">
        <f t="shared" si="35"/>
        <v>0</v>
      </c>
      <c r="L89" s="73">
        <f t="shared" si="35"/>
        <v>0</v>
      </c>
      <c r="M89" s="73">
        <f t="shared" si="35"/>
        <v>0</v>
      </c>
      <c r="N89" s="73">
        <f t="shared" si="35"/>
        <v>0</v>
      </c>
      <c r="O89" s="73">
        <f t="shared" si="35"/>
        <v>0</v>
      </c>
      <c r="P89" s="73">
        <f t="shared" si="35"/>
        <v>0</v>
      </c>
      <c r="Q89" s="73" t="str">
        <f t="shared" si="35"/>
        <v/>
      </c>
    </row>
    <row r="90" spans="1:17" ht="15.75" customHeight="1">
      <c r="A90" s="10"/>
      <c r="B90" s="2" t="s">
        <v>184</v>
      </c>
      <c r="C90" s="22">
        <f>C88/(C19*scaling_factor/Common_Shares)</f>
        <v>0.87559945730779254</v>
      </c>
      <c r="E90" s="246"/>
      <c r="G90" s="156">
        <f t="shared" ref="G90:Q90" si="36">IF(G$4="","",G88/(G19*scaling_factor/Common_Shares))</f>
        <v>0.64017283745331399</v>
      </c>
      <c r="H90" s="156">
        <f t="shared" si="36"/>
        <v>0.77785953787744866</v>
      </c>
      <c r="I90" s="156">
        <f t="shared" si="36"/>
        <v>2.0236284515684848</v>
      </c>
      <c r="J90" s="156">
        <f t="shared" si="36"/>
        <v>-9.2310454764934455</v>
      </c>
      <c r="K90" s="156">
        <f t="shared" si="36"/>
        <v>0</v>
      </c>
      <c r="L90" s="156">
        <f t="shared" si="36"/>
        <v>0</v>
      </c>
      <c r="M90" s="156">
        <f t="shared" si="36"/>
        <v>0</v>
      </c>
      <c r="N90" s="156">
        <f t="shared" si="36"/>
        <v>0</v>
      </c>
      <c r="O90" s="156">
        <f t="shared" si="36"/>
        <v>0</v>
      </c>
      <c r="P90" s="156">
        <f t="shared" si="36"/>
        <v>0</v>
      </c>
      <c r="Q90" s="156" t="str">
        <f t="shared" si="36"/>
        <v/>
      </c>
    </row>
    <row r="91" spans="1:17" ht="15.75" customHeight="1">
      <c r="A91" s="10"/>
      <c r="B91" s="2" t="s">
        <v>339</v>
      </c>
      <c r="C91" s="308">
        <v>0</v>
      </c>
      <c r="E91" s="246"/>
      <c r="G91" s="309"/>
      <c r="H91" s="309"/>
      <c r="I91" s="309"/>
      <c r="J91" s="309"/>
      <c r="K91" s="309"/>
      <c r="L91" s="309"/>
      <c r="M91" s="309"/>
      <c r="N91" s="309"/>
      <c r="O91" s="309"/>
      <c r="P91" s="309"/>
      <c r="Q91" s="309"/>
    </row>
    <row r="92" spans="1:17" ht="15.75" customHeight="1">
      <c r="A92" s="10"/>
      <c r="B92" s="2" t="s">
        <v>338</v>
      </c>
      <c r="C92" s="22">
        <f>(C88*(1-dividend_tax_rate))/Market_Price</f>
        <v>6.1919504643962855E-2</v>
      </c>
      <c r="E92" s="246"/>
      <c r="G92" s="22">
        <f t="shared" ref="G92:Q92" si="37">IF(G$4="","",(G88*(1-dividend_tax_rate))/Market_Price)</f>
        <v>6.1919504643962855E-2</v>
      </c>
      <c r="H92" s="22">
        <f t="shared" si="37"/>
        <v>8.8235294117647051E-2</v>
      </c>
      <c r="I92" s="22">
        <f t="shared" si="37"/>
        <v>5.8823529411764705E-2</v>
      </c>
      <c r="J92" s="22">
        <f t="shared" si="37"/>
        <v>5.8823529411764705E-2</v>
      </c>
      <c r="K92" s="22">
        <f t="shared" si="37"/>
        <v>0</v>
      </c>
      <c r="L92" s="22">
        <f t="shared" si="37"/>
        <v>0</v>
      </c>
      <c r="M92" s="22">
        <f t="shared" si="37"/>
        <v>0</v>
      </c>
      <c r="N92" s="22">
        <f t="shared" si="37"/>
        <v>0</v>
      </c>
      <c r="O92" s="22">
        <f t="shared" si="37"/>
        <v>0</v>
      </c>
      <c r="P92" s="22">
        <f t="shared" si="37"/>
        <v>0</v>
      </c>
      <c r="Q92" s="22" t="str">
        <f t="shared" si="37"/>
        <v/>
      </c>
    </row>
    <row r="93" spans="1:17" ht="15.75" customHeight="1">
      <c r="A93" s="10"/>
      <c r="E93" s="246"/>
    </row>
    <row r="94" spans="1:17" ht="15.75" customHeight="1">
      <c r="A94" s="10"/>
      <c r="B94" s="147" t="s">
        <v>82</v>
      </c>
      <c r="C94" s="61"/>
      <c r="D94" s="26"/>
      <c r="E94" s="243"/>
      <c r="F94" s="26"/>
      <c r="G94" s="12"/>
      <c r="H94" s="12"/>
      <c r="I94" s="12"/>
      <c r="J94" s="12"/>
      <c r="K94" s="12"/>
      <c r="L94" s="12"/>
      <c r="M94" s="12"/>
      <c r="N94" s="12"/>
      <c r="O94" s="12"/>
      <c r="P94" s="12"/>
      <c r="Q94" s="12"/>
    </row>
    <row r="95" spans="1:17" ht="15.75" customHeight="1">
      <c r="A95" s="10"/>
      <c r="B95" s="26" t="s">
        <v>123</v>
      </c>
      <c r="C95" s="76">
        <f>C4/G4-1</f>
        <v>-4.3202912543968686E-2</v>
      </c>
      <c r="D95" s="26"/>
      <c r="E95" s="243"/>
      <c r="F95" s="26"/>
      <c r="G95" s="6">
        <f t="shared" ref="G95:Q95" si="38">IF(H4="","",G4/H4-1)</f>
        <v>-1.4167027845414459E-2</v>
      </c>
      <c r="H95" s="6">
        <f t="shared" si="38"/>
        <v>8.3175640612140223E-2</v>
      </c>
      <c r="I95" s="6">
        <f t="shared" si="38"/>
        <v>6.862537627752574E-2</v>
      </c>
      <c r="J95" s="6">
        <f t="shared" si="38"/>
        <v>0.11833003065865078</v>
      </c>
      <c r="K95" s="6">
        <f t="shared" si="38"/>
        <v>-0.15682868110233994</v>
      </c>
      <c r="L95" s="6">
        <f t="shared" si="38"/>
        <v>-6.2490382784881726E-2</v>
      </c>
      <c r="M95" s="6">
        <f t="shared" si="38"/>
        <v>7.8890295807758637E-3</v>
      </c>
      <c r="N95" s="6">
        <f t="shared" si="38"/>
        <v>6.7399536582826602E-2</v>
      </c>
      <c r="O95" s="6">
        <f t="shared" si="38"/>
        <v>4.335646481593658E-2</v>
      </c>
      <c r="P95" s="6" t="str">
        <f t="shared" si="38"/>
        <v/>
      </c>
      <c r="Q95" s="6" t="str">
        <f t="shared" si="38"/>
        <v/>
      </c>
    </row>
    <row r="96" spans="1:17" ht="15.75" customHeight="1">
      <c r="A96" s="10"/>
      <c r="B96" s="69" t="s">
        <v>139</v>
      </c>
      <c r="C96" s="76">
        <f>C13/G13-1</f>
        <v>-0.19301617981826813</v>
      </c>
      <c r="D96" s="26"/>
      <c r="E96" s="243"/>
      <c r="F96" s="26"/>
      <c r="G96" s="6">
        <f t="shared" ref="G96:Q96" si="39">IF(H5="","",G13/H13-1)</f>
        <v>-0.17973078298315082</v>
      </c>
      <c r="H96" s="6">
        <f t="shared" si="39"/>
        <v>2.3914774347028516</v>
      </c>
      <c r="I96" s="6">
        <f t="shared" si="39"/>
        <v>24.04649777418253</v>
      </c>
      <c r="J96" s="6">
        <f t="shared" si="39"/>
        <v>-1.0651814784193805</v>
      </c>
      <c r="K96" s="6">
        <f t="shared" si="39"/>
        <v>-1.3507932177276338</v>
      </c>
      <c r="L96" s="6">
        <f t="shared" si="39"/>
        <v>-0.63848686596173643</v>
      </c>
      <c r="M96" s="6">
        <f t="shared" si="39"/>
        <v>0.18196982970705777</v>
      </c>
      <c r="N96" s="6">
        <f t="shared" si="39"/>
        <v>-6.8542392260755536E-2</v>
      </c>
      <c r="O96" s="6">
        <f t="shared" si="39"/>
        <v>1.8837257355202253E-2</v>
      </c>
      <c r="P96" s="6" t="str">
        <f t="shared" si="39"/>
        <v/>
      </c>
      <c r="Q96" s="6" t="str">
        <f t="shared" si="39"/>
        <v/>
      </c>
    </row>
    <row r="97" spans="1:17" ht="15.75" customHeight="1">
      <c r="A97" s="10"/>
    </row>
    <row r="98" spans="1:17" ht="15.75" customHeight="1">
      <c r="A98" s="3"/>
      <c r="B98" s="53" t="s">
        <v>186</v>
      </c>
      <c r="C98" s="53"/>
      <c r="D98" s="55"/>
      <c r="E98" s="65" t="s">
        <v>57</v>
      </c>
      <c r="F98" s="55"/>
      <c r="G98" s="36"/>
      <c r="H98" s="36"/>
      <c r="I98" s="36"/>
      <c r="J98" s="36"/>
      <c r="K98" s="36"/>
      <c r="L98" s="36"/>
      <c r="M98" s="36"/>
      <c r="N98" s="36"/>
      <c r="O98" s="36"/>
      <c r="P98" s="36"/>
      <c r="Q98" s="36"/>
    </row>
    <row r="99" spans="1:17" ht="15.75" customHeight="1">
      <c r="A99" s="10"/>
      <c r="B99" s="63" t="s">
        <v>26</v>
      </c>
      <c r="E99" s="246"/>
      <c r="G99" s="96" t="s">
        <v>190</v>
      </c>
    </row>
    <row r="100" spans="1:17" ht="15.75" customHeight="1">
      <c r="A100" s="10"/>
      <c r="B100" s="25" t="s">
        <v>1</v>
      </c>
      <c r="C100" s="296">
        <f>BS!G32</f>
        <v>5980230</v>
      </c>
      <c r="D100" s="25"/>
      <c r="E100" s="247"/>
      <c r="F100" s="25"/>
      <c r="G100" s="286">
        <f t="shared" ref="G100:Q100" si="40">IF(G$4="","",G104+G103)</f>
        <v>5980230</v>
      </c>
      <c r="H100" s="286">
        <f t="shared" si="40"/>
        <v>6513924</v>
      </c>
      <c r="I100" s="286">
        <f t="shared" si="40"/>
        <v>7175340</v>
      </c>
      <c r="J100" s="286">
        <f t="shared" si="40"/>
        <v>6871846</v>
      </c>
      <c r="K100" s="286">
        <f t="shared" si="40"/>
        <v>7154673</v>
      </c>
      <c r="L100" s="286">
        <f t="shared" si="40"/>
        <v>6220758</v>
      </c>
      <c r="M100" s="286">
        <f t="shared" si="40"/>
        <v>4494090</v>
      </c>
      <c r="N100" s="286">
        <f t="shared" si="40"/>
        <v>4616329</v>
      </c>
      <c r="O100" s="286">
        <f t="shared" si="40"/>
        <v>4436810</v>
      </c>
      <c r="P100" s="286">
        <f t="shared" si="40"/>
        <v>4445187</v>
      </c>
      <c r="Q100" s="286" t="str">
        <f t="shared" si="40"/>
        <v/>
      </c>
    </row>
    <row r="101" spans="1:17" ht="15.75" customHeight="1">
      <c r="A101" s="10"/>
      <c r="B101" s="92" t="s">
        <v>181</v>
      </c>
      <c r="C101" s="297">
        <f>BS!C4</f>
        <v>124515</v>
      </c>
      <c r="D101" s="88"/>
      <c r="E101" s="248"/>
      <c r="F101" s="88"/>
      <c r="G101" s="298">
        <f>IF(G$4="","",Data!D77)</f>
        <v>89430</v>
      </c>
      <c r="H101" s="298">
        <f>IF(H$4="","",Data!E77)</f>
        <v>75868</v>
      </c>
      <c r="I101" s="298">
        <f>IF(I$4="","",Data!F77)</f>
        <v>51007</v>
      </c>
      <c r="J101" s="298">
        <f>IF(J$4="","",Data!G77)</f>
        <v>37326</v>
      </c>
      <c r="K101" s="298">
        <f>IF(K$4="","",Data!H77)</f>
        <v>50182</v>
      </c>
      <c r="L101" s="298">
        <f>IF(L$4="","",Data!I77)</f>
        <v>0</v>
      </c>
      <c r="M101" s="298">
        <f>IF(M$4="","",Data!J77)</f>
        <v>0</v>
      </c>
      <c r="N101" s="298">
        <f>IF(N$4="","",Data!K77)</f>
        <v>0</v>
      </c>
      <c r="O101" s="298">
        <f>IF(O$4="","",Data!L77)</f>
        <v>0</v>
      </c>
      <c r="P101" s="298">
        <f>IF(P$4="","",Data!M77)</f>
        <v>0</v>
      </c>
      <c r="Q101" s="298" t="str">
        <f>IF(Q$4="","",Data!N77)</f>
        <v/>
      </c>
    </row>
    <row r="102" spans="1:17" ht="15.75" customHeight="1">
      <c r="A102" s="10"/>
      <c r="B102" s="92" t="s">
        <v>182</v>
      </c>
      <c r="C102" s="297">
        <f>BS!C6+BS!C7</f>
        <v>220637</v>
      </c>
      <c r="D102" s="88"/>
      <c r="E102" s="248"/>
      <c r="F102" s="88"/>
      <c r="G102" s="298">
        <f>IF(G$4="","",Data!D78)</f>
        <v>230288</v>
      </c>
      <c r="H102" s="298">
        <f>IF(H$4="","",Data!E78)</f>
        <v>268243</v>
      </c>
      <c r="I102" s="298">
        <f>IF(I$4="","",Data!F78)</f>
        <v>303542</v>
      </c>
      <c r="J102" s="298">
        <f>IF(J$4="","",Data!G78)</f>
        <v>234924</v>
      </c>
      <c r="K102" s="298">
        <f>IF(K$4="","",Data!H78)</f>
        <v>260626</v>
      </c>
      <c r="L102" s="298">
        <f>IF(L$4="","",Data!I78)</f>
        <v>0</v>
      </c>
      <c r="M102" s="298">
        <f>IF(M$4="","",Data!J78)</f>
        <v>0</v>
      </c>
      <c r="N102" s="298">
        <f>IF(N$4="","",Data!K78)</f>
        <v>0</v>
      </c>
      <c r="O102" s="298">
        <f>IF(O$4="","",Data!L78)</f>
        <v>0</v>
      </c>
      <c r="P102" s="298">
        <f>IF(P$4="","",Data!M78)</f>
        <v>0</v>
      </c>
      <c r="Q102" s="298" t="str">
        <f>IF(Q$4="","",Data!N78)</f>
        <v/>
      </c>
    </row>
    <row r="103" spans="1:17" ht="15.75" customHeight="1">
      <c r="A103" s="10"/>
      <c r="B103" s="25" t="s">
        <v>38</v>
      </c>
      <c r="C103" s="296">
        <f>BS!G30</f>
        <v>3235494</v>
      </c>
      <c r="D103" s="25"/>
      <c r="E103" s="247"/>
      <c r="F103" s="25"/>
      <c r="G103" s="286">
        <f>Data!C79</f>
        <v>3235494</v>
      </c>
      <c r="H103" s="286">
        <f>Data!D79</f>
        <v>3603411</v>
      </c>
      <c r="I103" s="286">
        <f>Data!E79</f>
        <v>4383277</v>
      </c>
      <c r="J103" s="286">
        <f>Data!F79</f>
        <v>4045470</v>
      </c>
      <c r="K103" s="286">
        <f>Data!G79</f>
        <v>4119837</v>
      </c>
      <c r="L103" s="286">
        <f>Data!H79</f>
        <v>3549446</v>
      </c>
      <c r="M103" s="286">
        <f>Data!I79</f>
        <v>1072340</v>
      </c>
      <c r="N103" s="286">
        <f>Data!J79</f>
        <v>1042829</v>
      </c>
      <c r="O103" s="286">
        <f>Data!K79</f>
        <v>945690</v>
      </c>
      <c r="P103" s="286">
        <f>Data!L79</f>
        <v>903190</v>
      </c>
      <c r="Q103" s="286" t="str">
        <f>Data!M79</f>
        <v/>
      </c>
    </row>
    <row r="104" spans="1:17" ht="15.75" customHeight="1">
      <c r="A104" s="10"/>
      <c r="B104" s="25" t="s">
        <v>28</v>
      </c>
      <c r="C104" s="296">
        <f>BS!G27</f>
        <v>2744736</v>
      </c>
      <c r="D104" s="25"/>
      <c r="E104" s="247"/>
      <c r="F104" s="25"/>
      <c r="G104" s="286">
        <f>Data!C80</f>
        <v>2744736</v>
      </c>
      <c r="H104" s="286">
        <f>Data!D80</f>
        <v>2910513</v>
      </c>
      <c r="I104" s="286">
        <f>Data!E80</f>
        <v>2792063</v>
      </c>
      <c r="J104" s="286">
        <f>Data!F80</f>
        <v>2826376</v>
      </c>
      <c r="K104" s="286">
        <f>Data!G80</f>
        <v>3034836</v>
      </c>
      <c r="L104" s="286">
        <f>Data!H80</f>
        <v>2671312</v>
      </c>
      <c r="M104" s="286">
        <f>Data!I80</f>
        <v>3421750</v>
      </c>
      <c r="N104" s="286">
        <f>Data!J80</f>
        <v>3573500</v>
      </c>
      <c r="O104" s="286">
        <f>Data!K80</f>
        <v>3491120</v>
      </c>
      <c r="P104" s="286">
        <f>Data!L80</f>
        <v>3541997</v>
      </c>
      <c r="Q104" s="286" t="str">
        <f>Data!M80</f>
        <v/>
      </c>
    </row>
    <row r="105" spans="1:17" ht="15.75" customHeight="1">
      <c r="A105" s="10"/>
      <c r="E105" s="246"/>
    </row>
    <row r="106" spans="1:17" ht="15.75" customHeight="1">
      <c r="A106" s="10"/>
      <c r="B106" s="90" t="s">
        <v>191</v>
      </c>
      <c r="C106" s="25"/>
      <c r="D106" s="25"/>
      <c r="E106" s="247"/>
      <c r="F106" s="25"/>
      <c r="G106" s="96" t="s">
        <v>190</v>
      </c>
      <c r="H106" s="12"/>
      <c r="I106" s="12"/>
      <c r="J106" s="12"/>
      <c r="K106" s="12"/>
      <c r="L106" s="12"/>
      <c r="M106" s="12"/>
      <c r="N106" s="12"/>
      <c r="O106" s="12"/>
      <c r="P106" s="12"/>
      <c r="Q106" s="12"/>
    </row>
    <row r="107" spans="1:17" ht="15.75" customHeight="1">
      <c r="A107" s="10"/>
      <c r="B107" s="25" t="s">
        <v>188</v>
      </c>
      <c r="C107" s="93">
        <f>C101/C$4</f>
        <v>1.5188199836651987E-2</v>
      </c>
      <c r="D107" s="25"/>
      <c r="E107" s="247"/>
      <c r="F107" s="25"/>
      <c r="G107" s="93">
        <f t="shared" ref="G107:Q107" si="41">IF(G$4="","",G101/G$4)</f>
        <v>1.0437288909829083E-2</v>
      </c>
      <c r="H107" s="93">
        <f t="shared" si="41"/>
        <v>8.7290393120870863E-3</v>
      </c>
      <c r="I107" s="93">
        <f t="shared" si="41"/>
        <v>6.3567697285807504E-3</v>
      </c>
      <c r="J107" s="93">
        <f t="shared" si="41"/>
        <v>4.9709985133350367E-3</v>
      </c>
      <c r="K107" s="93">
        <f t="shared" si="41"/>
        <v>7.4739490829585711E-3</v>
      </c>
      <c r="L107" s="93">
        <f t="shared" si="41"/>
        <v>0</v>
      </c>
      <c r="M107" s="93">
        <f t="shared" si="41"/>
        <v>0</v>
      </c>
      <c r="N107" s="93">
        <f t="shared" si="41"/>
        <v>0</v>
      </c>
      <c r="O107" s="93">
        <f t="shared" si="41"/>
        <v>0</v>
      </c>
      <c r="P107" s="93">
        <f t="shared" si="41"/>
        <v>0</v>
      </c>
      <c r="Q107" s="93" t="str">
        <f t="shared" si="41"/>
        <v/>
      </c>
    </row>
    <row r="108" spans="1:17" ht="15.75" customHeight="1">
      <c r="A108" s="10"/>
      <c r="B108" s="25" t="s">
        <v>189</v>
      </c>
      <c r="C108" s="93">
        <f>C102/C$4</f>
        <v>2.691305342616861E-2</v>
      </c>
      <c r="D108" s="25"/>
      <c r="E108" s="247"/>
      <c r="F108" s="25"/>
      <c r="G108" s="93">
        <f t="shared" ref="G108:Q108" si="42">IF(G$4="","",G102/G$4)</f>
        <v>2.6876690019755338E-2</v>
      </c>
      <c r="H108" s="93">
        <f t="shared" si="42"/>
        <v>3.0862863027787426E-2</v>
      </c>
      <c r="I108" s="93">
        <f t="shared" si="42"/>
        <v>3.7829054775871118E-2</v>
      </c>
      <c r="J108" s="93">
        <f t="shared" si="42"/>
        <v>3.1286686351249003E-2</v>
      </c>
      <c r="K108" s="93">
        <f t="shared" si="42"/>
        <v>3.8816815864157674E-2</v>
      </c>
      <c r="L108" s="93">
        <f t="shared" si="42"/>
        <v>0</v>
      </c>
      <c r="M108" s="93">
        <f t="shared" si="42"/>
        <v>0</v>
      </c>
      <c r="N108" s="93">
        <f t="shared" si="42"/>
        <v>0</v>
      </c>
      <c r="O108" s="93">
        <f t="shared" si="42"/>
        <v>0</v>
      </c>
      <c r="P108" s="93">
        <f t="shared" si="42"/>
        <v>0</v>
      </c>
      <c r="Q108" s="93" t="str">
        <f t="shared" si="42"/>
        <v/>
      </c>
    </row>
    <row r="109" spans="1:17" ht="15.75" customHeight="1">
      <c r="A109" s="10"/>
      <c r="B109" s="25" t="s">
        <v>67</v>
      </c>
      <c r="C109" s="93">
        <f>BS!$G$38/C$4</f>
        <v>0</v>
      </c>
      <c r="D109" s="25"/>
      <c r="E109" s="247"/>
      <c r="F109" s="25"/>
      <c r="G109" s="93">
        <f>BS!$G$38/G$4</f>
        <v>0</v>
      </c>
      <c r="H109" s="190"/>
      <c r="I109" s="190"/>
      <c r="J109" s="190"/>
      <c r="K109" s="190"/>
      <c r="L109" s="190"/>
      <c r="M109" s="190"/>
      <c r="N109" s="190"/>
      <c r="O109" s="190"/>
      <c r="P109" s="190"/>
      <c r="Q109" s="190"/>
    </row>
    <row r="110" spans="1:17" ht="15.75" customHeight="1">
      <c r="A110" s="10"/>
      <c r="E110" s="246"/>
    </row>
    <row r="111" spans="1:17" ht="15.75" customHeight="1">
      <c r="A111" s="10"/>
      <c r="B111" s="63" t="s">
        <v>49</v>
      </c>
      <c r="E111" s="246"/>
    </row>
    <row r="112" spans="1:17" ht="15.75" customHeight="1">
      <c r="A112" s="10"/>
      <c r="B112" s="2" t="s">
        <v>309</v>
      </c>
      <c r="C112" s="155"/>
      <c r="E112" s="246"/>
      <c r="G112" s="264">
        <f>IF(G$4="","",Data!C$22/Data!C15)</f>
        <v>6.4267473661376968</v>
      </c>
      <c r="H112" s="264">
        <f>IF(H$4="","",Data!D$22/Data!D15)</f>
        <v>4.9912338880302505</v>
      </c>
      <c r="I112" s="264">
        <f>IF(I$4="","",Data!E$22/Data!E15)</f>
        <v>15.279529081637241</v>
      </c>
      <c r="J112" s="264">
        <f>IF(J$4="","",Data!F$22/Data!F15)</f>
        <v>50.960218818380746</v>
      </c>
      <c r="K112" s="264">
        <f>IF(K$4="","",Data!G$22/Data!G15)</f>
        <v>4.6954125641381221</v>
      </c>
      <c r="L112" s="264">
        <f>IF(L$4="","",Data!H$22/Data!H15)</f>
        <v>19.049512004947168</v>
      </c>
      <c r="M112" s="264">
        <f>IF(M$4="","",Data!I$22/Data!I15)</f>
        <v>1.608003580415801</v>
      </c>
      <c r="N112" s="264">
        <f>IF(N$4="","",Data!J$22/Data!J15)</f>
        <v>1.9435635049369142</v>
      </c>
      <c r="O112" s="264">
        <f>IF(O$4="","",Data!K$22/Data!K15)</f>
        <v>1.738263372035328</v>
      </c>
      <c r="P112" s="264">
        <f>IF(P$4="","",Data!L$22/Data!L15)</f>
        <v>1.5089927779708801</v>
      </c>
      <c r="Q112" s="264" t="str">
        <f>IF(Q$4="","",Data!M$22/Data!M15)</f>
        <v/>
      </c>
    </row>
    <row r="113" spans="1:17" ht="15.75" customHeight="1">
      <c r="A113" s="10"/>
      <c r="B113" s="2" t="s">
        <v>310</v>
      </c>
      <c r="C113" s="155"/>
      <c r="E113" s="246"/>
      <c r="G113" s="264">
        <f>IF(G$4="","",Data!C$22/G19)</f>
        <v>4.1693697896197204</v>
      </c>
      <c r="H113" s="264">
        <f>IF(H$4="","",Data!D$22/H19)</f>
        <v>3.9131615433882119</v>
      </c>
      <c r="I113" s="264">
        <f>IF(I$4="","",Data!E$22/I19)</f>
        <v>15.5984034336013</v>
      </c>
      <c r="J113" s="264">
        <f>IF(J$4="","",Data!F$22/J19)</f>
        <v>-48.77011380918006</v>
      </c>
      <c r="K113" s="264">
        <f>IF(K$4="","",Data!G$22/K19)</f>
        <v>-14.244625442796201</v>
      </c>
      <c r="L113" s="264">
        <f>IF(L$4="","",Data!H$22/L19)</f>
        <v>6.7925307026374071</v>
      </c>
      <c r="M113" s="264">
        <f>IF(M$4="","",Data!I$22/M19)</f>
        <v>1.7069263797631746</v>
      </c>
      <c r="N113" s="264">
        <f>IF(N$4="","",Data!J$22/N19)</f>
        <v>1.94016300804173</v>
      </c>
      <c r="O113" s="264">
        <f>IF(O$4="","",Data!K$22/O19)</f>
        <v>1.6928845901081653</v>
      </c>
      <c r="P113" s="264">
        <f>IF(P$4="","",Data!L$22/P19)</f>
        <v>1.5492297932237664</v>
      </c>
      <c r="Q113" s="264" t="str">
        <f>IF(Q$4="","",Data!M$22/Q19)</f>
        <v/>
      </c>
    </row>
    <row r="114" spans="1:17" ht="15.75" customHeight="1">
      <c r="A114" s="10"/>
      <c r="E114" s="246"/>
    </row>
    <row r="115" spans="1:17" ht="15.75" customHeight="1">
      <c r="A115" s="10"/>
      <c r="B115" s="90" t="s">
        <v>36</v>
      </c>
      <c r="C115" s="54"/>
      <c r="D115" s="54"/>
      <c r="E115" s="249"/>
      <c r="F115" s="54"/>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192</v>
      </c>
      <c r="C116" s="22">
        <f>C79</f>
        <v>3.9086921133773919E-2</v>
      </c>
      <c r="E116" s="246"/>
      <c r="G116" s="22">
        <f>IF(G4="","",G79)</f>
        <v>4.6343249224001092E-2</v>
      </c>
      <c r="H116" s="22">
        <f t="shared" ref="H116:Q116" si="43">IF(H4="","",H79)</f>
        <v>5.5697205471090153E-2</v>
      </c>
      <c r="I116" s="22">
        <f t="shared" si="43"/>
        <v>1.7788665081222912E-2</v>
      </c>
      <c r="J116" s="22">
        <f t="shared" si="43"/>
        <v>7.5896514903138587E-4</v>
      </c>
      <c r="K116" s="22">
        <f t="shared" si="43"/>
        <v>-1.3021697865213639E-2</v>
      </c>
      <c r="L116" s="22">
        <f t="shared" si="43"/>
        <v>3.1299128969545391E-2</v>
      </c>
      <c r="M116" s="22">
        <f t="shared" si="43"/>
        <v>8.1167823950482956E-2</v>
      </c>
      <c r="N116" s="22">
        <f t="shared" si="43"/>
        <v>6.921340736329204E-2</v>
      </c>
      <c r="O116" s="22">
        <f t="shared" si="43"/>
        <v>7.9314783980569611E-2</v>
      </c>
      <c r="P116" s="22">
        <f t="shared" si="43"/>
        <v>8.1223563453526118E-2</v>
      </c>
      <c r="Q116" s="22" t="str">
        <f t="shared" si="43"/>
        <v/>
      </c>
    </row>
    <row r="117" spans="1:17" ht="15.75" customHeight="1">
      <c r="B117" s="7" t="s">
        <v>81</v>
      </c>
      <c r="C117" s="41">
        <f>C4/C100</f>
        <v>1.3708738209065539</v>
      </c>
      <c r="E117" s="246"/>
      <c r="G117" s="41">
        <f>IF(G4="","",G4/G100)</f>
        <v>1.4327738230803833</v>
      </c>
      <c r="H117" s="41">
        <f t="shared" ref="H117:Q117" si="44">IF(H4="","",H4/H100)</f>
        <v>1.3342877503636825</v>
      </c>
      <c r="I117" s="41">
        <f t="shared" si="44"/>
        <v>1.1182806668394807</v>
      </c>
      <c r="J117" s="41">
        <f t="shared" si="44"/>
        <v>1.0926835380187507</v>
      </c>
      <c r="K117" s="41">
        <f t="shared" si="44"/>
        <v>0.93844330831052658</v>
      </c>
      <c r="L117" s="41">
        <f t="shared" si="44"/>
        <v>1.2800846777836399</v>
      </c>
      <c r="M117" s="41">
        <f t="shared" si="44"/>
        <v>1.8900117710148217</v>
      </c>
      <c r="N117" s="41">
        <f t="shared" si="44"/>
        <v>1.8255629094026877</v>
      </c>
      <c r="O117" s="41">
        <f t="shared" si="44"/>
        <v>1.7794906700985618</v>
      </c>
      <c r="P117" s="41">
        <f t="shared" si="44"/>
        <v>1.7023301831846445</v>
      </c>
      <c r="Q117" s="41" t="str">
        <f t="shared" si="44"/>
        <v/>
      </c>
    </row>
    <row r="118" spans="1:17" ht="15.75" customHeight="1">
      <c r="B118" s="7" t="s">
        <v>89</v>
      </c>
      <c r="C118" s="15">
        <f>C100/C104</f>
        <v>2.1787997096988563</v>
      </c>
      <c r="D118" s="11"/>
      <c r="E118" s="250"/>
      <c r="F118" s="11"/>
      <c r="G118" s="15">
        <f t="shared" ref="G118:Q118" si="45">IF(G$4="","",G100/G104)</f>
        <v>2.1787997096988563</v>
      </c>
      <c r="H118" s="15">
        <f t="shared" si="45"/>
        <v>2.2380673097835331</v>
      </c>
      <c r="I118" s="15">
        <f t="shared" si="45"/>
        <v>2.5699061948100743</v>
      </c>
      <c r="J118" s="15">
        <f t="shared" si="45"/>
        <v>2.4313276082163164</v>
      </c>
      <c r="K118" s="15">
        <f t="shared" si="45"/>
        <v>2.3575155296694779</v>
      </c>
      <c r="L118" s="15">
        <f t="shared" si="45"/>
        <v>2.3287276065094606</v>
      </c>
      <c r="M118" s="15">
        <f t="shared" si="45"/>
        <v>1.3133893475560752</v>
      </c>
      <c r="N118" s="15">
        <f t="shared" si="45"/>
        <v>1.2918228627396111</v>
      </c>
      <c r="O118" s="15">
        <f t="shared" si="45"/>
        <v>1.2708844153165746</v>
      </c>
      <c r="P118" s="15">
        <f t="shared" si="45"/>
        <v>1.2549945694476872</v>
      </c>
      <c r="Q118" s="15" t="str">
        <f t="shared" si="45"/>
        <v/>
      </c>
    </row>
    <row r="119" spans="1:17" ht="15.75" customHeight="1">
      <c r="A119" s="10"/>
      <c r="B119" s="69" t="s">
        <v>193</v>
      </c>
      <c r="C119" s="101">
        <f>C13/C104</f>
        <v>0.1167471410506614</v>
      </c>
      <c r="D119" s="102"/>
      <c r="E119" s="249"/>
      <c r="F119" s="102"/>
      <c r="G119" s="101">
        <f t="shared" ref="G119:Q119" si="46">IF(G$4="","",G13/G104)</f>
        <v>0.14467098116585544</v>
      </c>
      <c r="H119" s="101">
        <f t="shared" si="46"/>
        <v>0.16632443173918174</v>
      </c>
      <c r="I119" s="101">
        <f t="shared" si="46"/>
        <v>5.1122425000079234E-2</v>
      </c>
      <c r="J119" s="101">
        <f t="shared" si="46"/>
        <v>2.0163211970682122E-3</v>
      </c>
      <c r="K119" s="101">
        <f t="shared" si="46"/>
        <v>-2.880913499114944E-2</v>
      </c>
      <c r="L119" s="101">
        <f t="shared" si="46"/>
        <v>9.3301718406535811E-2</v>
      </c>
      <c r="M119" s="101">
        <f t="shared" si="46"/>
        <v>0.20148462044275589</v>
      </c>
      <c r="N119" s="101">
        <f t="shared" si="46"/>
        <v>0.1632262487757101</v>
      </c>
      <c r="O119" s="101">
        <f t="shared" si="46"/>
        <v>0.17937252228511194</v>
      </c>
      <c r="P119" s="101">
        <f t="shared" si="46"/>
        <v>0.1735272503054068</v>
      </c>
      <c r="Q119" s="101" t="str">
        <f t="shared" si="46"/>
        <v/>
      </c>
    </row>
    <row r="120" spans="1:17" ht="15.75" customHeight="1">
      <c r="A120" s="10"/>
      <c r="B120" s="26"/>
      <c r="C120" s="61"/>
      <c r="D120" s="26"/>
      <c r="E120" s="66"/>
      <c r="F120" s="26"/>
      <c r="G120" s="12"/>
      <c r="H120" s="12"/>
      <c r="I120" s="12"/>
      <c r="J120" s="12"/>
      <c r="K120" s="12"/>
      <c r="L120" s="12"/>
      <c r="M120" s="12"/>
      <c r="N120" s="12"/>
      <c r="O120" s="12"/>
      <c r="P120" s="12"/>
      <c r="Q120" s="12"/>
    </row>
    <row r="121" spans="1:17" ht="15.75" customHeight="1">
      <c r="A121" s="10"/>
      <c r="B121" s="53" t="s">
        <v>194</v>
      </c>
      <c r="C121" s="53"/>
      <c r="D121" s="55"/>
      <c r="E121" s="65" t="s">
        <v>57</v>
      </c>
      <c r="F121" s="55"/>
      <c r="G121" s="36"/>
      <c r="H121" s="36"/>
      <c r="I121" s="36"/>
      <c r="J121" s="36"/>
      <c r="K121" s="36"/>
      <c r="L121" s="36"/>
      <c r="M121" s="36"/>
      <c r="N121" s="36"/>
      <c r="O121" s="36"/>
      <c r="P121" s="36"/>
      <c r="Q121" s="36"/>
    </row>
    <row r="122" spans="1:17" ht="15.75" customHeight="1">
      <c r="A122" s="10"/>
      <c r="B122" s="164" t="s">
        <v>143</v>
      </c>
      <c r="C122" s="165"/>
      <c r="D122" s="26"/>
      <c r="E122" s="243"/>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3">
        <f>C16*$C$3/Common_Shares*Exchange_Rate</f>
        <v>0.45682988569897115</v>
      </c>
      <c r="D123" s="26"/>
      <c r="E123" s="243"/>
      <c r="F123" s="26"/>
      <c r="G123" s="163">
        <f t="shared" ref="G123:Q123" si="47">IF(G$4="","",G16*$C$3/Common_Shares*Exchange_Rate)</f>
        <v>0.62483125899444447</v>
      </c>
      <c r="H123" s="163">
        <f t="shared" si="47"/>
        <v>0.73278011291776834</v>
      </c>
      <c r="I123" s="163">
        <f t="shared" si="47"/>
        <v>0.18778150687961892</v>
      </c>
      <c r="J123" s="163">
        <f t="shared" si="47"/>
        <v>-4.1165434724339464E-2</v>
      </c>
      <c r="K123" s="163">
        <f t="shared" si="47"/>
        <v>-0.20490719587806727</v>
      </c>
      <c r="L123" s="163">
        <f t="shared" si="47"/>
        <v>0.35967680935073776</v>
      </c>
      <c r="M123" s="163">
        <f t="shared" si="47"/>
        <v>0.96170883004877317</v>
      </c>
      <c r="N123" s="163">
        <f t="shared" si="47"/>
        <v>0.79327034610464509</v>
      </c>
      <c r="O123" s="163">
        <f t="shared" si="47"/>
        <v>0.89198690106349654</v>
      </c>
      <c r="P123" s="163">
        <f t="shared" si="47"/>
        <v>0.869666366613006</v>
      </c>
      <c r="Q123" s="163" t="str">
        <f t="shared" si="47"/>
        <v/>
      </c>
    </row>
    <row r="124" spans="1:17" ht="15.75" customHeight="1">
      <c r="A124" s="10"/>
      <c r="B124" s="26" t="s">
        <v>228</v>
      </c>
      <c r="C124" s="76">
        <f>C19*Exchange_Rate*$C$3/(Market_Price*Common_Shares)</f>
        <v>7.0716700572596158E-2</v>
      </c>
      <c r="D124" s="26"/>
      <c r="E124" s="243"/>
      <c r="F124" s="26"/>
      <c r="G124" s="76">
        <f t="shared" ref="G124" si="48">IF(G$4="","",G123/Market_Price)</f>
        <v>9.6723105107499138E-2</v>
      </c>
      <c r="H124" s="76">
        <f t="shared" ref="H124" si="49">IF(H$4="","",H123/Market_Price)</f>
        <v>0.11343345401203844</v>
      </c>
      <c r="I124" s="76">
        <f t="shared" ref="I124" si="50">IF(I$4="","",I123/Market_Price)</f>
        <v>2.9068344718207264E-2</v>
      </c>
      <c r="J124" s="76">
        <f t="shared" ref="J124" si="51">IF(J$4="","",J123/Market_Price)</f>
        <v>-6.3723583164612173E-3</v>
      </c>
      <c r="K124" s="76">
        <f t="shared" ref="K124" si="52">IF(K$4="","",K123/Market_Price)</f>
        <v>-3.1719380166883478E-2</v>
      </c>
      <c r="L124" s="76">
        <f t="shared" ref="L124" si="53">IF(L$4="","",L123/Market_Price)</f>
        <v>5.567752466729687E-2</v>
      </c>
      <c r="M124" s="76">
        <f t="shared" ref="M124" si="54">IF(M$4="","",M123/Market_Price)</f>
        <v>0.14887133592086271</v>
      </c>
      <c r="N124" s="76">
        <f t="shared" ref="N124" si="55">IF(N$4="","",N123/Market_Price)</f>
        <v>0.12279726719886147</v>
      </c>
      <c r="O124" s="76">
        <f t="shared" ref="O124" si="56">IF(O$4="","",O123/Market_Price)</f>
        <v>0.138078467656888</v>
      </c>
      <c r="P124" s="76">
        <f t="shared" ref="P124" si="57">IF(P$4="","",P123/Market_Price)</f>
        <v>0.13462327656548082</v>
      </c>
      <c r="Q124" s="76" t="str">
        <f t="shared" ref="Q124" si="58">IF(Q$4="","",Q123/Market_Price)</f>
        <v/>
      </c>
    </row>
    <row r="125" spans="1:17" ht="15.75" customHeight="1">
      <c r="B125" s="2" t="s">
        <v>312</v>
      </c>
      <c r="C125" s="155"/>
      <c r="G125" s="22">
        <f>IF(G$4="","",(Data!C47*$C$3)/(Market_Price*Common_Shares))</f>
        <v>6.2749376849362146E-2</v>
      </c>
      <c r="H125" s="22">
        <f>IF(H$4="","",(Data!D47*$C$3)/(Market_Price*Common_Shares))</f>
        <v>8.8932604628708167E-2</v>
      </c>
      <c r="I125" s="22">
        <f>IF(I$4="","",(Data!E47*$C$3)/(Market_Price*Common_Shares))</f>
        <v>2.9674983151575334E-2</v>
      </c>
      <c r="J125" s="22">
        <f>IF(J$4="","",(Data!F47*$C$3)/(Market_Price*Common_Shares))</f>
        <v>6.0984950130275693E-3</v>
      </c>
      <c r="K125" s="22">
        <f>IF(K$4="","",(Data!G47*$C$3)/(Market_Price*Common_Shares))</f>
        <v>9.6228112776677907E-2</v>
      </c>
      <c r="L125" s="22">
        <f>IF(L$4="","",(Data!H47*$C$3)/(Market_Price*Common_Shares))</f>
        <v>1.9853070023591633E-2</v>
      </c>
      <c r="M125" s="22">
        <f>IF(M$4="","",(Data!I47*$C$3)/(Market_Price*Common_Shares))</f>
        <v>0.15802975414283388</v>
      </c>
      <c r="N125" s="22">
        <f>IF(N$4="","",(Data!J47*$C$3)/(Market_Price*Common_Shares))</f>
        <v>0.1225824186874616</v>
      </c>
      <c r="O125" s="22">
        <f>IF(O$4="","",(Data!K47*$C$3)/(Market_Price*Common_Shares))</f>
        <v>0.1344738167314635</v>
      </c>
      <c r="P125" s="22">
        <f>IF(P$4="","",(Data!L47*$C$3)/(Market_Price*Common_Shares))</f>
        <v>0.13821298150750361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3 G15: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T102"/>
  <sheetViews>
    <sheetView showGridLines="0" topLeftCell="A7" zoomScaleNormal="100" workbookViewId="0">
      <selection activeCell="C23" sqref="C23"/>
    </sheetView>
  </sheetViews>
  <sheetFormatPr defaultColWidth="8.86328125" defaultRowHeight="12.75"/>
  <cols>
    <col min="1" max="1" width="6.1328125" customWidth="1"/>
    <col min="2" max="11" width="20.73046875" customWidth="1"/>
    <col min="12" max="12" width="5.73046875" customWidth="1"/>
  </cols>
  <sheetData>
    <row r="2" spans="2:14" ht="13.9">
      <c r="B2" s="35" t="s">
        <v>53</v>
      </c>
      <c r="C2" s="36"/>
      <c r="D2" s="36"/>
      <c r="E2" s="36"/>
      <c r="F2" s="36"/>
      <c r="G2" s="36"/>
      <c r="H2" s="36"/>
      <c r="I2" s="36"/>
      <c r="J2" s="36"/>
      <c r="K2" s="36"/>
    </row>
    <row r="3" spans="2:14" ht="13.15">
      <c r="B3" s="108" t="s">
        <v>138</v>
      </c>
      <c r="C3" s="106">
        <f>scaling_factor</f>
        <v>1000</v>
      </c>
      <c r="E3" s="108" t="s">
        <v>446</v>
      </c>
      <c r="H3" s="108" t="s">
        <v>434</v>
      </c>
    </row>
    <row r="4" spans="2:14">
      <c r="B4" s="99" t="s">
        <v>408</v>
      </c>
      <c r="C4" s="291">
        <f>Normalized_FCF!C19</f>
        <v>264963.17610033229</v>
      </c>
      <c r="D4" t="str">
        <f>Reporting_currency</f>
        <v>HKD</v>
      </c>
      <c r="E4" s="138" t="s">
        <v>453</v>
      </c>
      <c r="F4" s="291">
        <f>-BS!G31</f>
        <v>-2134310</v>
      </c>
      <c r="G4" t="str">
        <f>Reporting_currency</f>
        <v>HKD</v>
      </c>
      <c r="H4" s="325" t="s">
        <v>409</v>
      </c>
      <c r="I4" s="322">
        <f>Normalized_FCF!C4</f>
        <v>8198140.75</v>
      </c>
    </row>
    <row r="5" spans="2:14">
      <c r="B5" s="191" t="s">
        <v>107</v>
      </c>
      <c r="C5" s="192">
        <f>Equity_Cost</f>
        <v>7.4999999999999997E-2</v>
      </c>
      <c r="E5" s="138" t="s">
        <v>454</v>
      </c>
      <c r="F5" s="291">
        <f>BS!D66</f>
        <v>384381.13325594889</v>
      </c>
      <c r="G5" t="str">
        <f>Reporting_currency</f>
        <v>HKD</v>
      </c>
      <c r="H5" s="325" t="s">
        <v>411</v>
      </c>
      <c r="I5" s="322">
        <f>Normalized_FCF!C7</f>
        <v>-494493</v>
      </c>
    </row>
    <row r="6" spans="2:14" ht="13.35" customHeight="1">
      <c r="B6" s="139" t="s">
        <v>196</v>
      </c>
      <c r="C6" s="299">
        <f>(C4*(1+Terminal_Growth))/(Equity_Cost-Terminal_Growth)</f>
        <v>3532842.3480044305</v>
      </c>
      <c r="D6" t="str">
        <f>Reporting_currency</f>
        <v>HKD</v>
      </c>
      <c r="E6" s="191" t="s">
        <v>455</v>
      </c>
      <c r="F6" s="300">
        <f>BS!H42</f>
        <v>63482.2</v>
      </c>
      <c r="G6" t="str">
        <f>Reporting_currency</f>
        <v>HKD</v>
      </c>
      <c r="H6" s="325" t="s">
        <v>436</v>
      </c>
      <c r="I6" s="322">
        <f>I7+I8</f>
        <v>-78679.881332559497</v>
      </c>
      <c r="M6" s="138"/>
    </row>
    <row r="7" spans="2:14" ht="12.75" customHeight="1">
      <c r="B7" s="336" t="s">
        <v>452</v>
      </c>
      <c r="C7" s="291">
        <f>F7</f>
        <v>-1686446.6667440513</v>
      </c>
      <c r="E7" s="143" t="s">
        <v>446</v>
      </c>
      <c r="F7" s="299">
        <f>SUM(F4:F6)</f>
        <v>-1686446.6667440513</v>
      </c>
      <c r="G7" t="str">
        <f>Reporting_currency</f>
        <v>HKD</v>
      </c>
      <c r="H7" s="329" t="s">
        <v>437</v>
      </c>
      <c r="I7" s="330">
        <f>Normalized_FCF!C11</f>
        <v>0</v>
      </c>
      <c r="M7" s="320"/>
      <c r="N7" s="320"/>
    </row>
    <row r="8" spans="2:14" ht="13.15">
      <c r="B8" s="139" t="s">
        <v>448</v>
      </c>
      <c r="C8" s="299">
        <f>C6+C7</f>
        <v>1846395.6812603793</v>
      </c>
      <c r="D8" t="str">
        <f>Reporting_currency</f>
        <v>HKD</v>
      </c>
      <c r="E8" s="143" t="s">
        <v>486</v>
      </c>
      <c r="F8" s="110">
        <f>FV_adjustments*scaling_factor/Common_Shares*Exchange_Rate</f>
        <v>-2.9076464486309033</v>
      </c>
      <c r="G8" s="310" t="str">
        <f>Market_currency</f>
        <v>HKD</v>
      </c>
      <c r="H8" s="331" t="str">
        <f>Normalized_FCF!B12</f>
        <v>Net Interest Income</v>
      </c>
      <c r="I8" s="330">
        <f>Normalized_FCF!C12</f>
        <v>-78679.881332559497</v>
      </c>
      <c r="M8" s="320"/>
      <c r="N8" s="320"/>
    </row>
    <row r="9" spans="2:14" ht="13.15" thickBot="1">
      <c r="B9" s="193" t="str">
        <f>"*"&amp;Thesis!C15</f>
        <v>*HKD</v>
      </c>
      <c r="C9" s="194">
        <f>Exchange_Rate</f>
        <v>1</v>
      </c>
      <c r="D9" t="str">
        <f>Thesis!C15</f>
        <v>HKD</v>
      </c>
      <c r="F9" s="342"/>
      <c r="H9" s="325" t="s">
        <v>413</v>
      </c>
      <c r="I9" s="323">
        <f>Normalized_FCF!C41</f>
        <v>0.16500000000000001</v>
      </c>
      <c r="M9" s="320"/>
      <c r="N9" s="320"/>
    </row>
    <row r="10" spans="2:14" ht="13.5" thickTop="1">
      <c r="B10" s="109" t="s">
        <v>449</v>
      </c>
      <c r="C10" s="299">
        <f>C8*Exchange_Rate</f>
        <v>1846395.6812603793</v>
      </c>
      <c r="D10" t="str">
        <f>Market_currency</f>
        <v>HKD</v>
      </c>
      <c r="M10" s="320"/>
      <c r="N10" s="320"/>
    </row>
    <row r="11" spans="2:14" ht="13.15">
      <c r="B11" s="139" t="s">
        <v>447</v>
      </c>
      <c r="C11" s="110">
        <f>(C10*scaling_factor)/Common_Shares</f>
        <v>3.1834186940220452</v>
      </c>
      <c r="D11" t="str">
        <f>Market_currency</f>
        <v>HKD</v>
      </c>
      <c r="E11" s="324" t="s">
        <v>425</v>
      </c>
      <c r="I11" s="324"/>
    </row>
    <row r="13" spans="2:14" ht="13.9">
      <c r="B13" s="35" t="s">
        <v>450</v>
      </c>
      <c r="C13" s="36"/>
      <c r="D13" s="36"/>
      <c r="E13" s="36"/>
      <c r="F13" s="36"/>
      <c r="G13" s="36"/>
      <c r="H13" s="36"/>
      <c r="I13" s="36"/>
      <c r="J13" s="36"/>
      <c r="K13" s="36"/>
    </row>
    <row r="14" spans="2:14" ht="13.15">
      <c r="B14" s="108" t="s">
        <v>415</v>
      </c>
      <c r="C14" s="326" t="s">
        <v>424</v>
      </c>
      <c r="E14" s="108" t="s">
        <v>415</v>
      </c>
      <c r="F14" s="326" t="str">
        <f>IF(F17=C17,"I","II")</f>
        <v>II</v>
      </c>
      <c r="H14" s="108" t="s">
        <v>433</v>
      </c>
    </row>
    <row r="15" spans="2:14">
      <c r="B15" s="142" t="s">
        <v>443</v>
      </c>
      <c r="C15" s="152">
        <f>Scenarios!C45</f>
        <v>5</v>
      </c>
      <c r="E15" s="325" t="str">
        <f>IF(F14="II","Change year","Terminal Year")</f>
        <v>Change year</v>
      </c>
      <c r="F15" s="327">
        <f>IF(F14="II",_xlfn.CEILING.MATH(C15/2),C15+1)</f>
        <v>3</v>
      </c>
      <c r="H15" s="99" t="s">
        <v>451</v>
      </c>
      <c r="I15" s="129">
        <f>Terminal_Growth</f>
        <v>0</v>
      </c>
    </row>
    <row r="16" spans="2:14" ht="13.35" customHeight="1">
      <c r="B16" s="116" t="s">
        <v>444</v>
      </c>
      <c r="C16" s="151">
        <f>Scenarios!C46</f>
        <v>2.0194760895005222E-2</v>
      </c>
      <c r="E16" s="325" t="s">
        <v>416</v>
      </c>
      <c r="F16" s="328">
        <f>Scenarios!C41</f>
        <v>0.02</v>
      </c>
    </row>
    <row r="17" spans="1:20" ht="13.35" customHeight="1">
      <c r="B17" s="325" t="s">
        <v>410</v>
      </c>
      <c r="C17" s="323">
        <f>Normalized_FCF!C32</f>
        <v>0.89099809462634716</v>
      </c>
      <c r="E17" s="325" t="s">
        <v>417</v>
      </c>
      <c r="F17" s="328">
        <f>Scenarios!C40</f>
        <v>0.86</v>
      </c>
      <c r="H17" s="108" t="s">
        <v>432</v>
      </c>
    </row>
    <row r="18" spans="1:20" ht="13.35" customHeight="1">
      <c r="B18" s="325" t="s">
        <v>445</v>
      </c>
      <c r="C18" s="323">
        <f>Normalized_FCF!C75-Normalized_FCF!C76</f>
        <v>0</v>
      </c>
      <c r="E18" s="325" t="s">
        <v>445</v>
      </c>
      <c r="F18" s="148">
        <f>IF(F14="II",C18/2,C18)</f>
        <v>0</v>
      </c>
      <c r="H18" s="143" t="s">
        <v>98</v>
      </c>
      <c r="I18" s="132">
        <f>(K52+FV_adjustments)*Exchange_Rate/Common_Shares*scaling_factor</f>
        <v>8.5816832311312083</v>
      </c>
      <c r="J18" t="str">
        <f>Market_currency</f>
        <v>HKD</v>
      </c>
    </row>
    <row r="19" spans="1:20">
      <c r="K19" s="291"/>
    </row>
    <row r="20" spans="1:20" ht="13.15">
      <c r="A20" s="124" t="s">
        <v>415</v>
      </c>
      <c r="B20" s="124" t="s">
        <v>99</v>
      </c>
      <c r="C20" s="124" t="s">
        <v>409</v>
      </c>
      <c r="D20" s="124" t="s">
        <v>104</v>
      </c>
      <c r="E20" s="124" t="s">
        <v>410</v>
      </c>
      <c r="F20" s="124" t="s">
        <v>411</v>
      </c>
      <c r="G20" s="124" t="s">
        <v>438</v>
      </c>
      <c r="H20" s="124" t="str">
        <f>B18</f>
        <v>D&amp;A - maint. Capx</v>
      </c>
      <c r="I20" s="124" t="s">
        <v>440</v>
      </c>
      <c r="J20" s="124" t="s">
        <v>100</v>
      </c>
      <c r="K20" s="125" t="s">
        <v>441</v>
      </c>
    </row>
    <row r="21" spans="1:20">
      <c r="A21" s="318" t="str">
        <f t="shared" ref="A21:A50" si="0">IF($C$15&lt;B21,"",IF(B21&gt;=$F$15,"II","I"))</f>
        <v>I</v>
      </c>
      <c r="B21" s="120">
        <v>1</v>
      </c>
      <c r="C21" s="293">
        <f>I4*(1+D21)</f>
        <v>8363700.2422298491</v>
      </c>
      <c r="D21" s="315">
        <f t="shared" ref="D21:D50" si="1">IF(A21="",0,IF(A21="I",$C$16,$F$16))</f>
        <v>2.0194760895005222E-2</v>
      </c>
      <c r="E21" s="315">
        <f>$C$17</f>
        <v>0.89099809462634716</v>
      </c>
      <c r="F21" s="293">
        <f>I5*(1+D21)</f>
        <v>-504479.16789925384</v>
      </c>
      <c r="G21" s="293">
        <f>C21*(1-E21)+F21+$I$6</f>
        <v>328500.21314532199</v>
      </c>
      <c r="H21" s="315">
        <f t="shared" ref="H21:H50" si="2">IF(A21="",0%,IF(A21="I",$C$18,$F$18))</f>
        <v>0</v>
      </c>
      <c r="I21" s="293">
        <f>(G21+C21*H21)*(1-$I$9)</f>
        <v>274297.67797634384</v>
      </c>
      <c r="J21" s="122">
        <f t="shared" ref="J21:J50" si="3">IF($C$15&lt;B21,0,1/(1+Equity_Cost)^B21)</f>
        <v>0.93023255813953487</v>
      </c>
      <c r="K21" s="293">
        <f t="shared" ref="K21:K51" si="4">I21*J21</f>
        <v>255160.63067566868</v>
      </c>
    </row>
    <row r="22" spans="1:20">
      <c r="A22" s="318" t="str">
        <f t="shared" si="0"/>
        <v>I</v>
      </c>
      <c r="B22" s="120">
        <v>2</v>
      </c>
      <c r="C22" s="293">
        <f t="shared" ref="C22:C50" si="5">IF(A22="",0,C21*(1+D22))</f>
        <v>8532603.1688191779</v>
      </c>
      <c r="D22" s="315">
        <f t="shared" si="1"/>
        <v>2.0194760895005222E-2</v>
      </c>
      <c r="E22" s="315">
        <f t="shared" ref="E22:E50" si="6">IF($C$15&lt;B22,0,IF(B22&gt;=$F$15,$F$17,$C$17))</f>
        <v>0.89099809462634716</v>
      </c>
      <c r="F22" s="293">
        <f t="shared" ref="F22:F50" si="7">IF(A22="",0,F21*(1+D22))</f>
        <v>-514667.00407149049</v>
      </c>
      <c r="G22" s="293">
        <f t="shared" ref="G22:G50" si="8">IF(A22="", 0,C22*(1-E22)+F22+$I$6)</f>
        <v>336723.11779450835</v>
      </c>
      <c r="H22" s="315">
        <f t="shared" si="2"/>
        <v>0</v>
      </c>
      <c r="I22" s="293">
        <f t="shared" ref="I22:I50" si="9">IF(A22="", 0,(G22+C22*H22)*(1-$I$9))</f>
        <v>281163.80335841444</v>
      </c>
      <c r="J22" s="122">
        <f t="shared" si="3"/>
        <v>0.86533261222282321</v>
      </c>
      <c r="K22" s="293">
        <f t="shared" si="4"/>
        <v>243300.20842264095</v>
      </c>
    </row>
    <row r="23" spans="1:20">
      <c r="A23" s="318" t="str">
        <f t="shared" si="0"/>
        <v>II</v>
      </c>
      <c r="B23" s="120">
        <v>3</v>
      </c>
      <c r="C23" s="293">
        <f t="shared" si="5"/>
        <v>8703255.2321955618</v>
      </c>
      <c r="D23" s="315">
        <f t="shared" si="1"/>
        <v>0.02</v>
      </c>
      <c r="E23" s="315">
        <f t="shared" si="6"/>
        <v>0.86</v>
      </c>
      <c r="F23" s="293">
        <f t="shared" si="7"/>
        <v>-524960.3441529203</v>
      </c>
      <c r="G23" s="293">
        <f t="shared" si="8"/>
        <v>614815.50702189899</v>
      </c>
      <c r="H23" s="315">
        <f t="shared" si="2"/>
        <v>0</v>
      </c>
      <c r="I23" s="293">
        <f t="shared" si="9"/>
        <v>513370.94836328563</v>
      </c>
      <c r="J23" s="122">
        <f t="shared" si="3"/>
        <v>0.80496056950960304</v>
      </c>
      <c r="K23" s="293">
        <f t="shared" si="4"/>
        <v>413243.3709641954</v>
      </c>
      <c r="M23" s="291"/>
      <c r="N23" s="291"/>
      <c r="O23" s="291"/>
      <c r="P23" s="291"/>
      <c r="Q23" s="291"/>
      <c r="R23" s="291"/>
      <c r="S23" s="291"/>
      <c r="T23" s="291"/>
    </row>
    <row r="24" spans="1:20">
      <c r="A24" s="318" t="str">
        <f t="shared" si="0"/>
        <v>II</v>
      </c>
      <c r="B24" s="120">
        <v>4</v>
      </c>
      <c r="C24" s="293">
        <f t="shared" si="5"/>
        <v>8877320.3368394729</v>
      </c>
      <c r="D24" s="315">
        <f t="shared" si="1"/>
        <v>0.02</v>
      </c>
      <c r="E24" s="315">
        <f t="shared" si="6"/>
        <v>0.86</v>
      </c>
      <c r="F24" s="293">
        <f t="shared" si="7"/>
        <v>-535459.55103597871</v>
      </c>
      <c r="G24" s="293">
        <f t="shared" si="8"/>
        <v>628685.41478898807</v>
      </c>
      <c r="H24" s="315">
        <f t="shared" si="2"/>
        <v>0</v>
      </c>
      <c r="I24" s="293">
        <f t="shared" si="9"/>
        <v>524952.32134880498</v>
      </c>
      <c r="J24" s="122">
        <f t="shared" si="3"/>
        <v>0.7488005297763749</v>
      </c>
      <c r="K24" s="293">
        <f t="shared" si="4"/>
        <v>393084.57633332297</v>
      </c>
      <c r="M24" s="291"/>
      <c r="N24" s="291"/>
      <c r="O24" s="291"/>
      <c r="P24" s="291"/>
      <c r="Q24" s="291"/>
      <c r="R24" s="291"/>
      <c r="S24" s="291"/>
      <c r="T24" s="291"/>
    </row>
    <row r="25" spans="1:20">
      <c r="A25" s="318" t="str">
        <f t="shared" si="0"/>
        <v>II</v>
      </c>
      <c r="B25" s="120">
        <v>5</v>
      </c>
      <c r="C25" s="293">
        <f t="shared" si="5"/>
        <v>9054866.7435762621</v>
      </c>
      <c r="D25" s="315">
        <f t="shared" si="1"/>
        <v>0.02</v>
      </c>
      <c r="E25" s="315">
        <f t="shared" si="6"/>
        <v>0.86</v>
      </c>
      <c r="F25" s="293">
        <f t="shared" si="7"/>
        <v>-546168.74205669831</v>
      </c>
      <c r="G25" s="293">
        <f t="shared" si="8"/>
        <v>642832.72071141889</v>
      </c>
      <c r="H25" s="315">
        <f t="shared" si="2"/>
        <v>0</v>
      </c>
      <c r="I25" s="293">
        <f t="shared" si="9"/>
        <v>536765.3217940348</v>
      </c>
      <c r="J25" s="122">
        <f t="shared" si="3"/>
        <v>0.69655863235011617</v>
      </c>
      <c r="K25" s="293">
        <f t="shared" si="4"/>
        <v>373888.5184418229</v>
      </c>
      <c r="M25" s="291"/>
      <c r="N25" s="291"/>
      <c r="O25" s="291"/>
      <c r="P25" s="291"/>
      <c r="Q25" s="291"/>
      <c r="R25" s="291"/>
      <c r="S25" s="291"/>
      <c r="T25" s="291"/>
    </row>
    <row r="26" spans="1:20">
      <c r="A26" s="318" t="str">
        <f t="shared" si="0"/>
        <v/>
      </c>
      <c r="B26" s="120">
        <v>6</v>
      </c>
      <c r="C26" s="293">
        <f t="shared" si="5"/>
        <v>0</v>
      </c>
      <c r="D26" s="315">
        <f t="shared" si="1"/>
        <v>0</v>
      </c>
      <c r="E26" s="315">
        <f t="shared" si="6"/>
        <v>0</v>
      </c>
      <c r="F26" s="293">
        <f t="shared" si="7"/>
        <v>0</v>
      </c>
      <c r="G26" s="293">
        <f t="shared" si="8"/>
        <v>0</v>
      </c>
      <c r="H26" s="315">
        <f t="shared" si="2"/>
        <v>0</v>
      </c>
      <c r="I26" s="293">
        <f t="shared" si="9"/>
        <v>0</v>
      </c>
      <c r="J26" s="122">
        <f t="shared" si="3"/>
        <v>0</v>
      </c>
      <c r="K26" s="293">
        <f t="shared" si="4"/>
        <v>0</v>
      </c>
    </row>
    <row r="27" spans="1:20">
      <c r="A27" s="318" t="str">
        <f t="shared" si="0"/>
        <v/>
      </c>
      <c r="B27" s="120">
        <v>7</v>
      </c>
      <c r="C27" s="293">
        <f t="shared" si="5"/>
        <v>0</v>
      </c>
      <c r="D27" s="315">
        <f t="shared" si="1"/>
        <v>0</v>
      </c>
      <c r="E27" s="315">
        <f t="shared" si="6"/>
        <v>0</v>
      </c>
      <c r="F27" s="293">
        <f t="shared" si="7"/>
        <v>0</v>
      </c>
      <c r="G27" s="293">
        <f t="shared" si="8"/>
        <v>0</v>
      </c>
      <c r="H27" s="315">
        <f t="shared" si="2"/>
        <v>0</v>
      </c>
      <c r="I27" s="293">
        <f t="shared" si="9"/>
        <v>0</v>
      </c>
      <c r="J27" s="122">
        <f t="shared" si="3"/>
        <v>0</v>
      </c>
      <c r="K27" s="293">
        <f t="shared" si="4"/>
        <v>0</v>
      </c>
    </row>
    <row r="28" spans="1:20">
      <c r="A28" s="318" t="str">
        <f t="shared" si="0"/>
        <v/>
      </c>
      <c r="B28" s="120">
        <v>8</v>
      </c>
      <c r="C28" s="293">
        <f t="shared" si="5"/>
        <v>0</v>
      </c>
      <c r="D28" s="315">
        <f t="shared" si="1"/>
        <v>0</v>
      </c>
      <c r="E28" s="315">
        <f t="shared" si="6"/>
        <v>0</v>
      </c>
      <c r="F28" s="293">
        <f t="shared" si="7"/>
        <v>0</v>
      </c>
      <c r="G28" s="293">
        <f t="shared" si="8"/>
        <v>0</v>
      </c>
      <c r="H28" s="315">
        <f t="shared" si="2"/>
        <v>0</v>
      </c>
      <c r="I28" s="293">
        <f t="shared" si="9"/>
        <v>0</v>
      </c>
      <c r="J28" s="122">
        <f t="shared" si="3"/>
        <v>0</v>
      </c>
      <c r="K28" s="293">
        <f t="shared" si="4"/>
        <v>0</v>
      </c>
    </row>
    <row r="29" spans="1:20">
      <c r="A29" s="318" t="str">
        <f t="shared" si="0"/>
        <v/>
      </c>
      <c r="B29" s="120">
        <v>9</v>
      </c>
      <c r="C29" s="293">
        <f t="shared" si="5"/>
        <v>0</v>
      </c>
      <c r="D29" s="315">
        <f t="shared" si="1"/>
        <v>0</v>
      </c>
      <c r="E29" s="315">
        <f t="shared" si="6"/>
        <v>0</v>
      </c>
      <c r="F29" s="293">
        <f t="shared" si="7"/>
        <v>0</v>
      </c>
      <c r="G29" s="293">
        <f t="shared" si="8"/>
        <v>0</v>
      </c>
      <c r="H29" s="315">
        <f t="shared" si="2"/>
        <v>0</v>
      </c>
      <c r="I29" s="293">
        <f t="shared" si="9"/>
        <v>0</v>
      </c>
      <c r="J29" s="122">
        <f t="shared" si="3"/>
        <v>0</v>
      </c>
      <c r="K29" s="293">
        <f t="shared" si="4"/>
        <v>0</v>
      </c>
    </row>
    <row r="30" spans="1:20">
      <c r="A30" s="318" t="str">
        <f t="shared" si="0"/>
        <v/>
      </c>
      <c r="B30" s="120">
        <v>10</v>
      </c>
      <c r="C30" s="293">
        <f t="shared" si="5"/>
        <v>0</v>
      </c>
      <c r="D30" s="315">
        <f t="shared" si="1"/>
        <v>0</v>
      </c>
      <c r="E30" s="315">
        <f t="shared" si="6"/>
        <v>0</v>
      </c>
      <c r="F30" s="293">
        <f t="shared" si="7"/>
        <v>0</v>
      </c>
      <c r="G30" s="293">
        <f t="shared" si="8"/>
        <v>0</v>
      </c>
      <c r="H30" s="315">
        <f t="shared" si="2"/>
        <v>0</v>
      </c>
      <c r="I30" s="293">
        <f t="shared" si="9"/>
        <v>0</v>
      </c>
      <c r="J30" s="122">
        <f t="shared" si="3"/>
        <v>0</v>
      </c>
      <c r="K30" s="293">
        <f t="shared" si="4"/>
        <v>0</v>
      </c>
    </row>
    <row r="31" spans="1:20">
      <c r="A31" s="318" t="str">
        <f t="shared" si="0"/>
        <v/>
      </c>
      <c r="B31" s="120">
        <v>11</v>
      </c>
      <c r="C31" s="293">
        <f t="shared" si="5"/>
        <v>0</v>
      </c>
      <c r="D31" s="315">
        <f t="shared" si="1"/>
        <v>0</v>
      </c>
      <c r="E31" s="315">
        <f t="shared" si="6"/>
        <v>0</v>
      </c>
      <c r="F31" s="293">
        <f t="shared" si="7"/>
        <v>0</v>
      </c>
      <c r="G31" s="293">
        <f t="shared" si="8"/>
        <v>0</v>
      </c>
      <c r="H31" s="315">
        <f t="shared" si="2"/>
        <v>0</v>
      </c>
      <c r="I31" s="293">
        <f t="shared" si="9"/>
        <v>0</v>
      </c>
      <c r="J31" s="122">
        <f t="shared" si="3"/>
        <v>0</v>
      </c>
      <c r="K31" s="293">
        <f t="shared" si="4"/>
        <v>0</v>
      </c>
    </row>
    <row r="32" spans="1:20">
      <c r="A32" s="318" t="str">
        <f t="shared" si="0"/>
        <v/>
      </c>
      <c r="B32" s="120">
        <v>12</v>
      </c>
      <c r="C32" s="293">
        <f t="shared" si="5"/>
        <v>0</v>
      </c>
      <c r="D32" s="315">
        <f t="shared" si="1"/>
        <v>0</v>
      </c>
      <c r="E32" s="315">
        <f t="shared" si="6"/>
        <v>0</v>
      </c>
      <c r="F32" s="293">
        <f t="shared" si="7"/>
        <v>0</v>
      </c>
      <c r="G32" s="293">
        <f t="shared" si="8"/>
        <v>0</v>
      </c>
      <c r="H32" s="315">
        <f t="shared" si="2"/>
        <v>0</v>
      </c>
      <c r="I32" s="293">
        <f t="shared" si="9"/>
        <v>0</v>
      </c>
      <c r="J32" s="122">
        <f t="shared" si="3"/>
        <v>0</v>
      </c>
      <c r="K32" s="293">
        <f t="shared" si="4"/>
        <v>0</v>
      </c>
    </row>
    <row r="33" spans="1:20">
      <c r="A33" s="318" t="str">
        <f t="shared" si="0"/>
        <v/>
      </c>
      <c r="B33" s="120">
        <v>13</v>
      </c>
      <c r="C33" s="293">
        <f t="shared" si="5"/>
        <v>0</v>
      </c>
      <c r="D33" s="315">
        <f t="shared" si="1"/>
        <v>0</v>
      </c>
      <c r="E33" s="315">
        <f t="shared" si="6"/>
        <v>0</v>
      </c>
      <c r="F33" s="293">
        <f t="shared" si="7"/>
        <v>0</v>
      </c>
      <c r="G33" s="293">
        <f t="shared" si="8"/>
        <v>0</v>
      </c>
      <c r="H33" s="315">
        <f t="shared" si="2"/>
        <v>0</v>
      </c>
      <c r="I33" s="293">
        <f t="shared" si="9"/>
        <v>0</v>
      </c>
      <c r="J33" s="122">
        <f t="shared" si="3"/>
        <v>0</v>
      </c>
      <c r="K33" s="293">
        <f t="shared" si="4"/>
        <v>0</v>
      </c>
      <c r="M33" s="291"/>
      <c r="N33" s="291"/>
      <c r="O33" s="291"/>
      <c r="P33" s="291"/>
      <c r="Q33" s="291"/>
      <c r="R33" s="291"/>
      <c r="S33" s="291"/>
      <c r="T33" s="291"/>
    </row>
    <row r="34" spans="1:20">
      <c r="A34" s="318" t="str">
        <f t="shared" si="0"/>
        <v/>
      </c>
      <c r="B34" s="120">
        <v>14</v>
      </c>
      <c r="C34" s="293">
        <f t="shared" si="5"/>
        <v>0</v>
      </c>
      <c r="D34" s="315">
        <f t="shared" si="1"/>
        <v>0</v>
      </c>
      <c r="E34" s="315">
        <f t="shared" si="6"/>
        <v>0</v>
      </c>
      <c r="F34" s="293">
        <f t="shared" si="7"/>
        <v>0</v>
      </c>
      <c r="G34" s="293">
        <f t="shared" si="8"/>
        <v>0</v>
      </c>
      <c r="H34" s="315">
        <f t="shared" si="2"/>
        <v>0</v>
      </c>
      <c r="I34" s="293">
        <f t="shared" si="9"/>
        <v>0</v>
      </c>
      <c r="J34" s="122">
        <f t="shared" si="3"/>
        <v>0</v>
      </c>
      <c r="K34" s="293">
        <f t="shared" si="4"/>
        <v>0</v>
      </c>
      <c r="M34" s="291"/>
      <c r="N34" s="291"/>
      <c r="O34" s="291"/>
      <c r="P34" s="291"/>
      <c r="Q34" s="291"/>
      <c r="R34" s="291"/>
      <c r="S34" s="291"/>
      <c r="T34" s="291"/>
    </row>
    <row r="35" spans="1:20">
      <c r="A35" s="318" t="str">
        <f t="shared" si="0"/>
        <v/>
      </c>
      <c r="B35" s="120">
        <v>15</v>
      </c>
      <c r="C35" s="293">
        <f t="shared" si="5"/>
        <v>0</v>
      </c>
      <c r="D35" s="315">
        <f t="shared" si="1"/>
        <v>0</v>
      </c>
      <c r="E35" s="315">
        <f t="shared" si="6"/>
        <v>0</v>
      </c>
      <c r="F35" s="293">
        <f t="shared" si="7"/>
        <v>0</v>
      </c>
      <c r="G35" s="293">
        <f t="shared" si="8"/>
        <v>0</v>
      </c>
      <c r="H35" s="315">
        <f t="shared" si="2"/>
        <v>0</v>
      </c>
      <c r="I35" s="293">
        <f t="shared" si="9"/>
        <v>0</v>
      </c>
      <c r="J35" s="122">
        <f t="shared" si="3"/>
        <v>0</v>
      </c>
      <c r="K35" s="293">
        <f t="shared" si="4"/>
        <v>0</v>
      </c>
      <c r="M35" s="291"/>
      <c r="N35" s="291"/>
      <c r="O35" s="291"/>
      <c r="P35" s="291"/>
      <c r="Q35" s="291"/>
      <c r="R35" s="291"/>
      <c r="S35" s="291"/>
      <c r="T35" s="291"/>
    </row>
    <row r="36" spans="1:20">
      <c r="A36" s="318" t="str">
        <f t="shared" si="0"/>
        <v/>
      </c>
      <c r="B36" s="120">
        <v>16</v>
      </c>
      <c r="C36" s="293">
        <f t="shared" si="5"/>
        <v>0</v>
      </c>
      <c r="D36" s="315">
        <f t="shared" si="1"/>
        <v>0</v>
      </c>
      <c r="E36" s="315">
        <f t="shared" si="6"/>
        <v>0</v>
      </c>
      <c r="F36" s="293">
        <f t="shared" si="7"/>
        <v>0</v>
      </c>
      <c r="G36" s="293">
        <f t="shared" si="8"/>
        <v>0</v>
      </c>
      <c r="H36" s="315">
        <f t="shared" si="2"/>
        <v>0</v>
      </c>
      <c r="I36" s="293">
        <f t="shared" si="9"/>
        <v>0</v>
      </c>
      <c r="J36" s="122">
        <f t="shared" si="3"/>
        <v>0</v>
      </c>
      <c r="K36" s="293">
        <f t="shared" si="4"/>
        <v>0</v>
      </c>
    </row>
    <row r="37" spans="1:20">
      <c r="A37" s="318" t="str">
        <f t="shared" si="0"/>
        <v/>
      </c>
      <c r="B37" s="120">
        <v>17</v>
      </c>
      <c r="C37" s="293">
        <f t="shared" si="5"/>
        <v>0</v>
      </c>
      <c r="D37" s="315">
        <f t="shared" si="1"/>
        <v>0</v>
      </c>
      <c r="E37" s="315">
        <f t="shared" si="6"/>
        <v>0</v>
      </c>
      <c r="F37" s="293">
        <f t="shared" si="7"/>
        <v>0</v>
      </c>
      <c r="G37" s="293">
        <f t="shared" si="8"/>
        <v>0</v>
      </c>
      <c r="H37" s="315">
        <f t="shared" si="2"/>
        <v>0</v>
      </c>
      <c r="I37" s="293">
        <f t="shared" si="9"/>
        <v>0</v>
      </c>
      <c r="J37" s="122">
        <f t="shared" si="3"/>
        <v>0</v>
      </c>
      <c r="K37" s="293">
        <f t="shared" si="4"/>
        <v>0</v>
      </c>
    </row>
    <row r="38" spans="1:20">
      <c r="A38" s="318" t="str">
        <f t="shared" si="0"/>
        <v/>
      </c>
      <c r="B38" s="120">
        <v>18</v>
      </c>
      <c r="C38" s="293">
        <f t="shared" si="5"/>
        <v>0</v>
      </c>
      <c r="D38" s="315">
        <f t="shared" si="1"/>
        <v>0</v>
      </c>
      <c r="E38" s="315">
        <f t="shared" si="6"/>
        <v>0</v>
      </c>
      <c r="F38" s="293">
        <f t="shared" si="7"/>
        <v>0</v>
      </c>
      <c r="G38" s="293">
        <f t="shared" si="8"/>
        <v>0</v>
      </c>
      <c r="H38" s="315">
        <f t="shared" si="2"/>
        <v>0</v>
      </c>
      <c r="I38" s="293">
        <f t="shared" si="9"/>
        <v>0</v>
      </c>
      <c r="J38" s="122">
        <f t="shared" si="3"/>
        <v>0</v>
      </c>
      <c r="K38" s="293">
        <f t="shared" si="4"/>
        <v>0</v>
      </c>
    </row>
    <row r="39" spans="1:20">
      <c r="A39" s="318" t="str">
        <f t="shared" si="0"/>
        <v/>
      </c>
      <c r="B39" s="120">
        <v>19</v>
      </c>
      <c r="C39" s="293">
        <f t="shared" si="5"/>
        <v>0</v>
      </c>
      <c r="D39" s="315">
        <f t="shared" si="1"/>
        <v>0</v>
      </c>
      <c r="E39" s="315">
        <f t="shared" si="6"/>
        <v>0</v>
      </c>
      <c r="F39" s="293">
        <f t="shared" si="7"/>
        <v>0</v>
      </c>
      <c r="G39" s="293">
        <f t="shared" si="8"/>
        <v>0</v>
      </c>
      <c r="H39" s="315">
        <f t="shared" si="2"/>
        <v>0</v>
      </c>
      <c r="I39" s="293">
        <f t="shared" si="9"/>
        <v>0</v>
      </c>
      <c r="J39" s="122">
        <f t="shared" si="3"/>
        <v>0</v>
      </c>
      <c r="K39" s="293">
        <f t="shared" si="4"/>
        <v>0</v>
      </c>
    </row>
    <row r="40" spans="1:20">
      <c r="A40" s="318" t="str">
        <f t="shared" si="0"/>
        <v/>
      </c>
      <c r="B40" s="120">
        <v>20</v>
      </c>
      <c r="C40" s="293">
        <f t="shared" si="5"/>
        <v>0</v>
      </c>
      <c r="D40" s="315">
        <f t="shared" si="1"/>
        <v>0</v>
      </c>
      <c r="E40" s="315">
        <f t="shared" si="6"/>
        <v>0</v>
      </c>
      <c r="F40" s="293">
        <f t="shared" si="7"/>
        <v>0</v>
      </c>
      <c r="G40" s="293">
        <f t="shared" si="8"/>
        <v>0</v>
      </c>
      <c r="H40" s="315">
        <f t="shared" si="2"/>
        <v>0</v>
      </c>
      <c r="I40" s="293">
        <f t="shared" si="9"/>
        <v>0</v>
      </c>
      <c r="J40" s="122">
        <f t="shared" si="3"/>
        <v>0</v>
      </c>
      <c r="K40" s="293">
        <f t="shared" si="4"/>
        <v>0</v>
      </c>
    </row>
    <row r="41" spans="1:20">
      <c r="A41" s="318" t="str">
        <f t="shared" si="0"/>
        <v/>
      </c>
      <c r="B41" s="120">
        <v>21</v>
      </c>
      <c r="C41" s="293">
        <f t="shared" si="5"/>
        <v>0</v>
      </c>
      <c r="D41" s="315">
        <f t="shared" si="1"/>
        <v>0</v>
      </c>
      <c r="E41" s="315">
        <f t="shared" si="6"/>
        <v>0</v>
      </c>
      <c r="F41" s="293">
        <f t="shared" si="7"/>
        <v>0</v>
      </c>
      <c r="G41" s="293">
        <f t="shared" si="8"/>
        <v>0</v>
      </c>
      <c r="H41" s="315">
        <f t="shared" si="2"/>
        <v>0</v>
      </c>
      <c r="I41" s="293">
        <f t="shared" si="9"/>
        <v>0</v>
      </c>
      <c r="J41" s="122">
        <f t="shared" si="3"/>
        <v>0</v>
      </c>
      <c r="K41" s="293">
        <f t="shared" si="4"/>
        <v>0</v>
      </c>
    </row>
    <row r="42" spans="1:20">
      <c r="A42" s="318" t="str">
        <f t="shared" si="0"/>
        <v/>
      </c>
      <c r="B42" s="120">
        <v>22</v>
      </c>
      <c r="C42" s="293">
        <f t="shared" si="5"/>
        <v>0</v>
      </c>
      <c r="D42" s="315">
        <f t="shared" si="1"/>
        <v>0</v>
      </c>
      <c r="E42" s="315">
        <f t="shared" si="6"/>
        <v>0</v>
      </c>
      <c r="F42" s="293">
        <f t="shared" si="7"/>
        <v>0</v>
      </c>
      <c r="G42" s="293">
        <f t="shared" si="8"/>
        <v>0</v>
      </c>
      <c r="H42" s="315">
        <f t="shared" si="2"/>
        <v>0</v>
      </c>
      <c r="I42" s="293">
        <f t="shared" si="9"/>
        <v>0</v>
      </c>
      <c r="J42" s="122">
        <f t="shared" si="3"/>
        <v>0</v>
      </c>
      <c r="K42" s="293">
        <f t="shared" si="4"/>
        <v>0</v>
      </c>
    </row>
    <row r="43" spans="1:20">
      <c r="A43" s="318" t="str">
        <f t="shared" si="0"/>
        <v/>
      </c>
      <c r="B43" s="120">
        <v>23</v>
      </c>
      <c r="C43" s="293">
        <f t="shared" si="5"/>
        <v>0</v>
      </c>
      <c r="D43" s="315">
        <f t="shared" si="1"/>
        <v>0</v>
      </c>
      <c r="E43" s="315">
        <f t="shared" si="6"/>
        <v>0</v>
      </c>
      <c r="F43" s="293">
        <f t="shared" si="7"/>
        <v>0</v>
      </c>
      <c r="G43" s="293">
        <f t="shared" si="8"/>
        <v>0</v>
      </c>
      <c r="H43" s="315">
        <f t="shared" si="2"/>
        <v>0</v>
      </c>
      <c r="I43" s="293">
        <f t="shared" si="9"/>
        <v>0</v>
      </c>
      <c r="J43" s="122">
        <f t="shared" si="3"/>
        <v>0</v>
      </c>
      <c r="K43" s="293">
        <f t="shared" si="4"/>
        <v>0</v>
      </c>
    </row>
    <row r="44" spans="1:20">
      <c r="A44" s="318" t="str">
        <f t="shared" si="0"/>
        <v/>
      </c>
      <c r="B44" s="120">
        <v>24</v>
      </c>
      <c r="C44" s="293">
        <f t="shared" si="5"/>
        <v>0</v>
      </c>
      <c r="D44" s="315">
        <f t="shared" si="1"/>
        <v>0</v>
      </c>
      <c r="E44" s="315">
        <f t="shared" si="6"/>
        <v>0</v>
      </c>
      <c r="F44" s="293">
        <f t="shared" si="7"/>
        <v>0</v>
      </c>
      <c r="G44" s="293">
        <f t="shared" si="8"/>
        <v>0</v>
      </c>
      <c r="H44" s="315">
        <f t="shared" si="2"/>
        <v>0</v>
      </c>
      <c r="I44" s="293">
        <f t="shared" si="9"/>
        <v>0</v>
      </c>
      <c r="J44" s="122">
        <f t="shared" si="3"/>
        <v>0</v>
      </c>
      <c r="K44" s="293">
        <f t="shared" si="4"/>
        <v>0</v>
      </c>
    </row>
    <row r="45" spans="1:20">
      <c r="A45" s="318" t="str">
        <f t="shared" si="0"/>
        <v/>
      </c>
      <c r="B45" s="120">
        <v>25</v>
      </c>
      <c r="C45" s="293">
        <f t="shared" si="5"/>
        <v>0</v>
      </c>
      <c r="D45" s="315">
        <f t="shared" si="1"/>
        <v>0</v>
      </c>
      <c r="E45" s="315">
        <f t="shared" si="6"/>
        <v>0</v>
      </c>
      <c r="F45" s="293">
        <f t="shared" si="7"/>
        <v>0</v>
      </c>
      <c r="G45" s="293">
        <f t="shared" si="8"/>
        <v>0</v>
      </c>
      <c r="H45" s="315">
        <f t="shared" si="2"/>
        <v>0</v>
      </c>
      <c r="I45" s="293">
        <f t="shared" si="9"/>
        <v>0</v>
      </c>
      <c r="J45" s="122">
        <f t="shared" si="3"/>
        <v>0</v>
      </c>
      <c r="K45" s="293">
        <f t="shared" si="4"/>
        <v>0</v>
      </c>
    </row>
    <row r="46" spans="1:20">
      <c r="A46" s="318" t="str">
        <f t="shared" si="0"/>
        <v/>
      </c>
      <c r="B46" s="120">
        <v>26</v>
      </c>
      <c r="C46" s="293">
        <f t="shared" si="5"/>
        <v>0</v>
      </c>
      <c r="D46" s="315">
        <f t="shared" si="1"/>
        <v>0</v>
      </c>
      <c r="E46" s="315">
        <f t="shared" si="6"/>
        <v>0</v>
      </c>
      <c r="F46" s="293">
        <f t="shared" si="7"/>
        <v>0</v>
      </c>
      <c r="G46" s="293">
        <f t="shared" si="8"/>
        <v>0</v>
      </c>
      <c r="H46" s="315">
        <f t="shared" si="2"/>
        <v>0</v>
      </c>
      <c r="I46" s="293">
        <f t="shared" si="9"/>
        <v>0</v>
      </c>
      <c r="J46" s="122">
        <f t="shared" si="3"/>
        <v>0</v>
      </c>
      <c r="K46" s="293">
        <f t="shared" si="4"/>
        <v>0</v>
      </c>
    </row>
    <row r="47" spans="1:20">
      <c r="A47" s="318" t="str">
        <f t="shared" si="0"/>
        <v/>
      </c>
      <c r="B47" s="120">
        <v>27</v>
      </c>
      <c r="C47" s="293">
        <f t="shared" si="5"/>
        <v>0</v>
      </c>
      <c r="D47" s="315">
        <f t="shared" si="1"/>
        <v>0</v>
      </c>
      <c r="E47" s="315">
        <f t="shared" si="6"/>
        <v>0</v>
      </c>
      <c r="F47" s="293">
        <f t="shared" si="7"/>
        <v>0</v>
      </c>
      <c r="G47" s="293">
        <f t="shared" si="8"/>
        <v>0</v>
      </c>
      <c r="H47" s="315">
        <f t="shared" si="2"/>
        <v>0</v>
      </c>
      <c r="I47" s="293">
        <f t="shared" si="9"/>
        <v>0</v>
      </c>
      <c r="J47" s="122">
        <f t="shared" si="3"/>
        <v>0</v>
      </c>
      <c r="K47" s="293">
        <f t="shared" si="4"/>
        <v>0</v>
      </c>
      <c r="M47" s="291"/>
      <c r="N47" s="291"/>
      <c r="O47" s="291"/>
      <c r="P47" s="291"/>
      <c r="Q47" s="291"/>
      <c r="R47" s="291"/>
      <c r="S47" s="291"/>
      <c r="T47" s="291"/>
    </row>
    <row r="48" spans="1:20">
      <c r="A48" s="318" t="str">
        <f t="shared" si="0"/>
        <v/>
      </c>
      <c r="B48" s="120">
        <v>28</v>
      </c>
      <c r="C48" s="293">
        <f t="shared" si="5"/>
        <v>0</v>
      </c>
      <c r="D48" s="315">
        <f t="shared" si="1"/>
        <v>0</v>
      </c>
      <c r="E48" s="315">
        <f t="shared" si="6"/>
        <v>0</v>
      </c>
      <c r="F48" s="293">
        <f t="shared" si="7"/>
        <v>0</v>
      </c>
      <c r="G48" s="293">
        <f t="shared" si="8"/>
        <v>0</v>
      </c>
      <c r="H48" s="315">
        <f t="shared" si="2"/>
        <v>0</v>
      </c>
      <c r="I48" s="293">
        <f t="shared" si="9"/>
        <v>0</v>
      </c>
      <c r="J48" s="122">
        <f t="shared" si="3"/>
        <v>0</v>
      </c>
      <c r="K48" s="293">
        <f t="shared" si="4"/>
        <v>0</v>
      </c>
      <c r="M48" s="291"/>
      <c r="N48" s="291"/>
      <c r="O48" s="291"/>
      <c r="P48" s="291"/>
      <c r="Q48" s="291"/>
      <c r="R48" s="291"/>
      <c r="S48" s="291"/>
      <c r="T48" s="291"/>
    </row>
    <row r="49" spans="1:20">
      <c r="A49" s="318" t="str">
        <f t="shared" si="0"/>
        <v/>
      </c>
      <c r="B49" s="120">
        <v>29</v>
      </c>
      <c r="C49" s="293">
        <f t="shared" si="5"/>
        <v>0</v>
      </c>
      <c r="D49" s="315">
        <f t="shared" si="1"/>
        <v>0</v>
      </c>
      <c r="E49" s="315">
        <f t="shared" si="6"/>
        <v>0</v>
      </c>
      <c r="F49" s="293">
        <f t="shared" si="7"/>
        <v>0</v>
      </c>
      <c r="G49" s="293">
        <f t="shared" si="8"/>
        <v>0</v>
      </c>
      <c r="H49" s="315">
        <f t="shared" si="2"/>
        <v>0</v>
      </c>
      <c r="I49" s="293">
        <f t="shared" si="9"/>
        <v>0</v>
      </c>
      <c r="J49" s="122">
        <f t="shared" si="3"/>
        <v>0</v>
      </c>
      <c r="K49" s="293">
        <f t="shared" si="4"/>
        <v>0</v>
      </c>
      <c r="M49" s="291"/>
      <c r="N49" s="291"/>
      <c r="O49" s="291"/>
      <c r="P49" s="291"/>
      <c r="Q49" s="291"/>
      <c r="R49" s="291"/>
      <c r="S49" s="291"/>
      <c r="T49" s="291"/>
    </row>
    <row r="50" spans="1:20">
      <c r="A50" s="318" t="str">
        <f t="shared" si="0"/>
        <v/>
      </c>
      <c r="B50" s="120">
        <v>30</v>
      </c>
      <c r="C50" s="293">
        <f t="shared" si="5"/>
        <v>0</v>
      </c>
      <c r="D50" s="315">
        <f t="shared" si="1"/>
        <v>0</v>
      </c>
      <c r="E50" s="315">
        <f t="shared" si="6"/>
        <v>0</v>
      </c>
      <c r="F50" s="293">
        <f t="shared" si="7"/>
        <v>0</v>
      </c>
      <c r="G50" s="293">
        <f t="shared" si="8"/>
        <v>0</v>
      </c>
      <c r="H50" s="315">
        <f t="shared" si="2"/>
        <v>0</v>
      </c>
      <c r="I50" s="293">
        <f t="shared" si="9"/>
        <v>0</v>
      </c>
      <c r="J50" s="122">
        <f t="shared" si="3"/>
        <v>0</v>
      </c>
      <c r="K50" s="293">
        <f t="shared" si="4"/>
        <v>0</v>
      </c>
      <c r="M50" s="291"/>
      <c r="N50" s="291"/>
      <c r="O50" s="291"/>
      <c r="P50" s="291"/>
      <c r="Q50" s="291"/>
      <c r="R50" s="291"/>
      <c r="S50" s="291"/>
      <c r="T50" s="291"/>
    </row>
    <row r="51" spans="1:20">
      <c r="A51" s="332" t="s">
        <v>439</v>
      </c>
      <c r="B51" s="333">
        <f>C15+1</f>
        <v>6</v>
      </c>
      <c r="C51" s="293">
        <f>VLOOKUP(C15,B21:C50,2,FALSE)*(1+Terminal_Growth)</f>
        <v>9054866.7435762621</v>
      </c>
      <c r="D51" s="317">
        <f>Terminal_Growth</f>
        <v>0</v>
      </c>
      <c r="E51" s="317">
        <f>F17</f>
        <v>0.86</v>
      </c>
      <c r="F51" s="293">
        <f>VLOOKUP(C15,B21:F50,5,FALSE)*(1+Terminal_Growth)</f>
        <v>-546168.74205669831</v>
      </c>
      <c r="G51" s="293">
        <f>C51*(1-E51)+F51+$I$6</f>
        <v>642832.72071141889</v>
      </c>
      <c r="H51" s="315">
        <f>F18</f>
        <v>0</v>
      </c>
      <c r="I51" s="293">
        <f>(G51+C51*H51)*(1-$I$9)/Equity_Cost</f>
        <v>7156870.9572537979</v>
      </c>
      <c r="J51" s="122">
        <f>1/(1+Equity_Cost)^C15</f>
        <v>0.69655863235011617</v>
      </c>
      <c r="K51" s="293">
        <f t="shared" si="4"/>
        <v>4985180.2458909722</v>
      </c>
    </row>
    <row r="52" spans="1:20" ht="13.15">
      <c r="G52" s="113"/>
      <c r="H52" s="113"/>
      <c r="I52" s="113"/>
      <c r="J52" s="334" t="s">
        <v>442</v>
      </c>
      <c r="K52" s="335">
        <f>SUM(K21:K51)</f>
        <v>6663857.5507286228</v>
      </c>
    </row>
    <row r="53" spans="1:20">
      <c r="C53" s="113"/>
    </row>
    <row r="54" spans="1:20" ht="13.15">
      <c r="B54" s="117" t="s">
        <v>110</v>
      </c>
      <c r="C54" s="131"/>
      <c r="D54" s="131"/>
      <c r="E54" s="115"/>
      <c r="F54" s="115"/>
      <c r="G54" s="115"/>
      <c r="H54" s="115"/>
      <c r="I54" s="115"/>
      <c r="J54" s="115"/>
      <c r="K54" s="115"/>
    </row>
    <row r="55" spans="1:20" ht="13.15">
      <c r="A55" s="128">
        <f>K52</f>
        <v>6663857.5507286228</v>
      </c>
      <c r="B55" s="126">
        <f>C78</f>
        <v>0</v>
      </c>
      <c r="C55" s="126">
        <f>C77</f>
        <v>0.01</v>
      </c>
      <c r="D55" s="126">
        <f>C76</f>
        <v>0.02</v>
      </c>
      <c r="E55" s="126">
        <f>C75</f>
        <v>0.03</v>
      </c>
      <c r="F55" s="126">
        <f>C74</f>
        <v>0.04</v>
      </c>
      <c r="G55" s="126"/>
      <c r="H55" s="126"/>
      <c r="I55" s="126"/>
      <c r="J55" s="126"/>
      <c r="K55" s="126"/>
    </row>
    <row r="56" spans="1:20" ht="13.15">
      <c r="A56" s="134">
        <v>5</v>
      </c>
      <c r="B56" s="121">
        <f t="dataTable" ref="B56:F61" dt2D="1" dtr="1" r1="C16" r2="C15"/>
        <v>6374446.8747799676</v>
      </c>
      <c r="C56" s="121">
        <v>6517049.0982943252</v>
      </c>
      <c r="D56" s="121">
        <v>6661039.4022307005</v>
      </c>
      <c r="E56" s="121">
        <v>6806417.7865890777</v>
      </c>
      <c r="F56" s="121">
        <v>6953184.2513694745</v>
      </c>
      <c r="G56" s="311"/>
      <c r="H56" s="311"/>
      <c r="I56" s="311"/>
      <c r="J56" s="311"/>
      <c r="K56" s="311"/>
    </row>
    <row r="57" spans="1:20" ht="13.15">
      <c r="A57" s="134">
        <v>10</v>
      </c>
      <c r="B57" s="121">
        <v>6261537.0185373807</v>
      </c>
      <c r="C57" s="121">
        <v>6533183.7297049463</v>
      </c>
      <c r="D57" s="121">
        <v>6812727.0748772994</v>
      </c>
      <c r="E57" s="121">
        <v>7100321.4213505238</v>
      </c>
      <c r="F57" s="121">
        <v>7396122.6414227504</v>
      </c>
      <c r="G57" s="311"/>
      <c r="H57" s="311"/>
      <c r="I57" s="311"/>
      <c r="J57" s="311"/>
      <c r="K57" s="311"/>
    </row>
    <row r="58" spans="1:20" ht="13.15">
      <c r="A58" s="134">
        <v>15</v>
      </c>
      <c r="B58" s="121">
        <v>5860787.1227321271</v>
      </c>
      <c r="C58" s="293">
        <v>6286188.7560527697</v>
      </c>
      <c r="D58" s="121">
        <v>6736104.9127758387</v>
      </c>
      <c r="E58" s="121">
        <v>7211737.7687480133</v>
      </c>
      <c r="F58" s="121">
        <v>7714336.7651831247</v>
      </c>
      <c r="G58" s="311"/>
      <c r="H58" s="311"/>
      <c r="I58" s="311"/>
      <c r="J58" s="311"/>
      <c r="K58" s="311"/>
      <c r="L58" s="291"/>
      <c r="M58" s="291"/>
      <c r="N58" s="291"/>
      <c r="O58" s="291"/>
      <c r="P58" s="291"/>
      <c r="Q58" s="291"/>
      <c r="R58" s="291"/>
      <c r="S58" s="291"/>
      <c r="T58" s="291"/>
    </row>
    <row r="59" spans="1:20" ht="13.15">
      <c r="A59" s="135">
        <v>20</v>
      </c>
      <c r="B59" s="121">
        <v>5693969.5440412052</v>
      </c>
      <c r="C59" s="293">
        <v>6208856.6083024014</v>
      </c>
      <c r="D59" s="121">
        <v>6763079.4737107363</v>
      </c>
      <c r="E59" s="121">
        <v>7359345.5430752598</v>
      </c>
      <c r="F59" s="121">
        <v>8000522.7908170223</v>
      </c>
      <c r="G59" s="311"/>
      <c r="H59" s="311"/>
      <c r="I59" s="311"/>
      <c r="J59" s="311"/>
      <c r="K59" s="311"/>
      <c r="L59" s="291"/>
      <c r="M59" s="291"/>
      <c r="N59" s="291"/>
      <c r="O59" s="291"/>
      <c r="P59" s="291"/>
      <c r="Q59" s="291"/>
      <c r="R59" s="291"/>
      <c r="S59" s="291"/>
      <c r="T59" s="291"/>
    </row>
    <row r="60" spans="1:20" ht="13.15">
      <c r="A60" s="135">
        <v>25</v>
      </c>
      <c r="B60" s="121">
        <v>5346027.6328347782</v>
      </c>
      <c r="C60" s="293">
        <v>5958794.2967086127</v>
      </c>
      <c r="D60" s="121">
        <v>6635182.1623311117</v>
      </c>
      <c r="E60" s="121">
        <v>7381461.8877938213</v>
      </c>
      <c r="F60" s="121">
        <v>8204466.337076975</v>
      </c>
      <c r="G60" s="311"/>
      <c r="H60" s="311"/>
      <c r="I60" s="311"/>
      <c r="J60" s="311"/>
      <c r="K60" s="311"/>
      <c r="L60" s="291"/>
      <c r="M60" s="291"/>
      <c r="N60" s="291"/>
      <c r="O60" s="291"/>
      <c r="P60" s="291"/>
      <c r="Q60" s="291"/>
      <c r="R60" s="291"/>
      <c r="S60" s="291"/>
      <c r="T60" s="291"/>
    </row>
    <row r="61" spans="1:20" ht="13.15">
      <c r="A61" s="135">
        <v>30</v>
      </c>
      <c r="B61" s="121">
        <v>5182597.7350994777</v>
      </c>
      <c r="C61" s="293">
        <v>5851990.339859046</v>
      </c>
      <c r="D61" s="121">
        <v>6602884.8906940194</v>
      </c>
      <c r="E61" s="121">
        <v>7444937.9511639178</v>
      </c>
      <c r="F61" s="121">
        <v>8388869.9414619263</v>
      </c>
      <c r="G61" s="311"/>
      <c r="H61" s="311"/>
      <c r="I61" s="311"/>
      <c r="J61" s="311"/>
      <c r="K61" s="311"/>
      <c r="L61" s="291"/>
      <c r="M61" s="291"/>
      <c r="N61" s="291"/>
      <c r="O61" s="291"/>
      <c r="P61" s="291"/>
      <c r="Q61" s="291"/>
      <c r="R61" s="291"/>
      <c r="S61" s="291"/>
      <c r="T61" s="291"/>
    </row>
    <row r="62" spans="1:20">
      <c r="C62" s="291"/>
      <c r="D62" s="113"/>
      <c r="E62" s="113"/>
      <c r="F62" s="113"/>
      <c r="G62" s="113"/>
      <c r="H62" s="113"/>
      <c r="I62" s="113"/>
      <c r="J62" s="113"/>
      <c r="K62" s="113"/>
      <c r="L62" s="291"/>
      <c r="M62" s="291"/>
      <c r="N62" s="291"/>
      <c r="O62" s="291"/>
      <c r="P62" s="291"/>
      <c r="Q62" s="291"/>
      <c r="R62" s="291"/>
      <c r="S62" s="291"/>
      <c r="T62" s="291"/>
    </row>
    <row r="63" spans="1:20" ht="13.15">
      <c r="B63" s="117" t="s">
        <v>111</v>
      </c>
      <c r="C63" s="291"/>
      <c r="D63" s="113"/>
      <c r="E63" s="113"/>
      <c r="F63" s="113"/>
      <c r="G63" s="113"/>
      <c r="H63" s="113"/>
      <c r="I63" s="113"/>
      <c r="J63" s="113"/>
      <c r="K63" s="113"/>
      <c r="L63" s="291"/>
      <c r="M63" s="291"/>
      <c r="N63" s="291"/>
      <c r="O63" s="291"/>
      <c r="P63" s="291"/>
      <c r="Q63" s="291"/>
      <c r="R63" s="291"/>
      <c r="S63" s="291"/>
      <c r="T63" s="291"/>
    </row>
    <row r="64" spans="1:20" ht="13.15">
      <c r="B64" s="127">
        <f>B55</f>
        <v>0</v>
      </c>
      <c r="C64" s="127">
        <f>C55</f>
        <v>0.01</v>
      </c>
      <c r="D64" s="127">
        <f>D55</f>
        <v>0.02</v>
      </c>
      <c r="E64" s="127">
        <f>E55</f>
        <v>0.03</v>
      </c>
      <c r="F64" s="127">
        <f>F55</f>
        <v>0.04</v>
      </c>
      <c r="G64" s="127"/>
      <c r="H64" s="127"/>
      <c r="I64" s="127"/>
      <c r="J64" s="127"/>
      <c r="K64" s="127"/>
    </row>
    <row r="65" spans="1:11" ht="13.15">
      <c r="A65" s="134">
        <v>0</v>
      </c>
      <c r="B65" s="122">
        <f>C11</f>
        <v>3.1834186940220452</v>
      </c>
      <c r="C65" s="122">
        <f>C11</f>
        <v>3.1834186940220452</v>
      </c>
      <c r="D65" s="122">
        <f>C11</f>
        <v>3.1834186940220452</v>
      </c>
      <c r="E65" s="122">
        <f>C11</f>
        <v>3.1834186940220452</v>
      </c>
      <c r="F65" s="122">
        <f>C11</f>
        <v>3.1834186940220452</v>
      </c>
      <c r="G65" s="312"/>
      <c r="H65" s="312"/>
      <c r="I65" s="312"/>
      <c r="J65" s="312"/>
      <c r="K65" s="312"/>
    </row>
    <row r="66" spans="1:11" ht="13.15">
      <c r="A66" s="134">
        <f t="shared" ref="A66:A71" si="10">A56</f>
        <v>5</v>
      </c>
      <c r="B66" s="122">
        <f t="shared" ref="B66:F71" si="11">(B56+FV_adjustments)/Common_Shares*scaling_factor*Exchange_Rate</f>
        <v>8.082702776716582</v>
      </c>
      <c r="C66" s="122">
        <f t="shared" si="11"/>
        <v>8.3285669697235942</v>
      </c>
      <c r="D66" s="122">
        <f t="shared" si="11"/>
        <v>8.5768243881963642</v>
      </c>
      <c r="E66" s="122">
        <f t="shared" si="11"/>
        <v>8.8274750321348652</v>
      </c>
      <c r="F66" s="122">
        <f t="shared" si="11"/>
        <v>9.0805189015391257</v>
      </c>
      <c r="G66" s="312"/>
      <c r="H66" s="312"/>
      <c r="I66" s="312"/>
      <c r="J66" s="312"/>
      <c r="K66" s="312"/>
    </row>
    <row r="67" spans="1:11" ht="13.15">
      <c r="A67" s="134">
        <f t="shared" si="10"/>
        <v>10</v>
      </c>
      <c r="B67" s="122">
        <f t="shared" si="11"/>
        <v>7.8880319644145116</v>
      </c>
      <c r="C67" s="122">
        <f t="shared" si="11"/>
        <v>8.3563851063099328</v>
      </c>
      <c r="D67" s="122">
        <f t="shared" si="11"/>
        <v>8.838353039750757</v>
      </c>
      <c r="E67" s="122">
        <f t="shared" si="11"/>
        <v>9.3342019133968197</v>
      </c>
      <c r="F67" s="122">
        <f t="shared" si="11"/>
        <v>9.8442004707210362</v>
      </c>
      <c r="G67" s="312"/>
      <c r="H67" s="312"/>
      <c r="I67" s="312"/>
      <c r="J67" s="312"/>
      <c r="K67" s="312"/>
    </row>
    <row r="68" spans="1:11" ht="13.15">
      <c r="A68" s="134">
        <f t="shared" si="10"/>
        <v>15</v>
      </c>
      <c r="B68" s="122">
        <f t="shared" si="11"/>
        <v>7.1970886726369985</v>
      </c>
      <c r="C68" s="122">
        <f t="shared" si="11"/>
        <v>7.9305346645903718</v>
      </c>
      <c r="D68" s="122">
        <f t="shared" si="11"/>
        <v>8.7062467823077831</v>
      </c>
      <c r="E68" s="122">
        <f t="shared" si="11"/>
        <v>9.5262977283538337</v>
      </c>
      <c r="F68" s="122">
        <f t="shared" si="11"/>
        <v>10.392841696738811</v>
      </c>
      <c r="G68" s="312"/>
      <c r="H68" s="312"/>
      <c r="I68" s="312"/>
      <c r="J68" s="312"/>
      <c r="K68" s="312"/>
    </row>
    <row r="69" spans="1:11" ht="13.15">
      <c r="A69" s="135">
        <f t="shared" si="10"/>
        <v>20</v>
      </c>
      <c r="B69" s="122">
        <f t="shared" si="11"/>
        <v>6.9094741575653043</v>
      </c>
      <c r="C69" s="122">
        <f t="shared" si="11"/>
        <v>7.7972043024713757</v>
      </c>
      <c r="D69" s="122">
        <f t="shared" si="11"/>
        <v>8.7527543226008646</v>
      </c>
      <c r="E69" s="122">
        <f t="shared" si="11"/>
        <v>9.7807921213734179</v>
      </c>
      <c r="F69" s="122">
        <f t="shared" si="11"/>
        <v>10.886262447890548</v>
      </c>
      <c r="G69" s="312"/>
      <c r="H69" s="312"/>
      <c r="I69" s="312"/>
      <c r="J69" s="312"/>
      <c r="K69" s="312"/>
    </row>
    <row r="70" spans="1:11" ht="13.15">
      <c r="A70" s="135">
        <f t="shared" si="10"/>
        <v>25</v>
      </c>
      <c r="B70" s="122">
        <f t="shared" si="11"/>
        <v>6.3095784820012213</v>
      </c>
      <c r="C70" s="122">
        <f t="shared" si="11"/>
        <v>7.3660653838325318</v>
      </c>
      <c r="D70" s="122">
        <f t="shared" si="11"/>
        <v>8.5322432500862622</v>
      </c>
      <c r="E70" s="122">
        <f t="shared" si="11"/>
        <v>9.818923485054059</v>
      </c>
      <c r="F70" s="122">
        <f t="shared" si="11"/>
        <v>11.237886806785228</v>
      </c>
      <c r="G70" s="312"/>
      <c r="H70" s="312"/>
      <c r="I70" s="312"/>
      <c r="J70" s="312"/>
      <c r="K70" s="312"/>
    </row>
    <row r="71" spans="1:11" ht="13.15">
      <c r="A71" s="135">
        <f t="shared" si="10"/>
        <v>30</v>
      </c>
      <c r="B71" s="122">
        <f t="shared" si="11"/>
        <v>6.0278047555497363</v>
      </c>
      <c r="C71" s="122">
        <f t="shared" si="11"/>
        <v>7.1819219110757366</v>
      </c>
      <c r="D71" s="122">
        <f t="shared" si="11"/>
        <v>8.4765586861875644</v>
      </c>
      <c r="E71" s="122">
        <f t="shared" si="11"/>
        <v>9.9283642126327543</v>
      </c>
      <c r="F71" s="122">
        <f t="shared" si="11"/>
        <v>11.555821844979954</v>
      </c>
      <c r="G71" s="312"/>
      <c r="H71" s="312"/>
      <c r="I71" s="312"/>
      <c r="J71" s="312"/>
      <c r="K71" s="312"/>
    </row>
    <row r="73" spans="1:11" ht="13.15">
      <c r="B73" s="157" t="s">
        <v>103</v>
      </c>
      <c r="C73" s="157" t="s">
        <v>112</v>
      </c>
      <c r="D73" s="157" t="s">
        <v>101</v>
      </c>
      <c r="E73" s="158" t="s">
        <v>102</v>
      </c>
      <c r="F73" s="158" t="s">
        <v>479</v>
      </c>
      <c r="G73" s="343"/>
      <c r="H73" s="343"/>
      <c r="I73" s="343"/>
      <c r="J73" s="343"/>
      <c r="K73" s="343"/>
    </row>
    <row r="74" spans="1:11">
      <c r="B74" s="123" t="str">
        <f>Scenarios!B29</f>
        <v>Snowball Scenario</v>
      </c>
      <c r="C74" s="133">
        <f>Scenarios!C29</f>
        <v>0.04</v>
      </c>
      <c r="D74" s="136">
        <f>Scenarios!D29</f>
        <v>5</v>
      </c>
      <c r="E74" s="130">
        <f>INDEX(B$65:F$71, MATCH(D74, A$65:A$71, 0), MATCH(C74, B$64:F$64, 0))</f>
        <v>9.0805189015391257</v>
      </c>
      <c r="F74" s="133">
        <f>Scenarios!F29</f>
        <v>0.05</v>
      </c>
      <c r="G74" s="313"/>
      <c r="H74" s="313"/>
      <c r="I74" s="313"/>
      <c r="J74" s="313"/>
      <c r="K74" s="313"/>
    </row>
    <row r="75" spans="1:11">
      <c r="B75" s="123" t="str">
        <f>Scenarios!B22</f>
        <v>Optimistic</v>
      </c>
      <c r="C75" s="133">
        <f>Scenarios!C22</f>
        <v>0.03</v>
      </c>
      <c r="D75" s="136">
        <f>Scenarios!D22</f>
        <v>5</v>
      </c>
      <c r="E75" s="130">
        <f>INDEX(B$65:F$71, MATCH(D75, A$65:A$71, 0), MATCH(C75, B$64:F$64, 0))</f>
        <v>8.8274750321348652</v>
      </c>
      <c r="F75" s="133">
        <f>Scenarios!F22*(1-F$74-F$78)</f>
        <v>0.18</v>
      </c>
      <c r="G75" s="313"/>
      <c r="H75" s="313"/>
      <c r="I75" s="313"/>
      <c r="J75" s="313"/>
      <c r="K75" s="313"/>
    </row>
    <row r="76" spans="1:11">
      <c r="B76" s="123" t="str">
        <f>Scenarios!B23</f>
        <v>Base</v>
      </c>
      <c r="C76" s="133">
        <f>Scenarios!C23</f>
        <v>0.02</v>
      </c>
      <c r="D76" s="136">
        <f>Scenarios!D23</f>
        <v>5</v>
      </c>
      <c r="E76" s="130">
        <f>INDEX(B$65:F$71, MATCH(D76, A$65:A$71, 0), MATCH(C76, B$64:F$64, 0))</f>
        <v>8.5768243881963642</v>
      </c>
      <c r="F76" s="133">
        <f>Scenarios!F23*(1-F$74-F$78)</f>
        <v>0.53999999999999992</v>
      </c>
      <c r="G76" s="313"/>
      <c r="H76" s="313"/>
      <c r="I76" s="313"/>
      <c r="J76" s="313"/>
      <c r="K76" s="313"/>
    </row>
    <row r="77" spans="1:11">
      <c r="B77" s="123" t="str">
        <f>Scenarios!B24</f>
        <v>Pessimistic</v>
      </c>
      <c r="C77" s="133">
        <f>Scenarios!C24</f>
        <v>0.01</v>
      </c>
      <c r="D77" s="136">
        <f>Scenarios!D24</f>
        <v>5</v>
      </c>
      <c r="E77" s="130">
        <f>INDEX(B$65:F$71, MATCH(D77, A$65:A$71, 0), MATCH(C77, B$64:F$64, 0))</f>
        <v>8.3285669697235942</v>
      </c>
      <c r="F77" s="133">
        <f>Scenarios!F24*(1-F$74-F$78)</f>
        <v>0.18</v>
      </c>
      <c r="G77" s="313"/>
      <c r="H77" s="313"/>
      <c r="I77" s="313"/>
      <c r="J77" s="313"/>
      <c r="K77" s="313"/>
    </row>
    <row r="78" spans="1:11">
      <c r="B78" s="123" t="str">
        <f>Scenarios!B30</f>
        <v>Devil's advocate</v>
      </c>
      <c r="C78" s="133">
        <f>Scenarios!C30</f>
        <v>0</v>
      </c>
      <c r="D78" s="136">
        <f>Scenarios!D30</f>
        <v>5</v>
      </c>
      <c r="E78" s="130">
        <f>INDEX(B$65:F$71, MATCH(D78, A$65:A$71, 0), MATCH(C78, B$64:F$64, 0))</f>
        <v>8.082702776716582</v>
      </c>
      <c r="F78" s="133">
        <f>Scenarios!F30</f>
        <v>0.05</v>
      </c>
      <c r="G78" s="313"/>
      <c r="H78" s="313"/>
      <c r="I78" s="313"/>
      <c r="J78" s="313"/>
      <c r="K78" s="313"/>
    </row>
    <row r="79" spans="1:11">
      <c r="B79" s="145"/>
      <c r="C79" s="145"/>
      <c r="D79" s="145"/>
      <c r="E79" s="145"/>
      <c r="F79" s="146"/>
      <c r="G79" s="146"/>
      <c r="H79" s="146"/>
      <c r="I79" s="146"/>
      <c r="J79" s="146"/>
      <c r="K79" s="146"/>
    </row>
    <row r="89" spans="3:3">
      <c r="C89" s="114"/>
    </row>
    <row r="90" spans="3:3">
      <c r="C90" s="114"/>
    </row>
    <row r="91" spans="3:3">
      <c r="C91" s="114"/>
    </row>
    <row r="98" spans="3:20">
      <c r="C98" s="291"/>
      <c r="L98" s="291"/>
      <c r="M98" s="291"/>
      <c r="N98" s="291"/>
      <c r="O98" s="291"/>
      <c r="P98" s="291"/>
      <c r="Q98" s="291"/>
      <c r="R98" s="291"/>
      <c r="S98" s="291"/>
      <c r="T98" s="291"/>
    </row>
    <row r="99" spans="3:20">
      <c r="C99" s="291"/>
      <c r="L99" s="291"/>
      <c r="M99" s="291"/>
      <c r="N99" s="291"/>
      <c r="O99" s="291"/>
      <c r="P99" s="291"/>
      <c r="Q99" s="291"/>
      <c r="R99" s="291"/>
      <c r="S99" s="291"/>
      <c r="T99" s="291"/>
    </row>
    <row r="100" spans="3:20">
      <c r="C100" s="291"/>
      <c r="L100" s="291"/>
      <c r="M100" s="291"/>
      <c r="N100" s="291"/>
      <c r="O100" s="291"/>
      <c r="P100" s="291"/>
      <c r="Q100" s="291"/>
      <c r="R100" s="291"/>
      <c r="S100" s="291"/>
      <c r="T100" s="291"/>
    </row>
    <row r="101" spans="3:20">
      <c r="C101" s="291"/>
      <c r="L101" s="291"/>
      <c r="M101" s="291"/>
      <c r="N101" s="291"/>
      <c r="O101" s="291"/>
      <c r="P101" s="291"/>
      <c r="Q101" s="291"/>
      <c r="R101" s="291"/>
      <c r="S101" s="291"/>
      <c r="T101" s="291"/>
    </row>
    <row r="102" spans="3:20">
      <c r="C102" s="291"/>
      <c r="L102" s="291"/>
      <c r="M102" s="291"/>
      <c r="N102" s="291"/>
      <c r="O102" s="291"/>
      <c r="P102" s="291"/>
      <c r="Q102" s="291"/>
      <c r="R102" s="291"/>
      <c r="S102" s="291"/>
      <c r="T102" s="291"/>
    </row>
  </sheetData>
  <phoneticPr fontId="2" type="noConversion"/>
  <conditionalFormatting sqref="C21:K50">
    <cfRule type="cellIs" dxfId="1" priority="2" operator="equal">
      <formula>0</formula>
    </cfRule>
  </conditionalFormatting>
  <conditionalFormatting sqref="C66:K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7" zoomScaleNormal="100" workbookViewId="0">
      <selection activeCell="E66" sqref="E66"/>
    </sheetView>
  </sheetViews>
  <sheetFormatPr defaultColWidth="8.86328125" defaultRowHeight="12.75"/>
  <cols>
    <col min="1" max="1" width="2.73046875" customWidth="1"/>
    <col min="2" max="2" width="22.73046875" customWidth="1"/>
    <col min="3" max="7" width="20.73046875" customWidth="1"/>
  </cols>
  <sheetData>
    <row r="2" spans="2:7" ht="13.9">
      <c r="B2" s="35" t="s">
        <v>124</v>
      </c>
      <c r="C2" s="36"/>
      <c r="D2" s="36"/>
      <c r="E2" s="36"/>
      <c r="F2" s="36"/>
      <c r="G2" s="36"/>
    </row>
    <row r="3" spans="2:7" ht="13.15">
      <c r="B3" s="149" t="s">
        <v>127</v>
      </c>
      <c r="E3" s="99" t="s">
        <v>236</v>
      </c>
    </row>
    <row r="4" spans="2:7" ht="12.75" customHeight="1">
      <c r="B4" s="142" t="s">
        <v>125</v>
      </c>
      <c r="C4" s="118">
        <v>1</v>
      </c>
      <c r="D4" s="118"/>
      <c r="E4" s="373" t="str">
        <f>"Please develop three logical "&amp;C18&amp;"-year scenarios (Base Case, Pessimistic Case, Optimistic Case) and two extreme "&amp;C18&amp;"-year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大家乐集团(0341.HK). Each scenario should include the Compound Growth Rate, the Probability Assessment, and the Business Narrative.</v>
      </c>
      <c r="F4" s="373"/>
      <c r="G4" s="373"/>
    </row>
    <row r="5" spans="2:7">
      <c r="E5" s="373"/>
      <c r="F5" s="373"/>
      <c r="G5" s="373"/>
    </row>
    <row r="6" spans="2:7" ht="13.15">
      <c r="B6" s="149" t="s">
        <v>92</v>
      </c>
      <c r="C6" s="106">
        <f>DCF!C3</f>
        <v>1000</v>
      </c>
      <c r="E6" s="373"/>
      <c r="F6" s="373"/>
      <c r="G6" s="373"/>
    </row>
    <row r="7" spans="2:7" ht="12.75" customHeight="1">
      <c r="B7" s="99" t="s">
        <v>234</v>
      </c>
      <c r="C7" s="291">
        <f>Normalized_FCF!G8</f>
        <v>398162</v>
      </c>
      <c r="D7" t="str">
        <f>Reporting_currency</f>
        <v>HKD</v>
      </c>
      <c r="E7" s="373"/>
      <c r="F7" s="373"/>
      <c r="G7" s="373"/>
    </row>
    <row r="8" spans="2:7">
      <c r="B8" s="99" t="s">
        <v>64</v>
      </c>
      <c r="C8" s="291">
        <f>Normalized_FCF!G19</f>
        <v>362404.65016124537</v>
      </c>
      <c r="D8" t="str">
        <f>Reporting_currency</f>
        <v>HKD</v>
      </c>
      <c r="E8" s="373"/>
      <c r="F8" s="373"/>
      <c r="G8" s="373"/>
    </row>
    <row r="9" spans="2:7">
      <c r="B9" s="99" t="s">
        <v>55</v>
      </c>
      <c r="C9" s="291">
        <f>Normalized_FCF!C19</f>
        <v>264963.17610033229</v>
      </c>
      <c r="D9" t="str">
        <f>Reporting_currency</f>
        <v>HKD</v>
      </c>
      <c r="E9" s="373"/>
      <c r="F9" s="373"/>
      <c r="G9" s="373"/>
    </row>
    <row r="10" spans="2:7">
      <c r="E10" s="373"/>
      <c r="F10" s="373"/>
      <c r="G10" s="373"/>
    </row>
    <row r="11" spans="2:7" ht="13.15">
      <c r="B11" s="149" t="s">
        <v>329</v>
      </c>
      <c r="E11" s="373"/>
      <c r="F11" s="373"/>
      <c r="G11" s="373"/>
    </row>
    <row r="12" spans="2:7">
      <c r="B12" s="116" t="s">
        <v>123</v>
      </c>
      <c r="C12" s="148">
        <f ca="1">(Normalized_FCF!G4/OFFSET(Normalized_FCF!G4, 0, $C$4))^(1/$C$4) - 1</f>
        <v>-1.4167027845414459E-2</v>
      </c>
      <c r="D12" s="148"/>
      <c r="E12" s="373"/>
      <c r="F12" s="373"/>
      <c r="G12" s="373"/>
    </row>
    <row r="13" spans="2:7">
      <c r="B13" s="138" t="s">
        <v>129</v>
      </c>
      <c r="C13" s="148">
        <f ca="1">(Normalized_FCF!G8/OFFSET(Normalized_FCF!G8, 0, $C$4))^(1/$C$4) - 1</f>
        <v>-0.18085966511203044</v>
      </c>
      <c r="E13" s="373"/>
      <c r="F13" s="373"/>
      <c r="G13" s="373"/>
    </row>
    <row r="14" spans="2:7">
      <c r="B14" s="99" t="s">
        <v>64</v>
      </c>
      <c r="C14" s="148">
        <f ca="1">(Normalized_FCF!G19/OFFSET(Normalized_FCF!G19, 0, $C$4))^(1/$C$4) - 1</f>
        <v>-0.14731411513543302</v>
      </c>
      <c r="E14" s="373"/>
      <c r="F14" s="373"/>
      <c r="G14" s="373"/>
    </row>
    <row r="16" spans="2:7" ht="13.9">
      <c r="B16" s="35" t="s">
        <v>475</v>
      </c>
      <c r="C16" s="36"/>
      <c r="D16" s="36"/>
      <c r="E16" s="36"/>
      <c r="F16" s="36"/>
      <c r="G16" s="36"/>
    </row>
    <row r="17" spans="2:7" ht="13.15">
      <c r="B17" s="108" t="s">
        <v>128</v>
      </c>
      <c r="E17" s="149"/>
    </row>
    <row r="18" spans="2:7" ht="12.75" customHeight="1">
      <c r="B18" s="142" t="s">
        <v>113</v>
      </c>
      <c r="C18" s="140">
        <v>5</v>
      </c>
      <c r="E18" s="337"/>
      <c r="F18" s="338"/>
    </row>
    <row r="19" spans="2:7">
      <c r="E19" s="338"/>
      <c r="F19" s="338"/>
    </row>
    <row r="20" spans="2:7" ht="13.15">
      <c r="B20" s="108" t="s">
        <v>472</v>
      </c>
      <c r="E20" s="338"/>
      <c r="F20" s="338"/>
    </row>
    <row r="21" spans="2:7" ht="13.15">
      <c r="B21" s="157" t="s">
        <v>458</v>
      </c>
      <c r="C21" s="157" t="s">
        <v>394</v>
      </c>
      <c r="D21" s="157" t="s">
        <v>470</v>
      </c>
      <c r="E21" s="158" t="str">
        <f>"Value per share ("&amp;Market_currency&amp;")"</f>
        <v>Value per share (HKD)</v>
      </c>
      <c r="F21" s="158" t="s">
        <v>471</v>
      </c>
      <c r="G21" s="158" t="s">
        <v>479</v>
      </c>
    </row>
    <row r="22" spans="2:7">
      <c r="B22" s="120" t="s">
        <v>467</v>
      </c>
      <c r="C22" s="344">
        <v>0.03</v>
      </c>
      <c r="D22" s="345">
        <f>C18</f>
        <v>5</v>
      </c>
      <c r="E22" s="346">
        <f>DCF!E75</f>
        <v>8.8274750321348652</v>
      </c>
      <c r="F22" s="348">
        <f>1-F23-F24</f>
        <v>0.2</v>
      </c>
      <c r="G22" s="348">
        <f>F22*(1-F$29-F$30)</f>
        <v>0.18</v>
      </c>
    </row>
    <row r="23" spans="2:7">
      <c r="B23" s="120" t="s">
        <v>459</v>
      </c>
      <c r="C23" s="344">
        <v>0.02</v>
      </c>
      <c r="D23" s="345">
        <f>C18</f>
        <v>5</v>
      </c>
      <c r="E23" s="346">
        <f>DCF!E76</f>
        <v>8.5768243881963642</v>
      </c>
      <c r="F23" s="347">
        <v>0.6</v>
      </c>
      <c r="G23" s="348">
        <f t="shared" ref="G23:G24" si="0">F23*(1-F$29-F$30)</f>
        <v>0.53999999999999992</v>
      </c>
    </row>
    <row r="24" spans="2:7">
      <c r="B24" s="120" t="s">
        <v>468</v>
      </c>
      <c r="C24" s="344">
        <v>0.01</v>
      </c>
      <c r="D24" s="345">
        <f>C18</f>
        <v>5</v>
      </c>
      <c r="E24" s="346">
        <f>DCF!E77</f>
        <v>8.3285669697235942</v>
      </c>
      <c r="F24" s="347">
        <v>0.2</v>
      </c>
      <c r="G24" s="348">
        <f t="shared" si="0"/>
        <v>0.18</v>
      </c>
    </row>
    <row r="25" spans="2:7" ht="13.15">
      <c r="B25" s="339" t="s">
        <v>473</v>
      </c>
      <c r="C25" s="144">
        <f>E23*F23+E24*F24+E22*F22</f>
        <v>8.5773030332895104</v>
      </c>
      <c r="D25" s="339" t="str">
        <f>Market_currency</f>
        <v>HKD</v>
      </c>
      <c r="G25" s="153"/>
    </row>
    <row r="27" spans="2:7" ht="13.15">
      <c r="B27" s="108" t="s">
        <v>474</v>
      </c>
    </row>
    <row r="28" spans="2:7" ht="13.15">
      <c r="B28" s="157" t="s">
        <v>458</v>
      </c>
      <c r="C28" s="157" t="s">
        <v>394</v>
      </c>
      <c r="D28" s="157" t="s">
        <v>470</v>
      </c>
      <c r="E28" s="158" t="str">
        <f>"Value per share ("&amp;Market_currency&amp;")"</f>
        <v>Value per share (HKD)</v>
      </c>
      <c r="F28" s="158" t="s">
        <v>471</v>
      </c>
      <c r="G28" s="158" t="s">
        <v>479</v>
      </c>
    </row>
    <row r="29" spans="2:7">
      <c r="B29" s="120" t="s">
        <v>466</v>
      </c>
      <c r="C29" s="344">
        <v>0.04</v>
      </c>
      <c r="D29" s="345">
        <f>C18</f>
        <v>5</v>
      </c>
      <c r="E29" s="346">
        <f>DCF!E74</f>
        <v>9.0805189015391257</v>
      </c>
      <c r="F29" s="347">
        <v>0.05</v>
      </c>
      <c r="G29" s="348">
        <f>F29</f>
        <v>0.05</v>
      </c>
    </row>
    <row r="30" spans="2:7">
      <c r="B30" s="123" t="s">
        <v>469</v>
      </c>
      <c r="C30" s="344">
        <v>0</v>
      </c>
      <c r="D30" s="345">
        <f>C18</f>
        <v>5</v>
      </c>
      <c r="E30" s="346">
        <f>DCF!E78</f>
        <v>8.082702776716582</v>
      </c>
      <c r="F30" s="347">
        <v>0.05</v>
      </c>
      <c r="G30" s="348">
        <f>F30</f>
        <v>0.05</v>
      </c>
    </row>
    <row r="31" spans="2:7">
      <c r="E31" s="349"/>
      <c r="F31" s="349"/>
    </row>
    <row r="32" spans="2:7" ht="13.15">
      <c r="B32" s="149" t="s">
        <v>478</v>
      </c>
    </row>
    <row r="33" spans="2:7">
      <c r="B33" s="99" t="s">
        <v>480</v>
      </c>
      <c r="C33" s="159">
        <f>Normalized_FCF!C88*(1-dividend_tax_rate)</f>
        <v>0.4</v>
      </c>
      <c r="D33" t="str">
        <f>Market_currency</f>
        <v>HKD</v>
      </c>
      <c r="E33" s="99" t="s">
        <v>477</v>
      </c>
      <c r="F33" s="226">
        <f>Holding_Period</f>
        <v>3</v>
      </c>
    </row>
    <row r="34" spans="2:7">
      <c r="B34" s="99" t="s">
        <v>235</v>
      </c>
      <c r="C34" s="150">
        <f>Market_Price</f>
        <v>6.46</v>
      </c>
      <c r="D34" t="str">
        <f>Market_currency</f>
        <v>HKD</v>
      </c>
      <c r="E34" s="99" t="s">
        <v>476</v>
      </c>
      <c r="F34" s="350">
        <f>RATE(Holding_Period,$C$33,-C34,$C$36)</f>
        <v>0.15580592250843173</v>
      </c>
    </row>
    <row r="35" spans="2:7">
      <c r="B35" s="99" t="s">
        <v>456</v>
      </c>
      <c r="C35" s="340">
        <f>DCF!C11</f>
        <v>3.1834186940220452</v>
      </c>
      <c r="D35" s="99" t="str">
        <f>Market_currency</f>
        <v>HKD</v>
      </c>
      <c r="E35" s="99" t="s">
        <v>476</v>
      </c>
      <c r="F35" s="350">
        <f>RATE(Holding_Period,$C$33,-C35,$C$36)</f>
        <v>0.48648230367346657</v>
      </c>
    </row>
    <row r="36" spans="2:7">
      <c r="B36" s="99" t="s">
        <v>457</v>
      </c>
      <c r="C36" s="341">
        <f>E30*F30+E29*F29+C25*(1-F30-F29)</f>
        <v>8.5777338138733441</v>
      </c>
      <c r="D36" t="str">
        <f>Market_currency</f>
        <v>HKD</v>
      </c>
      <c r="E36" s="99" t="s">
        <v>482</v>
      </c>
      <c r="F36" s="351" t="s">
        <v>481</v>
      </c>
    </row>
    <row r="38" spans="2:7" ht="13.9">
      <c r="B38" s="35" t="s">
        <v>431</v>
      </c>
      <c r="C38" s="36"/>
      <c r="D38" s="36"/>
      <c r="E38" s="36"/>
      <c r="F38" s="36"/>
      <c r="G38" s="36"/>
    </row>
    <row r="39" spans="2:7" ht="13.15">
      <c r="B39" s="463" t="str">
        <f>IF(DCF!F14="II","2","1")&amp;"-stage DCF Assumptions"</f>
        <v>2-stage DCF Assumptions</v>
      </c>
      <c r="E39" s="230" t="s">
        <v>254</v>
      </c>
    </row>
    <row r="40" spans="2:7">
      <c r="B40" t="s">
        <v>417</v>
      </c>
      <c r="C40" s="141">
        <v>0.86</v>
      </c>
      <c r="E40" s="99" t="s">
        <v>418</v>
      </c>
    </row>
    <row r="41" spans="2:7">
      <c r="B41" s="99" t="s">
        <v>416</v>
      </c>
      <c r="C41" s="141">
        <v>0.02</v>
      </c>
      <c r="E41" s="99"/>
    </row>
    <row r="43" spans="2:7" ht="13.9">
      <c r="B43" s="35" t="s">
        <v>280</v>
      </c>
      <c r="C43" s="36"/>
      <c r="D43" s="36"/>
      <c r="E43" s="36"/>
      <c r="F43" s="36"/>
      <c r="G43" s="36"/>
    </row>
    <row r="44" spans="2:7" ht="13.15">
      <c r="B44" s="108" t="s">
        <v>252</v>
      </c>
      <c r="E44" s="230" t="s">
        <v>254</v>
      </c>
    </row>
    <row r="45" spans="2:7">
      <c r="B45" s="142" t="s">
        <v>113</v>
      </c>
      <c r="C45" s="154">
        <f>C18</f>
        <v>5</v>
      </c>
      <c r="D45" s="140"/>
      <c r="E45" s="229" t="s">
        <v>313</v>
      </c>
    </row>
    <row r="46" spans="2:7">
      <c r="B46" s="116" t="s">
        <v>114</v>
      </c>
      <c r="C46" s="141">
        <v>2.0194760895005222E-2</v>
      </c>
      <c r="D46" s="141"/>
      <c r="E46" s="229" t="s">
        <v>255</v>
      </c>
    </row>
    <row r="47" spans="2:7">
      <c r="B47" s="99" t="s">
        <v>97</v>
      </c>
      <c r="C47" s="150">
        <f>DCF!I18</f>
        <v>8.5816832311312083</v>
      </c>
      <c r="D47" s="150" t="str">
        <f>Market_currency</f>
        <v>HKD</v>
      </c>
      <c r="E47" s="229" t="s">
        <v>256</v>
      </c>
    </row>
    <row r="49" spans="2:7" ht="13.15">
      <c r="B49" s="108" t="s">
        <v>281</v>
      </c>
      <c r="E49" s="230" t="s">
        <v>257</v>
      </c>
    </row>
    <row r="50" spans="2:7">
      <c r="B50" s="99" t="s">
        <v>253</v>
      </c>
      <c r="C50" s="225" t="str">
        <f>IF(C36&lt;C35,"Y","N")</f>
        <v>N</v>
      </c>
      <c r="E50" s="129"/>
    </row>
    <row r="51" spans="2:7">
      <c r="B51" s="99" t="s">
        <v>249</v>
      </c>
      <c r="C51" s="225" t="str">
        <f>IF(C50="Y","N",IF(C46&gt;8%,"N","Y"))</f>
        <v>Y</v>
      </c>
      <c r="E51" s="229" t="s">
        <v>250</v>
      </c>
    </row>
    <row r="52" spans="2:7">
      <c r="B52" s="99" t="s">
        <v>248</v>
      </c>
      <c r="C52" s="225" t="str">
        <f>IF(C46&gt;8%,"Y","N")</f>
        <v>N</v>
      </c>
      <c r="E52" s="229"/>
    </row>
    <row r="53" spans="2:7">
      <c r="B53" s="99" t="s">
        <v>240</v>
      </c>
      <c r="C53" s="224" t="str">
        <f>IF(F53&gt;50%,"Y","N")</f>
        <v>Y</v>
      </c>
      <c r="E53" s="129" t="s">
        <v>277</v>
      </c>
      <c r="F53" s="260">
        <f>BS!D89/C36</f>
        <v>0.51901727522431429</v>
      </c>
    </row>
    <row r="55" spans="2:7" ht="13.9">
      <c r="B55" s="35" t="s">
        <v>109</v>
      </c>
      <c r="C55" s="36"/>
      <c r="D55" s="36"/>
      <c r="E55" s="36"/>
      <c r="F55" s="36"/>
      <c r="G55" s="36"/>
    </row>
    <row r="56" spans="2:7" ht="13.15">
      <c r="B56" s="108" t="s">
        <v>108</v>
      </c>
    </row>
    <row r="57" spans="2:7">
      <c r="B57" s="227" t="s">
        <v>251</v>
      </c>
      <c r="C57" s="226">
        <f>Holding_Period</f>
        <v>3</v>
      </c>
      <c r="D57" s="129"/>
    </row>
    <row r="58" spans="2:7">
      <c r="B58" s="99" t="s">
        <v>341</v>
      </c>
      <c r="C58" s="159">
        <f>C33</f>
        <v>0.4</v>
      </c>
      <c r="D58" t="str">
        <f>Market_currency</f>
        <v>HKD</v>
      </c>
    </row>
    <row r="60" spans="2:7" ht="13.15">
      <c r="B60" s="108" t="s">
        <v>495</v>
      </c>
      <c r="E60" s="462"/>
    </row>
    <row r="61" spans="2:7" ht="13.15">
      <c r="B61" s="157" t="s">
        <v>484</v>
      </c>
      <c r="C61" s="157" t="s">
        <v>105</v>
      </c>
      <c r="D61" s="157" t="s">
        <v>106</v>
      </c>
      <c r="E61" s="158" t="str">
        <f>"Buy below ("&amp;Market_currency&amp;")"</f>
        <v>Buy below (HKD)</v>
      </c>
      <c r="F61" s="158" t="s">
        <v>476</v>
      </c>
      <c r="G61" s="158" t="s">
        <v>483</v>
      </c>
    </row>
    <row r="62" spans="2:7" ht="13.15">
      <c r="B62" s="318" t="s">
        <v>320</v>
      </c>
      <c r="C62" s="122">
        <f>PV(F62, Holding_Period, -C58, 0)</f>
        <v>0.67835187725448365</v>
      </c>
      <c r="D62" s="122">
        <f>C36/(1+F62)^Holding_Period</f>
        <v>3.4863522080468803</v>
      </c>
      <c r="E62" s="352">
        <f>C62+D62</f>
        <v>4.1647040853013637</v>
      </c>
      <c r="F62" s="317">
        <f>Thesis!E29</f>
        <v>0.35</v>
      </c>
      <c r="G62" s="353">
        <f>(1-E62/C36)</f>
        <v>0.51447501453524835</v>
      </c>
    </row>
    <row r="63" spans="2:7" ht="13.15">
      <c r="B63" s="318" t="s">
        <v>321</v>
      </c>
      <c r="C63" s="122">
        <f>PV(F63, Holding_Period, -C58, 0)</f>
        <v>0.78080000000000005</v>
      </c>
      <c r="D63" s="122">
        <f>C36/(1+F63)^Holding_Period</f>
        <v>4.3917997127031523</v>
      </c>
      <c r="E63" s="352">
        <f>C63+D63</f>
        <v>5.1725997127031524</v>
      </c>
      <c r="F63" s="317">
        <f>Thesis!E30</f>
        <v>0.25</v>
      </c>
      <c r="G63" s="353">
        <f>(1-E63/C36)</f>
        <v>0.39697362672444325</v>
      </c>
    </row>
    <row r="65" spans="2:7" ht="13.15">
      <c r="B65" s="157" t="s">
        <v>485</v>
      </c>
      <c r="C65" s="157" t="s">
        <v>105</v>
      </c>
      <c r="D65" s="157" t="s">
        <v>106</v>
      </c>
      <c r="E65" s="158" t="str">
        <f>"Sell above ("&amp;Market_currency&amp;")"</f>
        <v>Sell above (HKD)</v>
      </c>
      <c r="F65" s="158" t="s">
        <v>476</v>
      </c>
      <c r="G65" s="158" t="s">
        <v>483</v>
      </c>
    </row>
    <row r="66" spans="2:7" ht="13.15">
      <c r="B66" s="318" t="s">
        <v>323</v>
      </c>
      <c r="C66" s="122">
        <f>PV(F66, Holding_Period, -C58, 0)</f>
        <v>0.96504125037545974</v>
      </c>
      <c r="D66" s="122">
        <f>C36/(1+F66)^Holding_Period</f>
        <v>6.14817985960822</v>
      </c>
      <c r="E66" s="352">
        <f>C66+D66</f>
        <v>7.1132211099836802</v>
      </c>
      <c r="F66" s="317">
        <f>Thesis!E31</f>
        <v>0.1174</v>
      </c>
      <c r="G66" s="353">
        <f>(1-E66/C47)</f>
        <v>0.17111586172517823</v>
      </c>
    </row>
    <row r="67" spans="2:7" ht="13.15">
      <c r="B67" s="318" t="s">
        <v>322</v>
      </c>
      <c r="C67" s="122">
        <f>PV(F67, Holding_Period, -C58, 0)</f>
        <v>1.0402102959487838</v>
      </c>
      <c r="D67" s="122">
        <f>C36/(1+F67)^Holding_Period</f>
        <v>6.9047374959172663</v>
      </c>
      <c r="E67" s="352">
        <f>C67+D67</f>
        <v>7.94494779186605</v>
      </c>
      <c r="F67" s="317">
        <f>Thesis!E32</f>
        <v>7.4999999999999997E-2</v>
      </c>
      <c r="G67" s="353">
        <f>(1-E67/C36)</f>
        <v>7.3770769265869118E-2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RowHeight="12.75"/>
  <cols>
    <col min="1" max="1" width="2.59765625" customWidth="1"/>
    <col min="2" max="2" width="22.73046875" customWidth="1"/>
    <col min="3" max="5" width="20.73046875" customWidth="1"/>
  </cols>
  <sheetData>
    <row r="2" spans="2:5" ht="13.9">
      <c r="B2" s="35" t="s">
        <v>342</v>
      </c>
      <c r="C2" s="36"/>
      <c r="D2" s="36"/>
      <c r="E2" s="3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74"/>
  <sheetViews>
    <sheetView showGridLines="0" zoomScale="85" zoomScaleNormal="100" workbookViewId="0">
      <selection activeCell="D27" sqref="D27"/>
    </sheetView>
  </sheetViews>
  <sheetFormatPr defaultColWidth="9" defaultRowHeight="12.4"/>
  <cols>
    <col min="1" max="1" width="2.73046875" style="374" customWidth="1"/>
    <col min="2" max="2" width="32.73046875" style="374" customWidth="1"/>
    <col min="3" max="4" width="25.73046875" style="374" customWidth="1"/>
    <col min="5" max="6" width="15.73046875" style="374" customWidth="1"/>
    <col min="7" max="16384" width="9" style="374"/>
  </cols>
  <sheetData>
    <row r="1" spans="1:10">
      <c r="B1" s="375" t="s">
        <v>343</v>
      </c>
      <c r="C1" s="376">
        <f>Thesis!C1</f>
        <v>45930</v>
      </c>
      <c r="D1" s="377" t="str">
        <f>Thesis!D1</f>
        <v>INT</v>
      </c>
      <c r="E1" s="378" t="s">
        <v>284</v>
      </c>
      <c r="F1" s="379" t="str">
        <f>Thesis!F1</f>
        <v>Y</v>
      </c>
    </row>
    <row r="2" spans="1:10" ht="13.9">
      <c r="A2" s="380" t="s">
        <v>344</v>
      </c>
      <c r="B2" s="380"/>
      <c r="C2" s="380"/>
      <c r="D2" s="380"/>
      <c r="E2" s="380"/>
      <c r="F2" s="380"/>
      <c r="G2" s="381"/>
      <c r="H2" s="381"/>
      <c r="I2" s="381"/>
      <c r="J2" s="381"/>
    </row>
    <row r="4" spans="1:10">
      <c r="B4" s="382" t="s">
        <v>345</v>
      </c>
      <c r="C4" s="383"/>
      <c r="D4" s="384"/>
      <c r="E4" s="385"/>
      <c r="F4" s="385"/>
    </row>
    <row r="5" spans="1:10">
      <c r="B5" s="386" t="s">
        <v>375</v>
      </c>
      <c r="C5" s="387" t="str">
        <f>Thesis!C5</f>
        <v>大家乐集团</v>
      </c>
    </row>
    <row r="6" spans="1:10">
      <c r="B6" s="386" t="s">
        <v>376</v>
      </c>
      <c r="C6" s="388">
        <f>Common_Shares</f>
        <v>580004033</v>
      </c>
      <c r="E6" s="389"/>
    </row>
    <row r="7" spans="1:10">
      <c r="B7" s="385" t="s">
        <v>377</v>
      </c>
      <c r="C7" s="390">
        <f>Thesis!C7</f>
        <v>6</v>
      </c>
      <c r="D7" s="389"/>
      <c r="E7" s="389"/>
    </row>
    <row r="8" spans="1:10">
      <c r="B8" s="374" t="s">
        <v>378</v>
      </c>
      <c r="C8" s="376">
        <f>EOMONTH(EDATE(BS!C1,C7+2),0)</f>
        <v>45991</v>
      </c>
      <c r="E8" s="389"/>
    </row>
    <row r="9" spans="1:10">
      <c r="E9" s="388"/>
    </row>
    <row r="10" spans="1:10">
      <c r="B10" s="382" t="s">
        <v>346</v>
      </c>
      <c r="C10" s="383"/>
      <c r="E10" s="388"/>
    </row>
    <row r="11" spans="1:10">
      <c r="B11" s="374" t="s">
        <v>379</v>
      </c>
      <c r="C11" s="391" t="str">
        <f>Thesis!C11</f>
        <v>0341.HK</v>
      </c>
      <c r="D11" s="392"/>
      <c r="E11" s="388"/>
    </row>
    <row r="12" spans="1:10">
      <c r="B12" s="386" t="s">
        <v>380</v>
      </c>
      <c r="C12" s="393">
        <f>Market_Price</f>
        <v>6.46</v>
      </c>
      <c r="D12" s="374" t="s">
        <v>554</v>
      </c>
      <c r="E12" s="402">
        <f>Scenarios!F34</f>
        <v>0.15580592250843173</v>
      </c>
    </row>
    <row r="13" spans="1:10">
      <c r="B13" s="374" t="s">
        <v>381</v>
      </c>
      <c r="C13" s="387" t="str">
        <f>Market_currency</f>
        <v>HKD</v>
      </c>
      <c r="D13" s="389"/>
      <c r="E13" s="384"/>
    </row>
    <row r="14" spans="1:10">
      <c r="B14" s="386" t="s">
        <v>382</v>
      </c>
      <c r="C14" s="395">
        <f>投资主题!C12*Common_Shares/1000000</f>
        <v>3746.8260531799997</v>
      </c>
      <c r="D14" s="395" t="str">
        <f>IF(D11="","",投资主题!#REF!*Common_Shares/1000000)</f>
        <v/>
      </c>
      <c r="E14" s="384"/>
    </row>
    <row r="15" spans="1:10">
      <c r="B15" s="386" t="s">
        <v>383</v>
      </c>
      <c r="C15" s="387" t="str">
        <f>IF(C25=C13,C13,C25&amp;"/"&amp;C13)</f>
        <v>HKD</v>
      </c>
      <c r="D15" s="387" t="str">
        <f>IF(D11="","",IF(C25=D13,D13,C25&amp;"/"&amp;D13))</f>
        <v/>
      </c>
      <c r="E15" s="384"/>
    </row>
    <row r="16" spans="1:10">
      <c r="B16" s="386" t="s">
        <v>384</v>
      </c>
      <c r="C16" s="393">
        <f>Exchange_Rate</f>
        <v>1</v>
      </c>
      <c r="D16" s="394"/>
      <c r="E16" s="384"/>
    </row>
    <row r="17" spans="2:6">
      <c r="D17" s="384"/>
      <c r="E17" s="384"/>
    </row>
    <row r="18" spans="2:6" ht="24.6" customHeight="1">
      <c r="B18" s="396" t="s">
        <v>522</v>
      </c>
      <c r="C18" s="396"/>
      <c r="D18" s="396"/>
      <c r="E18" s="396"/>
      <c r="F18" s="396"/>
    </row>
    <row r="20" spans="2:6">
      <c r="B20" s="382" t="s">
        <v>385</v>
      </c>
      <c r="C20" s="383"/>
      <c r="D20" s="384"/>
    </row>
    <row r="21" spans="2:6">
      <c r="B21" s="385" t="s">
        <v>347</v>
      </c>
      <c r="C21" s="387" t="str">
        <f>IF(Scenarios!C50="Y",Scenarios!B50,"")&amp;IF(Scenarios!C51="Y",Scenarios!B51,"")&amp;IF(Scenarios!C52="Y",Scenarios!B52,"")&amp;" "&amp;IF(Scenarios!C53="Y",Scenarios!B53,"")</f>
        <v>Low Growth Asset Play</v>
      </c>
      <c r="E21" s="397"/>
    </row>
    <row r="22" spans="2:6">
      <c r="B22" s="385" t="s">
        <v>348</v>
      </c>
      <c r="C22" s="387" t="str">
        <f>Thesis!C22</f>
        <v>CNS_01</v>
      </c>
      <c r="E22" s="398"/>
    </row>
    <row r="23" spans="2:6">
      <c r="B23" s="374" t="s">
        <v>349</v>
      </c>
      <c r="C23" s="399" t="str">
        <f>Thesis!C23</f>
        <v>N</v>
      </c>
    </row>
    <row r="24" spans="2:6">
      <c r="B24" s="374" t="s">
        <v>350</v>
      </c>
      <c r="C24" s="399" t="str">
        <f>Thesis!C24</f>
        <v>N</v>
      </c>
    </row>
    <row r="25" spans="2:6">
      <c r="B25" s="386" t="s">
        <v>351</v>
      </c>
      <c r="C25" s="387" t="str">
        <f>Reporting_currency</f>
        <v>HKD</v>
      </c>
      <c r="D25" s="387" t="str">
        <f>IF(D11="","",Market_currency&amp;"/"&amp;D13&amp;":")</f>
        <v/>
      </c>
      <c r="E25" s="400" t="str">
        <f>IF(D11="","",1/Exchange_Rate*D16)</f>
        <v/>
      </c>
    </row>
    <row r="26" spans="2:6">
      <c r="B26" s="374" t="str">
        <f>"预期股权价值 ("&amp;C13&amp;") :"</f>
        <v>预期股权价值 (HKD) :</v>
      </c>
      <c r="C26" s="401">
        <f>C132</f>
        <v>8.5777338138733441</v>
      </c>
    </row>
    <row r="27" spans="2:6">
      <c r="D27" s="384"/>
      <c r="E27" s="384"/>
    </row>
    <row r="28" spans="2:6">
      <c r="B28" s="382" t="s">
        <v>352</v>
      </c>
      <c r="C28" s="403" t="str">
        <f>C145&amp;" ("&amp;Market_currency&amp;")"</f>
        <v xml:space="preserve"> (HKD)</v>
      </c>
      <c r="D28" s="404" t="s">
        <v>357</v>
      </c>
      <c r="E28" s="405">
        <f>Holding_Period</f>
        <v>3</v>
      </c>
    </row>
    <row r="29" spans="2:6">
      <c r="B29" s="374" t="s">
        <v>353</v>
      </c>
      <c r="C29" s="406">
        <f>E147</f>
        <v>4.1647040853013637</v>
      </c>
      <c r="D29" s="407" t="s">
        <v>462</v>
      </c>
      <c r="E29" s="408">
        <f>Thesis!E29</f>
        <v>0.35</v>
      </c>
    </row>
    <row r="30" spans="2:6">
      <c r="B30" s="374" t="s">
        <v>354</v>
      </c>
      <c r="C30" s="409">
        <f>E148</f>
        <v>5.1725997127031524</v>
      </c>
      <c r="D30" s="407" t="s">
        <v>463</v>
      </c>
      <c r="E30" s="410">
        <f>Thesis!E30</f>
        <v>0.25</v>
      </c>
    </row>
    <row r="31" spans="2:6">
      <c r="B31" s="374" t="s">
        <v>356</v>
      </c>
      <c r="C31" s="409">
        <f>E151</f>
        <v>7.1132211099836802</v>
      </c>
      <c r="D31" s="407" t="s">
        <v>465</v>
      </c>
      <c r="E31" s="410">
        <f>Thesis!E31</f>
        <v>0.1174</v>
      </c>
    </row>
    <row r="32" spans="2:6">
      <c r="B32" s="374" t="s">
        <v>355</v>
      </c>
      <c r="C32" s="409">
        <f>E152</f>
        <v>7.94494779186605</v>
      </c>
      <c r="D32" s="407" t="s">
        <v>464</v>
      </c>
      <c r="E32" s="410">
        <f>Thesis!E32</f>
        <v>7.4999999999999997E-2</v>
      </c>
    </row>
    <row r="34" spans="1:6" ht="13.9">
      <c r="A34" s="380" t="s">
        <v>358</v>
      </c>
      <c r="B34" s="380"/>
      <c r="C34" s="380"/>
      <c r="D34" s="380"/>
      <c r="E34" s="380"/>
      <c r="F34" s="380"/>
    </row>
    <row r="36" spans="1:6" ht="24.6" customHeight="1">
      <c r="B36" s="396" t="s">
        <v>523</v>
      </c>
      <c r="C36" s="396"/>
      <c r="D36" s="396"/>
      <c r="E36" s="396"/>
      <c r="F36" s="396"/>
    </row>
    <row r="37" spans="1:6" ht="24.6" customHeight="1">
      <c r="B37" s="411" t="s">
        <v>524</v>
      </c>
      <c r="C37" s="411"/>
      <c r="D37" s="411"/>
      <c r="E37" s="411"/>
      <c r="F37" s="411"/>
    </row>
    <row r="39" spans="1:6">
      <c r="B39" s="412" t="s">
        <v>386</v>
      </c>
      <c r="C39" s="413">
        <f>scaling_factor</f>
        <v>1000</v>
      </c>
    </row>
    <row r="40" spans="1:6">
      <c r="B40" s="414" t="s">
        <v>525</v>
      </c>
      <c r="C40" s="414"/>
      <c r="D40" s="414"/>
      <c r="E40" s="414"/>
      <c r="F40" s="414"/>
    </row>
    <row r="41" spans="1:6">
      <c r="B41" s="415" t="s">
        <v>199</v>
      </c>
      <c r="C41" s="416">
        <f>Normalized_FCF!C8</f>
        <v>399119.96227138769</v>
      </c>
      <c r="D41" s="374" t="str">
        <f>Reporting_currency</f>
        <v>HKD</v>
      </c>
    </row>
    <row r="42" spans="1:6">
      <c r="B42" s="415"/>
      <c r="C42" s="417"/>
    </row>
    <row r="43" spans="1:6" ht="24.6" customHeight="1">
      <c r="B43" s="414" t="s">
        <v>526</v>
      </c>
      <c r="C43" s="414"/>
      <c r="D43" s="414"/>
      <c r="E43" s="414"/>
      <c r="F43" s="414"/>
    </row>
    <row r="44" spans="1:6">
      <c r="B44" s="415" t="s">
        <v>201</v>
      </c>
      <c r="C44" s="416">
        <f>Normalized_FCF!C9</f>
        <v>378473</v>
      </c>
      <c r="D44" s="374" t="str">
        <f>Reporting_currency</f>
        <v>HKD</v>
      </c>
    </row>
    <row r="45" spans="1:6">
      <c r="B45" s="418" t="s">
        <v>202</v>
      </c>
      <c r="C45" s="416">
        <f>Normalized_FCF!C10</f>
        <v>-378473</v>
      </c>
      <c r="D45" s="374" t="str">
        <f>Reporting_currency</f>
        <v>HKD</v>
      </c>
    </row>
    <row r="47" spans="1:6">
      <c r="B47" s="414" t="s">
        <v>527</v>
      </c>
      <c r="C47" s="414"/>
      <c r="D47" s="414"/>
      <c r="E47" s="414"/>
      <c r="F47" s="414"/>
    </row>
    <row r="48" spans="1:6">
      <c r="B48" s="415" t="s">
        <v>204</v>
      </c>
      <c r="C48" s="416">
        <f>Normalized_FCF!C11</f>
        <v>0</v>
      </c>
      <c r="D48" s="374" t="str">
        <f>Reporting_currency</f>
        <v>HKD</v>
      </c>
    </row>
    <row r="50" spans="2:6">
      <c r="B50" s="414" t="s">
        <v>528</v>
      </c>
      <c r="C50" s="414"/>
      <c r="D50" s="414"/>
      <c r="E50" s="414"/>
      <c r="F50" s="414"/>
    </row>
    <row r="51" spans="2:6">
      <c r="B51" s="415" t="s">
        <v>271</v>
      </c>
      <c r="C51" s="419">
        <f>Normalized_FCF!C46</f>
        <v>6692.5186674405113</v>
      </c>
      <c r="D51" s="374" t="str">
        <f>Reporting_currency</f>
        <v>HKD</v>
      </c>
      <c r="E51" s="420"/>
      <c r="F51" s="420"/>
    </row>
    <row r="52" spans="2:6">
      <c r="B52" s="415" t="s">
        <v>272</v>
      </c>
      <c r="C52" s="419">
        <f>Normalized_FCF!C45</f>
        <v>-85372.400000000009</v>
      </c>
      <c r="D52" s="374" t="str">
        <f>Reporting_currency</f>
        <v>HKD</v>
      </c>
      <c r="E52" s="420"/>
      <c r="F52" s="420"/>
    </row>
    <row r="53" spans="2:6">
      <c r="B53" s="415" t="s">
        <v>205</v>
      </c>
      <c r="C53" s="416">
        <f>Normalized_FCF!C12</f>
        <v>-78679.881332559497</v>
      </c>
      <c r="D53" s="374" t="str">
        <f>Reporting_currency</f>
        <v>HKD</v>
      </c>
    </row>
    <row r="55" spans="2:6">
      <c r="B55" s="374" t="s">
        <v>529</v>
      </c>
    </row>
    <row r="56" spans="2:6">
      <c r="B56" s="415" t="s">
        <v>225</v>
      </c>
      <c r="C56" s="416">
        <f>Normalized_FCF!C15</f>
        <v>-2604.2914835892152</v>
      </c>
      <c r="D56" s="374" t="str">
        <f>Reporting_currency</f>
        <v>HKD</v>
      </c>
    </row>
    <row r="58" spans="2:6">
      <c r="B58" s="414" t="s">
        <v>530</v>
      </c>
      <c r="C58" s="414"/>
      <c r="D58" s="414"/>
      <c r="E58" s="414"/>
      <c r="F58" s="414"/>
    </row>
    <row r="59" spans="2:6">
      <c r="B59" s="415" t="s">
        <v>518</v>
      </c>
      <c r="C59" s="416">
        <f>Normalized_FCF!C14</f>
        <v>-52872.613354906651</v>
      </c>
      <c r="D59" s="374" t="str">
        <f>Reporting_currency</f>
        <v>HKD</v>
      </c>
    </row>
    <row r="61" spans="2:6">
      <c r="B61" s="414" t="s">
        <v>531</v>
      </c>
      <c r="C61" s="421"/>
      <c r="D61" s="421"/>
      <c r="E61" s="421"/>
      <c r="F61" s="421"/>
    </row>
    <row r="62" spans="2:6">
      <c r="B62" s="415" t="s">
        <v>209</v>
      </c>
      <c r="C62" s="416">
        <f>Normalized_FCF!C17</f>
        <v>0</v>
      </c>
      <c r="D62" s="374" t="str">
        <f>Reporting_currency</f>
        <v>HKD</v>
      </c>
    </row>
    <row r="64" spans="2:6">
      <c r="B64" s="396" t="s">
        <v>532</v>
      </c>
      <c r="C64" s="396"/>
      <c r="D64" s="396"/>
      <c r="E64" s="396"/>
      <c r="F64" s="396"/>
    </row>
    <row r="65" spans="1:6">
      <c r="B65" s="396" t="s">
        <v>533</v>
      </c>
      <c r="C65" s="396"/>
      <c r="D65" s="396"/>
      <c r="E65" s="396"/>
      <c r="F65" s="396"/>
    </row>
    <row r="67" spans="1:6">
      <c r="B67" s="415" t="s">
        <v>387</v>
      </c>
      <c r="C67" s="416">
        <f>Normalized_FCF!G19</f>
        <v>362404.65016124537</v>
      </c>
      <c r="D67" s="374" t="str">
        <f>Reporting_currency</f>
        <v>HKD</v>
      </c>
    </row>
    <row r="68" spans="1:6">
      <c r="B68" s="415" t="s">
        <v>215</v>
      </c>
      <c r="C68" s="416">
        <f>Normalized_FCF!C19</f>
        <v>264963.17610033229</v>
      </c>
      <c r="D68" s="374" t="str">
        <f>Reporting_currency</f>
        <v>HKD</v>
      </c>
    </row>
    <row r="69" spans="1:6">
      <c r="B69" s="422" t="s">
        <v>308</v>
      </c>
      <c r="C69" s="423">
        <f>Normalized_FCF!C124</f>
        <v>7.0716700572596158E-2</v>
      </c>
      <c r="F69" s="424"/>
    </row>
    <row r="70" spans="1:6">
      <c r="B70" s="422" t="s">
        <v>340</v>
      </c>
      <c r="C70" s="423">
        <f>Normalized_FCF!C92</f>
        <v>6.1919504643962855E-2</v>
      </c>
      <c r="E70" s="415" t="s">
        <v>388</v>
      </c>
      <c r="F70" s="425">
        <f>Normalized_FCF!C90</f>
        <v>0.87559945730779254</v>
      </c>
    </row>
    <row r="72" spans="1:6">
      <c r="B72" s="412" t="s">
        <v>391</v>
      </c>
      <c r="C72" s="426" t="s">
        <v>335</v>
      </c>
      <c r="D72" s="426" t="s">
        <v>389</v>
      </c>
    </row>
    <row r="73" spans="1:6">
      <c r="B73" s="415" t="s">
        <v>334</v>
      </c>
      <c r="C73" s="423">
        <f>Normalized_FCF!C119</f>
        <v>0.1167471410506614</v>
      </c>
      <c r="D73" s="423">
        <f>Normalized_FCF!G119</f>
        <v>0.14467098116585544</v>
      </c>
    </row>
    <row r="74" spans="1:6">
      <c r="B74" s="427" t="str">
        <f>Normalized_FCF!B116</f>
        <v>Pre-tax Profit/Sales</v>
      </c>
      <c r="C74" s="428">
        <f>Normalized_FCF!C116</f>
        <v>3.9086921133773919E-2</v>
      </c>
      <c r="D74" s="428">
        <f>Normalized_FCF!G116</f>
        <v>4.6343249224001092E-2</v>
      </c>
    </row>
    <row r="75" spans="1:6">
      <c r="B75" s="427" t="str">
        <f>Normalized_FCF!B117</f>
        <v>Sales/Total Assets</v>
      </c>
      <c r="C75" s="429">
        <f>Normalized_FCF!C117</f>
        <v>1.3708738209065539</v>
      </c>
      <c r="D75" s="429">
        <f>Normalized_FCF!G117</f>
        <v>1.4327738230803833</v>
      </c>
    </row>
    <row r="76" spans="1:6">
      <c r="B76" s="427" t="str">
        <f>Normalized_FCF!B118</f>
        <v>Total Assets/Equity</v>
      </c>
      <c r="C76" s="429">
        <f>Normalized_FCF!C118</f>
        <v>2.1787997096988563</v>
      </c>
      <c r="D76" s="429">
        <f>Normalized_FCF!G118</f>
        <v>2.1787997096988563</v>
      </c>
    </row>
    <row r="78" spans="1:6" ht="13.9">
      <c r="A78" s="380" t="s">
        <v>498</v>
      </c>
      <c r="B78" s="380"/>
      <c r="C78" s="380"/>
      <c r="D78" s="380"/>
      <c r="E78" s="380"/>
      <c r="F78" s="380"/>
    </row>
    <row r="79" spans="1:6">
      <c r="A79" s="430"/>
    </row>
    <row r="80" spans="1:6">
      <c r="A80" s="431"/>
      <c r="B80" s="396" t="s">
        <v>534</v>
      </c>
      <c r="C80" s="396"/>
      <c r="D80" s="396"/>
      <c r="E80" s="396"/>
      <c r="F80" s="396"/>
    </row>
    <row r="81" spans="2:6">
      <c r="B81" s="411" t="s">
        <v>501</v>
      </c>
      <c r="C81" s="411"/>
      <c r="D81" s="411"/>
      <c r="E81" s="411"/>
      <c r="F81" s="411"/>
    </row>
    <row r="83" spans="2:6">
      <c r="B83" s="412" t="s">
        <v>386</v>
      </c>
    </row>
    <row r="84" spans="2:6">
      <c r="B84" s="396" t="s">
        <v>535</v>
      </c>
      <c r="C84" s="396"/>
      <c r="D84" s="396"/>
      <c r="E84" s="396"/>
      <c r="F84" s="396"/>
    </row>
    <row r="85" spans="2:6">
      <c r="B85" s="374" t="s">
        <v>217</v>
      </c>
      <c r="C85" s="416">
        <f>DCF!F4</f>
        <v>-2134310</v>
      </c>
      <c r="D85" s="374" t="str">
        <f>Reporting_currency</f>
        <v>HKD</v>
      </c>
    </row>
    <row r="86" spans="2:6">
      <c r="B86" s="415" t="s">
        <v>237</v>
      </c>
      <c r="C86" s="432">
        <f>C85*scaling_factor*Exchange_Rate/Common_Shares</f>
        <v>-3.679819240153456</v>
      </c>
      <c r="D86" s="374" t="str">
        <f>Market_currency</f>
        <v>HKD</v>
      </c>
    </row>
    <row r="87" spans="2:6">
      <c r="B87" s="427" t="s">
        <v>315</v>
      </c>
      <c r="C87" s="433">
        <f>IF(BS!G31/BS!G27&gt;300%,"nm",BS!G31/BS!G27)</f>
        <v>0.77760119734648436</v>
      </c>
    </row>
    <row r="88" spans="2:6">
      <c r="B88" s="427" t="s">
        <v>317</v>
      </c>
      <c r="C88" s="434">
        <f>IF(BS!C50&gt;30,"nm",BS!C50)</f>
        <v>5.3475400925918697</v>
      </c>
    </row>
    <row r="90" spans="2:6">
      <c r="B90" s="374" t="s">
        <v>536</v>
      </c>
    </row>
    <row r="91" spans="2:6">
      <c r="B91" s="374" t="s">
        <v>226</v>
      </c>
      <c r="C91" s="416">
        <f>DCF!F5</f>
        <v>384381.13325594889</v>
      </c>
      <c r="D91" s="374" t="str">
        <f>Reporting_currency</f>
        <v>HKD</v>
      </c>
    </row>
    <row r="92" spans="2:6">
      <c r="B92" s="427" t="s">
        <v>503</v>
      </c>
      <c r="C92" s="435">
        <f>BS!C66</f>
        <v>1053633</v>
      </c>
      <c r="D92" s="436" t="str">
        <f>Reporting_currency</f>
        <v>HKD</v>
      </c>
    </row>
    <row r="93" spans="2:6">
      <c r="B93" s="415" t="s">
        <v>238</v>
      </c>
      <c r="C93" s="432">
        <f>C91*scaling_factor*Exchange_Rate/Common_Shares</f>
        <v>0.66272148362104388</v>
      </c>
      <c r="D93" s="374" t="str">
        <f>Market_currency</f>
        <v>HKD</v>
      </c>
    </row>
    <row r="95" spans="2:6">
      <c r="B95" s="374" t="s">
        <v>537</v>
      </c>
    </row>
    <row r="96" spans="2:6">
      <c r="B96" s="374" t="s">
        <v>219</v>
      </c>
      <c r="C96" s="416">
        <f>DCF!F6</f>
        <v>63482.2</v>
      </c>
      <c r="D96" s="374" t="str">
        <f>Reporting_currency</f>
        <v>HKD</v>
      </c>
    </row>
    <row r="97" spans="1:6">
      <c r="B97" s="415" t="s">
        <v>239</v>
      </c>
      <c r="C97" s="432">
        <f>C96*scaling_factor*Exchange_Rate/Common_Shares</f>
        <v>0.10945130790150902</v>
      </c>
      <c r="D97" s="374" t="str">
        <f>Market_currency</f>
        <v>HKD</v>
      </c>
    </row>
    <row r="99" spans="1:6">
      <c r="B99" s="415" t="s">
        <v>502</v>
      </c>
      <c r="C99" s="432">
        <f>DCF!F8</f>
        <v>-2.9076464486309033</v>
      </c>
      <c r="D99" s="374" t="str">
        <f>Market_currency</f>
        <v>HKD</v>
      </c>
    </row>
    <row r="101" spans="1:6" ht="13.9">
      <c r="A101" s="380" t="s">
        <v>504</v>
      </c>
      <c r="B101" s="380"/>
      <c r="C101" s="380"/>
      <c r="D101" s="380"/>
      <c r="E101" s="380"/>
      <c r="F101" s="380"/>
    </row>
    <row r="102" spans="1:6">
      <c r="A102" s="430"/>
    </row>
    <row r="103" spans="1:6">
      <c r="A103" s="430"/>
      <c r="B103" s="396" t="s">
        <v>538</v>
      </c>
      <c r="C103" s="396"/>
      <c r="D103" s="396"/>
      <c r="E103" s="396"/>
      <c r="F103" s="396"/>
    </row>
    <row r="104" spans="1:6">
      <c r="A104" s="430"/>
      <c r="B104" s="411" t="s">
        <v>539</v>
      </c>
      <c r="C104" s="411"/>
      <c r="D104" s="411"/>
      <c r="E104" s="411"/>
      <c r="F104" s="411"/>
    </row>
    <row r="105" spans="1:6">
      <c r="A105" s="430"/>
      <c r="B105" s="411" t="s">
        <v>540</v>
      </c>
      <c r="C105" s="411"/>
      <c r="D105" s="411"/>
      <c r="E105" s="411"/>
      <c r="F105" s="411"/>
    </row>
    <row r="106" spans="1:6">
      <c r="A106" s="430"/>
    </row>
    <row r="107" spans="1:6">
      <c r="A107" s="430"/>
      <c r="B107" s="412" t="s">
        <v>386</v>
      </c>
    </row>
    <row r="108" spans="1:6">
      <c r="A108" s="430"/>
      <c r="B108" s="415" t="s">
        <v>214</v>
      </c>
      <c r="C108" s="410">
        <f>E32+C110</f>
        <v>7.4999999999999997E-2</v>
      </c>
    </row>
    <row r="109" spans="1:6">
      <c r="A109" s="430"/>
      <c r="B109" s="427" t="s">
        <v>326</v>
      </c>
      <c r="C109" s="428">
        <f>E32</f>
        <v>7.4999999999999997E-2</v>
      </c>
    </row>
    <row r="110" spans="1:6">
      <c r="A110" s="430"/>
      <c r="B110" s="427" t="s">
        <v>325</v>
      </c>
      <c r="C110" s="428">
        <f>IF(C23="Y",1%,0)+IF(C24="Y",1%,0)</f>
        <v>0</v>
      </c>
    </row>
    <row r="111" spans="1:6">
      <c r="A111" s="430"/>
      <c r="B111" s="415" t="s">
        <v>216</v>
      </c>
      <c r="C111" s="410">
        <v>0</v>
      </c>
    </row>
    <row r="112" spans="1:6">
      <c r="A112" s="430"/>
      <c r="C112" s="437"/>
    </row>
    <row r="113" spans="1:6">
      <c r="A113" s="430"/>
      <c r="B113" s="438" t="s">
        <v>390</v>
      </c>
      <c r="C113" s="437"/>
    </row>
    <row r="114" spans="1:6">
      <c r="A114" s="430"/>
      <c r="B114" s="396" t="s">
        <v>541</v>
      </c>
      <c r="C114" s="396"/>
      <c r="D114" s="396"/>
      <c r="E114" s="396"/>
      <c r="F114" s="396"/>
    </row>
    <row r="115" spans="1:6">
      <c r="A115" s="430"/>
      <c r="B115" s="396" t="s">
        <v>542</v>
      </c>
      <c r="C115" s="396"/>
      <c r="D115" s="396"/>
      <c r="E115" s="396"/>
      <c r="F115" s="396"/>
    </row>
    <row r="116" spans="1:6">
      <c r="A116" s="430"/>
    </row>
    <row r="117" spans="1:6">
      <c r="A117" s="430"/>
      <c r="B117" s="412" t="s">
        <v>511</v>
      </c>
    </row>
    <row r="118" spans="1:6">
      <c r="A118" s="430"/>
      <c r="B118" s="418" t="s">
        <v>508</v>
      </c>
      <c r="C118" s="439">
        <f>BS!D47</f>
        <v>-2.5047246524922007</v>
      </c>
      <c r="D118" s="374" t="str">
        <f>Market_currency</f>
        <v>HKD</v>
      </c>
    </row>
    <row r="119" spans="1:6">
      <c r="A119" s="430"/>
      <c r="B119" s="415" t="s">
        <v>392</v>
      </c>
      <c r="C119" s="439">
        <f>DCF!C11</f>
        <v>3.1834186940220452</v>
      </c>
      <c r="D119" s="374" t="str">
        <f>Market_currency</f>
        <v>HKD</v>
      </c>
    </row>
    <row r="120" spans="1:6">
      <c r="A120" s="430"/>
    </row>
    <row r="121" spans="1:6">
      <c r="A121" s="430"/>
      <c r="B121" s="396" t="s">
        <v>543</v>
      </c>
      <c r="C121" s="396"/>
      <c r="D121" s="396"/>
      <c r="E121" s="396"/>
      <c r="F121" s="396"/>
    </row>
    <row r="122" spans="1:6">
      <c r="A122" s="430"/>
    </row>
    <row r="123" spans="1:6">
      <c r="A123" s="430"/>
      <c r="B123" s="412" t="s">
        <v>512</v>
      </c>
    </row>
    <row r="124" spans="1:6">
      <c r="A124" s="430"/>
      <c r="B124" s="364" t="s">
        <v>393</v>
      </c>
      <c r="C124" s="364" t="s">
        <v>394</v>
      </c>
      <c r="D124" s="364" t="s">
        <v>101</v>
      </c>
      <c r="E124" s="364" t="s">
        <v>395</v>
      </c>
      <c r="F124" s="364" t="s">
        <v>396</v>
      </c>
    </row>
    <row r="125" spans="1:6">
      <c r="A125" s="430"/>
      <c r="B125" s="440" t="str">
        <f>DCF!B74</f>
        <v>Snowball Scenario</v>
      </c>
      <c r="C125" s="441">
        <f>DCF!C74</f>
        <v>0.04</v>
      </c>
      <c r="D125" s="442">
        <f>DCF!D74</f>
        <v>5</v>
      </c>
      <c r="E125" s="443" t="str">
        <f>ROUND(DCF!E74,2)&amp;" "&amp;Market_currency</f>
        <v>9.08 HKD</v>
      </c>
      <c r="F125" s="444">
        <f>DCF!F74</f>
        <v>0.05</v>
      </c>
    </row>
    <row r="126" spans="1:6">
      <c r="A126" s="430"/>
      <c r="B126" s="445" t="str">
        <f>DCF!B75</f>
        <v>Optimistic</v>
      </c>
      <c r="C126" s="446">
        <f>DCF!C75</f>
        <v>0.03</v>
      </c>
      <c r="D126" s="447">
        <f>DCF!D75</f>
        <v>5</v>
      </c>
      <c r="E126" s="443" t="str">
        <f>ROUND(DCF!E75,2)&amp;" "&amp;Market_currency</f>
        <v>8.83 HKD</v>
      </c>
      <c r="F126" s="448">
        <f>DCF!F75</f>
        <v>0.18</v>
      </c>
    </row>
    <row r="127" spans="1:6">
      <c r="B127" s="445" t="str">
        <f>DCF!B76</f>
        <v>Base</v>
      </c>
      <c r="C127" s="446">
        <f>DCF!C76</f>
        <v>0.02</v>
      </c>
      <c r="D127" s="447">
        <f>DCF!D76</f>
        <v>5</v>
      </c>
      <c r="E127" s="443" t="str">
        <f>ROUND(DCF!E76,2)&amp;" "&amp;Market_currency</f>
        <v>8.58 HKD</v>
      </c>
      <c r="F127" s="448">
        <f>DCF!F76</f>
        <v>0.53999999999999992</v>
      </c>
    </row>
    <row r="128" spans="1:6">
      <c r="B128" s="445" t="str">
        <f>DCF!B77</f>
        <v>Pessimistic</v>
      </c>
      <c r="C128" s="446">
        <f>DCF!C77</f>
        <v>0.01</v>
      </c>
      <c r="D128" s="447">
        <f>DCF!D77</f>
        <v>5</v>
      </c>
      <c r="E128" s="443" t="str">
        <f>ROUND(DCF!E77,2)&amp;" "&amp;Market_currency</f>
        <v>8.33 HKD</v>
      </c>
      <c r="F128" s="448">
        <f>DCF!F77</f>
        <v>0.18</v>
      </c>
    </row>
    <row r="129" spans="1:6">
      <c r="B129" s="445" t="str">
        <f>DCF!B78</f>
        <v>Devil's advocate</v>
      </c>
      <c r="C129" s="446">
        <f>DCF!C78</f>
        <v>0</v>
      </c>
      <c r="D129" s="447">
        <f>DCF!D78</f>
        <v>5</v>
      </c>
      <c r="E129" s="443" t="str">
        <f>ROUND(DCF!E78,2)&amp;" "&amp;Market_currency</f>
        <v>8.08 HKD</v>
      </c>
      <c r="F129" s="448">
        <f>DCF!F78</f>
        <v>0.05</v>
      </c>
    </row>
    <row r="131" spans="1:6">
      <c r="B131" s="414" t="s">
        <v>544</v>
      </c>
      <c r="C131" s="414"/>
      <c r="D131" s="414"/>
      <c r="E131" s="414"/>
      <c r="F131" s="414"/>
    </row>
    <row r="132" spans="1:6">
      <c r="B132" s="415" t="s">
        <v>220</v>
      </c>
      <c r="C132" s="449">
        <f>Scenarios!C36</f>
        <v>8.5777338138733441</v>
      </c>
      <c r="D132" s="374" t="str">
        <f>Market_currency</f>
        <v>HKD</v>
      </c>
    </row>
    <row r="134" spans="1:6">
      <c r="B134" s="450" t="s">
        <v>545</v>
      </c>
      <c r="C134" s="450"/>
      <c r="D134" s="450"/>
      <c r="E134" s="450"/>
      <c r="F134" s="450"/>
    </row>
    <row r="136" spans="1:6" ht="13.9">
      <c r="A136" s="380" t="s">
        <v>514</v>
      </c>
      <c r="B136" s="380"/>
      <c r="C136" s="380"/>
      <c r="D136" s="380"/>
      <c r="E136" s="380"/>
      <c r="F136" s="380"/>
    </row>
    <row r="138" spans="1:6">
      <c r="B138" s="451" t="s">
        <v>546</v>
      </c>
      <c r="C138" s="451"/>
      <c r="D138" s="451"/>
      <c r="E138" s="451"/>
      <c r="F138" s="451"/>
    </row>
    <row r="139" spans="1:6" ht="24.6" customHeight="1">
      <c r="B139" s="396" t="s">
        <v>547</v>
      </c>
      <c r="C139" s="396"/>
      <c r="D139" s="396"/>
      <c r="E139" s="396"/>
      <c r="F139" s="396"/>
    </row>
    <row r="141" spans="1:6">
      <c r="B141" s="412" t="s">
        <v>386</v>
      </c>
    </row>
    <row r="142" spans="1:6">
      <c r="B142" s="374" t="s">
        <v>397</v>
      </c>
      <c r="C142" s="452">
        <f>E28</f>
        <v>3</v>
      </c>
    </row>
    <row r="143" spans="1:6">
      <c r="B143" s="374" t="s">
        <v>398</v>
      </c>
      <c r="C143" s="453">
        <f>Scenarios!C58</f>
        <v>0.4</v>
      </c>
      <c r="D143" s="374" t="str">
        <f>Market_currency</f>
        <v>HKD</v>
      </c>
    </row>
    <row r="145" spans="1:6">
      <c r="B145" s="412" t="s">
        <v>515</v>
      </c>
      <c r="C145" s="454"/>
      <c r="D145" s="454" t="str">
        <f>IF(D11="","",D11)</f>
        <v/>
      </c>
    </row>
    <row r="146" spans="1:6">
      <c r="B146" s="362" t="s">
        <v>484</v>
      </c>
      <c r="C146" s="362" t="str">
        <f>"PV("&amp;Holding_Period&amp;" yrs of Dividends)"</f>
        <v>PV(3 yrs of Dividends)</v>
      </c>
      <c r="D146" s="362" t="s">
        <v>493</v>
      </c>
      <c r="E146" s="363" t="str">
        <f>"Buy below ("&amp;Market_currency&amp;")"</f>
        <v>Buy below (HKD)</v>
      </c>
      <c r="F146" s="363" t="s">
        <v>517</v>
      </c>
    </row>
    <row r="147" spans="1:6">
      <c r="B147" s="455" t="s">
        <v>320</v>
      </c>
      <c r="C147" s="456">
        <f>Scenarios!C62</f>
        <v>0.67835187725448365</v>
      </c>
      <c r="D147" s="456">
        <f>Scenarios!D62</f>
        <v>3.4863522080468803</v>
      </c>
      <c r="E147" s="457">
        <f>Scenarios!E62</f>
        <v>4.1647040853013637</v>
      </c>
      <c r="F147" s="458">
        <f>E29</f>
        <v>0.35</v>
      </c>
    </row>
    <row r="148" spans="1:6">
      <c r="B148" s="455" t="s">
        <v>321</v>
      </c>
      <c r="C148" s="456">
        <f>Scenarios!C63</f>
        <v>0.78080000000000005</v>
      </c>
      <c r="D148" s="456">
        <f>Scenarios!D63</f>
        <v>4.3917997127031523</v>
      </c>
      <c r="E148" s="457">
        <f>Scenarios!E63</f>
        <v>5.1725997127031524</v>
      </c>
      <c r="F148" s="458">
        <f>Scenarios!F63</f>
        <v>0.25</v>
      </c>
    </row>
    <row r="150" spans="1:6">
      <c r="B150" s="362" t="s">
        <v>485</v>
      </c>
      <c r="C150" s="362" t="str">
        <f>"PV("&amp;Holding_Period&amp;" yrs of Dividends)"</f>
        <v>PV(3 yrs of Dividends)</v>
      </c>
      <c r="D150" s="362" t="s">
        <v>493</v>
      </c>
      <c r="E150" s="363" t="str">
        <f>"Sell above ("&amp;Market_currency&amp;")"</f>
        <v>Sell above (HKD)</v>
      </c>
      <c r="F150" s="363" t="s">
        <v>517</v>
      </c>
    </row>
    <row r="151" spans="1:6">
      <c r="B151" s="455" t="s">
        <v>323</v>
      </c>
      <c r="C151" s="456">
        <f>Scenarios!C66</f>
        <v>0.96504125037545974</v>
      </c>
      <c r="D151" s="456">
        <f>Scenarios!D66</f>
        <v>6.14817985960822</v>
      </c>
      <c r="E151" s="457">
        <f>Scenarios!E66</f>
        <v>7.1132211099836802</v>
      </c>
      <c r="F151" s="458">
        <f>E31</f>
        <v>0.1174</v>
      </c>
    </row>
    <row r="152" spans="1:6">
      <c r="B152" s="455" t="s">
        <v>322</v>
      </c>
      <c r="C152" s="456">
        <f>Scenarios!C67</f>
        <v>1.0402102959487838</v>
      </c>
      <c r="D152" s="456">
        <f>Scenarios!D67</f>
        <v>6.9047374959172663</v>
      </c>
      <c r="E152" s="457">
        <f>Scenarios!E67</f>
        <v>7.94494779186605</v>
      </c>
      <c r="F152" s="458">
        <f>Scenarios!F67</f>
        <v>7.4999999999999997E-2</v>
      </c>
    </row>
    <row r="154" spans="1:6" ht="13.9">
      <c r="A154" s="380" t="s">
        <v>497</v>
      </c>
      <c r="B154" s="380"/>
      <c r="C154" s="380"/>
      <c r="D154" s="380"/>
      <c r="E154" s="380"/>
      <c r="F154" s="380"/>
    </row>
    <row r="156" spans="1:6">
      <c r="B156" s="459" t="s">
        <v>548</v>
      </c>
      <c r="C156" s="396"/>
      <c r="D156" s="396"/>
      <c r="E156" s="396"/>
      <c r="F156" s="396"/>
    </row>
    <row r="158" spans="1:6">
      <c r="B158" s="412" t="s">
        <v>399</v>
      </c>
    </row>
    <row r="159" spans="1:6">
      <c r="B159" s="421" t="s">
        <v>549</v>
      </c>
      <c r="C159" s="421"/>
      <c r="D159" s="421"/>
      <c r="E159" s="421"/>
      <c r="F159" s="421"/>
    </row>
    <row r="160" spans="1:6">
      <c r="B160" s="460" t="s">
        <v>400</v>
      </c>
    </row>
    <row r="161" spans="2:6">
      <c r="B161" s="460" t="s">
        <v>401</v>
      </c>
    </row>
    <row r="162" spans="2:6">
      <c r="B162" s="460" t="s">
        <v>402</v>
      </c>
    </row>
    <row r="164" spans="2:6">
      <c r="B164" s="374" t="s">
        <v>550</v>
      </c>
    </row>
    <row r="165" spans="2:6" ht="24.6" customHeight="1">
      <c r="B165" s="414" t="s">
        <v>461</v>
      </c>
      <c r="C165" s="414"/>
      <c r="D165" s="414"/>
      <c r="E165" s="414"/>
      <c r="F165" s="414"/>
    </row>
    <row r="167" spans="2:6">
      <c r="B167" s="374" t="s">
        <v>551</v>
      </c>
    </row>
    <row r="168" spans="2:6">
      <c r="B168" s="461" t="s">
        <v>403</v>
      </c>
      <c r="C168" s="461"/>
      <c r="D168" s="461"/>
      <c r="E168" s="461"/>
      <c r="F168" s="461"/>
    </row>
    <row r="169" spans="2:6">
      <c r="B169" s="461" t="s">
        <v>404</v>
      </c>
      <c r="C169" s="461"/>
      <c r="D169" s="461"/>
      <c r="E169" s="461"/>
      <c r="F169" s="461"/>
    </row>
    <row r="171" spans="2:6">
      <c r="B171" s="374" t="s">
        <v>552</v>
      </c>
    </row>
    <row r="172" spans="2:6">
      <c r="B172" s="460" t="s">
        <v>405</v>
      </c>
    </row>
    <row r="173" spans="2:6">
      <c r="B173" s="460" t="s">
        <v>406</v>
      </c>
    </row>
    <row r="174" spans="2:6">
      <c r="B174" s="460" t="s">
        <v>407</v>
      </c>
    </row>
  </sheetData>
  <mergeCells count="29">
    <mergeCell ref="B47:F47"/>
    <mergeCell ref="B18:F18"/>
    <mergeCell ref="B36:F36"/>
    <mergeCell ref="B37:F37"/>
    <mergeCell ref="B40:F40"/>
    <mergeCell ref="B43:F43"/>
    <mergeCell ref="B121:F121"/>
    <mergeCell ref="B50:F50"/>
    <mergeCell ref="B58:F58"/>
    <mergeCell ref="B61:F61"/>
    <mergeCell ref="B64:F64"/>
    <mergeCell ref="B65:F65"/>
    <mergeCell ref="B80:F80"/>
    <mergeCell ref="B81:F81"/>
    <mergeCell ref="B114:F114"/>
    <mergeCell ref="B115:F115"/>
    <mergeCell ref="B103:F103"/>
    <mergeCell ref="B84:F84"/>
    <mergeCell ref="B104:F104"/>
    <mergeCell ref="B105:F105"/>
    <mergeCell ref="B165:F165"/>
    <mergeCell ref="B168:F168"/>
    <mergeCell ref="B169:F169"/>
    <mergeCell ref="B131:F131"/>
    <mergeCell ref="B134:F134"/>
    <mergeCell ref="B138:F138"/>
    <mergeCell ref="B139:F139"/>
    <mergeCell ref="B156:F156"/>
    <mergeCell ref="B159:F159"/>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12</vt:i4>
      </vt:variant>
    </vt:vector>
  </HeadingPairs>
  <TitlesOfParts>
    <vt:vector size="20"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2025-09-30T10:09:04Z</cp:lastPrinted>
  <dcterms:created xsi:type="dcterms:W3CDTF">2022-08-10T03:52:42Z</dcterms:created>
  <dcterms:modified xsi:type="dcterms:W3CDTF">2025-09-30T10:09:05Z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