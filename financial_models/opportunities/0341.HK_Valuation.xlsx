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E278E05-9000-4EDF-BBF5-82A732A2E45B}"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C79" i="8"/>
  <c r="D77" i="8"/>
  <c r="E79" i="8"/>
  <c r="B74" i="8"/>
  <c r="C80" i="6"/>
  <c r="C80" i="12"/>
  <c r="D68" i="6"/>
  <c r="D68" i="12"/>
  <c r="O77" i="2"/>
  <c r="O116" i="2" s="1"/>
  <c r="O14" i="2"/>
  <c r="P77" i="2"/>
  <c r="P116" i="2" s="1"/>
  <c r="P14" i="2"/>
  <c r="O96" i="2"/>
  <c r="G52" i="2"/>
  <c r="C38" i="12" l="1"/>
  <c r="C38" i="6"/>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<sst xmlns="http://schemas.openxmlformats.org/spreadsheetml/2006/main" count="768" uniqueCount="558">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</sst>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4.59</v>
      </c>
      <c r="E8" s="32"/>
    </row>
    <row r="9" spans="1:9">
      <c r="B9" s="4" t="s">
        <v>346</v>
      </c>
      <c r="C9" s="48">
        <v>580004033</v>
      </c>
    </row>
    <row r="10" spans="1:9">
      <c r="B10" s="4" t="s">
        <v>352</v>
      </c>
      <c r="C10" s="33">
        <f>Thesis!C8*Common_Shares/1000000</f>
        <v>2662.2185114699996</v>
      </c>
      <c r="D10" s="1" t="s">
        <v>528</v>
      </c>
      <c r="E10" s="303">
        <f>Scenarios!F34</f>
        <v>0.18177567353945742</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0.01</v>
      </c>
      <c r="D17" s="4" t="s">
        <v>274</v>
      </c>
      <c r="E17" s="224" t="s">
        <v>308</v>
      </c>
    </row>
    <row r="18" spans="1:6">
      <c r="B18" s="1" t="str">
        <f>"Expected Equity Value ("&amp;C7&amp;") :"</f>
        <v>Expected Equity Value (HKD) :</v>
      </c>
      <c r="C18" s="252">
        <f>C125</f>
        <v>6.5021029196761031</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3.5453162653105039</v>
      </c>
      <c r="D22" s="38" t="s">
        <v>406</v>
      </c>
      <c r="E22" s="79">
        <v>0.29465259038036606</v>
      </c>
    </row>
    <row r="23" spans="1:6">
      <c r="B23" s="1" t="s">
        <v>313</v>
      </c>
      <c r="C23" s="256">
        <f>E141</f>
        <v>4.3869285024051887</v>
      </c>
      <c r="D23" s="38" t="s">
        <v>407</v>
      </c>
      <c r="E23" s="443">
        <v>0.20075184365903009</v>
      </c>
    </row>
    <row r="24" spans="1:6">
      <c r="B24" s="1" t="s">
        <v>315</v>
      </c>
      <c r="C24" s="256">
        <f>E144</f>
        <v>5.3842307819113344</v>
      </c>
      <c r="D24" s="38" t="s">
        <v>408</v>
      </c>
      <c r="E24" s="443">
        <v>0.1174</v>
      </c>
    </row>
    <row r="25" spans="1:6">
      <c r="B25" s="1" t="s">
        <v>314</v>
      </c>
      <c r="C25" s="256">
        <f>E145</f>
        <v>6.0543353749158966</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398162</v>
      </c>
      <c r="D34" s="1" t="str">
        <f>Reporting_currency</f>
        <v>HKD</v>
      </c>
    </row>
    <row r="35" spans="2:6">
      <c r="B35" s="44"/>
      <c r="C35" s="73"/>
    </row>
    <row r="36" spans="2:6" ht="24.5" customHeight="1">
      <c r="B36" s="463" t="s">
        <v>198</v>
      </c>
      <c r="C36" s="463"/>
      <c r="D36" s="463"/>
      <c r="E36" s="463"/>
      <c r="F36" s="463"/>
    </row>
    <row r="37" spans="2:6">
      <c r="B37" s="44" t="s">
        <v>199</v>
      </c>
      <c r="C37" s="285">
        <f>Normalized_FCF!C15</f>
        <v>378473</v>
      </c>
      <c r="D37" s="1" t="str">
        <f>Reporting_currency</f>
        <v>HKD</v>
      </c>
    </row>
    <row r="38" spans="2:6">
      <c r="B38" s="49" t="s">
        <v>200</v>
      </c>
      <c r="C38" s="285">
        <f>Normalized_FCF!C16</f>
        <v>-378473</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6953.4635082499999</v>
      </c>
      <c r="D44" s="1" t="str">
        <f>Reporting_currency</f>
        <v>HKD</v>
      </c>
      <c r="E44" s="244"/>
      <c r="F44" s="244"/>
    </row>
    <row r="45" spans="2:6">
      <c r="B45" s="44" t="s">
        <v>268</v>
      </c>
      <c r="C45" s="286">
        <f>Normalized_FCF!C45</f>
        <v>-89319.428</v>
      </c>
      <c r="D45" s="1" t="str">
        <f>Reporting_currency</f>
        <v>HKD</v>
      </c>
      <c r="E45" s="244"/>
      <c r="F45" s="244"/>
    </row>
    <row r="46" spans="2:6">
      <c r="B46" s="44" t="s">
        <v>203</v>
      </c>
      <c r="C46" s="285">
        <f>Normalized_FCF!C10</f>
        <v>-82365.964491749997</v>
      </c>
      <c r="D46" s="1" t="str">
        <f>Reporting_currency</f>
        <v>HKD</v>
      </c>
    </row>
    <row r="48" spans="2:6">
      <c r="B48" s="1" t="s">
        <v>211</v>
      </c>
    </row>
    <row r="49" spans="2:6">
      <c r="B49" s="44" t="s">
        <v>223</v>
      </c>
      <c r="C49" s="285">
        <f>Normalized_FCF!C13</f>
        <v>-29412.617008902169</v>
      </c>
      <c r="D49" s="1" t="str">
        <f>Reporting_currency</f>
        <v>HKD</v>
      </c>
    </row>
    <row r="51" spans="2:6">
      <c r="B51" s="463" t="s">
        <v>206</v>
      </c>
      <c r="C51" s="463"/>
      <c r="D51" s="463"/>
      <c r="E51" s="463"/>
      <c r="F51" s="463"/>
    </row>
    <row r="52" spans="2:6">
      <c r="B52" s="44" t="s">
        <v>204</v>
      </c>
      <c r="C52" s="285">
        <f>Normalized_FCF!C12</f>
        <v>-52106.345858861256</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292974.55441311875</v>
      </c>
      <c r="D60" s="1" t="str">
        <f>Reporting_currency</f>
        <v>HKD</v>
      </c>
    </row>
    <row r="61" spans="2:6">
      <c r="B61" s="44" t="s">
        <v>213</v>
      </c>
      <c r="C61" s="285">
        <f>Normalized_FCF!C19</f>
        <v>234277.07264048661</v>
      </c>
      <c r="D61" s="1" t="str">
        <f>Reporting_currency</f>
        <v>HKD</v>
      </c>
    </row>
    <row r="62" spans="2:6">
      <c r="B62" s="204" t="s">
        <v>302</v>
      </c>
      <c r="C62" s="89">
        <f>Normalized_FCF!C124</f>
        <v>8.8000692516830875E-2</v>
      </c>
      <c r="F62" s="257"/>
    </row>
    <row r="63" spans="2:6">
      <c r="B63" s="204" t="s">
        <v>332</v>
      </c>
      <c r="C63" s="89">
        <f>Normalized_FCF!C92</f>
        <v>6.5359477124183024E-2</v>
      </c>
      <c r="E63" s="44" t="s">
        <v>322</v>
      </c>
      <c r="F63" s="258">
        <f>Normalized_FCF!C90</f>
        <v>0.74271548615009453</v>
      </c>
    </row>
    <row r="65" spans="1:6">
      <c r="B65" s="192" t="s">
        <v>325</v>
      </c>
      <c r="C65" s="264" t="s">
        <v>327</v>
      </c>
      <c r="D65" s="264" t="s">
        <v>328</v>
      </c>
    </row>
    <row r="66" spans="1:6">
      <c r="B66" s="44" t="s">
        <v>326</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37">
        <f>IF(BS!G31/BS!G27&gt;300%,"nm",BS!G31/BS!G27)</f>
        <v>0.76701287002940366</v>
      </c>
    </row>
    <row r="81" spans="1:6">
      <c r="A81" s="191"/>
      <c r="B81" s="229" t="s">
        <v>311</v>
      </c>
      <c r="C81" s="338">
        <f>IF(BS!C50&gt;30,"nm",BS!C50)</f>
        <v>5.0983946232940358</v>
      </c>
    </row>
    <row r="82" spans="1:6">
      <c r="A82" s="191"/>
    </row>
    <row r="83" spans="1:6">
      <c r="A83" s="191"/>
      <c r="B83" s="1" t="s">
        <v>466</v>
      </c>
    </row>
    <row r="84" spans="1:6">
      <c r="A84" s="191"/>
      <c r="B84" s="1" t="s">
        <v>224</v>
      </c>
      <c r="C84" s="285">
        <f>DCF!F5</f>
        <v>269920.64917500003</v>
      </c>
      <c r="D84" s="1" t="str">
        <f>Reporting_currency</f>
        <v>HKD</v>
      </c>
    </row>
    <row r="85" spans="1:6">
      <c r="A85" s="191"/>
      <c r="B85" s="229" t="s">
        <v>222</v>
      </c>
      <c r="C85" s="291">
        <f>BS!C66</f>
        <v>965267</v>
      </c>
      <c r="D85" s="339" t="str">
        <f>Reporting_currency</f>
        <v>HKD</v>
      </c>
    </row>
    <row r="86" spans="1:6">
      <c r="A86" s="191"/>
      <c r="B86" s="44" t="s">
        <v>235</v>
      </c>
      <c r="C86" s="201">
        <f>C84*scaling_factor*Exchange_Rate/Common_Shares</f>
        <v>0.46537719363582425</v>
      </c>
      <c r="D86" s="1" t="str">
        <f>Market_currency</f>
        <v>HKD</v>
      </c>
    </row>
    <row r="87" spans="1:6">
      <c r="A87" s="191"/>
    </row>
    <row r="88" spans="1:6">
      <c r="A88" s="191"/>
      <c r="B88" s="1" t="s">
        <v>216</v>
      </c>
    </row>
    <row r="89" spans="1:6">
      <c r="A89" s="191"/>
      <c r="B89" s="1" t="s">
        <v>217</v>
      </c>
      <c r="C89" s="285">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469</v>
      </c>
      <c r="C92" s="216">
        <f>DCF!F8</f>
        <v>-2.929271615642369</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-2.4800067209187837</v>
      </c>
      <c r="D111" s="1" t="str">
        <f>Market_currency</f>
        <v>HKD</v>
      </c>
    </row>
    <row r="112" spans="2:6">
      <c r="B112" s="44" t="s">
        <v>323</v>
      </c>
      <c r="C112" s="216">
        <f>DCF!C11</f>
        <v>3.5981269513780507</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0.04</v>
      </c>
      <c r="D118" s="207" t="str">
        <f>ROUND(DCF!E90,2)&amp;" "&amp;Market_currency</f>
        <v>8.1 HKD</v>
      </c>
      <c r="E118" s="208">
        <f>DCF!F90</f>
        <v>0.05</v>
      </c>
      <c r="F118" s="208">
        <f>RATE(Holding_Period,Scenarios!C$58,-DCF!E90,C$18)</f>
        <v>-3.0850278860431173E-2</v>
      </c>
    </row>
    <row r="119" spans="2:6">
      <c r="B119" s="205" t="str">
        <f>DCF!B91&amp;" ("&amp;DCF!D91&amp;"yrs)"</f>
        <v>Optimistic (10yrs)</v>
      </c>
      <c r="C119" s="198">
        <f>DCF!C91</f>
        <v>0.03</v>
      </c>
      <c r="D119" s="207" t="str">
        <f>ROUND(DCF!E91,2)&amp;" "&amp;Market_currency</f>
        <v>7.26 HKD</v>
      </c>
      <c r="E119" s="199">
        <f>DCF!F91</f>
        <v>0.18</v>
      </c>
      <c r="F119" s="208">
        <f>RATE(Holding_Period,Scenarios!C$58,-DCF!E91,C$18)</f>
        <v>6.8329251442492559E-3</v>
      </c>
    </row>
    <row r="120" spans="2:6">
      <c r="B120" s="205" t="str">
        <f>DCF!B92&amp;" ("&amp;DCF!D92&amp;"yrs)"</f>
        <v>Base (10yrs)</v>
      </c>
      <c r="C120" s="198">
        <f>DCF!C92</f>
        <v>0.02</v>
      </c>
      <c r="D120" s="207" t="str">
        <f>ROUND(DCF!E92,2)&amp;" "&amp;Market_currency</f>
        <v>6.48 HKD</v>
      </c>
      <c r="E120" s="199">
        <f>DCF!F92</f>
        <v>0.53999999999999992</v>
      </c>
      <c r="F120" s="208">
        <f>RATE(Holding_Period,Scenarios!C$58,-DCF!E92,C$18)</f>
        <v>4.7411152420250929E-2</v>
      </c>
    </row>
    <row r="121" spans="2:6">
      <c r="B121" s="205" t="str">
        <f>DCF!B93&amp;" ("&amp;DCF!D93&amp;"yrs)"</f>
        <v>Pessimistic (10yrs)</v>
      </c>
      <c r="C121" s="198">
        <f>DCF!C93</f>
        <v>0.01</v>
      </c>
      <c r="D121" s="207" t="str">
        <f>ROUND(DCF!E93,2)&amp;" "&amp;Market_currency</f>
        <v>5.76 HKD</v>
      </c>
      <c r="E121" s="199">
        <f>DCF!F93</f>
        <v>0.18</v>
      </c>
      <c r="F121" s="208">
        <f>RATE(Holding_Period,Scenarios!C$58,-DCF!E93,C$18)</f>
        <v>9.1334486710514626E-2</v>
      </c>
    </row>
    <row r="122" spans="2:6">
      <c r="B122" s="205" t="str">
        <f>DCF!B94&amp;" ("&amp;DCF!D94&amp;"yrs)"</f>
        <v>Devil's advocate (10yrs)</v>
      </c>
      <c r="C122" s="198">
        <f>DCF!C94</f>
        <v>0</v>
      </c>
      <c r="D122" s="207" t="str">
        <f>ROUND(DCF!E94,2)&amp;" "&amp;Market_currency</f>
        <v>5.1 HKD</v>
      </c>
      <c r="E122" s="199">
        <f>DCF!F94</f>
        <v>0.05</v>
      </c>
      <c r="F122" s="208">
        <f>RATE(Holding_Period,Scenarios!C$58,-DCF!E94,C$18)</f>
        <v>0.13916799963770765</v>
      </c>
    </row>
    <row r="124" spans="2:6">
      <c r="B124" s="463" t="s">
        <v>357</v>
      </c>
      <c r="C124" s="463"/>
      <c r="D124" s="463"/>
      <c r="E124" s="463"/>
      <c r="F124" s="463"/>
    </row>
    <row r="125" spans="2:6">
      <c r="B125" s="193" t="s">
        <v>218</v>
      </c>
      <c r="C125" s="197">
        <f>Scenarios!C36</f>
        <v>6.5021029196761031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0.54895547283303592</v>
      </c>
      <c r="D140" s="333">
        <f>Scenarios!D62</f>
        <v>2.9963607924774678</v>
      </c>
      <c r="E140" s="334">
        <f>Scenarios!E62</f>
        <v>3.5453162653105039</v>
      </c>
      <c r="F140" s="335">
        <f>E22</f>
        <v>0.29465259038036606</v>
      </c>
    </row>
    <row r="141" spans="1:6">
      <c r="B141" s="336" t="s">
        <v>313</v>
      </c>
      <c r="C141" s="333">
        <f>Scenarios!C63</f>
        <v>0.63120118418072357</v>
      </c>
      <c r="D141" s="333">
        <f>Scenarios!D63</f>
        <v>3.7557273182244653</v>
      </c>
      <c r="E141" s="334">
        <f>Scenarios!E63</f>
        <v>4.3869285024051887</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0.7237809377815948</v>
      </c>
      <c r="D144" s="333">
        <f>Scenarios!D66</f>
        <v>4.6604498441297393</v>
      </c>
      <c r="E144" s="334">
        <f>Scenarios!E66</f>
        <v>5.3842307819113344</v>
      </c>
      <c r="F144" s="335">
        <f>E24</f>
        <v>0.1174</v>
      </c>
    </row>
    <row r="145" spans="1:6">
      <c r="B145" s="336" t="s">
        <v>314</v>
      </c>
      <c r="C145" s="333">
        <f>Scenarios!C67</f>
        <v>0.78371256815190493</v>
      </c>
      <c r="D145" s="333">
        <f>Scenarios!D67</f>
        <v>5.270622806763992</v>
      </c>
      <c r="E145" s="334">
        <f>Scenarios!E67</f>
        <v>6.0543353749158966</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40</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51</v>
      </c>
      <c r="C6" s="287">
        <v>494493</v>
      </c>
      <c r="D6" s="287">
        <v>503213</v>
      </c>
      <c r="E6" s="287">
        <v>486079</v>
      </c>
      <c r="F6" s="287">
        <v>458843</v>
      </c>
      <c r="G6" s="287">
        <v>462619</v>
      </c>
      <c r="H6" s="287">
        <v>481414</v>
      </c>
      <c r="I6" s="287">
        <v>447788</v>
      </c>
      <c r="J6" s="287">
        <v>458819</v>
      </c>
      <c r="K6" s="287">
        <v>430609</v>
      </c>
      <c r="L6" s="287">
        <v>430039</v>
      </c>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104115</v>
      </c>
      <c r="D12" s="287">
        <v>108592</v>
      </c>
      <c r="E12" s="287">
        <v>98508</v>
      </c>
      <c r="F12" s="287">
        <v>88044</v>
      </c>
      <c r="G12" s="287"/>
      <c r="H12" s="287"/>
      <c r="I12" s="287"/>
      <c r="J12" s="287"/>
      <c r="K12" s="287"/>
      <c r="L12" s="287"/>
      <c r="M12" s="287"/>
    </row>
    <row r="13" spans="2:13">
      <c r="B13" s="38" t="s">
        <v>64</v>
      </c>
      <c r="C13" s="287">
        <v>46652</v>
      </c>
      <c r="D13" s="287">
        <v>45304</v>
      </c>
      <c r="E13" s="287">
        <v>38847</v>
      </c>
      <c r="F13" s="287">
        <v>7659</v>
      </c>
      <c r="G13" s="287"/>
      <c r="H13" s="287"/>
      <c r="I13" s="287"/>
      <c r="J13" s="287"/>
      <c r="K13" s="287"/>
      <c r="L13" s="287"/>
      <c r="M13" s="287"/>
    </row>
    <row r="14" spans="2:13">
      <c r="B14" s="38" t="s">
        <v>47</v>
      </c>
      <c r="C14" s="287">
        <v>32312</v>
      </c>
      <c r="D14" s="287">
        <v>56313</v>
      </c>
      <c r="E14" s="287">
        <v>32989</v>
      </c>
      <c r="F14" s="287">
        <v>27939</v>
      </c>
      <c r="G14" s="287">
        <v>29996</v>
      </c>
      <c r="H14" s="287">
        <v>39872</v>
      </c>
      <c r="I14" s="287">
        <v>129810</v>
      </c>
      <c r="J14" s="287">
        <v>121949</v>
      </c>
      <c r="K14" s="287">
        <v>108832</v>
      </c>
      <c r="L14" s="287">
        <v>110223</v>
      </c>
      <c r="M14" s="287"/>
    </row>
    <row r="15" spans="2:13">
      <c r="B15" s="41" t="s">
        <v>39</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41</v>
      </c>
      <c r="C16" s="287">
        <v>2367</v>
      </c>
      <c r="D16" s="287">
        <v>2761</v>
      </c>
      <c r="E16" s="287">
        <v>834</v>
      </c>
      <c r="F16" s="287">
        <v>1636</v>
      </c>
      <c r="G16" s="287">
        <v>1420</v>
      </c>
      <c r="H16" s="287">
        <v>752</v>
      </c>
      <c r="I16" s="287">
        <v>1825</v>
      </c>
      <c r="J16" s="287">
        <v>1240</v>
      </c>
      <c r="K16" s="287">
        <v>23</v>
      </c>
      <c r="L16" s="287">
        <v>-122</v>
      </c>
      <c r="M16" s="287"/>
    </row>
    <row r="18" spans="2:13">
      <c r="B18" s="16" t="s">
        <v>48</v>
      </c>
      <c r="C18" s="9"/>
    </row>
    <row r="19" spans="2:13">
      <c r="B19" s="26" t="s">
        <v>44</v>
      </c>
      <c r="C19" s="287">
        <v>378473</v>
      </c>
      <c r="D19" s="287">
        <v>394190</v>
      </c>
      <c r="E19" s="287"/>
      <c r="F19" s="287"/>
      <c r="G19" s="287"/>
      <c r="H19" s="287"/>
      <c r="I19" s="287"/>
      <c r="J19" s="287"/>
      <c r="K19" s="287"/>
      <c r="L19" s="287"/>
      <c r="M19" s="287"/>
    </row>
    <row r="20" spans="2:13">
      <c r="B20" s="26" t="s">
        <v>50</v>
      </c>
      <c r="C20" s="287">
        <v>305069</v>
      </c>
      <c r="D20" s="287">
        <v>316358</v>
      </c>
      <c r="E20" s="287"/>
      <c r="F20" s="287"/>
      <c r="G20" s="287"/>
      <c r="H20" s="287"/>
      <c r="I20" s="287"/>
      <c r="J20" s="287"/>
      <c r="K20" s="287"/>
      <c r="L20" s="287"/>
      <c r="M20" s="287"/>
    </row>
    <row r="21" spans="2:13">
      <c r="B21" s="26" t="s">
        <v>49</v>
      </c>
      <c r="C21" s="287">
        <f>1620363-1596408</f>
        <v>23955</v>
      </c>
      <c r="D21" s="287">
        <f>1695309-1694297</f>
        <v>1012</v>
      </c>
      <c r="E21" s="287"/>
      <c r="F21" s="287"/>
      <c r="G21" s="287"/>
      <c r="H21" s="287"/>
      <c r="I21" s="287"/>
      <c r="J21" s="287"/>
      <c r="K21" s="287"/>
      <c r="L21" s="287"/>
      <c r="M21" s="287"/>
    </row>
    <row r="22" spans="2:13">
      <c r="B22" s="26" t="s">
        <v>286</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288</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287</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547</v>
      </c>
    </row>
    <row r="28" spans="2:13">
      <c r="B28" s="25" t="s">
        <v>22</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30</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38</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28</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143</v>
      </c>
      <c r="C32" s="270">
        <f>BS!G28</f>
        <v>9054</v>
      </c>
      <c r="D32" s="287">
        <v>10665</v>
      </c>
      <c r="E32" s="287">
        <v>8469</v>
      </c>
      <c r="F32" s="287">
        <v>7635</v>
      </c>
      <c r="G32" s="287">
        <v>5999</v>
      </c>
      <c r="H32" s="287">
        <v>4579</v>
      </c>
      <c r="I32" s="287">
        <v>6262</v>
      </c>
      <c r="J32" s="287">
        <v>3819</v>
      </c>
      <c r="K32" s="287">
        <v>3743</v>
      </c>
      <c r="L32" s="287">
        <v>3720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40</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55</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51</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58</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61</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139</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65</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39</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41</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65</v>
      </c>
    </row>
    <row r="51" spans="2:13">
      <c r="B51" s="38" t="s">
        <v>37</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48</v>
      </c>
      <c r="C60" s="9"/>
    </row>
    <row r="61" spans="2:13">
      <c r="B61" s="26" t="s">
        <v>44</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82</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83</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38</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28</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402</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87">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5.0983946232940358</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9.0538073051324205E-2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269920.64917500003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-697763.03429583332</v>
      </c>
      <c r="D73" s="285">
        <f>(Normalized_FCF!C26+Normalized_FCF!C35-Normalized_FCF!C89)/12</f>
        <v>-695346.35082499997</v>
      </c>
      <c r="F73" s="1" t="s">
        <v>278</v>
      </c>
    </row>
    <row r="74" spans="2:6" ht="15" customHeight="1">
      <c r="B74" s="227" t="s">
        <v>259</v>
      </c>
      <c r="C74" s="228">
        <f>-$C$66/C73</f>
        <v>1.3833736563217707</v>
      </c>
      <c r="D74" s="228">
        <f>-$C$66/D73</f>
        <v>1.3881815858453133</v>
      </c>
      <c r="F74" s="223" t="s">
        <v>257</v>
      </c>
    </row>
    <row r="75" spans="2:6" ht="15" customHeight="1">
      <c r="B75" s="77" t="s">
        <v>258</v>
      </c>
      <c r="C75" s="261"/>
      <c r="D75" s="262">
        <f>MAX(-D73*D76,G5)</f>
        <v>695346.35082499997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269920.64917500003</v>
      </c>
      <c r="D87" s="201">
        <f>C87*scaling_factor/Common_Shares</f>
        <v>0.46537719363582425</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43</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45</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42</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127</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60</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208</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129</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62</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59</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0.16500000000000001</v>
      </c>
      <c r="D41" s="26"/>
      <c r="E41" s="234" t="s">
        <v>403</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164</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9.6128521495820012E-3</v>
      </c>
      <c r="D76" s="26"/>
      <c r="E76" s="234" t="s">
        <v>548</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6.5359477124183024E-2</v>
      </c>
      <c r="E92" s="237"/>
      <c r="G92" s="22">
        <f t="shared" ref="G92:Q92" si="38">IF(G$4="","",(G88*(1-dividend_tax_rate))/Market_Price)</f>
        <v>7.6252723311546838E-2</v>
      </c>
      <c r="H92" s="22">
        <f t="shared" si="38"/>
        <v>0.1241830065359477</v>
      </c>
      <c r="I92" s="22">
        <f t="shared" si="38"/>
        <v>8.2788671023965144E-2</v>
      </c>
      <c r="J92" s="22">
        <f t="shared" si="38"/>
        <v>8.2788671023965144E-2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179</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28</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304</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8.8000692516830875E-2</v>
      </c>
      <c r="D124" s="26"/>
      <c r="E124" s="234"/>
      <c r="F124" s="26"/>
      <c r="G124" s="74">
        <f t="shared" ref="G124" si="49">IF(G$4="","",G123/Market_Price)</f>
        <v>0.11004902608514532</v>
      </c>
      <c r="H124" s="74">
        <f t="shared" ref="H124" si="50">IF(H$4="","",H123/Market_Price)</f>
        <v>0.13186088909802374</v>
      </c>
      <c r="I124" s="74">
        <f t="shared" ref="I124" si="51">IF(I$4="","",I123/Market_Price)</f>
        <v>4.2153974455563598E-2</v>
      </c>
      <c r="J124" s="74">
        <f t="shared" ref="J124" si="52">IF(J$4="","",J123/Market_Price)</f>
        <v>-8.7234425630185793E-3</v>
      </c>
      <c r="K124" s="74">
        <f t="shared" ref="K124" si="53">IF(K$4="","",K123/Market_Price)</f>
        <v>-4.4642090605243413E-2</v>
      </c>
      <c r="L124" s="74">
        <f t="shared" ref="L124" si="54">IF(L$4="","",L123/Market_Price)</f>
        <v>7.8360960642862257E-2</v>
      </c>
      <c r="M124" s="74">
        <f t="shared" ref="M124" si="55">IF(M$4="","",M123/Market_Price)</f>
        <v>0.20952262092565865</v>
      </c>
      <c r="N124" s="74">
        <f t="shared" ref="N124" si="56">IF(N$4="","",N123/Market_Price)</f>
        <v>0.1728257834650643</v>
      </c>
      <c r="O124" s="74">
        <f t="shared" ref="O124" si="57">IF(O$4="","",O123/Market_Price)</f>
        <v>0.19433265818376833</v>
      </c>
      <c r="P124" s="74">
        <f t="shared" ref="P124" si="58">IF(P$4="","",P123/Market_Price)</f>
        <v>0.18946979664771374</v>
      </c>
      <c r="Q124" s="74" t="str">
        <f t="shared" ref="Q124" si="59">IF(Q$4="","",Q123/Market_Price)</f>
        <v/>
      </c>
    </row>
    <row r="125" spans="1:17" ht="15.75" customHeight="1">
      <c r="B125" s="2" t="s">
        <v>306</v>
      </c>
      <c r="C125" s="151"/>
      <c r="G125" s="22">
        <f>IF(G$4="","",(Data!C47*$C$3)/(Market_Price*Common_Shares))</f>
        <v>8.8313937787991167E-2</v>
      </c>
      <c r="H125" s="22">
        <f>IF(H$4="","",(Data!D47*$C$3)/(Market_Price*Common_Shares))</f>
        <v>0.12516440651447816</v>
      </c>
      <c r="I125" s="22">
        <f>IF(I$4="","",(Data!E47*$C$3)/(Market_Price*Common_Shares))</f>
        <v>4.176479110221714E-2</v>
      </c>
      <c r="J125" s="22">
        <f>IF(J$4="","",(Data!F47*$C$3)/(Market_Price*Common_Shares))</f>
        <v>8.5830670553721355E-3</v>
      </c>
      <c r="K125" s="22">
        <f>IF(K$4="","",(Data!G47*$C$3)/(Market_Price*Common_Shares))</f>
        <v>0.13543215872273187</v>
      </c>
      <c r="L125" s="22">
        <f>IF(L$4="","",(Data!H47*$C$3)/(Market_Price*Common_Shares))</f>
        <v>2.7941357810980817E-2</v>
      </c>
      <c r="M125" s="22">
        <f>IF(M$4="","",(Data!I47*$C$3)/(Market_Price*Common_Shares))</f>
        <v>0.22241224657139583</v>
      </c>
      <c r="N125" s="22">
        <f>IF(N$4="","",(Data!J47*$C$3)/(Market_Price*Common_Shares))</f>
        <v>0.17252340407864966</v>
      </c>
      <c r="O125" s="22">
        <f>IF(O$4="","",(Data!K47*$C$3)/(Market_Price*Common_Shares))</f>
        <v>0.1892594457702079</v>
      </c>
      <c r="P125" s="22">
        <f>IF(P$4="","",(Data!L47*$C$3)/(Market_Price*Common_Shares))</f>
        <v>0.19452197397352358</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234277.07264048661</v>
      </c>
      <c r="D4" t="str">
        <f>Reporting_currency</f>
        <v>HKD</v>
      </c>
      <c r="E4" s="135" t="s">
        <v>431</v>
      </c>
      <c r="F4" s="275">
        <f>-BS!G31</f>
        <v>-2029987</v>
      </c>
      <c r="G4" t="str">
        <f>Reporting_currency</f>
        <v>HKD</v>
      </c>
      <c r="H4" s="308" t="s">
        <v>394</v>
      </c>
      <c r="I4" s="305">
        <f>Normalized_FCF!C4</f>
        <v>8568317</v>
      </c>
      <c r="J4" s="305"/>
    </row>
    <row r="5" spans="2:15">
      <c r="B5" s="187" t="s">
        <v>105</v>
      </c>
      <c r="C5" s="188">
        <f>Equity_Cost</f>
        <v>7.2499999999999995E-2</v>
      </c>
      <c r="E5" s="135" t="s">
        <v>432</v>
      </c>
      <c r="F5" s="275">
        <f>BS!D66</f>
        <v>269920.64917500003</v>
      </c>
      <c r="G5" t="str">
        <f>Reporting_currency</f>
        <v>HKD</v>
      </c>
      <c r="H5" s="308" t="s">
        <v>395</v>
      </c>
      <c r="I5" s="305">
        <f>Normalized_FCF!C7</f>
        <v>-494493</v>
      </c>
      <c r="J5" s="305"/>
    </row>
    <row r="6" spans="2:15" ht="13.25" customHeight="1">
      <c r="B6" s="136" t="s">
        <v>194</v>
      </c>
      <c r="C6" s="283">
        <f>(C4*(1+Terminal_Growth))/(Equity_Cost-Terminal_Growth)</f>
        <v>3785917.4938702644</v>
      </c>
      <c r="D6" t="str">
        <f>Reporting_currency</f>
        <v>HKD</v>
      </c>
      <c r="E6" s="187" t="s">
        <v>433</v>
      </c>
      <c r="F6" s="284">
        <f>BS!H42</f>
        <v>61077</v>
      </c>
      <c r="G6" t="str">
        <f>Reporting_currency</f>
        <v>HKD</v>
      </c>
      <c r="H6" s="308" t="s">
        <v>416</v>
      </c>
      <c r="I6" s="305">
        <f>I7+I8</f>
        <v>-82365.964491749997</v>
      </c>
      <c r="J6" s="305"/>
      <c r="N6" s="135"/>
    </row>
    <row r="7" spans="2:15" ht="12.75" customHeight="1">
      <c r="B7" s="318" t="s">
        <v>430</v>
      </c>
      <c r="C7" s="275">
        <f>F7</f>
        <v>-1698989.3508250001</v>
      </c>
      <c r="E7" s="140" t="s">
        <v>424</v>
      </c>
      <c r="F7" s="283">
        <f>SUM(F4:F6)</f>
        <v>-1698989.3508250001</v>
      </c>
      <c r="G7" t="str">
        <f>Reporting_currency</f>
        <v>HKD</v>
      </c>
      <c r="H7" s="312" t="s">
        <v>417</v>
      </c>
      <c r="I7" s="313">
        <f>Normalized_FCF!C9</f>
        <v>0</v>
      </c>
      <c r="J7" s="313"/>
      <c r="N7" s="304"/>
      <c r="O7" s="304"/>
    </row>
    <row r="8" spans="2:15" ht="13.15">
      <c r="B8" s="136" t="s">
        <v>426</v>
      </c>
      <c r="C8" s="283">
        <f>C6+C7</f>
        <v>2086928.1430452643</v>
      </c>
      <c r="D8" t="str">
        <f>Reporting_currency</f>
        <v>HKD</v>
      </c>
      <c r="E8" s="140" t="s">
        <v>464</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427</v>
      </c>
      <c r="C10" s="283">
        <f>C8*Exchange_Rate</f>
        <v>2086928.1430452643</v>
      </c>
      <c r="D10" t="str">
        <f>Market_currency</f>
        <v>HKD</v>
      </c>
      <c r="H10" s="308" t="s">
        <v>397</v>
      </c>
      <c r="I10" s="306">
        <f>Normalized_FCF!C41</f>
        <v>0.16500000000000001</v>
      </c>
      <c r="N10" s="304"/>
      <c r="O10" s="304"/>
    </row>
    <row r="11" spans="2:15" ht="13.15">
      <c r="B11" s="136" t="s">
        <v>425</v>
      </c>
      <c r="C11" s="108">
        <f>(C10*scaling_factor)/Common_Shares</f>
        <v>3.5981269513780507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0.01</v>
      </c>
      <c r="J15" s="126"/>
    </row>
    <row r="16" spans="2:15" ht="13.25" customHeight="1">
      <c r="B16" s="114" t="s">
        <v>422</v>
      </c>
      <c r="C16" s="147">
        <f>Scenarios!C46</f>
        <v>2.0287009867734501E-2</v>
      </c>
      <c r="E16" s="308" t="s">
        <v>400</v>
      </c>
      <c r="F16" s="311">
        <f>Scenarios!C41</f>
        <v>2.0287009867734501E-2</v>
      </c>
    </row>
    <row r="17" spans="1:21" ht="13.25" customHeight="1">
      <c r="B17" s="308" t="s">
        <v>550</v>
      </c>
      <c r="C17" s="306">
        <f>Normalized_FCF!C77</f>
        <v>3.6856250242404666E-2</v>
      </c>
      <c r="E17" s="308" t="s">
        <v>551</v>
      </c>
      <c r="F17" s="311">
        <f>Scenarios!C40</f>
        <v>5.5599077391744495E-2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6.5009729540294972</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II</v>
      </c>
      <c r="B25" s="117">
        <v>5</v>
      </c>
      <c r="C25" s="277">
        <f t="shared" si="5"/>
        <v>9473431.3476682957</v>
      </c>
      <c r="D25" s="299">
        <f t="shared" si="1"/>
        <v>2.0287009867734501E-2</v>
      </c>
      <c r="E25" s="299">
        <f t="shared" si="6"/>
        <v>5.5599077391744495E-2</v>
      </c>
      <c r="F25" s="277">
        <f t="shared" si="7"/>
        <v>526714.04266438796</v>
      </c>
      <c r="G25" s="299">
        <f t="shared" si="2"/>
        <v>0</v>
      </c>
      <c r="H25" s="277">
        <f t="shared" si="8"/>
        <v>407286.606195523</v>
      </c>
      <c r="I25" s="299">
        <f t="shared" si="9"/>
        <v>0.60428273718349046</v>
      </c>
      <c r="J25" s="299">
        <f t="shared" si="10"/>
        <v>4.2992511503845837E-2</v>
      </c>
      <c r="K25" s="119">
        <f t="shared" si="3"/>
        <v>0.70471496766912267</v>
      </c>
      <c r="L25" s="277">
        <f t="shared" si="4"/>
        <v>287020.96751714469</v>
      </c>
      <c r="N25" s="275"/>
      <c r="O25" s="275"/>
      <c r="P25" s="275"/>
      <c r="Q25" s="275"/>
      <c r="R25" s="275"/>
      <c r="S25" s="275"/>
      <c r="T25" s="275"/>
      <c r="U25" s="275"/>
    </row>
    <row r="26" spans="1:21">
      <c r="A26" s="302" t="str">
        <f t="shared" si="0"/>
        <v>II</v>
      </c>
      <c r="B26" s="117">
        <v>6</v>
      </c>
      <c r="C26" s="277">
        <f t="shared" si="5"/>
        <v>9665618.9428997487</v>
      </c>
      <c r="D26" s="299">
        <f t="shared" si="1"/>
        <v>2.0287009867734501E-2</v>
      </c>
      <c r="E26" s="299">
        <f t="shared" si="6"/>
        <v>5.5599077391744495E-2</v>
      </c>
      <c r="F26" s="277">
        <f t="shared" si="7"/>
        <v>537399.49564539478</v>
      </c>
      <c r="G26" s="299">
        <f t="shared" si="2"/>
        <v>0</v>
      </c>
      <c r="H26" s="277">
        <f t="shared" si="8"/>
        <v>415549.23359440768</v>
      </c>
      <c r="I26" s="299">
        <f t="shared" si="9"/>
        <v>2.0287009867734573E-2</v>
      </c>
      <c r="J26" s="299">
        <f t="shared" si="10"/>
        <v>4.2992511503845837E-2</v>
      </c>
      <c r="K26" s="119">
        <f t="shared" si="3"/>
        <v>0.65707689293158289</v>
      </c>
      <c r="L26" s="277">
        <f t="shared" si="4"/>
        <v>273047.79927031393</v>
      </c>
    </row>
    <row r="27" spans="1:21">
      <c r="A27" s="302" t="str">
        <f t="shared" si="0"/>
        <v>II</v>
      </c>
      <c r="B27" s="117">
        <v>7</v>
      </c>
      <c r="C27" s="277">
        <f t="shared" si="5"/>
        <v>9861705.4497721177</v>
      </c>
      <c r="D27" s="299">
        <f t="shared" si="1"/>
        <v>2.0287009867734501E-2</v>
      </c>
      <c r="E27" s="299">
        <f t="shared" si="6"/>
        <v>5.5599077391744495E-2</v>
      </c>
      <c r="F27" s="277">
        <f t="shared" si="7"/>
        <v>548301.72451646847</v>
      </c>
      <c r="G27" s="299">
        <f t="shared" si="2"/>
        <v>0</v>
      </c>
      <c r="H27" s="277">
        <f t="shared" si="8"/>
        <v>423979.48499686702</v>
      </c>
      <c r="I27" s="299">
        <f t="shared" si="9"/>
        <v>2.0287009867734795E-2</v>
      </c>
      <c r="J27" s="299">
        <f t="shared" si="10"/>
        <v>4.2992511503845844E-2</v>
      </c>
      <c r="K27" s="119">
        <f t="shared" si="3"/>
        <v>0.61265910762851561</v>
      </c>
      <c r="L27" s="277">
        <f t="shared" si="4"/>
        <v>259754.89293097818</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2.0287009867734351E-2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10578899.043298019</v>
      </c>
      <c r="D51" s="301">
        <f>Terminal_Growth</f>
        <v>0.01</v>
      </c>
      <c r="E51" s="301">
        <f>F17</f>
        <v>5.5599077391744495E-2</v>
      </c>
      <c r="F51" s="277">
        <f>C51*E51</f>
        <v>588177.02662777831</v>
      </c>
      <c r="G51" s="299">
        <f>F18</f>
        <v>0</v>
      </c>
      <c r="H51" s="277">
        <f>(F51*(1-$I$10)+C51*(G51-$I$9))/Equity_Cost</f>
        <v>6273288.8112691557</v>
      </c>
      <c r="I51" s="415">
        <f>(F51*(1-$I$10)+C51*(G51-$I$9))/VLOOKUP(C15,B21:H50,COLUMN(H20)-1,FALSE)-1</f>
        <v>1.0000000000000009E-2</v>
      </c>
      <c r="J51" s="454"/>
      <c r="K51" s="119">
        <f>1/(1+Equity_Cost)^C15</f>
        <v>0.49662318565689262</v>
      </c>
      <c r="L51" s="277">
        <f t="shared" si="4"/>
        <v>3115460.6739982292</v>
      </c>
    </row>
    <row r="52" spans="1:21" ht="13.15">
      <c r="G52" s="111"/>
      <c r="H52" s="111"/>
      <c r="I52" s="111"/>
      <c r="J52" s="468" t="s">
        <v>420</v>
      </c>
      <c r="K52" s="468"/>
      <c r="L52" s="317">
        <f>SUM(L21:L51)</f>
        <v>5469579.8825860322</v>
      </c>
    </row>
    <row r="53" spans="1:21">
      <c r="C53" s="111"/>
    </row>
    <row r="54" spans="1:21" ht="13.15">
      <c r="B54" s="115" t="s">
        <v>108</v>
      </c>
      <c r="C54" s="128"/>
      <c r="D54" s="128"/>
      <c r="E54" s="113"/>
      <c r="F54" s="113"/>
      <c r="G54" s="113"/>
      <c r="H54" s="113"/>
      <c r="I54" s="113"/>
      <c r="J54" s="113"/>
      <c r="K54" s="113"/>
      <c r="L54" s="113"/>
    </row>
    <row r="55" spans="1:21" ht="13.15">
      <c r="A55" s="125">
        <f>L52</f>
        <v>5469579.8825860322</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10</v>
      </c>
      <c r="E90" s="127">
        <f>INDEX(B$73:F$87, MATCH(D90, A$73:A$87, 0), MATCH(C90, B$72:F$72, 0))</f>
        <v>8.1015330748535028</v>
      </c>
      <c r="F90" s="130">
        <f>Scenarios!F29</f>
        <v>0.05</v>
      </c>
      <c r="G90" s="297"/>
      <c r="H90" s="297"/>
      <c r="I90" s="297"/>
      <c r="J90" s="297"/>
      <c r="K90" s="297"/>
      <c r="L90" s="297"/>
    </row>
    <row r="91" spans="1:12">
      <c r="B91" s="120" t="str">
        <f>Scenarios!B22</f>
        <v>Optimistic</v>
      </c>
      <c r="C91" s="130">
        <f>Scenarios!C22</f>
        <v>0.03</v>
      </c>
      <c r="D91" s="133">
        <f>Scenarios!D22</f>
        <v>10</v>
      </c>
      <c r="E91" s="127">
        <f>INDEX(B$73:F$87, MATCH(D91, A$73:A$87, 0), MATCH(C91, B$72:F$72, 0))</f>
        <v>7.2584580737895443</v>
      </c>
      <c r="F91" s="130">
        <f>Scenarios!F22*(1-F$90-F$94)</f>
        <v>0.18</v>
      </c>
      <c r="G91" s="297"/>
      <c r="H91" s="297"/>
      <c r="I91" s="297"/>
      <c r="J91" s="297"/>
      <c r="K91" s="297"/>
      <c r="L91" s="297"/>
    </row>
    <row r="92" spans="1:12">
      <c r="B92" s="120" t="str">
        <f>Scenarios!B23</f>
        <v>Base</v>
      </c>
      <c r="C92" s="130">
        <f>Scenarios!C23</f>
        <v>0.02</v>
      </c>
      <c r="D92" s="133">
        <f>Scenarios!D23</f>
        <v>10</v>
      </c>
      <c r="E92" s="127">
        <f>INDEX(B$73:F$87, MATCH(D92, A$73:A$87, 0), MATCH(C92, B$72:F$72, 0))</f>
        <v>6.4794659615363912</v>
      </c>
      <c r="F92" s="130">
        <f>Scenarios!F23*(1-F$90-F$94)</f>
        <v>0.53999999999999992</v>
      </c>
      <c r="G92" s="297"/>
      <c r="H92" s="297"/>
      <c r="I92" s="297"/>
      <c r="J92" s="297"/>
      <c r="K92" s="297"/>
      <c r="L92" s="297"/>
    </row>
    <row r="93" spans="1:12">
      <c r="B93" s="120" t="str">
        <f>Scenarios!B24</f>
        <v>Pessimistic</v>
      </c>
      <c r="C93" s="130">
        <f>Scenarios!C24</f>
        <v>0.01</v>
      </c>
      <c r="D93" s="133">
        <f>Scenarios!D24</f>
        <v>10</v>
      </c>
      <c r="E93" s="127">
        <f>INDEX(B$73:F$87, MATCH(D93, A$73:A$87, 0), MATCH(C93, B$72:F$72, 0))</f>
        <v>5.7600065045453039</v>
      </c>
      <c r="F93" s="130">
        <f>Scenarios!F24*(1-F$90-F$94)</f>
        <v>0.18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5.0958204520700807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398162</v>
      </c>
      <c r="D7" s="469"/>
      <c r="E7" s="469"/>
      <c r="F7" s="469"/>
      <c r="G7" s="469"/>
    </row>
    <row r="8" spans="2:7">
      <c r="B8" s="97" t="s">
        <v>63</v>
      </c>
      <c r="C8" s="447">
        <f>Normalized_FCF!G19</f>
        <v>292974.55441311875</v>
      </c>
      <c r="D8" s="469"/>
      <c r="E8" s="469"/>
      <c r="F8" s="469"/>
      <c r="G8" s="469"/>
    </row>
    <row r="9" spans="2:7">
      <c r="B9" s="97" t="s">
        <v>54</v>
      </c>
      <c r="C9" s="447">
        <f>Normalized_FCF!C19</f>
        <v>234277.07264048661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3.3358728201447585E-2</v>
      </c>
      <c r="D12" s="469"/>
      <c r="E12" s="469"/>
      <c r="F12" s="469"/>
      <c r="G12" s="469"/>
    </row>
    <row r="13" spans="2:7">
      <c r="B13" s="135" t="s">
        <v>127</v>
      </c>
      <c r="C13" s="249">
        <f ca="1">(Normalized_FCF!G8/OFFSET(Normalized_FCF!G8, 0, $C$4))^(1/$C$4) - 1</f>
        <v>0.35590966478967423</v>
      </c>
      <c r="D13" s="469"/>
      <c r="E13" s="469"/>
      <c r="F13" s="469"/>
      <c r="G13" s="469"/>
    </row>
    <row r="14" spans="2:7">
      <c r="B14" s="97" t="s">
        <v>63</v>
      </c>
      <c r="C14" s="249">
        <f ca="1">(Normalized_FCF!G19/OFFSET(Normalized_FCF!G19, 0, $C$4))^(1/$C$4) - 1</f>
        <v>0.61574878392807708</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10</v>
      </c>
      <c r="E22" s="326">
        <f>DCF!E91</f>
        <v>7.2584580737895443</v>
      </c>
      <c r="F22" s="328">
        <f>1-F23-F24</f>
        <v>0.2</v>
      </c>
      <c r="G22" s="328">
        <f>F22*(1-F$29-F$30)</f>
        <v>0.18</v>
      </c>
    </row>
    <row r="23" spans="2:7">
      <c r="B23" s="302" t="s">
        <v>437</v>
      </c>
      <c r="C23" s="324">
        <v>0.02</v>
      </c>
      <c r="D23" s="325">
        <f>C18</f>
        <v>10</v>
      </c>
      <c r="E23" s="326">
        <f>DCF!E92</f>
        <v>6.4794659615363912</v>
      </c>
      <c r="F23" s="327">
        <v>0.6</v>
      </c>
      <c r="G23" s="328">
        <f t="shared" ref="G23:G24" si="0">F23*(1-F$29-F$30)</f>
        <v>0.53999999999999992</v>
      </c>
    </row>
    <row r="24" spans="2:7">
      <c r="B24" s="302" t="s">
        <v>446</v>
      </c>
      <c r="C24" s="324">
        <v>0.01</v>
      </c>
      <c r="D24" s="325">
        <f>C18</f>
        <v>10</v>
      </c>
      <c r="E24" s="326">
        <f>DCF!E93</f>
        <v>5.7600065045453039</v>
      </c>
      <c r="F24" s="327">
        <v>0.2</v>
      </c>
      <c r="G24" s="328">
        <f t="shared" si="0"/>
        <v>0.18</v>
      </c>
    </row>
    <row r="25" spans="2:7">
      <c r="B25" s="141" t="s">
        <v>451</v>
      </c>
      <c r="C25" s="441">
        <f>E23*F23+E24*F24+E22*F22</f>
        <v>6.4913724925888046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10</v>
      </c>
      <c r="E29" s="326">
        <f>DCF!E90</f>
        <v>8.1015330748535028</v>
      </c>
      <c r="F29" s="327">
        <v>0.05</v>
      </c>
      <c r="G29" s="328">
        <f>F29</f>
        <v>0.05</v>
      </c>
    </row>
    <row r="30" spans="2:7">
      <c r="B30" s="315" t="s">
        <v>447</v>
      </c>
      <c r="C30" s="324">
        <v>0</v>
      </c>
      <c r="D30" s="325">
        <f>C18</f>
        <v>10</v>
      </c>
      <c r="E30" s="326">
        <f>DCF!E94</f>
        <v>5.0958204520700807</v>
      </c>
      <c r="F30" s="327">
        <v>0.05</v>
      </c>
      <c r="G30" s="328">
        <f>F30</f>
        <v>0.05</v>
      </c>
    </row>
    <row r="31" spans="2:7">
      <c r="E31" s="329"/>
      <c r="F31" s="329"/>
    </row>
    <row r="32" spans="2:7" ht="13.15">
      <c r="B32" s="145" t="s">
        <v>456</v>
      </c>
    </row>
    <row r="33" spans="2:7">
      <c r="B33" s="97" t="s">
        <v>458</v>
      </c>
      <c r="C33" s="155">
        <f>Normalized_FCF!C88*(1-dividend_tax_rate)</f>
        <v>0.30000000000000004</v>
      </c>
      <c r="D33" t="str">
        <f>Market_currency</f>
        <v>HKD</v>
      </c>
      <c r="E33" s="97" t="s">
        <v>455</v>
      </c>
      <c r="F33" s="219">
        <f>Holding_Period</f>
        <v>3</v>
      </c>
    </row>
    <row r="34" spans="2:7">
      <c r="B34" s="97" t="s">
        <v>233</v>
      </c>
      <c r="C34" s="146">
        <f>Market_Price</f>
        <v>4.59</v>
      </c>
      <c r="D34" t="str">
        <f>Market_currency</f>
        <v>HKD</v>
      </c>
      <c r="E34" s="97" t="s">
        <v>454</v>
      </c>
      <c r="F34" s="330">
        <f>RATE(Holding_Period,$C$33,-C34,$C$36)</f>
        <v>0.18177567353945742</v>
      </c>
    </row>
    <row r="35" spans="2:7">
      <c r="B35" s="97" t="s">
        <v>434</v>
      </c>
      <c r="C35" s="320">
        <f>DCF!C11</f>
        <v>3.5981269513780507</v>
      </c>
      <c r="D35" s="97" t="str">
        <f>Market_currency</f>
        <v>HKD</v>
      </c>
      <c r="E35" s="97" t="s">
        <v>454</v>
      </c>
      <c r="F35" s="330">
        <f>RATE(Holding_Period,$C$33,-C35,$C$36)</f>
        <v>0.28788099229933978</v>
      </c>
    </row>
    <row r="36" spans="2:7">
      <c r="B36" s="97" t="s">
        <v>435</v>
      </c>
      <c r="C36" s="321">
        <f>E22*G22+E23*G23+E24*G24+E30*G30+E29*G29</f>
        <v>6.5021029196761031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5.5599077391744495E-2</v>
      </c>
      <c r="E40" s="97" t="s">
        <v>401</v>
      </c>
    </row>
    <row r="41" spans="2:7">
      <c r="B41" s="97" t="s">
        <v>400</v>
      </c>
      <c r="C41" s="455">
        <f>DCF!C16</f>
        <v>2.0287009867734501E-2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2.0287009867734501E-2</v>
      </c>
      <c r="D46" s="138"/>
      <c r="E46" s="221" t="s">
        <v>252</v>
      </c>
    </row>
    <row r="47" spans="2:7">
      <c r="B47" s="97" t="s">
        <v>96</v>
      </c>
      <c r="C47" s="146">
        <f>DCF!I18</f>
        <v>6.5009729540294972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-0.45051141943294376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0.54895547283303592</v>
      </c>
      <c r="D62" s="119">
        <f>C36/(1+F62)^Holding_Period</f>
        <v>2.9963607924774678</v>
      </c>
      <c r="E62" s="332">
        <f>C62+D62</f>
        <v>3.5453162653105039</v>
      </c>
      <c r="F62" s="301">
        <f>Thesis!E22</f>
        <v>0.29465259038036606</v>
      </c>
      <c r="G62" s="440">
        <f>(1-E62/C36)</f>
        <v>0.4547431332435582</v>
      </c>
    </row>
    <row r="63" spans="2:7" ht="13.15">
      <c r="B63" s="302" t="s">
        <v>313</v>
      </c>
      <c r="C63" s="119">
        <f>PV(F63, Holding_Period, -C58, 0)</f>
        <v>0.63120118418072357</v>
      </c>
      <c r="D63" s="119">
        <f>C36/(1+F63)^Holding_Period</f>
        <v>3.7557273182244653</v>
      </c>
      <c r="E63" s="332">
        <f>C63+D63</f>
        <v>4.3869285024051887</v>
      </c>
      <c r="F63" s="301">
        <f>Thesis!E23</f>
        <v>0.20075184365903009</v>
      </c>
      <c r="G63" s="440">
        <f>(1-E63/C36)</f>
        <v>0.32530620376219455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0.7237809377815948</v>
      </c>
      <c r="D66" s="119">
        <f>C36/(1+F66)^Holding_Period</f>
        <v>4.6604498441297393</v>
      </c>
      <c r="E66" s="332">
        <f>C66+D66</f>
        <v>5.3842307819113344</v>
      </c>
      <c r="F66" s="301">
        <f>Thesis!E24</f>
        <v>0.1174</v>
      </c>
      <c r="G66" s="440">
        <f>(1-E66/C36)</f>
        <v>0.17192470675632654</v>
      </c>
    </row>
    <row r="67" spans="2:7" ht="13.15">
      <c r="B67" s="302" t="s">
        <v>314</v>
      </c>
      <c r="C67" s="119">
        <f>PV(F67, Holding_Period, -C58, 0)</f>
        <v>0.78371256815190493</v>
      </c>
      <c r="D67" s="119">
        <f>C36/(1+F67)^Holding_Period</f>
        <v>5.270622806763992</v>
      </c>
      <c r="E67" s="332">
        <f>C67+D67</f>
        <v>6.0543353749158966</v>
      </c>
      <c r="F67" s="301">
        <f>Thesis!E25</f>
        <v>7.2499999999999995E-2</v>
      </c>
      <c r="G67" s="440">
        <f>(1-E67/C36)</f>
        <v>6.8865034942035552E-2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大家乐集团</v>
      </c>
      <c r="D4" s="349"/>
      <c r="E4" s="434" t="s">
        <v>540</v>
      </c>
      <c r="F4" s="437" t="str">
        <f>Thesis!F4</f>
        <v>INT</v>
      </c>
    </row>
    <row r="5" spans="1:10">
      <c r="B5" s="343" t="s">
        <v>364</v>
      </c>
      <c r="C5" s="355" t="str">
        <f>Thesis!C5</f>
        <v>0341.HK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4.59</v>
      </c>
    </row>
    <row r="9" spans="1:10">
      <c r="B9" s="351" t="s">
        <v>361</v>
      </c>
      <c r="C9" s="353">
        <f>Common_Shares</f>
        <v>580004033</v>
      </c>
    </row>
    <row r="10" spans="1:10">
      <c r="B10" s="351" t="s">
        <v>367</v>
      </c>
      <c r="C10" s="357">
        <f>投资主题!C8*Common_Shares/1000000</f>
        <v>2662.2185114699996</v>
      </c>
      <c r="D10" s="343" t="s">
        <v>529</v>
      </c>
      <c r="E10" s="360">
        <f>Scenarios!F34</f>
        <v>0.18177567353945742</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0.01</v>
      </c>
      <c r="D17" s="351" t="s">
        <v>339</v>
      </c>
      <c r="E17" s="344" t="str">
        <f>Reporting_currency</f>
        <v>HKD</v>
      </c>
    </row>
    <row r="18" spans="1:6">
      <c r="B18" s="343" t="str">
        <f>"预期股权价值 ("&amp;C7&amp;") :"</f>
        <v>预期股权价值 (HKD) :</v>
      </c>
      <c r="C18" s="359">
        <f>C125</f>
        <v>6.5021029196761031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3.5453162653105039</v>
      </c>
      <c r="D22" s="365" t="s">
        <v>440</v>
      </c>
      <c r="E22" s="366">
        <f>Thesis!E22</f>
        <v>0.29465259038036606</v>
      </c>
    </row>
    <row r="23" spans="1:6">
      <c r="B23" s="343" t="s">
        <v>341</v>
      </c>
      <c r="C23" s="367">
        <f>E141</f>
        <v>4.3869285024051887</v>
      </c>
      <c r="D23" s="365" t="s">
        <v>441</v>
      </c>
      <c r="E23" s="368">
        <f>Thesis!E23</f>
        <v>0.20075184365903009</v>
      </c>
    </row>
    <row r="24" spans="1:6">
      <c r="B24" s="343" t="s">
        <v>343</v>
      </c>
      <c r="C24" s="367">
        <f>E144</f>
        <v>5.3842307819113344</v>
      </c>
      <c r="D24" s="365" t="s">
        <v>443</v>
      </c>
      <c r="E24" s="368">
        <f>Thesis!E24</f>
        <v>0.1174</v>
      </c>
    </row>
    <row r="25" spans="1:6">
      <c r="B25" s="343" t="s">
        <v>342</v>
      </c>
      <c r="C25" s="367">
        <f>E145</f>
        <v>6.0543353749158966</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398162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378473</v>
      </c>
      <c r="D37" s="343" t="str">
        <f>Reporting_currency</f>
        <v>HKD</v>
      </c>
    </row>
    <row r="38" spans="2:6">
      <c r="B38" s="375" t="s">
        <v>200</v>
      </c>
      <c r="C38" s="373">
        <f>Normalized_FCF!C16</f>
        <v>-378473</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6953.4635082499999</v>
      </c>
      <c r="D44" s="343" t="str">
        <f>Reporting_currency</f>
        <v>HKD</v>
      </c>
      <c r="E44" s="371"/>
      <c r="F44" s="371"/>
    </row>
    <row r="45" spans="2:6">
      <c r="B45" s="372" t="s">
        <v>268</v>
      </c>
      <c r="C45" s="376">
        <f>Normalized_FCF!C45</f>
        <v>-89319.428</v>
      </c>
      <c r="D45" s="343" t="str">
        <f>Reporting_currency</f>
        <v>HKD</v>
      </c>
      <c r="E45" s="371"/>
      <c r="F45" s="371"/>
    </row>
    <row r="46" spans="2:6">
      <c r="B46" s="372" t="s">
        <v>203</v>
      </c>
      <c r="C46" s="373">
        <f>Normalized_FCF!C10</f>
        <v>-82365.964491749997</v>
      </c>
      <c r="D46" s="343" t="str">
        <f>Reporting_currency</f>
        <v>HKD</v>
      </c>
    </row>
    <row r="48" spans="2:6">
      <c r="B48" s="343" t="s">
        <v>505</v>
      </c>
    </row>
    <row r="49" spans="2:6">
      <c r="B49" s="372" t="s">
        <v>223</v>
      </c>
      <c r="C49" s="373">
        <f>Normalized_FCF!C13</f>
        <v>-29412.617008902169</v>
      </c>
      <c r="D49" s="343" t="str">
        <f>Reporting_currency</f>
        <v>HKD</v>
      </c>
    </row>
    <row r="51" spans="2:6">
      <c r="B51" s="470" t="s">
        <v>506</v>
      </c>
      <c r="C51" s="470"/>
      <c r="D51" s="470"/>
      <c r="E51" s="470"/>
      <c r="F51" s="470"/>
    </row>
    <row r="52" spans="2:6">
      <c r="B52" s="372" t="s">
        <v>496</v>
      </c>
      <c r="C52" s="373">
        <f>Normalized_FCF!C12</f>
        <v>-52106.345858861256</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292974.55441311875</v>
      </c>
      <c r="D60" s="343" t="str">
        <f>Reporting_currency</f>
        <v>HKD</v>
      </c>
    </row>
    <row r="61" spans="2:6">
      <c r="B61" s="372" t="s">
        <v>213</v>
      </c>
      <c r="C61" s="373">
        <f>Normalized_FCF!C19</f>
        <v>234277.07264048661</v>
      </c>
      <c r="D61" s="343" t="str">
        <f>Reporting_currency</f>
        <v>HKD</v>
      </c>
    </row>
    <row r="62" spans="2:6">
      <c r="B62" s="377" t="s">
        <v>302</v>
      </c>
      <c r="C62" s="378">
        <f>Normalized_FCF!C124</f>
        <v>8.8000692516830875E-2</v>
      </c>
      <c r="F62" s="379"/>
    </row>
    <row r="63" spans="2:6">
      <c r="B63" s="377" t="s">
        <v>332</v>
      </c>
      <c r="C63" s="378">
        <f>Normalized_FCF!C92</f>
        <v>6.5359477124183024E-2</v>
      </c>
      <c r="E63" s="372" t="s">
        <v>373</v>
      </c>
      <c r="F63" s="380">
        <f>Normalized_FCF!C90</f>
        <v>0.74271548615009453</v>
      </c>
    </row>
    <row r="65" spans="1:6">
      <c r="B65" s="369" t="s">
        <v>376</v>
      </c>
      <c r="C65" s="381" t="s">
        <v>327</v>
      </c>
      <c r="D65" s="381" t="s">
        <v>374</v>
      </c>
    </row>
    <row r="66" spans="1:6">
      <c r="B66" s="372" t="s">
        <v>326</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-2029987</v>
      </c>
      <c r="D78" s="343" t="str">
        <f>Reporting_currency</f>
        <v>HKD</v>
      </c>
    </row>
    <row r="79" spans="1:6">
      <c r="B79" s="372" t="s">
        <v>234</v>
      </c>
      <c r="C79" s="387">
        <f>C78*scaling_factor*Exchange_Rate/Common_Shares</f>
        <v>-3.4999532494630086</v>
      </c>
      <c r="D79" s="343" t="str">
        <f>Market_currency</f>
        <v>HKD</v>
      </c>
    </row>
    <row r="80" spans="1:6">
      <c r="B80" s="382" t="s">
        <v>309</v>
      </c>
      <c r="C80" s="388">
        <f>IF(BS!G31/BS!G27&gt;300%,"nm",BS!G31/BS!G27)</f>
        <v>0.76701287002940366</v>
      </c>
    </row>
    <row r="81" spans="1:6">
      <c r="B81" s="382" t="s">
        <v>311</v>
      </c>
      <c r="C81" s="389">
        <f>IF(BS!C50&gt;30,"nm",BS!C50)</f>
        <v>5.0983946232940358</v>
      </c>
    </row>
    <row r="83" spans="1:6">
      <c r="B83" s="343" t="s">
        <v>512</v>
      </c>
    </row>
    <row r="84" spans="1:6">
      <c r="B84" s="343" t="s">
        <v>224</v>
      </c>
      <c r="C84" s="373">
        <f>DCF!F5</f>
        <v>269920.64917500003</v>
      </c>
      <c r="D84" s="343" t="str">
        <f>Reporting_currency</f>
        <v>HKD</v>
      </c>
    </row>
    <row r="85" spans="1:6">
      <c r="B85" s="382" t="s">
        <v>481</v>
      </c>
      <c r="C85" s="390">
        <f>BS!C66</f>
        <v>965267</v>
      </c>
      <c r="D85" s="391" t="str">
        <f>Reporting_currency</f>
        <v>HKD</v>
      </c>
    </row>
    <row r="86" spans="1:6">
      <c r="B86" s="372" t="s">
        <v>235</v>
      </c>
      <c r="C86" s="387">
        <f>C84*scaling_factor*Exchange_Rate/Common_Shares</f>
        <v>0.46537719363582425</v>
      </c>
      <c r="D86" s="343" t="str">
        <f>Market_currency</f>
        <v>HKD</v>
      </c>
    </row>
    <row r="88" spans="1:6">
      <c r="B88" s="343" t="s">
        <v>513</v>
      </c>
    </row>
    <row r="89" spans="1:6">
      <c r="B89" s="343" t="s">
        <v>217</v>
      </c>
      <c r="C89" s="373">
        <f>DCF!F6</f>
        <v>61077</v>
      </c>
      <c r="D89" s="343" t="str">
        <f>Reporting_currency</f>
        <v>HKD</v>
      </c>
    </row>
    <row r="90" spans="1:6">
      <c r="B90" s="372" t="s">
        <v>236</v>
      </c>
      <c r="C90" s="387">
        <f>C89*scaling_factor*Exchange_Rate/Common_Shares</f>
        <v>0.10530444018481507</v>
      </c>
      <c r="D90" s="343" t="str">
        <f>Market_currency</f>
        <v>HKD</v>
      </c>
    </row>
    <row r="92" spans="1:6">
      <c r="B92" s="372" t="s">
        <v>480</v>
      </c>
      <c r="C92" s="387">
        <f>DCF!F8</f>
        <v>-2.929271615642369</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-2.4800067209187837</v>
      </c>
      <c r="D111" s="343" t="str">
        <f>Market_currency</f>
        <v>HKD</v>
      </c>
    </row>
    <row r="112" spans="1:6">
      <c r="A112" s="385"/>
      <c r="B112" s="372" t="s">
        <v>377</v>
      </c>
      <c r="C112" s="394">
        <f>DCF!C11</f>
        <v>3.5981269513780507</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10</v>
      </c>
      <c r="E118" s="398" t="str">
        <f>ROUND(DCF!E90,2)&amp;" "&amp;Market_currency</f>
        <v>8.1 HKD</v>
      </c>
      <c r="F118" s="399">
        <f>DCF!F90</f>
        <v>0.05</v>
      </c>
    </row>
    <row r="119" spans="1:6">
      <c r="A119" s="385"/>
      <c r="B119" s="400" t="str">
        <f>DCF!B91</f>
        <v>Optimistic</v>
      </c>
      <c r="C119" s="401">
        <f>DCF!C91</f>
        <v>0.03</v>
      </c>
      <c r="D119" s="402">
        <f>DCF!D91</f>
        <v>10</v>
      </c>
      <c r="E119" s="398" t="str">
        <f>ROUND(DCF!E91,2)&amp;" "&amp;Market_currency</f>
        <v>7.26 HKD</v>
      </c>
      <c r="F119" s="403">
        <f>DCF!F91</f>
        <v>0.18</v>
      </c>
    </row>
    <row r="120" spans="1:6">
      <c r="B120" s="400" t="str">
        <f>DCF!B92</f>
        <v>Base</v>
      </c>
      <c r="C120" s="401">
        <f>DCF!C92</f>
        <v>0.02</v>
      </c>
      <c r="D120" s="402">
        <f>DCF!D92</f>
        <v>10</v>
      </c>
      <c r="E120" s="398" t="str">
        <f>ROUND(DCF!E92,2)&amp;" "&amp;Market_currency</f>
        <v>6.48 HKD</v>
      </c>
      <c r="F120" s="403">
        <f>DCF!F92</f>
        <v>0.53999999999999992</v>
      </c>
    </row>
    <row r="121" spans="1:6">
      <c r="B121" s="400" t="str">
        <f>DCF!B93</f>
        <v>Pessimistic</v>
      </c>
      <c r="C121" s="401">
        <f>DCF!C93</f>
        <v>0.01</v>
      </c>
      <c r="D121" s="402">
        <f>DCF!D93</f>
        <v>10</v>
      </c>
      <c r="E121" s="398" t="str">
        <f>ROUND(DCF!E93,2)&amp;" "&amp;Market_currency</f>
        <v>5.76 HKD</v>
      </c>
      <c r="F121" s="403">
        <f>DCF!F93</f>
        <v>0.18</v>
      </c>
    </row>
    <row r="122" spans="1:6">
      <c r="B122" s="400" t="str">
        <f>DCF!B94</f>
        <v>Devil's advocate</v>
      </c>
      <c r="C122" s="401">
        <f>DCF!C94</f>
        <v>0</v>
      </c>
      <c r="D122" s="402">
        <f>DCF!D94</f>
        <v>10</v>
      </c>
      <c r="E122" s="398" t="str">
        <f>ROUND(DCF!E94,2)&amp;" "&amp;Market_currency</f>
        <v>5.1 HKD</v>
      </c>
      <c r="F122" s="403">
        <f>DCF!F94</f>
        <v>0.05</v>
      </c>
    </row>
    <row r="124" spans="1:6">
      <c r="B124" s="470" t="s">
        <v>519</v>
      </c>
      <c r="C124" s="470"/>
      <c r="D124" s="470"/>
      <c r="E124" s="470"/>
      <c r="F124" s="470"/>
    </row>
    <row r="125" spans="1:6">
      <c r="B125" s="372" t="s">
        <v>218</v>
      </c>
      <c r="C125" s="404">
        <f>Scenarios!C36</f>
        <v>6.5021029196761031</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0.30000000000000004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0.54895547283303592</v>
      </c>
      <c r="D140" s="409">
        <f>Scenarios!D62</f>
        <v>2.9963607924774678</v>
      </c>
      <c r="E140" s="410">
        <f>Scenarios!E62</f>
        <v>3.5453162653105039</v>
      </c>
      <c r="F140" s="411">
        <f>E22</f>
        <v>0.29465259038036606</v>
      </c>
    </row>
    <row r="141" spans="1:6">
      <c r="B141" s="408" t="s">
        <v>313</v>
      </c>
      <c r="C141" s="409">
        <f>Scenarios!C63</f>
        <v>0.63120118418072357</v>
      </c>
      <c r="D141" s="409">
        <f>Scenarios!D63</f>
        <v>3.7557273182244653</v>
      </c>
      <c r="E141" s="410">
        <f>Scenarios!E63</f>
        <v>4.3869285024051887</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0.7237809377815948</v>
      </c>
      <c r="D144" s="409">
        <f>Scenarios!D66</f>
        <v>4.6604498441297393</v>
      </c>
      <c r="E144" s="410">
        <f>Scenarios!E66</f>
        <v>5.3842307819113344</v>
      </c>
      <c r="F144" s="411">
        <f>E24</f>
        <v>0.1174</v>
      </c>
    </row>
    <row r="145" spans="1:6">
      <c r="B145" s="408" t="s">
        <v>314</v>
      </c>
      <c r="C145" s="409">
        <f>Scenarios!C67</f>
        <v>0.78371256815190493</v>
      </c>
      <c r="D145" s="409">
        <f>Scenarios!D67</f>
        <v>5.270622806763992</v>
      </c>
      <c r="E145" s="410">
        <f>Scenarios!E67</f>
        <v>6.0543353749158966</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2026-01-28T07:47:01Z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