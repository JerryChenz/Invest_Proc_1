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4BB8209-EDFC-41E7-9CDB-F295FF23E35F}"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C118"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7" i="2"/>
  <c r="D69" i="12"/>
  <c r="L53" i="2"/>
  <c r="P53" i="2"/>
  <c r="P74" i="2"/>
  <c r="I53" i="2"/>
  <c r="H53" i="2"/>
  <c r="J53" i="2"/>
  <c r="G53" i="2"/>
  <c r="C7" i="9"/>
  <c r="K53" i="2"/>
  <c r="C13" i="9"/>
  <c r="G75" i="2"/>
  <c r="L72" i="2"/>
  <c r="I72" i="2"/>
  <c r="H72" i="2"/>
  <c r="G72" i="2"/>
  <c r="K72" i="2"/>
  <c r="J72" i="2"/>
  <c r="C103" i="2"/>
  <c r="C25" i="2" l="1"/>
  <c r="C107" i="2"/>
  <c r="C95" i="2"/>
  <c r="C81" i="2"/>
  <c r="C24" i="2"/>
  <c r="C109" i="2"/>
  <c r="C23" i="2"/>
  <c r="C26" i="2" s="1"/>
  <c r="C17" i="2"/>
  <c r="C108" i="2"/>
  <c r="I4" i="8"/>
  <c r="C73" i="2"/>
  <c r="C75" i="2"/>
  <c r="C38" i="2"/>
  <c r="D55" i="3"/>
  <c r="G29" i="3"/>
  <c r="D62" i="3" s="1"/>
  <c r="C5" i="2" l="1"/>
  <c r="C6" i="2" s="1"/>
  <c r="C8" i="2" s="1"/>
  <c r="C34" i="12" s="1"/>
  <c r="C32" i="2"/>
  <c r="C55" i="6"/>
  <c r="C55" i="12"/>
  <c r="D51" i="3"/>
  <c r="C46" i="3"/>
  <c r="C47" i="3" s="1"/>
  <c r="C62" i="3"/>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80" i="6"/>
  <c r="C80" i="12"/>
  <c r="D68" i="6"/>
  <c r="D68" i="12"/>
  <c r="O77" i="2"/>
  <c r="O116" i="2" s="1"/>
  <c r="O14" i="2"/>
  <c r="P77" i="2"/>
  <c r="P116" i="2" s="1"/>
  <c r="P14" i="2"/>
  <c r="O96" i="2"/>
  <c r="G52" i="2"/>
  <c r="C38" i="12" l="1"/>
  <c r="C38" i="6"/>
  <c r="D77" i="8"/>
  <c r="B74" i="8"/>
  <c r="C79" i="8"/>
  <c r="E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E116" i="2" l="1"/>
  <c r="C40" i="9" s="1"/>
  <c r="F17" i="8" s="1"/>
  <c r="C119" i="2"/>
  <c r="C12" i="2"/>
  <c r="C14" i="2" s="1"/>
  <c r="C19" i="2" s="1"/>
  <c r="H31" i="8"/>
  <c r="C32" i="8"/>
  <c r="C68" i="6"/>
  <c r="C68" i="12"/>
  <c r="C52" i="12" l="1"/>
  <c r="C52" i="6"/>
  <c r="E51" i="8"/>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<sst xmlns="http://schemas.openxmlformats.org/spreadsheetml/2006/main" count="768" uniqueCount="558">
  <si>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</si>
  <si>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</si>
  <si>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</si>
  <si>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</si>
  <si>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</si>
  <si>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</si>
  <si>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</si>
  <si>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</si>
  <si>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</si>
  <si>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</si>
  <si>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</si>
  <si>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</si>
  <si>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</si>
  <si>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</si>
  <si>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</si>
  <si>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</si>
  <si>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</si>
  <si>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</si>
  <si>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</si>
  <si>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</si>
  <si>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</si>
  <si>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</si>
  <si>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</si>
  <si>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</si>
  <si>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</si>
  <si>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</si>
  <si>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</si>
  <si>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</si>
  <si>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</si>
  <si>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</si>
  <si>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</si>
  <si>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</si>
  <si>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</si>
  <si>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</si>
  <si>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</si>
  <si>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</si>
  <si>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</si>
  <si>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</si>
  <si>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</si>
  <si>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</si>
  <si>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</si>
  <si>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</si>
  <si>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</si>
  <si>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</si>
  <si>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</si>
  <si>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</si>
  <si>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</si>
  <si>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</si>
  <si>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</si>
  <si>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</si>
  <si>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</si>
  <si>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</si>
  <si>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</si>
  <si>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</si>
  <si>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</si>
  <si>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</si>
  <si>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</si>
  <si>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</si>
  <si>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</si>
  <si>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</si>
  <si>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</si>
  <si>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</si>
  <si>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</si>
  <si>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</si>
  <si>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</si>
  <si>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</si>
  <si>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</si>
  <si>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</si>
  <si>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</si>
  <si>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</si>
  <si>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</si>
  <si>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</si>
  <si>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</si>
  <si>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</si>
  <si>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</si>
  <si>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</si>
  <si>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</si>
  <si>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</si>
  <si>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</si>
  <si>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</si>
  <si>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</si>
  <si>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</si>
  <si>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</si>
  <si>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</si>
  <si>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</si>
  <si>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</si>
  <si>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</si>
  <si>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</si>
  <si>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</si>
  <si>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</si>
  <si>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</si>
  <si>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</si>
  <si>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</si>
  <si>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</si>
  <si>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</si>
  <si>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</si>
  <si>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</si>
  <si>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</si>
  <si>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</si>
  <si>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</si>
  <si>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</si>
  <si>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</si>
  <si>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</si>
  <si>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</si>
  <si>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</si>
  <si>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</si>
  <si>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</si>
  <si>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</si>
  <si>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</si>
  <si>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</si>
  <si>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</si>
  <si>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</si>
  <si>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</si>
  <si>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</si>
  <si>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</si>
  <si>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</si>
  <si>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</si>
  <si>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</si>
  <si>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</si>
  <si>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</si>
  <si>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</si>
  <si>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</si>
  <si>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</si>
  <si>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</si>
  <si>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</si>
  <si>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</si>
  <si>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</si>
  <si>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</si>
  <si>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</si>
  <si>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</si>
  <si>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</si>
  <si>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</si>
  <si>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</si>
  <si>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</si>
  <si>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</si>
  <si>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</si>
  <si>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</si>
  <si>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</si>
  <si>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</si>
  <si>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</si>
  <si>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</si>
  <si>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</si>
  <si>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</si>
  <si>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</si>
  <si>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</si>
  <si>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</si>
  <si>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</si>
  <si>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</si>
  <si>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</si>
  <si>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</si>
  <si>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</si>
  <si>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</si>
  <si>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</si>
  <si>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</si>
  <si>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</si>
  <si>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</si>
  <si>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</si>
  <si>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</si>
  <si>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</si>
  <si>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</si>
  <si>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</si>
  <si>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</si>
  <si>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</si>
  <si>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</si>
  <si>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</si>
  <si>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</si>
  <si>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</si>
  <si>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</si>
  <si>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</si>
  <si>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</si>
  <si>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</si>
  <si>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</si>
  <si>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</si>
  <si>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</si>
  <si>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</si>
  <si>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</si>
  <si>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</si>
  <si>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</si>
  <si>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</si>
  <si>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</si>
  <si>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</si>
  <si>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</si>
  <si>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</si>
  <si>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</si>
  <si>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</si>
  <si>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</si>
  <si>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</si>
  <si>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</si>
  <si>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</si>
  <si>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</si>
  <si>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</si>
  <si>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</si>
  <si>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</si>
  <si>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</si>
  <si>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</si>
  <si>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</si>
  <si>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</si>
  <si>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</si>
  <si>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</si>
  <si>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</si>
  <si>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</si>
  <si>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</si>
  <si>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</si>
  <si>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</si>
  <si>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</si>
  <si>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</si>
  <si>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</si>
  <si>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</si>
  <si>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</si>
  <si>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</si>
  <si>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</si>
  <si>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</si>
  <si>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</si>
  <si>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</si>
  <si>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</si>
  <si>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</si>
  <si>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</si>
  <si>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</si>
  <si>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</si>
  <si>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</si>
  <si>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</si>
  <si>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</si>
  <si>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</si>
  <si>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</si>
  <si>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</si>
  <si>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</si>
  <si>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</si>
  <si>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</si>
  <si>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</si>
  <si>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</si>
  <si>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</si>
  <si>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</si>
  <si>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</si>
  <si>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</si>
  <si>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</si>
  <si>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</si>
  <si>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</si>
  <si>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</si>
  <si>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</si>
  <si>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</si>
  <si>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</si>
  <si>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</si>
  <si>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</si>
  <si>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</si>
  <si>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</si>
  <si>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</si>
  <si>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</si>
  <si>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</si>
  <si>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</si>
  <si>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</si>
  <si>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</si>
  <si>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</si>
  <si>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</si>
  <si>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</si>
  <si>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</si>
  <si>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</si>
  <si>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</si>
  <si>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</si>
  <si>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</si>
  <si>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</si>
  <si>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</si>
  <si>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</si>
  <si>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</si>
  <si>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</si>
  <si>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</si>
  <si>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</si>
  <si>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</si>
  <si>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</si>
  <si>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</si>
  <si>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</si>
  <si>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</si>
  <si>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</si>
  <si>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</si>
  <si>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</si>
  <si>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</si>
  <si>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</si>
  <si>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</si>
  <si>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</si>
  <si>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</si>
  <si>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</si>
  <si>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</si>
  <si>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</si>
  <si>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</si>
  <si>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</si>
  <si>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</si>
  <si>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</si>
  <si>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</si>
  <si>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</si>
  <si>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</si>
  <si>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</si>
  <si>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</si>
  <si>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</si>
  <si>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</si>
  <si>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</si>
  <si>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</si>
  <si>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</si>
  <si>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</si>
  <si>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</si>
  <si>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</si>
  <si>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</si>
  <si>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</si>
  <si>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</si>
  <si>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</si>
  <si>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</si>
  <si>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</si>
  <si>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</si>
  <si>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</si>
  <si>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</si>
  <si>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</si>
  <si>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</si>
  <si>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</si>
  <si>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</si>
  <si>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</si>
  <si>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</si>
  <si>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</si>
  <si>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</si>
  <si>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</si>
  <si>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</si>
  <si>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</si>
  <si>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</si>
  <si>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</si>
  <si>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</si>
  <si>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</si>
  <si>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</si>
  <si>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</si>
  <si>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</si>
  <si>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</si>
  <si>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</si>
  <si>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</si>
  <si>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</si>
  <si>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</si>
  <si>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</si>
  <si>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</si>
  <si>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</si>
  <si>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</si>
  <si>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</si>
  <si>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</si>
  <si>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</si>
  <si>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</si>
  <si>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</si>
  <si>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</si>
  <si>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</si>
  <si>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</si>
  <si>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</si>
  <si>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</si>
  <si>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</si>
  <si>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</si>
  <si>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</si>
  <si>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</si>
  <si>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</si>
  <si>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</si>
  <si>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</si>
  <si>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</si>
  <si>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</si>
  <si>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</si>
  <si>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</si>
  <si>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</si>
  <si>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</si>
  <si>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</si>
  <si>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</si>
  <si>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</si>
  <si>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</si>
  <si>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</si>
  <si>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</si>
  <si>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</si>
  <si>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</si>
  <si>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</si>
  <si>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</si>
  <si>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</si>
  <si>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</si>
  <si>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</si>
  <si>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</si>
  <si>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</si>
  <si>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</si>
  <si>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</si>
  <si>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</si>
  <si>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</si>
  <si>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</si>
  <si>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</si>
  <si>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</si>
  <si>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</si>
  <si>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</si>
  <si>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</si>
  <si>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</si>
  <si>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</si>
  <si>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</si>
  <si>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</si>
  <si>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</si>
  <si>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</si>
  <si>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</si>
  <si>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</si>
  <si>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</si>
  <si>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</si>
  <si>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</si>
  <si>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</si>
  <si>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</si>
  <si>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</si>
  <si>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</si>
  <si>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</si>
  <si>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</si>
  <si>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</si>
  <si>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</si>
  <si>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</si>
  <si>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</si>
  <si>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</si>
  <si>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</si>
  <si>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</si>
  <si>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</si>
  <si>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</si>
  <si>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</si>
  <si>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</si>
  <si>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</si>
  <si>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</si>
  <si>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</si>
  <si>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</si>
  <si>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</si>
  <si>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</si>
  <si>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</si>
  <si>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</si>
  <si>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</si>
  <si>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</si>
  <si>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</si>
  <si>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</si>
  <si>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</si>
  <si>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</si>
  <si>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</si>
  <si>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</si>
  <si>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</si>
  <si>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</si>
  <si>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</si>
  <si>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</si>
  <si>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</si>
  <si>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</si>
  <si>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</si>
  <si>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</si>
  <si>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</si>
  <si>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</si>
  <si>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</si>
  <si>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</si>
  <si>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</si>
  <si>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</si>
  <si>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</si>
  <si>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</si>
  <si>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</si>
  <si>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</si>
  <si>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</si>
  <si>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</si>
  <si>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</si>
  <si>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</si>
  <si>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</si>
  <si>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</si>
  <si>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</si>
  <si>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</si>
  <si>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</si>
  <si>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</si>
  <si>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</si>
  <si>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</si>
  <si>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</si>
  <si>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</si>
  <si>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</si>
  <si>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</si>
  <si>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</si>
  <si>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</si>
  <si>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</si>
  <si>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</si>
  <si>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</si>
  <si>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</si>
  <si>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</si>
  <si>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</si>
  <si>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</si>
  <si>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</si>
  <si>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</si>
  <si>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</si>
  <si>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</si>
  <si>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</si>
  <si>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</si>
  <si>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</si>
  <si>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</si>
  <si>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</si>
  <si>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</si>
  <si>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</si>
  <si>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</si>
  <si>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</si>
  <si>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</si>
  <si>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</si>
  <si>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</si>
  <si>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</si>
  <si>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</si>
  <si>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</si>
  <si>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</si>
  <si>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</si>
  <si>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</si>
  <si>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</si>
  <si>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</si>
  <si>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</si>
  <si>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</si>
  <si>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</si>
  <si>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</si>
  <si>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</si>
  <si>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</si>
  <si>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</si>
  <si>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</si>
  <si>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</si>
  <si>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</si>
  <si>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</si>
  <si>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</si>
  <si>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</si>
  <si>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</si>
  <si>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</si>
  <si>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</si>
  <si>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</si>
  <si>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</si>
  <si>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</si>
  <si>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</si>
  <si>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</si>
  <si>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</si>
  <si>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</si>
  <si>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</si>
  <si>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</si>
  <si>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</si>
  <si>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</si>
  <si>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</si>
  <si>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</si>
  <si>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</si>
  <si>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</si>
  <si>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</si>
  <si>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</si>
  <si>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</si>
  <si>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</si>
  <si>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</si>
  <si>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</si>
  <si>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</si>
  <si>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</si>
  <si>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</si>
  <si>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</si>
  <si>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</si>
  <si>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</si>
  <si>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</si>
  <si>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</si>
  <si>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</si>
  <si>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</si>
  <si>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</si>
  <si>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</si>
  <si>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</si>
  <si>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</si>
  <si>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</si>
  <si>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</si>
  <si>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</si>
  <si>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</si>
  <si>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</si>
  <si>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</si>
  <si>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</si>
  <si>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</si>
  <si>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</si>
  <si>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Long-term Projection</t>
  </si>
  <si>
    <t>FCFE and TV</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</si>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</sst>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4.7699999999999996</v>
      </c>
      <c r="E8" s="32"/>
    </row>
    <row r="9" spans="1:9">
      <c r="B9" s="4" t="s">
        <v>346</v>
      </c>
      <c r="C9" s="48">
        <v>580004033</v>
      </c>
    </row>
    <row r="10" spans="1:9">
      <c r="B10" s="4" t="s">
        <v>352</v>
      </c>
      <c r="C10" s="33">
        <f>Thesis!C8*Common_Shares/1000000</f>
        <v>2766.6192374099996</v>
      </c>
      <c r="D10" s="1" t="s">
        <v>528</v>
      </c>
      <c r="E10" s="303">
        <f>Scenarios!F34</f>
        <v>0.1659005077146376</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398162</v>
      </c>
      <c r="D34" s="1" t="str">
        <f>Reporting_currency</f>
        <v>HKD</v>
      </c>
    </row>
    <row r="35" spans="2:6">
      <c r="B35" s="44"/>
      <c r="C35" s="73"/>
    </row>
    <row r="36" spans="2:6" ht="24.5" customHeight="1">
      <c r="B36" s="463" t="s">
        <v>198</v>
      </c>
      <c r="C36" s="463"/>
      <c r="D36" s="463"/>
      <c r="E36" s="463"/>
      <c r="F36" s="463"/>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3" t="s">
        <v>206</v>
      </c>
      <c r="C51" s="463"/>
      <c r="D51" s="463"/>
      <c r="E51" s="463"/>
      <c r="F51" s="463"/>
    </row>
    <row r="52" spans="2:6">
      <c r="B52" s="44" t="s">
        <v>204</v>
      </c>
      <c r="C52" s="285">
        <f>Normalized_FCF!C12</f>
        <v>-52106.345858861256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8.4679911667139132E-2</v>
      </c>
      <c r="F62" s="257"/>
    </row>
    <row r="63" spans="2:6">
      <c r="B63" s="204" t="s">
        <v>332</v>
      </c>
      <c r="C63" s="89">
        <f>Normalized_FCF!C92</f>
        <v>6.2893081761006303E-2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3" t="s">
        <v>357</v>
      </c>
      <c r="C124" s="463"/>
      <c r="D124" s="463"/>
      <c r="E124" s="463"/>
      <c r="F124" s="463"/>
    </row>
    <row r="125" spans="2:6">
      <c r="B125" s="193" t="s">
        <v>218</v>
      </c>
      <c r="C125" s="197">
        <f>Scenarios!C36</f>
        <v>6.5021029196761031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9">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6.2893081761006303E-2</v>
      </c>
      <c r="E92" s="237"/>
      <c r="G92" s="22">
        <f t="shared" ref="G92:Q92" si="38">IF(G$4="","",(G88*(1-dividend_tax_rate))/Market_Price)</f>
        <v>7.337526205450734E-2</v>
      </c>
      <c r="H92" s="22">
        <f t="shared" si="38"/>
        <v>0.11949685534591195</v>
      </c>
      <c r="I92" s="22">
        <f t="shared" si="38"/>
        <v>7.9664570230607981E-2</v>
      </c>
      <c r="J92" s="22">
        <f t="shared" si="38"/>
        <v>7.9664570230607981E-2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237"/>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
        <v>554</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8">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8.4679911667139132E-2</v>
      </c>
      <c r="D124" s="26"/>
      <c r="E124" s="234"/>
      <c r="F124" s="26"/>
      <c r="G124" s="74">
        <f t="shared" ref="G124" si="49">IF(G$4="","",G123/Market_Price)</f>
        <v>0.10589623264797002</v>
      </c>
      <c r="H124" s="74">
        <f t="shared" ref="H124" si="50">IF(H$4="","",H123/Market_Price)</f>
        <v>0.12688500649055115</v>
      </c>
      <c r="I124" s="74">
        <f t="shared" ref="I124" si="51">IF(I$4="","",I123/Market_Price)</f>
        <v>4.0563258438372524E-2</v>
      </c>
      <c r="J124" s="74">
        <f t="shared" ref="J124" si="52">IF(J$4="","",J123/Market_Price)</f>
        <v>-8.3942560512065591E-3</v>
      </c>
      <c r="K124" s="74">
        <f t="shared" ref="K124" si="53">IF(K$4="","",K123/Market_Price)</f>
        <v>-4.2957483412592722E-2</v>
      </c>
      <c r="L124" s="74">
        <f t="shared" ref="L124" si="54">IF(L$4="","",L123/Market_Price)</f>
        <v>7.5403943260112738E-2</v>
      </c>
      <c r="M124" s="74">
        <f t="shared" ref="M124" si="55">IF(M$4="","",M123/Market_Price)</f>
        <v>0.20161610692846399</v>
      </c>
      <c r="N124" s="74">
        <f t="shared" ref="N124" si="56">IF(N$4="","",N123/Market_Price)</f>
        <v>0.16630405578713736</v>
      </c>
      <c r="O124" s="74">
        <f t="shared" ref="O124" si="57">IF(O$4="","",O123/Market_Price)</f>
        <v>0.18699935032777706</v>
      </c>
      <c r="P124" s="74">
        <f t="shared" ref="P124" si="58">IF(P$4="","",P123/Market_Price)</f>
        <v>0.1823199930006302</v>
      </c>
      <c r="Q124" s="74" t="str">
        <f t="shared" ref="Q124" si="59">IF(Q$4="","",Q123/Market_Price)</f>
        <v/>
      </c>
    </row>
    <row r="125" spans="1:17" ht="15.75" customHeight="1">
      <c r="B125" s="2" t="s">
        <v>306</v>
      </c>
      <c r="C125" s="151"/>
      <c r="G125" s="22">
        <f>IF(G$4="","",(Data!C47*$C$3)/(Market_Price*Common_Shares))</f>
        <v>8.4981336362029231E-2</v>
      </c>
      <c r="H125" s="22">
        <f>IF(H$4="","",(Data!D47*$C$3)/(Market_Price*Common_Shares))</f>
        <v>0.12044122136298842</v>
      </c>
      <c r="I125" s="22">
        <f>IF(I$4="","",(Data!E47*$C$3)/(Market_Price*Common_Shares))</f>
        <v>4.0188761249303283E-2</v>
      </c>
      <c r="J125" s="22">
        <f>IF(J$4="","",(Data!F47*$C$3)/(Market_Price*Common_Shares))</f>
        <v>8.2591777325279041E-3</v>
      </c>
      <c r="K125" s="22">
        <f>IF(K$4="","",(Data!G47*$C$3)/(Market_Price*Common_Shares))</f>
        <v>0.13032151122376084</v>
      </c>
      <c r="L125" s="22">
        <f>IF(L$4="","",(Data!H47*$C$3)/(Market_Price*Common_Shares))</f>
        <v>2.6886966950189085E-2</v>
      </c>
      <c r="M125" s="22">
        <f>IF(M$4="","",(Data!I47*$C$3)/(Market_Price*Common_Shares))</f>
        <v>0.21401933160643749</v>
      </c>
      <c r="N125" s="22">
        <f>IF(N$4="","",(Data!J47*$C$3)/(Market_Price*Common_Shares))</f>
        <v>0.16601308694360628</v>
      </c>
      <c r="O125" s="22">
        <f>IF(O$4="","",(Data!K47*$C$3)/(Market_Price*Common_Shares))</f>
        <v>0.18211757989208682</v>
      </c>
      <c r="P125" s="22">
        <f>IF(P$4="","",(Data!L47*$C$3)/(Market_Price*Common_Shares))</f>
        <v>0.1871815221254661</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555</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8" t="s">
        <v>420</v>
      </c>
      <c r="K52" s="468"/>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4.7699999999999996</v>
      </c>
      <c r="D34" t="str">
        <f>Market_currency</f>
        <v>HKD</v>
      </c>
      <c r="E34" s="97" t="s">
        <v>454</v>
      </c>
      <c r="F34" s="330">
        <f>RATE(Holding_Period,$C$33,-C34,$C$36)</f>
        <v>0.1659005077146376</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4.7699999999999996</v>
      </c>
    </row>
    <row r="9" spans="1:10">
      <c r="B9" s="351" t="s">
        <v>361</v>
      </c>
      <c r="C9" s="353">
        <f>Common_Shares</f>
        <v>580004033</v>
      </c>
    </row>
    <row r="10" spans="1:10">
      <c r="B10" s="351" t="s">
        <v>367</v>
      </c>
      <c r="C10" s="357">
        <f>投资主题!C8*Common_Shares/1000000</f>
        <v>2766.6192374099996</v>
      </c>
      <c r="D10" s="343" t="s">
        <v>529</v>
      </c>
      <c r="E10" s="360">
        <f>Scenarios!F34</f>
        <v>0.1659005077146376</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8.4679911667139132E-2</v>
      </c>
      <c r="F62" s="379"/>
    </row>
    <row r="63" spans="2:6">
      <c r="B63" s="377" t="s">
        <v>332</v>
      </c>
      <c r="C63" s="378">
        <f>Normalized_FCF!C92</f>
        <v>6.2893081761006303E-2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2026-01-16T14:53:59Z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