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A18EEB-0728-4F4B-9BC9-4FF1D9A71E0D}"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38" i="12" l="1"/>
  <c r="C38" i="6"/>
  <c r="F18" i="8"/>
  <c r="H21" i="8"/>
  <c r="H23" i="8"/>
  <c r="H22" i="8"/>
  <c r="C92" i="6"/>
  <c r="C92" i="12"/>
  <c r="C28" i="8"/>
  <c r="C7" i="8"/>
  <c r="D86" i="3"/>
  <c r="D89" i="3" s="1"/>
  <c r="C78" i="12"/>
  <c r="C79" i="12" s="1"/>
  <c r="C78" i="6"/>
  <c r="C79" i="6" s="1"/>
  <c r="O80" i="2"/>
  <c r="O19" i="2"/>
  <c r="O90" i="2" s="1"/>
  <c r="O123" i="2"/>
  <c r="O124" i="2" s="1"/>
  <c r="P80" i="2"/>
  <c r="P19" i="2"/>
  <c r="P90" i="2" s="1"/>
  <c r="P123" i="2"/>
  <c r="P124" i="2" s="1"/>
  <c r="C45" i="2"/>
  <c r="C45" i="12" s="1"/>
  <c r="H51" i="8" l="1"/>
  <c r="H34" i="8"/>
  <c r="H28" i="8"/>
  <c r="H35" i="8"/>
  <c r="H31" i="8"/>
  <c r="H29" i="8"/>
  <c r="H33" i="8"/>
  <c r="H32" i="8"/>
  <c r="H30" i="8"/>
  <c r="C29" i="8"/>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<sst xmlns="http://schemas.openxmlformats.org/spreadsheetml/2006/main" count="766" uniqueCount="556">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</sst>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46013</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4.99</v>
      </c>
      <c r="E8" s="32"/>
    </row>
    <row r="9" spans="1:9">
      <c r="B9" s="4" t="s">
        <v>346</v>
      </c>
      <c r="C9" s="48">
        <v>580004033</v>
      </c>
    </row>
    <row r="10" spans="1:9">
      <c r="B10" s="4" t="s">
        <v>352</v>
      </c>
      <c r="C10" s="33">
        <f>Thesis!C8*Common_Shares/1000000</f>
        <v>2894.2201246700001</v>
      </c>
      <c r="D10" s="1" t="s">
        <v>531</v>
      </c>
      <c r="E10" s="307">
        <f>Scenarios!F34</f>
        <v>0.18088012681616028</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7.1444815306185729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3.8413432749614111</v>
      </c>
      <c r="D22" s="38" t="s">
        <v>408</v>
      </c>
      <c r="E22" s="79">
        <v>0.29465259038036606</v>
      </c>
    </row>
    <row r="23" spans="1:6">
      <c r="B23" s="1" t="s">
        <v>313</v>
      </c>
      <c r="C23" s="259">
        <f>E141</f>
        <v>4.757977519556075</v>
      </c>
      <c r="D23" s="38" t="s">
        <v>409</v>
      </c>
      <c r="E23" s="448">
        <v>0.20075184365903009</v>
      </c>
    </row>
    <row r="24" spans="1:6">
      <c r="B24" s="1" t="s">
        <v>315</v>
      </c>
      <c r="C24" s="259">
        <f>E144</f>
        <v>5.8446623275547616</v>
      </c>
      <c r="D24" s="38" t="s">
        <v>410</v>
      </c>
      <c r="E24" s="448">
        <v>0.1174</v>
      </c>
    </row>
    <row r="25" spans="1:6">
      <c r="B25" s="1" t="s">
        <v>314</v>
      </c>
      <c r="C25" s="259">
        <f>E145</f>
        <v>6.5750492730557024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405180.28500000015</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6947.6149374166671</v>
      </c>
      <c r="D44" s="1" t="str">
        <f>Reporting_currency</f>
        <v>HKD</v>
      </c>
      <c r="E44" s="247"/>
      <c r="F44" s="247"/>
    </row>
    <row r="45" spans="2:6">
      <c r="B45" s="44" t="s">
        <v>268</v>
      </c>
      <c r="C45" s="290">
        <f>Normalized_FCF!C45</f>
        <v>-89319.428</v>
      </c>
      <c r="D45" s="1" t="str">
        <f>Reporting_currency</f>
        <v>HKD</v>
      </c>
      <c r="E45" s="247"/>
      <c r="F45" s="247"/>
    </row>
    <row r="46" spans="2:6">
      <c r="B46" s="44" t="s">
        <v>203</v>
      </c>
      <c r="C46" s="289">
        <f>Normalized_FCF!C10</f>
        <v>-82371.813062583329</v>
      </c>
      <c r="D46" s="1" t="str">
        <f>Reporting_currency</f>
        <v>HKD</v>
      </c>
    </row>
    <row r="48" spans="2:6">
      <c r="B48" s="1" t="s">
        <v>211</v>
      </c>
    </row>
    <row r="49" spans="2:6">
      <c r="B49" s="44" t="s">
        <v>223</v>
      </c>
      <c r="C49" s="289">
        <f>Normalized_FCF!C13</f>
        <v>-29412.617008902169</v>
      </c>
      <c r="D49" s="1" t="str">
        <f>Reporting_currency</f>
        <v>HKD</v>
      </c>
    </row>
    <row r="51" spans="2:6">
      <c r="B51" s="457" t="s">
        <v>206</v>
      </c>
      <c r="C51" s="457"/>
      <c r="D51" s="457"/>
      <c r="E51" s="457"/>
      <c r="F51" s="457"/>
    </row>
    <row r="52" spans="2:6">
      <c r="B52" s="44" t="s">
        <v>204</v>
      </c>
      <c r="C52" s="289">
        <f>Normalized_FCF!C12</f>
        <v>-53263.397869673776</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292946.28787893528</v>
      </c>
      <c r="D60" s="1" t="str">
        <f>Reporting_currency</f>
        <v>HKD</v>
      </c>
    </row>
    <row r="61" spans="2:6">
      <c r="B61" s="44" t="s">
        <v>213</v>
      </c>
      <c r="C61" s="289">
        <f>Normalized_FCF!C19</f>
        <v>240132.45705884087</v>
      </c>
      <c r="D61" s="1" t="str">
        <f>Reporting_currency</f>
        <v>HKD</v>
      </c>
    </row>
    <row r="62" spans="2:6">
      <c r="B62" s="204" t="s">
        <v>302</v>
      </c>
      <c r="C62" s="89">
        <f>Normalized_FCF!C124</f>
        <v>8.2969659084317526E-2</v>
      </c>
      <c r="F62" s="260"/>
    </row>
    <row r="63" spans="2:6">
      <c r="B63" s="204" t="s">
        <v>332</v>
      </c>
      <c r="C63" s="89">
        <f>Normalized_FCF!C92</f>
        <v>6.0120240480961928E-2</v>
      </c>
      <c r="E63" s="44" t="s">
        <v>322</v>
      </c>
      <c r="F63" s="261">
        <f>Normalized_FCF!C90</f>
        <v>0.72460512848275083</v>
      </c>
    </row>
    <row r="65" spans="1:6">
      <c r="B65" s="192" t="s">
        <v>325</v>
      </c>
      <c r="C65" s="267" t="s">
        <v>327</v>
      </c>
      <c r="D65" s="267" t="s">
        <v>328</v>
      </c>
    </row>
    <row r="66" spans="1:6">
      <c r="B66" s="44" t="s">
        <v>326</v>
      </c>
      <c r="C66" s="89">
        <f>Normalized_FCF!C119</f>
        <v>0.1219703636183504</v>
      </c>
      <c r="D66" s="89">
        <f>Normalized_FCF!G119</f>
        <v>0.12379035548022314</v>
      </c>
    </row>
    <row r="67" spans="1:6">
      <c r="B67" s="229" t="str">
        <f>Normalized_FCF!B116</f>
        <v>Pre-tax Profit/Sales</v>
      </c>
      <c r="C67" s="266">
        <f>Normalized_FCF!C116</f>
        <v>3.7674664923977114E-2</v>
      </c>
      <c r="D67" s="266">
        <f>Normalized_FCF!G116</f>
        <v>3.8236830859424933E-2</v>
      </c>
    </row>
    <row r="68" spans="1:6">
      <c r="B68" s="229" t="str">
        <f>Normalized_FCF!B117</f>
        <v>Sales/Total Assets</v>
      </c>
      <c r="C68" s="268">
        <f>Normalized_FCF!C117</f>
        <v>1.4798367611150316</v>
      </c>
      <c r="D68" s="268">
        <f>Normalized_FCF!G117</f>
        <v>1.4798367611150316</v>
      </c>
    </row>
    <row r="69" spans="1:6">
      <c r="B69" s="229" t="str">
        <f>Normalized_FCF!B118</f>
        <v>Total Assets/Equity</v>
      </c>
      <c r="C69" s="268">
        <f>Normalized_FCF!C118</f>
        <v>2.187716833659914</v>
      </c>
      <c r="D69" s="268">
        <f>Normalized_FCF!G118</f>
        <v>2.187716833659914</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1">
        <f>IF(BS!G31/BS!G27&gt;300%,"nm",BS!G31/BS!G27)</f>
        <v>0.76701287002940366</v>
      </c>
    </row>
    <row r="81" spans="1:6">
      <c r="A81" s="191"/>
      <c r="B81" s="229" t="s">
        <v>311</v>
      </c>
      <c r="C81" s="342">
        <f>IF(BS!C50&gt;30,"nm",BS!C50)</f>
        <v>5.0100833509211817</v>
      </c>
    </row>
    <row r="82" spans="1:6">
      <c r="A82" s="191"/>
    </row>
    <row r="83" spans="1:6">
      <c r="A83" s="191"/>
      <c r="B83" s="1" t="s">
        <v>469</v>
      </c>
    </row>
    <row r="84" spans="1:6">
      <c r="A84" s="191"/>
      <c r="B84" s="1" t="s">
        <v>224</v>
      </c>
      <c r="C84" s="289">
        <f>DCF!F5</f>
        <v>270505.50625833333</v>
      </c>
      <c r="D84" s="1" t="str">
        <f>Reporting_currency</f>
        <v>HKD</v>
      </c>
    </row>
    <row r="85" spans="1:6">
      <c r="A85" s="191"/>
      <c r="B85" s="229" t="s">
        <v>222</v>
      </c>
      <c r="C85" s="295">
        <f>BS!C66</f>
        <v>965267</v>
      </c>
      <c r="D85" s="343" t="str">
        <f>Reporting_currency</f>
        <v>HKD</v>
      </c>
    </row>
    <row r="86" spans="1:6">
      <c r="A86" s="191"/>
      <c r="B86" s="44" t="s">
        <v>235</v>
      </c>
      <c r="C86" s="201">
        <f>C84*scaling_factor*Exchange_Rate/Common_Shares</f>
        <v>0.4663855609058038</v>
      </c>
      <c r="D86" s="1" t="str">
        <f>Market_currency</f>
        <v>HKD</v>
      </c>
    </row>
    <row r="87" spans="1:6">
      <c r="A87" s="191"/>
    </row>
    <row r="88" spans="1:6">
      <c r="A88" s="191"/>
      <c r="B88" s="1" t="s">
        <v>216</v>
      </c>
    </row>
    <row r="89" spans="1:6">
      <c r="A89" s="191"/>
      <c r="B89" s="1" t="s">
        <v>217</v>
      </c>
      <c r="C89" s="289">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472</v>
      </c>
      <c r="C92" s="216">
        <f>DCF!F8</f>
        <v>-2.9282632483723896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-2.4800067209187837</v>
      </c>
      <c r="D111" s="1" t="str">
        <f>Market_currency</f>
        <v>HKD</v>
      </c>
    </row>
    <row r="112" spans="2:6">
      <c r="B112" s="44" t="s">
        <v>323</v>
      </c>
      <c r="C112" s="216">
        <f>DCF!C11</f>
        <v>2.782338114810293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0.04</v>
      </c>
      <c r="D118" s="207" t="str">
        <f>ROUND(DCF!E90,2)&amp;" "&amp;Market_currency</f>
        <v>9.9 HKD</v>
      </c>
      <c r="E118" s="208">
        <f>DCF!F90</f>
        <v>0.05</v>
      </c>
      <c r="F118" s="208">
        <f>RATE(Holding_Period,Scenarios!C$58,-DCF!E90,C$18)</f>
        <v>-6.9238427428030352E-2</v>
      </c>
    </row>
    <row r="119" spans="2:6">
      <c r="B119" s="205" t="str">
        <f>DCF!B91&amp;" ("&amp;DCF!D91&amp;"yrs)"</f>
        <v>Optimistic (15yrs)</v>
      </c>
      <c r="C119" s="198">
        <f>DCF!C91</f>
        <v>0.03</v>
      </c>
      <c r="D119" s="207" t="str">
        <f>ROUND(DCF!E91,2)&amp;" "&amp;Market_currency</f>
        <v>8.41 HKD</v>
      </c>
      <c r="E119" s="199">
        <f>DCF!F91</f>
        <v>0.18</v>
      </c>
      <c r="F119" s="208">
        <f>RATE(Holding_Period,Scenarios!C$58,-DCF!E91,C$18)</f>
        <v>-1.5338509415315447E-2</v>
      </c>
    </row>
    <row r="120" spans="2:6">
      <c r="B120" s="205" t="str">
        <f>DCF!B92&amp;" ("&amp;DCF!D92&amp;"yrs)"</f>
        <v>Base (15yrs)</v>
      </c>
      <c r="C120" s="198">
        <f>DCF!C92</f>
        <v>0.02</v>
      </c>
      <c r="D120" s="207" t="str">
        <f>ROUND(DCF!E92,2)&amp;" "&amp;Market_currency</f>
        <v>7.09 HKD</v>
      </c>
      <c r="E120" s="199">
        <f>DCF!F92</f>
        <v>0.53999999999999992</v>
      </c>
      <c r="F120" s="208">
        <f>RATE(Holding_Period,Scenarios!C$58,-DCF!E92,C$18)</f>
        <v>4.4846233212409312E-2</v>
      </c>
    </row>
    <row r="121" spans="2:6">
      <c r="B121" s="205" t="str">
        <f>DCF!B93&amp;" ("&amp;DCF!D93&amp;"yrs)"</f>
        <v>Pessimistic (15yrs)</v>
      </c>
      <c r="C121" s="198">
        <f>DCF!C93</f>
        <v>0.01</v>
      </c>
      <c r="D121" s="207" t="str">
        <f>ROUND(DCF!E93,2)&amp;" "&amp;Market_currency</f>
        <v>5.91 HKD</v>
      </c>
      <c r="E121" s="199">
        <f>DCF!F93</f>
        <v>0.18</v>
      </c>
      <c r="F121" s="208">
        <f>RATE(Holding_Period,Scenarios!C$58,-DCF!E93,C$18)</f>
        <v>0.11293019059121136</v>
      </c>
    </row>
    <row r="122" spans="2:6">
      <c r="B122" s="205" t="str">
        <f>DCF!B94&amp;" ("&amp;DCF!D94&amp;"yrs)"</f>
        <v>Devil's advocate (15yrs)</v>
      </c>
      <c r="C122" s="198">
        <f>DCF!C94</f>
        <v>0</v>
      </c>
      <c r="D122" s="207" t="str">
        <f>ROUND(DCF!E94,2)&amp;" "&amp;Market_currency</f>
        <v>4.87 HKD</v>
      </c>
      <c r="E122" s="199">
        <f>DCF!F94</f>
        <v>0.05</v>
      </c>
      <c r="F122" s="208">
        <f>RATE(Holding_Period,Scenarios!C$58,-DCF!E94,C$18)</f>
        <v>0.19124111543636063</v>
      </c>
    </row>
    <row r="124" spans="2:6">
      <c r="B124" s="457" t="s">
        <v>357</v>
      </c>
      <c r="C124" s="457"/>
      <c r="D124" s="457"/>
      <c r="E124" s="457"/>
      <c r="F124" s="457"/>
    </row>
    <row r="125" spans="2:6">
      <c r="B125" s="193" t="s">
        <v>218</v>
      </c>
      <c r="C125" s="197">
        <f>Scenarios!C36</f>
        <v>7.1444815306185729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0.54895547283303592</v>
      </c>
      <c r="D140" s="337">
        <f>Scenarios!D62</f>
        <v>3.2923878021283755</v>
      </c>
      <c r="E140" s="338">
        <f>Scenarios!E62</f>
        <v>3.8413432749614111</v>
      </c>
      <c r="F140" s="339">
        <f>E22</f>
        <v>0.29465259038036606</v>
      </c>
    </row>
    <row r="141" spans="1:6">
      <c r="B141" s="340" t="s">
        <v>313</v>
      </c>
      <c r="C141" s="337">
        <f>Scenarios!C63</f>
        <v>0.63120118418072357</v>
      </c>
      <c r="D141" s="337">
        <f>Scenarios!D63</f>
        <v>4.126776335375351</v>
      </c>
      <c r="E141" s="338">
        <f>Scenarios!E63</f>
        <v>4.757977519556075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5.1208813897731664</v>
      </c>
      <c r="E144" s="338">
        <f>Scenarios!E66</f>
        <v>5.8446623275547616</v>
      </c>
      <c r="F144" s="339">
        <f>E24</f>
        <v>0.1174</v>
      </c>
    </row>
    <row r="145" spans="1:6">
      <c r="B145" s="340" t="s">
        <v>314</v>
      </c>
      <c r="C145" s="337">
        <f>Scenarios!C67</f>
        <v>0.78371256815190493</v>
      </c>
      <c r="D145" s="337">
        <f>Scenarios!D67</f>
        <v>5.7913367049037978</v>
      </c>
      <c r="E145" s="338">
        <f>Scenarios!E67</f>
        <v>6.5750492730557024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100361</v>
      </c>
      <c r="D28" s="291">
        <v>89430</v>
      </c>
      <c r="E28" s="291">
        <v>75868</v>
      </c>
      <c r="F28" s="291">
        <v>51007</v>
      </c>
      <c r="G28" s="291">
        <v>37326</v>
      </c>
      <c r="H28" s="291">
        <v>50182</v>
      </c>
      <c r="I28" s="291">
        <v>70869</v>
      </c>
      <c r="J28" s="291">
        <v>65261</v>
      </c>
      <c r="K28" s="291">
        <v>45658</v>
      </c>
      <c r="L28" s="291">
        <v>43197</v>
      </c>
      <c r="M28" s="291"/>
    </row>
    <row r="29" spans="2:13">
      <c r="B29" s="25" t="s">
        <v>30</v>
      </c>
      <c r="C29" s="274">
        <f>BS!C6</f>
        <v>227738</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3143428</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2646614</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9054</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100361</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227738</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3143428</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2646614</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404</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1">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5.0100833509211817</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9.2133961157233421E-2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270505.50625833333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-694761.49374166667</v>
      </c>
      <c r="F73" s="1" t="s">
        <v>278</v>
      </c>
    </row>
    <row r="74" spans="2:6" ht="15" customHeight="1">
      <c r="B74" s="227" t="s">
        <v>259</v>
      </c>
      <c r="C74" s="228">
        <f>-$C$66/C73</f>
        <v>1.3833736563217707</v>
      </c>
      <c r="D74" s="228">
        <f>-$C$66/D73</f>
        <v>1.3893501708068401</v>
      </c>
      <c r="F74" s="223" t="s">
        <v>257</v>
      </c>
    </row>
    <row r="75" spans="2:6" ht="15" customHeight="1">
      <c r="B75" s="77" t="s">
        <v>258</v>
      </c>
      <c r="C75" s="264"/>
      <c r="D75" s="265">
        <f>MAX(-D73*D76,G5)</f>
        <v>694761.49374166667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270505.50625833333</v>
      </c>
      <c r="D87" s="201">
        <f>C87*scaling_factor/Common_Shares</f>
        <v>0.4663855609058038</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-1698404.4937416667</v>
      </c>
      <c r="D89" s="216">
        <f>SUM(D86:D88)</f>
        <v>-2.9282632483723896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-7668643.7149999999</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899673.28500000015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405180.28500000015</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-82371.813062583329</v>
      </c>
      <c r="E10" s="238"/>
      <c r="G10" s="270">
        <f>G48</f>
        <v>-70536.712121064716</v>
      </c>
      <c r="H10" s="270">
        <f t="shared" ref="H10:Q10" si="6">H48</f>
        <v>-75983.949882807065</v>
      </c>
      <c r="I10" s="270">
        <f t="shared" si="6"/>
        <v>-70547.446342429059</v>
      </c>
      <c r="J10" s="270">
        <f t="shared" si="6"/>
        <v>-82531.350877459365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322808.47193741682</v>
      </c>
      <c r="E11" s="238"/>
      <c r="G11" s="271">
        <f t="shared" ref="G11:Q11" si="7">IF(G$4="","",SUM(G8:G10))</f>
        <v>327625.28787893528</v>
      </c>
      <c r="H11" s="271">
        <f t="shared" si="7"/>
        <v>410089.05011719291</v>
      </c>
      <c r="I11" s="271">
        <f t="shared" si="7"/>
        <v>146022.55365757094</v>
      </c>
      <c r="J11" s="271">
        <f t="shared" si="7"/>
        <v>6346.6491225406353</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-53263.397869673776</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-29412.617008902169</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240132.45705884087</v>
      </c>
      <c r="D14" s="58"/>
      <c r="E14" s="246"/>
      <c r="F14" s="58"/>
      <c r="G14" s="271">
        <f t="shared" ref="G14:Q14" si="8">IF(G$4="","",SUM(G11:G13))</f>
        <v>292946.28787893528</v>
      </c>
      <c r="H14" s="271">
        <f t="shared" si="8"/>
        <v>351015.05011719291</v>
      </c>
      <c r="I14" s="271">
        <f t="shared" si="8"/>
        <v>112199.55365757094</v>
      </c>
      <c r="J14" s="271">
        <f t="shared" si="8"/>
        <v>-23228.350877459365</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240132.45705884087</v>
      </c>
      <c r="D19" s="26"/>
      <c r="E19" s="235"/>
      <c r="F19" s="26"/>
      <c r="G19" s="275">
        <f t="shared" ref="G19:Q19" si="9">IF(G$4="","",G14+G17)</f>
        <v>292946.28787893528</v>
      </c>
      <c r="H19" s="275">
        <f t="shared" si="9"/>
        <v>351015.05011719291</v>
      </c>
      <c r="I19" s="275">
        <f t="shared" si="9"/>
        <v>112199.55365757094</v>
      </c>
      <c r="J19" s="275">
        <f t="shared" si="9"/>
        <v>-23228.350877459365</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-7668643.7149999999</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-7668643.7149999999</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0.89500000000000002</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0.89500000000000002</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9.8624865648160809E-2</v>
      </c>
      <c r="H41" s="6">
        <f t="shared" si="16"/>
        <v>0.13731895544128084</v>
      </c>
      <c r="I41" s="6">
        <f t="shared" si="16"/>
        <v>0.22591715576595517</v>
      </c>
      <c r="J41" s="6">
        <f t="shared" si="16"/>
        <v>4.4021655302752425</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-89319.428</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6947.6149374166671</v>
      </c>
      <c r="E46" s="238"/>
      <c r="G46" s="278">
        <f t="shared" ref="G46:Q46" si="17">IFERROR(IF(G$4="","",($C$46/$C$47)*G47),0)</f>
        <v>33578.287878935291</v>
      </c>
      <c r="H46" s="278">
        <f t="shared" si="17"/>
        <v>32608.050117192928</v>
      </c>
      <c r="I46" s="278">
        <f t="shared" si="17"/>
        <v>27960.553657570938</v>
      </c>
      <c r="J46" s="278">
        <f t="shared" si="17"/>
        <v>5512.6491225406289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9652.67</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-82371.813062583329</v>
      </c>
      <c r="E48" s="238"/>
      <c r="G48" s="271">
        <f>IF(G$4="","",(G45+G46))</f>
        <v>-70536.712121064716</v>
      </c>
      <c r="H48" s="271">
        <f t="shared" ref="H48:Q48" si="18">IF(H$4="","",(H45+H46))</f>
        <v>-75983.949882807065</v>
      </c>
      <c r="I48" s="271">
        <f t="shared" si="18"/>
        <v>-70547.446342429059</v>
      </c>
      <c r="J48" s="271">
        <f t="shared" si="18"/>
        <v>-82531.350877459365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5"/>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4.5363063117690379</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0.89500000000000002</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0.10500000000000002</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4.7288199654611306E-2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9.6135347306341868E-3</v>
      </c>
      <c r="D76" s="26"/>
      <c r="E76" s="235" t="s">
        <v>552</v>
      </c>
      <c r="F76" s="26"/>
      <c r="G76" s="6">
        <f t="shared" ref="G76:Q76" si="28">IF(G$4="","",ABS(G10/G$4))</f>
        <v>8.2322715325617284E-3</v>
      </c>
      <c r="H76" s="6">
        <f t="shared" si="28"/>
        <v>8.7423799970300763E-3</v>
      </c>
      <c r="I76" s="6">
        <f t="shared" si="28"/>
        <v>8.7920064175157891E-3</v>
      </c>
      <c r="J76" s="6">
        <f t="shared" si="28"/>
        <v>1.0991352475898377E-2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3.7674664923977114E-2</v>
      </c>
      <c r="D77" s="26"/>
      <c r="E77" s="235"/>
      <c r="F77" s="26"/>
      <c r="G77" s="62">
        <f t="shared" ref="G77:Q77" si="29">IF(G$4="","",G11/G$4)</f>
        <v>3.8236830859424933E-2</v>
      </c>
      <c r="H77" s="62">
        <f t="shared" si="29"/>
        <v>4.7183047397182321E-2</v>
      </c>
      <c r="I77" s="62">
        <f t="shared" si="29"/>
        <v>1.8198124743280437E-2</v>
      </c>
      <c r="J77" s="62">
        <f t="shared" si="29"/>
        <v>8.4523343923293727E-4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6.2163197124562239E-3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3.4327181182608169E-3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2.8025627093260074E-2</v>
      </c>
      <c r="D80" s="26"/>
      <c r="E80" s="235"/>
      <c r="F80" s="26"/>
      <c r="G80" s="62">
        <f t="shared" ref="G80:Q80" si="32">IF(G$4="","",ABS(G14/G$4))</f>
        <v>3.4189478269645635E-2</v>
      </c>
      <c r="H80" s="62">
        <f t="shared" si="32"/>
        <v>4.03862520642062E-2</v>
      </c>
      <c r="I80" s="62">
        <f t="shared" si="32"/>
        <v>1.3982918545507844E-2</v>
      </c>
      <c r="J80" s="62">
        <f t="shared" si="32"/>
        <v>3.093503125946394E-3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2.8025627093260074E-2</v>
      </c>
      <c r="D85" s="72"/>
      <c r="E85" s="235"/>
      <c r="F85" s="72"/>
      <c r="G85" s="62">
        <f t="shared" ref="G85:Q85" si="35">IF(G$4="","",ABS(G19/G$4))</f>
        <v>3.4189478269645635E-2</v>
      </c>
      <c r="H85" s="62">
        <f t="shared" si="35"/>
        <v>4.03862520642062E-2</v>
      </c>
      <c r="I85" s="62">
        <f t="shared" si="35"/>
        <v>1.3982918545507844E-2</v>
      </c>
      <c r="J85" s="62">
        <f t="shared" si="35"/>
        <v>3.093503125946394E-3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0.72460512848275083</v>
      </c>
      <c r="E90" s="238"/>
      <c r="G90" s="152">
        <f t="shared" ref="G90:Q90" si="37">IF(G$4="","",G88/(G19*scaling_factor/Common_Shares))</f>
        <v>0.69296461484397975</v>
      </c>
      <c r="H90" s="152">
        <f t="shared" si="37"/>
        <v>0.94184650686522486</v>
      </c>
      <c r="I90" s="152">
        <f t="shared" si="37"/>
        <v>1.9643708495726966</v>
      </c>
      <c r="J90" s="152">
        <f t="shared" si="37"/>
        <v>-9.4884709509824106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6.0120240480961928E-2</v>
      </c>
      <c r="E92" s="238"/>
      <c r="G92" s="22">
        <f t="shared" ref="G92:Q92" si="38">IF(G$4="","",(G88*(1-dividend_tax_rate))/Market_Price)</f>
        <v>7.0140280561122231E-2</v>
      </c>
      <c r="H92" s="22">
        <f t="shared" si="38"/>
        <v>0.11422845691382764</v>
      </c>
      <c r="I92" s="22">
        <f t="shared" si="38"/>
        <v>7.615230460921843E-2</v>
      </c>
      <c r="J92" s="22">
        <f t="shared" si="38"/>
        <v>7.615230460921843E-2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-1.4702210481684186E-2</v>
      </c>
      <c r="D96" s="26"/>
      <c r="E96" s="235"/>
      <c r="F96" s="26"/>
      <c r="G96" s="6">
        <f t="shared" ref="G96:Q96" si="40">IF(H5="","",G11/H11-1)</f>
        <v>-0.20108745213921608</v>
      </c>
      <c r="H96" s="6">
        <f t="shared" si="40"/>
        <v>1.8083952776149159</v>
      </c>
      <c r="I96" s="6">
        <f t="shared" si="40"/>
        <v>22.007818903830699</v>
      </c>
      <c r="J96" s="6">
        <f t="shared" si="40"/>
        <v>-1.0725903755251642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5790042</v>
      </c>
      <c r="D100" s="25"/>
      <c r="E100" s="239"/>
      <c r="F100" s="25"/>
      <c r="G100" s="274">
        <f t="shared" ref="G100:Q100" si="41">IF(G$4="","",G104+G103)</f>
        <v>5790042</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100361</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227738</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3143428</v>
      </c>
      <c r="D103" s="25"/>
      <c r="E103" s="239"/>
      <c r="F103" s="25"/>
      <c r="G103" s="274">
        <f>Data!C79</f>
        <v>3143428</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2646614</v>
      </c>
      <c r="D104" s="25"/>
      <c r="E104" s="239"/>
      <c r="F104" s="25"/>
      <c r="G104" s="274">
        <f>Data!C80</f>
        <v>2646614</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5.1579387161391317</v>
      </c>
      <c r="H113" s="254">
        <f>IF(H$4="","",Data!D$22/H19)</f>
        <v>4.7381273237279284</v>
      </c>
      <c r="I113" s="254">
        <f>IF(I$4="","",Data!E$22/I19)</f>
        <v>15.141637775003426</v>
      </c>
      <c r="J113" s="254">
        <f>IF(J$4="","",Data!F$22/J19)</f>
        <v>-50.13016232374747</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3.7674664923977114E-2</v>
      </c>
      <c r="E116" s="238"/>
      <c r="G116" s="22">
        <f t="shared" ref="G116:Q116" si="44">IF(G4="","",G77)</f>
        <v>3.8236830859424933E-2</v>
      </c>
      <c r="H116" s="22">
        <f t="shared" si="44"/>
        <v>4.7183047397182321E-2</v>
      </c>
      <c r="I116" s="22">
        <f t="shared" si="44"/>
        <v>1.8198124743280437E-2</v>
      </c>
      <c r="J116" s="22">
        <f t="shared" si="44"/>
        <v>8.4523343923293727E-4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1.4798367611150316</v>
      </c>
      <c r="E117" s="238"/>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2"/>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0.1219703636183504</v>
      </c>
      <c r="D119" s="100"/>
      <c r="E119" s="241"/>
      <c r="F119" s="100"/>
      <c r="G119" s="99">
        <f t="shared" ref="G119:Q119" si="47">IF(G$4="","",G11/G104)</f>
        <v>0.12379035548022314</v>
      </c>
      <c r="H119" s="99">
        <f t="shared" si="47"/>
        <v>0.1408992332682221</v>
      </c>
      <c r="I119" s="99">
        <f t="shared" si="47"/>
        <v>5.2299161465042494E-2</v>
      </c>
      <c r="J119" s="99">
        <f t="shared" si="47"/>
        <v>2.245507718201908E-3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0.41401859883074443</v>
      </c>
      <c r="D123" s="26"/>
      <c r="E123" s="235"/>
      <c r="F123" s="26"/>
      <c r="G123" s="159">
        <f t="shared" ref="G123:Q123" si="48">IF(G$4="","",G14*$C$3/Common_Shares*Exchange_Rate)</f>
        <v>0.50507629466592907</v>
      </c>
      <c r="H123" s="159">
        <f t="shared" si="48"/>
        <v>0.60519415408477495</v>
      </c>
      <c r="I123" s="159">
        <f t="shared" si="48"/>
        <v>0.19344616118828081</v>
      </c>
      <c r="J123" s="159">
        <f t="shared" si="48"/>
        <v>-4.0048602347320862E-2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8.2969659084317526E-2</v>
      </c>
      <c r="D124" s="26"/>
      <c r="E124" s="235"/>
      <c r="F124" s="26"/>
      <c r="G124" s="74">
        <f t="shared" ref="G124" si="49">IF(G$4="","",G123/Market_Price)</f>
        <v>0.10121769432182946</v>
      </c>
      <c r="H124" s="74">
        <f t="shared" ref="H124" si="50">IF(H$4="","",H123/Market_Price)</f>
        <v>0.12128139360416332</v>
      </c>
      <c r="I124" s="74">
        <f t="shared" ref="I124" si="51">IF(I$4="","",I123/Market_Price)</f>
        <v>3.876676576919455E-2</v>
      </c>
      <c r="J124" s="74">
        <f t="shared" ref="J124" si="52">IF(J$4="","",J123/Market_Price)</f>
        <v>-8.0257720134911548E-3</v>
      </c>
      <c r="K124" s="74">
        <f t="shared" ref="K124" si="53">IF(K$4="","",K123/Market_Price)</f>
        <v>-4.106356630822991E-2</v>
      </c>
      <c r="L124" s="74">
        <f t="shared" ref="L124" si="54">IF(L$4="","",L123/Market_Price)</f>
        <v>7.2079520911971492E-2</v>
      </c>
      <c r="M124" s="74">
        <f t="shared" ref="M124" si="55">IF(M$4="","",M123/Market_Price)</f>
        <v>0.19272722045065593</v>
      </c>
      <c r="N124" s="74">
        <f t="shared" ref="N124" si="56">IF(N$4="","",N123/Market_Price)</f>
        <v>0.15897201324742385</v>
      </c>
      <c r="O124" s="74">
        <f t="shared" ref="O124" si="57">IF(O$4="","",O123/Market_Price)</f>
        <v>0.17875488999268466</v>
      </c>
      <c r="P124" s="74">
        <f t="shared" ref="P124" si="58">IF(P$4="","",P123/Market_Price)</f>
        <v>0.17428183699659439</v>
      </c>
      <c r="Q124" s="74" t="str">
        <f t="shared" ref="Q124" si="59">IF(Q$4="","",Q123/Market_Price)</f>
        <v/>
      </c>
    </row>
    <row r="125" spans="1:17" ht="15.75" customHeight="1">
      <c r="B125" s="2" t="s">
        <v>306</v>
      </c>
      <c r="C125" s="151"/>
      <c r="G125" s="22">
        <f>IF(G$4="","",(Data!C47*$C$3)/(Market_Price*Common_Shares))</f>
        <v>8.1234664217811503E-2</v>
      </c>
      <c r="H125" s="22">
        <f>IF(H$4="","",(Data!D47*$C$3)/(Market_Price*Common_Shares))</f>
        <v>0.11513118755540175</v>
      </c>
      <c r="I125" s="22">
        <f>IF(I$4="","",(Data!E47*$C$3)/(Market_Price*Common_Shares))</f>
        <v>3.8416912055947224E-2</v>
      </c>
      <c r="J125" s="22">
        <f>IF(J$4="","",(Data!F47*$C$3)/(Market_Price*Common_Shares))</f>
        <v>7.8950456481278759E-3</v>
      </c>
      <c r="K125" s="22">
        <f>IF(K$4="","",(Data!G47*$C$3)/(Market_Price*Common_Shares))</f>
        <v>0.1245758734543766</v>
      </c>
      <c r="L125" s="22">
        <f>IF(L$4="","",(Data!H47*$C$3)/(Market_Price*Common_Shares))</f>
        <v>2.5701569609699788E-2</v>
      </c>
      <c r="M125" s="22">
        <f>IF(M$4="","",(Data!I47*$C$3)/(Market_Price*Common_Shares))</f>
        <v>0.20458360957168473</v>
      </c>
      <c r="N125" s="22">
        <f>IF(N$4="","",(Data!J47*$C$3)/(Market_Price*Common_Shares))</f>
        <v>0.15869387268957955</v>
      </c>
      <c r="O125" s="22">
        <f>IF(O$4="","",(Data!K47*$C$3)/(Market_Price*Common_Shares))</f>
        <v>0.17408834791287658</v>
      </c>
      <c r="P125" s="22">
        <f>IF(P$4="","",(Data!L47*$C$3)/(Market_Price*Common_Shares))</f>
        <v>0.17892903016803069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240132.45705884087</v>
      </c>
      <c r="D4" t="str">
        <f>Reporting_currency</f>
        <v>HKD</v>
      </c>
      <c r="E4" s="135" t="s">
        <v>434</v>
      </c>
      <c r="F4" s="279">
        <f>-BS!G31</f>
        <v>-2029987</v>
      </c>
      <c r="G4" t="str">
        <f>Reporting_currency</f>
        <v>HKD</v>
      </c>
      <c r="H4" s="312" t="s">
        <v>394</v>
      </c>
      <c r="I4" s="309">
        <f>Normalized_FCF!C4</f>
        <v>8568317</v>
      </c>
      <c r="J4" s="309"/>
    </row>
    <row r="5" spans="2:15">
      <c r="B5" s="187" t="s">
        <v>105</v>
      </c>
      <c r="C5" s="188">
        <f>Equity_Cost</f>
        <v>7.2499999999999995E-2</v>
      </c>
      <c r="E5" s="135" t="s">
        <v>435</v>
      </c>
      <c r="F5" s="279">
        <f>BS!D66</f>
        <v>270505.50625833333</v>
      </c>
      <c r="G5" t="str">
        <f>Reporting_currency</f>
        <v>HKD</v>
      </c>
      <c r="H5" s="312" t="s">
        <v>396</v>
      </c>
      <c r="I5" s="309">
        <f>Normalized_FCF!C7</f>
        <v>-494493</v>
      </c>
      <c r="J5" s="309"/>
    </row>
    <row r="6" spans="2:15" ht="13.25" customHeight="1">
      <c r="B6" s="136" t="s">
        <v>194</v>
      </c>
      <c r="C6" s="287">
        <f>(C4*(1+Terminal_Growth))/(Equity_Cost-Terminal_Growth)</f>
        <v>3312171.8215012536</v>
      </c>
      <c r="D6" t="str">
        <f>Reporting_currency</f>
        <v>HKD</v>
      </c>
      <c r="E6" s="187" t="s">
        <v>436</v>
      </c>
      <c r="F6" s="288">
        <f>BS!H42</f>
        <v>61077</v>
      </c>
      <c r="G6" t="str">
        <f>Reporting_currency</f>
        <v>HKD</v>
      </c>
      <c r="H6" s="312" t="s">
        <v>418</v>
      </c>
      <c r="I6" s="309">
        <f>I7+I8</f>
        <v>-82371.813062583329</v>
      </c>
      <c r="J6" s="309"/>
      <c r="N6" s="135"/>
    </row>
    <row r="7" spans="2:15" ht="12.75" customHeight="1">
      <c r="B7" s="322" t="s">
        <v>433</v>
      </c>
      <c r="C7" s="279">
        <f>F7</f>
        <v>-1698404.4937416667</v>
      </c>
      <c r="E7" s="140" t="s">
        <v>427</v>
      </c>
      <c r="F7" s="287">
        <f>SUM(F4:F6)</f>
        <v>-1698404.4937416667</v>
      </c>
      <c r="G7" t="str">
        <f>Reporting_currency</f>
        <v>HKD</v>
      </c>
      <c r="H7" s="316" t="s">
        <v>419</v>
      </c>
      <c r="I7" s="317">
        <f>Normalized_FCF!C9</f>
        <v>0</v>
      </c>
      <c r="J7" s="317"/>
      <c r="N7" s="308"/>
      <c r="O7" s="308"/>
    </row>
    <row r="8" spans="2:15" ht="13.15">
      <c r="B8" s="136" t="s">
        <v>429</v>
      </c>
      <c r="C8" s="287">
        <f>C6+C7</f>
        <v>1613767.327759587</v>
      </c>
      <c r="D8" t="str">
        <f>Reporting_currency</f>
        <v>HKD</v>
      </c>
      <c r="E8" s="140" t="s">
        <v>467</v>
      </c>
      <c r="F8" s="108">
        <f>FV_adjustments*scaling_factor/Common_Shares*Exchange_Rate</f>
        <v>-2.9282632483723896</v>
      </c>
      <c r="G8" s="298" t="str">
        <f>Market_currency</f>
        <v>HKD</v>
      </c>
      <c r="H8" s="318" t="str">
        <f>Normalized_FCF!B10</f>
        <v>Net Interest Income</v>
      </c>
      <c r="I8" s="317">
        <f>Normalized_FCF!C10</f>
        <v>-82371.813062583329</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3.4327181182608169E-3</v>
      </c>
      <c r="J9" s="310"/>
      <c r="N9" s="308"/>
      <c r="O9" s="308"/>
    </row>
    <row r="10" spans="2:15" ht="13.5" thickTop="1">
      <c r="B10" s="107" t="s">
        <v>430</v>
      </c>
      <c r="C10" s="287">
        <f>C8*Exchange_Rate</f>
        <v>1613767.327759587</v>
      </c>
      <c r="D10" t="str">
        <f>Market_currency</f>
        <v>HKD</v>
      </c>
      <c r="H10" s="312" t="s">
        <v>398</v>
      </c>
      <c r="I10" s="310">
        <f>Normalized_FCF!C41</f>
        <v>0.16500000000000001</v>
      </c>
      <c r="N10" s="308"/>
      <c r="O10" s="308"/>
    </row>
    <row r="11" spans="2:15" ht="13.15">
      <c r="B11" s="136" t="s">
        <v>428</v>
      </c>
      <c r="C11" s="108">
        <f>(C10*scaling_factor)/Common_Shares</f>
        <v>2.782338114810293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2.0459999999999999E-2</v>
      </c>
      <c r="E16" s="312" t="s">
        <v>401</v>
      </c>
      <c r="F16" s="315">
        <f>Scenarios!C41</f>
        <v>2.0459999999999999E-2</v>
      </c>
    </row>
    <row r="17" spans="1:21" ht="13.25" customHeight="1">
      <c r="B17" s="312" t="s">
        <v>395</v>
      </c>
      <c r="C17" s="310">
        <f>Normalized_FCF!C32</f>
        <v>0.89500000000000002</v>
      </c>
      <c r="E17" s="312" t="s">
        <v>402</v>
      </c>
      <c r="F17" s="315">
        <f>Scenarios!C40</f>
        <v>0.875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7.1458946645571135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8743624.7658199985</v>
      </c>
      <c r="D21" s="303">
        <f t="shared" ref="D21:D50" si="1">IF(A21="",0,IF(A21="I",$C$16,$F$16))</f>
        <v>2.0459999999999999E-2</v>
      </c>
      <c r="E21" s="303">
        <f>$C$17</f>
        <v>0.89500000000000002</v>
      </c>
      <c r="F21" s="281">
        <f>I5*(1+D21)</f>
        <v>-504610.32677999994</v>
      </c>
      <c r="G21" s="281">
        <f>C21*(1-E21)+F21+$I$6</f>
        <v>331098.46056851646</v>
      </c>
      <c r="H21" s="303">
        <f t="shared" ref="H21:H50" si="2">IF(A21="",0%,IF(A21="I",$C$18,$F$18))</f>
        <v>0</v>
      </c>
      <c r="I21" s="281">
        <f>(G21*(1-$I$10)+C21*(H21-$I$9))</f>
        <v>246452.81542180691</v>
      </c>
      <c r="J21" s="303">
        <f>I21/C4-1</f>
        <v>2.6320300222544724E-2</v>
      </c>
      <c r="K21" s="119">
        <f t="shared" ref="K21:K50" si="3">IF($C$15&lt;B21,0,1/(1+Equity_Cost)^B21)</f>
        <v>0.93240093240093236</v>
      </c>
      <c r="L21" s="281">
        <f t="shared" ref="L21:L50" si="4">I21*K21</f>
        <v>229792.83489212763</v>
      </c>
    </row>
    <row r="22" spans="1:21">
      <c r="A22" s="306" t="str">
        <f t="shared" si="0"/>
        <v>I</v>
      </c>
      <c r="B22" s="117">
        <v>2</v>
      </c>
      <c r="C22" s="281">
        <f t="shared" ref="C22:C50" si="5">IF(A22="",0,C21*(1+D22))</f>
        <v>8922519.3285286743</v>
      </c>
      <c r="D22" s="303">
        <f t="shared" si="1"/>
        <v>2.0459999999999999E-2</v>
      </c>
      <c r="E22" s="303">
        <f t="shared" ref="E22:E50" si="6">IF($C$15&lt;B22,0,IF(B22&gt;=$F$15,$F$17,$C$17))</f>
        <v>0.89500000000000002</v>
      </c>
      <c r="F22" s="281">
        <f t="shared" ref="F22:F50" si="7">IF(A22="",0,F21*(1+D22))</f>
        <v>-514934.6540659187</v>
      </c>
      <c r="G22" s="281">
        <f t="shared" ref="G22:G50" si="8">IF(A22="", 0,C22*(1-E22)+F22+$I$6)</f>
        <v>339558.06236700859</v>
      </c>
      <c r="H22" s="303">
        <f t="shared" si="2"/>
        <v>0</v>
      </c>
      <c r="I22" s="281">
        <f>IF(A22="", 0,G22*(1-$I$10)+C22*(H22-$I$9))</f>
        <v>252902.48831687946</v>
      </c>
      <c r="J22" s="303">
        <f>IF(A22="", 0,I22/I21-1)</f>
        <v>2.6170011018270767E-2</v>
      </c>
      <c r="K22" s="119">
        <f t="shared" si="3"/>
        <v>0.86937149874212816</v>
      </c>
      <c r="L22" s="281">
        <f t="shared" si="4"/>
        <v>219866.21530365906</v>
      </c>
    </row>
    <row r="23" spans="1:21">
      <c r="A23" s="306" t="str">
        <f t="shared" si="0"/>
        <v>I</v>
      </c>
      <c r="B23" s="117">
        <v>3</v>
      </c>
      <c r="C23" s="281">
        <f t="shared" si="5"/>
        <v>9105074.0739903711</v>
      </c>
      <c r="D23" s="303">
        <f t="shared" si="1"/>
        <v>2.0459999999999999E-2</v>
      </c>
      <c r="E23" s="303">
        <f t="shared" si="6"/>
        <v>0.89500000000000002</v>
      </c>
      <c r="F23" s="281">
        <f t="shared" si="7"/>
        <v>-525470.21708810737</v>
      </c>
      <c r="G23" s="281">
        <f t="shared" si="8"/>
        <v>348190.74761829805</v>
      </c>
      <c r="H23" s="303">
        <f t="shared" si="2"/>
        <v>0</v>
      </c>
      <c r="I23" s="281">
        <f t="shared" ref="I23:I50" si="9">IF(A23="", 0,G23*(1-$I$10)+C23*(H23-$I$9))</f>
        <v>259484.12151938528</v>
      </c>
      <c r="J23" s="303">
        <f t="shared" ref="J23:J50" si="10">IF(A23="", 0,I23/I22-1)</f>
        <v>2.602439084845698E-2</v>
      </c>
      <c r="K23" s="119">
        <f t="shared" si="3"/>
        <v>0.81060279602995633</v>
      </c>
      <c r="L23" s="281">
        <f t="shared" si="4"/>
        <v>210338.55442899067</v>
      </c>
      <c r="N23" s="279"/>
      <c r="O23" s="279"/>
      <c r="P23" s="279"/>
      <c r="Q23" s="279"/>
      <c r="R23" s="279"/>
      <c r="S23" s="279"/>
      <c r="T23" s="279"/>
      <c r="U23" s="279"/>
    </row>
    <row r="24" spans="1:21">
      <c r="A24" s="306" t="str">
        <f t="shared" si="0"/>
        <v>I</v>
      </c>
      <c r="B24" s="117">
        <v>4</v>
      </c>
      <c r="C24" s="281">
        <f t="shared" si="5"/>
        <v>9291363.8895442132</v>
      </c>
      <c r="D24" s="303">
        <f t="shared" si="1"/>
        <v>2.0459999999999999E-2</v>
      </c>
      <c r="E24" s="303">
        <f t="shared" si="6"/>
        <v>0.89500000000000002</v>
      </c>
      <c r="F24" s="281">
        <f t="shared" si="7"/>
        <v>-536221.33772973006</v>
      </c>
      <c r="G24" s="281">
        <f t="shared" si="8"/>
        <v>357000.05760982889</v>
      </c>
      <c r="H24" s="303">
        <f t="shared" si="2"/>
        <v>0</v>
      </c>
      <c r="I24" s="281">
        <f t="shared" si="9"/>
        <v>266200.41493721434</v>
      </c>
      <c r="J24" s="303">
        <f t="shared" si="10"/>
        <v>2.5883253967535325E-2</v>
      </c>
      <c r="K24" s="119">
        <f t="shared" si="3"/>
        <v>0.75580680282513402</v>
      </c>
      <c r="L24" s="281">
        <f t="shared" si="4"/>
        <v>201196.08452442003</v>
      </c>
      <c r="N24" s="279"/>
      <c r="O24" s="279"/>
      <c r="P24" s="279"/>
      <c r="Q24" s="279"/>
      <c r="R24" s="279"/>
      <c r="S24" s="279"/>
      <c r="T24" s="279"/>
      <c r="U24" s="279"/>
    </row>
    <row r="25" spans="1:21">
      <c r="A25" s="306" t="str">
        <f t="shared" si="0"/>
        <v>I</v>
      </c>
      <c r="B25" s="117">
        <v>5</v>
      </c>
      <c r="C25" s="281">
        <f t="shared" si="5"/>
        <v>9481465.1947242878</v>
      </c>
      <c r="D25" s="303">
        <f t="shared" si="1"/>
        <v>2.0459999999999999E-2</v>
      </c>
      <c r="E25" s="303">
        <f t="shared" si="6"/>
        <v>0.89500000000000002</v>
      </c>
      <c r="F25" s="281">
        <f t="shared" si="7"/>
        <v>-547192.42629968026</v>
      </c>
      <c r="G25" s="281">
        <f t="shared" si="8"/>
        <v>365989.60608378646</v>
      </c>
      <c r="H25" s="303">
        <f t="shared" si="2"/>
        <v>0</v>
      </c>
      <c r="I25" s="281">
        <f t="shared" si="9"/>
        <v>273054.12371837226</v>
      </c>
      <c r="J25" s="303">
        <f t="shared" si="10"/>
        <v>2.5746424109723609E-2</v>
      </c>
      <c r="K25" s="119">
        <f t="shared" si="3"/>
        <v>0.70471496766912267</v>
      </c>
      <c r="L25" s="281">
        <f t="shared" si="4"/>
        <v>192425.32796811333</v>
      </c>
      <c r="N25" s="279"/>
      <c r="O25" s="279"/>
      <c r="P25" s="279"/>
      <c r="Q25" s="279"/>
      <c r="R25" s="279"/>
      <c r="S25" s="279"/>
      <c r="T25" s="279"/>
      <c r="U25" s="279"/>
    </row>
    <row r="26" spans="1:21">
      <c r="A26" s="306" t="str">
        <f t="shared" si="0"/>
        <v>I</v>
      </c>
      <c r="B26" s="117">
        <v>6</v>
      </c>
      <c r="C26" s="281">
        <f t="shared" si="5"/>
        <v>9675455.9726083465</v>
      </c>
      <c r="D26" s="303">
        <f t="shared" si="1"/>
        <v>2.0459999999999999E-2</v>
      </c>
      <c r="E26" s="303">
        <f t="shared" si="6"/>
        <v>0.89500000000000002</v>
      </c>
      <c r="F26" s="281">
        <f t="shared" si="7"/>
        <v>-558387.98334177164</v>
      </c>
      <c r="G26" s="281">
        <f t="shared" si="8"/>
        <v>375163.08071952127</v>
      </c>
      <c r="H26" s="303">
        <f t="shared" si="2"/>
        <v>0</v>
      </c>
      <c r="I26" s="281">
        <f t="shared" si="9"/>
        <v>280048.05938119272</v>
      </c>
      <c r="J26" s="303">
        <f t="shared" si="10"/>
        <v>2.5613733891211909E-2</v>
      </c>
      <c r="K26" s="119">
        <f t="shared" si="3"/>
        <v>0.65707689293158289</v>
      </c>
      <c r="L26" s="281">
        <f t="shared" si="4"/>
        <v>184013.10872971354</v>
      </c>
    </row>
    <row r="27" spans="1:21">
      <c r="A27" s="306" t="str">
        <f t="shared" si="0"/>
        <v>I</v>
      </c>
      <c r="B27" s="117">
        <v>7</v>
      </c>
      <c r="C27" s="281">
        <f t="shared" si="5"/>
        <v>9873415.8018079121</v>
      </c>
      <c r="D27" s="303">
        <f t="shared" si="1"/>
        <v>2.0459999999999999E-2</v>
      </c>
      <c r="E27" s="303">
        <f t="shared" si="6"/>
        <v>0.89500000000000002</v>
      </c>
      <c r="F27" s="281">
        <f t="shared" si="7"/>
        <v>-569812.6014809442</v>
      </c>
      <c r="G27" s="281">
        <f t="shared" si="8"/>
        <v>384524.24464630301</v>
      </c>
      <c r="H27" s="303">
        <f t="shared" si="2"/>
        <v>0</v>
      </c>
      <c r="I27" s="281">
        <f t="shared" si="9"/>
        <v>287185.09096767433</v>
      </c>
      <c r="J27" s="303">
        <f t="shared" si="10"/>
        <v>2.5485024257093425E-2</v>
      </c>
      <c r="K27" s="119">
        <f t="shared" si="3"/>
        <v>0.61265910762851561</v>
      </c>
      <c r="L27" s="281">
        <f t="shared" si="4"/>
        <v>175946.56155646945</v>
      </c>
    </row>
    <row r="28" spans="1:21">
      <c r="A28" s="306" t="str">
        <f t="shared" si="0"/>
        <v>II</v>
      </c>
      <c r="B28" s="117">
        <v>8</v>
      </c>
      <c r="C28" s="281">
        <f t="shared" si="5"/>
        <v>10075425.889112901</v>
      </c>
      <c r="D28" s="303">
        <f t="shared" si="1"/>
        <v>2.0459999999999999E-2</v>
      </c>
      <c r="E28" s="303">
        <f t="shared" si="6"/>
        <v>0.875</v>
      </c>
      <c r="F28" s="281">
        <f t="shared" si="7"/>
        <v>-581470.96730724431</v>
      </c>
      <c r="G28" s="281">
        <f t="shared" si="8"/>
        <v>595585.45576928498</v>
      </c>
      <c r="H28" s="303">
        <f t="shared" si="2"/>
        <v>0</v>
      </c>
      <c r="I28" s="281">
        <f t="shared" si="9"/>
        <v>462727.75856860098</v>
      </c>
      <c r="J28" s="303">
        <f t="shared" si="10"/>
        <v>0.6112527186193164</v>
      </c>
      <c r="K28" s="119">
        <f t="shared" si="3"/>
        <v>0.5712439231967511</v>
      </c>
      <c r="L28" s="281">
        <f t="shared" si="4"/>
        <v>264330.4201767667</v>
      </c>
    </row>
    <row r="29" spans="1:21">
      <c r="A29" s="306" t="str">
        <f t="shared" si="0"/>
        <v>II</v>
      </c>
      <c r="B29" s="117">
        <v>9</v>
      </c>
      <c r="C29" s="281">
        <f t="shared" si="5"/>
        <v>10281569.10280415</v>
      </c>
      <c r="D29" s="303">
        <f t="shared" si="1"/>
        <v>2.0459999999999999E-2</v>
      </c>
      <c r="E29" s="303">
        <f t="shared" si="6"/>
        <v>0.875</v>
      </c>
      <c r="F29" s="281">
        <f t="shared" si="7"/>
        <v>-593367.86329835048</v>
      </c>
      <c r="G29" s="281">
        <f t="shared" si="8"/>
        <v>609456.461489585</v>
      </c>
      <c r="H29" s="303">
        <f t="shared" si="2"/>
        <v>0</v>
      </c>
      <c r="I29" s="281">
        <f t="shared" si="9"/>
        <v>473602.41680045705</v>
      </c>
      <c r="J29" s="303">
        <f t="shared" si="10"/>
        <v>2.3501201366210811E-2</v>
      </c>
      <c r="K29" s="119">
        <f t="shared" si="3"/>
        <v>0.53262836661701729</v>
      </c>
      <c r="L29" s="281">
        <f t="shared" si="4"/>
        <v>252254.08168629927</v>
      </c>
    </row>
    <row r="30" spans="1:21">
      <c r="A30" s="306" t="str">
        <f t="shared" si="0"/>
        <v>II</v>
      </c>
      <c r="B30" s="117">
        <v>10</v>
      </c>
      <c r="C30" s="281">
        <f t="shared" si="5"/>
        <v>10491930.006647522</v>
      </c>
      <c r="D30" s="303">
        <f t="shared" si="1"/>
        <v>2.0459999999999999E-2</v>
      </c>
      <c r="E30" s="303">
        <f t="shared" si="6"/>
        <v>0.875</v>
      </c>
      <c r="F30" s="281">
        <f t="shared" si="7"/>
        <v>-605508.1697814347</v>
      </c>
      <c r="G30" s="281">
        <f t="shared" si="8"/>
        <v>623611.26798692218</v>
      </c>
      <c r="H30" s="303">
        <f t="shared" si="2"/>
        <v>0</v>
      </c>
      <c r="I30" s="281">
        <f t="shared" si="9"/>
        <v>484699.57053973671</v>
      </c>
      <c r="J30" s="303">
        <f t="shared" si="10"/>
        <v>2.3431370587695399E-2</v>
      </c>
      <c r="K30" s="119">
        <f t="shared" si="3"/>
        <v>0.49662318565689262</v>
      </c>
      <c r="L30" s="281">
        <f t="shared" si="4"/>
        <v>240713.04480797178</v>
      </c>
    </row>
    <row r="31" spans="1:21">
      <c r="A31" s="306" t="str">
        <f t="shared" si="0"/>
        <v>II</v>
      </c>
      <c r="B31" s="117">
        <v>11</v>
      </c>
      <c r="C31" s="281">
        <f t="shared" si="5"/>
        <v>10706594.894583529</v>
      </c>
      <c r="D31" s="303">
        <f t="shared" si="1"/>
        <v>2.0459999999999999E-2</v>
      </c>
      <c r="E31" s="303">
        <f t="shared" si="6"/>
        <v>0.875</v>
      </c>
      <c r="F31" s="281">
        <f t="shared" si="7"/>
        <v>-617896.86693516281</v>
      </c>
      <c r="G31" s="281">
        <f t="shared" si="8"/>
        <v>638055.68182519497</v>
      </c>
      <c r="H31" s="303">
        <f t="shared" si="2"/>
        <v>0</v>
      </c>
      <c r="I31" s="281">
        <f t="shared" si="9"/>
        <v>496023.77204452216</v>
      </c>
      <c r="J31" s="303">
        <f t="shared" si="10"/>
        <v>2.3363341321254838E-2</v>
      </c>
      <c r="K31" s="119">
        <f t="shared" si="3"/>
        <v>0.46305192135840806</v>
      </c>
      <c r="L31" s="281">
        <f t="shared" si="4"/>
        <v>229684.76068466101</v>
      </c>
    </row>
    <row r="32" spans="1:21">
      <c r="A32" s="306" t="str">
        <f t="shared" si="0"/>
        <v>II</v>
      </c>
      <c r="B32" s="117">
        <v>12</v>
      </c>
      <c r="C32" s="281">
        <f t="shared" si="5"/>
        <v>10925651.826126708</v>
      </c>
      <c r="D32" s="303">
        <f t="shared" si="1"/>
        <v>2.0459999999999999E-2</v>
      </c>
      <c r="E32" s="303">
        <f t="shared" si="6"/>
        <v>0.875</v>
      </c>
      <c r="F32" s="281">
        <f t="shared" si="7"/>
        <v>-630539.03683265625</v>
      </c>
      <c r="G32" s="281">
        <f t="shared" si="8"/>
        <v>652795.62837059889</v>
      </c>
      <c r="H32" s="303">
        <f t="shared" si="2"/>
        <v>0</v>
      </c>
      <c r="I32" s="281">
        <f t="shared" si="9"/>
        <v>507579.6667120955</v>
      </c>
      <c r="J32" s="303">
        <f t="shared" si="10"/>
        <v>2.3297058163043172E-2</v>
      </c>
      <c r="K32" s="119">
        <f t="shared" si="3"/>
        <v>0.43175004322462285</v>
      </c>
      <c r="L32" s="281">
        <f t="shared" si="4"/>
        <v>219147.54304288689</v>
      </c>
    </row>
    <row r="33" spans="1:21">
      <c r="A33" s="306" t="str">
        <f t="shared" si="0"/>
        <v>II</v>
      </c>
      <c r="B33" s="117">
        <v>13</v>
      </c>
      <c r="C33" s="281">
        <f t="shared" si="5"/>
        <v>11149190.66248926</v>
      </c>
      <c r="D33" s="303">
        <f t="shared" si="1"/>
        <v>2.0459999999999999E-2</v>
      </c>
      <c r="E33" s="303">
        <f t="shared" si="6"/>
        <v>0.875</v>
      </c>
      <c r="F33" s="281">
        <f t="shared" si="7"/>
        <v>-643439.86552625231</v>
      </c>
      <c r="G33" s="281">
        <f t="shared" si="8"/>
        <v>667837.15422232181</v>
      </c>
      <c r="H33" s="303">
        <f t="shared" si="2"/>
        <v>0</v>
      </c>
      <c r="I33" s="281">
        <f t="shared" si="9"/>
        <v>519371.99498456746</v>
      </c>
      <c r="J33" s="303">
        <f t="shared" si="10"/>
        <v>2.3232467819008784E-2</v>
      </c>
      <c r="K33" s="119">
        <f t="shared" si="3"/>
        <v>0.40256414286678116</v>
      </c>
      <c r="L33" s="281">
        <f t="shared" si="4"/>
        <v>209080.54198997255</v>
      </c>
      <c r="N33" s="279"/>
      <c r="O33" s="279"/>
      <c r="P33" s="279"/>
      <c r="Q33" s="279"/>
      <c r="R33" s="279"/>
      <c r="S33" s="279"/>
      <c r="T33" s="279"/>
      <c r="U33" s="279"/>
    </row>
    <row r="34" spans="1:21">
      <c r="A34" s="306" t="str">
        <f t="shared" si="0"/>
        <v>II</v>
      </c>
      <c r="B34" s="117">
        <v>14</v>
      </c>
      <c r="C34" s="281">
        <f t="shared" si="5"/>
        <v>11377303.103443788</v>
      </c>
      <c r="D34" s="303">
        <f t="shared" si="1"/>
        <v>2.0459999999999999E-2</v>
      </c>
      <c r="E34" s="303">
        <f t="shared" si="6"/>
        <v>0.875</v>
      </c>
      <c r="F34" s="281">
        <f t="shared" si="7"/>
        <v>-656604.64517491939</v>
      </c>
      <c r="G34" s="281">
        <f t="shared" si="8"/>
        <v>683186.42969297082</v>
      </c>
      <c r="H34" s="303">
        <f t="shared" si="2"/>
        <v>0</v>
      </c>
      <c r="I34" s="281">
        <f t="shared" si="9"/>
        <v>531405.59429349413</v>
      </c>
      <c r="J34" s="303">
        <f t="shared" si="10"/>
        <v>2.3169519005899142E-2</v>
      </c>
      <c r="K34" s="119">
        <f t="shared" si="3"/>
        <v>0.37535118216016894</v>
      </c>
      <c r="L34" s="281">
        <f t="shared" si="4"/>
        <v>199463.71802459014</v>
      </c>
      <c r="N34" s="279"/>
      <c r="O34" s="279"/>
      <c r="P34" s="279"/>
      <c r="Q34" s="279"/>
      <c r="R34" s="279"/>
      <c r="S34" s="279"/>
      <c r="T34" s="279"/>
      <c r="U34" s="279"/>
    </row>
    <row r="35" spans="1:21">
      <c r="A35" s="306" t="str">
        <f t="shared" si="0"/>
        <v>II</v>
      </c>
      <c r="B35" s="117">
        <v>15</v>
      </c>
      <c r="C35" s="281">
        <f t="shared" si="5"/>
        <v>11610082.724940248</v>
      </c>
      <c r="D35" s="303">
        <f t="shared" si="1"/>
        <v>2.0459999999999999E-2</v>
      </c>
      <c r="E35" s="303">
        <f t="shared" si="6"/>
        <v>0.875</v>
      </c>
      <c r="F35" s="281">
        <f t="shared" si="7"/>
        <v>-670038.77621519822</v>
      </c>
      <c r="G35" s="281">
        <f t="shared" si="8"/>
        <v>698849.75133974943</v>
      </c>
      <c r="H35" s="303">
        <f t="shared" si="2"/>
        <v>0</v>
      </c>
      <c r="I35" s="281">
        <f t="shared" si="9"/>
        <v>543685.40104428143</v>
      </c>
      <c r="J35" s="303">
        <f t="shared" si="10"/>
        <v>2.3108162357818873E-2</v>
      </c>
      <c r="K35" s="119">
        <f t="shared" si="3"/>
        <v>0.34997779222393377</v>
      </c>
      <c r="L35" s="281">
        <f t="shared" si="4"/>
        <v>190277.81632186164</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11610082.724940248</v>
      </c>
      <c r="D51" s="305">
        <f>Terminal_Growth</f>
        <v>0</v>
      </c>
      <c r="E51" s="305">
        <f>F17</f>
        <v>0.875</v>
      </c>
      <c r="F51" s="281">
        <f>VLOOKUP(C15,B21:F50,5,FALSE)*(1+Terminal_Growth)</f>
        <v>-670038.77621519822</v>
      </c>
      <c r="G51" s="281">
        <f>C51*(1-E51)+F51+$I$6</f>
        <v>698849.75133974943</v>
      </c>
      <c r="H51" s="303">
        <f>F18</f>
        <v>0</v>
      </c>
      <c r="I51" s="281">
        <f>(G51*(1-$I$10)+C51*(H51-$I$9))/Equity_Cost</f>
        <v>7499108.9799211239</v>
      </c>
      <c r="J51" s="419">
        <f>(G51*(1-$I$10)+C51*(H51-$I$9))/VLOOKUP(C15,B21:I50,8,FALSE)-1</f>
        <v>0</v>
      </c>
      <c r="K51" s="119">
        <f>1/(1+Equity_Cost)^C15</f>
        <v>0.34997779222393377</v>
      </c>
      <c r="L51" s="281">
        <f>I51*K51</f>
        <v>2624521.6044394709</v>
      </c>
    </row>
    <row r="52" spans="1:21" ht="13.15">
      <c r="G52" s="111"/>
      <c r="H52" s="111"/>
      <c r="I52" s="111"/>
      <c r="J52" s="464" t="s">
        <v>423</v>
      </c>
      <c r="K52" s="464"/>
      <c r="L52" s="321">
        <f>SUM(L21:L51)</f>
        <v>5843052.2185779745</v>
      </c>
    </row>
    <row r="53" spans="1:21">
      <c r="C53" s="111"/>
    </row>
    <row r="54" spans="1:21" ht="13.15">
      <c r="B54" s="115" t="s">
        <v>108</v>
      </c>
      <c r="C54" s="128"/>
      <c r="D54" s="128"/>
      <c r="E54" s="113"/>
      <c r="F54" s="113"/>
      <c r="G54" s="113"/>
      <c r="H54" s="113"/>
      <c r="I54" s="113"/>
      <c r="J54" s="113"/>
      <c r="K54" s="113"/>
      <c r="L54" s="113"/>
    </row>
    <row r="55" spans="1:21" ht="13.15">
      <c r="A55" s="125">
        <f>L52</f>
        <v>5843052.2185779745</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5152421.2406797744</v>
      </c>
      <c r="C56" s="118">
        <v>5213432.4136255039</v>
      </c>
      <c r="D56" s="118">
        <v>5274443.5865712333</v>
      </c>
      <c r="E56" s="118">
        <v>5335454.7595169619</v>
      </c>
      <c r="F56" s="118">
        <v>5396465.9324626932</v>
      </c>
      <c r="G56" s="299"/>
      <c r="H56" s="299"/>
      <c r="I56" s="299"/>
      <c r="J56" s="299"/>
      <c r="K56" s="299"/>
      <c r="L56" s="299"/>
    </row>
    <row r="57" spans="1:21" ht="13.15">
      <c r="A57" s="131">
        <v>2</v>
      </c>
      <c r="B57" s="118">
        <v>5152421.2406797744</v>
      </c>
      <c r="C57" s="118">
        <v>5272144.5882757418</v>
      </c>
      <c r="D57" s="118">
        <v>5393030.5531915175</v>
      </c>
      <c r="E57" s="118">
        <v>5515079.1354270997</v>
      </c>
      <c r="F57" s="118">
        <v>5638290.3349824846</v>
      </c>
      <c r="G57" s="299"/>
      <c r="H57" s="299"/>
      <c r="I57" s="299"/>
      <c r="J57" s="299"/>
      <c r="K57" s="299"/>
      <c r="L57" s="299"/>
    </row>
    <row r="58" spans="1:21" ht="13.15">
      <c r="A58" s="131">
        <v>3</v>
      </c>
      <c r="B58" s="118">
        <v>5152421.2406797744</v>
      </c>
      <c r="C58" s="118">
        <v>5327435.3075267831</v>
      </c>
      <c r="D58" s="118">
        <v>5505812.5634038141</v>
      </c>
      <c r="E58" s="118">
        <v>5687585.52907506</v>
      </c>
      <c r="F58" s="118">
        <v>5872786.7253047088</v>
      </c>
      <c r="G58" s="299"/>
      <c r="H58" s="299"/>
      <c r="I58" s="299"/>
      <c r="J58" s="299"/>
      <c r="K58" s="299"/>
      <c r="L58" s="299"/>
    </row>
    <row r="59" spans="1:21" ht="13.15">
      <c r="A59" s="131">
        <v>4</v>
      </c>
      <c r="B59" s="118">
        <v>5152421.2406797735</v>
      </c>
      <c r="C59" s="118">
        <v>5379503.9568913989</v>
      </c>
      <c r="D59" s="118">
        <v>5613073.7759134136</v>
      </c>
      <c r="E59" s="118">
        <v>5853256.0050260155</v>
      </c>
      <c r="F59" s="118">
        <v>6100177.1644050479</v>
      </c>
      <c r="G59" s="299"/>
      <c r="H59" s="299"/>
      <c r="I59" s="299"/>
      <c r="J59" s="299"/>
      <c r="K59" s="299"/>
      <c r="L59" s="299"/>
    </row>
    <row r="60" spans="1:21" ht="13.15">
      <c r="A60" s="131">
        <v>5</v>
      </c>
      <c r="B60" s="118">
        <v>5028022.0957935797</v>
      </c>
      <c r="C60" s="118">
        <v>5301638.7349815816</v>
      </c>
      <c r="D60" s="118">
        <v>5585659.569219308</v>
      </c>
      <c r="E60" s="118">
        <v>5880386.3976516714</v>
      </c>
      <c r="F60" s="118">
        <v>6186126.8690298013</v>
      </c>
      <c r="G60" s="299"/>
      <c r="H60" s="299"/>
      <c r="I60" s="299"/>
      <c r="J60" s="299"/>
      <c r="K60" s="299"/>
      <c r="L60" s="299"/>
    </row>
    <row r="61" spans="1:21" ht="13.15">
      <c r="A61" s="131">
        <v>6</v>
      </c>
      <c r="B61" s="118">
        <v>5028022.0957935788</v>
      </c>
      <c r="C61" s="118">
        <v>5347815.6014118623</v>
      </c>
      <c r="D61" s="118">
        <v>5682676.7038751598</v>
      </c>
      <c r="E61" s="118">
        <v>6033186.9652959406</v>
      </c>
      <c r="F61" s="118">
        <v>6399944.8760442622</v>
      </c>
      <c r="G61" s="299"/>
      <c r="H61" s="299"/>
      <c r="I61" s="299"/>
      <c r="J61" s="299"/>
      <c r="K61" s="299"/>
      <c r="L61" s="299"/>
    </row>
    <row r="62" spans="1:21" ht="13.15">
      <c r="A62" s="131">
        <v>7</v>
      </c>
      <c r="B62" s="118">
        <v>4912032.2171118138</v>
      </c>
      <c r="C62" s="118">
        <v>5271797.0202642567</v>
      </c>
      <c r="D62" s="118">
        <v>5651855.3608472636</v>
      </c>
      <c r="E62" s="118">
        <v>6053187.2266288484</v>
      </c>
      <c r="F62" s="118">
        <v>6476810.7106193425</v>
      </c>
      <c r="G62" s="299"/>
      <c r="H62" s="299"/>
      <c r="I62" s="299"/>
      <c r="J62" s="299"/>
      <c r="K62" s="299"/>
      <c r="L62" s="299"/>
    </row>
    <row r="63" spans="1:21" ht="13.15">
      <c r="A63" s="131">
        <v>8</v>
      </c>
      <c r="B63" s="118">
        <v>4912032.2171118138</v>
      </c>
      <c r="C63" s="118">
        <v>5312748.7833566358</v>
      </c>
      <c r="D63" s="118">
        <v>5739606.7874497697</v>
      </c>
      <c r="E63" s="118">
        <v>6194117.6690531392</v>
      </c>
      <c r="F63" s="118">
        <v>6677866.3939828016</v>
      </c>
      <c r="G63" s="299"/>
      <c r="H63" s="299"/>
      <c r="I63" s="299"/>
      <c r="J63" s="299"/>
      <c r="K63" s="299"/>
      <c r="L63" s="299"/>
    </row>
    <row r="64" spans="1:21" ht="13.15">
      <c r="A64" s="131">
        <v>9</v>
      </c>
      <c r="B64" s="118">
        <v>4803883.1460798644</v>
      </c>
      <c r="C64" s="118">
        <v>5238773.7230747174</v>
      </c>
      <c r="D64" s="118">
        <v>5705998.6571140243</v>
      </c>
      <c r="E64" s="118">
        <v>6207740.7230110513</v>
      </c>
      <c r="F64" s="118">
        <v>6746310.364377927</v>
      </c>
      <c r="G64" s="299"/>
      <c r="H64" s="299"/>
      <c r="I64" s="299"/>
      <c r="J64" s="299"/>
      <c r="K64" s="299"/>
      <c r="L64" s="299"/>
    </row>
    <row r="65" spans="1:21" ht="13.15">
      <c r="A65" s="131">
        <v>10</v>
      </c>
      <c r="B65" s="118">
        <v>4803883.1460798644</v>
      </c>
      <c r="C65" s="118">
        <v>5275091.6248731539</v>
      </c>
      <c r="D65" s="118">
        <v>5785369.305382398</v>
      </c>
      <c r="E65" s="118">
        <v>6337723.1563757304</v>
      </c>
      <c r="F65" s="118">
        <v>6935365.478945585</v>
      </c>
      <c r="G65" s="299"/>
      <c r="H65" s="299"/>
      <c r="I65" s="299"/>
      <c r="J65" s="299"/>
      <c r="K65" s="299"/>
      <c r="L65" s="299"/>
    </row>
    <row r="66" spans="1:21" ht="13.15">
      <c r="A66" s="131">
        <v>15</v>
      </c>
      <c r="B66" s="118">
        <v>4521357.1920742244</v>
      </c>
      <c r="C66" s="281">
        <v>5127518.3294586586</v>
      </c>
      <c r="D66" s="118">
        <v>5809692.2687763385</v>
      </c>
      <c r="E66" s="118">
        <v>6577351.7380189486</v>
      </c>
      <c r="F66" s="118">
        <v>7441085.966110982</v>
      </c>
      <c r="G66" s="299"/>
      <c r="H66" s="299"/>
      <c r="I66" s="299"/>
      <c r="J66" s="299"/>
      <c r="K66" s="299"/>
      <c r="L66" s="299"/>
      <c r="M66" s="279"/>
      <c r="N66" s="279"/>
      <c r="O66" s="279"/>
      <c r="P66" s="279"/>
      <c r="Q66" s="279"/>
      <c r="R66" s="279"/>
      <c r="S66" s="279"/>
      <c r="T66" s="279"/>
      <c r="U66" s="279"/>
    </row>
    <row r="67" spans="1:21" ht="13.15">
      <c r="A67" s="132">
        <v>20</v>
      </c>
      <c r="B67" s="118">
        <v>4363403.1193733318</v>
      </c>
      <c r="C67" s="281">
        <v>5068383.5557760121</v>
      </c>
      <c r="D67" s="118">
        <v>5889122.7042059544</v>
      </c>
      <c r="E67" s="118">
        <v>6845432.1045091068</v>
      </c>
      <c r="F67" s="118">
        <v>7960446.5993619226</v>
      </c>
      <c r="G67" s="299"/>
      <c r="H67" s="299"/>
      <c r="I67" s="299"/>
      <c r="J67" s="299"/>
      <c r="K67" s="299"/>
      <c r="L67" s="299"/>
      <c r="M67" s="279"/>
      <c r="N67" s="279"/>
      <c r="O67" s="279"/>
      <c r="P67" s="279"/>
      <c r="Q67" s="279"/>
      <c r="R67" s="279"/>
      <c r="S67" s="279"/>
      <c r="T67" s="279"/>
      <c r="U67" s="279"/>
    </row>
    <row r="68" spans="1:21" ht="13.15">
      <c r="A68" s="132">
        <v>25</v>
      </c>
      <c r="B68" s="118">
        <v>4164302.8508305587</v>
      </c>
      <c r="C68" s="281">
        <v>4929845.8768812008</v>
      </c>
      <c r="D68" s="118">
        <v>5848948.8507080749</v>
      </c>
      <c r="E68" s="118">
        <v>6954973.1707894234</v>
      </c>
      <c r="F68" s="118">
        <v>8288561.4916287391</v>
      </c>
      <c r="G68" s="299"/>
      <c r="H68" s="299"/>
      <c r="I68" s="299"/>
      <c r="J68" s="299"/>
      <c r="K68" s="299"/>
      <c r="L68" s="299"/>
      <c r="M68" s="279"/>
      <c r="N68" s="279"/>
      <c r="O68" s="279"/>
      <c r="P68" s="279"/>
      <c r="Q68" s="279"/>
      <c r="R68" s="279"/>
      <c r="S68" s="279"/>
      <c r="T68" s="279"/>
      <c r="U68" s="279"/>
    </row>
    <row r="69" spans="1:21" ht="13.15">
      <c r="A69" s="132">
        <v>30</v>
      </c>
      <c r="B69" s="118">
        <v>4052990.2515939437</v>
      </c>
      <c r="C69" s="281">
        <v>4864393.201212097</v>
      </c>
      <c r="D69" s="118">
        <v>5864768.2585821096</v>
      </c>
      <c r="E69" s="118">
        <v>7103541.0266343821</v>
      </c>
      <c r="F69" s="118">
        <v>8643414.4262850098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2.782338114810293</v>
      </c>
      <c r="C73" s="119">
        <f>C11</f>
        <v>2.782338114810293</v>
      </c>
      <c r="D73" s="119">
        <f>C11</f>
        <v>2.782338114810293</v>
      </c>
      <c r="E73" s="119">
        <f>C11</f>
        <v>2.782338114810293</v>
      </c>
      <c r="F73" s="119">
        <f>C11</f>
        <v>2.782338114810293</v>
      </c>
      <c r="G73" s="300"/>
      <c r="H73" s="300"/>
      <c r="I73" s="300"/>
      <c r="J73" s="300"/>
      <c r="K73" s="300"/>
      <c r="L73" s="300"/>
    </row>
    <row r="74" spans="1:21" ht="13.15">
      <c r="A74" s="131">
        <v>1</v>
      </c>
      <c r="B74" s="119">
        <f t="shared" ref="B74:F87" si="11">(B56+FV_adjustments)/Common_Shares*scaling_factor*Exchange_Rate</f>
        <v>5.9551598789281304</v>
      </c>
      <c r="C74" s="119">
        <f t="shared" si="11"/>
        <v>6.060350824980965</v>
      </c>
      <c r="D74" s="119">
        <f t="shared" si="11"/>
        <v>6.1655417710337996</v>
      </c>
      <c r="E74" s="119">
        <f t="shared" si="11"/>
        <v>6.2707327170866325</v>
      </c>
      <c r="F74" s="119">
        <f t="shared" si="11"/>
        <v>6.3759236631394707</v>
      </c>
      <c r="G74" s="300"/>
      <c r="H74" s="300"/>
      <c r="I74" s="300"/>
      <c r="J74" s="300"/>
      <c r="K74" s="300"/>
      <c r="L74" s="300"/>
    </row>
    <row r="75" spans="1:21" ht="13.15">
      <c r="A75" s="131">
        <v>2</v>
      </c>
      <c r="B75" s="119">
        <f t="shared" si="11"/>
        <v>5.9551598789281304</v>
      </c>
      <c r="C75" s="119">
        <f t="shared" si="11"/>
        <v>6.1615780084309772</v>
      </c>
      <c r="D75" s="119">
        <f t="shared" si="11"/>
        <v>6.3700006366160054</v>
      </c>
      <c r="E75" s="119">
        <f t="shared" si="11"/>
        <v>6.5804277634832111</v>
      </c>
      <c r="F75" s="119">
        <f t="shared" si="11"/>
        <v>6.7928593890325892</v>
      </c>
      <c r="G75" s="300"/>
      <c r="H75" s="300"/>
      <c r="I75" s="300"/>
      <c r="J75" s="300"/>
      <c r="K75" s="300"/>
      <c r="L75" s="300"/>
    </row>
    <row r="76" spans="1:21" ht="13.15">
      <c r="A76" s="131">
        <v>3</v>
      </c>
      <c r="B76" s="119">
        <f t="shared" si="11"/>
        <v>5.9551598789281304</v>
      </c>
      <c r="C76" s="119">
        <f t="shared" si="11"/>
        <v>6.2569061718664223</v>
      </c>
      <c r="D76" s="119">
        <f t="shared" si="11"/>
        <v>6.5644510262606177</v>
      </c>
      <c r="E76" s="119">
        <f t="shared" si="11"/>
        <v>6.8778505120039277</v>
      </c>
      <c r="F76" s="119">
        <f t="shared" si="11"/>
        <v>7.1971606989895562</v>
      </c>
      <c r="G76" s="300"/>
      <c r="H76" s="300"/>
      <c r="I76" s="300"/>
      <c r="J76" s="300"/>
      <c r="K76" s="300"/>
      <c r="L76" s="300"/>
    </row>
    <row r="77" spans="1:21" ht="13.15">
      <c r="A77" s="131">
        <v>4</v>
      </c>
      <c r="B77" s="119">
        <f t="shared" si="11"/>
        <v>5.9551598789281286</v>
      </c>
      <c r="C77" s="119">
        <f t="shared" si="11"/>
        <v>6.346679081022411</v>
      </c>
      <c r="D77" s="119">
        <f t="shared" si="11"/>
        <v>6.7493828653631907</v>
      </c>
      <c r="E77" s="119">
        <f t="shared" si="11"/>
        <v>7.163487277483032</v>
      </c>
      <c r="F77" s="119">
        <f t="shared" si="11"/>
        <v>7.5892104540993444</v>
      </c>
      <c r="G77" s="300"/>
      <c r="H77" s="300"/>
      <c r="I77" s="300"/>
      <c r="J77" s="300"/>
      <c r="K77" s="300"/>
      <c r="L77" s="300"/>
    </row>
    <row r="78" spans="1:21" ht="13.15">
      <c r="A78" s="131">
        <v>5</v>
      </c>
      <c r="B78" s="119">
        <f t="shared" si="11"/>
        <v>5.7406800860157343</v>
      </c>
      <c r="C78" s="119">
        <f t="shared" si="11"/>
        <v>6.2124296319158772</v>
      </c>
      <c r="D78" s="119">
        <f t="shared" si="11"/>
        <v>6.7021173204111859</v>
      </c>
      <c r="E78" s="119">
        <f t="shared" si="11"/>
        <v>7.2102634912368009</v>
      </c>
      <c r="F78" s="119">
        <f t="shared" si="11"/>
        <v>7.7373985695856948</v>
      </c>
      <c r="G78" s="300"/>
      <c r="H78" s="300"/>
      <c r="I78" s="300"/>
      <c r="J78" s="300"/>
      <c r="K78" s="300"/>
      <c r="L78" s="300"/>
    </row>
    <row r="79" spans="1:21" ht="13.15">
      <c r="A79" s="131">
        <v>6</v>
      </c>
      <c r="B79" s="119">
        <f t="shared" si="11"/>
        <v>5.7406800860157325</v>
      </c>
      <c r="C79" s="119">
        <f t="shared" si="11"/>
        <v>6.2920443652677074</v>
      </c>
      <c r="D79" s="119">
        <f t="shared" si="11"/>
        <v>6.8693870791300045</v>
      </c>
      <c r="E79" s="119">
        <f t="shared" si="11"/>
        <v>7.4737109139278584</v>
      </c>
      <c r="F79" s="119">
        <f t="shared" si="11"/>
        <v>8.1060477424345692</v>
      </c>
      <c r="G79" s="300"/>
      <c r="H79" s="300"/>
      <c r="I79" s="300"/>
      <c r="J79" s="300"/>
      <c r="K79" s="300"/>
      <c r="L79" s="300"/>
    </row>
    <row r="80" spans="1:21" ht="13.15">
      <c r="A80" s="131">
        <f t="shared" ref="A80" si="12">A62</f>
        <v>7</v>
      </c>
      <c r="B80" s="119">
        <f t="shared" si="11"/>
        <v>5.5406989271230582</v>
      </c>
      <c r="C80" s="119">
        <f t="shared" si="11"/>
        <v>6.1609787574056227</v>
      </c>
      <c r="D80" s="119">
        <f t="shared" si="11"/>
        <v>6.8162472020355711</v>
      </c>
      <c r="E80" s="119">
        <f t="shared" si="11"/>
        <v>7.5081938833469835</v>
      </c>
      <c r="F80" s="119">
        <f t="shared" si="11"/>
        <v>8.2385741219107604</v>
      </c>
      <c r="G80" s="300"/>
      <c r="H80" s="300"/>
      <c r="I80" s="300"/>
      <c r="J80" s="300"/>
      <c r="K80" s="300"/>
      <c r="L80" s="300"/>
    </row>
    <row r="81" spans="1:12" ht="13.15">
      <c r="A81" s="131">
        <v>8</v>
      </c>
      <c r="B81" s="119">
        <f t="shared" si="11"/>
        <v>5.5406989271230582</v>
      </c>
      <c r="C81" s="119">
        <f t="shared" si="11"/>
        <v>6.2315847545407825</v>
      </c>
      <c r="D81" s="119">
        <f t="shared" si="11"/>
        <v>6.9675417131247821</v>
      </c>
      <c r="E81" s="119">
        <f t="shared" si="11"/>
        <v>7.7511757152065739</v>
      </c>
      <c r="F81" s="119">
        <f t="shared" si="11"/>
        <v>8.5852194414674621</v>
      </c>
      <c r="G81" s="300"/>
      <c r="H81" s="300"/>
      <c r="I81" s="300"/>
      <c r="J81" s="300"/>
      <c r="K81" s="300"/>
      <c r="L81" s="300"/>
    </row>
    <row r="82" spans="1:12" ht="13.15">
      <c r="A82" s="131">
        <f t="shared" ref="A82" si="13">A64</f>
        <v>9</v>
      </c>
      <c r="B82" s="119">
        <f t="shared" si="11"/>
        <v>5.3542363081089084</v>
      </c>
      <c r="C82" s="119">
        <f t="shared" si="11"/>
        <v>6.104042434017094</v>
      </c>
      <c r="D82" s="119">
        <f t="shared" si="11"/>
        <v>6.9095970637368946</v>
      </c>
      <c r="E82" s="119">
        <f t="shared" si="11"/>
        <v>7.7746635759503144</v>
      </c>
      <c r="F82" s="119">
        <f t="shared" si="11"/>
        <v>8.7032254664275062</v>
      </c>
      <c r="G82" s="300"/>
      <c r="H82" s="300"/>
      <c r="I82" s="300"/>
      <c r="J82" s="300"/>
      <c r="K82" s="300"/>
      <c r="L82" s="300"/>
    </row>
    <row r="83" spans="1:12" ht="13.15">
      <c r="A83" s="131">
        <f t="shared" ref="A83:A87" si="14">A65</f>
        <v>10</v>
      </c>
      <c r="B83" s="119">
        <f t="shared" si="11"/>
        <v>5.3542363081089084</v>
      </c>
      <c r="C83" s="119">
        <f t="shared" si="11"/>
        <v>6.1666590706818187</v>
      </c>
      <c r="D83" s="119">
        <f t="shared" si="11"/>
        <v>7.0464420574826088</v>
      </c>
      <c r="E83" s="119">
        <f t="shared" si="11"/>
        <v>7.9987696613724477</v>
      </c>
      <c r="F83" s="119">
        <f t="shared" si="11"/>
        <v>9.0291802939996426</v>
      </c>
      <c r="G83" s="300"/>
      <c r="H83" s="300"/>
      <c r="I83" s="300"/>
      <c r="J83" s="300"/>
      <c r="K83" s="300"/>
      <c r="L83" s="300"/>
    </row>
    <row r="84" spans="1:12" ht="13.15">
      <c r="A84" s="131">
        <f t="shared" si="14"/>
        <v>15</v>
      </c>
      <c r="B84" s="119">
        <f t="shared" si="11"/>
        <v>4.8671259814025429</v>
      </c>
      <c r="C84" s="119">
        <f t="shared" si="11"/>
        <v>5.9122241236501738</v>
      </c>
      <c r="D84" s="119">
        <f t="shared" si="11"/>
        <v>7.0883779096664865</v>
      </c>
      <c r="E84" s="119">
        <f t="shared" si="11"/>
        <v>8.4119195155273712</v>
      </c>
      <c r="F84" s="119">
        <f t="shared" si="11"/>
        <v>9.90110610553171</v>
      </c>
      <c r="G84" s="300"/>
      <c r="H84" s="300"/>
      <c r="I84" s="300"/>
      <c r="J84" s="300"/>
      <c r="K84" s="300"/>
      <c r="L84" s="300"/>
    </row>
    <row r="85" spans="1:12" ht="13.15">
      <c r="A85" s="132">
        <f t="shared" si="14"/>
        <v>20</v>
      </c>
      <c r="B85" s="119">
        <f t="shared" si="11"/>
        <v>4.594793266948999</v>
      </c>
      <c r="C85" s="119">
        <f t="shared" si="11"/>
        <v>5.810268326245148</v>
      </c>
      <c r="D85" s="119">
        <f t="shared" si="11"/>
        <v>7.2253259840079203</v>
      </c>
      <c r="E85" s="119">
        <f t="shared" si="11"/>
        <v>8.8741238300448853</v>
      </c>
      <c r="F85" s="119">
        <f t="shared" si="11"/>
        <v>10.796549246788178</v>
      </c>
      <c r="G85" s="300"/>
      <c r="H85" s="300"/>
      <c r="I85" s="300"/>
      <c r="J85" s="300"/>
      <c r="K85" s="300"/>
      <c r="L85" s="300"/>
    </row>
    <row r="86" spans="1:12" ht="13.15">
      <c r="A86" s="132">
        <f t="shared" si="14"/>
        <v>25</v>
      </c>
      <c r="B86" s="119">
        <f t="shared" si="11"/>
        <v>4.2515193288128259</v>
      </c>
      <c r="C86" s="119">
        <f t="shared" si="11"/>
        <v>5.5714119200607932</v>
      </c>
      <c r="D86" s="119">
        <f t="shared" si="11"/>
        <v>7.1560612009854907</v>
      </c>
      <c r="E86" s="119">
        <f t="shared" si="11"/>
        <v>9.0629864241784617</v>
      </c>
      <c r="F86" s="119">
        <f t="shared" si="11"/>
        <v>11.362260644637745</v>
      </c>
      <c r="G86" s="300"/>
      <c r="H86" s="300"/>
      <c r="I86" s="300"/>
      <c r="J86" s="300"/>
      <c r="K86" s="300"/>
      <c r="L86" s="300"/>
    </row>
    <row r="87" spans="1:12" ht="13.15">
      <c r="A87" s="132">
        <f t="shared" si="14"/>
        <v>30</v>
      </c>
      <c r="B87" s="119">
        <f t="shared" si="11"/>
        <v>4.0596023887514532</v>
      </c>
      <c r="C87" s="119">
        <f t="shared" si="11"/>
        <v>5.4585632639392871</v>
      </c>
      <c r="D87" s="119">
        <f t="shared" si="11"/>
        <v>7.1833358524947402</v>
      </c>
      <c r="E87" s="119">
        <f t="shared" si="11"/>
        <v>9.3191361186495669</v>
      </c>
      <c r="F87" s="119">
        <f t="shared" si="11"/>
        <v>11.974071795020334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15</v>
      </c>
      <c r="E90" s="127">
        <f>INDEX(B$73:F$87, MATCH(D90, A$73:A$87, 0), MATCH(C90, B$72:F$72, 0))</f>
        <v>9.90110610553171</v>
      </c>
      <c r="F90" s="130">
        <f>Scenarios!F29</f>
        <v>0.05</v>
      </c>
      <c r="G90" s="301"/>
      <c r="H90" s="301"/>
      <c r="I90" s="301"/>
      <c r="J90" s="301"/>
      <c r="K90" s="301"/>
      <c r="L90" s="301"/>
    </row>
    <row r="91" spans="1:12">
      <c r="B91" s="120" t="str">
        <f>Scenarios!B22</f>
        <v>Optimistic</v>
      </c>
      <c r="C91" s="130">
        <f>Scenarios!C22</f>
        <v>0.03</v>
      </c>
      <c r="D91" s="133">
        <f>Scenarios!D22</f>
        <v>15</v>
      </c>
      <c r="E91" s="127">
        <f>INDEX(B$73:F$87, MATCH(D91, A$73:A$87, 0), MATCH(C91, B$72:F$72, 0))</f>
        <v>8.4119195155273712</v>
      </c>
      <c r="F91" s="130">
        <f>Scenarios!F22*(1-F$90-F$94)</f>
        <v>0.18</v>
      </c>
      <c r="G91" s="301"/>
      <c r="H91" s="301"/>
      <c r="I91" s="301"/>
      <c r="J91" s="301"/>
      <c r="K91" s="301"/>
      <c r="L91" s="301"/>
    </row>
    <row r="92" spans="1:12">
      <c r="B92" s="120" t="str">
        <f>Scenarios!B23</f>
        <v>Base</v>
      </c>
      <c r="C92" s="130">
        <f>Scenarios!C23</f>
        <v>0.02</v>
      </c>
      <c r="D92" s="133">
        <f>Scenarios!D23</f>
        <v>15</v>
      </c>
      <c r="E92" s="127">
        <f>INDEX(B$73:F$87, MATCH(D92, A$73:A$87, 0), MATCH(C92, B$72:F$72, 0))</f>
        <v>7.0883779096664865</v>
      </c>
      <c r="F92" s="130">
        <f>Scenarios!F23*(1-F$90-F$94)</f>
        <v>0.53999999999999992</v>
      </c>
      <c r="G92" s="301"/>
      <c r="H92" s="301"/>
      <c r="I92" s="301"/>
      <c r="J92" s="301"/>
      <c r="K92" s="301"/>
      <c r="L92" s="301"/>
    </row>
    <row r="93" spans="1:12">
      <c r="B93" s="120" t="str">
        <f>Scenarios!B24</f>
        <v>Pessimistic</v>
      </c>
      <c r="C93" s="130">
        <f>Scenarios!C24</f>
        <v>0.01</v>
      </c>
      <c r="D93" s="133">
        <f>Scenarios!D24</f>
        <v>15</v>
      </c>
      <c r="E93" s="127">
        <f>INDEX(B$73:F$87, MATCH(D93, A$73:A$87, 0), MATCH(C93, B$72:F$72, 0))</f>
        <v>5.9122241236501738</v>
      </c>
      <c r="F93" s="130">
        <f>Scenarios!F24*(1-F$90-F$94)</f>
        <v>0.18</v>
      </c>
      <c r="G93" s="301"/>
      <c r="H93" s="301"/>
      <c r="I93" s="301"/>
      <c r="J93" s="301"/>
      <c r="K93" s="301"/>
      <c r="L93" s="301"/>
    </row>
    <row r="94" spans="1:12">
      <c r="B94" s="120" t="str">
        <f>Scenarios!B30</f>
        <v>Devil's advocate</v>
      </c>
      <c r="C94" s="130">
        <f>Scenarios!C30</f>
        <v>0</v>
      </c>
      <c r="D94" s="133">
        <f>Scenarios!D30</f>
        <v>15</v>
      </c>
      <c r="E94" s="127">
        <f>INDEX(B$73:F$87, MATCH(D94, A$73:A$87, 0), MATCH(C94, B$72:F$72, 0))</f>
        <v>4.8671259814025429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292946.28787893528</v>
      </c>
      <c r="D8" s="465"/>
      <c r="E8" s="465"/>
      <c r="F8" s="465"/>
      <c r="G8" s="465"/>
    </row>
    <row r="9" spans="2:7">
      <c r="B9" s="97" t="s">
        <v>54</v>
      </c>
      <c r="C9" s="452">
        <f>Normalized_FCF!C19</f>
        <v>240132.45705884087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0.61584029797432005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15</v>
      </c>
      <c r="E22" s="330">
        <f>DCF!E91</f>
        <v>8.4119195155273712</v>
      </c>
      <c r="F22" s="332">
        <f>1-F23-F24</f>
        <v>0.2</v>
      </c>
      <c r="G22" s="332">
        <f>F22*(1-F$29-F$30)</f>
        <v>0.18</v>
      </c>
    </row>
    <row r="23" spans="2:7">
      <c r="B23" s="306" t="s">
        <v>440</v>
      </c>
      <c r="C23" s="328">
        <v>0.02</v>
      </c>
      <c r="D23" s="329">
        <f>C18</f>
        <v>15</v>
      </c>
      <c r="E23" s="330">
        <f>DCF!E92</f>
        <v>7.0883779096664865</v>
      </c>
      <c r="F23" s="331">
        <v>0.6</v>
      </c>
      <c r="G23" s="332">
        <f t="shared" ref="G23:G24" si="0">F23*(1-F$29-F$30)</f>
        <v>0.53999999999999992</v>
      </c>
    </row>
    <row r="24" spans="2:7">
      <c r="B24" s="306" t="s">
        <v>449</v>
      </c>
      <c r="C24" s="328">
        <v>0.01</v>
      </c>
      <c r="D24" s="329">
        <f>C18</f>
        <v>15</v>
      </c>
      <c r="E24" s="330">
        <f>DCF!E93</f>
        <v>5.9122241236501738</v>
      </c>
      <c r="F24" s="331">
        <v>0.2</v>
      </c>
      <c r="G24" s="332">
        <f t="shared" si="0"/>
        <v>0.18</v>
      </c>
    </row>
    <row r="25" spans="2:7">
      <c r="B25" s="141" t="s">
        <v>454</v>
      </c>
      <c r="C25" s="446">
        <f>E23*F23+E24*F24+E22*F22</f>
        <v>7.1178554736354007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15</v>
      </c>
      <c r="E29" s="330">
        <f>DCF!E90</f>
        <v>9.90110610553171</v>
      </c>
      <c r="F29" s="331">
        <v>0.05</v>
      </c>
      <c r="G29" s="332">
        <f>F29</f>
        <v>0.05</v>
      </c>
    </row>
    <row r="30" spans="2:7">
      <c r="B30" s="319" t="s">
        <v>450</v>
      </c>
      <c r="C30" s="328">
        <v>0</v>
      </c>
      <c r="D30" s="329">
        <f>C18</f>
        <v>15</v>
      </c>
      <c r="E30" s="330">
        <f>DCF!E94</f>
        <v>4.8671259814025429</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4.99</v>
      </c>
      <c r="D34" t="str">
        <f>Market_currency</f>
        <v>HKD</v>
      </c>
      <c r="E34" s="97" t="s">
        <v>457</v>
      </c>
      <c r="F34" s="334">
        <f>RATE(Holding_Period,$C$33,-C34,$C$36)</f>
        <v>0.18088012681616028</v>
      </c>
    </row>
    <row r="35" spans="2:7">
      <c r="B35" s="97" t="s">
        <v>437</v>
      </c>
      <c r="C35" s="324">
        <f>DCF!C11</f>
        <v>2.782338114810293</v>
      </c>
      <c r="D35" s="97" t="str">
        <f>Market_currency</f>
        <v>HKD</v>
      </c>
      <c r="E35" s="97" t="s">
        <v>457</v>
      </c>
      <c r="F35" s="334">
        <f>RATE(Holding_Period,$C$33,-C35,$C$36)</f>
        <v>0.45170283526843957</v>
      </c>
    </row>
    <row r="36" spans="2:7">
      <c r="B36" s="97" t="s">
        <v>438</v>
      </c>
      <c r="C36" s="325">
        <f>E22*G22+E23*G23+E24*G24+E30*G30+E29*G29</f>
        <v>7.1444815306185729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0.875</v>
      </c>
      <c r="E40" s="97" t="s">
        <v>403</v>
      </c>
    </row>
    <row r="41" spans="2:7">
      <c r="B41" s="97" t="s">
        <v>401</v>
      </c>
      <c r="C41" s="138">
        <f>DCF!C16</f>
        <v>2.0459999999999999E-2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2.0459999999999999E-2</v>
      </c>
      <c r="D46" s="138"/>
      <c r="E46" s="221" t="s">
        <v>252</v>
      </c>
    </row>
    <row r="47" spans="2:7">
      <c r="B47" s="97" t="s">
        <v>96</v>
      </c>
      <c r="C47" s="146">
        <f>DCF!I18</f>
        <v>7.1458946645571135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-0.4098636459234935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0.54895547283303592</v>
      </c>
      <c r="D62" s="119">
        <f>C36/(1+F62)^Holding_Period</f>
        <v>3.2923878021283755</v>
      </c>
      <c r="E62" s="336">
        <f>C62+D62</f>
        <v>3.8413432749614111</v>
      </c>
      <c r="F62" s="305">
        <f>Thesis!E22</f>
        <v>0.29465259038036606</v>
      </c>
      <c r="G62" s="445">
        <f>(1-E62/C36)</f>
        <v>0.46233421438646705</v>
      </c>
    </row>
    <row r="63" spans="2:7" ht="13.15">
      <c r="B63" s="306" t="s">
        <v>313</v>
      </c>
      <c r="C63" s="119">
        <f>PV(F63, Holding_Period, -C58, 0)</f>
        <v>0.63120118418072357</v>
      </c>
      <c r="D63" s="119">
        <f>C36/(1+F63)^Holding_Period</f>
        <v>4.126776335375351</v>
      </c>
      <c r="E63" s="336">
        <f>C63+D63</f>
        <v>4.757977519556075</v>
      </c>
      <c r="F63" s="305">
        <f>Thesis!E23</f>
        <v>0.20075184365903009</v>
      </c>
      <c r="G63" s="445">
        <f>(1-E63/C36)</f>
        <v>0.3340345973091029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5.1208813897731664</v>
      </c>
      <c r="E66" s="336">
        <f>C66+D66</f>
        <v>5.8446623275547616</v>
      </c>
      <c r="F66" s="305">
        <f>Thesis!E24</f>
        <v>0.1174</v>
      </c>
      <c r="G66" s="445">
        <f>(1-E66/C36)</f>
        <v>0.18193331419407732</v>
      </c>
    </row>
    <row r="67" spans="2:7" ht="13.15">
      <c r="B67" s="306" t="s">
        <v>314</v>
      </c>
      <c r="C67" s="119">
        <f>PV(F67, Holding_Period, -C58, 0)</f>
        <v>0.78371256815190493</v>
      </c>
      <c r="D67" s="119">
        <f>C36/(1+F67)^Holding_Period</f>
        <v>5.7913367049037978</v>
      </c>
      <c r="E67" s="336">
        <f>C67+D67</f>
        <v>6.5750492730557024</v>
      </c>
      <c r="F67" s="305">
        <f>Thesis!E25</f>
        <v>7.2499999999999995E-2</v>
      </c>
      <c r="G67" s="445">
        <f>(1-E67/C36)</f>
        <v>7.970239059650408E-2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46013</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4.99</v>
      </c>
    </row>
    <row r="9" spans="1:10">
      <c r="B9" s="355" t="s">
        <v>361</v>
      </c>
      <c r="C9" s="357">
        <f>Common_Shares</f>
        <v>580004033</v>
      </c>
    </row>
    <row r="10" spans="1:10">
      <c r="B10" s="355" t="s">
        <v>367</v>
      </c>
      <c r="C10" s="361">
        <f>投资主题!C8*Common_Shares/1000000</f>
        <v>2894.2201246700001</v>
      </c>
      <c r="D10" s="347" t="s">
        <v>532</v>
      </c>
      <c r="E10" s="364">
        <f>Scenarios!F34</f>
        <v>0.18088012681616028</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7.1444815306185729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3.8413432749614111</v>
      </c>
      <c r="D22" s="369" t="s">
        <v>443</v>
      </c>
      <c r="E22" s="370">
        <f>Thesis!E22</f>
        <v>0.29465259038036606</v>
      </c>
    </row>
    <row r="23" spans="1:6">
      <c r="B23" s="347" t="s">
        <v>341</v>
      </c>
      <c r="C23" s="371">
        <f>E141</f>
        <v>4.757977519556075</v>
      </c>
      <c r="D23" s="369" t="s">
        <v>444</v>
      </c>
      <c r="E23" s="372">
        <f>Thesis!E23</f>
        <v>0.20075184365903009</v>
      </c>
    </row>
    <row r="24" spans="1:6">
      <c r="B24" s="347" t="s">
        <v>343</v>
      </c>
      <c r="C24" s="371">
        <f>E144</f>
        <v>5.8446623275547616</v>
      </c>
      <c r="D24" s="369" t="s">
        <v>446</v>
      </c>
      <c r="E24" s="372">
        <f>Thesis!E24</f>
        <v>0.1174</v>
      </c>
    </row>
    <row r="25" spans="1:6">
      <c r="B25" s="347" t="s">
        <v>342</v>
      </c>
      <c r="C25" s="371">
        <f>E145</f>
        <v>6.5750492730557024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405180.28500000015</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6947.6149374166671</v>
      </c>
      <c r="D44" s="347" t="str">
        <f>Reporting_currency</f>
        <v>HKD</v>
      </c>
      <c r="E44" s="375"/>
      <c r="F44" s="375"/>
    </row>
    <row r="45" spans="2:6">
      <c r="B45" s="376" t="s">
        <v>268</v>
      </c>
      <c r="C45" s="380">
        <f>Normalized_FCF!C45</f>
        <v>-89319.428</v>
      </c>
      <c r="D45" s="347" t="str">
        <f>Reporting_currency</f>
        <v>HKD</v>
      </c>
      <c r="E45" s="375"/>
      <c r="F45" s="375"/>
    </row>
    <row r="46" spans="2:6">
      <c r="B46" s="376" t="s">
        <v>203</v>
      </c>
      <c r="C46" s="377">
        <f>Normalized_FCF!C10</f>
        <v>-82371.813062583329</v>
      </c>
      <c r="D46" s="347" t="str">
        <f>Reporting_currency</f>
        <v>HKD</v>
      </c>
    </row>
    <row r="48" spans="2:6">
      <c r="B48" s="347" t="s">
        <v>508</v>
      </c>
    </row>
    <row r="49" spans="2:6">
      <c r="B49" s="376" t="s">
        <v>223</v>
      </c>
      <c r="C49" s="377">
        <f>Normalized_FCF!C13</f>
        <v>-29412.617008902169</v>
      </c>
      <c r="D49" s="347" t="str">
        <f>Reporting_currency</f>
        <v>HKD</v>
      </c>
    </row>
    <row r="51" spans="2:6">
      <c r="B51" s="466" t="s">
        <v>509</v>
      </c>
      <c r="C51" s="466"/>
      <c r="D51" s="466"/>
      <c r="E51" s="466"/>
      <c r="F51" s="466"/>
    </row>
    <row r="52" spans="2:6">
      <c r="B52" s="376" t="s">
        <v>499</v>
      </c>
      <c r="C52" s="377">
        <f>Normalized_FCF!C12</f>
        <v>-53263.397869673776</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292946.28787893528</v>
      </c>
      <c r="D60" s="347" t="str">
        <f>Reporting_currency</f>
        <v>HKD</v>
      </c>
    </row>
    <row r="61" spans="2:6">
      <c r="B61" s="376" t="s">
        <v>213</v>
      </c>
      <c r="C61" s="377">
        <f>Normalized_FCF!C19</f>
        <v>240132.45705884087</v>
      </c>
      <c r="D61" s="347" t="str">
        <f>Reporting_currency</f>
        <v>HKD</v>
      </c>
    </row>
    <row r="62" spans="2:6">
      <c r="B62" s="381" t="s">
        <v>302</v>
      </c>
      <c r="C62" s="382">
        <f>Normalized_FCF!C124</f>
        <v>8.2969659084317526E-2</v>
      </c>
      <c r="F62" s="383"/>
    </row>
    <row r="63" spans="2:6">
      <c r="B63" s="381" t="s">
        <v>332</v>
      </c>
      <c r="C63" s="382">
        <f>Normalized_FCF!C92</f>
        <v>6.0120240480961928E-2</v>
      </c>
      <c r="E63" s="376" t="s">
        <v>373</v>
      </c>
      <c r="F63" s="384">
        <f>Normalized_FCF!C90</f>
        <v>0.72460512848275083</v>
      </c>
    </row>
    <row r="65" spans="1:6">
      <c r="B65" s="373" t="s">
        <v>376</v>
      </c>
      <c r="C65" s="385" t="s">
        <v>327</v>
      </c>
      <c r="D65" s="385" t="s">
        <v>374</v>
      </c>
    </row>
    <row r="66" spans="1:6">
      <c r="B66" s="376" t="s">
        <v>326</v>
      </c>
      <c r="C66" s="382">
        <f>Normalized_FCF!C119</f>
        <v>0.1219703636183504</v>
      </c>
      <c r="D66" s="382">
        <f>Normalized_FCF!G119</f>
        <v>0.12379035548022314</v>
      </c>
    </row>
    <row r="67" spans="1:6">
      <c r="B67" s="386" t="str">
        <f>Normalized_FCF!B116</f>
        <v>Pre-tax Profit/Sales</v>
      </c>
      <c r="C67" s="387">
        <f>Normalized_FCF!C116</f>
        <v>3.7674664923977114E-2</v>
      </c>
      <c r="D67" s="387">
        <f>Normalized_FCF!G116</f>
        <v>3.8236830859424933E-2</v>
      </c>
    </row>
    <row r="68" spans="1:6">
      <c r="B68" s="386" t="str">
        <f>Normalized_FCF!B117</f>
        <v>Sales/Total Assets</v>
      </c>
      <c r="C68" s="388">
        <f>Normalized_FCF!C117</f>
        <v>1.4798367611150316</v>
      </c>
      <c r="D68" s="388">
        <f>Normalized_FCF!G117</f>
        <v>1.4798367611150316</v>
      </c>
    </row>
    <row r="69" spans="1:6">
      <c r="B69" s="386" t="str">
        <f>Normalized_FCF!B118</f>
        <v>Total Assets/Equity</v>
      </c>
      <c r="C69" s="388">
        <f>Normalized_FCF!C118</f>
        <v>2.187716833659914</v>
      </c>
      <c r="D69" s="388">
        <f>Normalized_FCF!G118</f>
        <v>2.187716833659914</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-2029987</v>
      </c>
      <c r="D78" s="347" t="str">
        <f>Reporting_currency</f>
        <v>HKD</v>
      </c>
    </row>
    <row r="79" spans="1:6">
      <c r="B79" s="376" t="s">
        <v>234</v>
      </c>
      <c r="C79" s="391">
        <f>C78*scaling_factor*Exchange_Rate/Common_Shares</f>
        <v>-3.4999532494630086</v>
      </c>
      <c r="D79" s="347" t="str">
        <f>Market_currency</f>
        <v>HKD</v>
      </c>
    </row>
    <row r="80" spans="1:6">
      <c r="B80" s="386" t="s">
        <v>309</v>
      </c>
      <c r="C80" s="392">
        <f>IF(BS!G31/BS!G27&gt;300%,"nm",BS!G31/BS!G27)</f>
        <v>0.76701287002940366</v>
      </c>
    </row>
    <row r="81" spans="1:6">
      <c r="B81" s="386" t="s">
        <v>311</v>
      </c>
      <c r="C81" s="393">
        <f>IF(BS!C50&gt;30,"nm",BS!C50)</f>
        <v>5.0100833509211817</v>
      </c>
    </row>
    <row r="83" spans="1:6">
      <c r="B83" s="347" t="s">
        <v>515</v>
      </c>
    </row>
    <row r="84" spans="1:6">
      <c r="B84" s="347" t="s">
        <v>224</v>
      </c>
      <c r="C84" s="377">
        <f>DCF!F5</f>
        <v>270505.50625833333</v>
      </c>
      <c r="D84" s="347" t="str">
        <f>Reporting_currency</f>
        <v>HKD</v>
      </c>
    </row>
    <row r="85" spans="1:6">
      <c r="B85" s="386" t="s">
        <v>484</v>
      </c>
      <c r="C85" s="394">
        <f>BS!C66</f>
        <v>965267</v>
      </c>
      <c r="D85" s="395" t="str">
        <f>Reporting_currency</f>
        <v>HKD</v>
      </c>
    </row>
    <row r="86" spans="1:6">
      <c r="B86" s="376" t="s">
        <v>235</v>
      </c>
      <c r="C86" s="391">
        <f>C84*scaling_factor*Exchange_Rate/Common_Shares</f>
        <v>0.4663855609058038</v>
      </c>
      <c r="D86" s="347" t="str">
        <f>Market_currency</f>
        <v>HKD</v>
      </c>
    </row>
    <row r="88" spans="1:6">
      <c r="B88" s="347" t="s">
        <v>516</v>
      </c>
    </row>
    <row r="89" spans="1:6">
      <c r="B89" s="347" t="s">
        <v>217</v>
      </c>
      <c r="C89" s="377">
        <f>DCF!F6</f>
        <v>61077</v>
      </c>
      <c r="D89" s="347" t="str">
        <f>Reporting_currency</f>
        <v>HKD</v>
      </c>
    </row>
    <row r="90" spans="1:6">
      <c r="B90" s="376" t="s">
        <v>236</v>
      </c>
      <c r="C90" s="391">
        <f>C89*scaling_factor*Exchange_Rate/Common_Shares</f>
        <v>0.10530444018481507</v>
      </c>
      <c r="D90" s="347" t="str">
        <f>Market_currency</f>
        <v>HKD</v>
      </c>
    </row>
    <row r="92" spans="1:6">
      <c r="B92" s="376" t="s">
        <v>483</v>
      </c>
      <c r="C92" s="391">
        <f>DCF!F8</f>
        <v>-2.9282632483723896</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-2.4800067209187837</v>
      </c>
      <c r="D111" s="347" t="str">
        <f>Market_currency</f>
        <v>HKD</v>
      </c>
    </row>
    <row r="112" spans="1:6">
      <c r="A112" s="389"/>
      <c r="B112" s="376" t="s">
        <v>377</v>
      </c>
      <c r="C112" s="398">
        <f>DCF!C11</f>
        <v>2.782338114810293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15</v>
      </c>
      <c r="E118" s="402" t="str">
        <f>ROUND(DCF!E90,2)&amp;" "&amp;Market_currency</f>
        <v>9.9 HKD</v>
      </c>
      <c r="F118" s="403">
        <f>DCF!F90</f>
        <v>0.05</v>
      </c>
    </row>
    <row r="119" spans="1:6">
      <c r="A119" s="389"/>
      <c r="B119" s="404" t="str">
        <f>DCF!B91</f>
        <v>Optimistic</v>
      </c>
      <c r="C119" s="405">
        <f>DCF!C91</f>
        <v>0.03</v>
      </c>
      <c r="D119" s="406">
        <f>DCF!D91</f>
        <v>15</v>
      </c>
      <c r="E119" s="402" t="str">
        <f>ROUND(DCF!E91,2)&amp;" "&amp;Market_currency</f>
        <v>8.41 HKD</v>
      </c>
      <c r="F119" s="407">
        <f>DCF!F91</f>
        <v>0.18</v>
      </c>
    </row>
    <row r="120" spans="1:6">
      <c r="B120" s="404" t="str">
        <f>DCF!B92</f>
        <v>Base</v>
      </c>
      <c r="C120" s="405">
        <f>DCF!C92</f>
        <v>0.02</v>
      </c>
      <c r="D120" s="406">
        <f>DCF!D92</f>
        <v>15</v>
      </c>
      <c r="E120" s="402" t="str">
        <f>ROUND(DCF!E92,2)&amp;" "&amp;Market_currency</f>
        <v>7.09 HKD</v>
      </c>
      <c r="F120" s="407">
        <f>DCF!F92</f>
        <v>0.53999999999999992</v>
      </c>
    </row>
    <row r="121" spans="1:6">
      <c r="B121" s="404" t="str">
        <f>DCF!B93</f>
        <v>Pessimistic</v>
      </c>
      <c r="C121" s="405">
        <f>DCF!C93</f>
        <v>0.01</v>
      </c>
      <c r="D121" s="406">
        <f>DCF!D93</f>
        <v>15</v>
      </c>
      <c r="E121" s="402" t="str">
        <f>ROUND(DCF!E93,2)&amp;" "&amp;Market_currency</f>
        <v>5.91 HKD</v>
      </c>
      <c r="F121" s="407">
        <f>DCF!F93</f>
        <v>0.18</v>
      </c>
    </row>
    <row r="122" spans="1:6">
      <c r="B122" s="404" t="str">
        <f>DCF!B94</f>
        <v>Devil's advocate</v>
      </c>
      <c r="C122" s="405">
        <f>DCF!C94</f>
        <v>0</v>
      </c>
      <c r="D122" s="406">
        <f>DCF!D94</f>
        <v>15</v>
      </c>
      <c r="E122" s="402" t="str">
        <f>ROUND(DCF!E94,2)&amp;" "&amp;Market_currency</f>
        <v>4.87 HKD</v>
      </c>
      <c r="F122" s="407">
        <f>DCF!F94</f>
        <v>0.05</v>
      </c>
    </row>
    <row r="124" spans="1:6">
      <c r="B124" s="466" t="s">
        <v>522</v>
      </c>
      <c r="C124" s="466"/>
      <c r="D124" s="466"/>
      <c r="E124" s="466"/>
      <c r="F124" s="466"/>
    </row>
    <row r="125" spans="1:6">
      <c r="B125" s="376" t="s">
        <v>218</v>
      </c>
      <c r="C125" s="408">
        <f>Scenarios!C36</f>
        <v>7.1444815306185729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0.54895547283303592</v>
      </c>
      <c r="D140" s="413">
        <f>Scenarios!D62</f>
        <v>3.2923878021283755</v>
      </c>
      <c r="E140" s="414">
        <f>Scenarios!E62</f>
        <v>3.8413432749614111</v>
      </c>
      <c r="F140" s="415">
        <f>E22</f>
        <v>0.29465259038036606</v>
      </c>
    </row>
    <row r="141" spans="1:6">
      <c r="B141" s="412" t="s">
        <v>313</v>
      </c>
      <c r="C141" s="413">
        <f>Scenarios!C63</f>
        <v>0.63120118418072357</v>
      </c>
      <c r="D141" s="413">
        <f>Scenarios!D63</f>
        <v>4.126776335375351</v>
      </c>
      <c r="E141" s="414">
        <f>Scenarios!E63</f>
        <v>4.757977519556075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5.1208813897731664</v>
      </c>
      <c r="E144" s="414">
        <f>Scenarios!E66</f>
        <v>5.8446623275547616</v>
      </c>
      <c r="F144" s="415">
        <f>E24</f>
        <v>0.1174</v>
      </c>
    </row>
    <row r="145" spans="1:6">
      <c r="B145" s="412" t="s">
        <v>314</v>
      </c>
      <c r="C145" s="413">
        <f>Scenarios!C67</f>
        <v>0.78371256815190493</v>
      </c>
      <c r="D145" s="413">
        <f>Scenarios!D67</f>
        <v>5.7913367049037978</v>
      </c>
      <c r="E145" s="414">
        <f>Scenarios!E67</f>
        <v>6.5750492730557024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