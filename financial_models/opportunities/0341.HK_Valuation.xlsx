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A97901-4164-4D8A-94FD-8DCEFCD7C473}" xr6:coauthVersionLast="47" xr6:coauthVersionMax="47" xr10:uidLastSave="{00000000-0000-0000-0000-000000000000}"/>
  <bookViews>
    <workbookView xWindow="1837" yWindow="1837" windowWidth="12691"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E72" i="8"/>
  <c r="F71" i="8"/>
  <c r="D73" i="8"/>
  <c r="B72" i="8"/>
  <c r="E73" i="8"/>
  <c r="C72" i="8"/>
  <c r="F73" i="8"/>
  <c r="B71" i="8"/>
  <c r="D71" i="8"/>
  <c r="E74" i="8"/>
  <c r="C73" i="8"/>
  <c r="D72" i="8"/>
  <c r="B74"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38" i="12" l="1"/>
  <c r="C38" i="6"/>
  <c r="F18" i="8"/>
  <c r="H21" i="8"/>
  <c r="H24" i="8"/>
  <c r="H25" i="8"/>
  <c r="H22" i="8"/>
  <c r="H23" i="8"/>
  <c r="C92" i="6"/>
  <c r="C92" i="12"/>
  <c r="C28" i="8"/>
  <c r="C7" i="8"/>
  <c r="C86" i="3"/>
  <c r="D86" i="3" s="1"/>
  <c r="D89" i="3" s="1"/>
  <c r="C78" i="12"/>
  <c r="C79" i="12" s="1"/>
  <c r="C78" i="6"/>
  <c r="C79" i="6" s="1"/>
  <c r="O80" i="2"/>
  <c r="O19" i="2"/>
  <c r="O90" i="2" s="1"/>
  <c r="O123" i="2"/>
  <c r="O124" i="2" s="1"/>
  <c r="P80" i="2"/>
  <c r="P19" i="2"/>
  <c r="P90" i="2" s="1"/>
  <c r="P123" i="2"/>
  <c r="P124" i="2" s="1"/>
  <c r="C45" i="2"/>
  <c r="C45" i="12" s="1"/>
  <c r="H51" i="8" l="1"/>
  <c r="H34" i="8"/>
  <c r="H28" i="8"/>
  <c r="H30" i="8"/>
  <c r="H31" i="8"/>
  <c r="H29" i="8"/>
  <c r="H33" i="8"/>
  <c r="H32" i="8"/>
  <c r="H35" i="8"/>
  <c r="C29" i="8"/>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<sst xmlns="http://schemas.openxmlformats.org/spreadsheetml/2006/main" count="766" uniqueCount="555">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</sst>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349</v>
      </c>
      <c r="C5" s="46" t="s">
        <v>551</v>
      </c>
      <c r="E5" s="441" t="s">
        <v>543</v>
      </c>
      <c r="F5" s="440" t="s">
        <v>501</v>
      </c>
    </row>
    <row r="6" spans="1:9">
      <c r="B6" s="2" t="s">
        <v>53</v>
      </c>
      <c r="C6" s="45" t="s">
        <v>404</v>
      </c>
      <c r="D6" s="45"/>
      <c r="E6" s="45"/>
    </row>
    <row r="7" spans="1:9">
      <c r="B7" s="1" t="s">
        <v>351</v>
      </c>
      <c r="C7" s="45" t="s">
        <v>308</v>
      </c>
      <c r="D7" s="45"/>
      <c r="E7" s="45"/>
    </row>
    <row r="8" spans="1:9">
      <c r="B8" s="4" t="s">
        <v>350</v>
      </c>
      <c r="C8" s="47">
        <v>6.5</v>
      </c>
      <c r="E8" s="32"/>
    </row>
    <row r="9" spans="1:9">
      <c r="B9" s="4" t="s">
        <v>346</v>
      </c>
      <c r="C9" s="48">
        <v>580004033</v>
      </c>
    </row>
    <row r="10" spans="1:9">
      <c r="B10" s="4" t="s">
        <v>352</v>
      </c>
      <c r="C10" s="33">
        <f>Thesis!C8*Common_Shares/1000000</f>
        <v>3770.0262145000002</v>
      </c>
      <c r="D10" s="1" t="s">
        <v>532</v>
      </c>
      <c r="E10" s="310">
        <f>Scenarios!F34</f>
        <v>0.12138349206304627</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536</v>
      </c>
      <c r="C17" s="423">
        <v>0</v>
      </c>
      <c r="D17" s="4" t="s">
        <v>274</v>
      </c>
      <c r="E17" s="227" t="s">
        <v>308</v>
      </c>
    </row>
    <row r="18" spans="1:6">
      <c r="B18" s="1" t="str">
        <f>"Expected Equity Value ("&amp;C7&amp;") :"</f>
        <v>Expected Equity Value (HKD) :</v>
      </c>
      <c r="C18" s="258">
        <f>C125</f>
        <v>7.8143613713918958</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45991</v>
      </c>
    </row>
    <row r="20" spans="1:6">
      <c r="D20" s="5"/>
      <c r="E20" s="5"/>
    </row>
    <row r="21" spans="1:6">
      <c r="B21" s="42" t="s">
        <v>407</v>
      </c>
      <c r="C21" s="260" t="str">
        <f>C138&amp;" ("&amp;Market_currency&amp;")"</f>
        <v xml:space="preserve"> (HKD)</v>
      </c>
      <c r="D21" s="31" t="s">
        <v>316</v>
      </c>
      <c r="E21" s="450">
        <v>3</v>
      </c>
    </row>
    <row r="22" spans="1:6">
      <c r="B22" s="1" t="s">
        <v>312</v>
      </c>
      <c r="C22" s="261">
        <f>E140</f>
        <v>4.333028820025568</v>
      </c>
      <c r="D22" s="38" t="s">
        <v>409</v>
      </c>
      <c r="E22" s="79">
        <v>0.29465259038036606</v>
      </c>
    </row>
    <row r="23" spans="1:6">
      <c r="B23" s="1" t="s">
        <v>313</v>
      </c>
      <c r="C23" s="262">
        <f>E141</f>
        <v>5.3553121183397749</v>
      </c>
      <c r="D23" s="38" t="s">
        <v>410</v>
      </c>
      <c r="E23" s="451">
        <v>0.20075184365903009</v>
      </c>
    </row>
    <row r="24" spans="1:6">
      <c r="B24" s="1" t="s">
        <v>315</v>
      </c>
      <c r="C24" s="262">
        <f>E144</f>
        <v>6.5660659780940076</v>
      </c>
      <c r="D24" s="38" t="s">
        <v>411</v>
      </c>
      <c r="E24" s="451">
        <v>0.1174</v>
      </c>
    </row>
    <row r="25" spans="1:6">
      <c r="B25" s="1" t="s">
        <v>314</v>
      </c>
      <c r="C25" s="262">
        <f>E145</f>
        <v>7.3792932677079612</v>
      </c>
      <c r="D25" s="38" t="s">
        <v>412</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399119.96227138769</v>
      </c>
      <c r="D34" s="1" t="str">
        <f>Reporting_currency</f>
        <v>HKD</v>
      </c>
    </row>
    <row r="35" spans="2:6">
      <c r="B35" s="44"/>
      <c r="C35" s="73"/>
    </row>
    <row r="36" spans="2:6" ht="24.5" customHeight="1">
      <c r="B36" s="462" t="s">
        <v>198</v>
      </c>
      <c r="C36" s="462"/>
      <c r="D36" s="462"/>
      <c r="E36" s="462"/>
      <c r="F36" s="462"/>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2" t="s">
        <v>201</v>
      </c>
      <c r="C40" s="462"/>
      <c r="D40" s="462"/>
      <c r="E40" s="462"/>
      <c r="F40" s="462"/>
    </row>
    <row r="41" spans="2:6">
      <c r="B41" s="44" t="s">
        <v>202</v>
      </c>
      <c r="C41" s="292">
        <f>Normalized_FCF!C9</f>
        <v>0</v>
      </c>
      <c r="D41" s="1" t="str">
        <f>Reporting_currency</f>
        <v>HKD</v>
      </c>
    </row>
    <row r="43" spans="2:6">
      <c r="B43" s="462" t="s">
        <v>205</v>
      </c>
      <c r="C43" s="462"/>
      <c r="D43" s="462"/>
      <c r="E43" s="462"/>
      <c r="F43" s="462"/>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2" t="s">
        <v>206</v>
      </c>
      <c r="C51" s="462"/>
      <c r="D51" s="462"/>
      <c r="E51" s="462"/>
      <c r="F51" s="462"/>
    </row>
    <row r="52" spans="2:6">
      <c r="B52" s="44" t="s">
        <v>204</v>
      </c>
      <c r="C52" s="292">
        <f>Normalized_FCF!C12</f>
        <v>-52872.613354906651</v>
      </c>
      <c r="D52" s="1" t="str">
        <f>Reporting_currency</f>
        <v>HKD</v>
      </c>
    </row>
    <row r="54" spans="2:6">
      <c r="B54" s="462" t="s">
        <v>265</v>
      </c>
      <c r="C54" s="463"/>
      <c r="D54" s="463"/>
      <c r="E54" s="463"/>
      <c r="F54" s="463"/>
    </row>
    <row r="55" spans="2:6">
      <c r="B55" s="44" t="s">
        <v>207</v>
      </c>
      <c r="C55" s="292">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6.1063666265514203E-2</v>
      </c>
      <c r="F62" s="263"/>
    </row>
    <row r="63" spans="2:6">
      <c r="B63" s="206" t="s">
        <v>332</v>
      </c>
      <c r="C63" s="89">
        <f>Normalized_FCF!C92</f>
        <v>6.1538461538461542E-2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470</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473</v>
      </c>
      <c r="C92" s="219">
        <f>DCF!F8</f>
        <v>-2.9076464486309033</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-2.5047246524922007</v>
      </c>
      <c r="D111" s="1" t="str">
        <f>Market_currency</f>
        <v>HKD</v>
      </c>
    </row>
    <row r="112" spans="2:6">
      <c r="B112" s="44" t="s">
        <v>323</v>
      </c>
      <c r="C112" s="219">
        <f>DCF!C11</f>
        <v>2.5670270786220946</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2" t="s">
        <v>357</v>
      </c>
      <c r="C124" s="462"/>
      <c r="D124" s="462"/>
      <c r="E124" s="462"/>
      <c r="F124" s="462"/>
    </row>
    <row r="125" spans="2:6">
      <c r="B125" s="193" t="s">
        <v>218</v>
      </c>
      <c r="C125" s="197">
        <f>Scenarios!C36</f>
        <v>7.8143613713918958</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0.4</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0.73194063044404789</v>
      </c>
      <c r="D140" s="340">
        <f>Scenarios!D62</f>
        <v>3.6010881895815197</v>
      </c>
      <c r="E140" s="341">
        <f>Scenarios!E62</f>
        <v>4.333028820025568</v>
      </c>
      <c r="F140" s="342">
        <f>E22</f>
        <v>0.29465259038036606</v>
      </c>
    </row>
    <row r="141" spans="1:6">
      <c r="B141" s="343" t="s">
        <v>313</v>
      </c>
      <c r="C141" s="340">
        <f>Scenarios!C63</f>
        <v>0.84160157890763132</v>
      </c>
      <c r="D141" s="340">
        <f>Scenarios!D63</f>
        <v>4.513710539432144</v>
      </c>
      <c r="E141" s="341">
        <f>Scenarios!E63</f>
        <v>5.3553121183397749</v>
      </c>
      <c r="F141" s="342">
        <f>Scenarios!F63</f>
        <v>0.20075184365903009</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0.96504125037545974</v>
      </c>
      <c r="D144" s="340">
        <f>Scenarios!D66</f>
        <v>5.6010247277185474</v>
      </c>
      <c r="E144" s="341">
        <f>Scenarios!E66</f>
        <v>6.5660659780940076</v>
      </c>
      <c r="F144" s="342">
        <f>E24</f>
        <v>0.1174</v>
      </c>
    </row>
    <row r="145" spans="1:6">
      <c r="B145" s="343" t="s">
        <v>314</v>
      </c>
      <c r="C145" s="340">
        <f>Scenarios!C67</f>
        <v>1.0449500908692064</v>
      </c>
      <c r="D145" s="340">
        <f>Scenarios!D67</f>
        <v>6.3343431768387548</v>
      </c>
      <c r="E145" s="341">
        <f>Scenarios!E67</f>
        <v>7.3792932677079612</v>
      </c>
      <c r="F145" s="342">
        <f>Scenarios!F67</f>
        <v>7.2499999999999995E-2</v>
      </c>
    </row>
    <row r="147" spans="1:6" ht="13.9">
      <c r="A147" s="202" t="s">
        <v>479</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405</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406</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6.1538461538461542E-2</v>
      </c>
      <c r="E92" s="241"/>
      <c r="G92" s="22">
        <f t="shared" ref="G92:Q92" si="38">IF(G$4="","",(G88*(1-dividend_tax_rate))/Market_Price)</f>
        <v>6.1538461538461542E-2</v>
      </c>
      <c r="H92" s="22">
        <f t="shared" si="38"/>
        <v>8.7692307692307681E-2</v>
      </c>
      <c r="I92" s="22">
        <f t="shared" si="38"/>
        <v>5.8461538461538461E-2</v>
      </c>
      <c r="J92" s="22">
        <f t="shared" si="38"/>
        <v>5.8461538461538461E-2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6.1063666265514203E-2</v>
      </c>
      <c r="D124" s="26"/>
      <c r="E124" s="238"/>
      <c r="F124" s="26"/>
      <c r="G124" s="74">
        <f t="shared" ref="G124" si="49">IF(G$4="","",G123/Market_Price)</f>
        <v>7.6657464356537391E-2</v>
      </c>
      <c r="H124" s="74">
        <f t="shared" ref="H124" si="50">IF(H$4="","",H123/Market_Price)</f>
        <v>9.2090452702739689E-2</v>
      </c>
      <c r="I124" s="74">
        <f t="shared" ref="I124" si="51">IF(I$4="","",I123/Market_Price)</f>
        <v>2.8889462596864448E-2</v>
      </c>
      <c r="J124" s="74">
        <f t="shared" ref="J124" si="52">IF(J$4="","",J123/Market_Price)</f>
        <v>-6.333143803744533E-3</v>
      </c>
      <c r="K124" s="74">
        <f t="shared" ref="K124" si="53">IF(K$4="","",K123/Market_Price)</f>
        <v>-3.152418398124112E-2</v>
      </c>
      <c r="L124" s="74">
        <f t="shared" ref="L124" si="54">IF(L$4="","",L123/Market_Price)</f>
        <v>5.533489374626735E-2</v>
      </c>
      <c r="M124" s="74">
        <f t="shared" ref="M124" si="55">IF(M$4="","",M123/Market_Price)</f>
        <v>0.14795520462288819</v>
      </c>
      <c r="N124" s="74">
        <f t="shared" ref="N124" si="56">IF(N$4="","",N123/Market_Price)</f>
        <v>0.12204159170840694</v>
      </c>
      <c r="O124" s="74">
        <f t="shared" ref="O124" si="57">IF(O$4="","",O123/Market_Price)</f>
        <v>0.13722875400976869</v>
      </c>
      <c r="P124" s="74">
        <f t="shared" ref="P124" si="58">IF(P$4="","",P123/Market_Price)</f>
        <v>0.13379482563277015</v>
      </c>
      <c r="Q124" s="74" t="str">
        <f t="shared" ref="Q124" si="59">IF(Q$4="","",Q123/Market_Price)</f>
        <v/>
      </c>
    </row>
    <row r="125" spans="1:17" ht="15.75" customHeight="1">
      <c r="B125" s="2" t="s">
        <v>306</v>
      </c>
      <c r="C125" s="151"/>
      <c r="G125" s="22">
        <f>IF(G$4="","",(Data!C47*$C$3)/(Market_Price*Common_Shares))</f>
        <v>6.2363226837981449E-2</v>
      </c>
      <c r="H125" s="22">
        <f>IF(H$4="","",(Data!D47*$C$3)/(Market_Price*Common_Shares))</f>
        <v>8.8385327061762262E-2</v>
      </c>
      <c r="I125" s="22">
        <f>IF(I$4="","",(Data!E47*$C$3)/(Market_Price*Common_Shares))</f>
        <v>2.949236787064256E-2</v>
      </c>
      <c r="J125" s="22">
        <f>IF(J$4="","",(Data!F47*$C$3)/(Market_Price*Common_Shares))</f>
        <v>6.0609658129473993E-3</v>
      </c>
      <c r="K125" s="22">
        <f>IF(K$4="","",(Data!G47*$C$3)/(Market_Price*Common_Shares))</f>
        <v>9.5635939774975268E-2</v>
      </c>
      <c r="L125" s="22">
        <f>IF(L$4="","",(Data!H47*$C$3)/(Market_Price*Common_Shares))</f>
        <v>1.9730897284984915E-2</v>
      </c>
      <c r="M125" s="22">
        <f>IF(M$4="","",(Data!I47*$C$3)/(Market_Price*Common_Shares))</f>
        <v>0.15705726334810874</v>
      </c>
      <c r="N125" s="22">
        <f>IF(N$4="","",(Data!J47*$C$3)/(Market_Price*Common_Shares))</f>
        <v>0.1218280653416926</v>
      </c>
      <c r="O125" s="22">
        <f>IF(O$4="","",(Data!K47*$C$3)/(Market_Price*Common_Shares))</f>
        <v>0.13364628555157756</v>
      </c>
      <c r="P125" s="22">
        <f>IF(P$4="","",(Data!L47*$C$3)/(Market_Price*Common_Shares))</f>
        <v>0.13736244008284204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230211.62257446788</v>
      </c>
      <c r="D4" t="str">
        <f>Reporting_currency</f>
        <v>HKD</v>
      </c>
      <c r="E4" s="135" t="s">
        <v>435</v>
      </c>
      <c r="F4" s="282">
        <f>-BS!G31</f>
        <v>-2134310</v>
      </c>
      <c r="G4" t="str">
        <f>Reporting_currency</f>
        <v>HKD</v>
      </c>
      <c r="H4" s="315" t="s">
        <v>394</v>
      </c>
      <c r="I4" s="312">
        <f>Normalized_FCF!C4</f>
        <v>8198140.75</v>
      </c>
      <c r="J4" s="312"/>
    </row>
    <row r="5" spans="2:15">
      <c r="B5" s="187" t="s">
        <v>105</v>
      </c>
      <c r="C5" s="188">
        <f>Equity_Cost</f>
        <v>7.2499999999999995E-2</v>
      </c>
      <c r="E5" s="135" t="s">
        <v>436</v>
      </c>
      <c r="F5" s="282">
        <f>BS!D66</f>
        <v>384381.13325594889</v>
      </c>
      <c r="G5" t="str">
        <f>Reporting_currency</f>
        <v>HKD</v>
      </c>
      <c r="H5" s="315" t="s">
        <v>396</v>
      </c>
      <c r="I5" s="312">
        <f>Normalized_FCF!C7</f>
        <v>-494493</v>
      </c>
      <c r="J5" s="312"/>
    </row>
    <row r="6" spans="2:15" ht="13.25" customHeight="1">
      <c r="B6" s="136" t="s">
        <v>194</v>
      </c>
      <c r="C6" s="290">
        <f>(C4*(1+Terminal_Growth))/(Equity_Cost-Terminal_Growth)</f>
        <v>3175332.7251650742</v>
      </c>
      <c r="D6" t="str">
        <f>Reporting_currency</f>
        <v>HKD</v>
      </c>
      <c r="E6" s="187" t="s">
        <v>437</v>
      </c>
      <c r="F6" s="291">
        <f>BS!H42</f>
        <v>63482.2</v>
      </c>
      <c r="G6" t="str">
        <f>Reporting_currency</f>
        <v>HKD</v>
      </c>
      <c r="H6" s="315" t="s">
        <v>419</v>
      </c>
      <c r="I6" s="312">
        <f>I7+I8</f>
        <v>-78679.881332559497</v>
      </c>
      <c r="J6" s="312"/>
      <c r="N6" s="135"/>
    </row>
    <row r="7" spans="2:15" ht="12.75" customHeight="1">
      <c r="B7" s="325" t="s">
        <v>434</v>
      </c>
      <c r="C7" s="282">
        <f>F7</f>
        <v>-1686446.6667440513</v>
      </c>
      <c r="E7" s="140" t="s">
        <v>428</v>
      </c>
      <c r="F7" s="290">
        <f>SUM(F4:F6)</f>
        <v>-1686446.6667440513</v>
      </c>
      <c r="G7" t="str">
        <f>Reporting_currency</f>
        <v>HKD</v>
      </c>
      <c r="H7" s="319" t="s">
        <v>420</v>
      </c>
      <c r="I7" s="320">
        <f>Normalized_FCF!C9</f>
        <v>0</v>
      </c>
      <c r="J7" s="320"/>
      <c r="N7" s="311"/>
      <c r="O7" s="311"/>
    </row>
    <row r="8" spans="2:15" ht="13.15">
      <c r="B8" s="136" t="s">
        <v>430</v>
      </c>
      <c r="C8" s="290">
        <f>C6+C7</f>
        <v>1488886.058421023</v>
      </c>
      <c r="D8" t="str">
        <f>Reporting_currency</f>
        <v>HKD</v>
      </c>
      <c r="E8" s="140" t="s">
        <v>468</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431</v>
      </c>
      <c r="C10" s="290">
        <f>C8*Exchange_Rate</f>
        <v>1488886.058421023</v>
      </c>
      <c r="D10" t="str">
        <f>Market_currency</f>
        <v>HKD</v>
      </c>
      <c r="H10" s="315" t="s">
        <v>398</v>
      </c>
      <c r="I10" s="313">
        <f>Normalized_FCF!C41</f>
        <v>0.16500000000000001</v>
      </c>
      <c r="N10" s="311"/>
      <c r="O10" s="311"/>
    </row>
    <row r="11" spans="2:15" ht="13.15">
      <c r="B11" s="136" t="s">
        <v>429</v>
      </c>
      <c r="C11" s="108">
        <f>(C10*scaling_factor)/Common_Shares</f>
        <v>2.5670270786220946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II</v>
      </c>
      <c r="H14" s="106" t="s">
        <v>416</v>
      </c>
    </row>
    <row r="15" spans="2:15">
      <c r="B15" s="139" t="s">
        <v>425</v>
      </c>
      <c r="C15" s="148">
        <f>Scenarios!C45</f>
        <v>15</v>
      </c>
      <c r="E15" s="315" t="str">
        <f>IF(F14="II","Change year","Terminal Year")</f>
        <v>Change year</v>
      </c>
      <c r="F15" s="317">
        <f>IF(F14="II",_xlfn.CEILING.MATH(C15/2),C15+1)</f>
        <v>8</v>
      </c>
      <c r="H15" s="97" t="s">
        <v>433</v>
      </c>
      <c r="I15" s="126">
        <f>Terminal_Growth</f>
        <v>0</v>
      </c>
      <c r="J15" s="126"/>
    </row>
    <row r="16" spans="2:15" ht="13.25" customHeight="1">
      <c r="B16" s="114" t="s">
        <v>426</v>
      </c>
      <c r="C16" s="147">
        <f>Scenarios!C46</f>
        <v>3.0149622951542498E-2</v>
      </c>
      <c r="E16" s="315" t="s">
        <v>401</v>
      </c>
      <c r="F16" s="318">
        <f>Scenarios!C41</f>
        <v>0.02</v>
      </c>
    </row>
    <row r="17" spans="1:21" ht="13.25" customHeight="1">
      <c r="B17" s="315" t="s">
        <v>395</v>
      </c>
      <c r="C17" s="313">
        <f>Normalized_FCF!C32</f>
        <v>0.89099809462634716</v>
      </c>
      <c r="E17" s="315" t="s">
        <v>402</v>
      </c>
      <c r="F17" s="318">
        <f>Scenarios!C40</f>
        <v>0.86799999999999999</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7.8099395838685268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8445311.6025161762</v>
      </c>
      <c r="D21" s="306">
        <f t="shared" ref="D21:D50" si="1">IF(A21="",0,IF(A21="I",$C$16,$F$16))</f>
        <v>3.0149622951542498E-2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3.0149622951542498E-2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3.0149622951542498E-2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3.0149622951542498E-2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3.0149622951542498E-2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3.0149622951542498E-2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3.0149622951542498E-2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67" t="s">
        <v>424</v>
      </c>
      <c r="K52" s="467"/>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398162</v>
      </c>
      <c r="D7" s="468"/>
      <c r="E7" s="468"/>
      <c r="F7" s="468"/>
      <c r="G7" s="468"/>
    </row>
    <row r="8" spans="2:7">
      <c r="B8" s="97" t="s">
        <v>63</v>
      </c>
      <c r="C8" s="455">
        <f>Normalized_FCF!G19</f>
        <v>289000.65016124537</v>
      </c>
      <c r="D8" s="468"/>
      <c r="E8" s="468"/>
      <c r="F8" s="468"/>
      <c r="G8" s="468"/>
    </row>
    <row r="9" spans="2:7">
      <c r="B9" s="97" t="s">
        <v>54</v>
      </c>
      <c r="C9" s="455">
        <f>Normalized_FCF!C19</f>
        <v>230211.62257446788</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3.3358728201447585E-2</v>
      </c>
      <c r="D12" s="468"/>
      <c r="E12" s="468"/>
      <c r="F12" s="468"/>
      <c r="G12" s="468"/>
    </row>
    <row r="13" spans="2:7">
      <c r="B13" s="135" t="s">
        <v>127</v>
      </c>
      <c r="C13" s="255">
        <f ca="1">(Normalized_FCF!G8/OFFSET(Normalized_FCF!G8, 0, $C$4))^(1/$C$4) - 1</f>
        <v>0.35590966478967423</v>
      </c>
      <c r="D13" s="468"/>
      <c r="E13" s="468"/>
      <c r="F13" s="468"/>
      <c r="G13" s="468"/>
    </row>
    <row r="14" spans="2:7">
      <c r="B14" s="97" t="s">
        <v>63</v>
      </c>
      <c r="C14" s="255">
        <f ca="1">(Normalized_FCF!G19/OFFSET(Normalized_FCF!G19, 0, $C$4))^(1/$C$4) - 1</f>
        <v>0.62894902211793369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15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0.04</v>
      </c>
      <c r="D22" s="332">
        <f>C18</f>
        <v>15</v>
      </c>
      <c r="E22" s="333">
        <f>DCF!E83</f>
        <v>8.5598252024946575</v>
      </c>
      <c r="F22" s="335">
        <f>1-F23-F24</f>
        <v>0.2</v>
      </c>
      <c r="G22" s="335">
        <f>F22*(1-F$29-F$30)</f>
        <v>0.18</v>
      </c>
    </row>
    <row r="23" spans="2:7">
      <c r="B23" s="309" t="s">
        <v>441</v>
      </c>
      <c r="C23" s="331">
        <v>0.03</v>
      </c>
      <c r="D23" s="332">
        <f>C18</f>
        <v>15</v>
      </c>
      <c r="E23" s="333">
        <f>DCF!E84</f>
        <v>7.7988591431268164</v>
      </c>
      <c r="F23" s="334">
        <v>0.6</v>
      </c>
      <c r="G23" s="335">
        <f t="shared" ref="G23:G24" si="0">F23*(1-F$29-F$30)</f>
        <v>0.53999999999999992</v>
      </c>
    </row>
    <row r="24" spans="2:7">
      <c r="B24" s="309" t="s">
        <v>450</v>
      </c>
      <c r="C24" s="331">
        <v>0.02</v>
      </c>
      <c r="D24" s="332">
        <f>C18</f>
        <v>15</v>
      </c>
      <c r="E24" s="333">
        <f>DCF!E85</f>
        <v>7.0786787487122345</v>
      </c>
      <c r="F24" s="334">
        <v>0.2</v>
      </c>
      <c r="G24" s="335">
        <f t="shared" si="0"/>
        <v>0.18</v>
      </c>
    </row>
    <row r="25" spans="2:7">
      <c r="B25" s="141" t="s">
        <v>455</v>
      </c>
      <c r="C25" s="449">
        <f>E23*F23+E24*F24+E22*F22</f>
        <v>7.8070162761174675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0.05</v>
      </c>
      <c r="D29" s="332">
        <f>C18</f>
        <v>15</v>
      </c>
      <c r="E29" s="333">
        <f>DCF!E82</f>
        <v>9.3635390248553545</v>
      </c>
      <c r="F29" s="334">
        <v>0.05</v>
      </c>
      <c r="G29" s="335">
        <f>F29</f>
        <v>0.05</v>
      </c>
    </row>
    <row r="30" spans="2:7">
      <c r="B30" s="322" t="s">
        <v>451</v>
      </c>
      <c r="C30" s="331">
        <v>0.01</v>
      </c>
      <c r="D30" s="332">
        <f>C18</f>
        <v>15</v>
      </c>
      <c r="E30" s="333">
        <f>DCF!E86</f>
        <v>6.3973954328681506</v>
      </c>
      <c r="F30" s="334">
        <v>0.05</v>
      </c>
      <c r="G30" s="335">
        <f>F30</f>
        <v>0.05</v>
      </c>
    </row>
    <row r="31" spans="2:7">
      <c r="E31" s="336"/>
      <c r="F31" s="336"/>
    </row>
    <row r="32" spans="2:7" ht="13.15">
      <c r="B32" s="145" t="s">
        <v>460</v>
      </c>
    </row>
    <row r="33" spans="2:7">
      <c r="B33" s="97" t="s">
        <v>462</v>
      </c>
      <c r="C33" s="155">
        <f>Normalized_FCF!C88*(1-dividend_tax_rate)</f>
        <v>0.4</v>
      </c>
      <c r="D33" t="str">
        <f>Market_currency</f>
        <v>HKD</v>
      </c>
      <c r="E33" s="97" t="s">
        <v>459</v>
      </c>
      <c r="F33" s="222">
        <f>Holding_Period</f>
        <v>3</v>
      </c>
    </row>
    <row r="34" spans="2:7">
      <c r="B34" s="97" t="s">
        <v>233</v>
      </c>
      <c r="C34" s="146">
        <f>Market_Price</f>
        <v>6.5</v>
      </c>
      <c r="D34" t="str">
        <f>Market_currency</f>
        <v>HKD</v>
      </c>
      <c r="E34" s="97" t="s">
        <v>458</v>
      </c>
      <c r="F34" s="337">
        <f>RATE(Holding_Period,$C$33,-C34,$C$36)</f>
        <v>0.12138349206304627</v>
      </c>
    </row>
    <row r="35" spans="2:7">
      <c r="B35" s="97" t="s">
        <v>438</v>
      </c>
      <c r="C35" s="327">
        <f>DCF!C11</f>
        <v>2.5670270786220946</v>
      </c>
      <c r="D35" s="97" t="str">
        <f>Market_currency</f>
        <v>HKD</v>
      </c>
      <c r="E35" s="97" t="s">
        <v>458</v>
      </c>
      <c r="F35" s="337">
        <f>RATE(Holding_Period,$C$33,-C35,$C$36)</f>
        <v>0.56386844863399943</v>
      </c>
    </row>
    <row r="36" spans="2:7">
      <c r="B36" s="97" t="s">
        <v>439</v>
      </c>
      <c r="C36" s="328">
        <f>E22*G22+E23*G23+E24*G24+E30*G30+E29*G29</f>
        <v>7.8143613713918958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3.0149622951542498E-2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0.4</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0.73194063044404789</v>
      </c>
      <c r="D62" s="119">
        <f>C36/(1+F62)^Holding_Period</f>
        <v>3.6010881895815197</v>
      </c>
      <c r="E62" s="339">
        <f>C62+D62</f>
        <v>4.333028820025568</v>
      </c>
      <c r="F62" s="308">
        <f>Thesis!E22</f>
        <v>0.29465259038036606</v>
      </c>
      <c r="G62" s="448">
        <f>(1-E62/C36)</f>
        <v>0.44550442267891077</v>
      </c>
    </row>
    <row r="63" spans="2:7" ht="13.15">
      <c r="B63" s="309" t="s">
        <v>313</v>
      </c>
      <c r="C63" s="119">
        <f>PV(F63, Holding_Period, -C58, 0)</f>
        <v>0.84160157890763132</v>
      </c>
      <c r="D63" s="119">
        <f>C36/(1+F63)^Holding_Period</f>
        <v>4.513710539432144</v>
      </c>
      <c r="E63" s="339">
        <f>C63+D63</f>
        <v>5.3553121183397749</v>
      </c>
      <c r="F63" s="308">
        <f>Thesis!E23</f>
        <v>0.20075184365903009</v>
      </c>
      <c r="G63" s="448">
        <f>(1-E63/C36)</f>
        <v>0.31468332934468768</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0.96504125037545974</v>
      </c>
      <c r="D66" s="119">
        <f>C36/(1+F66)^Holding_Period</f>
        <v>5.6010247277185474</v>
      </c>
      <c r="E66" s="339">
        <f>C66+D66</f>
        <v>6.5660659780940076</v>
      </c>
      <c r="F66" s="308">
        <f>Thesis!E24</f>
        <v>0.1174</v>
      </c>
      <c r="G66" s="448">
        <f>(1-E66/C47)</f>
        <v>0.15926801896697729</v>
      </c>
    </row>
    <row r="67" spans="2:7" ht="13.15">
      <c r="B67" s="309" t="s">
        <v>314</v>
      </c>
      <c r="C67" s="119">
        <f>PV(F67, Holding_Period, -C58, 0)</f>
        <v>1.0449500908692064</v>
      </c>
      <c r="D67" s="119">
        <f>C36/(1+F67)^Holding_Period</f>
        <v>6.3343431768387548</v>
      </c>
      <c r="E67" s="339">
        <f>C67+D67</f>
        <v>7.3792932677079612</v>
      </c>
      <c r="F67" s="308">
        <f>Thesis!E25</f>
        <v>7.2499999999999995E-2</v>
      </c>
      <c r="G67" s="448">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546</v>
      </c>
      <c r="F3" s="444">
        <f>Thesis!F3</f>
        <v>45930</v>
      </c>
    </row>
    <row r="4" spans="1:10">
      <c r="B4" s="430" t="s">
        <v>538</v>
      </c>
      <c r="C4" s="431" t="str">
        <f>Thesis!C4</f>
        <v>大家乐集团</v>
      </c>
      <c r="D4" s="356"/>
      <c r="E4" s="442" t="s">
        <v>544</v>
      </c>
      <c r="F4" s="445" t="str">
        <f>Thesis!F4</f>
        <v>INT</v>
      </c>
    </row>
    <row r="5" spans="1:10">
      <c r="B5" s="350" t="s">
        <v>364</v>
      </c>
      <c r="C5" s="362" t="str">
        <f>Thesis!C5</f>
        <v>0341.HK</v>
      </c>
      <c r="E5" s="446" t="s">
        <v>545</v>
      </c>
      <c r="F5" s="447" t="str">
        <f>Thesis!F5</f>
        <v>Y</v>
      </c>
    </row>
    <row r="6" spans="1:10">
      <c r="B6" s="357" t="s">
        <v>336</v>
      </c>
      <c r="C6" s="359" t="str">
        <f>Thesis!C6</f>
        <v>CNS_01</v>
      </c>
      <c r="E6" s="361"/>
    </row>
    <row r="7" spans="1:10">
      <c r="B7" s="350" t="s">
        <v>366</v>
      </c>
      <c r="C7" s="359" t="str">
        <f>Market_currency</f>
        <v>HKD</v>
      </c>
      <c r="D7" s="361"/>
      <c r="E7" s="361"/>
    </row>
    <row r="8" spans="1:10">
      <c r="B8" s="358" t="s">
        <v>365</v>
      </c>
      <c r="C8" s="363">
        <f>Market_Price</f>
        <v>6.5</v>
      </c>
    </row>
    <row r="9" spans="1:10">
      <c r="B9" s="358" t="s">
        <v>361</v>
      </c>
      <c r="C9" s="360">
        <f>Common_Shares</f>
        <v>580004033</v>
      </c>
    </row>
    <row r="10" spans="1:10">
      <c r="B10" s="358" t="s">
        <v>367</v>
      </c>
      <c r="C10" s="364">
        <f>投资主题!C8*Common_Shares/1000000</f>
        <v>3770.0262145000002</v>
      </c>
      <c r="D10" s="350" t="s">
        <v>533</v>
      </c>
      <c r="E10" s="367">
        <f>Scenarios!F34</f>
        <v>0.12138349206304627</v>
      </c>
    </row>
    <row r="11" spans="1:10">
      <c r="D11" s="356"/>
      <c r="E11" s="356"/>
    </row>
    <row r="12" spans="1:10" ht="24.5" customHeight="1">
      <c r="B12" s="473" t="s">
        <v>502</v>
      </c>
      <c r="C12" s="473"/>
      <c r="D12" s="473"/>
      <c r="E12" s="473"/>
      <c r="F12" s="473"/>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539</v>
      </c>
      <c r="C17" s="432">
        <f>Terminal_Growth</f>
        <v>0</v>
      </c>
      <c r="D17" s="358" t="s">
        <v>339</v>
      </c>
      <c r="E17" s="351" t="str">
        <f>Reporting_currency</f>
        <v>HKD</v>
      </c>
    </row>
    <row r="18" spans="1:6">
      <c r="B18" s="350" t="str">
        <f>"预期股权价值 ("&amp;C7&amp;") :"</f>
        <v>预期股权价值 (HKD) :</v>
      </c>
      <c r="C18" s="366">
        <f>C125</f>
        <v>7.8143613713918958</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45991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4.333028820025568</v>
      </c>
      <c r="D22" s="372" t="s">
        <v>444</v>
      </c>
      <c r="E22" s="373">
        <f>Thesis!E22</f>
        <v>0.29465259038036606</v>
      </c>
    </row>
    <row r="23" spans="1:6">
      <c r="B23" s="350" t="s">
        <v>341</v>
      </c>
      <c r="C23" s="374">
        <f>E141</f>
        <v>5.3553121183397749</v>
      </c>
      <c r="D23" s="372" t="s">
        <v>445</v>
      </c>
      <c r="E23" s="375">
        <f>Thesis!E23</f>
        <v>0.20075184365903009</v>
      </c>
    </row>
    <row r="24" spans="1:6">
      <c r="B24" s="350" t="s">
        <v>343</v>
      </c>
      <c r="C24" s="374">
        <f>E144</f>
        <v>6.5660659780940076</v>
      </c>
      <c r="D24" s="372" t="s">
        <v>447</v>
      </c>
      <c r="E24" s="375">
        <f>Thesis!E24</f>
        <v>0.1174</v>
      </c>
    </row>
    <row r="25" spans="1:6">
      <c r="B25" s="350" t="s">
        <v>342</v>
      </c>
      <c r="C25" s="374">
        <f>E145</f>
        <v>7.3792932677079612</v>
      </c>
      <c r="D25" s="372" t="s">
        <v>446</v>
      </c>
      <c r="E25" s="375">
        <f>Thesis!E25</f>
        <v>7.2499999999999995E-2</v>
      </c>
    </row>
    <row r="27" spans="1:6" ht="13.9">
      <c r="A27" s="352" t="s">
        <v>345</v>
      </c>
      <c r="B27" s="352"/>
      <c r="C27" s="352"/>
      <c r="D27" s="352"/>
      <c r="E27" s="352"/>
      <c r="F27" s="352"/>
    </row>
    <row r="29" spans="1:6">
      <c r="B29" s="473" t="s">
        <v>503</v>
      </c>
      <c r="C29" s="473"/>
      <c r="D29" s="473"/>
      <c r="E29" s="473"/>
      <c r="F29" s="473"/>
    </row>
    <row r="30" spans="1:6" ht="24.5" customHeight="1">
      <c r="B30" s="476" t="s">
        <v>504</v>
      </c>
      <c r="C30" s="476"/>
      <c r="D30" s="476"/>
      <c r="E30" s="476"/>
      <c r="F30" s="476"/>
    </row>
    <row r="32" spans="1:6">
      <c r="B32" s="376" t="s">
        <v>371</v>
      </c>
      <c r="C32" s="377">
        <f>scaling_factor</f>
        <v>1000</v>
      </c>
    </row>
    <row r="33" spans="2:6">
      <c r="B33" s="469" t="s">
        <v>505</v>
      </c>
      <c r="C33" s="469"/>
      <c r="D33" s="469"/>
      <c r="E33" s="469"/>
      <c r="F33" s="469"/>
    </row>
    <row r="34" spans="2:6">
      <c r="B34" s="379" t="s">
        <v>197</v>
      </c>
      <c r="C34" s="380">
        <f>Normalized_FCF!C8</f>
        <v>399119.96227138769</v>
      </c>
      <c r="D34" s="350" t="str">
        <f>Reporting_currency</f>
        <v>HKD</v>
      </c>
    </row>
    <row r="35" spans="2:6">
      <c r="B35" s="379"/>
      <c r="C35" s="381"/>
    </row>
    <row r="36" spans="2:6" ht="24.5" customHeight="1">
      <c r="B36" s="469" t="s">
        <v>506</v>
      </c>
      <c r="C36" s="469"/>
      <c r="D36" s="469"/>
      <c r="E36" s="469"/>
      <c r="F36" s="469"/>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69" t="s">
        <v>507</v>
      </c>
      <c r="C40" s="469"/>
      <c r="D40" s="469"/>
      <c r="E40" s="469"/>
      <c r="F40" s="469"/>
    </row>
    <row r="41" spans="2:6">
      <c r="B41" s="379" t="s">
        <v>202</v>
      </c>
      <c r="C41" s="380">
        <f>Normalized_FCF!C9</f>
        <v>0</v>
      </c>
      <c r="D41" s="350" t="str">
        <f>Reporting_currency</f>
        <v>HKD</v>
      </c>
    </row>
    <row r="43" spans="2:6">
      <c r="B43" s="469" t="s">
        <v>508</v>
      </c>
      <c r="C43" s="469"/>
      <c r="D43" s="469"/>
      <c r="E43" s="469"/>
      <c r="F43" s="469"/>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509</v>
      </c>
    </row>
    <row r="49" spans="2:6">
      <c r="B49" s="379" t="s">
        <v>223</v>
      </c>
      <c r="C49" s="380">
        <f>Normalized_FCF!C13</f>
        <v>-37355.845009453624</v>
      </c>
      <c r="D49" s="350" t="str">
        <f>Reporting_currency</f>
        <v>HKD</v>
      </c>
    </row>
    <row r="51" spans="2:6">
      <c r="B51" s="469" t="s">
        <v>510</v>
      </c>
      <c r="C51" s="469"/>
      <c r="D51" s="469"/>
      <c r="E51" s="469"/>
      <c r="F51" s="469"/>
    </row>
    <row r="52" spans="2:6">
      <c r="B52" s="379" t="s">
        <v>500</v>
      </c>
      <c r="C52" s="380">
        <f>Normalized_FCF!C12</f>
        <v>-52872.613354906651</v>
      </c>
      <c r="D52" s="350" t="str">
        <f>Reporting_currency</f>
        <v>HKD</v>
      </c>
    </row>
    <row r="54" spans="2:6">
      <c r="B54" s="469" t="s">
        <v>511</v>
      </c>
      <c r="C54" s="475"/>
      <c r="D54" s="475"/>
      <c r="E54" s="475"/>
      <c r="F54" s="475"/>
    </row>
    <row r="55" spans="2:6">
      <c r="B55" s="379" t="s">
        <v>207</v>
      </c>
      <c r="C55" s="380">
        <f>Normalized_FCF!C17</f>
        <v>0</v>
      </c>
      <c r="D55" s="350" t="str">
        <f>Reporting_currency</f>
        <v>HKD</v>
      </c>
    </row>
    <row r="57" spans="2:6">
      <c r="B57" s="473" t="s">
        <v>512</v>
      </c>
      <c r="C57" s="473"/>
      <c r="D57" s="473"/>
      <c r="E57" s="473"/>
      <c r="F57" s="473"/>
    </row>
    <row r="58" spans="2:6">
      <c r="B58" s="473" t="s">
        <v>513</v>
      </c>
      <c r="C58" s="473"/>
      <c r="D58" s="473"/>
      <c r="E58" s="473"/>
      <c r="F58" s="473"/>
    </row>
    <row r="60" spans="2:6">
      <c r="B60" s="379" t="s">
        <v>372</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6.1063666265514203E-2</v>
      </c>
      <c r="F62" s="386"/>
    </row>
    <row r="63" spans="2:6">
      <c r="B63" s="384" t="s">
        <v>332</v>
      </c>
      <c r="C63" s="385">
        <f>Normalized_FCF!C92</f>
        <v>6.1538461538461542E-2</v>
      </c>
      <c r="E63" s="379" t="s">
        <v>373</v>
      </c>
      <c r="F63" s="387">
        <f>Normalized_FCF!C90</f>
        <v>1.0077754137932506</v>
      </c>
    </row>
    <row r="65" spans="1:6">
      <c r="B65" s="376" t="s">
        <v>376</v>
      </c>
      <c r="C65" s="388" t="s">
        <v>327</v>
      </c>
      <c r="D65" s="388" t="s">
        <v>374</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480</v>
      </c>
      <c r="B71" s="352"/>
      <c r="C71" s="352"/>
      <c r="D71" s="352"/>
      <c r="E71" s="352"/>
      <c r="F71" s="352"/>
    </row>
    <row r="72" spans="1:6">
      <c r="A72" s="392"/>
    </row>
    <row r="73" spans="1:6">
      <c r="A73" s="393"/>
      <c r="B73" s="473" t="s">
        <v>514</v>
      </c>
      <c r="C73" s="473"/>
      <c r="D73" s="473"/>
      <c r="E73" s="473"/>
      <c r="F73" s="473"/>
    </row>
    <row r="74" spans="1:6">
      <c r="B74" s="476" t="s">
        <v>483</v>
      </c>
      <c r="C74" s="476"/>
      <c r="D74" s="476"/>
      <c r="E74" s="476"/>
      <c r="F74" s="476"/>
    </row>
    <row r="76" spans="1:6">
      <c r="B76" s="376" t="s">
        <v>371</v>
      </c>
    </row>
    <row r="77" spans="1:6">
      <c r="B77" s="473" t="s">
        <v>515</v>
      </c>
      <c r="C77" s="473"/>
      <c r="D77" s="473"/>
      <c r="E77" s="473"/>
      <c r="F77" s="473"/>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516</v>
      </c>
    </row>
    <row r="84" spans="1:6">
      <c r="B84" s="350" t="s">
        <v>224</v>
      </c>
      <c r="C84" s="380">
        <f>DCF!F5</f>
        <v>384381.13325594889</v>
      </c>
      <c r="D84" s="350" t="str">
        <f>Reporting_currency</f>
        <v>HKD</v>
      </c>
    </row>
    <row r="85" spans="1:6">
      <c r="B85" s="389" t="s">
        <v>485</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517</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484</v>
      </c>
      <c r="C92" s="394">
        <f>DCF!F8</f>
        <v>-2.9076464486309033</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6" t="s">
        <v>519</v>
      </c>
      <c r="C97" s="476"/>
      <c r="D97" s="476"/>
      <c r="E97" s="476"/>
      <c r="F97" s="476"/>
    </row>
    <row r="98" spans="1:6">
      <c r="A98" s="392"/>
      <c r="B98" s="476" t="s">
        <v>520</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375</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-2.5047246524922007</v>
      </c>
      <c r="D111" s="350" t="str">
        <f>Market_currency</f>
        <v>HKD</v>
      </c>
    </row>
    <row r="112" spans="1:6">
      <c r="A112" s="392"/>
      <c r="B112" s="379" t="s">
        <v>377</v>
      </c>
      <c r="C112" s="401">
        <f>DCF!C11</f>
        <v>2.5670270786220946</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69" t="s">
        <v>523</v>
      </c>
      <c r="C124" s="469"/>
      <c r="D124" s="469"/>
      <c r="E124" s="469"/>
      <c r="F124" s="469"/>
    </row>
    <row r="125" spans="1:6">
      <c r="B125" s="379" t="s">
        <v>218</v>
      </c>
      <c r="C125" s="411">
        <f>Scenarios!C36</f>
        <v>7.8143613713918958</v>
      </c>
      <c r="D125" s="350" t="str">
        <f>Market_currency</f>
        <v>HKD</v>
      </c>
    </row>
    <row r="127" spans="1:6">
      <c r="B127" s="471" t="s">
        <v>524</v>
      </c>
      <c r="C127" s="471"/>
      <c r="D127" s="471"/>
      <c r="E127" s="471"/>
      <c r="F127" s="471"/>
    </row>
    <row r="129" spans="1:6" ht="13.9">
      <c r="A129" s="352" t="s">
        <v>496</v>
      </c>
      <c r="B129" s="352"/>
      <c r="C129" s="352"/>
      <c r="D129" s="352"/>
      <c r="E129" s="352"/>
      <c r="F129" s="352"/>
    </row>
    <row r="131" spans="1:6">
      <c r="B131" s="472" t="s">
        <v>525</v>
      </c>
      <c r="C131" s="472"/>
      <c r="D131" s="472"/>
      <c r="E131" s="472"/>
      <c r="F131" s="472"/>
    </row>
    <row r="132" spans="1:6" ht="24.5" customHeight="1">
      <c r="B132" s="473" t="s">
        <v>526</v>
      </c>
      <c r="C132" s="473"/>
      <c r="D132" s="473"/>
      <c r="E132" s="473"/>
      <c r="F132" s="473"/>
    </row>
    <row r="134" spans="1:6">
      <c r="B134" s="376" t="s">
        <v>371</v>
      </c>
    </row>
    <row r="135" spans="1:6">
      <c r="B135" s="350" t="s">
        <v>382</v>
      </c>
      <c r="C135" s="412">
        <f>E21</f>
        <v>3</v>
      </c>
    </row>
    <row r="136" spans="1:6">
      <c r="B136" s="350" t="s">
        <v>383</v>
      </c>
      <c r="C136" s="413">
        <f>Scenarios!C58</f>
        <v>0.4</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0.73194063044404789</v>
      </c>
      <c r="D140" s="416">
        <f>Scenarios!D62</f>
        <v>3.6010881895815197</v>
      </c>
      <c r="E140" s="417">
        <f>Scenarios!E62</f>
        <v>4.333028820025568</v>
      </c>
      <c r="F140" s="418">
        <f>E22</f>
        <v>0.29465259038036606</v>
      </c>
    </row>
    <row r="141" spans="1:6">
      <c r="B141" s="415" t="s">
        <v>313</v>
      </c>
      <c r="C141" s="416">
        <f>Scenarios!C63</f>
        <v>0.84160157890763132</v>
      </c>
      <c r="D141" s="416">
        <f>Scenarios!D63</f>
        <v>4.513710539432144</v>
      </c>
      <c r="E141" s="417">
        <f>Scenarios!E63</f>
        <v>5.3553121183397749</v>
      </c>
      <c r="F141" s="418">
        <f>Scenarios!F63</f>
        <v>0.20075184365903009</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0.96504125037545974</v>
      </c>
      <c r="D144" s="416">
        <f>Scenarios!D66</f>
        <v>5.6010247277185474</v>
      </c>
      <c r="E144" s="417">
        <f>Scenarios!E66</f>
        <v>6.5660659780940076</v>
      </c>
      <c r="F144" s="418">
        <f>E24</f>
        <v>0.1174</v>
      </c>
    </row>
    <row r="145" spans="1:6">
      <c r="B145" s="415" t="s">
        <v>314</v>
      </c>
      <c r="C145" s="416">
        <f>Scenarios!C67</f>
        <v>1.0449500908692064</v>
      </c>
      <c r="D145" s="416">
        <f>Scenarios!D67</f>
        <v>6.3343431768387548</v>
      </c>
      <c r="E145" s="417">
        <f>Scenarios!E67</f>
        <v>7.3792932677079612</v>
      </c>
      <c r="F145" s="418">
        <f>Scenarios!F67</f>
        <v>7.2499999999999995E-2</v>
      </c>
    </row>
    <row r="147" spans="1:6" ht="13.9">
      <c r="A147" s="352" t="s">
        <v>479</v>
      </c>
      <c r="B147" s="352"/>
      <c r="C147" s="352"/>
      <c r="D147" s="352"/>
      <c r="E147" s="352"/>
      <c r="F147" s="352"/>
    </row>
    <row r="149" spans="1:6">
      <c r="B149" s="474" t="s">
        <v>527</v>
      </c>
      <c r="C149" s="473"/>
      <c r="D149" s="473"/>
      <c r="E149" s="473"/>
      <c r="F149" s="473"/>
    </row>
    <row r="151" spans="1:6">
      <c r="B151" s="376" t="s">
        <v>384</v>
      </c>
    </row>
    <row r="152" spans="1:6">
      <c r="B152" s="475" t="s">
        <v>528</v>
      </c>
      <c r="C152" s="475"/>
      <c r="D152" s="475"/>
      <c r="E152" s="475"/>
      <c r="F152" s="475"/>
    </row>
    <row r="153" spans="1:6">
      <c r="B153" s="419" t="s">
        <v>385</v>
      </c>
    </row>
    <row r="154" spans="1:6">
      <c r="B154" s="419" t="s">
        <v>386</v>
      </c>
    </row>
    <row r="155" spans="1:6">
      <c r="B155" s="419" t="s">
        <v>387</v>
      </c>
    </row>
    <row r="157" spans="1:6">
      <c r="B157" s="350" t="s">
        <v>529</v>
      </c>
    </row>
    <row r="158" spans="1:6" ht="24.5" customHeight="1">
      <c r="B158" s="469" t="s">
        <v>443</v>
      </c>
      <c r="C158" s="469"/>
      <c r="D158" s="469"/>
      <c r="E158" s="469"/>
      <c r="F158" s="469"/>
    </row>
    <row r="160" spans="1:6">
      <c r="B160" s="350" t="s">
        <v>530</v>
      </c>
    </row>
    <row r="161" spans="2:6">
      <c r="B161" s="470" t="s">
        <v>388</v>
      </c>
      <c r="C161" s="470"/>
      <c r="D161" s="470"/>
      <c r="E161" s="470"/>
      <c r="F161" s="470"/>
    </row>
    <row r="162" spans="2:6">
      <c r="B162" s="470" t="s">
        <v>389</v>
      </c>
      <c r="C162" s="470"/>
      <c r="D162" s="470"/>
      <c r="E162" s="470"/>
      <c r="F162" s="470"/>
    </row>
    <row r="164" spans="2:6">
      <c r="B164" s="350" t="s">
        <v>531</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2025-10-08T04:00:03Z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