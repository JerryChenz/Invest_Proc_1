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69C8DB7-373B-4050-A13A-BFE306FB3EFA}"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79" i="2"/>
  <c r="C64" i="2"/>
  <c r="C65" i="2"/>
  <c r="C66" i="2"/>
  <c r="C35" i="2"/>
  <c r="C29" i="2"/>
  <c r="C4" i="2"/>
  <c r="C19" i="3"/>
  <c r="C1" i="3"/>
  <c r="C21" i="4"/>
  <c r="D21" i="4"/>
  <c r="C25"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J42" i="8" l="1"/>
  <c r="J39" i="8"/>
  <c r="J46" i="8"/>
  <c r="J45" i="8"/>
  <c r="J38" i="8"/>
  <c r="J49" i="8"/>
  <c r="J44" i="8"/>
  <c r="J40" i="8"/>
  <c r="J37" i="8"/>
  <c r="J36" i="8"/>
  <c r="J50" i="8"/>
  <c r="J48"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D34" i="8"/>
  <c r="D31" i="8"/>
  <c r="D32" i="8"/>
  <c r="D33" i="8"/>
  <c r="D28" i="8"/>
  <c r="D29" i="8"/>
  <c r="H26" i="8"/>
  <c r="D26" i="8"/>
  <c r="H27" i="8"/>
  <c r="D27" i="8"/>
  <c r="D30"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C38" i="12" l="1"/>
  <c r="C38" i="6"/>
  <c r="F18" i="8"/>
  <c r="H21" i="8"/>
  <c r="H23" i="8"/>
  <c r="H22" i="8"/>
  <c r="C29" i="8"/>
  <c r="C89" i="3"/>
  <c r="O113" i="2"/>
  <c r="O85" i="2"/>
  <c r="P113" i="2"/>
  <c r="P85" i="2"/>
  <c r="C53" i="2"/>
  <c r="C45" i="6"/>
  <c r="E94" i="8"/>
  <c r="C48" i="2"/>
  <c r="C10" i="2" s="1"/>
  <c r="I8" i="8" s="1"/>
  <c r="I6" i="8" s="1"/>
  <c r="I1" i="2"/>
  <c r="H51" i="8" l="1"/>
  <c r="H34" i="8"/>
  <c r="H28" i="8"/>
  <c r="H33" i="8"/>
  <c r="H31" i="8"/>
  <c r="H29" i="8"/>
  <c r="H32" i="8"/>
  <c r="H30" i="8"/>
  <c r="H35" i="8"/>
  <c r="G21" i="8"/>
  <c r="I21" i="8" s="1"/>
  <c r="G26" i="8"/>
  <c r="I26" i="8" s="1"/>
  <c r="G27" i="8"/>
  <c r="I27" i="8" s="1"/>
  <c r="G28" i="8"/>
  <c r="I28" i="8" s="1"/>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9" i="8" l="1"/>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C37" i="8"/>
  <c r="G35" i="8"/>
  <c r="I35" i="8" s="1"/>
  <c r="J35" i="8" s="1"/>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<sst xmlns="http://schemas.openxmlformats.org/spreadsheetml/2006/main" count="766" uniqueCount="556">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</sst>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6.52</v>
      </c>
      <c r="E8" s="32"/>
    </row>
    <row r="9" spans="1:9">
      <c r="B9" s="4" t="s">
        <v>346</v>
      </c>
      <c r="C9" s="48">
        <v>580004033</v>
      </c>
    </row>
    <row r="10" spans="1:9">
      <c r="B10" s="4" t="s">
        <v>352</v>
      </c>
      <c r="C10" s="33">
        <f>Thesis!C8*Common_Shares/1000000</f>
        <v>3781.6262951599997</v>
      </c>
      <c r="D10" s="1" t="s">
        <v>531</v>
      </c>
      <c r="E10" s="307">
        <f>Scenarios!F34</f>
        <v>0.12017169390553457</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7.8143613713918958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4.333028820025568</v>
      </c>
      <c r="D22" s="38" t="s">
        <v>408</v>
      </c>
      <c r="E22" s="79">
        <v>0.29465259038036606</v>
      </c>
    </row>
    <row r="23" spans="1:6">
      <c r="B23" s="1" t="s">
        <v>313</v>
      </c>
      <c r="C23" s="259">
        <f>E141</f>
        <v>5.3553121183397749</v>
      </c>
      <c r="D23" s="38" t="s">
        <v>409</v>
      </c>
      <c r="E23" s="448">
        <v>0.20075184365903009</v>
      </c>
    </row>
    <row r="24" spans="1:6">
      <c r="B24" s="1" t="s">
        <v>315</v>
      </c>
      <c r="C24" s="259">
        <f>E144</f>
        <v>6.5660659780940076</v>
      </c>
      <c r="D24" s="38" t="s">
        <v>410</v>
      </c>
      <c r="E24" s="448">
        <v>0.1174</v>
      </c>
    </row>
    <row r="25" spans="1:6">
      <c r="B25" s="1" t="s">
        <v>314</v>
      </c>
      <c r="C25" s="259">
        <f>E145</f>
        <v>7.3792932677079612</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399119.96227138769</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6692.5186674405113</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-78679.881332559497</v>
      </c>
      <c r="D46" s="1" t="str">
        <f>Reporting_currency</f>
        <v>HKD</v>
      </c>
    </row>
    <row r="48" spans="2:6">
      <c r="B48" s="1" t="s">
        <v>211</v>
      </c>
    </row>
    <row r="49" spans="2:6">
      <c r="B49" s="44" t="s">
        <v>223</v>
      </c>
      <c r="C49" s="289">
        <f>Normalized_FCF!C13</f>
        <v>-37355.845009453624</v>
      </c>
      <c r="D49" s="1" t="str">
        <f>Reporting_currency</f>
        <v>HKD</v>
      </c>
    </row>
    <row r="51" spans="2:6">
      <c r="B51" s="457" t="s">
        <v>206</v>
      </c>
      <c r="C51" s="457"/>
      <c r="D51" s="457"/>
      <c r="E51" s="457"/>
      <c r="F51" s="457"/>
    </row>
    <row r="52" spans="2:6">
      <c r="B52" s="44" t="s">
        <v>204</v>
      </c>
      <c r="C52" s="289">
        <f>Normalized_FCF!C12</f>
        <v>-52872.613354906651</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289000.65016124537</v>
      </c>
      <c r="D60" s="1" t="str">
        <f>Reporting_currency</f>
        <v>HKD</v>
      </c>
    </row>
    <row r="61" spans="2:6">
      <c r="B61" s="44" t="s">
        <v>213</v>
      </c>
      <c r="C61" s="289">
        <f>Normalized_FCF!C19</f>
        <v>230211.62257446788</v>
      </c>
      <c r="D61" s="1" t="str">
        <f>Reporting_currency</f>
        <v>HKD</v>
      </c>
    </row>
    <row r="62" spans="2:6">
      <c r="B62" s="204" t="s">
        <v>302</v>
      </c>
      <c r="C62" s="89">
        <f>Normalized_FCF!C124</f>
        <v>6.0876354405804044E-2</v>
      </c>
      <c r="F62" s="260"/>
    </row>
    <row r="63" spans="2:6">
      <c r="B63" s="204" t="s">
        <v>332</v>
      </c>
      <c r="C63" s="89">
        <f>Normalized_FCF!C92</f>
        <v>6.1349693251533749E-2</v>
      </c>
      <c r="E63" s="44" t="s">
        <v>322</v>
      </c>
      <c r="F63" s="261">
        <f>Normalized_FCF!C90</f>
        <v>1.0077754137932506</v>
      </c>
    </row>
    <row r="65" spans="1:6">
      <c r="B65" s="192" t="s">
        <v>325</v>
      </c>
      <c r="C65" s="267" t="s">
        <v>327</v>
      </c>
      <c r="D65" s="267" t="s">
        <v>328</v>
      </c>
    </row>
    <row r="66" spans="1:6">
      <c r="B66" s="44" t="s">
        <v>326</v>
      </c>
      <c r="C66" s="89">
        <f>Normalized_FCF!C119</f>
        <v>0.1167471410506614</v>
      </c>
      <c r="D66" s="89">
        <f>Normalized_FCF!G119</f>
        <v>0.11792742550148552</v>
      </c>
    </row>
    <row r="67" spans="1:6">
      <c r="B67" s="229" t="str">
        <f>Normalized_FCF!B116</f>
        <v>Pre-tax Profit/Sales</v>
      </c>
      <c r="C67" s="266">
        <f>Normalized_FCF!C116</f>
        <v>3.9086921133773919E-2</v>
      </c>
      <c r="D67" s="266">
        <f>Normalized_FCF!G116</f>
        <v>3.7776339292914275E-2</v>
      </c>
    </row>
    <row r="68" spans="1:6">
      <c r="B68" s="229" t="str">
        <f>Normalized_FCF!B117</f>
        <v>Sales/Total Assets</v>
      </c>
      <c r="C68" s="268">
        <f>Normalized_FCF!C117</f>
        <v>1.3708738209065539</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5.3475400925918697</v>
      </c>
    </row>
    <row r="82" spans="1:6">
      <c r="A82" s="191"/>
    </row>
    <row r="83" spans="1:6">
      <c r="A83" s="191"/>
      <c r="B83" s="1" t="s">
        <v>469</v>
      </c>
    </row>
    <row r="84" spans="1:6">
      <c r="A84" s="191"/>
      <c r="B84" s="1" t="s">
        <v>224</v>
      </c>
      <c r="C84" s="289">
        <f>DCF!F5</f>
        <v>384381.13325594889</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0.66272148362104388</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-2.9076464486309033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2.5670270786220946</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(15yrs)</v>
      </c>
      <c r="C118" s="206">
        <f>DCF!C90</f>
        <v>0.05</v>
      </c>
      <c r="D118" s="207" t="str">
        <f>ROUND(DCF!E90,2)&amp;" "&amp;Market_currency</f>
        <v>9.36 HKD</v>
      </c>
      <c r="E118" s="208">
        <f>DCF!F90</f>
        <v>0.05</v>
      </c>
      <c r="F118" s="208">
        <f>RATE(Holding_Period,Scenarios!C$58,-DCF!E90,C$18)</f>
        <v>-1.3162728985041415E-2</v>
      </c>
    </row>
    <row r="119" spans="2:6">
      <c r="B119" s="205" t="str">
        <f>DCF!B91&amp;" ("&amp;DCF!D91&amp;"yrs)"</f>
        <v>Optimistic (15yrs)</v>
      </c>
      <c r="C119" s="198">
        <f>DCF!C91</f>
        <v>0.04</v>
      </c>
      <c r="D119" s="207" t="str">
        <f>ROUND(DCF!E91,2)&amp;" "&amp;Market_currency</f>
        <v>8.56 HKD</v>
      </c>
      <c r="E119" s="199">
        <f>DCF!F91</f>
        <v>0.18</v>
      </c>
      <c r="F119" s="208">
        <f>RATE(Holding_Period,Scenarios!C$58,-DCF!E91,C$18)</f>
        <v>1.8223005300290952E-2</v>
      </c>
    </row>
    <row r="120" spans="2:6">
      <c r="B120" s="205" t="str">
        <f>DCF!B92&amp;" ("&amp;DCF!D92&amp;"yrs)"</f>
        <v>Base (15yrs)</v>
      </c>
      <c r="C120" s="198">
        <f>DCF!C92</f>
        <v>0.03</v>
      </c>
      <c r="D120" s="207" t="str">
        <f>ROUND(DCF!E92,2)&amp;" "&amp;Market_currency</f>
        <v>7.8 HKD</v>
      </c>
      <c r="E120" s="199">
        <f>DCF!F92</f>
        <v>0.53999999999999992</v>
      </c>
      <c r="F120" s="208">
        <f>RATE(Holding_Period,Scenarios!C$58,-DCF!E92,C$18)</f>
        <v>5.191889800512979E-2</v>
      </c>
    </row>
    <row r="121" spans="2:6">
      <c r="B121" s="205" t="str">
        <f>DCF!B93&amp;" ("&amp;DCF!D93&amp;"yrs)"</f>
        <v>Pessimistic (15yrs)</v>
      </c>
      <c r="C121" s="198">
        <f>DCF!C93</f>
        <v>0.02</v>
      </c>
      <c r="D121" s="207" t="str">
        <f>ROUND(DCF!E93,2)&amp;" "&amp;Market_currency</f>
        <v>7.08 HKD</v>
      </c>
      <c r="E121" s="199">
        <f>DCF!F93</f>
        <v>0.18</v>
      </c>
      <c r="F121" s="208">
        <f>RATE(Holding_Period,Scenarios!C$58,-DCF!E93,C$18)</f>
        <v>8.8265281842590304E-2</v>
      </c>
    </row>
    <row r="122" spans="2:6">
      <c r="B122" s="205" t="str">
        <f>DCF!B94&amp;" ("&amp;DCF!D94&amp;"yrs)"</f>
        <v>Devil's advocate (15yrs)</v>
      </c>
      <c r="C122" s="198">
        <f>DCF!C94</f>
        <v>0.01</v>
      </c>
      <c r="D122" s="207" t="str">
        <f>ROUND(DCF!E94,2)&amp;" "&amp;Market_currency</f>
        <v>6.4 HKD</v>
      </c>
      <c r="E122" s="199">
        <f>DCF!F94</f>
        <v>0.05</v>
      </c>
      <c r="F122" s="208">
        <f>RATE(Holding_Period,Scenarios!C$58,-DCF!E94,C$18)</f>
        <v>0.12768233742292004</v>
      </c>
    </row>
    <row r="124" spans="2:6">
      <c r="B124" s="457" t="s">
        <v>357</v>
      </c>
      <c r="C124" s="457"/>
      <c r="D124" s="457"/>
      <c r="E124" s="457"/>
      <c r="F124" s="457"/>
    </row>
    <row r="125" spans="2:6">
      <c r="B125" s="193" t="s">
        <v>218</v>
      </c>
      <c r="C125" s="197">
        <f>Scenarios!C36</f>
        <v>7.8143613713918958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0.4</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0.73194063044404789</v>
      </c>
      <c r="D140" s="337">
        <f>Scenarios!D62</f>
        <v>3.6010881895815197</v>
      </c>
      <c r="E140" s="338">
        <f>Scenarios!E62</f>
        <v>4.333028820025568</v>
      </c>
      <c r="F140" s="339">
        <f>E22</f>
        <v>0.29465259038036606</v>
      </c>
    </row>
    <row r="141" spans="1:6">
      <c r="B141" s="340" t="s">
        <v>313</v>
      </c>
      <c r="C141" s="337">
        <f>Scenarios!C63</f>
        <v>0.84160157890763132</v>
      </c>
      <c r="D141" s="337">
        <f>Scenarios!D63</f>
        <v>4.513710539432144</v>
      </c>
      <c r="E141" s="338">
        <f>Scenarios!E63</f>
        <v>5.3553121183397749</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0.96504125037545974</v>
      </c>
      <c r="D144" s="337">
        <f>Scenarios!D66</f>
        <v>5.6010247277185474</v>
      </c>
      <c r="E144" s="338">
        <f>Scenarios!E66</f>
        <v>6.5660659780940076</v>
      </c>
      <c r="F144" s="339">
        <f>E24</f>
        <v>0.1174</v>
      </c>
    </row>
    <row r="145" spans="1:6">
      <c r="B145" s="340" t="s">
        <v>314</v>
      </c>
      <c r="C145" s="337">
        <f>Scenarios!C67</f>
        <v>1.0449500908692064</v>
      </c>
      <c r="D145" s="337">
        <f>Scenarios!D67</f>
        <v>6.3343431768387548</v>
      </c>
      <c r="E145" s="338">
        <f>Scenarios!E67</f>
        <v>7.3792932677079612</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0.25+0.15</f>
        <v>0.4</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0.4</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5.3475400925918697</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8.897587277630245E-2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384381.13325594889</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-700179.71776666667</v>
      </c>
      <c r="D73" s="289">
        <f>(Normalized_FCF!C26+Normalized_FCF!C35-Normalized_FCF!C89)/12</f>
        <v>-669251.86674405111</v>
      </c>
      <c r="F73" s="1" t="s">
        <v>278</v>
      </c>
    </row>
    <row r="74" spans="2:6" ht="15" customHeight="1">
      <c r="B74" s="227" t="s">
        <v>259</v>
      </c>
      <c r="C74" s="228">
        <f>-$C$66/C73</f>
        <v>1.5048036572106489</v>
      </c>
      <c r="D74" s="228">
        <f>-$C$66/D73</f>
        <v>1.5743445066892159</v>
      </c>
      <c r="F74" s="223" t="s">
        <v>257</v>
      </c>
    </row>
    <row r="75" spans="2:6" ht="15" customHeight="1">
      <c r="B75" s="77" t="s">
        <v>258</v>
      </c>
      <c r="C75" s="264"/>
      <c r="D75" s="265">
        <f>MAX(-D73*D76,G5)</f>
        <v>669251.86674405111</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384381.13325594889</v>
      </c>
      <c r="D87" s="201">
        <f>C87*scaling_factor/Common_Shares</f>
        <v>0.66272148362104388</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2582173.333255949</v>
      </c>
      <c r="D89" s="216">
        <f>SUM(D86:D88)</f>
        <v>4.4519920316760082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AVERAGE(G4:J4)</f>
        <v>8198140.75</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-7304527.7877286123</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893612.96227138769</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399119.96227138769</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-78679.881332559497</v>
      </c>
      <c r="E10" s="238"/>
      <c r="G10" s="270">
        <f>G48</f>
        <v>-74482.349838754599</v>
      </c>
      <c r="H10" s="270">
        <f t="shared" ref="H10:Q10" si="6">H48</f>
        <v>-79815.579205498987</v>
      </c>
      <c r="I10" s="270">
        <f t="shared" si="6"/>
        <v>-73832.968687003769</v>
      </c>
      <c r="J10" s="270">
        <f t="shared" si="6"/>
        <v>-83179.118160315134</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320440.08093882818</v>
      </c>
      <c r="E11" s="238"/>
      <c r="G11" s="271">
        <f t="shared" ref="G11:Q11" si="7">IF(G$4="","",SUM(G8:G10))</f>
        <v>323679.65016124537</v>
      </c>
      <c r="H11" s="271">
        <f t="shared" si="7"/>
        <v>406257.42079450103</v>
      </c>
      <c r="I11" s="271">
        <f t="shared" si="7"/>
        <v>142737.03131299623</v>
      </c>
      <c r="J11" s="271">
        <f t="shared" si="7"/>
        <v>5698.8818396848656</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-52872.613354906651</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-37355.845009453624</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230211.62257446788</v>
      </c>
      <c r="D14" s="58"/>
      <c r="E14" s="246"/>
      <c r="F14" s="58"/>
      <c r="G14" s="271">
        <f t="shared" ref="G14:Q14" si="8">IF(G$4="","",SUM(G11:G13))</f>
        <v>289000.65016124537</v>
      </c>
      <c r="H14" s="271">
        <f t="shared" si="8"/>
        <v>347183.42079450103</v>
      </c>
      <c r="I14" s="271">
        <f t="shared" si="8"/>
        <v>108914.03131299623</v>
      </c>
      <c r="J14" s="271">
        <f t="shared" si="8"/>
        <v>-23876.118160315134</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230211.62257446788</v>
      </c>
      <c r="D19" s="26"/>
      <c r="E19" s="235"/>
      <c r="F19" s="26"/>
      <c r="G19" s="275">
        <f t="shared" ref="G19:Q19" si="9">IF(G$4="","",G14+G17)</f>
        <v>289000.65016124537</v>
      </c>
      <c r="H19" s="275">
        <f t="shared" si="9"/>
        <v>347183.42079450103</v>
      </c>
      <c r="I19" s="275">
        <f t="shared" si="9"/>
        <v>108914.03131299623</v>
      </c>
      <c r="J19" s="275">
        <f t="shared" si="9"/>
        <v>-23876.118160315134</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-7304527.7877286123</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-7304527.7877286123</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AVERAGE(G29:H29)</f>
        <v>0.89099809462634716</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0.89099809462634716</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6.0317700693294389E-2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9.9827097514172861E-2</v>
      </c>
      <c r="H41" s="6">
        <f t="shared" si="16"/>
        <v>0.13861408338060871</v>
      </c>
      <c r="I41" s="6">
        <f t="shared" si="16"/>
        <v>0.23111731900645427</v>
      </c>
      <c r="J41" s="6">
        <f t="shared" si="16"/>
        <v>4.902540671302102</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6692.5186674405113</v>
      </c>
      <c r="E46" s="238"/>
      <c r="G46" s="278">
        <f t="shared" ref="G46:Q46" si="17">IFERROR(IF(G$4="","",($C$46/$C$47)*G47),0)</f>
        <v>29632.650161245398</v>
      </c>
      <c r="H46" s="278">
        <f t="shared" si="17"/>
        <v>28776.420794501017</v>
      </c>
      <c r="I46" s="278">
        <f t="shared" si="17"/>
        <v>24675.031312996227</v>
      </c>
      <c r="J46" s="278">
        <f t="shared" si="17"/>
        <v>4864.8818396848692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-78679.881332559497</v>
      </c>
      <c r="E48" s="238"/>
      <c r="G48" s="271">
        <f>IF(G$4="","",(G45+G46))</f>
        <v>-74482.349838754599</v>
      </c>
      <c r="H48" s="271">
        <f t="shared" ref="H48:Q48" si="18">IF(H$4="","",(H45+H46))</f>
        <v>-79815.579205498987</v>
      </c>
      <c r="I48" s="271">
        <f t="shared" si="18"/>
        <v>-73832.968687003769</v>
      </c>
      <c r="J48" s="271">
        <f t="shared" si="18"/>
        <v>-83179.118160315134</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4.6750467630216281</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0.89099809462634716</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0.10900190537365288</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6.0317700693294389E-2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4.8684204680358494E-2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9.5972835465845709E-3</v>
      </c>
      <c r="D76" s="26"/>
      <c r="E76" s="235" t="s">
        <v>552</v>
      </c>
      <c r="F76" s="26"/>
      <c r="G76" s="6">
        <f t="shared" ref="G76:Q76" si="28">IF(G$4="","",ABS(G10/G$4))</f>
        <v>8.6927630990723849E-3</v>
      </c>
      <c r="H76" s="6">
        <f t="shared" si="28"/>
        <v>9.1832304608240791E-3</v>
      </c>
      <c r="I76" s="6">
        <f t="shared" si="28"/>
        <v>9.2014660795733134E-3</v>
      </c>
      <c r="J76" s="6">
        <f t="shared" si="28"/>
        <v>1.1077620766099928E-2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3.9086921133773919E-2</v>
      </c>
      <c r="D77" s="26"/>
      <c r="E77" s="235"/>
      <c r="F77" s="26"/>
      <c r="G77" s="62">
        <f t="shared" ref="G77:Q77" si="29">IF(G$4="","",G11/G$4)</f>
        <v>3.7776339292914275E-2</v>
      </c>
      <c r="H77" s="62">
        <f t="shared" si="29"/>
        <v>4.6742196933388325E-2</v>
      </c>
      <c r="I77" s="62">
        <f t="shared" si="29"/>
        <v>1.7788665081222912E-2</v>
      </c>
      <c r="J77" s="62">
        <f t="shared" si="29"/>
        <v>7.5896514903138587E-4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6.4493419870726969E-3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2.8080955132963274E-2</v>
      </c>
      <c r="D80" s="26"/>
      <c r="E80" s="235"/>
      <c r="F80" s="26"/>
      <c r="G80" s="62">
        <f t="shared" ref="G80:Q80" si="32">IF(G$4="","",ABS(G14/G$4))</f>
        <v>3.3728986703134976E-2</v>
      </c>
      <c r="H80" s="62">
        <f t="shared" si="32"/>
        <v>3.9945401600412205E-2</v>
      </c>
      <c r="I80" s="62">
        <f t="shared" si="32"/>
        <v>1.3573458883450318E-2</v>
      </c>
      <c r="J80" s="62">
        <f t="shared" si="32"/>
        <v>3.1797714161479456E-3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4.6165711414505782E-2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4.6165711414505782E-2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2.8080955132963274E-2</v>
      </c>
      <c r="D85" s="72"/>
      <c r="E85" s="235"/>
      <c r="F85" s="72"/>
      <c r="G85" s="62">
        <f t="shared" ref="G85:Q85" si="35">IF(G$4="","",ABS(G19/G$4))</f>
        <v>3.3728986703134976E-2</v>
      </c>
      <c r="H85" s="62">
        <f t="shared" si="35"/>
        <v>3.9945401600412205E-2</v>
      </c>
      <c r="I85" s="62">
        <f t="shared" si="35"/>
        <v>1.3573458883450318E-2</v>
      </c>
      <c r="J85" s="62">
        <f t="shared" si="35"/>
        <v>3.1797714161479456E-3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0.4</v>
      </c>
      <c r="E88" s="238"/>
      <c r="G88" s="109">
        <f>Data!C65</f>
        <v>0.4</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232001.61320000002</v>
      </c>
      <c r="E89" s="238"/>
      <c r="G89" s="71">
        <f t="shared" ref="G89:Q89" si="36">IF(G$4="","",G88*Common_Shares/scaling_factor)</f>
        <v>232001.61320000002</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1.0077754137932506</v>
      </c>
      <c r="E90" s="238"/>
      <c r="G90" s="152">
        <f t="shared" ref="G90:Q90" si="37">IF(G$4="","",G88/(G19*scaling_factor/Common_Shares))</f>
        <v>0.802771942106555</v>
      </c>
      <c r="H90" s="152">
        <f t="shared" si="37"/>
        <v>0.95224103171010732</v>
      </c>
      <c r="I90" s="152">
        <f t="shared" si="37"/>
        <v>2.0236284515684848</v>
      </c>
      <c r="J90" s="152">
        <f t="shared" si="37"/>
        <v>-9.2310454764934455</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6.1349693251533749E-2</v>
      </c>
      <c r="E92" s="238"/>
      <c r="G92" s="22">
        <f t="shared" ref="G92:Q92" si="38">IF(G$4="","",(G88*(1-dividend_tax_rate))/Market_Price)</f>
        <v>6.1349693251533749E-2</v>
      </c>
      <c r="H92" s="22">
        <f t="shared" si="38"/>
        <v>8.7423312883435578E-2</v>
      </c>
      <c r="I92" s="22">
        <f t="shared" si="38"/>
        <v>5.8282208588957059E-2</v>
      </c>
      <c r="J92" s="22">
        <f t="shared" si="38"/>
        <v>5.8282208588957059E-2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-4.3202912543968686E-2</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-1.0008566250004791E-2</v>
      </c>
      <c r="D96" s="26"/>
      <c r="E96" s="235"/>
      <c r="F96" s="26"/>
      <c r="G96" s="6">
        <f t="shared" ref="G96:Q96" si="40">IF(H5="","",G11/H11-1)</f>
        <v>-0.20326464553376444</v>
      </c>
      <c r="H96" s="6">
        <f t="shared" si="40"/>
        <v>1.8461949716724368</v>
      </c>
      <c r="I96" s="6">
        <f t="shared" si="40"/>
        <v>24.04649777418253</v>
      </c>
      <c r="J96" s="6">
        <f t="shared" si="40"/>
        <v>-1.0651814784193805</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1.5188199836651987E-2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2.691305342616861E-2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5.2283584800136307</v>
      </c>
      <c r="H113" s="254">
        <f>IF(H$4="","",Data!D$22/H19)</f>
        <v>4.7904188402603074</v>
      </c>
      <c r="I113" s="254">
        <f>IF(I$4="","",Data!E$22/I19)</f>
        <v>15.5984034336013</v>
      </c>
      <c r="J113" s="254">
        <f>IF(J$4="","",Data!F$22/J19)</f>
        <v>-48.77011380918006</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3.9086921133773919E-2</v>
      </c>
      <c r="E116" s="238"/>
      <c r="G116" s="22">
        <f t="shared" ref="G116:Q116" si="44">IF(G4="","",G77)</f>
        <v>3.7776339292914275E-2</v>
      </c>
      <c r="H116" s="22">
        <f t="shared" si="44"/>
        <v>4.6742196933388325E-2</v>
      </c>
      <c r="I116" s="22">
        <f t="shared" si="44"/>
        <v>1.7788665081222912E-2</v>
      </c>
      <c r="J116" s="22">
        <f t="shared" si="44"/>
        <v>7.5896514903138587E-4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1.3708738209065539</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0.1167471410506614</v>
      </c>
      <c r="D119" s="100"/>
      <c r="E119" s="241"/>
      <c r="F119" s="100"/>
      <c r="G119" s="99">
        <f t="shared" ref="G119:Q119" si="47">IF(G$4="","",G11/G104)</f>
        <v>0.11792742550148552</v>
      </c>
      <c r="H119" s="99">
        <f t="shared" si="47"/>
        <v>0.13958275424109118</v>
      </c>
      <c r="I119" s="99">
        <f t="shared" si="47"/>
        <v>5.1122425000079234E-2</v>
      </c>
      <c r="J119" s="99">
        <f t="shared" si="47"/>
        <v>2.0163211970682122E-3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0.39691383072584235</v>
      </c>
      <c r="D123" s="26"/>
      <c r="E123" s="235"/>
      <c r="F123" s="26"/>
      <c r="G123" s="159">
        <f t="shared" ref="G123:Q123" si="48">IF(G$4="","",G14*$C$3/Common_Shares*Exchange_Rate)</f>
        <v>0.49827351831749306</v>
      </c>
      <c r="H123" s="159">
        <f t="shared" si="48"/>
        <v>0.59858794256780801</v>
      </c>
      <c r="I123" s="159">
        <f t="shared" si="48"/>
        <v>0.18778150687961892</v>
      </c>
      <c r="J123" s="159">
        <f t="shared" si="48"/>
        <v>-4.1165434724339464E-2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6.0876354405804044E-2</v>
      </c>
      <c r="D124" s="26"/>
      <c r="E124" s="235"/>
      <c r="F124" s="26"/>
      <c r="G124" s="74">
        <f t="shared" ref="G124" si="49">IF(G$4="","",G123/Market_Price)</f>
        <v>7.6422318760351701E-2</v>
      </c>
      <c r="H124" s="74">
        <f t="shared" ref="H124" si="50">IF(H$4="","",H123/Market_Price)</f>
        <v>9.18079666515043E-2</v>
      </c>
      <c r="I124" s="74">
        <f t="shared" ref="I124" si="51">IF(I$4="","",I123/Market_Price)</f>
        <v>2.8800844613438487E-2</v>
      </c>
      <c r="J124" s="74">
        <f t="shared" ref="J124" si="52">IF(J$4="","",J123/Market_Price)</f>
        <v>-6.3137169822606544E-3</v>
      </c>
      <c r="K124" s="74">
        <f t="shared" ref="K124" si="53">IF(K$4="","",K123/Market_Price)</f>
        <v>-3.1427484030378421E-2</v>
      </c>
      <c r="L124" s="74">
        <f t="shared" ref="L124" si="54">IF(L$4="","",L123/Market_Price)</f>
        <v>5.5165154808395366E-2</v>
      </c>
      <c r="M124" s="74">
        <f t="shared" ref="M124" si="55">IF(M$4="","",M123/Market_Price)</f>
        <v>0.1475013543019591</v>
      </c>
      <c r="N124" s="74">
        <f t="shared" ref="N124" si="56">IF(N$4="","",N123/Market_Price)</f>
        <v>0.12166723099764495</v>
      </c>
      <c r="O124" s="74">
        <f t="shared" ref="O124" si="57">IF(O$4="","",O123/Market_Price)</f>
        <v>0.13680780691157923</v>
      </c>
      <c r="P124" s="74">
        <f t="shared" ref="P124" si="58">IF(P$4="","",P123/Market_Price)</f>
        <v>0.13338441205720952</v>
      </c>
      <c r="Q124" s="74" t="str">
        <f t="shared" ref="Q124" si="59">IF(Q$4="","",Q123/Market_Price)</f>
        <v/>
      </c>
    </row>
    <row r="125" spans="1:17" ht="15.75" customHeight="1">
      <c r="B125" s="2" t="s">
        <v>306</v>
      </c>
      <c r="C125" s="151"/>
      <c r="G125" s="22">
        <f>IF(G$4="","",(Data!C47*$C$3)/(Market_Price*Common_Shares))</f>
        <v>6.2171928596147154E-2</v>
      </c>
      <c r="H125" s="22">
        <f>IF(H$4="","",(Data!D47*$C$3)/(Market_Price*Common_Shares))</f>
        <v>8.8114206426603489E-2</v>
      </c>
      <c r="I125" s="22">
        <f>IF(I$4="","",(Data!E47*$C$3)/(Market_Price*Common_Shares))</f>
        <v>2.9401900484536298E-2</v>
      </c>
      <c r="J125" s="22">
        <f>IF(J$4="","",(Data!F47*$C$3)/(Market_Price*Common_Shares))</f>
        <v>6.0423738932757817E-3</v>
      </c>
      <c r="K125" s="22">
        <f>IF(K$4="","",(Data!G47*$C$3)/(Market_Price*Common_Shares))</f>
        <v>9.534257799652443E-2</v>
      </c>
      <c r="L125" s="22">
        <f>IF(L$4="","",(Data!H47*$C$3)/(Market_Price*Common_Shares))</f>
        <v>1.9670373060184349E-2</v>
      </c>
      <c r="M125" s="22">
        <f>IF(M$4="","",(Data!I47*$C$3)/(Market_Price*Common_Shares))</f>
        <v>0.15657549260164216</v>
      </c>
      <c r="N125" s="22">
        <f>IF(N$4="","",(Data!J47*$C$3)/(Market_Price*Common_Shares))</f>
        <v>0.12145435961978557</v>
      </c>
      <c r="O125" s="22">
        <f>IF(O$4="","",(Data!K47*$C$3)/(Market_Price*Common_Shares))</f>
        <v>0.13323632762043777</v>
      </c>
      <c r="P125" s="22">
        <f>IF(P$4="","",(Data!L47*$C$3)/(Market_Price*Common_Shares))</f>
        <v>0.1369410829046738</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49" zoomScaleNormal="100" workbookViewId="0">
      <selection activeCell="F82" sqref="F8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230211.62257446788</v>
      </c>
      <c r="D4" t="str">
        <f>Reporting_currency</f>
        <v>HKD</v>
      </c>
      <c r="E4" s="135" t="s">
        <v>434</v>
      </c>
      <c r="F4" s="279">
        <f>-BS!G31</f>
        <v>-2134310</v>
      </c>
      <c r="G4" t="str">
        <f>Reporting_currency</f>
        <v>HKD</v>
      </c>
      <c r="H4" s="312" t="s">
        <v>394</v>
      </c>
      <c r="I4" s="309">
        <f>Normalized_FCF!C4</f>
        <v>8198140.75</v>
      </c>
      <c r="J4" s="309"/>
    </row>
    <row r="5" spans="2:15">
      <c r="B5" s="187" t="s">
        <v>105</v>
      </c>
      <c r="C5" s="188">
        <f>Equity_Cost</f>
        <v>7.2499999999999995E-2</v>
      </c>
      <c r="E5" s="135" t="s">
        <v>435</v>
      </c>
      <c r="F5" s="279">
        <f>BS!D66</f>
        <v>384381.13325594889</v>
      </c>
      <c r="G5" t="str">
        <f>Reporting_currency</f>
        <v>HKD</v>
      </c>
      <c r="H5" s="312" t="s">
        <v>396</v>
      </c>
      <c r="I5" s="309">
        <f>Normalized_FCF!C7</f>
        <v>-494493</v>
      </c>
      <c r="J5" s="309"/>
    </row>
    <row r="6" spans="2:15" ht="13.25" customHeight="1">
      <c r="B6" s="136" t="s">
        <v>194</v>
      </c>
      <c r="C6" s="287">
        <f>(C4*(1+Terminal_Growth))/(Equity_Cost-Terminal_Growth)</f>
        <v>3175332.7251650742</v>
      </c>
      <c r="D6" t="str">
        <f>Reporting_currency</f>
        <v>HKD</v>
      </c>
      <c r="E6" s="187" t="s">
        <v>436</v>
      </c>
      <c r="F6" s="288">
        <f>BS!H42</f>
        <v>63482.2</v>
      </c>
      <c r="G6" t="str">
        <f>Reporting_currency</f>
        <v>HKD</v>
      </c>
      <c r="H6" s="312" t="s">
        <v>418</v>
      </c>
      <c r="I6" s="309">
        <f>I7+I8</f>
        <v>-78679.881332559497</v>
      </c>
      <c r="J6" s="309"/>
      <c r="N6" s="135"/>
    </row>
    <row r="7" spans="2:15" ht="12.75" customHeight="1">
      <c r="B7" s="322" t="s">
        <v>433</v>
      </c>
      <c r="C7" s="279">
        <f>F7</f>
        <v>-1686446.6667440513</v>
      </c>
      <c r="E7" s="140" t="s">
        <v>427</v>
      </c>
      <c r="F7" s="287">
        <f>SUM(F4:F6)</f>
        <v>-1686446.6667440513</v>
      </c>
      <c r="G7" t="str">
        <f>Reporting_currency</f>
        <v>HKD</v>
      </c>
      <c r="H7" s="316" t="s">
        <v>419</v>
      </c>
      <c r="I7" s="317">
        <f>Normalized_FCF!C9</f>
        <v>0</v>
      </c>
      <c r="J7" s="317"/>
      <c r="N7" s="308"/>
      <c r="O7" s="308"/>
    </row>
    <row r="8" spans="2:15" ht="13.15">
      <c r="B8" s="136" t="s">
        <v>429</v>
      </c>
      <c r="C8" s="287">
        <f>C6+C7</f>
        <v>1488886.058421023</v>
      </c>
      <c r="D8" t="str">
        <f>Reporting_currency</f>
        <v>HKD</v>
      </c>
      <c r="E8" s="140" t="s">
        <v>467</v>
      </c>
      <c r="F8" s="108">
        <f>FV_adjustments*scaling_factor/Common_Shares*Exchange_Rate</f>
        <v>-2.9076464486309033</v>
      </c>
      <c r="G8" s="298" t="str">
        <f>Market_currency</f>
        <v>HKD</v>
      </c>
      <c r="H8" s="318" t="str">
        <f>Normalized_FCF!B10</f>
        <v>Net Interest Income</v>
      </c>
      <c r="I8" s="317">
        <f>Normalized_FCF!C10</f>
        <v>-78679.881332559497</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1488886.058421023</v>
      </c>
      <c r="D10" t="str">
        <f>Market_currency</f>
        <v>HKD</v>
      </c>
      <c r="H10" s="312" t="s">
        <v>398</v>
      </c>
      <c r="I10" s="310">
        <f>Normalized_FCF!C41</f>
        <v>0.16500000000000001</v>
      </c>
      <c r="N10" s="308"/>
      <c r="O10" s="308"/>
    </row>
    <row r="11" spans="2:15" ht="13.15">
      <c r="B11" s="136" t="s">
        <v>428</v>
      </c>
      <c r="C11" s="108">
        <f>(C10*scaling_factor)/Common_Shares</f>
        <v>2.5670270786220946</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15</v>
      </c>
      <c r="E15" s="312" t="str">
        <f>IF(F14="II","Change year","Terminal Year")</f>
        <v>Change year</v>
      </c>
      <c r="F15" s="314">
        <f>IF(F14="II",_xlfn.CEILING.MATH(C15/2),C15+1)</f>
        <v>8</v>
      </c>
      <c r="H15" s="97" t="s">
        <v>432</v>
      </c>
      <c r="I15" s="126">
        <f>Terminal_Growth</f>
        <v>0</v>
      </c>
      <c r="J15" s="126"/>
    </row>
    <row r="16" spans="2:15" ht="13.25" customHeight="1">
      <c r="B16" s="114" t="s">
        <v>425</v>
      </c>
      <c r="C16" s="147">
        <f>Scenarios!C46</f>
        <v>3.0149622951542498E-2</v>
      </c>
      <c r="E16" s="312" t="s">
        <v>401</v>
      </c>
      <c r="F16" s="315">
        <f>Scenarios!C41</f>
        <v>0.02</v>
      </c>
    </row>
    <row r="17" spans="1:21" ht="13.25" customHeight="1">
      <c r="B17" s="312" t="s">
        <v>395</v>
      </c>
      <c r="C17" s="310">
        <f>Normalized_FCF!C32</f>
        <v>0.89099809462634716</v>
      </c>
      <c r="E17" s="312" t="s">
        <v>402</v>
      </c>
      <c r="F17" s="315">
        <f>Scenarios!C40</f>
        <v>0.86799999999999999</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7.8099395838685268</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8445311.6025161762</v>
      </c>
      <c r="D21" s="303">
        <f t="shared" ref="D21:D50" si="1">IF(A21="",0,IF(A21="I",$C$16,$F$16))</f>
        <v>3.0149622951542498E-2</v>
      </c>
      <c r="E21" s="303">
        <f>$C$17</f>
        <v>0.89099809462634716</v>
      </c>
      <c r="F21" s="281">
        <f>I5*(1+D21)</f>
        <v>-509401.77750217711</v>
      </c>
      <c r="G21" s="281">
        <f>C21*(1-E21)+F21+$I$6</f>
        <v>332473.397313744</v>
      </c>
      <c r="H21" s="303">
        <f t="shared" ref="H21:H50" si="2">IF(A21="",0%,IF(A21="I",$C$18,$F$18))</f>
        <v>0</v>
      </c>
      <c r="I21" s="281">
        <f>(G21*(1-$I$10)+C21*(H21-$I$9))</f>
        <v>239133.17710545129</v>
      </c>
      <c r="J21" s="303">
        <f>I21/C4-1</f>
        <v>3.8753710308859324E-2</v>
      </c>
      <c r="K21" s="119">
        <f t="shared" ref="K21:K50" si="3">IF($C$15&lt;B21,0,1/(1+Equity_Cost)^B21)</f>
        <v>0.93240093240093236</v>
      </c>
      <c r="L21" s="281">
        <f t="shared" ref="L21:L50" si="4">I21*K21</f>
        <v>222967.99730112008</v>
      </c>
    </row>
    <row r="22" spans="1:21">
      <c r="A22" s="306" t="str">
        <f t="shared" si="0"/>
        <v>I</v>
      </c>
      <c r="B22" s="117">
        <v>2</v>
      </c>
      <c r="C22" s="281">
        <f t="shared" ref="C22:C50" si="5">IF(A22="",0,C21*(1+D22))</f>
        <v>8699934.5630403273</v>
      </c>
      <c r="D22" s="303">
        <f t="shared" si="1"/>
        <v>3.0149622951542498E-2</v>
      </c>
      <c r="E22" s="303">
        <f t="shared" ref="E22:E50" si="6">IF($C$15&lt;B22,0,IF(B22&gt;=$F$15,$F$17,$C$17))</f>
        <v>0.89099809462634716</v>
      </c>
      <c r="F22" s="281">
        <f t="shared" ref="F22:F50" si="7">IF(A22="",0,F21*(1+D22))</f>
        <v>-524760.04902471334</v>
      </c>
      <c r="G22" s="281">
        <f t="shared" ref="G22:G50" si="8">IF(A22="", 0,C22*(1-E22)+F22+$I$6)</f>
        <v>344869.51364022063</v>
      </c>
      <c r="H22" s="303">
        <f t="shared" si="2"/>
        <v>0</v>
      </c>
      <c r="I22" s="281">
        <f>IF(A22="", 0,G22*(1-$I$10)+C22*(H22-$I$9))</f>
        <v>248323.71314168588</v>
      </c>
      <c r="J22" s="303">
        <f>IF(A22="", 0,I22/I21-1)</f>
        <v>3.8432709954678623E-2</v>
      </c>
      <c r="K22" s="119">
        <f t="shared" si="3"/>
        <v>0.86937149874212816</v>
      </c>
      <c r="L22" s="281">
        <f t="shared" si="4"/>
        <v>215885.55866719777</v>
      </c>
    </row>
    <row r="23" spans="1:21">
      <c r="A23" s="306" t="str">
        <f t="shared" si="0"/>
        <v>I</v>
      </c>
      <c r="B23" s="117">
        <v>3</v>
      </c>
      <c r="C23" s="281">
        <f t="shared" si="5"/>
        <v>8962234.3098190855</v>
      </c>
      <c r="D23" s="303">
        <f t="shared" si="1"/>
        <v>3.0149622951542498E-2</v>
      </c>
      <c r="E23" s="303">
        <f t="shared" si="6"/>
        <v>0.89099809462634716</v>
      </c>
      <c r="F23" s="281">
        <f t="shared" si="7"/>
        <v>-540581.36664284149</v>
      </c>
      <c r="G23" s="281">
        <f t="shared" si="8"/>
        <v>357639.36820000387</v>
      </c>
      <c r="H23" s="303">
        <f t="shared" si="2"/>
        <v>0</v>
      </c>
      <c r="I23" s="281">
        <f t="shared" ref="I23:I50" si="9">IF(A23="", 0,G23*(1-$I$10)+C23*(H23-$I$9))</f>
        <v>257791.34037413541</v>
      </c>
      <c r="J23" s="303">
        <f t="shared" ref="J23:J50" si="10">IF(A23="", 0,I23/I22-1)</f>
        <v>3.8126150389220292E-2</v>
      </c>
      <c r="K23" s="119">
        <f t="shared" si="3"/>
        <v>0.81060279602995633</v>
      </c>
      <c r="L23" s="281">
        <f t="shared" si="4"/>
        <v>208966.38129958435</v>
      </c>
      <c r="N23" s="279"/>
      <c r="O23" s="279"/>
      <c r="P23" s="279"/>
      <c r="Q23" s="279"/>
      <c r="R23" s="279"/>
      <c r="S23" s="279"/>
      <c r="T23" s="279"/>
      <c r="U23" s="279"/>
    </row>
    <row r="24" spans="1:21">
      <c r="A24" s="306" t="str">
        <f t="shared" si="0"/>
        <v>I</v>
      </c>
      <c r="B24" s="117">
        <v>4</v>
      </c>
      <c r="C24" s="281">
        <f t="shared" si="5"/>
        <v>9232442.2950635087</v>
      </c>
      <c r="D24" s="303">
        <f t="shared" si="1"/>
        <v>3.0149622951542498E-2</v>
      </c>
      <c r="E24" s="303">
        <f t="shared" si="6"/>
        <v>0.89099809462634716</v>
      </c>
      <c r="F24" s="281">
        <f t="shared" si="7"/>
        <v>-556879.69102175278</v>
      </c>
      <c r="G24" s="281">
        <f t="shared" si="8"/>
        <v>370794.22905991052</v>
      </c>
      <c r="H24" s="303">
        <f t="shared" si="2"/>
        <v>0</v>
      </c>
      <c r="I24" s="281">
        <f t="shared" si="9"/>
        <v>267544.41299788898</v>
      </c>
      <c r="J24" s="303">
        <f t="shared" si="10"/>
        <v>3.7833204985081359E-2</v>
      </c>
      <c r="K24" s="119">
        <f t="shared" si="3"/>
        <v>0.75580680282513402</v>
      </c>
      <c r="L24" s="281">
        <f t="shared" si="4"/>
        <v>202211.88740166169</v>
      </c>
      <c r="N24" s="279"/>
      <c r="O24" s="279"/>
      <c r="P24" s="279"/>
      <c r="Q24" s="279"/>
      <c r="R24" s="279"/>
      <c r="S24" s="279"/>
      <c r="T24" s="279"/>
      <c r="U24" s="279"/>
    </row>
    <row r="25" spans="1:21">
      <c r="A25" s="306" t="str">
        <f t="shared" si="0"/>
        <v>I</v>
      </c>
      <c r="B25" s="117">
        <v>5</v>
      </c>
      <c r="C25" s="281">
        <f t="shared" si="5"/>
        <v>9510796.9491815474</v>
      </c>
      <c r="D25" s="303">
        <f t="shared" si="1"/>
        <v>3.0149622951542498E-2</v>
      </c>
      <c r="E25" s="303">
        <f t="shared" si="6"/>
        <v>0.89099809462634716</v>
      </c>
      <c r="F25" s="281">
        <f t="shared" si="7"/>
        <v>-573669.4037354301</v>
      </c>
      <c r="G25" s="281">
        <f t="shared" si="8"/>
        <v>384345.70401472354</v>
      </c>
      <c r="H25" s="303">
        <f t="shared" si="2"/>
        <v>0</v>
      </c>
      <c r="I25" s="281">
        <f t="shared" si="9"/>
        <v>277591.53708386794</v>
      </c>
      <c r="J25" s="303">
        <f t="shared" si="10"/>
        <v>3.7553107438869304E-2</v>
      </c>
      <c r="K25" s="119">
        <f t="shared" si="3"/>
        <v>0.70471496766912267</v>
      </c>
      <c r="L25" s="281">
        <f t="shared" si="4"/>
        <v>195622.91108128006</v>
      </c>
      <c r="N25" s="279"/>
      <c r="O25" s="279"/>
      <c r="P25" s="279"/>
      <c r="Q25" s="279"/>
      <c r="R25" s="279"/>
      <c r="S25" s="279"/>
      <c r="T25" s="279"/>
      <c r="U25" s="279"/>
    </row>
    <row r="26" spans="1:21">
      <c r="A26" s="306" t="str">
        <f t="shared" si="0"/>
        <v>I</v>
      </c>
      <c r="B26" s="117">
        <v>6</v>
      </c>
      <c r="C26" s="281">
        <f t="shared" si="5"/>
        <v>9797543.8911680523</v>
      </c>
      <c r="D26" s="303">
        <f t="shared" si="1"/>
        <v>3.0149622951542498E-2</v>
      </c>
      <c r="E26" s="303">
        <f t="shared" si="6"/>
        <v>0.89099809462634716</v>
      </c>
      <c r="F26" s="281">
        <f t="shared" si="7"/>
        <v>-590965.31995688961</v>
      </c>
      <c r="G26" s="281">
        <f t="shared" si="8"/>
        <v>398305.75082986127</v>
      </c>
      <c r="H26" s="303">
        <f t="shared" si="2"/>
        <v>0</v>
      </c>
      <c r="I26" s="281">
        <f t="shared" si="9"/>
        <v>287941.57817278628</v>
      </c>
      <c r="J26" s="303">
        <f t="shared" si="10"/>
        <v>3.7285146361617283E-2</v>
      </c>
      <c r="K26" s="119">
        <f t="shared" si="3"/>
        <v>0.65707689293158289</v>
      </c>
      <c r="L26" s="281">
        <f t="shared" si="4"/>
        <v>189199.75753159091</v>
      </c>
    </row>
    <row r="27" spans="1:21">
      <c r="A27" s="306" t="str">
        <f t="shared" si="0"/>
        <v>I</v>
      </c>
      <c r="B27" s="117">
        <v>7</v>
      </c>
      <c r="C27" s="281">
        <f t="shared" si="5"/>
        <v>10092936.145337958</v>
      </c>
      <c r="D27" s="303">
        <f t="shared" si="1"/>
        <v>3.0149622951542498E-2</v>
      </c>
      <c r="E27" s="303">
        <f t="shared" si="6"/>
        <v>0.89099809462634716</v>
      </c>
      <c r="F27" s="281">
        <f t="shared" si="7"/>
        <v>-608782.70153102756</v>
      </c>
      <c r="G27" s="281">
        <f t="shared" si="8"/>
        <v>412686.68779286148</v>
      </c>
      <c r="H27" s="303">
        <f t="shared" si="2"/>
        <v>0</v>
      </c>
      <c r="I27" s="281">
        <f t="shared" si="9"/>
        <v>298603.66909806867</v>
      </c>
      <c r="J27" s="303">
        <f t="shared" si="10"/>
        <v>3.7028660441960737E-2</v>
      </c>
      <c r="K27" s="119">
        <f t="shared" si="3"/>
        <v>0.61265910762851561</v>
      </c>
      <c r="L27" s="281">
        <f t="shared" si="4"/>
        <v>182942.2574442233</v>
      </c>
    </row>
    <row r="28" spans="1:21">
      <c r="A28" s="306" t="str">
        <f t="shared" si="0"/>
        <v>II</v>
      </c>
      <c r="B28" s="117">
        <v>8</v>
      </c>
      <c r="C28" s="281">
        <f t="shared" si="5"/>
        <v>10294794.868244717</v>
      </c>
      <c r="D28" s="303">
        <f t="shared" si="1"/>
        <v>0.02</v>
      </c>
      <c r="E28" s="303">
        <f t="shared" si="6"/>
        <v>0.86799999999999999</v>
      </c>
      <c r="F28" s="281">
        <f t="shared" si="7"/>
        <v>-620958.35556164815</v>
      </c>
      <c r="G28" s="281">
        <f t="shared" si="8"/>
        <v>659274.68571409502</v>
      </c>
      <c r="H28" s="303">
        <f t="shared" si="2"/>
        <v>0</v>
      </c>
      <c r="I28" s="281">
        <f t="shared" si="9"/>
        <v>503584.85305811919</v>
      </c>
      <c r="J28" s="303">
        <f t="shared" si="10"/>
        <v>0.68646572421295238</v>
      </c>
      <c r="K28" s="119">
        <f t="shared" si="3"/>
        <v>0.5712439231967511</v>
      </c>
      <c r="L28" s="281">
        <f t="shared" si="4"/>
        <v>287669.78712337941</v>
      </c>
    </row>
    <row r="29" spans="1:21">
      <c r="A29" s="306" t="str">
        <f t="shared" si="0"/>
        <v>II</v>
      </c>
      <c r="B29" s="117">
        <v>9</v>
      </c>
      <c r="C29" s="281">
        <f t="shared" si="5"/>
        <v>10500690.765609611</v>
      </c>
      <c r="D29" s="303">
        <f t="shared" si="1"/>
        <v>0.02</v>
      </c>
      <c r="E29" s="303">
        <f t="shared" si="6"/>
        <v>0.86799999999999999</v>
      </c>
      <c r="F29" s="281">
        <f t="shared" si="7"/>
        <v>-633377.52267288114</v>
      </c>
      <c r="G29" s="281">
        <f t="shared" si="8"/>
        <v>674033.77705502813</v>
      </c>
      <c r="H29" s="303">
        <f t="shared" si="2"/>
        <v>0</v>
      </c>
      <c r="I29" s="281">
        <f t="shared" si="9"/>
        <v>514970.50413753535</v>
      </c>
      <c r="J29" s="303">
        <f t="shared" si="10"/>
        <v>2.2609200833334286E-2</v>
      </c>
      <c r="K29" s="119">
        <f t="shared" si="3"/>
        <v>0.53262836661701729</v>
      </c>
      <c r="L29" s="281">
        <f t="shared" si="4"/>
        <v>274287.8984747174</v>
      </c>
    </row>
    <row r="30" spans="1:21">
      <c r="A30" s="306" t="str">
        <f t="shared" si="0"/>
        <v>II</v>
      </c>
      <c r="B30" s="117">
        <v>10</v>
      </c>
      <c r="C30" s="281">
        <f t="shared" si="5"/>
        <v>10710704.580921803</v>
      </c>
      <c r="D30" s="303">
        <f t="shared" si="1"/>
        <v>0.02</v>
      </c>
      <c r="E30" s="303">
        <f t="shared" si="6"/>
        <v>0.86799999999999999</v>
      </c>
      <c r="F30" s="281">
        <f t="shared" si="7"/>
        <v>-646045.07312633877</v>
      </c>
      <c r="G30" s="281">
        <f t="shared" si="8"/>
        <v>689088.05022277974</v>
      </c>
      <c r="H30" s="303">
        <f t="shared" si="2"/>
        <v>0</v>
      </c>
      <c r="I30" s="281">
        <f t="shared" si="9"/>
        <v>526583.86823853967</v>
      </c>
      <c r="J30" s="303">
        <f t="shared" si="10"/>
        <v>2.2551513159873471E-2</v>
      </c>
      <c r="K30" s="119">
        <f t="shared" si="3"/>
        <v>0.49662318565689262</v>
      </c>
      <c r="L30" s="281">
        <f t="shared" si="4"/>
        <v>261513.75816015297</v>
      </c>
    </row>
    <row r="31" spans="1:21">
      <c r="A31" s="306" t="str">
        <f t="shared" si="0"/>
        <v>II</v>
      </c>
      <c r="B31" s="117">
        <v>11</v>
      </c>
      <c r="C31" s="281">
        <f t="shared" si="5"/>
        <v>10924918.672540238</v>
      </c>
      <c r="D31" s="303">
        <f t="shared" si="1"/>
        <v>0.02</v>
      </c>
      <c r="E31" s="303">
        <f t="shared" si="6"/>
        <v>0.86799999999999999</v>
      </c>
      <c r="F31" s="281">
        <f t="shared" si="7"/>
        <v>-658965.97458886553</v>
      </c>
      <c r="G31" s="281">
        <f t="shared" si="8"/>
        <v>704443.40885388653</v>
      </c>
      <c r="H31" s="303">
        <f t="shared" si="2"/>
        <v>0</v>
      </c>
      <c r="I31" s="281">
        <f t="shared" si="9"/>
        <v>538429.49962156429</v>
      </c>
      <c r="J31" s="303">
        <f t="shared" si="10"/>
        <v>2.2495241684195699E-2</v>
      </c>
      <c r="K31" s="119">
        <f t="shared" si="3"/>
        <v>0.46305192135840806</v>
      </c>
      <c r="L31" s="281">
        <f t="shared" si="4"/>
        <v>249320.81431581159</v>
      </c>
    </row>
    <row r="32" spans="1:21">
      <c r="A32" s="306" t="str">
        <f t="shared" si="0"/>
        <v>II</v>
      </c>
      <c r="B32" s="117">
        <v>12</v>
      </c>
      <c r="C32" s="281">
        <f t="shared" si="5"/>
        <v>11143417.045991043</v>
      </c>
      <c r="D32" s="303">
        <f t="shared" si="1"/>
        <v>0.02</v>
      </c>
      <c r="E32" s="303">
        <f t="shared" si="6"/>
        <v>0.86799999999999999</v>
      </c>
      <c r="F32" s="281">
        <f t="shared" si="7"/>
        <v>-672145.29408064287</v>
      </c>
      <c r="G32" s="281">
        <f t="shared" si="8"/>
        <v>720105.8746576152</v>
      </c>
      <c r="H32" s="303">
        <f t="shared" si="2"/>
        <v>0</v>
      </c>
      <c r="I32" s="281">
        <f t="shared" si="9"/>
        <v>550512.04363224912</v>
      </c>
      <c r="J32" s="303">
        <f t="shared" si="10"/>
        <v>2.2440345521887339E-2</v>
      </c>
      <c r="K32" s="119">
        <f t="shared" si="3"/>
        <v>0.43175004322462285</v>
      </c>
      <c r="L32" s="281">
        <f t="shared" si="4"/>
        <v>237683.598633899</v>
      </c>
    </row>
    <row r="33" spans="1:21">
      <c r="A33" s="306" t="str">
        <f t="shared" si="0"/>
        <v>II</v>
      </c>
      <c r="B33" s="117">
        <v>13</v>
      </c>
      <c r="C33" s="281">
        <f t="shared" si="5"/>
        <v>11366285.386910863</v>
      </c>
      <c r="D33" s="303">
        <f t="shared" si="1"/>
        <v>0.02</v>
      </c>
      <c r="E33" s="303">
        <f t="shared" si="6"/>
        <v>0.86799999999999999</v>
      </c>
      <c r="F33" s="281">
        <f t="shared" si="7"/>
        <v>-685588.19996225578</v>
      </c>
      <c r="G33" s="281">
        <f t="shared" si="8"/>
        <v>736081.58977741865</v>
      </c>
      <c r="H33" s="303">
        <f t="shared" si="2"/>
        <v>0</v>
      </c>
      <c r="I33" s="281">
        <f t="shared" si="9"/>
        <v>562836.23852314777</v>
      </c>
      <c r="J33" s="303">
        <f t="shared" si="10"/>
        <v>2.2386785236494067E-2</v>
      </c>
      <c r="K33" s="119">
        <f t="shared" si="3"/>
        <v>0.40256414286678116</v>
      </c>
      <c r="L33" s="281">
        <f t="shared" si="4"/>
        <v>226577.68793543417</v>
      </c>
      <c r="N33" s="279"/>
      <c r="O33" s="279"/>
      <c r="P33" s="279"/>
      <c r="Q33" s="279"/>
      <c r="R33" s="279"/>
      <c r="S33" s="279"/>
      <c r="T33" s="279"/>
      <c r="U33" s="279"/>
    </row>
    <row r="34" spans="1:21">
      <c r="A34" s="306" t="str">
        <f t="shared" si="0"/>
        <v>II</v>
      </c>
      <c r="B34" s="117">
        <v>14</v>
      </c>
      <c r="C34" s="281">
        <f t="shared" si="5"/>
        <v>11593611.09464908</v>
      </c>
      <c r="D34" s="303">
        <f t="shared" si="1"/>
        <v>0.02</v>
      </c>
      <c r="E34" s="303">
        <f t="shared" si="6"/>
        <v>0.86799999999999999</v>
      </c>
      <c r="F34" s="281">
        <f t="shared" si="7"/>
        <v>-699299.96396150091</v>
      </c>
      <c r="G34" s="281">
        <f t="shared" si="8"/>
        <v>752376.81919961818</v>
      </c>
      <c r="H34" s="303">
        <f t="shared" si="2"/>
        <v>0</v>
      </c>
      <c r="I34" s="281">
        <f t="shared" si="9"/>
        <v>575406.91731186444</v>
      </c>
      <c r="J34" s="303">
        <f t="shared" si="10"/>
        <v>2.2334522776467747E-2</v>
      </c>
      <c r="K34" s="119">
        <f t="shared" si="3"/>
        <v>0.37535118216016894</v>
      </c>
      <c r="L34" s="281">
        <f t="shared" si="4"/>
        <v>215979.6666361469</v>
      </c>
      <c r="N34" s="279"/>
      <c r="O34" s="279"/>
      <c r="P34" s="279"/>
      <c r="Q34" s="279"/>
      <c r="R34" s="279"/>
      <c r="S34" s="279"/>
      <c r="T34" s="279"/>
      <c r="U34" s="279"/>
    </row>
    <row r="35" spans="1:21">
      <c r="A35" s="306" t="str">
        <f t="shared" si="0"/>
        <v>II</v>
      </c>
      <c r="B35" s="117">
        <v>15</v>
      </c>
      <c r="C35" s="281">
        <f t="shared" si="5"/>
        <v>11825483.316542063</v>
      </c>
      <c r="D35" s="303">
        <f t="shared" si="1"/>
        <v>0.02</v>
      </c>
      <c r="E35" s="303">
        <f t="shared" si="6"/>
        <v>0.86799999999999999</v>
      </c>
      <c r="F35" s="281">
        <f t="shared" si="7"/>
        <v>-713285.96324073093</v>
      </c>
      <c r="G35" s="281">
        <f t="shared" si="8"/>
        <v>768997.953210262</v>
      </c>
      <c r="H35" s="303">
        <f t="shared" si="2"/>
        <v>0</v>
      </c>
      <c r="I35" s="281">
        <f t="shared" si="9"/>
        <v>588229.00967635564</v>
      </c>
      <c r="J35" s="303">
        <f t="shared" si="10"/>
        <v>2.2283521415405128E-2</v>
      </c>
      <c r="K35" s="119">
        <f t="shared" si="3"/>
        <v>0.34997779222393377</v>
      </c>
      <c r="L35" s="281">
        <f t="shared" si="4"/>
        <v>205867.09012860191</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16</v>
      </c>
      <c r="C51" s="281">
        <f>VLOOKUP(C15,B21:C50,2,FALSE)*(1+Terminal_Growth)</f>
        <v>11825483.316542063</v>
      </c>
      <c r="D51" s="305">
        <f>Terminal_Growth</f>
        <v>0</v>
      </c>
      <c r="E51" s="305">
        <f>F17</f>
        <v>0.86799999999999999</v>
      </c>
      <c r="F51" s="281">
        <f>VLOOKUP(C15,B21:F50,5,FALSE)*(1+Terminal_Growth)</f>
        <v>-713285.96324073093</v>
      </c>
      <c r="G51" s="281">
        <f>C51*(1-E51)+F51+$I$6</f>
        <v>768997.953210262</v>
      </c>
      <c r="H51" s="303">
        <f>F18</f>
        <v>0</v>
      </c>
      <c r="I51" s="281">
        <f>(G51*(1-$I$10)+C51*(H51-$I$9))/Equity_Cost</f>
        <v>8113503.5817428371</v>
      </c>
      <c r="J51" s="419">
        <f>(G51*(1-$I$10)+C51*(H51-$I$9))/VLOOKUP(C15,B21:I50,8,FALSE)-1</f>
        <v>0</v>
      </c>
      <c r="K51" s="119">
        <f>1/(1+Equity_Cost)^C15</f>
        <v>0.34997779222393377</v>
      </c>
      <c r="L51" s="281">
        <f>I51*K51</f>
        <v>2839546.0707393372</v>
      </c>
    </row>
    <row r="52" spans="1:21" ht="13.15">
      <c r="G52" s="111"/>
      <c r="H52" s="111"/>
      <c r="I52" s="111"/>
      <c r="J52" s="464" t="s">
        <v>423</v>
      </c>
      <c r="K52" s="464"/>
      <c r="L52" s="321">
        <f>SUM(L21:L51)</f>
        <v>6216243.1228741389</v>
      </c>
    </row>
    <row r="53" spans="1:21">
      <c r="C53" s="111"/>
    </row>
    <row r="54" spans="1:21" ht="13.15">
      <c r="B54" s="115" t="s">
        <v>108</v>
      </c>
      <c r="C54" s="128"/>
      <c r="D54" s="128"/>
      <c r="E54" s="113"/>
      <c r="F54" s="113"/>
      <c r="G54" s="113"/>
      <c r="H54" s="113"/>
      <c r="I54" s="113"/>
      <c r="J54" s="113"/>
      <c r="K54" s="113"/>
      <c r="L54" s="113"/>
    </row>
    <row r="55" spans="1:21" ht="13.15">
      <c r="A55" s="125">
        <f>L52</f>
        <v>6216243.1228741389</v>
      </c>
      <c r="B55" s="123">
        <f>C94</f>
        <v>0.01</v>
      </c>
      <c r="C55" s="123">
        <f>C93</f>
        <v>0.02</v>
      </c>
      <c r="D55" s="123">
        <f>C92</f>
        <v>0.03</v>
      </c>
      <c r="E55" s="123">
        <f>C91</f>
        <v>0.04</v>
      </c>
      <c r="F55" s="123">
        <f>C90</f>
        <v>0.05</v>
      </c>
      <c r="G55" s="123"/>
      <c r="H55" s="123"/>
      <c r="I55" s="123"/>
      <c r="J55" s="123"/>
      <c r="K55" s="123"/>
      <c r="L55" s="123"/>
    </row>
    <row r="56" spans="1:21" ht="13.15">
      <c r="A56" s="131">
        <v>1</v>
      </c>
      <c r="B56" s="118">
        <f t="dataTable" ref="B56:F69" dt2D="1" dtr="1" r1="C16" r2="C15"/>
        <v>5322146.0032817367</v>
      </c>
      <c r="C56" s="118">
        <v>5322146.0032817367</v>
      </c>
      <c r="D56" s="118">
        <v>5322146.0032817367</v>
      </c>
      <c r="E56" s="118">
        <v>5322146.0032817367</v>
      </c>
      <c r="F56" s="118">
        <v>5322146.0032817367</v>
      </c>
      <c r="G56" s="299"/>
      <c r="H56" s="299"/>
      <c r="I56" s="299"/>
      <c r="J56" s="299"/>
      <c r="K56" s="299"/>
      <c r="L56" s="299"/>
    </row>
    <row r="57" spans="1:21" ht="13.15">
      <c r="A57" s="131">
        <v>2</v>
      </c>
      <c r="B57" s="118">
        <v>5441083.9420132637</v>
      </c>
      <c r="C57" s="118">
        <v>5441083.9420132637</v>
      </c>
      <c r="D57" s="118">
        <v>5441083.9420132637</v>
      </c>
      <c r="E57" s="118">
        <v>5441083.9420132637</v>
      </c>
      <c r="F57" s="118">
        <v>5441083.9420132637</v>
      </c>
      <c r="G57" s="299"/>
      <c r="H57" s="299"/>
      <c r="I57" s="299"/>
      <c r="J57" s="299"/>
      <c r="K57" s="299"/>
      <c r="L57" s="299"/>
    </row>
    <row r="58" spans="1:21" ht="13.15">
      <c r="A58" s="131">
        <v>3</v>
      </c>
      <c r="B58" s="118">
        <v>5490862.7347770724</v>
      </c>
      <c r="C58" s="118">
        <v>5554199.7438838035</v>
      </c>
      <c r="D58" s="118">
        <v>5617536.7529905308</v>
      </c>
      <c r="E58" s="118">
        <v>5680873.7620972618</v>
      </c>
      <c r="F58" s="118">
        <v>5744210.7712039873</v>
      </c>
      <c r="G58" s="299"/>
      <c r="H58" s="299"/>
      <c r="I58" s="299"/>
      <c r="J58" s="299"/>
      <c r="K58" s="299"/>
      <c r="L58" s="299"/>
    </row>
    <row r="59" spans="1:21" ht="13.15">
      <c r="A59" s="131">
        <v>4</v>
      </c>
      <c r="B59" s="118">
        <v>5597386.7067017779</v>
      </c>
      <c r="C59" s="118">
        <v>5661778.4085998451</v>
      </c>
      <c r="D59" s="118">
        <v>5726170.1104979031</v>
      </c>
      <c r="E59" s="118">
        <v>5790561.8123959685</v>
      </c>
      <c r="F59" s="118">
        <v>5854953.5142940283</v>
      </c>
      <c r="G59" s="299"/>
      <c r="H59" s="299"/>
      <c r="I59" s="299"/>
      <c r="J59" s="299"/>
      <c r="K59" s="299"/>
      <c r="L59" s="299"/>
    </row>
    <row r="60" spans="1:21" ht="13.15">
      <c r="A60" s="131">
        <v>5</v>
      </c>
      <c r="B60" s="118">
        <v>5497056.4488840643</v>
      </c>
      <c r="C60" s="118">
        <v>5621694.4424392562</v>
      </c>
      <c r="D60" s="118">
        <v>5747533.213652215</v>
      </c>
      <c r="E60" s="118">
        <v>5874572.7625229498</v>
      </c>
      <c r="F60" s="118">
        <v>6002813.0890514571</v>
      </c>
      <c r="G60" s="299"/>
      <c r="H60" s="299"/>
      <c r="I60" s="299"/>
      <c r="J60" s="299"/>
      <c r="K60" s="299"/>
      <c r="L60" s="299"/>
    </row>
    <row r="61" spans="1:21" ht="13.15">
      <c r="A61" s="131">
        <v>6</v>
      </c>
      <c r="B61" s="118">
        <v>5592462.1429429594</v>
      </c>
      <c r="C61" s="118">
        <v>5718998.710745181</v>
      </c>
      <c r="D61" s="118">
        <v>5846754.7613701653</v>
      </c>
      <c r="E61" s="118">
        <v>5975730.2948179226</v>
      </c>
      <c r="F61" s="118">
        <v>6105925.3110884447</v>
      </c>
      <c r="G61" s="299"/>
      <c r="H61" s="299"/>
      <c r="I61" s="299"/>
      <c r="J61" s="299"/>
      <c r="K61" s="299"/>
      <c r="L61" s="299"/>
    </row>
    <row r="62" spans="1:21" ht="13.15">
      <c r="A62" s="131">
        <v>7</v>
      </c>
      <c r="B62" s="118">
        <v>5492418.8643652732</v>
      </c>
      <c r="C62" s="118">
        <v>5676113.7507732855</v>
      </c>
      <c r="D62" s="118">
        <v>5863339.45178595</v>
      </c>
      <c r="E62" s="118">
        <v>6054130.0788109051</v>
      </c>
      <c r="F62" s="118">
        <v>6248519.7432557773</v>
      </c>
      <c r="G62" s="299"/>
      <c r="H62" s="299"/>
      <c r="I62" s="299"/>
      <c r="J62" s="299"/>
      <c r="K62" s="299"/>
      <c r="L62" s="299"/>
    </row>
    <row r="63" spans="1:21" ht="13.15">
      <c r="A63" s="131">
        <v>8</v>
      </c>
      <c r="B63" s="118">
        <v>5577866.7339330092</v>
      </c>
      <c r="C63" s="118">
        <v>5764124.8880702872</v>
      </c>
      <c r="D63" s="118">
        <v>5953964.6129467599</v>
      </c>
      <c r="E63" s="118">
        <v>6147420.5175792277</v>
      </c>
      <c r="F63" s="118">
        <v>6344527.2109844796</v>
      </c>
      <c r="G63" s="299"/>
      <c r="H63" s="299"/>
      <c r="I63" s="299"/>
      <c r="J63" s="299"/>
      <c r="K63" s="299"/>
      <c r="L63" s="299"/>
    </row>
    <row r="64" spans="1:21" ht="13.15">
      <c r="A64" s="131">
        <v>9</v>
      </c>
      <c r="B64" s="118">
        <v>5478674.0036659241</v>
      </c>
      <c r="C64" s="118">
        <v>5719030.9543831721</v>
      </c>
      <c r="D64" s="118">
        <v>5966300.8943257071</v>
      </c>
      <c r="E64" s="118">
        <v>6220617.567549143</v>
      </c>
      <c r="F64" s="118">
        <v>6482116.0088882605</v>
      </c>
      <c r="G64" s="299"/>
      <c r="H64" s="299"/>
      <c r="I64" s="299"/>
      <c r="J64" s="299"/>
      <c r="K64" s="299"/>
      <c r="L64" s="299"/>
    </row>
    <row r="65" spans="1:21" ht="13.15">
      <c r="A65" s="131">
        <v>10</v>
      </c>
      <c r="B65" s="118">
        <v>5555203.3815577477</v>
      </c>
      <c r="C65" s="118">
        <v>5798636.5094443168</v>
      </c>
      <c r="D65" s="118">
        <v>6049074.4452762417</v>
      </c>
      <c r="E65" s="118">
        <v>6306652.7422725484</v>
      </c>
      <c r="F65" s="118">
        <v>6571508.2620817916</v>
      </c>
      <c r="G65" s="299"/>
      <c r="H65" s="299"/>
      <c r="I65" s="299"/>
      <c r="J65" s="299"/>
      <c r="K65" s="299"/>
      <c r="L65" s="299"/>
    </row>
    <row r="66" spans="1:21" ht="13.15">
      <c r="A66" s="131">
        <v>15</v>
      </c>
      <c r="B66" s="118">
        <v>5396961.8185033593</v>
      </c>
      <c r="C66" s="281">
        <v>5792108.8893085411</v>
      </c>
      <c r="D66" s="118">
        <v>6209816.4225565288</v>
      </c>
      <c r="E66" s="118">
        <v>6651179.8059659954</v>
      </c>
      <c r="F66" s="118">
        <v>7117337.0643130448</v>
      </c>
      <c r="G66" s="299"/>
      <c r="H66" s="299"/>
      <c r="I66" s="299"/>
      <c r="J66" s="299"/>
      <c r="K66" s="299"/>
      <c r="L66" s="299"/>
      <c r="M66" s="279"/>
      <c r="N66" s="279"/>
      <c r="O66" s="279"/>
      <c r="P66" s="279"/>
      <c r="Q66" s="279"/>
      <c r="R66" s="279"/>
      <c r="S66" s="279"/>
      <c r="T66" s="279"/>
      <c r="U66" s="279"/>
    </row>
    <row r="67" spans="1:21" ht="13.15">
      <c r="A67" s="132">
        <v>20</v>
      </c>
      <c r="B67" s="118">
        <v>5364061.1430426184</v>
      </c>
      <c r="C67" s="281">
        <v>5853599.8591909334</v>
      </c>
      <c r="D67" s="118">
        <v>6380231.8284840696</v>
      </c>
      <c r="E67" s="118">
        <v>6946485.60456766</v>
      </c>
      <c r="F67" s="118">
        <v>7555038.2205814561</v>
      </c>
      <c r="G67" s="299"/>
      <c r="H67" s="299"/>
      <c r="I67" s="299"/>
      <c r="J67" s="299"/>
      <c r="K67" s="299"/>
      <c r="L67" s="299"/>
      <c r="M67" s="279"/>
      <c r="N67" s="279"/>
      <c r="O67" s="279"/>
      <c r="P67" s="279"/>
      <c r="Q67" s="279"/>
      <c r="R67" s="279"/>
      <c r="S67" s="279"/>
      <c r="T67" s="279"/>
      <c r="U67" s="279"/>
    </row>
    <row r="68" spans="1:21" ht="13.15">
      <c r="A68" s="132">
        <v>25</v>
      </c>
      <c r="B68" s="118">
        <v>5187075.0610776981</v>
      </c>
      <c r="C68" s="281">
        <v>5789247.4213424828</v>
      </c>
      <c r="D68" s="118">
        <v>6453576.1043743286</v>
      </c>
      <c r="E68" s="118">
        <v>7186133.2801278103</v>
      </c>
      <c r="F68" s="118">
        <v>7993530.2762442231</v>
      </c>
      <c r="G68" s="299"/>
      <c r="H68" s="299"/>
      <c r="I68" s="299"/>
      <c r="J68" s="299"/>
      <c r="K68" s="299"/>
      <c r="L68" s="299"/>
      <c r="M68" s="279"/>
      <c r="N68" s="279"/>
      <c r="O68" s="279"/>
      <c r="P68" s="279"/>
      <c r="Q68" s="279"/>
      <c r="R68" s="279"/>
      <c r="S68" s="279"/>
      <c r="T68" s="279"/>
      <c r="U68" s="279"/>
    </row>
    <row r="69" spans="1:21" ht="13.15">
      <c r="A69" s="132">
        <v>30</v>
      </c>
      <c r="B69" s="118">
        <v>5118927.8479986088</v>
      </c>
      <c r="C69" s="281">
        <v>5790972.7175897965</v>
      </c>
      <c r="D69" s="118">
        <v>6544533.1775393505</v>
      </c>
      <c r="E69" s="118">
        <v>7389189.0565219279</v>
      </c>
      <c r="F69" s="118">
        <v>8335565.6915554032</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0.01</v>
      </c>
      <c r="C72" s="124">
        <f>C55</f>
        <v>0.02</v>
      </c>
      <c r="D72" s="124">
        <f>D55</f>
        <v>0.03</v>
      </c>
      <c r="E72" s="124">
        <f>E55</f>
        <v>0.04</v>
      </c>
      <c r="F72" s="124">
        <f>F55</f>
        <v>0.05</v>
      </c>
      <c r="G72" s="124"/>
      <c r="H72" s="124"/>
      <c r="I72" s="124"/>
      <c r="J72" s="124"/>
      <c r="K72" s="124"/>
      <c r="L72" s="124"/>
    </row>
    <row r="73" spans="1:21" ht="13.15">
      <c r="A73" s="131">
        <v>0</v>
      </c>
      <c r="B73" s="119">
        <f>C11</f>
        <v>2.5670270786220946</v>
      </c>
      <c r="C73" s="119">
        <f>C11</f>
        <v>2.5670270786220946</v>
      </c>
      <c r="D73" s="119">
        <f>C11</f>
        <v>2.5670270786220946</v>
      </c>
      <c r="E73" s="119">
        <f>C11</f>
        <v>2.5670270786220946</v>
      </c>
      <c r="F73" s="119">
        <f>C11</f>
        <v>2.5670270786220946</v>
      </c>
      <c r="G73" s="300"/>
      <c r="H73" s="300"/>
      <c r="I73" s="300"/>
      <c r="J73" s="300"/>
      <c r="K73" s="300"/>
      <c r="L73" s="300"/>
    </row>
    <row r="74" spans="1:21" ht="13.15">
      <c r="A74" s="131">
        <v>1</v>
      </c>
      <c r="B74" s="119">
        <f t="shared" ref="B74:F87" si="11">(B56+FV_adjustments)/Common_Shares*scaling_factor*Exchange_Rate</f>
        <v>6.2684035449417044</v>
      </c>
      <c r="C74" s="119">
        <f t="shared" si="11"/>
        <v>6.2684035449417044</v>
      </c>
      <c r="D74" s="119">
        <f t="shared" si="11"/>
        <v>6.2684035449417044</v>
      </c>
      <c r="E74" s="119">
        <f t="shared" si="11"/>
        <v>6.2684035449417044</v>
      </c>
      <c r="F74" s="119">
        <f t="shared" si="11"/>
        <v>6.2684035449417044</v>
      </c>
      <c r="G74" s="300"/>
      <c r="H74" s="300"/>
      <c r="I74" s="300"/>
      <c r="J74" s="300"/>
      <c r="K74" s="300"/>
      <c r="L74" s="300"/>
    </row>
    <row r="75" spans="1:21" ht="13.15">
      <c r="A75" s="131">
        <v>2</v>
      </c>
      <c r="B75" s="119">
        <f t="shared" si="11"/>
        <v>6.4734675306459675</v>
      </c>
      <c r="C75" s="119">
        <f t="shared" si="11"/>
        <v>6.4734675306459675</v>
      </c>
      <c r="D75" s="119">
        <f t="shared" si="11"/>
        <v>6.4734675306459675</v>
      </c>
      <c r="E75" s="119">
        <f t="shared" si="11"/>
        <v>6.4734675306459675</v>
      </c>
      <c r="F75" s="119">
        <f t="shared" si="11"/>
        <v>6.4734675306459675</v>
      </c>
      <c r="G75" s="300"/>
      <c r="H75" s="300"/>
      <c r="I75" s="300"/>
      <c r="J75" s="300"/>
      <c r="K75" s="300"/>
      <c r="L75" s="300"/>
    </row>
    <row r="76" spans="1:21" ht="13.15">
      <c r="A76" s="131">
        <v>3</v>
      </c>
      <c r="B76" s="119">
        <f t="shared" si="11"/>
        <v>6.5592924386320961</v>
      </c>
      <c r="C76" s="119">
        <f t="shared" si="11"/>
        <v>6.6684934191479179</v>
      </c>
      <c r="D76" s="119">
        <f t="shared" si="11"/>
        <v>6.7776943996637335</v>
      </c>
      <c r="E76" s="119">
        <f t="shared" si="11"/>
        <v>6.8868953801795554</v>
      </c>
      <c r="F76" s="119">
        <f t="shared" si="11"/>
        <v>6.9960963606953674</v>
      </c>
      <c r="G76" s="300"/>
      <c r="H76" s="300"/>
      <c r="I76" s="300"/>
      <c r="J76" s="300"/>
      <c r="K76" s="300"/>
      <c r="L76" s="300"/>
    </row>
    <row r="77" spans="1:21" ht="13.15">
      <c r="A77" s="131">
        <v>4</v>
      </c>
      <c r="B77" s="119">
        <f t="shared" si="11"/>
        <v>6.7429531821164534</v>
      </c>
      <c r="C77" s="119">
        <f t="shared" si="11"/>
        <v>6.8539725858350948</v>
      </c>
      <c r="D77" s="119">
        <f t="shared" si="11"/>
        <v>6.9649919895537202</v>
      </c>
      <c r="E77" s="119">
        <f t="shared" si="11"/>
        <v>7.0760113932723581</v>
      </c>
      <c r="F77" s="119">
        <f t="shared" si="11"/>
        <v>7.187030796990987</v>
      </c>
      <c r="G77" s="300"/>
      <c r="H77" s="300"/>
      <c r="I77" s="300"/>
      <c r="J77" s="300"/>
      <c r="K77" s="300"/>
      <c r="L77" s="300"/>
    </row>
    <row r="78" spans="1:21" ht="13.15">
      <c r="A78" s="131">
        <v>5</v>
      </c>
      <c r="B78" s="119">
        <f t="shared" si="11"/>
        <v>6.5699711818038571</v>
      </c>
      <c r="C78" s="119">
        <f t="shared" si="11"/>
        <v>6.7848627799027819</v>
      </c>
      <c r="D78" s="119">
        <f t="shared" si="11"/>
        <v>7.0018246699125335</v>
      </c>
      <c r="E78" s="119">
        <f t="shared" si="11"/>
        <v>7.2208568518331298</v>
      </c>
      <c r="F78" s="119">
        <f t="shared" si="11"/>
        <v>7.4419593256645609</v>
      </c>
      <c r="G78" s="300"/>
      <c r="H78" s="300"/>
      <c r="I78" s="300"/>
      <c r="J78" s="300"/>
      <c r="K78" s="300"/>
      <c r="L78" s="300"/>
    </row>
    <row r="79" spans="1:21" ht="13.15">
      <c r="A79" s="131">
        <v>6</v>
      </c>
      <c r="B79" s="119">
        <f t="shared" si="11"/>
        <v>6.7344626139848032</v>
      </c>
      <c r="C79" s="119">
        <f t="shared" si="11"/>
        <v>6.952627593196631</v>
      </c>
      <c r="D79" s="119">
        <f t="shared" si="11"/>
        <v>7.1728951143795134</v>
      </c>
      <c r="E79" s="119">
        <f t="shared" si="11"/>
        <v>7.3952651775334663</v>
      </c>
      <c r="F79" s="119">
        <f t="shared" si="11"/>
        <v>7.6197377826584747</v>
      </c>
      <c r="G79" s="300"/>
      <c r="H79" s="300"/>
      <c r="I79" s="300"/>
      <c r="J79" s="300"/>
      <c r="K79" s="300"/>
      <c r="L79" s="300"/>
    </row>
    <row r="80" spans="1:21" ht="13.15">
      <c r="A80" s="131">
        <f t="shared" ref="A80" si="12">A62</f>
        <v>7</v>
      </c>
      <c r="B80" s="119">
        <f t="shared" si="11"/>
        <v>6.5619754020248715</v>
      </c>
      <c r="C80" s="119">
        <f t="shared" si="11"/>
        <v>6.8786885211697033</v>
      </c>
      <c r="D80" s="119">
        <f t="shared" si="11"/>
        <v>7.2014892093722702</v>
      </c>
      <c r="E80" s="119">
        <f t="shared" si="11"/>
        <v>7.5304362789954142</v>
      </c>
      <c r="F80" s="119">
        <f t="shared" si="11"/>
        <v>7.865588542401956</v>
      </c>
      <c r="G80" s="300"/>
      <c r="H80" s="300"/>
      <c r="I80" s="300"/>
      <c r="J80" s="300"/>
      <c r="K80" s="300"/>
      <c r="L80" s="300"/>
    </row>
    <row r="81" spans="1:12" ht="13.15">
      <c r="A81" s="131">
        <v>8</v>
      </c>
      <c r="B81" s="119">
        <f t="shared" si="11"/>
        <v>6.7092982906706062</v>
      </c>
      <c r="C81" s="119">
        <f t="shared" si="11"/>
        <v>7.0304308062048184</v>
      </c>
      <c r="D81" s="119">
        <f t="shared" si="11"/>
        <v>7.3577384007650659</v>
      </c>
      <c r="E81" s="119">
        <f t="shared" si="11"/>
        <v>7.6912807446550575</v>
      </c>
      <c r="F81" s="119">
        <f t="shared" si="11"/>
        <v>8.0311175081784789</v>
      </c>
      <c r="G81" s="300"/>
      <c r="H81" s="300"/>
      <c r="I81" s="300"/>
      <c r="J81" s="300"/>
      <c r="K81" s="300"/>
      <c r="L81" s="300"/>
    </row>
    <row r="82" spans="1:12" ht="13.15">
      <c r="A82" s="131">
        <f t="shared" ref="A82" si="13">A64</f>
        <v>9</v>
      </c>
      <c r="B82" s="119">
        <f t="shared" si="11"/>
        <v>6.5382775311182586</v>
      </c>
      <c r="C82" s="119">
        <f t="shared" si="11"/>
        <v>6.9526831852893691</v>
      </c>
      <c r="D82" s="119">
        <f t="shared" si="11"/>
        <v>7.3790077035234258</v>
      </c>
      <c r="E82" s="119">
        <f t="shared" si="11"/>
        <v>7.8174816774163567</v>
      </c>
      <c r="F82" s="119">
        <f t="shared" si="11"/>
        <v>8.2683379240299324</v>
      </c>
      <c r="G82" s="300"/>
      <c r="H82" s="300"/>
      <c r="I82" s="300"/>
      <c r="J82" s="300"/>
      <c r="K82" s="300"/>
      <c r="L82" s="300"/>
    </row>
    <row r="83" spans="1:12" ht="13.15">
      <c r="A83" s="131">
        <f t="shared" ref="A83:A87" si="14">A65</f>
        <v>10</v>
      </c>
      <c r="B83" s="119">
        <f t="shared" si="11"/>
        <v>6.6702238168983499</v>
      </c>
      <c r="C83" s="119">
        <f t="shared" si="11"/>
        <v>7.0899331879305496</v>
      </c>
      <c r="D83" s="119">
        <f t="shared" si="11"/>
        <v>7.5217197300629639</v>
      </c>
      <c r="E83" s="119">
        <f t="shared" si="11"/>
        <v>7.9658171541170937</v>
      </c>
      <c r="F83" s="119">
        <f t="shared" si="11"/>
        <v>8.4224614268117346</v>
      </c>
      <c r="G83" s="300"/>
      <c r="H83" s="300"/>
      <c r="I83" s="300"/>
      <c r="J83" s="300"/>
      <c r="K83" s="300"/>
      <c r="L83" s="300"/>
    </row>
    <row r="84" spans="1:12" ht="13.15">
      <c r="A84" s="131">
        <f t="shared" si="14"/>
        <v>15</v>
      </c>
      <c r="B84" s="119">
        <f t="shared" si="11"/>
        <v>6.3973954328681506</v>
      </c>
      <c r="C84" s="119">
        <f t="shared" si="11"/>
        <v>7.0786787487122345</v>
      </c>
      <c r="D84" s="119">
        <f t="shared" si="11"/>
        <v>7.7988591431268164</v>
      </c>
      <c r="E84" s="119">
        <f t="shared" si="11"/>
        <v>8.5598252024946575</v>
      </c>
      <c r="F84" s="119">
        <f t="shared" si="11"/>
        <v>9.3635390248553545</v>
      </c>
      <c r="G84" s="300"/>
      <c r="H84" s="300"/>
      <c r="I84" s="300"/>
      <c r="J84" s="300"/>
      <c r="K84" s="300"/>
      <c r="L84" s="300"/>
    </row>
    <row r="85" spans="1:12" ht="13.15">
      <c r="A85" s="132">
        <f t="shared" si="14"/>
        <v>20</v>
      </c>
      <c r="B85" s="119">
        <f t="shared" si="11"/>
        <v>6.3406705247833459</v>
      </c>
      <c r="C85" s="119">
        <f t="shared" si="11"/>
        <v>7.1846969251106598</v>
      </c>
      <c r="D85" s="119">
        <f t="shared" si="11"/>
        <v>8.0926767654734881</v>
      </c>
      <c r="E85" s="119">
        <f t="shared" si="11"/>
        <v>9.0689695908090489</v>
      </c>
      <c r="F85" s="119">
        <f t="shared" si="11"/>
        <v>10.118190943402293</v>
      </c>
      <c r="G85" s="300"/>
      <c r="H85" s="300"/>
      <c r="I85" s="300"/>
      <c r="J85" s="300"/>
      <c r="K85" s="300"/>
      <c r="L85" s="300"/>
    </row>
    <row r="86" spans="1:12" ht="13.15">
      <c r="A86" s="132">
        <f t="shared" si="14"/>
        <v>25</v>
      </c>
      <c r="B86" s="119">
        <f t="shared" si="11"/>
        <v>6.03552422942143</v>
      </c>
      <c r="C86" s="119">
        <f t="shared" si="11"/>
        <v>7.0737452175585664</v>
      </c>
      <c r="D86" s="119">
        <f t="shared" si="11"/>
        <v>8.2191315342634468</v>
      </c>
      <c r="E86" s="119">
        <f t="shared" si="11"/>
        <v>9.4821523652815003</v>
      </c>
      <c r="F86" s="119">
        <f t="shared" si="11"/>
        <v>10.874206472112879</v>
      </c>
      <c r="G86" s="300"/>
      <c r="H86" s="300"/>
      <c r="I86" s="300"/>
      <c r="J86" s="300"/>
      <c r="K86" s="300"/>
      <c r="L86" s="300"/>
    </row>
    <row r="87" spans="1:12" ht="13.15">
      <c r="A87" s="132">
        <f t="shared" si="14"/>
        <v>30</v>
      </c>
      <c r="B87" s="119">
        <f t="shared" si="11"/>
        <v>5.918029851448563</v>
      </c>
      <c r="C87" s="119">
        <f t="shared" si="11"/>
        <v>7.0767198455769105</v>
      </c>
      <c r="D87" s="119">
        <f t="shared" si="11"/>
        <v>8.3759529837533027</v>
      </c>
      <c r="E87" s="119">
        <f t="shared" si="11"/>
        <v>9.8322460971195973</v>
      </c>
      <c r="F87" s="119">
        <f t="shared" si="11"/>
        <v>11.463918604875204</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0.05</v>
      </c>
      <c r="D90" s="133">
        <f>Scenarios!D29</f>
        <v>15</v>
      </c>
      <c r="E90" s="127">
        <f>INDEX(B$73:F$87, MATCH(D90, A$73:A$87, 0), MATCH(C90, B$72:F$72, 0))</f>
        <v>9.3635390248553545</v>
      </c>
      <c r="F90" s="130">
        <f>Scenarios!F29</f>
        <v>0.05</v>
      </c>
      <c r="G90" s="301"/>
      <c r="H90" s="301"/>
      <c r="I90" s="301"/>
      <c r="J90" s="301"/>
      <c r="K90" s="301"/>
      <c r="L90" s="301"/>
    </row>
    <row r="91" spans="1:12">
      <c r="B91" s="120" t="str">
        <f>Scenarios!B22</f>
        <v>Optimistic</v>
      </c>
      <c r="C91" s="130">
        <f>Scenarios!C22</f>
        <v>0.04</v>
      </c>
      <c r="D91" s="133">
        <f>Scenarios!D22</f>
        <v>15</v>
      </c>
      <c r="E91" s="127">
        <f>INDEX(B$73:F$87, MATCH(D91, A$73:A$87, 0), MATCH(C91, B$72:F$72, 0))</f>
        <v>8.5598252024946575</v>
      </c>
      <c r="F91" s="130">
        <f>Scenarios!F22*(1-F$90-F$94)</f>
        <v>0.18</v>
      </c>
      <c r="G91" s="301"/>
      <c r="H91" s="301"/>
      <c r="I91" s="301"/>
      <c r="J91" s="301"/>
      <c r="K91" s="301"/>
      <c r="L91" s="301"/>
    </row>
    <row r="92" spans="1:12">
      <c r="B92" s="120" t="str">
        <f>Scenarios!B23</f>
        <v>Base</v>
      </c>
      <c r="C92" s="130">
        <f>Scenarios!C23</f>
        <v>0.03</v>
      </c>
      <c r="D92" s="133">
        <f>Scenarios!D23</f>
        <v>15</v>
      </c>
      <c r="E92" s="127">
        <f>INDEX(B$73:F$87, MATCH(D92, A$73:A$87, 0), MATCH(C92, B$72:F$72, 0))</f>
        <v>7.7988591431268164</v>
      </c>
      <c r="F92" s="130">
        <f>Scenarios!F23*(1-F$90-F$94)</f>
        <v>0.53999999999999992</v>
      </c>
      <c r="G92" s="301"/>
      <c r="H92" s="301"/>
      <c r="I92" s="301"/>
      <c r="J92" s="301"/>
      <c r="K92" s="301"/>
      <c r="L92" s="301"/>
    </row>
    <row r="93" spans="1:12">
      <c r="B93" s="120" t="str">
        <f>Scenarios!B24</f>
        <v>Pessimistic</v>
      </c>
      <c r="C93" s="130">
        <f>Scenarios!C24</f>
        <v>0.02</v>
      </c>
      <c r="D93" s="133">
        <f>Scenarios!D24</f>
        <v>15</v>
      </c>
      <c r="E93" s="127">
        <f>INDEX(B$73:F$87, MATCH(D93, A$73:A$87, 0), MATCH(C93, B$72:F$72, 0))</f>
        <v>7.0786787487122345</v>
      </c>
      <c r="F93" s="130">
        <f>Scenarios!F24*(1-F$90-F$94)</f>
        <v>0.18</v>
      </c>
      <c r="G93" s="301"/>
      <c r="H93" s="301"/>
      <c r="I93" s="301"/>
      <c r="J93" s="301"/>
      <c r="K93" s="301"/>
      <c r="L93" s="301"/>
    </row>
    <row r="94" spans="1:12">
      <c r="B94" s="120" t="str">
        <f>Scenarios!B30</f>
        <v>Devil's advocate</v>
      </c>
      <c r="C94" s="130">
        <f>Scenarios!C30</f>
        <v>0.01</v>
      </c>
      <c r="D94" s="133">
        <f>Scenarios!D30</f>
        <v>15</v>
      </c>
      <c r="E94" s="127">
        <f>INDEX(B$73:F$87, MATCH(D94, A$73:A$87, 0), MATCH(C94, B$72:F$72, 0))</f>
        <v>6.3973954328681506</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289000.65016124537</v>
      </c>
      <c r="D8" s="465"/>
      <c r="E8" s="465"/>
      <c r="F8" s="465"/>
      <c r="G8" s="465"/>
    </row>
    <row r="9" spans="2:7">
      <c r="B9" s="97" t="s">
        <v>54</v>
      </c>
      <c r="C9" s="452">
        <f>Normalized_FCF!C19</f>
        <v>230211.62257446788</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0.62894902211793369</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15</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0.04</v>
      </c>
      <c r="D22" s="329">
        <f>C18</f>
        <v>15</v>
      </c>
      <c r="E22" s="330">
        <f>DCF!E91</f>
        <v>8.5598252024946575</v>
      </c>
      <c r="F22" s="332">
        <f>1-F23-F24</f>
        <v>0.2</v>
      </c>
      <c r="G22" s="332">
        <f>F22*(1-F$29-F$30)</f>
        <v>0.18</v>
      </c>
    </row>
    <row r="23" spans="2:7">
      <c r="B23" s="306" t="s">
        <v>440</v>
      </c>
      <c r="C23" s="328">
        <v>0.03</v>
      </c>
      <c r="D23" s="329">
        <f>C18</f>
        <v>15</v>
      </c>
      <c r="E23" s="330">
        <f>DCF!E92</f>
        <v>7.7988591431268164</v>
      </c>
      <c r="F23" s="331">
        <v>0.6</v>
      </c>
      <c r="G23" s="332">
        <f t="shared" ref="G23:G24" si="0">F23*(1-F$29-F$30)</f>
        <v>0.53999999999999992</v>
      </c>
    </row>
    <row r="24" spans="2:7">
      <c r="B24" s="306" t="s">
        <v>449</v>
      </c>
      <c r="C24" s="328">
        <v>0.02</v>
      </c>
      <c r="D24" s="329">
        <f>C18</f>
        <v>15</v>
      </c>
      <c r="E24" s="330">
        <f>DCF!E93</f>
        <v>7.0786787487122345</v>
      </c>
      <c r="F24" s="331">
        <v>0.2</v>
      </c>
      <c r="G24" s="332">
        <f t="shared" si="0"/>
        <v>0.18</v>
      </c>
    </row>
    <row r="25" spans="2:7">
      <c r="B25" s="141" t="s">
        <v>454</v>
      </c>
      <c r="C25" s="446">
        <f>E23*F23+E24*F24+E22*F22</f>
        <v>7.8070162761174675</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0.05</v>
      </c>
      <c r="D29" s="329">
        <f>C18</f>
        <v>15</v>
      </c>
      <c r="E29" s="330">
        <f>DCF!E90</f>
        <v>9.3635390248553545</v>
      </c>
      <c r="F29" s="331">
        <v>0.05</v>
      </c>
      <c r="G29" s="332">
        <f>F29</f>
        <v>0.05</v>
      </c>
    </row>
    <row r="30" spans="2:7">
      <c r="B30" s="319" t="s">
        <v>450</v>
      </c>
      <c r="C30" s="328">
        <v>0.01</v>
      </c>
      <c r="D30" s="329">
        <f>C18</f>
        <v>15</v>
      </c>
      <c r="E30" s="330">
        <f>DCF!E94</f>
        <v>6.3973954328681506</v>
      </c>
      <c r="F30" s="331">
        <v>0.05</v>
      </c>
      <c r="G30" s="332">
        <f>F30</f>
        <v>0.05</v>
      </c>
    </row>
    <row r="31" spans="2:7">
      <c r="E31" s="333"/>
      <c r="F31" s="333"/>
    </row>
    <row r="32" spans="2:7" ht="13.15">
      <c r="B32" s="145" t="s">
        <v>459</v>
      </c>
    </row>
    <row r="33" spans="2:7">
      <c r="B33" s="97" t="s">
        <v>461</v>
      </c>
      <c r="C33" s="155">
        <f>Normalized_FCF!C88*(1-dividend_tax_rate)</f>
        <v>0.4</v>
      </c>
      <c r="D33" t="str">
        <f>Market_currency</f>
        <v>HKD</v>
      </c>
      <c r="E33" s="97" t="s">
        <v>458</v>
      </c>
      <c r="F33" s="219">
        <f>Holding_Period</f>
        <v>3</v>
      </c>
    </row>
    <row r="34" spans="2:7">
      <c r="B34" s="97" t="s">
        <v>233</v>
      </c>
      <c r="C34" s="146">
        <f>Market_Price</f>
        <v>6.52</v>
      </c>
      <c r="D34" t="str">
        <f>Market_currency</f>
        <v>HKD</v>
      </c>
      <c r="E34" s="97" t="s">
        <v>457</v>
      </c>
      <c r="F34" s="334">
        <f>RATE(Holding_Period,$C$33,-C34,$C$36)</f>
        <v>0.12017169390553457</v>
      </c>
    </row>
    <row r="35" spans="2:7">
      <c r="B35" s="97" t="s">
        <v>437</v>
      </c>
      <c r="C35" s="324">
        <f>DCF!C11</f>
        <v>2.5670270786220946</v>
      </c>
      <c r="D35" s="97" t="str">
        <f>Market_currency</f>
        <v>HKD</v>
      </c>
      <c r="E35" s="97" t="s">
        <v>457</v>
      </c>
      <c r="F35" s="334">
        <f>RATE(Holding_Period,$C$33,-C35,$C$36)</f>
        <v>0.56386844863399943</v>
      </c>
    </row>
    <row r="36" spans="2:7">
      <c r="B36" s="97" t="s">
        <v>438</v>
      </c>
      <c r="C36" s="325">
        <f>E22*G22+E23*G23+E24*G24+E30*G30+E29*G29</f>
        <v>7.8143613713918958</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0.86799999999999999</v>
      </c>
      <c r="E40" s="97" t="s">
        <v>403</v>
      </c>
    </row>
    <row r="41" spans="2:7">
      <c r="B41" s="97" t="s">
        <v>401</v>
      </c>
      <c r="C41" s="138">
        <v>0.02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3.0149622951542498E-2</v>
      </c>
      <c r="D46" s="138"/>
      <c r="E46" s="221" t="s">
        <v>252</v>
      </c>
    </row>
    <row r="47" spans="2:7">
      <c r="B47" s="97" t="s">
        <v>96</v>
      </c>
      <c r="C47" s="146">
        <f>DCF!I18</f>
        <v>7.8099395838685268</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0.56971924129009388</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0.4</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0.73194063044404789</v>
      </c>
      <c r="D62" s="119">
        <f>C36/(1+F62)^Holding_Period</f>
        <v>3.6010881895815197</v>
      </c>
      <c r="E62" s="336">
        <f>C62+D62</f>
        <v>4.333028820025568</v>
      </c>
      <c r="F62" s="305">
        <f>Thesis!E22</f>
        <v>0.29465259038036606</v>
      </c>
      <c r="G62" s="445">
        <f>(1-E62/C36)</f>
        <v>0.44550442267891077</v>
      </c>
    </row>
    <row r="63" spans="2:7" ht="13.15">
      <c r="B63" s="306" t="s">
        <v>313</v>
      </c>
      <c r="C63" s="119">
        <f>PV(F63, Holding_Period, -C58, 0)</f>
        <v>0.84160157890763132</v>
      </c>
      <c r="D63" s="119">
        <f>C36/(1+F63)^Holding_Period</f>
        <v>4.513710539432144</v>
      </c>
      <c r="E63" s="336">
        <f>C63+D63</f>
        <v>5.3553121183397749</v>
      </c>
      <c r="F63" s="305">
        <f>Thesis!E23</f>
        <v>0.20075184365903009</v>
      </c>
      <c r="G63" s="445">
        <f>(1-E63/C36)</f>
        <v>0.31468332934468768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0.96504125037545974</v>
      </c>
      <c r="D66" s="119">
        <f>C36/(1+F66)^Holding_Period</f>
        <v>5.6010247277185474</v>
      </c>
      <c r="E66" s="336">
        <f>C66+D66</f>
        <v>6.5660659780940076</v>
      </c>
      <c r="F66" s="305">
        <f>Thesis!E24</f>
        <v>0.1174</v>
      </c>
      <c r="G66" s="445">
        <f>(1-E66/C36)</f>
        <v>0.15974375050888412</v>
      </c>
    </row>
    <row r="67" spans="2:7" ht="13.15">
      <c r="B67" s="306" t="s">
        <v>314</v>
      </c>
      <c r="C67" s="119">
        <f>PV(F67, Holding_Period, -C58, 0)</f>
        <v>1.0449500908692064</v>
      </c>
      <c r="D67" s="119">
        <f>C36/(1+F67)^Holding_Period</f>
        <v>6.3343431768387548</v>
      </c>
      <c r="E67" s="336">
        <f>C67+D67</f>
        <v>7.3792932677079612</v>
      </c>
      <c r="F67" s="305">
        <f>Thesis!E25</f>
        <v>7.2499999999999995E-2</v>
      </c>
      <c r="G67" s="445">
        <f>(1-E67/C36)</f>
        <v>5.567545228669657E-2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6.52</v>
      </c>
    </row>
    <row r="9" spans="1:10">
      <c r="B9" s="355" t="s">
        <v>361</v>
      </c>
      <c r="C9" s="357">
        <f>Common_Shares</f>
        <v>580004033</v>
      </c>
    </row>
    <row r="10" spans="1:10">
      <c r="B10" s="355" t="s">
        <v>367</v>
      </c>
      <c r="C10" s="361">
        <f>投资主题!C8*Common_Shares/1000000</f>
        <v>3781.6262951599997</v>
      </c>
      <c r="D10" s="347" t="s">
        <v>532</v>
      </c>
      <c r="E10" s="364">
        <f>Scenarios!F34</f>
        <v>0.12017169390553457</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7.8143613713918958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4.333028820025568</v>
      </c>
      <c r="D22" s="369" t="s">
        <v>443</v>
      </c>
      <c r="E22" s="370">
        <f>Thesis!E22</f>
        <v>0.29465259038036606</v>
      </c>
    </row>
    <row r="23" spans="1:6">
      <c r="B23" s="347" t="s">
        <v>341</v>
      </c>
      <c r="C23" s="371">
        <f>E141</f>
        <v>5.3553121183397749</v>
      </c>
      <c r="D23" s="369" t="s">
        <v>444</v>
      </c>
      <c r="E23" s="372">
        <f>Thesis!E23</f>
        <v>0.20075184365903009</v>
      </c>
    </row>
    <row r="24" spans="1:6">
      <c r="B24" s="347" t="s">
        <v>343</v>
      </c>
      <c r="C24" s="371">
        <f>E144</f>
        <v>6.5660659780940076</v>
      </c>
      <c r="D24" s="369" t="s">
        <v>446</v>
      </c>
      <c r="E24" s="372">
        <f>Thesis!E24</f>
        <v>0.1174</v>
      </c>
    </row>
    <row r="25" spans="1:6">
      <c r="B25" s="347" t="s">
        <v>342</v>
      </c>
      <c r="C25" s="371">
        <f>E145</f>
        <v>7.3792932677079612</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399119.96227138769</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6692.5186674405113</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-78679.881332559497</v>
      </c>
      <c r="D46" s="347" t="str">
        <f>Reporting_currency</f>
        <v>HKD</v>
      </c>
    </row>
    <row r="48" spans="2:6">
      <c r="B48" s="347" t="s">
        <v>508</v>
      </c>
    </row>
    <row r="49" spans="2:6">
      <c r="B49" s="376" t="s">
        <v>223</v>
      </c>
      <c r="C49" s="377">
        <f>Normalized_FCF!C13</f>
        <v>-37355.845009453624</v>
      </c>
      <c r="D49" s="347" t="str">
        <f>Reporting_currency</f>
        <v>HKD</v>
      </c>
    </row>
    <row r="51" spans="2:6">
      <c r="B51" s="466" t="s">
        <v>509</v>
      </c>
      <c r="C51" s="466"/>
      <c r="D51" s="466"/>
      <c r="E51" s="466"/>
      <c r="F51" s="466"/>
    </row>
    <row r="52" spans="2:6">
      <c r="B52" s="376" t="s">
        <v>499</v>
      </c>
      <c r="C52" s="377">
        <f>Normalized_FCF!C12</f>
        <v>-52872.613354906651</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289000.65016124537</v>
      </c>
      <c r="D60" s="347" t="str">
        <f>Reporting_currency</f>
        <v>HKD</v>
      </c>
    </row>
    <row r="61" spans="2:6">
      <c r="B61" s="376" t="s">
        <v>213</v>
      </c>
      <c r="C61" s="377">
        <f>Normalized_FCF!C19</f>
        <v>230211.62257446788</v>
      </c>
      <c r="D61" s="347" t="str">
        <f>Reporting_currency</f>
        <v>HKD</v>
      </c>
    </row>
    <row r="62" spans="2:6">
      <c r="B62" s="381" t="s">
        <v>302</v>
      </c>
      <c r="C62" s="382">
        <f>Normalized_FCF!C124</f>
        <v>6.0876354405804044E-2</v>
      </c>
      <c r="F62" s="383"/>
    </row>
    <row r="63" spans="2:6">
      <c r="B63" s="381" t="s">
        <v>332</v>
      </c>
      <c r="C63" s="382">
        <f>Normalized_FCF!C92</f>
        <v>6.1349693251533749E-2</v>
      </c>
      <c r="E63" s="376" t="s">
        <v>373</v>
      </c>
      <c r="F63" s="384">
        <f>Normalized_FCF!C90</f>
        <v>1.0077754137932506</v>
      </c>
    </row>
    <row r="65" spans="1:6">
      <c r="B65" s="373" t="s">
        <v>376</v>
      </c>
      <c r="C65" s="385" t="s">
        <v>327</v>
      </c>
      <c r="D65" s="385" t="s">
        <v>374</v>
      </c>
    </row>
    <row r="66" spans="1:6">
      <c r="B66" s="376" t="s">
        <v>326</v>
      </c>
      <c r="C66" s="382">
        <f>Normalized_FCF!C119</f>
        <v>0.1167471410506614</v>
      </c>
      <c r="D66" s="382">
        <f>Normalized_FCF!G119</f>
        <v>0.11792742550148552</v>
      </c>
    </row>
    <row r="67" spans="1:6">
      <c r="B67" s="386" t="str">
        <f>Normalized_FCF!B116</f>
        <v>Pre-tax Profit/Sales</v>
      </c>
      <c r="C67" s="387">
        <f>Normalized_FCF!C116</f>
        <v>3.9086921133773919E-2</v>
      </c>
      <c r="D67" s="387">
        <f>Normalized_FCF!G116</f>
        <v>3.7776339292914275E-2</v>
      </c>
    </row>
    <row r="68" spans="1:6">
      <c r="B68" s="386" t="str">
        <f>Normalized_FCF!B117</f>
        <v>Sales/Total Assets</v>
      </c>
      <c r="C68" s="388">
        <f>Normalized_FCF!C117</f>
        <v>1.3708738209065539</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5.3475400925918697</v>
      </c>
    </row>
    <row r="83" spans="1:6">
      <c r="B83" s="347" t="s">
        <v>515</v>
      </c>
    </row>
    <row r="84" spans="1:6">
      <c r="B84" s="347" t="s">
        <v>224</v>
      </c>
      <c r="C84" s="377">
        <f>DCF!F5</f>
        <v>384381.13325594889</v>
      </c>
      <c r="D84" s="347" t="str">
        <f>Reporting_currency</f>
        <v>HKD</v>
      </c>
    </row>
    <row r="85" spans="1:6">
      <c r="B85" s="386" t="s">
        <v>484</v>
      </c>
      <c r="C85" s="394">
        <f>BS!C66</f>
        <v>1053633</v>
      </c>
      <c r="D85" s="395" t="str">
        <f>Reporting_currency</f>
        <v>HKD</v>
      </c>
    </row>
    <row r="86" spans="1:6">
      <c r="B86" s="376" t="s">
        <v>235</v>
      </c>
      <c r="C86" s="391">
        <f>C84*scaling_factor*Exchange_Rate/Common_Shares</f>
        <v>0.66272148362104388</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-2.9076464486309033</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2.5670270786220946</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0.05</v>
      </c>
      <c r="D118" s="401">
        <f>DCF!D90</f>
        <v>15</v>
      </c>
      <c r="E118" s="402" t="str">
        <f>ROUND(DCF!E90,2)&amp;" "&amp;Market_currency</f>
        <v>9.36 HKD</v>
      </c>
      <c r="F118" s="403">
        <f>DCF!F90</f>
        <v>0.05</v>
      </c>
    </row>
    <row r="119" spans="1:6">
      <c r="A119" s="389"/>
      <c r="B119" s="404" t="str">
        <f>DCF!B91</f>
        <v>Optimistic</v>
      </c>
      <c r="C119" s="405">
        <f>DCF!C91</f>
        <v>0.04</v>
      </c>
      <c r="D119" s="406">
        <f>DCF!D91</f>
        <v>15</v>
      </c>
      <c r="E119" s="402" t="str">
        <f>ROUND(DCF!E91,2)&amp;" "&amp;Market_currency</f>
        <v>8.56 HKD</v>
      </c>
      <c r="F119" s="407">
        <f>DCF!F91</f>
        <v>0.18</v>
      </c>
    </row>
    <row r="120" spans="1:6">
      <c r="B120" s="404" t="str">
        <f>DCF!B92</f>
        <v>Base</v>
      </c>
      <c r="C120" s="405">
        <f>DCF!C92</f>
        <v>0.03</v>
      </c>
      <c r="D120" s="406">
        <f>DCF!D92</f>
        <v>15</v>
      </c>
      <c r="E120" s="402" t="str">
        <f>ROUND(DCF!E92,2)&amp;" "&amp;Market_currency</f>
        <v>7.8 HKD</v>
      </c>
      <c r="F120" s="407">
        <f>DCF!F92</f>
        <v>0.53999999999999992</v>
      </c>
    </row>
    <row r="121" spans="1:6">
      <c r="B121" s="404" t="str">
        <f>DCF!B93</f>
        <v>Pessimistic</v>
      </c>
      <c r="C121" s="405">
        <f>DCF!C93</f>
        <v>0.02</v>
      </c>
      <c r="D121" s="406">
        <f>DCF!D93</f>
        <v>15</v>
      </c>
      <c r="E121" s="402" t="str">
        <f>ROUND(DCF!E93,2)&amp;" "&amp;Market_currency</f>
        <v>7.08 HKD</v>
      </c>
      <c r="F121" s="407">
        <f>DCF!F93</f>
        <v>0.18</v>
      </c>
    </row>
    <row r="122" spans="1:6">
      <c r="B122" s="404" t="str">
        <f>DCF!B94</f>
        <v>Devil's advocate</v>
      </c>
      <c r="C122" s="405">
        <f>DCF!C94</f>
        <v>0.01</v>
      </c>
      <c r="D122" s="406">
        <f>DCF!D94</f>
        <v>15</v>
      </c>
      <c r="E122" s="402" t="str">
        <f>ROUND(DCF!E94,2)&amp;" "&amp;Market_currency</f>
        <v>6.4 HKD</v>
      </c>
      <c r="F122" s="407">
        <f>DCF!F94</f>
        <v>0.05</v>
      </c>
    </row>
    <row r="124" spans="1:6">
      <c r="B124" s="466" t="s">
        <v>522</v>
      </c>
      <c r="C124" s="466"/>
      <c r="D124" s="466"/>
      <c r="E124" s="466"/>
      <c r="F124" s="466"/>
    </row>
    <row r="125" spans="1:6">
      <c r="B125" s="376" t="s">
        <v>218</v>
      </c>
      <c r="C125" s="408">
        <f>Scenarios!C36</f>
        <v>7.8143613713918958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0.4</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0.73194063044404789</v>
      </c>
      <c r="D140" s="413">
        <f>Scenarios!D62</f>
        <v>3.6010881895815197</v>
      </c>
      <c r="E140" s="414">
        <f>Scenarios!E62</f>
        <v>4.333028820025568</v>
      </c>
      <c r="F140" s="415">
        <f>E22</f>
        <v>0.29465259038036606</v>
      </c>
    </row>
    <row r="141" spans="1:6">
      <c r="B141" s="412" t="s">
        <v>313</v>
      </c>
      <c r="C141" s="413">
        <f>Scenarios!C63</f>
        <v>0.84160157890763132</v>
      </c>
      <c r="D141" s="413">
        <f>Scenarios!D63</f>
        <v>4.513710539432144</v>
      </c>
      <c r="E141" s="414">
        <f>Scenarios!E63</f>
        <v>5.3553121183397749</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0.96504125037545974</v>
      </c>
      <c r="D144" s="413">
        <f>Scenarios!D66</f>
        <v>5.6010247277185474</v>
      </c>
      <c r="E144" s="414">
        <f>Scenarios!E66</f>
        <v>6.5660659780940076</v>
      </c>
      <c r="F144" s="415">
        <f>E24</f>
        <v>0.1174</v>
      </c>
    </row>
    <row r="145" spans="1:6">
      <c r="B145" s="412" t="s">
        <v>314</v>
      </c>
      <c r="C145" s="413">
        <f>Scenarios!C67</f>
        <v>1.0449500908692064</v>
      </c>
      <c r="D145" s="413">
        <f>Scenarios!D67</f>
        <v>6.3343431768387548</v>
      </c>
      <c r="E145" s="414">
        <f>Scenarios!E67</f>
        <v>7.3792932677079612</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2025-10-20T09:49:53Z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