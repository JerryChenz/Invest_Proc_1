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2363EFC-02B3-48B7-8445-D2CC8FAD8AF7}" xr6:coauthVersionLast="47" xr6:coauthVersionMax="47" xr10:uidLastSave="{00000000-0000-0000-0000-000000000000}"/>
  <bookViews>
    <workbookView xWindow="1103" yWindow="1103" windowWidth="12690"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1" i="9" l="1"/>
  <c r="C4" i="2"/>
  <c r="E83" i="2"/>
  <c r="E84" i="2"/>
  <c r="C88" i="2"/>
  <c r="C79" i="2"/>
  <c r="C64" i="2"/>
  <c r="C65" i="2"/>
  <c r="C66" i="2"/>
  <c r="C35" i="2"/>
  <c r="C19" i="3"/>
  <c r="C1" i="3"/>
  <c r="C21" i="4"/>
  <c r="D21" i="4"/>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40" i="9"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E46" i="8"/>
  <c r="E44" i="8"/>
  <c r="A45" i="8"/>
  <c r="E48" i="8"/>
  <c r="A44" i="8"/>
  <c r="E43" i="8"/>
  <c r="E42" i="8"/>
  <c r="A47" i="8"/>
  <c r="A48" i="8"/>
  <c r="E41" i="8"/>
  <c r="A50" i="8"/>
  <c r="E45" i="8"/>
  <c r="E49" i="8"/>
  <c r="A42" i="8"/>
  <c r="A46" i="8"/>
  <c r="A43" i="8"/>
  <c r="E47" i="8"/>
  <c r="A49" i="8"/>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D46" i="8" l="1"/>
  <c r="D42" i="8"/>
  <c r="D44" i="8"/>
  <c r="D50" i="8"/>
  <c r="D45" i="8"/>
  <c r="D49" i="8"/>
  <c r="D48" i="8"/>
  <c r="D43" i="8"/>
  <c r="D47" i="8"/>
  <c r="D41" i="8"/>
  <c r="D38" i="8"/>
  <c r="D40" i="8"/>
  <c r="D37" i="8"/>
  <c r="D39" i="8"/>
  <c r="D36" i="8"/>
  <c r="D35" i="8"/>
  <c r="D34" i="8"/>
  <c r="D31" i="8"/>
  <c r="D32" i="8"/>
  <c r="D33" i="8"/>
  <c r="D28" i="8"/>
  <c r="D29" i="8"/>
  <c r="D26"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H25" i="8" l="1"/>
  <c r="H24" i="8"/>
  <c r="H26" i="8"/>
  <c r="H27" i="8"/>
  <c r="C38" i="12"/>
  <c r="C38" i="6"/>
  <c r="F18" i="8"/>
  <c r="H21" i="8"/>
  <c r="H23" i="8"/>
  <c r="H22" i="8"/>
  <c r="C29" i="8"/>
  <c r="C89" i="3"/>
  <c r="O113" i="2"/>
  <c r="O85" i="2"/>
  <c r="P113" i="2"/>
  <c r="P85" i="2"/>
  <c r="C53" i="2"/>
  <c r="C45" i="6"/>
  <c r="E94" i="8"/>
  <c r="C48" i="2"/>
  <c r="C10" i="2" s="1"/>
  <c r="I8" i="8" s="1"/>
  <c r="I6" i="8" s="1"/>
  <c r="I1" i="2"/>
  <c r="H45" i="8" l="1"/>
  <c r="H46" i="8"/>
  <c r="H47" i="8"/>
  <c r="H37" i="8"/>
  <c r="H42" i="8"/>
  <c r="H41" i="8"/>
  <c r="H49" i="8"/>
  <c r="H39" i="8"/>
  <c r="H36" i="8"/>
  <c r="H44" i="8"/>
  <c r="H48" i="8"/>
  <c r="H38" i="8"/>
  <c r="H43" i="8"/>
  <c r="H40" i="8"/>
  <c r="H50" i="8"/>
  <c r="H51" i="8"/>
  <c r="H34" i="8"/>
  <c r="H28" i="8"/>
  <c r="H33" i="8"/>
  <c r="H31" i="8"/>
  <c r="H29" i="8"/>
  <c r="H32" i="8"/>
  <c r="H30" i="8"/>
  <c r="H35" i="8"/>
  <c r="G21" i="8"/>
  <c r="I21" i="8" s="1"/>
  <c r="G26" i="8"/>
  <c r="I26" i="8" s="1"/>
  <c r="G27" i="8"/>
  <c r="I27" i="8" s="1"/>
  <c r="G28" i="8"/>
  <c r="I28" i="8" s="1"/>
  <c r="D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I29" i="8" l="1"/>
  <c r="J29" i="8" s="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I36" i="8" s="1"/>
  <c r="C37" i="8"/>
  <c r="G35" i="8"/>
  <c r="I35" i="8" s="1"/>
  <c r="J35" i="8" s="1"/>
  <c r="E90" i="8"/>
  <c r="E91" i="8"/>
  <c r="E93" i="8"/>
  <c r="E92" i="8"/>
  <c r="J36" i="8" l="1"/>
  <c r="D120" i="6"/>
  <c r="E120" i="12"/>
  <c r="D121" i="6"/>
  <c r="E121" i="12"/>
  <c r="E118" i="12"/>
  <c r="D118" i="6"/>
  <c r="E119" i="12"/>
  <c r="D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74" i="2"/>
  <c r="H11" i="2"/>
  <c r="F122" i="6" l="1"/>
  <c r="F121" i="6"/>
  <c r="F119" i="6"/>
  <c r="F120" i="6"/>
  <c r="F118" i="6"/>
  <c r="E10" i="12"/>
  <c r="C42" i="8"/>
  <c r="G41" i="8"/>
  <c r="I41" i="8" s="1"/>
  <c r="G40" i="8"/>
  <c r="I40" i="8" s="1"/>
  <c r="J40" i="8" s="1"/>
  <c r="H119" i="2"/>
  <c r="H115" i="2" s="1"/>
  <c r="E66" i="9"/>
  <c r="G66" i="9" s="1"/>
  <c r="D144" i="12"/>
  <c r="E62" i="9"/>
  <c r="D140" i="12"/>
  <c r="D145" i="6"/>
  <c r="D145" i="12"/>
  <c r="D141" i="6"/>
  <c r="D141" i="12"/>
  <c r="D144" i="6"/>
  <c r="D140" i="6"/>
  <c r="E67" i="9"/>
  <c r="E63" i="9"/>
  <c r="E141" i="12" s="1"/>
  <c r="C23" i="12" s="1"/>
  <c r="H14" i="2"/>
  <c r="H19" i="2" s="1"/>
  <c r="H90" i="2" s="1"/>
  <c r="H77" i="2"/>
  <c r="H116" i="2" s="1"/>
  <c r="J41" i="8" l="1"/>
  <c r="E10" i="6"/>
  <c r="G42" i="8"/>
  <c r="I42" i="8" s="1"/>
  <c r="J42" i="8" s="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I43" i="8" s="1"/>
  <c r="J43" i="8" s="1"/>
  <c r="C44" i="8"/>
  <c r="G96" i="2"/>
  <c r="G119" i="2"/>
  <c r="D66" i="12" s="1"/>
  <c r="C23" i="6"/>
  <c r="H85" i="2"/>
  <c r="G14" i="2"/>
  <c r="G19" i="2" s="1"/>
  <c r="G77" i="2"/>
  <c r="G116" i="2" s="1"/>
  <c r="C45" i="8" l="1"/>
  <c r="G44" i="8"/>
  <c r="I44" i="8" s="1"/>
  <c r="J44" i="8" s="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I45" i="8" s="1"/>
  <c r="J45" i="8" s="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I46" i="8" s="1"/>
  <c r="J46" i="8" s="1"/>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I47" i="8" s="1"/>
  <c r="J47" i="8" s="1"/>
  <c r="L85" i="2"/>
  <c r="L90" i="2"/>
  <c r="C81" i="6"/>
  <c r="C81" i="12"/>
  <c r="M113" i="2"/>
  <c r="L113" i="2"/>
  <c r="C14" i="9"/>
  <c r="M85" i="2"/>
  <c r="C77" i="2"/>
  <c r="C116" i="2" s="1"/>
  <c r="C96" i="2"/>
  <c r="J85" i="2"/>
  <c r="C78" i="2"/>
  <c r="C49" i="8" l="1"/>
  <c r="G48" i="8"/>
  <c r="I48" i="8" s="1"/>
  <c r="J48" i="8" s="1"/>
  <c r="C67" i="12"/>
  <c r="C123" i="2"/>
  <c r="G49" i="8" l="1"/>
  <c r="I49" i="8" s="1"/>
  <c r="J49" i="8" s="1"/>
  <c r="C50" i="8"/>
  <c r="C67" i="6"/>
  <c r="C80" i="2"/>
  <c r="C9" i="9"/>
  <c r="G50" i="8" l="1"/>
  <c r="I50" i="8" s="1"/>
  <c r="J50" i="8" s="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<sst xmlns="http://schemas.openxmlformats.org/spreadsheetml/2006/main" count="766" uniqueCount="556">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</sst>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25" sqref="E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5.71</v>
      </c>
      <c r="E8" s="32"/>
    </row>
    <row r="9" spans="1:9">
      <c r="B9" s="4" t="s">
        <v>346</v>
      </c>
      <c r="C9" s="48">
        <v>580004033</v>
      </c>
    </row>
    <row r="10" spans="1:9">
      <c r="B10" s="4" t="s">
        <v>352</v>
      </c>
      <c r="C10" s="33">
        <f>Thesis!C8*Common_Shares/1000000</f>
        <v>3311.8230284299998</v>
      </c>
      <c r="D10" s="1" t="s">
        <v>531</v>
      </c>
      <c r="E10" s="307">
        <f>Scenarios!F34</f>
        <v>0.19907787595736612</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8.3894050049409827</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45991</v>
      </c>
    </row>
    <row r="20" spans="1:6">
      <c r="D20" s="5"/>
      <c r="E20" s="5"/>
    </row>
    <row r="21" spans="1:6">
      <c r="B21" s="42" t="s">
        <v>406</v>
      </c>
      <c r="C21" s="257" t="str">
        <f>C138&amp;" ("&amp;Market_currency&amp;")"</f>
        <v xml:space="preserve"> (HKD)</v>
      </c>
      <c r="D21" s="31" t="s">
        <v>316</v>
      </c>
      <c r="E21" s="447">
        <v>3</v>
      </c>
    </row>
    <row r="22" spans="1:6">
      <c r="B22" s="1" t="s">
        <v>312</v>
      </c>
      <c r="C22" s="258">
        <f>E140</f>
        <v>4.5980258861772203</v>
      </c>
      <c r="D22" s="38" t="s">
        <v>408</v>
      </c>
      <c r="E22" s="79">
        <v>0.29465259038036606</v>
      </c>
    </row>
    <row r="23" spans="1:6">
      <c r="B23" s="1" t="s">
        <v>313</v>
      </c>
      <c r="C23" s="259">
        <f>E141</f>
        <v>5.6874672857327493</v>
      </c>
      <c r="D23" s="38" t="s">
        <v>409</v>
      </c>
      <c r="E23" s="448">
        <v>0.20075184365903009</v>
      </c>
    </row>
    <row r="24" spans="1:6">
      <c r="B24" s="1" t="s">
        <v>315</v>
      </c>
      <c r="C24" s="259">
        <f>E144</f>
        <v>6.9782344788773099</v>
      </c>
      <c r="D24" s="38" t="s">
        <v>410</v>
      </c>
      <c r="E24" s="448">
        <v>0.1174</v>
      </c>
    </row>
    <row r="25" spans="1:6">
      <c r="B25" s="1" t="s">
        <v>314</v>
      </c>
      <c r="C25" s="259">
        <f>E145</f>
        <v>7.8454252449020769</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533705.04</v>
      </c>
      <c r="D34" s="1" t="str">
        <f>Reporting_currency</f>
        <v>HKD</v>
      </c>
    </row>
    <row r="35" spans="2:6">
      <c r="B35" s="44"/>
      <c r="C35" s="73"/>
    </row>
    <row r="36" spans="2:6" ht="24.5" customHeight="1">
      <c r="B36" s="459" t="s">
        <v>198</v>
      </c>
      <c r="C36" s="459"/>
      <c r="D36" s="459"/>
      <c r="E36" s="459"/>
      <c r="F36" s="459"/>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6888.8446443333341</v>
      </c>
      <c r="D44" s="1" t="str">
        <f>Reporting_currency</f>
        <v>HKD</v>
      </c>
      <c r="E44" s="247"/>
      <c r="F44" s="247"/>
    </row>
    <row r="45" spans="2:6">
      <c r="B45" s="44" t="s">
        <v>268</v>
      </c>
      <c r="C45" s="290">
        <f>Normalized_FCF!C45</f>
        <v>-85372.400000000009</v>
      </c>
      <c r="D45" s="1" t="str">
        <f>Reporting_currency</f>
        <v>HKD</v>
      </c>
      <c r="E45" s="247"/>
      <c r="F45" s="247"/>
    </row>
    <row r="46" spans="2:6">
      <c r="B46" s="44" t="s">
        <v>203</v>
      </c>
      <c r="C46" s="289">
        <f>Normalized_FCF!C10</f>
        <v>-78483.555355666671</v>
      </c>
      <c r="D46" s="1" t="str">
        <f>Reporting_currency</f>
        <v>HKD</v>
      </c>
    </row>
    <row r="48" spans="2:6">
      <c r="B48" s="1" t="s">
        <v>211</v>
      </c>
    </row>
    <row r="49" spans="2:6">
      <c r="B49" s="44" t="s">
        <v>223</v>
      </c>
      <c r="C49" s="289">
        <f>Normalized_FCF!C13</f>
        <v>-39042.598999519083</v>
      </c>
      <c r="D49" s="1" t="str">
        <f>Reporting_currency</f>
        <v>HKD</v>
      </c>
    </row>
    <row r="51" spans="2:6">
      <c r="B51" s="459" t="s">
        <v>206</v>
      </c>
      <c r="C51" s="459"/>
      <c r="D51" s="459"/>
      <c r="E51" s="459"/>
      <c r="F51" s="459"/>
    </row>
    <row r="52" spans="2:6">
      <c r="B52" s="44" t="s">
        <v>204</v>
      </c>
      <c r="C52" s="289">
        <f>Normalized_FCF!C12</f>
        <v>-75111.544966315007</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289869.92812368623</v>
      </c>
      <c r="D60" s="1" t="str">
        <f>Reporting_currency</f>
        <v>HKD</v>
      </c>
    </row>
    <row r="61" spans="2:6">
      <c r="B61" s="44" t="s">
        <v>213</v>
      </c>
      <c r="C61" s="289">
        <f>Normalized_FCF!C19</f>
        <v>341067.34067849925</v>
      </c>
      <c r="D61" s="1" t="str">
        <f>Reporting_currency</f>
        <v>HKD</v>
      </c>
    </row>
    <row r="62" spans="2:6">
      <c r="B62" s="204" t="s">
        <v>302</v>
      </c>
      <c r="C62" s="89">
        <f>Normalized_FCF!C124</f>
        <v>0.10298477235970709</v>
      </c>
      <c r="F62" s="260"/>
    </row>
    <row r="63" spans="2:6">
      <c r="B63" s="204" t="s">
        <v>332</v>
      </c>
      <c r="C63" s="89">
        <f>Normalized_FCF!C92</f>
        <v>7.0052539404553416E-2</v>
      </c>
      <c r="E63" s="44" t="s">
        <v>322</v>
      </c>
      <c r="F63" s="261">
        <f>Normalized_FCF!C90</f>
        <v>0.68022230665202266</v>
      </c>
    </row>
    <row r="65" spans="1:6">
      <c r="B65" s="192" t="s">
        <v>325</v>
      </c>
      <c r="C65" s="267" t="s">
        <v>327</v>
      </c>
      <c r="D65" s="267" t="s">
        <v>328</v>
      </c>
    </row>
    <row r="66" spans="1:6">
      <c r="B66" s="44" t="s">
        <v>326</v>
      </c>
      <c r="C66" s="89">
        <f>Normalized_FCF!C119</f>
        <v>0.1658525572748466</v>
      </c>
      <c r="D66" s="89">
        <f>Normalized_FCF!G119</f>
        <v>0.11824413281411626</v>
      </c>
    </row>
    <row r="67" spans="1:6">
      <c r="B67" s="229" t="str">
        <f>Normalized_FCF!B116</f>
        <v>Pre-tax Profit/Sales</v>
      </c>
      <c r="C67" s="266">
        <f>Normalized_FCF!C116</f>
        <v>5.3128459724860015E-2</v>
      </c>
      <c r="D67" s="266">
        <f>Normalized_FCF!G116</f>
        <v>3.7877791884180549E-2</v>
      </c>
    </row>
    <row r="68" spans="1:6">
      <c r="B68" s="229" t="str">
        <f>Normalized_FCF!B117</f>
        <v>Sales/Total Assets</v>
      </c>
      <c r="C68" s="268">
        <f>Normalized_FCF!C117</f>
        <v>1.4327738230803833</v>
      </c>
      <c r="D68" s="268">
        <f>Normalized_FCF!G117</f>
        <v>1.4327738230803833</v>
      </c>
    </row>
    <row r="69" spans="1:6">
      <c r="B69" s="229" t="str">
        <f>Normalized_FCF!B118</f>
        <v>Total Assets/Equity</v>
      </c>
      <c r="C69" s="268">
        <f>Normalized_FCF!C118</f>
        <v>2.1787997096988563</v>
      </c>
      <c r="D69" s="268">
        <f>Normalized_FCF!G118</f>
        <v>2.1787997096988563</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-2134310</v>
      </c>
      <c r="D78" s="1" t="str">
        <f>Reporting_currency</f>
        <v>HKD</v>
      </c>
    </row>
    <row r="79" spans="1:6">
      <c r="A79" s="191"/>
      <c r="B79" s="44" t="s">
        <v>234</v>
      </c>
      <c r="C79" s="201">
        <f>C78*scaling_factor*Exchange_Rate/Common_Shares</f>
        <v>-3.679819240153456</v>
      </c>
      <c r="D79" s="1" t="str">
        <f>Market_currency</f>
        <v>HKD</v>
      </c>
    </row>
    <row r="80" spans="1:6">
      <c r="A80" s="191"/>
      <c r="B80" s="229" t="s">
        <v>309</v>
      </c>
      <c r="C80" s="341">
        <f>IF(BS!G31/BS!G27&gt;300%,"nm",BS!G31/BS!G27)</f>
        <v>0.77760119734648436</v>
      </c>
    </row>
    <row r="81" spans="1:6">
      <c r="A81" s="191"/>
      <c r="B81" s="229" t="s">
        <v>311</v>
      </c>
      <c r="C81" s="342">
        <f>IF(BS!C50&gt;30,"nm",BS!C50)</f>
        <v>3.999044116203212</v>
      </c>
    </row>
    <row r="82" spans="1:6">
      <c r="A82" s="191"/>
    </row>
    <row r="83" spans="1:6">
      <c r="A83" s="191"/>
      <c r="B83" s="1" t="s">
        <v>469</v>
      </c>
    </row>
    <row r="84" spans="1:6">
      <c r="A84" s="191"/>
      <c r="B84" s="1" t="s">
        <v>224</v>
      </c>
      <c r="C84" s="289">
        <f>DCF!F5</f>
        <v>364748.53556666663</v>
      </c>
      <c r="D84" s="1" t="str">
        <f>Reporting_currency</f>
        <v>HKD</v>
      </c>
    </row>
    <row r="85" spans="1:6">
      <c r="A85" s="191"/>
      <c r="B85" s="229" t="s">
        <v>222</v>
      </c>
      <c r="C85" s="295">
        <f>BS!C66</f>
        <v>1053633</v>
      </c>
      <c r="D85" s="343" t="str">
        <f>Reporting_currency</f>
        <v>HKD</v>
      </c>
    </row>
    <row r="86" spans="1:6">
      <c r="A86" s="191"/>
      <c r="B86" s="44" t="s">
        <v>235</v>
      </c>
      <c r="C86" s="201">
        <f>C84*scaling_factor*Exchange_Rate/Common_Shares</f>
        <v>0.62887241262797666</v>
      </c>
      <c r="D86" s="1" t="str">
        <f>Market_currency</f>
        <v>HKD</v>
      </c>
    </row>
    <row r="87" spans="1:6">
      <c r="A87" s="191"/>
    </row>
    <row r="88" spans="1:6">
      <c r="A88" s="191"/>
      <c r="B88" s="1" t="s">
        <v>216</v>
      </c>
    </row>
    <row r="89" spans="1:6">
      <c r="A89" s="191"/>
      <c r="B89" s="1" t="s">
        <v>217</v>
      </c>
      <c r="C89" s="289">
        <f>DCF!F6</f>
        <v>63482.2</v>
      </c>
      <c r="D89" s="1" t="str">
        <f>Reporting_currency</f>
        <v>HKD</v>
      </c>
    </row>
    <row r="90" spans="1:6">
      <c r="A90" s="191"/>
      <c r="B90" s="44" t="s">
        <v>236</v>
      </c>
      <c r="C90" s="201">
        <f>C89*scaling_factor*Exchange_Rate/Common_Shares</f>
        <v>0.10945130790150902</v>
      </c>
      <c r="D90" s="1" t="str">
        <f>Market_currency</f>
        <v>HKD</v>
      </c>
    </row>
    <row r="91" spans="1:6">
      <c r="A91" s="191"/>
    </row>
    <row r="92" spans="1:6">
      <c r="A92" s="191"/>
      <c r="B92" s="44" t="s">
        <v>472</v>
      </c>
      <c r="C92" s="216">
        <f>DCF!F8</f>
        <v>-2.9414955196239703</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-2.5047246524922007</v>
      </c>
      <c r="D111" s="1" t="str">
        <f>Market_currency</f>
        <v>HKD</v>
      </c>
    </row>
    <row r="112" spans="2:6">
      <c r="B112" s="44" t="s">
        <v>323</v>
      </c>
      <c r="C112" s="216">
        <f>DCF!C11</f>
        <v>5.1694431034646833</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(30yrs)</v>
      </c>
      <c r="C118" s="206">
        <f>DCF!C90</f>
        <v>0.04</v>
      </c>
      <c r="D118" s="207" t="str">
        <f>ROUND(DCF!E90,2)&amp;" "&amp;Market_currency</f>
        <v>12.86 HKD</v>
      </c>
      <c r="E118" s="208">
        <f>DCF!F90</f>
        <v>0.05</v>
      </c>
      <c r="F118" s="208">
        <f>RATE(Holding_Period,Scenarios!C$58,-DCF!E90,C$18)</f>
        <v>-9.6804914114679869E-2</v>
      </c>
    </row>
    <row r="119" spans="2:6">
      <c r="B119" s="205" t="str">
        <f>DCF!B91&amp;" ("&amp;DCF!D91&amp;"yrs)"</f>
        <v>Optimistic (30yrs)</v>
      </c>
      <c r="C119" s="198">
        <f>DCF!C91</f>
        <v>0.03</v>
      </c>
      <c r="D119" s="207" t="str">
        <f>ROUND(DCF!E91,2)&amp;" "&amp;Market_currency</f>
        <v>10.31 HKD</v>
      </c>
      <c r="E119" s="199">
        <f>DCF!F91</f>
        <v>0.18</v>
      </c>
      <c r="F119" s="208">
        <f>RATE(Holding_Period,Scenarios!C$58,-DCF!E91,C$18)</f>
        <v>-2.4979569163920998E-2</v>
      </c>
    </row>
    <row r="120" spans="2:6">
      <c r="B120" s="205" t="str">
        <f>DCF!B92&amp;" ("&amp;DCF!D92&amp;"yrs)"</f>
        <v>Base (30yrs)</v>
      </c>
      <c r="C120" s="198">
        <f>DCF!C92</f>
        <v>0.02</v>
      </c>
      <c r="D120" s="207" t="str">
        <f>ROUND(DCF!E92,2)&amp;" "&amp;Market_currency</f>
        <v>8.24 HKD</v>
      </c>
      <c r="E120" s="199">
        <f>DCF!F92</f>
        <v>0.53999999999999992</v>
      </c>
      <c r="F120" s="208">
        <f>RATE(Holding_Period,Scenarios!C$58,-DCF!E92,C$18)</f>
        <v>5.4111240073368816E-2</v>
      </c>
    </row>
    <row r="121" spans="2:6">
      <c r="B121" s="205" t="str">
        <f>DCF!B93&amp;" ("&amp;DCF!D93&amp;"yrs)"</f>
        <v>Pessimistic (30yrs)</v>
      </c>
      <c r="C121" s="198">
        <f>DCF!C93</f>
        <v>0.01</v>
      </c>
      <c r="D121" s="207" t="str">
        <f>ROUND(DCF!E93,2)&amp;" "&amp;Market_currency</f>
        <v>6.55 HKD</v>
      </c>
      <c r="E121" s="199">
        <f>DCF!F93</f>
        <v>0.18</v>
      </c>
      <c r="F121" s="208">
        <f>RATE(Holding_Period,Scenarios!C$58,-DCF!E93,C$18)</f>
        <v>0.14222478353438384</v>
      </c>
    </row>
    <row r="122" spans="2:6">
      <c r="B122" s="205" t="str">
        <f>DCF!B94&amp;" ("&amp;DCF!D94&amp;"yrs)"</f>
        <v>Devil's advocate (30yrs)</v>
      </c>
      <c r="C122" s="198">
        <f>DCF!C94</f>
        <v>0</v>
      </c>
      <c r="D122" s="207" t="str">
        <f>ROUND(DCF!E94,2)&amp;" "&amp;Market_currency</f>
        <v>5.17 HKD</v>
      </c>
      <c r="E122" s="199">
        <f>DCF!F94</f>
        <v>0.05</v>
      </c>
      <c r="F122" s="208">
        <f>RATE(Holding_Period,Scenarios!C$58,-DCF!E94,C$18)</f>
        <v>0.2419679577668665</v>
      </c>
    </row>
    <row r="124" spans="2:6">
      <c r="B124" s="459" t="s">
        <v>357</v>
      </c>
      <c r="C124" s="459"/>
      <c r="D124" s="459"/>
      <c r="E124" s="459"/>
      <c r="F124" s="459"/>
    </row>
    <row r="125" spans="2:6">
      <c r="B125" s="193" t="s">
        <v>218</v>
      </c>
      <c r="C125" s="197">
        <f>Scenarios!C36</f>
        <v>8.3894050049409827</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0.73194063044404789</v>
      </c>
      <c r="D140" s="337">
        <f>Scenarios!D62</f>
        <v>3.8660852557331729</v>
      </c>
      <c r="E140" s="338">
        <f>Scenarios!E62</f>
        <v>4.5980258861772203</v>
      </c>
      <c r="F140" s="339">
        <f>E22</f>
        <v>0.29465259038036606</v>
      </c>
    </row>
    <row r="141" spans="1:6">
      <c r="B141" s="340" t="s">
        <v>313</v>
      </c>
      <c r="C141" s="337">
        <f>Scenarios!C63</f>
        <v>0.84160157890763132</v>
      </c>
      <c r="D141" s="337">
        <f>Scenarios!D63</f>
        <v>4.8458657068251183</v>
      </c>
      <c r="E141" s="338">
        <f>Scenarios!E63</f>
        <v>5.6874672857327493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0.96504125037545974</v>
      </c>
      <c r="D144" s="337">
        <f>Scenarios!D66</f>
        <v>6.0131932285018506</v>
      </c>
      <c r="E144" s="338">
        <f>Scenarios!E66</f>
        <v>6.9782344788773099</v>
      </c>
      <c r="F144" s="339">
        <f>E24</f>
        <v>0.1174</v>
      </c>
    </row>
    <row r="145" spans="1:6">
      <c r="B145" s="340" t="s">
        <v>314</v>
      </c>
      <c r="C145" s="337">
        <f>Scenarios!C67</f>
        <v>1.0449500908692064</v>
      </c>
      <c r="D145" s="337">
        <f>Scenarios!D67</f>
        <v>6.8004751540328705</v>
      </c>
      <c r="E145" s="338">
        <f>Scenarios!E67</f>
        <v>7.8454252449020769</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H76" sqref="H7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124515</v>
      </c>
      <c r="D28" s="291">
        <v>89430</v>
      </c>
      <c r="E28" s="291">
        <v>75868</v>
      </c>
      <c r="F28" s="291">
        <v>51007</v>
      </c>
      <c r="G28" s="291">
        <v>37326</v>
      </c>
      <c r="H28" s="291">
        <v>50182</v>
      </c>
      <c r="I28" s="291">
        <v>70869</v>
      </c>
      <c r="J28" s="291">
        <v>65261</v>
      </c>
      <c r="K28" s="291">
        <v>45658</v>
      </c>
      <c r="L28" s="291">
        <v>43197</v>
      </c>
      <c r="M28" s="291"/>
    </row>
    <row r="29" spans="2:13">
      <c r="B29" s="25" t="s">
        <v>30</v>
      </c>
      <c r="C29" s="274">
        <f>BS!C6</f>
        <v>220637</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3235494</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2744736</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12450</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124515</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220637</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3235494</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2744736</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1">
        <v>0.6</v>
      </c>
      <c r="E4" s="24"/>
      <c r="F4" s="4" t="s">
        <v>74</v>
      </c>
      <c r="G4" s="18">
        <v>1053633</v>
      </c>
      <c r="H4" s="231">
        <v>0.9</v>
      </c>
    </row>
    <row r="5" spans="2:8" ht="15" customHeight="1">
      <c r="B5" s="1" t="s">
        <v>31</v>
      </c>
      <c r="C5" s="18">
        <v>0</v>
      </c>
      <c r="D5" s="231">
        <v>0.6</v>
      </c>
      <c r="E5" s="24"/>
      <c r="F5" s="1" t="s">
        <v>27</v>
      </c>
      <c r="G5" s="18">
        <v>0</v>
      </c>
      <c r="H5" s="231">
        <v>0.7</v>
      </c>
    </row>
    <row r="6" spans="2:8" ht="15" customHeight="1">
      <c r="B6" s="4" t="s">
        <v>8</v>
      </c>
      <c r="C6" s="18">
        <v>220637</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84648</v>
      </c>
      <c r="D9" s="231">
        <v>0.1</v>
      </c>
      <c r="E9" s="24"/>
      <c r="F9" s="4" t="s">
        <v>150</v>
      </c>
      <c r="G9" s="18">
        <v>0</v>
      </c>
      <c r="H9" s="231">
        <v>0.6</v>
      </c>
    </row>
    <row r="10" spans="2:8" ht="15" customHeight="1">
      <c r="B10" s="4" t="s">
        <v>9</v>
      </c>
      <c r="C10" s="18">
        <v>17181</v>
      </c>
      <c r="D10" s="231">
        <v>0.9</v>
      </c>
      <c r="F10" s="1" t="s">
        <v>404</v>
      </c>
      <c r="G10" s="18">
        <v>0</v>
      </c>
      <c r="H10" s="231">
        <v>0.6</v>
      </c>
    </row>
    <row r="11" spans="2:8" ht="15" customHeight="1">
      <c r="B11" s="4" t="s">
        <v>10</v>
      </c>
      <c r="C11" s="18">
        <v>0</v>
      </c>
      <c r="D11" s="231">
        <v>0.05</v>
      </c>
      <c r="H11" s="232"/>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38787</v>
      </c>
      <c r="H17" s="231">
        <v>0.6</v>
      </c>
    </row>
    <row r="18" spans="2:8" ht="15" customHeight="1">
      <c r="B18" s="4" t="s">
        <v>144</v>
      </c>
      <c r="C18" s="18">
        <v>0</v>
      </c>
      <c r="D18" s="231">
        <v>0.6</v>
      </c>
      <c r="F18" s="4" t="s">
        <v>151</v>
      </c>
      <c r="G18" s="18">
        <v>0</v>
      </c>
      <c r="H18" s="231">
        <v>0.1</v>
      </c>
    </row>
    <row r="19" spans="2:8" ht="15" customHeight="1">
      <c r="B19" s="4" t="s">
        <v>24</v>
      </c>
      <c r="C19" s="18">
        <f>1464996+2159044</f>
        <v>3624040</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402100</v>
      </c>
      <c r="H21" s="231">
        <v>0.1</v>
      </c>
    </row>
    <row r="22" spans="2:8" ht="15" customHeight="1">
      <c r="B22" s="4" t="s">
        <v>18</v>
      </c>
      <c r="C22" s="18">
        <v>99021</v>
      </c>
      <c r="D22" s="231">
        <v>0.9</v>
      </c>
      <c r="H22" s="232"/>
    </row>
    <row r="23" spans="2:8" ht="15" customHeight="1">
      <c r="B23" s="4" t="s">
        <v>19</v>
      </c>
      <c r="C23" s="18">
        <v>7293</v>
      </c>
      <c r="D23" s="231">
        <v>0</v>
      </c>
      <c r="H23" s="232"/>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1">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2732286</v>
      </c>
      <c r="D46" s="73">
        <f>H29</f>
        <v>-1452750.4</v>
      </c>
      <c r="F46" s="223"/>
    </row>
    <row r="47" spans="2:8" ht="15" customHeight="1">
      <c r="B47" s="1" t="str">
        <f>"Equity per share ("&amp;Market_currency&amp;")"</f>
        <v>Equity per share (HKD)</v>
      </c>
      <c r="C47" s="134">
        <f>C46*H1/Common_Shares*Exchange_Rate</f>
        <v>4.7108051746943627</v>
      </c>
      <c r="D47" s="134">
        <f>D46*H1/Common_Shares*Exchange_Rate</f>
        <v>-2.5047246524922007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3.999044116203212</v>
      </c>
      <c r="D50" s="92">
        <f>G31/Normalized_FCF!G8</f>
        <v>5.3604060658726853</v>
      </c>
      <c r="F50" s="223"/>
    </row>
    <row r="51" spans="2:8" ht="15" customHeight="1">
      <c r="B51" s="1" t="s">
        <v>146</v>
      </c>
      <c r="C51" s="163"/>
      <c r="D51" s="89">
        <f>G29/G32</f>
        <v>0.45688644082251018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0.11897894424739897</v>
      </c>
      <c r="D54" s="89">
        <f>Normalized_FCF!G8/G35</f>
        <v>8.8762314104121762E-2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0.10443400183220936</v>
      </c>
      <c r="F58" s="5"/>
    </row>
    <row r="59" spans="2:8" ht="15" customHeight="1">
      <c r="B59" s="1" t="s">
        <v>89</v>
      </c>
      <c r="C59" s="95"/>
      <c r="D59" s="89">
        <f>G39/G32</f>
        <v>0.60600344802791861</v>
      </c>
      <c r="F59" s="223"/>
    </row>
    <row r="60" spans="2:8" ht="15" customHeight="1">
      <c r="F60" s="223"/>
    </row>
    <row r="61" spans="2:8" ht="15" customHeight="1">
      <c r="B61" s="143" t="s">
        <v>231</v>
      </c>
      <c r="C61" s="210" t="s">
        <v>114</v>
      </c>
      <c r="D61" s="179" t="s">
        <v>91</v>
      </c>
      <c r="F61" s="223"/>
    </row>
    <row r="62" spans="2:8" ht="15" customHeight="1">
      <c r="B62" s="1" t="s">
        <v>210</v>
      </c>
      <c r="C62" s="89">
        <f>IF(G28&lt;=0,0,G28/G29)</f>
        <v>4.556624013737947E-3</v>
      </c>
      <c r="D62" s="89">
        <f>G28/G29</f>
        <v>4.556624013737947E-3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1053633</v>
      </c>
      <c r="D66" s="73">
        <f>C66-D75</f>
        <v>364748.53556666663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1053633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-700179.71776666667</v>
      </c>
      <c r="D73" s="289">
        <f>(Normalized_FCF!C26+Normalized_FCF!C35-Normalized_FCF!C89)/12</f>
        <v>-688884.46443333337</v>
      </c>
      <c r="F73" s="1" t="s">
        <v>278</v>
      </c>
    </row>
    <row r="74" spans="2:6" ht="15" customHeight="1">
      <c r="B74" s="227" t="s">
        <v>259</v>
      </c>
      <c r="C74" s="228">
        <f>-$C$66/C73</f>
        <v>1.5048036572106489</v>
      </c>
      <c r="D74" s="228">
        <f>-$C$66/D73</f>
        <v>1.5294770812790845</v>
      </c>
      <c r="F74" s="223" t="s">
        <v>257</v>
      </c>
    </row>
    <row r="75" spans="2:6" ht="15" customHeight="1">
      <c r="B75" s="77" t="s">
        <v>258</v>
      </c>
      <c r="C75" s="264"/>
      <c r="D75" s="265">
        <f>MAX(-D73*D76,G5)</f>
        <v>688884.46443333337</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38787</v>
      </c>
      <c r="D79" s="73">
        <f>G7*H7+G17*H17</f>
        <v>23272.2</v>
      </c>
      <c r="F79" s="223"/>
    </row>
    <row r="80" spans="2:6" ht="15" customHeight="1">
      <c r="B80" s="102" t="s">
        <v>152</v>
      </c>
      <c r="C80" s="19">
        <f>G19</f>
        <v>0</v>
      </c>
      <c r="D80" s="73">
        <f>G19*H19</f>
        <v>0</v>
      </c>
      <c r="F80" s="223"/>
    </row>
    <row r="81" spans="2:8" ht="15" customHeight="1">
      <c r="B81" s="102" t="s">
        <v>150</v>
      </c>
      <c r="C81" s="19">
        <f>G9+G21</f>
        <v>402100</v>
      </c>
      <c r="D81" s="73">
        <f>G9*H9+G21*H21</f>
        <v>40210</v>
      </c>
      <c r="F81" s="223"/>
    </row>
    <row r="82" spans="2:8" ht="15" customHeight="1">
      <c r="B82" s="77" t="s">
        <v>159</v>
      </c>
      <c r="C82" s="78">
        <f>SUM(C79:C81)</f>
        <v>440887</v>
      </c>
      <c r="D82" s="78">
        <f>SUM(D79:D81)</f>
        <v>63482.2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2134310</v>
      </c>
      <c r="D86" s="201">
        <f>C86*scaling_factor/Common_Shares</f>
        <v>3.679819240153456</v>
      </c>
      <c r="E86" s="214" t="str">
        <f>Market_currency</f>
        <v>HKD</v>
      </c>
    </row>
    <row r="87" spans="2:8" ht="15" customHeight="1">
      <c r="B87" s="212" t="s">
        <v>240</v>
      </c>
      <c r="C87" s="73">
        <f>DCF!F5*Exchange_Rate</f>
        <v>364748.53556666663</v>
      </c>
      <c r="D87" s="201">
        <f>C87*scaling_factor/Common_Shares</f>
        <v>0.62887241262797666</v>
      </c>
      <c r="E87" s="214" t="str">
        <f>Market_currency</f>
        <v>HKD</v>
      </c>
    </row>
    <row r="88" spans="2:8" ht="15" customHeight="1">
      <c r="B88" s="213" t="s">
        <v>159</v>
      </c>
      <c r="C88" s="73">
        <f>DCF!F6*Exchange_Rate</f>
        <v>63482.2</v>
      </c>
      <c r="D88" s="201">
        <f>C88*scaling_factor/Common_Shares</f>
        <v>0.10945130790150902</v>
      </c>
      <c r="E88" s="214" t="str">
        <f>Market_currency</f>
        <v>HKD</v>
      </c>
    </row>
    <row r="89" spans="2:8" ht="15" customHeight="1">
      <c r="B89" s="77" t="s">
        <v>244</v>
      </c>
      <c r="C89" s="162">
        <f>SUM(C86:C88)</f>
        <v>2562540.7355666668</v>
      </c>
      <c r="D89" s="216">
        <f>SUM(D86:D88)</f>
        <v>4.4181429606829417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1" activePane="bottomRight" state="frozen"/>
      <selection activeCell="C17" sqref="C17"/>
      <selection pane="topRight" activeCell="C17" sqref="C17"/>
      <selection pane="bottomLeft" activeCell="C17" sqref="C17"/>
      <selection pane="bottomRight" activeCell="C30" sqref="C3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8568317</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-7540118.96</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1028198.04</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533705.04</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-78483.555355666671</v>
      </c>
      <c r="E10" s="238"/>
      <c r="G10" s="270">
        <f>G48</f>
        <v>-73613.071876313799</v>
      </c>
      <c r="H10" s="270">
        <f t="shared" ref="H10:Q10" si="6">H48</f>
        <v>-78971.418852021772</v>
      </c>
      <c r="I10" s="270">
        <f t="shared" si="6"/>
        <v>-73109.123171121537</v>
      </c>
      <c r="J10" s="270">
        <f t="shared" si="6"/>
        <v>-83036.406166952918</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455221.48464433337</v>
      </c>
      <c r="E11" s="238"/>
      <c r="G11" s="271">
        <f t="shared" ref="G11:Q11" si="7">IF(G$4="","",SUM(G8:G10))</f>
        <v>324548.92812368623</v>
      </c>
      <c r="H11" s="271">
        <f t="shared" si="7"/>
        <v>407101.5811479782</v>
      </c>
      <c r="I11" s="271">
        <f t="shared" si="7"/>
        <v>143460.87682887848</v>
      </c>
      <c r="J11" s="271">
        <f t="shared" si="7"/>
        <v>5841.5938330470817</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-75111.544966315007</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-39042.598999519083</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341067.34067849925</v>
      </c>
      <c r="D14" s="58"/>
      <c r="E14" s="246"/>
      <c r="F14" s="58"/>
      <c r="G14" s="271">
        <f t="shared" ref="G14:Q14" si="8">IF(G$4="","",SUM(G11:G13))</f>
        <v>289869.92812368623</v>
      </c>
      <c r="H14" s="271">
        <f t="shared" si="8"/>
        <v>348027.5811479782</v>
      </c>
      <c r="I14" s="271">
        <f t="shared" si="8"/>
        <v>109637.87682887848</v>
      </c>
      <c r="J14" s="271">
        <f t="shared" si="8"/>
        <v>-23733.406166952918</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341067.34067849925</v>
      </c>
      <c r="D19" s="26"/>
      <c r="E19" s="235"/>
      <c r="F19" s="26"/>
      <c r="G19" s="275">
        <f t="shared" ref="G19:Q19" si="9">IF(G$4="","",G14+G17)</f>
        <v>289869.92812368623</v>
      </c>
      <c r="H19" s="275">
        <f t="shared" si="9"/>
        <v>348027.5811479782</v>
      </c>
      <c r="I19" s="275">
        <f t="shared" si="9"/>
        <v>109637.87682887848</v>
      </c>
      <c r="J19" s="275">
        <f t="shared" si="9"/>
        <v>-23733.406166952918</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-7540118.96</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-7540118.96</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v>0.88</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5.7711800345388718E-2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9.9559718735801314E-2</v>
      </c>
      <c r="H41" s="6">
        <f t="shared" si="16"/>
        <v>0.13832665508496433</v>
      </c>
      <c r="I41" s="6">
        <f t="shared" si="16"/>
        <v>0.22995119456400367</v>
      </c>
      <c r="J41" s="6">
        <f t="shared" si="16"/>
        <v>4.7827700450420583</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-85372.400000000009</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6888.8446443333341</v>
      </c>
      <c r="E46" s="238"/>
      <c r="G46" s="278">
        <f t="shared" ref="G46:Q46" si="17">IFERROR(IF(G$4="","",($C$46/$C$47)*G47),0)</f>
        <v>30501.928123686208</v>
      </c>
      <c r="H46" s="278">
        <f t="shared" si="17"/>
        <v>29620.581147978221</v>
      </c>
      <c r="I46" s="278">
        <f t="shared" si="17"/>
        <v>25398.876828878463</v>
      </c>
      <c r="J46" s="278">
        <f t="shared" si="17"/>
        <v>5007.5938330470863</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10536.33</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-78483.555355666671</v>
      </c>
      <c r="E48" s="238"/>
      <c r="G48" s="271">
        <f>IF(G$4="","",(G45+G46))</f>
        <v>-73613.071876313799</v>
      </c>
      <c r="H48" s="271">
        <f t="shared" ref="H48:Q48" si="18">IF(H$4="","",(H45+H46))</f>
        <v>-78971.418852021772</v>
      </c>
      <c r="I48" s="271">
        <f t="shared" si="18"/>
        <v>-73109.123171121537</v>
      </c>
      <c r="J48" s="271">
        <f t="shared" si="18"/>
        <v>-83036.406166952918</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5"/>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6.2514939254372601</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0.12000000000000001</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6.2288199654611291E-2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9.159739929751276E-3</v>
      </c>
      <c r="D76" s="26"/>
      <c r="E76" s="235" t="s">
        <v>552</v>
      </c>
      <c r="F76" s="26"/>
      <c r="G76" s="6">
        <f t="shared" ref="G76:Q76" si="28">IF(G$4="","",ABS(G10/G$4))</f>
        <v>8.5913105078061179E-3</v>
      </c>
      <c r="H76" s="6">
        <f t="shared" si="28"/>
        <v>9.086105073161193E-3</v>
      </c>
      <c r="I76" s="6">
        <f t="shared" si="28"/>
        <v>9.1112565149345567E-3</v>
      </c>
      <c r="J76" s="6">
        <f t="shared" si="28"/>
        <v>1.1058614681685883E-2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5.3128459724860015E-2</v>
      </c>
      <c r="D77" s="26"/>
      <c r="E77" s="235"/>
      <c r="F77" s="26"/>
      <c r="G77" s="62">
        <f t="shared" ref="G77:Q77" si="29">IF(G$4="","",G11/G$4)</f>
        <v>3.7877791884180549E-2</v>
      </c>
      <c r="H77" s="62">
        <f t="shared" si="29"/>
        <v>4.6839322321051209E-2</v>
      </c>
      <c r="I77" s="62">
        <f t="shared" si="29"/>
        <v>1.7878874645861673E-2</v>
      </c>
      <c r="J77" s="62">
        <f t="shared" si="29"/>
        <v>7.7797123344543119E-4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8.7661958546019023E-3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4.556624013737947E-3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3.9805639856520164E-2</v>
      </c>
      <c r="D80" s="26"/>
      <c r="E80" s="235"/>
      <c r="F80" s="26"/>
      <c r="G80" s="62">
        <f t="shared" ref="G80:Q80" si="32">IF(G$4="","",ABS(G14/G$4))</f>
        <v>3.383043929440125E-2</v>
      </c>
      <c r="H80" s="62">
        <f t="shared" si="32"/>
        <v>4.0042526988075082E-2</v>
      </c>
      <c r="I80" s="62">
        <f t="shared" si="32"/>
        <v>1.3663668448089078E-2</v>
      </c>
      <c r="J80" s="62">
        <f t="shared" si="32"/>
        <v>3.1607653317339002E-3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3.9805639856520164E-2</v>
      </c>
      <c r="D85" s="72"/>
      <c r="E85" s="235"/>
      <c r="F85" s="72"/>
      <c r="G85" s="62">
        <f t="shared" ref="G85:Q85" si="35">IF(G$4="","",ABS(G19/G$4))</f>
        <v>3.383043929440125E-2</v>
      </c>
      <c r="H85" s="62">
        <f t="shared" si="35"/>
        <v>4.0042526988075082E-2</v>
      </c>
      <c r="I85" s="62">
        <f t="shared" si="35"/>
        <v>1.3663668448089078E-2</v>
      </c>
      <c r="J85" s="62">
        <f t="shared" si="35"/>
        <v>3.1607653317339002E-3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0.4</v>
      </c>
      <c r="E88" s="238"/>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38"/>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0.68022230665202266</v>
      </c>
      <c r="E90" s="238"/>
      <c r="G90" s="152">
        <f t="shared" ref="G90:Q90" si="37">IF(G$4="","",G88/(G19*scaling_factor/Common_Shares))</f>
        <v>0.80036454523494382</v>
      </c>
      <c r="H90" s="152">
        <f t="shared" si="37"/>
        <v>0.94993131785561225</v>
      </c>
      <c r="I90" s="152">
        <f t="shared" si="37"/>
        <v>2.0102681565422884</v>
      </c>
      <c r="J90" s="152">
        <f t="shared" si="37"/>
        <v>-9.2865529283737391</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7.0052539404553416E-2</v>
      </c>
      <c r="E92" s="238"/>
      <c r="G92" s="22">
        <f t="shared" ref="G92:Q92" si="38">IF(G$4="","",(G88*(1-dividend_tax_rate))/Market_Price)</f>
        <v>7.0052539404553416E-2</v>
      </c>
      <c r="H92" s="22">
        <f t="shared" si="38"/>
        <v>9.982486865148861E-2</v>
      </c>
      <c r="I92" s="22">
        <f t="shared" si="38"/>
        <v>6.6549912434325745E-2</v>
      </c>
      <c r="J92" s="22">
        <f t="shared" si="38"/>
        <v>6.6549912434325745E-2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0.40262821780402724</v>
      </c>
      <c r="D96" s="26"/>
      <c r="E96" s="235"/>
      <c r="F96" s="26"/>
      <c r="G96" s="6">
        <f t="shared" ref="G96:Q96" si="40">IF(H5="","",G11/H11-1)</f>
        <v>-0.20278146007564812</v>
      </c>
      <c r="H96" s="6">
        <f t="shared" si="40"/>
        <v>1.8377184787011509</v>
      </c>
      <c r="I96" s="6">
        <f t="shared" si="40"/>
        <v>23.558516207903942</v>
      </c>
      <c r="J96" s="6">
        <f t="shared" si="40"/>
        <v>-1.0668137597996945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5980230</v>
      </c>
      <c r="D100" s="25"/>
      <c r="E100" s="239"/>
      <c r="F100" s="25"/>
      <c r="G100" s="274">
        <f t="shared" ref="G100:Q100" si="41">IF(G$4="","",G104+G103)</f>
        <v>5980230</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124515</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220637</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3235494</v>
      </c>
      <c r="D103" s="25"/>
      <c r="E103" s="239"/>
      <c r="F103" s="25"/>
      <c r="G103" s="274">
        <f>Data!C79</f>
        <v>3235494</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2744736</v>
      </c>
      <c r="D104" s="25"/>
      <c r="E104" s="239"/>
      <c r="F104" s="25"/>
      <c r="G104" s="274">
        <f>Data!C80</f>
        <v>2744736</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1.4532025367408791E-2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2.5750331132706691E-2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5.2126793896166532</v>
      </c>
      <c r="H113" s="254">
        <f>IF(H$4="","",Data!D$22/H19)</f>
        <v>4.7787994115697456</v>
      </c>
      <c r="I113" s="254">
        <f>IF(I$4="","",Data!E$22/I19)</f>
        <v>15.495420461777091</v>
      </c>
      <c r="J113" s="254">
        <f>IF(J$4="","",Data!F$22/J19)</f>
        <v>-49.063374713630502</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5.3128459724860015E-2</v>
      </c>
      <c r="E116" s="238"/>
      <c r="G116" s="22">
        <f t="shared" ref="G116:Q116" si="44">IF(G4="","",G77)</f>
        <v>3.7877791884180549E-2</v>
      </c>
      <c r="H116" s="22">
        <f t="shared" si="44"/>
        <v>4.6839322321051209E-2</v>
      </c>
      <c r="I116" s="22">
        <f t="shared" si="44"/>
        <v>1.7878874645861673E-2</v>
      </c>
      <c r="J116" s="22">
        <f t="shared" si="44"/>
        <v>7.7797123344543119E-4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1.4327738230803833</v>
      </c>
      <c r="E117" s="238"/>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2"/>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0.1658525572748466</v>
      </c>
      <c r="D119" s="100"/>
      <c r="E119" s="241"/>
      <c r="F119" s="100"/>
      <c r="G119" s="99">
        <f t="shared" ref="G119:Q119" si="47">IF(G$4="","",G11/G104)</f>
        <v>0.11824413281411626</v>
      </c>
      <c r="H119" s="99">
        <f t="shared" si="47"/>
        <v>0.13987279257917012</v>
      </c>
      <c r="I119" s="99">
        <f t="shared" si="47"/>
        <v>5.1381676140143856E-2</v>
      </c>
      <c r="J119" s="99">
        <f t="shared" si="47"/>
        <v>2.0668141227660726E-3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0.58804305017392744</v>
      </c>
      <c r="D123" s="26"/>
      <c r="E123" s="235"/>
      <c r="F123" s="26"/>
      <c r="G123" s="159">
        <f t="shared" ref="G123:Q123" si="48">IF(G$4="","",G14*$C$3/Common_Shares*Exchange_Rate)</f>
        <v>0.49977226300370614</v>
      </c>
      <c r="H123" s="159">
        <f t="shared" si="48"/>
        <v>0.60004338133279533</v>
      </c>
      <c r="I123" s="159">
        <f t="shared" si="48"/>
        <v>0.18902950771185151</v>
      </c>
      <c r="J123" s="159">
        <f t="shared" si="48"/>
        <v>-4.0919381274290068E-2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0.10298477235970709</v>
      </c>
      <c r="D124" s="26"/>
      <c r="E124" s="235"/>
      <c r="F124" s="26"/>
      <c r="G124" s="74">
        <f t="shared" ref="G124" si="49">IF(G$4="","",G123/Market_Price)</f>
        <v>8.7525790368424894E-2</v>
      </c>
      <c r="H124" s="74">
        <f t="shared" ref="H124" si="50">IF(H$4="","",H123/Market_Price)</f>
        <v>0.10508640653814279</v>
      </c>
      <c r="I124" s="74">
        <f t="shared" ref="I124" si="51">IF(I$4="","",I123/Market_Price)</f>
        <v>3.3104992594019528E-2</v>
      </c>
      <c r="J124" s="74">
        <f t="shared" ref="J124" si="52">IF(J$4="","",J123/Market_Price)</f>
        <v>-7.1662664228178755E-3</v>
      </c>
      <c r="K124" s="74">
        <f t="shared" ref="K124" si="53">IF(K$4="","",K123/Market_Price)</f>
        <v>-3.5885673533812133E-2</v>
      </c>
      <c r="L124" s="74">
        <f t="shared" ref="L124" si="54">IF(L$4="","",L123/Market_Price)</f>
        <v>6.2990684649866513E-2</v>
      </c>
      <c r="M124" s="74">
        <f t="shared" ref="M124" si="55">IF(M$4="","",M123/Market_Price)</f>
        <v>0.16842536428174662</v>
      </c>
      <c r="N124" s="74">
        <f t="shared" ref="N124" si="56">IF(N$4="","",N123/Market_Price)</f>
        <v>0.13892650544739843</v>
      </c>
      <c r="O124" s="74">
        <f t="shared" ref="O124" si="57">IF(O$4="","",O123/Market_Price)</f>
        <v>0.15621486883774019</v>
      </c>
      <c r="P124" s="74">
        <f t="shared" ref="P124" si="58">IF(P$4="","",P123/Market_Price)</f>
        <v>0.15230584353993101</v>
      </c>
      <c r="Q124" s="74" t="str">
        <f t="shared" ref="Q124" si="59">IF(Q$4="","",Q123/Market_Price)</f>
        <v/>
      </c>
    </row>
    <row r="125" spans="1:17" ht="15.75" customHeight="1">
      <c r="B125" s="2" t="s">
        <v>306</v>
      </c>
      <c r="C125" s="151"/>
      <c r="G125" s="22">
        <f>IF(G$4="","",(Data!C47*$C$3)/(Market_Price*Common_Shares))</f>
        <v>7.099141408877048E-2</v>
      </c>
      <c r="H125" s="22">
        <f>IF(H$4="","",(Data!D47*$C$3)/(Market_Price*Common_Shares))</f>
        <v>0.10061376986014969</v>
      </c>
      <c r="I125" s="22">
        <f>IF(I$4="","",(Data!E47*$C$3)/(Market_Price*Common_Shares))</f>
        <v>3.3572748013866317E-2</v>
      </c>
      <c r="J125" s="22">
        <f>IF(J$4="","",(Data!F47*$C$3)/(Market_Price*Common_Shares))</f>
        <v>6.8995232546686693E-3</v>
      </c>
      <c r="K125" s="22">
        <f>IF(K$4="","",(Data!G47*$C$3)/(Market_Price*Common_Shares))</f>
        <v>0.10886753214314174</v>
      </c>
      <c r="L125" s="22">
        <f>IF(L$4="","",(Data!H47*$C$3)/(Market_Price*Common_Shares))</f>
        <v>2.2460741217583527E-2</v>
      </c>
      <c r="M125" s="22">
        <f>IF(M$4="","",(Data!I47*$C$3)/(Market_Price*Common_Shares))</f>
        <v>0.17878672710380156</v>
      </c>
      <c r="N125" s="22">
        <f>IF(N$4="","",(Data!J47*$C$3)/(Market_Price*Common_Shares))</f>
        <v>0.13868343690385324</v>
      </c>
      <c r="O125" s="22">
        <f>IF(O$4="","",(Data!K47*$C$3)/(Market_Price*Common_Shares))</f>
        <v>0.15213675237920388</v>
      </c>
      <c r="P125" s="22">
        <f>IF(P$4="","",(Data!L47*$C$3)/(Market_Price*Common_Shares))</f>
        <v>0.15636705088239461</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E46" sqref="E46"/>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341067.34067849925</v>
      </c>
      <c r="D4" t="str">
        <f>Reporting_currency</f>
        <v>HKD</v>
      </c>
      <c r="E4" s="135" t="s">
        <v>434</v>
      </c>
      <c r="F4" s="279">
        <f>-BS!G31</f>
        <v>-2134310</v>
      </c>
      <c r="G4" t="str">
        <f>Reporting_currency</f>
        <v>HKD</v>
      </c>
      <c r="H4" s="312" t="s">
        <v>394</v>
      </c>
      <c r="I4" s="309">
        <f>Normalized_FCF!C4</f>
        <v>8568317</v>
      </c>
      <c r="J4" s="309"/>
    </row>
    <row r="5" spans="2:15">
      <c r="B5" s="187" t="s">
        <v>105</v>
      </c>
      <c r="C5" s="188">
        <f>Equity_Cost</f>
        <v>7.2499999999999995E-2</v>
      </c>
      <c r="E5" s="135" t="s">
        <v>435</v>
      </c>
      <c r="F5" s="279">
        <f>BS!D66</f>
        <v>364748.53556666663</v>
      </c>
      <c r="G5" t="str">
        <f>Reporting_currency</f>
        <v>HKD</v>
      </c>
      <c r="H5" s="312" t="s">
        <v>396</v>
      </c>
      <c r="I5" s="309">
        <f>Normalized_FCF!C7</f>
        <v>-494493</v>
      </c>
      <c r="J5" s="309"/>
    </row>
    <row r="6" spans="2:15" ht="13.25" customHeight="1">
      <c r="B6" s="136" t="s">
        <v>194</v>
      </c>
      <c r="C6" s="287">
        <f>(C4*(1+Terminal_Growth))/(Equity_Cost-Terminal_Growth)</f>
        <v>4704377.1128068864</v>
      </c>
      <c r="D6" t="str">
        <f>Reporting_currency</f>
        <v>HKD</v>
      </c>
      <c r="E6" s="187" t="s">
        <v>436</v>
      </c>
      <c r="F6" s="288">
        <f>BS!H42</f>
        <v>63482.2</v>
      </c>
      <c r="G6" t="str">
        <f>Reporting_currency</f>
        <v>HKD</v>
      </c>
      <c r="H6" s="312" t="s">
        <v>418</v>
      </c>
      <c r="I6" s="309">
        <f>I7+I8</f>
        <v>-78483.555355666671</v>
      </c>
      <c r="J6" s="309"/>
      <c r="N6" s="135"/>
    </row>
    <row r="7" spans="2:15" ht="12.75" customHeight="1">
      <c r="B7" s="322" t="s">
        <v>433</v>
      </c>
      <c r="C7" s="279">
        <f>F7</f>
        <v>-1706079.2644333334</v>
      </c>
      <c r="E7" s="140" t="s">
        <v>427</v>
      </c>
      <c r="F7" s="287">
        <f>SUM(F4:F6)</f>
        <v>-1706079.2644333334</v>
      </c>
      <c r="G7" t="str">
        <f>Reporting_currency</f>
        <v>HKD</v>
      </c>
      <c r="H7" s="316" t="s">
        <v>419</v>
      </c>
      <c r="I7" s="317">
        <f>Normalized_FCF!C9</f>
        <v>0</v>
      </c>
      <c r="J7" s="317"/>
      <c r="N7" s="308"/>
      <c r="O7" s="308"/>
    </row>
    <row r="8" spans="2:15" ht="13.15">
      <c r="B8" s="136" t="s">
        <v>429</v>
      </c>
      <c r="C8" s="287">
        <f>C6+C7</f>
        <v>2998297.8483735528</v>
      </c>
      <c r="D8" t="str">
        <f>Reporting_currency</f>
        <v>HKD</v>
      </c>
      <c r="E8" s="140" t="s">
        <v>467</v>
      </c>
      <c r="F8" s="108">
        <f>FV_adjustments*scaling_factor/Common_Shares*Exchange_Rate</f>
        <v>-2.9414955196239703</v>
      </c>
      <c r="G8" s="298" t="str">
        <f>Market_currency</f>
        <v>HKD</v>
      </c>
      <c r="H8" s="318" t="str">
        <f>Normalized_FCF!B10</f>
        <v>Net Interest Income</v>
      </c>
      <c r="I8" s="317">
        <f>Normalized_FCF!C10</f>
        <v>-78483.555355666671</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4.556624013737947E-3</v>
      </c>
      <c r="J9" s="310"/>
      <c r="N9" s="308"/>
      <c r="O9" s="308"/>
    </row>
    <row r="10" spans="2:15" ht="13.5" thickTop="1">
      <c r="B10" s="107" t="s">
        <v>430</v>
      </c>
      <c r="C10" s="287">
        <f>C8*Exchange_Rate</f>
        <v>2998297.8483735528</v>
      </c>
      <c r="D10" t="str">
        <f>Market_currency</f>
        <v>HKD</v>
      </c>
      <c r="H10" s="312" t="s">
        <v>398</v>
      </c>
      <c r="I10" s="310">
        <f>Normalized_FCF!C41</f>
        <v>0.16500000000000001</v>
      </c>
      <c r="N10" s="308"/>
      <c r="O10" s="308"/>
    </row>
    <row r="11" spans="2:15" ht="13.15">
      <c r="B11" s="136" t="s">
        <v>428</v>
      </c>
      <c r="C11" s="108">
        <f>(C10*scaling_factor)/Common_Shares</f>
        <v>5.1694431034646833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30</v>
      </c>
      <c r="E15" s="312" t="str">
        <f>IF(F14="II","Change year","Terminal Year")</f>
        <v>Terminal Year</v>
      </c>
      <c r="F15" s="314">
        <f>IF(F14="II",_xlfn.CEILING.MATH(C15/2),C15+1)</f>
        <v>31</v>
      </c>
      <c r="H15" s="97" t="s">
        <v>432</v>
      </c>
      <c r="I15" s="126">
        <f>Terminal_Growth</f>
        <v>0</v>
      </c>
      <c r="J15" s="126"/>
    </row>
    <row r="16" spans="2:15" ht="13.25" customHeight="1">
      <c r="B16" s="114" t="s">
        <v>425</v>
      </c>
      <c r="C16" s="147">
        <f>Scenarios!C46</f>
        <v>0.02</v>
      </c>
      <c r="E16" s="312" t="s">
        <v>401</v>
      </c>
      <c r="F16" s="315">
        <f>Scenarios!C41</f>
        <v>0.02</v>
      </c>
    </row>
    <row r="17" spans="1:21" ht="13.25" customHeight="1">
      <c r="B17" s="312" t="s">
        <v>395</v>
      </c>
      <c r="C17" s="310">
        <f>Normalized_FCF!C32</f>
        <v>0.88</v>
      </c>
      <c r="E17" s="312" t="s">
        <v>402</v>
      </c>
      <c r="F17" s="315">
        <f>Scenarios!C40</f>
        <v>0.88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8.2435802828925357</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8739683.3399999999</v>
      </c>
      <c r="D21" s="303">
        <f t="shared" ref="D21:D50" si="1">IF(A21="",0,IF(A21="I",$C$16,$F$16))</f>
        <v>0.02</v>
      </c>
      <c r="E21" s="303">
        <f>$C$17</f>
        <v>0.88</v>
      </c>
      <c r="F21" s="281">
        <f>I5*(1+D21)</f>
        <v>-504382.86</v>
      </c>
      <c r="G21" s="281">
        <f>C21*(1-E21)+F21+$I$6</f>
        <v>465895.58544433338</v>
      </c>
      <c r="H21" s="303">
        <f t="shared" ref="H21:H50" si="2">IF(A21="",0%,IF(A21="I",$C$18,$F$18))</f>
        <v>0</v>
      </c>
      <c r="I21" s="281">
        <f>(G21*(1-$I$10)+C21*(H21-$I$9))</f>
        <v>349199.36286650889</v>
      </c>
      <c r="J21" s="303">
        <f>I21/C4-1</f>
        <v>2.3842863910195078E-2</v>
      </c>
      <c r="K21" s="119">
        <f t="shared" ref="K21:K50" si="3">IF($C$15&lt;B21,0,1/(1+Equity_Cost)^B21)</f>
        <v>0.93240093240093236</v>
      </c>
      <c r="L21" s="281">
        <f t="shared" ref="L21:L50" si="4">I21*K21</f>
        <v>325593.81153054442</v>
      </c>
    </row>
    <row r="22" spans="1:21">
      <c r="A22" s="306" t="str">
        <f t="shared" si="0"/>
        <v>I</v>
      </c>
      <c r="B22" s="117">
        <v>2</v>
      </c>
      <c r="C22" s="281">
        <f t="shared" ref="C22:C50" si="5">IF(A22="",0,C21*(1+D22))</f>
        <v>8914477.0067999996</v>
      </c>
      <c r="D22" s="303">
        <f t="shared" si="1"/>
        <v>0.02</v>
      </c>
      <c r="E22" s="303">
        <f t="shared" ref="E22:E50" si="6">IF($C$15&lt;B22,0,IF(B22&gt;=$F$15,$F$17,$C$17))</f>
        <v>0.88</v>
      </c>
      <c r="F22" s="281">
        <f t="shared" ref="F22:F50" si="7">IF(A22="",0,F21*(1+D22))</f>
        <v>-514470.5172</v>
      </c>
      <c r="G22" s="281">
        <f t="shared" ref="G22:G50" si="8">IF(A22="", 0,C22*(1-E22)+F22+$I$6)</f>
        <v>476783.16826033324</v>
      </c>
      <c r="H22" s="303">
        <f t="shared" si="2"/>
        <v>0</v>
      </c>
      <c r="I22" s="281">
        <f>IF(A22="", 0,G22*(1-$I$10)+C22*(H22-$I$9))</f>
        <v>357494.02549827856</v>
      </c>
      <c r="J22" s="303">
        <f>IF(A22="", 0,I22/I21-1)</f>
        <v>2.3753372754407032E-2</v>
      </c>
      <c r="K22" s="119">
        <f t="shared" si="3"/>
        <v>0.86937149874212816</v>
      </c>
      <c r="L22" s="281">
        <f t="shared" si="4"/>
        <v>310795.11673879501</v>
      </c>
    </row>
    <row r="23" spans="1:21">
      <c r="A23" s="306" t="str">
        <f t="shared" si="0"/>
        <v>I</v>
      </c>
      <c r="B23" s="117">
        <v>3</v>
      </c>
      <c r="C23" s="281">
        <f t="shared" si="5"/>
        <v>9092766.5469359998</v>
      </c>
      <c r="D23" s="303">
        <f t="shared" si="1"/>
        <v>0.02</v>
      </c>
      <c r="E23" s="303">
        <f t="shared" si="6"/>
        <v>0.88</v>
      </c>
      <c r="F23" s="281">
        <f t="shared" si="7"/>
        <v>-524759.92754399998</v>
      </c>
      <c r="G23" s="281">
        <f t="shared" si="8"/>
        <v>487888.50273265329</v>
      </c>
      <c r="H23" s="303">
        <f t="shared" si="2"/>
        <v>0</v>
      </c>
      <c r="I23" s="281">
        <f t="shared" ref="I23:I50" si="9">IF(A23="", 0,G23*(1-$I$10)+C23*(H23-$I$9))</f>
        <v>365954.58138268383</v>
      </c>
      <c r="J23" s="303">
        <f t="shared" ref="J23:J50" si="10">IF(A23="", 0,I23/I22-1)</f>
        <v>2.3666286094188305E-2</v>
      </c>
      <c r="K23" s="119">
        <f t="shared" si="3"/>
        <v>0.81060279602995633</v>
      </c>
      <c r="L23" s="281">
        <f t="shared" si="4"/>
        <v>296643.80688877573</v>
      </c>
      <c r="N23" s="279"/>
      <c r="O23" s="279"/>
      <c r="P23" s="279"/>
      <c r="Q23" s="279"/>
      <c r="R23" s="279"/>
      <c r="S23" s="279"/>
      <c r="T23" s="279"/>
      <c r="U23" s="279"/>
    </row>
    <row r="24" spans="1:21">
      <c r="A24" s="306" t="str">
        <f t="shared" si="0"/>
        <v>I</v>
      </c>
      <c r="B24" s="117">
        <v>4</v>
      </c>
      <c r="C24" s="281">
        <f t="shared" si="5"/>
        <v>9274621.8778747208</v>
      </c>
      <c r="D24" s="303">
        <f t="shared" si="1"/>
        <v>0.02</v>
      </c>
      <c r="E24" s="303">
        <f t="shared" si="6"/>
        <v>0.88</v>
      </c>
      <c r="F24" s="281">
        <f t="shared" si="7"/>
        <v>-535255.12609487993</v>
      </c>
      <c r="G24" s="281">
        <f t="shared" si="8"/>
        <v>499215.94389441994</v>
      </c>
      <c r="H24" s="303">
        <f t="shared" si="2"/>
        <v>0</v>
      </c>
      <c r="I24" s="281">
        <f t="shared" si="9"/>
        <v>374584.34838477738</v>
      </c>
      <c r="J24" s="303">
        <f t="shared" si="10"/>
        <v>2.3581524705846624E-2</v>
      </c>
      <c r="K24" s="119">
        <f t="shared" si="3"/>
        <v>0.75580680282513402</v>
      </c>
      <c r="L24" s="281">
        <f t="shared" si="4"/>
        <v>283113.39874103473</v>
      </c>
      <c r="N24" s="279"/>
      <c r="O24" s="279"/>
      <c r="P24" s="279"/>
      <c r="Q24" s="279"/>
      <c r="R24" s="279"/>
      <c r="S24" s="279"/>
      <c r="T24" s="279"/>
      <c r="U24" s="279"/>
    </row>
    <row r="25" spans="1:21">
      <c r="A25" s="306" t="str">
        <f t="shared" si="0"/>
        <v>I</v>
      </c>
      <c r="B25" s="117">
        <v>5</v>
      </c>
      <c r="C25" s="281">
        <f t="shared" si="5"/>
        <v>9460114.3154322151</v>
      </c>
      <c r="D25" s="303">
        <f t="shared" si="1"/>
        <v>0.02</v>
      </c>
      <c r="E25" s="303">
        <f t="shared" si="6"/>
        <v>0.88</v>
      </c>
      <c r="F25" s="281">
        <f t="shared" si="7"/>
        <v>-545960.22861677757</v>
      </c>
      <c r="G25" s="281">
        <f t="shared" si="8"/>
        <v>510769.93387942156</v>
      </c>
      <c r="H25" s="303">
        <f t="shared" si="2"/>
        <v>0</v>
      </c>
      <c r="I25" s="281">
        <f t="shared" si="9"/>
        <v>383386.71072691242</v>
      </c>
      <c r="J25" s="303">
        <f t="shared" si="10"/>
        <v>2.3499012652533846E-2</v>
      </c>
      <c r="K25" s="119">
        <f t="shared" si="3"/>
        <v>0.70471496766912267</v>
      </c>
      <c r="L25" s="281">
        <f t="shared" si="4"/>
        <v>270178.3534546874</v>
      </c>
      <c r="N25" s="279"/>
      <c r="O25" s="279"/>
      <c r="P25" s="279"/>
      <c r="Q25" s="279"/>
      <c r="R25" s="279"/>
      <c r="S25" s="279"/>
      <c r="T25" s="279"/>
      <c r="U25" s="279"/>
    </row>
    <row r="26" spans="1:21">
      <c r="A26" s="306" t="str">
        <f t="shared" si="0"/>
        <v>I</v>
      </c>
      <c r="B26" s="117">
        <v>6</v>
      </c>
      <c r="C26" s="281">
        <f t="shared" si="5"/>
        <v>9649316.6017408594</v>
      </c>
      <c r="D26" s="303">
        <f t="shared" si="1"/>
        <v>0.02</v>
      </c>
      <c r="E26" s="303">
        <f t="shared" si="6"/>
        <v>0.88</v>
      </c>
      <c r="F26" s="281">
        <f t="shared" si="7"/>
        <v>-556879.43318911316</v>
      </c>
      <c r="G26" s="281">
        <f t="shared" si="8"/>
        <v>522555.00366412336</v>
      </c>
      <c r="H26" s="303">
        <f t="shared" si="2"/>
        <v>0</v>
      </c>
      <c r="I26" s="281">
        <f t="shared" si="9"/>
        <v>392365.12031589029</v>
      </c>
      <c r="J26" s="303">
        <f t="shared" si="10"/>
        <v>2.341867711573653E-2</v>
      </c>
      <c r="K26" s="119">
        <f t="shared" si="3"/>
        <v>0.65707689293158289</v>
      </c>
      <c r="L26" s="281">
        <f t="shared" si="4"/>
        <v>257814.05415189188</v>
      </c>
    </row>
    <row r="27" spans="1:21">
      <c r="A27" s="306" t="str">
        <f t="shared" si="0"/>
        <v>I</v>
      </c>
      <c r="B27" s="117">
        <v>7</v>
      </c>
      <c r="C27" s="281">
        <f t="shared" si="5"/>
        <v>9842302.9337756764</v>
      </c>
      <c r="D27" s="303">
        <f t="shared" si="1"/>
        <v>0.02</v>
      </c>
      <c r="E27" s="303">
        <f t="shared" si="6"/>
        <v>0.88</v>
      </c>
      <c r="F27" s="281">
        <f t="shared" si="7"/>
        <v>-568017.02185289538</v>
      </c>
      <c r="G27" s="281">
        <f t="shared" si="8"/>
        <v>534575.7748445191</v>
      </c>
      <c r="H27" s="303">
        <f t="shared" si="2"/>
        <v>0</v>
      </c>
      <c r="I27" s="281">
        <f t="shared" si="9"/>
        <v>401523.09809664771</v>
      </c>
      <c r="J27" s="303">
        <f t="shared" si="10"/>
        <v>2.334044823705117E-2</v>
      </c>
      <c r="K27" s="119">
        <f t="shared" si="3"/>
        <v>0.61265910762851561</v>
      </c>
      <c r="L27" s="281">
        <f t="shared" si="4"/>
        <v>245996.78297212912</v>
      </c>
    </row>
    <row r="28" spans="1:21">
      <c r="A28" s="306" t="str">
        <f t="shared" si="0"/>
        <v>I</v>
      </c>
      <c r="B28" s="117">
        <v>8</v>
      </c>
      <c r="C28" s="281">
        <f t="shared" si="5"/>
        <v>10039148.992451191</v>
      </c>
      <c r="D28" s="303">
        <f t="shared" si="1"/>
        <v>0.02</v>
      </c>
      <c r="E28" s="303">
        <f t="shared" si="6"/>
        <v>0.88</v>
      </c>
      <c r="F28" s="281">
        <f t="shared" si="7"/>
        <v>-579377.36228995328</v>
      </c>
      <c r="G28" s="281">
        <f t="shared" si="8"/>
        <v>546836.96144852298</v>
      </c>
      <c r="H28" s="303">
        <f t="shared" si="2"/>
        <v>0</v>
      </c>
      <c r="I28" s="281">
        <f t="shared" si="9"/>
        <v>410864.23543302045</v>
      </c>
      <c r="J28" s="303">
        <f t="shared" si="10"/>
        <v>2.3264258969540874E-2</v>
      </c>
      <c r="K28" s="119">
        <f t="shared" si="3"/>
        <v>0.5712439231967511</v>
      </c>
      <c r="L28" s="281">
        <f t="shared" si="4"/>
        <v>234703.69774999219</v>
      </c>
    </row>
    <row r="29" spans="1:21">
      <c r="A29" s="306" t="str">
        <f t="shared" si="0"/>
        <v>I</v>
      </c>
      <c r="B29" s="117">
        <v>9</v>
      </c>
      <c r="C29" s="281">
        <f t="shared" si="5"/>
        <v>10239931.972300215</v>
      </c>
      <c r="D29" s="303">
        <f t="shared" si="1"/>
        <v>0.02</v>
      </c>
      <c r="E29" s="303">
        <f t="shared" si="6"/>
        <v>0.88</v>
      </c>
      <c r="F29" s="281">
        <f t="shared" si="7"/>
        <v>-590964.90953575238</v>
      </c>
      <c r="G29" s="281">
        <f t="shared" si="8"/>
        <v>559343.37178460672</v>
      </c>
      <c r="H29" s="303">
        <f t="shared" si="2"/>
        <v>0</v>
      </c>
      <c r="I29" s="281">
        <f t="shared" si="9"/>
        <v>420392.19551612041</v>
      </c>
      <c r="J29" s="303">
        <f t="shared" si="10"/>
        <v>2.3190044937978493E-2</v>
      </c>
      <c r="K29" s="119">
        <f t="shared" si="3"/>
        <v>0.53262836661701729</v>
      </c>
      <c r="L29" s="281">
        <f t="shared" si="4"/>
        <v>223912.80843629298</v>
      </c>
    </row>
    <row r="30" spans="1:21">
      <c r="A30" s="306" t="str">
        <f t="shared" si="0"/>
        <v>I</v>
      </c>
      <c r="B30" s="117">
        <v>10</v>
      </c>
      <c r="C30" s="281">
        <f t="shared" si="5"/>
        <v>10444730.61174622</v>
      </c>
      <c r="D30" s="303">
        <f t="shared" si="1"/>
        <v>0.02</v>
      </c>
      <c r="E30" s="303">
        <f t="shared" si="6"/>
        <v>0.88</v>
      </c>
      <c r="F30" s="281">
        <f t="shared" si="7"/>
        <v>-602784.2077264674</v>
      </c>
      <c r="G30" s="281">
        <f t="shared" si="8"/>
        <v>572099.91032741219</v>
      </c>
      <c r="H30" s="303">
        <f t="shared" si="2"/>
        <v>0</v>
      </c>
      <c r="I30" s="281">
        <f t="shared" si="9"/>
        <v>430110.7148008825</v>
      </c>
      <c r="J30" s="303">
        <f t="shared" si="10"/>
        <v>2.3117744307385557E-2</v>
      </c>
      <c r="K30" s="119">
        <f t="shared" si="3"/>
        <v>0.49662318565689262</v>
      </c>
      <c r="L30" s="281">
        <f t="shared" si="4"/>
        <v>213602.95336957747</v>
      </c>
    </row>
    <row r="31" spans="1:21">
      <c r="A31" s="306" t="str">
        <f t="shared" si="0"/>
        <v>I</v>
      </c>
      <c r="B31" s="117">
        <v>11</v>
      </c>
      <c r="C31" s="281">
        <f t="shared" si="5"/>
        <v>10653625.223981144</v>
      </c>
      <c r="D31" s="303">
        <f t="shared" si="1"/>
        <v>0.02</v>
      </c>
      <c r="E31" s="303">
        <f t="shared" si="6"/>
        <v>0.88</v>
      </c>
      <c r="F31" s="281">
        <f t="shared" si="7"/>
        <v>-614839.89188099676</v>
      </c>
      <c r="G31" s="281">
        <f t="shared" si="8"/>
        <v>585111.57964107371</v>
      </c>
      <c r="H31" s="303">
        <f t="shared" si="2"/>
        <v>0</v>
      </c>
      <c r="I31" s="281">
        <f t="shared" si="9"/>
        <v>440023.60447133973</v>
      </c>
      <c r="J31" s="303">
        <f t="shared" si="10"/>
        <v>2.3047297659269717E-2</v>
      </c>
      <c r="K31" s="119">
        <f t="shared" si="3"/>
        <v>0.46305192135840806</v>
      </c>
      <c r="L31" s="281">
        <f t="shared" si="4"/>
        <v>203753.77549350605</v>
      </c>
    </row>
    <row r="32" spans="1:21">
      <c r="A32" s="306" t="str">
        <f t="shared" si="0"/>
        <v>I</v>
      </c>
      <c r="B32" s="117">
        <v>12</v>
      </c>
      <c r="C32" s="281">
        <f t="shared" si="5"/>
        <v>10866697.728460766</v>
      </c>
      <c r="D32" s="303">
        <f t="shared" si="1"/>
        <v>0.02</v>
      </c>
      <c r="E32" s="303">
        <f t="shared" si="6"/>
        <v>0.88</v>
      </c>
      <c r="F32" s="281">
        <f t="shared" si="7"/>
        <v>-627136.68971861666</v>
      </c>
      <c r="G32" s="281">
        <f t="shared" si="8"/>
        <v>598383.48234100849</v>
      </c>
      <c r="H32" s="303">
        <f t="shared" si="2"/>
        <v>0</v>
      </c>
      <c r="I32" s="281">
        <f t="shared" si="9"/>
        <v>450134.75193520612</v>
      </c>
      <c r="J32" s="303">
        <f t="shared" si="10"/>
        <v>2.2978647875070868E-2</v>
      </c>
      <c r="K32" s="119">
        <f t="shared" si="3"/>
        <v>0.43175004322462285</v>
      </c>
      <c r="L32" s="281">
        <f t="shared" si="4"/>
        <v>194345.69860493013</v>
      </c>
    </row>
    <row r="33" spans="1:21">
      <c r="A33" s="306" t="str">
        <f t="shared" si="0"/>
        <v>I</v>
      </c>
      <c r="B33" s="117">
        <v>13</v>
      </c>
      <c r="C33" s="281">
        <f t="shared" si="5"/>
        <v>11084031.683029981</v>
      </c>
      <c r="D33" s="303">
        <f t="shared" si="1"/>
        <v>0.02</v>
      </c>
      <c r="E33" s="303">
        <f t="shared" si="6"/>
        <v>0.88</v>
      </c>
      <c r="F33" s="281">
        <f t="shared" si="7"/>
        <v>-639679.42351298896</v>
      </c>
      <c r="G33" s="281">
        <f t="shared" si="8"/>
        <v>611920.82309494214</v>
      </c>
      <c r="H33" s="303">
        <f t="shared" si="2"/>
        <v>0</v>
      </c>
      <c r="I33" s="281">
        <f t="shared" si="9"/>
        <v>460448.12234835001</v>
      </c>
      <c r="J33" s="303">
        <f t="shared" si="10"/>
        <v>2.2911740026303029E-2</v>
      </c>
      <c r="K33" s="119">
        <f t="shared" si="3"/>
        <v>0.40256414286678116</v>
      </c>
      <c r="L33" s="281">
        <f t="shared" si="4"/>
        <v>185359.9037077823</v>
      </c>
      <c r="N33" s="279"/>
      <c r="O33" s="279"/>
      <c r="P33" s="279"/>
      <c r="Q33" s="279"/>
      <c r="R33" s="279"/>
      <c r="S33" s="279"/>
      <c r="T33" s="279"/>
      <c r="U33" s="279"/>
    </row>
    <row r="34" spans="1:21">
      <c r="A34" s="306" t="str">
        <f t="shared" si="0"/>
        <v>I</v>
      </c>
      <c r="B34" s="117">
        <v>14</v>
      </c>
      <c r="C34" s="281">
        <f t="shared" si="5"/>
        <v>11305712.316690581</v>
      </c>
      <c r="D34" s="303">
        <f t="shared" si="1"/>
        <v>0.02</v>
      </c>
      <c r="E34" s="303">
        <f t="shared" si="6"/>
        <v>0.88</v>
      </c>
      <c r="F34" s="281">
        <f t="shared" si="7"/>
        <v>-652473.01198324875</v>
      </c>
      <c r="G34" s="281">
        <f t="shared" si="8"/>
        <v>625728.91066395433</v>
      </c>
      <c r="H34" s="303">
        <f t="shared" si="2"/>
        <v>0</v>
      </c>
      <c r="I34" s="281">
        <f t="shared" si="9"/>
        <v>470967.76016975672</v>
      </c>
      <c r="J34" s="303">
        <f t="shared" si="10"/>
        <v>2.2846521270963427E-2</v>
      </c>
      <c r="K34" s="119">
        <f t="shared" si="3"/>
        <v>0.37535118216016894</v>
      </c>
      <c r="L34" s="281">
        <f t="shared" si="4"/>
        <v>176778.3055390451</v>
      </c>
      <c r="N34" s="279"/>
      <c r="O34" s="279"/>
      <c r="P34" s="279"/>
      <c r="Q34" s="279"/>
      <c r="R34" s="279"/>
      <c r="S34" s="279"/>
      <c r="T34" s="279"/>
      <c r="U34" s="279"/>
    </row>
    <row r="35" spans="1:21">
      <c r="A35" s="306" t="str">
        <f t="shared" si="0"/>
        <v>I</v>
      </c>
      <c r="B35" s="117">
        <v>15</v>
      </c>
      <c r="C35" s="281">
        <f t="shared" si="5"/>
        <v>11531826.563024392</v>
      </c>
      <c r="D35" s="303">
        <f t="shared" si="1"/>
        <v>0.02</v>
      </c>
      <c r="E35" s="303">
        <f t="shared" si="6"/>
        <v>0.88</v>
      </c>
      <c r="F35" s="281">
        <f t="shared" si="7"/>
        <v>-665522.47222291376</v>
      </c>
      <c r="G35" s="281">
        <f t="shared" si="8"/>
        <v>639813.15998434671</v>
      </c>
      <c r="H35" s="303">
        <f t="shared" si="2"/>
        <v>0</v>
      </c>
      <c r="I35" s="281">
        <f t="shared" si="9"/>
        <v>481697.79074759141</v>
      </c>
      <c r="J35" s="303">
        <f t="shared" si="10"/>
        <v>2.2782940755790015E-2</v>
      </c>
      <c r="K35" s="119">
        <f t="shared" si="3"/>
        <v>0.34997779222393377</v>
      </c>
      <c r="L35" s="281">
        <f t="shared" si="4"/>
        <v>168583.52932498849</v>
      </c>
      <c r="N35" s="279"/>
      <c r="O35" s="279"/>
      <c r="P35" s="279"/>
      <c r="Q35" s="279"/>
      <c r="R35" s="279"/>
      <c r="S35" s="279"/>
      <c r="T35" s="279"/>
      <c r="U35" s="279"/>
    </row>
    <row r="36" spans="1:21">
      <c r="A36" s="306" t="str">
        <f t="shared" si="0"/>
        <v>I</v>
      </c>
      <c r="B36" s="117">
        <v>16</v>
      </c>
      <c r="C36" s="281">
        <f t="shared" si="5"/>
        <v>11762463.094284881</v>
      </c>
      <c r="D36" s="303">
        <f t="shared" si="1"/>
        <v>0.02</v>
      </c>
      <c r="E36" s="303">
        <f t="shared" si="6"/>
        <v>0.88</v>
      </c>
      <c r="F36" s="281">
        <f t="shared" si="7"/>
        <v>-678832.92166737199</v>
      </c>
      <c r="G36" s="281">
        <f t="shared" si="8"/>
        <v>654179.09429114696</v>
      </c>
      <c r="H36" s="303">
        <f t="shared" si="2"/>
        <v>0</v>
      </c>
      <c r="I36" s="281">
        <f t="shared" si="9"/>
        <v>492642.42193698289</v>
      </c>
      <c r="J36" s="303">
        <f t="shared" si="10"/>
        <v>2.2720949523985734E-2</v>
      </c>
      <c r="K36" s="119">
        <f t="shared" si="3"/>
        <v>0.32631961978921564</v>
      </c>
      <c r="L36" s="281">
        <f t="shared" si="4"/>
        <v>160758.8878185146</v>
      </c>
    </row>
    <row r="37" spans="1:21">
      <c r="A37" s="306" t="str">
        <f t="shared" si="0"/>
        <v>I</v>
      </c>
      <c r="B37" s="117">
        <v>17</v>
      </c>
      <c r="C37" s="281">
        <f t="shared" si="5"/>
        <v>11997712.356170578</v>
      </c>
      <c r="D37" s="303">
        <f t="shared" si="1"/>
        <v>0.02</v>
      </c>
      <c r="E37" s="303">
        <f t="shared" si="6"/>
        <v>0.88</v>
      </c>
      <c r="F37" s="281">
        <f t="shared" si="7"/>
        <v>-692409.58010071947</v>
      </c>
      <c r="G37" s="281">
        <f t="shared" si="8"/>
        <v>668832.34728408314</v>
      </c>
      <c r="H37" s="303">
        <f t="shared" si="2"/>
        <v>0</v>
      </c>
      <c r="I37" s="281">
        <f t="shared" si="9"/>
        <v>503805.94575016206</v>
      </c>
      <c r="J37" s="303">
        <f t="shared" si="10"/>
        <v>2.2660500428051122E-2</v>
      </c>
      <c r="K37" s="119">
        <f t="shared" si="3"/>
        <v>0.30426071775218239</v>
      </c>
      <c r="L37" s="281">
        <f t="shared" si="4"/>
        <v>153288.35866176136</v>
      </c>
    </row>
    <row r="38" spans="1:21">
      <c r="A38" s="306" t="str">
        <f t="shared" si="0"/>
        <v>I</v>
      </c>
      <c r="B38" s="117">
        <v>18</v>
      </c>
      <c r="C38" s="281">
        <f t="shared" si="5"/>
        <v>12237666.603293989</v>
      </c>
      <c r="D38" s="303">
        <f t="shared" si="1"/>
        <v>0.02</v>
      </c>
      <c r="E38" s="303">
        <f t="shared" si="6"/>
        <v>0.88</v>
      </c>
      <c r="F38" s="281">
        <f t="shared" si="7"/>
        <v>-706257.77170273382</v>
      </c>
      <c r="G38" s="281">
        <f t="shared" si="8"/>
        <v>683778.66533687804</v>
      </c>
      <c r="H38" s="303">
        <f t="shared" si="2"/>
        <v>0</v>
      </c>
      <c r="I38" s="281">
        <f t="shared" si="9"/>
        <v>515192.74003960483</v>
      </c>
      <c r="J38" s="303">
        <f t="shared" si="10"/>
        <v>2.2601548047409326E-2</v>
      </c>
      <c r="K38" s="119">
        <f t="shared" si="3"/>
        <v>0.28369297692511181</v>
      </c>
      <c r="L38" s="281">
        <f t="shared" si="4"/>
        <v>146156.56211204073</v>
      </c>
    </row>
    <row r="39" spans="1:21">
      <c r="A39" s="306" t="str">
        <f t="shared" si="0"/>
        <v>I</v>
      </c>
      <c r="B39" s="117">
        <v>19</v>
      </c>
      <c r="C39" s="281">
        <f t="shared" si="5"/>
        <v>12482419.935359869</v>
      </c>
      <c r="D39" s="303">
        <f t="shared" si="1"/>
        <v>0.02</v>
      </c>
      <c r="E39" s="303">
        <f t="shared" si="6"/>
        <v>0.88</v>
      </c>
      <c r="F39" s="281">
        <f t="shared" si="7"/>
        <v>-720382.92713678849</v>
      </c>
      <c r="G39" s="281">
        <f t="shared" si="8"/>
        <v>699023.90975072898</v>
      </c>
      <c r="H39" s="303">
        <f t="shared" si="2"/>
        <v>0</v>
      </c>
      <c r="I39" s="281">
        <f t="shared" si="9"/>
        <v>526807.2702148367</v>
      </c>
      <c r="J39" s="303">
        <f t="shared" si="10"/>
        <v>2.2544048610504408E-2</v>
      </c>
      <c r="K39" s="119">
        <f t="shared" si="3"/>
        <v>0.26451559620057047</v>
      </c>
      <c r="L39" s="281">
        <f t="shared" si="4"/>
        <v>139348.73916367255</v>
      </c>
    </row>
    <row r="40" spans="1:21">
      <c r="A40" s="306" t="str">
        <f t="shared" si="0"/>
        <v>I</v>
      </c>
      <c r="B40" s="117">
        <v>20</v>
      </c>
      <c r="C40" s="281">
        <f t="shared" si="5"/>
        <v>12732068.334067067</v>
      </c>
      <c r="D40" s="303">
        <f t="shared" si="1"/>
        <v>0.02</v>
      </c>
      <c r="E40" s="303">
        <f t="shared" si="6"/>
        <v>0.88</v>
      </c>
      <c r="F40" s="281">
        <f t="shared" si="7"/>
        <v>-734790.58567952423</v>
      </c>
      <c r="G40" s="281">
        <f t="shared" si="8"/>
        <v>714574.05905285699</v>
      </c>
      <c r="H40" s="303">
        <f t="shared" si="2"/>
        <v>0</v>
      </c>
      <c r="I40" s="281">
        <f t="shared" si="9"/>
        <v>538654.09099357307</v>
      </c>
      <c r="J40" s="303">
        <f t="shared" si="10"/>
        <v>2.2487959921101863E-2</v>
      </c>
      <c r="K40" s="119">
        <f t="shared" si="3"/>
        <v>0.2466345885320004</v>
      </c>
      <c r="L40" s="281">
        <f t="shared" si="4"/>
        <v>132850.7300932786</v>
      </c>
    </row>
    <row r="41" spans="1:21">
      <c r="A41" s="306" t="str">
        <f t="shared" si="0"/>
        <v>I</v>
      </c>
      <c r="B41" s="117">
        <v>21</v>
      </c>
      <c r="C41" s="281">
        <f t="shared" si="5"/>
        <v>12986709.700748408</v>
      </c>
      <c r="D41" s="303">
        <f t="shared" si="1"/>
        <v>0.02</v>
      </c>
      <c r="E41" s="303">
        <f t="shared" si="6"/>
        <v>0.88</v>
      </c>
      <c r="F41" s="281">
        <f t="shared" si="7"/>
        <v>-749486.39739311475</v>
      </c>
      <c r="G41" s="281">
        <f t="shared" si="8"/>
        <v>730435.21134102752</v>
      </c>
      <c r="H41" s="303">
        <f t="shared" si="2"/>
        <v>0</v>
      </c>
      <c r="I41" s="281">
        <f t="shared" si="9"/>
        <v>550737.8481878842</v>
      </c>
      <c r="J41" s="303">
        <f t="shared" si="10"/>
        <v>2.2433241288527306E-2</v>
      </c>
      <c r="K41" s="119">
        <f t="shared" si="3"/>
        <v>0.22996232030955746</v>
      </c>
      <c r="L41" s="281">
        <f t="shared" si="4"/>
        <v>126648.95345157865</v>
      </c>
    </row>
    <row r="42" spans="1:21">
      <c r="A42" s="306" t="str">
        <f t="shared" si="0"/>
        <v>I</v>
      </c>
      <c r="B42" s="117">
        <v>22</v>
      </c>
      <c r="C42" s="281">
        <f t="shared" si="5"/>
        <v>13246443.894763377</v>
      </c>
      <c r="D42" s="303">
        <f t="shared" si="1"/>
        <v>0.02</v>
      </c>
      <c r="E42" s="303">
        <f t="shared" si="6"/>
        <v>0.88</v>
      </c>
      <c r="F42" s="281">
        <f t="shared" si="7"/>
        <v>-764476.1253409771</v>
      </c>
      <c r="G42" s="281">
        <f t="shared" si="8"/>
        <v>746613.58667496138</v>
      </c>
      <c r="H42" s="303">
        <f t="shared" si="2"/>
        <v>0</v>
      </c>
      <c r="I42" s="281">
        <f t="shared" si="9"/>
        <v>563063.28052608145</v>
      </c>
      <c r="J42" s="303">
        <f t="shared" si="10"/>
        <v>2.237985346159177E-2</v>
      </c>
      <c r="K42" s="119">
        <f t="shared" si="3"/>
        <v>0.21441708187371325</v>
      </c>
      <c r="L42" s="281">
        <f t="shared" si="4"/>
        <v>120730.38552064238</v>
      </c>
    </row>
    <row r="43" spans="1:21">
      <c r="A43" s="306" t="str">
        <f t="shared" si="0"/>
        <v>I</v>
      </c>
      <c r="B43" s="117">
        <v>23</v>
      </c>
      <c r="C43" s="281">
        <f t="shared" si="5"/>
        <v>13511372.772658644</v>
      </c>
      <c r="D43" s="303">
        <f t="shared" si="1"/>
        <v>0.02</v>
      </c>
      <c r="E43" s="303">
        <f t="shared" si="6"/>
        <v>0.88</v>
      </c>
      <c r="F43" s="281">
        <f t="shared" si="7"/>
        <v>-779765.64784779667</v>
      </c>
      <c r="G43" s="281">
        <f t="shared" si="8"/>
        <v>763115.52951557387</v>
      </c>
      <c r="H43" s="303">
        <f t="shared" si="2"/>
        <v>0</v>
      </c>
      <c r="I43" s="281">
        <f t="shared" si="9"/>
        <v>575635.22151104279</v>
      </c>
      <c r="J43" s="303">
        <f t="shared" si="10"/>
        <v>2.232775856599134E-2</v>
      </c>
      <c r="K43" s="119">
        <f t="shared" si="3"/>
        <v>0.19992268706173733</v>
      </c>
      <c r="L43" s="281">
        <f t="shared" si="4"/>
        <v>115082.54025186606</v>
      </c>
    </row>
    <row r="44" spans="1:21">
      <c r="A44" s="306" t="str">
        <f t="shared" si="0"/>
        <v>I</v>
      </c>
      <c r="B44" s="117">
        <v>24</v>
      </c>
      <c r="C44" s="281">
        <f t="shared" si="5"/>
        <v>13781600.228111817</v>
      </c>
      <c r="D44" s="303">
        <f t="shared" si="1"/>
        <v>0.02</v>
      </c>
      <c r="E44" s="303">
        <f t="shared" si="6"/>
        <v>0.88</v>
      </c>
      <c r="F44" s="281">
        <f t="shared" si="7"/>
        <v>-795360.96080475266</v>
      </c>
      <c r="G44" s="281">
        <f t="shared" si="8"/>
        <v>779947.51121299865</v>
      </c>
      <c r="H44" s="303">
        <f t="shared" si="2"/>
        <v>0</v>
      </c>
      <c r="I44" s="281">
        <f t="shared" si="9"/>
        <v>588458.60131570313</v>
      </c>
      <c r="J44" s="303">
        <f t="shared" si="10"/>
        <v>2.2276920044953075E-2</v>
      </c>
      <c r="K44" s="119">
        <f t="shared" si="3"/>
        <v>0.18640809982446369</v>
      </c>
      <c r="L44" s="281">
        <f t="shared" si="4"/>
        <v>109693.44969662187</v>
      </c>
    </row>
    <row r="45" spans="1:21">
      <c r="A45" s="306" t="str">
        <f t="shared" si="0"/>
        <v>I</v>
      </c>
      <c r="B45" s="117">
        <v>25</v>
      </c>
      <c r="C45" s="281">
        <f t="shared" si="5"/>
        <v>14057232.232674053</v>
      </c>
      <c r="D45" s="303">
        <f t="shared" si="1"/>
        <v>0.02</v>
      </c>
      <c r="E45" s="303">
        <f t="shared" si="6"/>
        <v>0.88</v>
      </c>
      <c r="F45" s="281">
        <f t="shared" si="7"/>
        <v>-811268.18002084771</v>
      </c>
      <c r="G45" s="281">
        <f t="shared" si="8"/>
        <v>797116.13254437188</v>
      </c>
      <c r="H45" s="303">
        <f t="shared" si="2"/>
        <v>0</v>
      </c>
      <c r="I45" s="281">
        <f t="shared" si="9"/>
        <v>601538.44871645677</v>
      </c>
      <c r="J45" s="303">
        <f t="shared" si="10"/>
        <v>2.222730260295136E-2</v>
      </c>
      <c r="K45" s="119">
        <f t="shared" si="3"/>
        <v>0.17380708608341602</v>
      </c>
      <c r="L45" s="281">
        <f t="shared" si="4"/>
        <v>104551.64493854574</v>
      </c>
    </row>
    <row r="46" spans="1:21">
      <c r="A46" s="306" t="str">
        <f t="shared" si="0"/>
        <v>I</v>
      </c>
      <c r="B46" s="117">
        <v>26</v>
      </c>
      <c r="C46" s="281">
        <f t="shared" si="5"/>
        <v>14338376.877327533</v>
      </c>
      <c r="D46" s="303">
        <f t="shared" si="1"/>
        <v>0.02</v>
      </c>
      <c r="E46" s="303">
        <f t="shared" si="6"/>
        <v>0.88</v>
      </c>
      <c r="F46" s="281">
        <f t="shared" si="7"/>
        <v>-827493.54362126463</v>
      </c>
      <c r="G46" s="281">
        <f t="shared" si="8"/>
        <v>814628.12630237266</v>
      </c>
      <c r="H46" s="303">
        <f t="shared" si="2"/>
        <v>0</v>
      </c>
      <c r="I46" s="281">
        <f t="shared" si="9"/>
        <v>614879.89306522557</v>
      </c>
      <c r="J46" s="303">
        <f t="shared" si="10"/>
        <v>2.2178872152289308E-2</v>
      </c>
      <c r="K46" s="119">
        <f t="shared" si="3"/>
        <v>0.16205788912206626</v>
      </c>
      <c r="L46" s="281">
        <f t="shared" si="4"/>
        <v>99646.137533752277</v>
      </c>
    </row>
    <row r="47" spans="1:21">
      <c r="A47" s="306" t="str">
        <f t="shared" si="0"/>
        <v>I</v>
      </c>
      <c r="B47" s="117">
        <v>27</v>
      </c>
      <c r="C47" s="281">
        <f t="shared" si="5"/>
        <v>14625144.414874084</v>
      </c>
      <c r="D47" s="303">
        <f t="shared" si="1"/>
        <v>0.02</v>
      </c>
      <c r="E47" s="303">
        <f t="shared" si="6"/>
        <v>0.88</v>
      </c>
      <c r="F47" s="281">
        <f t="shared" si="7"/>
        <v>-844043.4144936899</v>
      </c>
      <c r="G47" s="281">
        <f t="shared" si="8"/>
        <v>832490.35993553337</v>
      </c>
      <c r="H47" s="303">
        <f t="shared" si="2"/>
        <v>0</v>
      </c>
      <c r="I47" s="281">
        <f t="shared" si="9"/>
        <v>628488.16630096966</v>
      </c>
      <c r="J47" s="303">
        <f t="shared" si="10"/>
        <v>2.2131595762394873E-2</v>
      </c>
      <c r="K47" s="119">
        <f t="shared" si="3"/>
        <v>0.15110292692034147</v>
      </c>
      <c r="L47" s="281">
        <f t="shared" si="4"/>
        <v>94966.401462874841</v>
      </c>
      <c r="N47" s="279"/>
      <c r="O47" s="279"/>
      <c r="P47" s="279"/>
      <c r="Q47" s="279"/>
      <c r="R47" s="279"/>
      <c r="S47" s="279"/>
      <c r="T47" s="279"/>
      <c r="U47" s="279"/>
    </row>
    <row r="48" spans="1:21">
      <c r="A48" s="306" t="str">
        <f t="shared" si="0"/>
        <v>I</v>
      </c>
      <c r="B48" s="117">
        <v>28</v>
      </c>
      <c r="C48" s="281">
        <f t="shared" si="5"/>
        <v>14917647.303171566</v>
      </c>
      <c r="D48" s="303">
        <f t="shared" si="1"/>
        <v>0.02</v>
      </c>
      <c r="E48" s="303">
        <f t="shared" si="6"/>
        <v>0.88</v>
      </c>
      <c r="F48" s="281">
        <f t="shared" si="7"/>
        <v>-860924.28278356371</v>
      </c>
      <c r="G48" s="281">
        <f t="shared" si="8"/>
        <v>850709.83824135736</v>
      </c>
      <c r="H48" s="303">
        <f t="shared" si="2"/>
        <v>0</v>
      </c>
      <c r="I48" s="281">
        <f t="shared" si="9"/>
        <v>642368.60500142863</v>
      </c>
      <c r="J48" s="303">
        <f t="shared" si="10"/>
        <v>2.2085441611659373E-2</v>
      </c>
      <c r="K48" s="119">
        <f t="shared" si="3"/>
        <v>0.14088850994903634</v>
      </c>
      <c r="L48" s="281">
        <f t="shared" si="4"/>
        <v>90502.355596692374</v>
      </c>
      <c r="N48" s="279"/>
      <c r="O48" s="279"/>
      <c r="P48" s="279"/>
      <c r="Q48" s="279"/>
      <c r="R48" s="279"/>
      <c r="S48" s="279"/>
      <c r="T48" s="279"/>
      <c r="U48" s="279"/>
    </row>
    <row r="49" spans="1:21">
      <c r="A49" s="306" t="str">
        <f t="shared" si="0"/>
        <v>I</v>
      </c>
      <c r="B49" s="117">
        <v>29</v>
      </c>
      <c r="C49" s="281">
        <f t="shared" si="5"/>
        <v>15216000.249234997</v>
      </c>
      <c r="D49" s="303">
        <f t="shared" si="1"/>
        <v>0.02</v>
      </c>
      <c r="E49" s="303">
        <f t="shared" si="6"/>
        <v>0.88</v>
      </c>
      <c r="F49" s="281">
        <f t="shared" si="7"/>
        <v>-878142.76843923505</v>
      </c>
      <c r="G49" s="281">
        <f t="shared" si="8"/>
        <v>869293.70611329784</v>
      </c>
      <c r="H49" s="303">
        <f t="shared" si="2"/>
        <v>0</v>
      </c>
      <c r="I49" s="281">
        <f t="shared" si="9"/>
        <v>656526.65247589687</v>
      </c>
      <c r="J49" s="303">
        <f t="shared" si="10"/>
        <v>2.204037894167743E-2</v>
      </c>
      <c r="K49" s="119">
        <f t="shared" si="3"/>
        <v>0.1313645780410595</v>
      </c>
      <c r="L49" s="281">
        <f t="shared" si="4"/>
        <v>86244.34667520551</v>
      </c>
      <c r="N49" s="279"/>
      <c r="O49" s="279"/>
      <c r="P49" s="279"/>
      <c r="Q49" s="279"/>
      <c r="R49" s="279"/>
      <c r="S49" s="279"/>
      <c r="T49" s="279"/>
      <c r="U49" s="279"/>
    </row>
    <row r="50" spans="1:21">
      <c r="A50" s="306" t="str">
        <f t="shared" si="0"/>
        <v>I</v>
      </c>
      <c r="B50" s="117">
        <v>30</v>
      </c>
      <c r="C50" s="281">
        <f t="shared" si="5"/>
        <v>15520320.254219698</v>
      </c>
      <c r="D50" s="303">
        <f t="shared" si="1"/>
        <v>0.02</v>
      </c>
      <c r="E50" s="303">
        <f t="shared" si="6"/>
        <v>0.88</v>
      </c>
      <c r="F50" s="281">
        <f t="shared" si="7"/>
        <v>-895705.62380801979</v>
      </c>
      <c r="G50" s="281">
        <f t="shared" si="8"/>
        <v>888249.25134267728</v>
      </c>
      <c r="H50" s="303">
        <f t="shared" si="2"/>
        <v>0</v>
      </c>
      <c r="I50" s="281">
        <f t="shared" si="9"/>
        <v>670967.86089985457</v>
      </c>
      <c r="J50" s="303">
        <f t="shared" si="10"/>
        <v>2.1996378013743989E-2</v>
      </c>
      <c r="K50" s="119">
        <f t="shared" si="3"/>
        <v>0.12248445504993893</v>
      </c>
      <c r="L50" s="281">
        <f t="shared" si="4"/>
        <v>82183.132798341918</v>
      </c>
      <c r="N50" s="279"/>
      <c r="O50" s="279"/>
      <c r="P50" s="279"/>
      <c r="Q50" s="279"/>
      <c r="R50" s="279"/>
      <c r="S50" s="279"/>
      <c r="T50" s="279"/>
      <c r="U50" s="279"/>
    </row>
    <row r="51" spans="1:21">
      <c r="A51" s="319" t="s">
        <v>420</v>
      </c>
      <c r="B51" s="320">
        <f>C15+1</f>
        <v>31</v>
      </c>
      <c r="C51" s="281">
        <f>VLOOKUP(C15,B21:C50,2,FALSE)*(1+Terminal_Growth)</f>
        <v>15520320.254219698</v>
      </c>
      <c r="D51" s="305">
        <f>Terminal_Growth</f>
        <v>0</v>
      </c>
      <c r="E51" s="305">
        <f>F17</f>
        <v>0.88</v>
      </c>
      <c r="F51" s="281">
        <f>VLOOKUP(C15,B21:F50,5,FALSE)*(1+Terminal_Growth)</f>
        <v>-895705.62380801979</v>
      </c>
      <c r="G51" s="281">
        <f>C51*(1-E51)+F51+$I$6</f>
        <v>888249.25134267728</v>
      </c>
      <c r="H51" s="303">
        <f>F18</f>
        <v>0</v>
      </c>
      <c r="I51" s="281">
        <f>(G51*(1-$I$10)+C51*(H51-$I$9))/Equity_Cost</f>
        <v>9254729.1158600636</v>
      </c>
      <c r="J51" s="419">
        <f>(G51*(1-$I$10)+C51*(H51-$I$9))/VLOOKUP(C15,B21:I50,8,FALSE)-1</f>
        <v>0</v>
      </c>
      <c r="K51" s="119">
        <f>1/(1+Equity_Cost)^C15</f>
        <v>0.12248445504993893</v>
      </c>
      <c r="L51" s="281">
        <f>I51*K51</f>
        <v>1133560.4523909232</v>
      </c>
    </row>
    <row r="52" spans="1:21" ht="13.15">
      <c r="G52" s="111"/>
      <c r="H52" s="111"/>
      <c r="I52" s="111"/>
      <c r="J52" s="464" t="s">
        <v>423</v>
      </c>
      <c r="K52" s="464"/>
      <c r="L52" s="321">
        <f>SUM(L21:L51)</f>
        <v>6487389.0748702856</v>
      </c>
    </row>
    <row r="53" spans="1:21">
      <c r="C53" s="111"/>
    </row>
    <row r="54" spans="1:21" ht="13.15">
      <c r="B54" s="115" t="s">
        <v>108</v>
      </c>
      <c r="C54" s="128"/>
      <c r="D54" s="128"/>
      <c r="E54" s="113"/>
      <c r="F54" s="113"/>
      <c r="G54" s="113"/>
      <c r="H54" s="113"/>
      <c r="I54" s="113"/>
      <c r="J54" s="113"/>
      <c r="K54" s="113"/>
      <c r="L54" s="113"/>
    </row>
    <row r="55" spans="1:21" ht="13.15">
      <c r="A55" s="125">
        <f>L52</f>
        <v>6487389.0748702856</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4704377.1128068855</v>
      </c>
      <c r="C56" s="118">
        <v>4760460.0244483305</v>
      </c>
      <c r="D56" s="118">
        <v>4816542.9360897783</v>
      </c>
      <c r="E56" s="118">
        <v>4872625.8477312233</v>
      </c>
      <c r="F56" s="118">
        <v>4928708.7593726683</v>
      </c>
      <c r="G56" s="299"/>
      <c r="H56" s="299"/>
      <c r="I56" s="299"/>
      <c r="J56" s="299"/>
      <c r="K56" s="299"/>
      <c r="L56" s="299"/>
    </row>
    <row r="57" spans="1:21" ht="13.15">
      <c r="A57" s="131">
        <v>2</v>
      </c>
      <c r="B57" s="118">
        <v>4704377.1128068855</v>
      </c>
      <c r="C57" s="118">
        <v>4813274.7011456359</v>
      </c>
      <c r="D57" s="118">
        <v>4923218.1246665129</v>
      </c>
      <c r="E57" s="118">
        <v>5034207.3833695147</v>
      </c>
      <c r="F57" s="118">
        <v>5146242.4772546375</v>
      </c>
      <c r="G57" s="299"/>
      <c r="H57" s="299"/>
      <c r="I57" s="299"/>
      <c r="J57" s="299"/>
      <c r="K57" s="299"/>
      <c r="L57" s="299"/>
    </row>
    <row r="58" spans="1:21" ht="13.15">
      <c r="A58" s="131">
        <v>3</v>
      </c>
      <c r="B58" s="118">
        <v>4704377.1128068864</v>
      </c>
      <c r="C58" s="118">
        <v>4863011.5994806308</v>
      </c>
      <c r="D58" s="118">
        <v>5024671.4508653665</v>
      </c>
      <c r="E58" s="118">
        <v>5189385.9210920688</v>
      </c>
      <c r="F58" s="118">
        <v>5357184.2642917018</v>
      </c>
      <c r="G58" s="299"/>
      <c r="H58" s="299"/>
      <c r="I58" s="299"/>
      <c r="J58" s="299"/>
      <c r="K58" s="299"/>
      <c r="L58" s="299"/>
    </row>
    <row r="59" spans="1:21" ht="13.15">
      <c r="A59" s="131">
        <v>4</v>
      </c>
      <c r="B59" s="118">
        <v>4704377.1128068846</v>
      </c>
      <c r="C59" s="118">
        <v>4909850.0771667287</v>
      </c>
      <c r="D59" s="118">
        <v>5121158.5303272158</v>
      </c>
      <c r="E59" s="118">
        <v>5338415.1927510248</v>
      </c>
      <c r="F59" s="118">
        <v>5561733.8759640045</v>
      </c>
      <c r="G59" s="299"/>
      <c r="H59" s="299"/>
      <c r="I59" s="299"/>
      <c r="J59" s="299"/>
      <c r="K59" s="299"/>
      <c r="L59" s="299"/>
    </row>
    <row r="60" spans="1:21" ht="13.15">
      <c r="A60" s="131">
        <v>5</v>
      </c>
      <c r="B60" s="118">
        <v>4704377.1128068855</v>
      </c>
      <c r="C60" s="118">
        <v>4953959.0398361553</v>
      </c>
      <c r="D60" s="118">
        <v>5212922.4660391808</v>
      </c>
      <c r="E60" s="118">
        <v>5481538.8755563637</v>
      </c>
      <c r="F60" s="118">
        <v>5760085.0145553295</v>
      </c>
      <c r="G60" s="299"/>
      <c r="H60" s="299"/>
      <c r="I60" s="299"/>
      <c r="J60" s="299"/>
      <c r="K60" s="299"/>
      <c r="L60" s="299"/>
    </row>
    <row r="61" spans="1:21" ht="13.15">
      <c r="A61" s="131">
        <v>6</v>
      </c>
      <c r="B61" s="118">
        <v>4704377.1128068855</v>
      </c>
      <c r="C61" s="118">
        <v>4995497.5501355687</v>
      </c>
      <c r="D61" s="118">
        <v>5300194.4608421698</v>
      </c>
      <c r="E61" s="118">
        <v>5618990.9905116074</v>
      </c>
      <c r="F61" s="118">
        <v>5952425.51258328</v>
      </c>
      <c r="G61" s="299"/>
      <c r="H61" s="299"/>
      <c r="I61" s="299"/>
      <c r="J61" s="299"/>
      <c r="K61" s="299"/>
      <c r="L61" s="299"/>
    </row>
    <row r="62" spans="1:21" ht="13.15">
      <c r="A62" s="131">
        <v>7</v>
      </c>
      <c r="B62" s="118">
        <v>4704377.1128068855</v>
      </c>
      <c r="C62" s="118">
        <v>5034615.4013266275</v>
      </c>
      <c r="D62" s="118">
        <v>5383194.3999555018</v>
      </c>
      <c r="E62" s="118">
        <v>5750996.2850607</v>
      </c>
      <c r="F62" s="118">
        <v>6138937.5106709916</v>
      </c>
      <c r="G62" s="299"/>
      <c r="H62" s="299"/>
      <c r="I62" s="299"/>
      <c r="J62" s="299"/>
      <c r="K62" s="299"/>
      <c r="L62" s="299"/>
    </row>
    <row r="63" spans="1:21" ht="13.15">
      <c r="A63" s="131">
        <v>8</v>
      </c>
      <c r="B63" s="118">
        <v>4704377.1128068855</v>
      </c>
      <c r="C63" s="118">
        <v>5071453.6574599277</v>
      </c>
      <c r="D63" s="118">
        <v>5462131.4049863638</v>
      </c>
      <c r="E63" s="118">
        <v>5877770.6005717162</v>
      </c>
      <c r="F63" s="118">
        <v>6319797.6300287694</v>
      </c>
      <c r="G63" s="299"/>
      <c r="H63" s="299"/>
      <c r="I63" s="299"/>
      <c r="J63" s="299"/>
      <c r="K63" s="299"/>
      <c r="L63" s="299"/>
    </row>
    <row r="64" spans="1:21" ht="13.15">
      <c r="A64" s="131">
        <v>9</v>
      </c>
      <c r="B64" s="118">
        <v>4704377.1128068855</v>
      </c>
      <c r="C64" s="118">
        <v>5106145.1620703116</v>
      </c>
      <c r="D64" s="118">
        <v>5537204.3608199097</v>
      </c>
      <c r="E64" s="118">
        <v>5999521.2252582852</v>
      </c>
      <c r="F64" s="118">
        <v>6495177.1397090415</v>
      </c>
      <c r="G64" s="299"/>
      <c r="H64" s="299"/>
      <c r="I64" s="299"/>
      <c r="J64" s="299"/>
      <c r="K64" s="299"/>
      <c r="L64" s="299"/>
    </row>
    <row r="65" spans="1:21" ht="13.15">
      <c r="A65" s="131">
        <v>10</v>
      </c>
      <c r="B65" s="118">
        <v>4704377.1128068855</v>
      </c>
      <c r="C65" s="118">
        <v>5138815.0172278732</v>
      </c>
      <c r="D65" s="118">
        <v>5608602.4167175479</v>
      </c>
      <c r="E65" s="118">
        <v>6116447.233115783</v>
      </c>
      <c r="F65" s="118">
        <v>6665242.1187929399</v>
      </c>
      <c r="G65" s="299"/>
      <c r="H65" s="299"/>
      <c r="I65" s="299"/>
      <c r="J65" s="299"/>
      <c r="K65" s="299"/>
      <c r="L65" s="299"/>
    </row>
    <row r="66" spans="1:21" ht="13.15">
      <c r="A66" s="131">
        <v>15</v>
      </c>
      <c r="B66" s="118">
        <v>4704377.1128068855</v>
      </c>
      <c r="C66" s="281">
        <v>5275730.9100739127</v>
      </c>
      <c r="D66" s="118">
        <v>5916466.0563589875</v>
      </c>
      <c r="E66" s="118">
        <v>6635140.5628965255</v>
      </c>
      <c r="F66" s="118">
        <v>7441317.946202103</v>
      </c>
      <c r="G66" s="299"/>
      <c r="H66" s="299"/>
      <c r="I66" s="299"/>
      <c r="J66" s="299"/>
      <c r="K66" s="299"/>
      <c r="L66" s="299"/>
      <c r="M66" s="279"/>
      <c r="N66" s="279"/>
      <c r="O66" s="279"/>
      <c r="P66" s="279"/>
      <c r="Q66" s="279"/>
      <c r="R66" s="279"/>
      <c r="S66" s="279"/>
      <c r="T66" s="279"/>
      <c r="U66" s="279"/>
    </row>
    <row r="67" spans="1:21" ht="13.15">
      <c r="A67" s="132">
        <v>20</v>
      </c>
      <c r="B67" s="118">
        <v>4704377.1128068855</v>
      </c>
      <c r="C67" s="281">
        <v>5377139.3794040922</v>
      </c>
      <c r="D67" s="118">
        <v>6156003.137908808</v>
      </c>
      <c r="E67" s="118">
        <v>7058891.1202103924</v>
      </c>
      <c r="F67" s="118">
        <v>8106720.3244954431</v>
      </c>
      <c r="G67" s="299"/>
      <c r="H67" s="299"/>
      <c r="I67" s="299"/>
      <c r="J67" s="299"/>
      <c r="K67" s="299"/>
      <c r="L67" s="299"/>
      <c r="M67" s="279"/>
      <c r="N67" s="279"/>
      <c r="O67" s="279"/>
      <c r="P67" s="279"/>
      <c r="Q67" s="279"/>
      <c r="R67" s="279"/>
      <c r="S67" s="279"/>
      <c r="T67" s="279"/>
      <c r="U67" s="279"/>
    </row>
    <row r="68" spans="1:21" ht="13.15">
      <c r="A68" s="132">
        <v>25</v>
      </c>
      <c r="B68" s="118">
        <v>4704377.1128068846</v>
      </c>
      <c r="C68" s="281">
        <v>5452248.83118595</v>
      </c>
      <c r="D68" s="118">
        <v>6342377.9027372645</v>
      </c>
      <c r="E68" s="118">
        <v>7405077.4397833021</v>
      </c>
      <c r="F68" s="118">
        <v>8677232.0057013053</v>
      </c>
      <c r="G68" s="299"/>
      <c r="H68" s="299"/>
      <c r="I68" s="299"/>
      <c r="J68" s="299"/>
      <c r="K68" s="299"/>
      <c r="L68" s="299"/>
      <c r="M68" s="279"/>
      <c r="N68" s="279"/>
      <c r="O68" s="279"/>
      <c r="P68" s="279"/>
      <c r="Q68" s="279"/>
      <c r="R68" s="279"/>
      <c r="S68" s="279"/>
      <c r="T68" s="279"/>
      <c r="U68" s="279"/>
    </row>
    <row r="69" spans="1:21" ht="13.15">
      <c r="A69" s="132">
        <v>30</v>
      </c>
      <c r="B69" s="118">
        <v>4704377.1128068846</v>
      </c>
      <c r="C69" s="281">
        <v>5507879.5865285154</v>
      </c>
      <c r="D69" s="118">
        <v>6487389.0748702856</v>
      </c>
      <c r="E69" s="118">
        <v>7687897.0509694852</v>
      </c>
      <c r="F69" s="118">
        <v>9166385.0189910345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5.1694431034646833</v>
      </c>
      <c r="C73" s="119">
        <f>C11</f>
        <v>5.1694431034646833</v>
      </c>
      <c r="D73" s="119">
        <f>C11</f>
        <v>5.1694431034646833</v>
      </c>
      <c r="E73" s="119">
        <f>C11</f>
        <v>5.1694431034646833</v>
      </c>
      <c r="F73" s="119">
        <f>C11</f>
        <v>5.1694431034646833</v>
      </c>
      <c r="G73" s="300"/>
      <c r="H73" s="300"/>
      <c r="I73" s="300"/>
      <c r="J73" s="300"/>
      <c r="K73" s="300"/>
      <c r="L73" s="300"/>
    </row>
    <row r="74" spans="1:21" ht="13.15">
      <c r="A74" s="131">
        <v>1</v>
      </c>
      <c r="B74" s="119">
        <f t="shared" ref="B74:F87" si="11">(B56+FV_adjustments)/Common_Shares*scaling_factor*Exchange_Rate</f>
        <v>5.1694431034646824</v>
      </c>
      <c r="C74" s="119">
        <f t="shared" si="11"/>
        <v>5.2661371063518043</v>
      </c>
      <c r="D74" s="119">
        <f t="shared" si="11"/>
        <v>5.3628311092389334</v>
      </c>
      <c r="E74" s="119">
        <f t="shared" si="11"/>
        <v>5.4595251121260553</v>
      </c>
      <c r="F74" s="119">
        <f t="shared" si="11"/>
        <v>5.556219115013179</v>
      </c>
      <c r="G74" s="300"/>
      <c r="H74" s="300"/>
      <c r="I74" s="300"/>
      <c r="J74" s="300"/>
      <c r="K74" s="300"/>
      <c r="L74" s="300"/>
    </row>
    <row r="75" spans="1:21" ht="13.15">
      <c r="A75" s="131">
        <v>2</v>
      </c>
      <c r="B75" s="119">
        <f t="shared" si="11"/>
        <v>5.1694431034646824</v>
      </c>
      <c r="C75" s="119">
        <f t="shared" si="11"/>
        <v>5.357196260585833</v>
      </c>
      <c r="D75" s="119">
        <f t="shared" si="11"/>
        <v>5.546752569275978</v>
      </c>
      <c r="E75" s="119">
        <f t="shared" si="11"/>
        <v>5.738112029535114</v>
      </c>
      <c r="F75" s="119">
        <f t="shared" si="11"/>
        <v>5.9312746413632329</v>
      </c>
      <c r="G75" s="300"/>
      <c r="H75" s="300"/>
      <c r="I75" s="300"/>
      <c r="J75" s="300"/>
      <c r="K75" s="300"/>
      <c r="L75" s="300"/>
    </row>
    <row r="76" spans="1:21" ht="13.15">
      <c r="A76" s="131">
        <v>3</v>
      </c>
      <c r="B76" s="119">
        <f t="shared" si="11"/>
        <v>5.1694431034646842</v>
      </c>
      <c r="C76" s="119">
        <f t="shared" si="11"/>
        <v>5.4429489373004021</v>
      </c>
      <c r="D76" s="119">
        <f t="shared" si="11"/>
        <v>5.7216708809196035</v>
      </c>
      <c r="E76" s="119">
        <f t="shared" si="11"/>
        <v>6.0056593721284264</v>
      </c>
      <c r="F76" s="119">
        <f t="shared" si="11"/>
        <v>6.2949648487329881</v>
      </c>
      <c r="G76" s="300"/>
      <c r="H76" s="300"/>
      <c r="I76" s="300"/>
      <c r="J76" s="300"/>
      <c r="K76" s="300"/>
      <c r="L76" s="300"/>
    </row>
    <row r="77" spans="1:21" ht="13.15">
      <c r="A77" s="131">
        <v>4</v>
      </c>
      <c r="B77" s="119">
        <f t="shared" si="11"/>
        <v>5.1694431034646806</v>
      </c>
      <c r="C77" s="119">
        <f t="shared" si="11"/>
        <v>5.5237043717821788</v>
      </c>
      <c r="D77" s="119">
        <f t="shared" si="11"/>
        <v>5.8880267577275314</v>
      </c>
      <c r="E77" s="119">
        <f t="shared" si="11"/>
        <v>6.2626046055746851</v>
      </c>
      <c r="F77" s="119">
        <f t="shared" si="11"/>
        <v>6.6476341407278987</v>
      </c>
      <c r="G77" s="300"/>
      <c r="H77" s="300"/>
      <c r="I77" s="300"/>
      <c r="J77" s="300"/>
      <c r="K77" s="300"/>
      <c r="L77" s="300"/>
    </row>
    <row r="78" spans="1:21" ht="13.15">
      <c r="A78" s="131">
        <v>5</v>
      </c>
      <c r="B78" s="119">
        <f t="shared" si="11"/>
        <v>5.1694431034646824</v>
      </c>
      <c r="C78" s="119">
        <f t="shared" si="11"/>
        <v>5.5997537786135041</v>
      </c>
      <c r="D78" s="119">
        <f t="shared" si="11"/>
        <v>6.0462393398665331</v>
      </c>
      <c r="E78" s="119">
        <f t="shared" si="11"/>
        <v>6.5093678600731897</v>
      </c>
      <c r="F78" s="119">
        <f t="shared" si="11"/>
        <v>6.9896164844805417</v>
      </c>
      <c r="G78" s="300"/>
      <c r="H78" s="300"/>
      <c r="I78" s="300"/>
      <c r="J78" s="300"/>
      <c r="K78" s="300"/>
      <c r="L78" s="300"/>
    </row>
    <row r="79" spans="1:21" ht="13.15">
      <c r="A79" s="131">
        <v>6</v>
      </c>
      <c r="B79" s="119">
        <f t="shared" si="11"/>
        <v>5.1694431034646824</v>
      </c>
      <c r="C79" s="119">
        <f t="shared" si="11"/>
        <v>5.6713714018299513</v>
      </c>
      <c r="D79" s="119">
        <f t="shared" si="11"/>
        <v>6.1967072501525804</v>
      </c>
      <c r="E79" s="119">
        <f t="shared" si="11"/>
        <v>6.7463526173071857</v>
      </c>
      <c r="F79" s="119">
        <f t="shared" si="11"/>
        <v>7.3212357269073438</v>
      </c>
      <c r="G79" s="300"/>
      <c r="H79" s="300"/>
      <c r="I79" s="300"/>
      <c r="J79" s="300"/>
      <c r="K79" s="300"/>
      <c r="L79" s="300"/>
    </row>
    <row r="80" spans="1:21" ht="13.15">
      <c r="A80" s="131">
        <f t="shared" ref="A80" si="12">A62</f>
        <v>7</v>
      </c>
      <c r="B80" s="119">
        <f t="shared" si="11"/>
        <v>5.1694431034646824</v>
      </c>
      <c r="C80" s="119">
        <f t="shared" si="11"/>
        <v>5.7388155038799429</v>
      </c>
      <c r="D80" s="119">
        <f t="shared" si="11"/>
        <v>6.339809598396652</v>
      </c>
      <c r="E80" s="119">
        <f t="shared" si="11"/>
        <v>6.973946370175268</v>
      </c>
      <c r="F80" s="119">
        <f t="shared" si="11"/>
        <v>7.6428059013818235</v>
      </c>
      <c r="G80" s="300"/>
      <c r="H80" s="300"/>
      <c r="I80" s="300"/>
      <c r="J80" s="300"/>
      <c r="K80" s="300"/>
      <c r="L80" s="300"/>
    </row>
    <row r="81" spans="1:12" ht="13.15">
      <c r="A81" s="131">
        <v>8</v>
      </c>
      <c r="B81" s="119">
        <f t="shared" si="11"/>
        <v>5.1694431034646824</v>
      </c>
      <c r="C81" s="119">
        <f t="shared" si="11"/>
        <v>5.8023292969526548</v>
      </c>
      <c r="D81" s="119">
        <f t="shared" si="11"/>
        <v>6.4759069365868189</v>
      </c>
      <c r="E81" s="119">
        <f t="shared" si="11"/>
        <v>7.1925212563795782</v>
      </c>
      <c r="F81" s="119">
        <f t="shared" si="11"/>
        <v>7.954631525114646</v>
      </c>
      <c r="G81" s="300"/>
      <c r="H81" s="300"/>
      <c r="I81" s="300"/>
      <c r="J81" s="300"/>
      <c r="K81" s="300"/>
      <c r="L81" s="300"/>
    </row>
    <row r="82" spans="1:12" ht="13.15">
      <c r="A82" s="131">
        <f t="shared" ref="A82" si="13">A64</f>
        <v>9</v>
      </c>
      <c r="B82" s="119">
        <f t="shared" si="11"/>
        <v>5.1694431034646824</v>
      </c>
      <c r="C82" s="119">
        <f t="shared" si="11"/>
        <v>5.8621418200327895</v>
      </c>
      <c r="D82" s="119">
        <f t="shared" si="11"/>
        <v>6.6053421673131298</v>
      </c>
      <c r="E82" s="119">
        <f t="shared" si="11"/>
        <v>7.4024346669067933</v>
      </c>
      <c r="F82" s="119">
        <f t="shared" si="11"/>
        <v>8.2570078875222368</v>
      </c>
      <c r="G82" s="300"/>
      <c r="H82" s="300"/>
      <c r="I82" s="300"/>
      <c r="J82" s="300"/>
      <c r="K82" s="300"/>
      <c r="L82" s="300"/>
    </row>
    <row r="83" spans="1:12" ht="13.15">
      <c r="A83" s="131">
        <f t="shared" ref="A83:A87" si="14">A65</f>
        <v>10</v>
      </c>
      <c r="B83" s="119">
        <f t="shared" si="11"/>
        <v>5.1694431034646824</v>
      </c>
      <c r="C83" s="119">
        <f t="shared" si="11"/>
        <v>5.9184687648448469</v>
      </c>
      <c r="D83" s="119">
        <f t="shared" si="11"/>
        <v>6.7284414077241665</v>
      </c>
      <c r="E83" s="119">
        <f t="shared" si="11"/>
        <v>7.604029830396799</v>
      </c>
      <c r="F83" s="119">
        <f t="shared" si="11"/>
        <v>8.5502213298568677</v>
      </c>
      <c r="G83" s="300"/>
      <c r="H83" s="300"/>
      <c r="I83" s="300"/>
      <c r="J83" s="300"/>
      <c r="K83" s="300"/>
      <c r="L83" s="300"/>
    </row>
    <row r="84" spans="1:12" ht="13.15">
      <c r="A84" s="131">
        <f t="shared" si="14"/>
        <v>15</v>
      </c>
      <c r="B84" s="119">
        <f t="shared" si="11"/>
        <v>5.1694431034646824</v>
      </c>
      <c r="C84" s="119">
        <f t="shared" si="11"/>
        <v>6.1545290076294679</v>
      </c>
      <c r="D84" s="119">
        <f t="shared" si="11"/>
        <v>7.2592370955559442</v>
      </c>
      <c r="E84" s="119">
        <f t="shared" si="11"/>
        <v>8.498322456428836</v>
      </c>
      <c r="F84" s="119">
        <f t="shared" si="11"/>
        <v>9.8882737971733548</v>
      </c>
      <c r="G84" s="300"/>
      <c r="H84" s="300"/>
      <c r="I84" s="300"/>
      <c r="J84" s="300"/>
      <c r="K84" s="300"/>
      <c r="L84" s="300"/>
    </row>
    <row r="85" spans="1:12" ht="13.15">
      <c r="A85" s="132">
        <f t="shared" si="14"/>
        <v>20</v>
      </c>
      <c r="B85" s="119">
        <f t="shared" si="11"/>
        <v>5.1694431034646824</v>
      </c>
      <c r="C85" s="119">
        <f t="shared" si="11"/>
        <v>6.3293699803821166</v>
      </c>
      <c r="D85" s="119">
        <f t="shared" si="11"/>
        <v>7.6722291920261085</v>
      </c>
      <c r="E85" s="119">
        <f t="shared" si="11"/>
        <v>9.2289217854060315</v>
      </c>
      <c r="F85" s="119">
        <f t="shared" si="11"/>
        <v>11.035511299732823</v>
      </c>
      <c r="G85" s="300"/>
      <c r="H85" s="300"/>
      <c r="I85" s="300"/>
      <c r="J85" s="300"/>
      <c r="K85" s="300"/>
      <c r="L85" s="300"/>
    </row>
    <row r="86" spans="1:12" ht="13.15">
      <c r="A86" s="132">
        <f t="shared" si="14"/>
        <v>25</v>
      </c>
      <c r="B86" s="119">
        <f t="shared" si="11"/>
        <v>5.1694431034646806</v>
      </c>
      <c r="C86" s="119">
        <f t="shared" si="11"/>
        <v>6.4588681347197054</v>
      </c>
      <c r="D86" s="119">
        <f t="shared" si="11"/>
        <v>7.9935627590781433</v>
      </c>
      <c r="E86" s="119">
        <f t="shared" si="11"/>
        <v>9.8257905998904818</v>
      </c>
      <c r="F86" s="119">
        <f t="shared" si="11"/>
        <v>12.019145289750032</v>
      </c>
      <c r="G86" s="300"/>
      <c r="H86" s="300"/>
      <c r="I86" s="300"/>
      <c r="J86" s="300"/>
      <c r="K86" s="300"/>
      <c r="L86" s="300"/>
    </row>
    <row r="87" spans="1:12" ht="13.15">
      <c r="A87" s="132">
        <f t="shared" si="14"/>
        <v>30</v>
      </c>
      <c r="B87" s="119">
        <f t="shared" si="11"/>
        <v>5.1694431034646806</v>
      </c>
      <c r="C87" s="119">
        <f t="shared" si="11"/>
        <v>6.5547825632019041</v>
      </c>
      <c r="D87" s="119">
        <f t="shared" si="11"/>
        <v>8.2435802828925357</v>
      </c>
      <c r="E87" s="119">
        <f t="shared" si="11"/>
        <v>10.313407228559997</v>
      </c>
      <c r="F87" s="119">
        <f t="shared" si="11"/>
        <v>12.862506689772795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30</v>
      </c>
      <c r="E90" s="127">
        <f>INDEX(B$73:F$87, MATCH(D90, A$73:A$87, 0), MATCH(C90, B$72:F$72, 0))</f>
        <v>12.862506689772795</v>
      </c>
      <c r="F90" s="130">
        <f>Scenarios!F29</f>
        <v>0.05</v>
      </c>
      <c r="G90" s="301"/>
      <c r="H90" s="301"/>
      <c r="I90" s="301"/>
      <c r="J90" s="301"/>
      <c r="K90" s="301"/>
      <c r="L90" s="301"/>
    </row>
    <row r="91" spans="1:12">
      <c r="B91" s="120" t="str">
        <f>Scenarios!B22</f>
        <v>Optimistic</v>
      </c>
      <c r="C91" s="130">
        <f>Scenarios!C22</f>
        <v>0.03</v>
      </c>
      <c r="D91" s="133">
        <f>Scenarios!D22</f>
        <v>30</v>
      </c>
      <c r="E91" s="127">
        <f>INDEX(B$73:F$87, MATCH(D91, A$73:A$87, 0), MATCH(C91, B$72:F$72, 0))</f>
        <v>10.313407228559997</v>
      </c>
      <c r="F91" s="130">
        <f>Scenarios!F22*(1-F$90-F$94)</f>
        <v>0.18</v>
      </c>
      <c r="G91" s="301"/>
      <c r="H91" s="301"/>
      <c r="I91" s="301"/>
      <c r="J91" s="301"/>
      <c r="K91" s="301"/>
      <c r="L91" s="301"/>
    </row>
    <row r="92" spans="1:12">
      <c r="B92" s="120" t="str">
        <f>Scenarios!B23</f>
        <v>Base</v>
      </c>
      <c r="C92" s="130">
        <f>Scenarios!C23</f>
        <v>0.02</v>
      </c>
      <c r="D92" s="133">
        <f>Scenarios!D23</f>
        <v>30</v>
      </c>
      <c r="E92" s="127">
        <f>INDEX(B$73:F$87, MATCH(D92, A$73:A$87, 0), MATCH(C92, B$72:F$72, 0))</f>
        <v>8.2435802828925357</v>
      </c>
      <c r="F92" s="130">
        <f>Scenarios!F23*(1-F$90-F$94)</f>
        <v>0.53999999999999992</v>
      </c>
      <c r="G92" s="301"/>
      <c r="H92" s="301"/>
      <c r="I92" s="301"/>
      <c r="J92" s="301"/>
      <c r="K92" s="301"/>
      <c r="L92" s="301"/>
    </row>
    <row r="93" spans="1:12">
      <c r="B93" s="120" t="str">
        <f>Scenarios!B24</f>
        <v>Pessimistic</v>
      </c>
      <c r="C93" s="130">
        <f>Scenarios!C24</f>
        <v>0.01</v>
      </c>
      <c r="D93" s="133">
        <f>Scenarios!D24</f>
        <v>30</v>
      </c>
      <c r="E93" s="127">
        <f>INDEX(B$73:F$87, MATCH(D93, A$73:A$87, 0), MATCH(C93, B$72:F$72, 0))</f>
        <v>6.5547825632019041</v>
      </c>
      <c r="F93" s="130">
        <f>Scenarios!F24*(1-F$90-F$94)</f>
        <v>0.18</v>
      </c>
      <c r="G93" s="301"/>
      <c r="H93" s="301"/>
      <c r="I93" s="301"/>
      <c r="J93" s="301"/>
      <c r="K93" s="301"/>
      <c r="L93" s="301"/>
    </row>
    <row r="94" spans="1:12">
      <c r="B94" s="120" t="str">
        <f>Scenarios!B30</f>
        <v>Devil's advocate</v>
      </c>
      <c r="C94" s="130">
        <f>Scenarios!C30</f>
        <v>0</v>
      </c>
      <c r="D94" s="133">
        <f>Scenarios!D30</f>
        <v>30</v>
      </c>
      <c r="E94" s="127">
        <f>INDEX(B$73:F$87, MATCH(D94, A$73:A$87, 0), MATCH(C94, B$72:F$72, 0))</f>
        <v>5.1694431034646806</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C42" sqref="C4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289869.92812368623</v>
      </c>
      <c r="D8" s="465"/>
      <c r="E8" s="465"/>
      <c r="F8" s="465"/>
      <c r="G8" s="465"/>
    </row>
    <row r="9" spans="2:7">
      <c r="B9" s="97" t="s">
        <v>54</v>
      </c>
      <c r="C9" s="452">
        <f>Normalized_FCF!C19</f>
        <v>341067.34067849925</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0.62600273988199584</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0.03</v>
      </c>
      <c r="D22" s="329">
        <f>C18</f>
        <v>30</v>
      </c>
      <c r="E22" s="330">
        <f>DCF!E91</f>
        <v>10.313407228559997</v>
      </c>
      <c r="F22" s="332">
        <f>1-F23-F24</f>
        <v>0.2</v>
      </c>
      <c r="G22" s="332">
        <f>F22*(1-F$29-F$30)</f>
        <v>0.18</v>
      </c>
    </row>
    <row r="23" spans="2:7">
      <c r="B23" s="306" t="s">
        <v>440</v>
      </c>
      <c r="C23" s="328">
        <v>0.02</v>
      </c>
      <c r="D23" s="329">
        <f>C18</f>
        <v>30</v>
      </c>
      <c r="E23" s="330">
        <f>DCF!E92</f>
        <v>8.2435802828925357</v>
      </c>
      <c r="F23" s="331">
        <v>0.6</v>
      </c>
      <c r="G23" s="332">
        <f t="shared" ref="G23:G24" si="0">F23*(1-F$29-F$30)</f>
        <v>0.53999999999999992</v>
      </c>
    </row>
    <row r="24" spans="2:7">
      <c r="B24" s="306" t="s">
        <v>449</v>
      </c>
      <c r="C24" s="328">
        <v>0.01</v>
      </c>
      <c r="D24" s="329">
        <f>C18</f>
        <v>30</v>
      </c>
      <c r="E24" s="330">
        <f>DCF!E93</f>
        <v>6.5547825632019041</v>
      </c>
      <c r="F24" s="331">
        <v>0.2</v>
      </c>
      <c r="G24" s="332">
        <f t="shared" si="0"/>
        <v>0.18</v>
      </c>
    </row>
    <row r="25" spans="2:7">
      <c r="B25" s="141" t="s">
        <v>454</v>
      </c>
      <c r="C25" s="446">
        <f>E23*F23+E24*F24+E22*F22</f>
        <v>8.3197861280879017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30</v>
      </c>
      <c r="E29" s="330">
        <f>DCF!E90</f>
        <v>12.862506689772795</v>
      </c>
      <c r="F29" s="331">
        <v>0.05</v>
      </c>
      <c r="G29" s="332">
        <f>F29</f>
        <v>0.05</v>
      </c>
    </row>
    <row r="30" spans="2:7">
      <c r="B30" s="319" t="s">
        <v>450</v>
      </c>
      <c r="C30" s="328">
        <v>0</v>
      </c>
      <c r="D30" s="329">
        <f>C18</f>
        <v>30</v>
      </c>
      <c r="E30" s="330">
        <f>DCF!E94</f>
        <v>5.1694431034646806</v>
      </c>
      <c r="F30" s="331">
        <v>0.05</v>
      </c>
      <c r="G30" s="332">
        <f>F30</f>
        <v>0.05</v>
      </c>
    </row>
    <row r="31" spans="2:7">
      <c r="E31" s="333"/>
      <c r="F31" s="333"/>
    </row>
    <row r="32" spans="2:7" ht="13.15">
      <c r="B32" s="145" t="s">
        <v>459</v>
      </c>
    </row>
    <row r="33" spans="2:7">
      <c r="B33" s="97" t="s">
        <v>461</v>
      </c>
      <c r="C33" s="155">
        <f>Normalized_FCF!C88*(1-dividend_tax_rate)</f>
        <v>0.4</v>
      </c>
      <c r="D33" t="str">
        <f>Market_currency</f>
        <v>HKD</v>
      </c>
      <c r="E33" s="97" t="s">
        <v>458</v>
      </c>
      <c r="F33" s="219">
        <f>Holding_Period</f>
        <v>3</v>
      </c>
    </row>
    <row r="34" spans="2:7">
      <c r="B34" s="97" t="s">
        <v>233</v>
      </c>
      <c r="C34" s="146">
        <f>Market_Price</f>
        <v>5.71</v>
      </c>
      <c r="D34" t="str">
        <f>Market_currency</f>
        <v>HKD</v>
      </c>
      <c r="E34" s="97" t="s">
        <v>457</v>
      </c>
      <c r="F34" s="334">
        <f>RATE(Holding_Period,$C$33,-C34,$C$36)</f>
        <v>0.19907787595736612</v>
      </c>
    </row>
    <row r="35" spans="2:7">
      <c r="B35" s="97" t="s">
        <v>437</v>
      </c>
      <c r="C35" s="324">
        <f>DCF!C11</f>
        <v>5.1694431034646833</v>
      </c>
      <c r="D35" s="97" t="str">
        <f>Market_currency</f>
        <v>HKD</v>
      </c>
      <c r="E35" s="97" t="s">
        <v>457</v>
      </c>
      <c r="F35" s="334">
        <f>RATE(Holding_Period,$C$33,-C35,$C$36)</f>
        <v>0.24196795776686636</v>
      </c>
    </row>
    <row r="36" spans="2:7">
      <c r="B36" s="97" t="s">
        <v>438</v>
      </c>
      <c r="C36" s="325">
        <f>E22*G22+E23*G23+E24*G24+E30*G30+E29*G29</f>
        <v>8.3894050049409827</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v>
      </c>
      <c r="E40" s="97" t="s">
        <v>403</v>
      </c>
    </row>
    <row r="41" spans="2:7">
      <c r="B41" s="97" t="s">
        <v>401</v>
      </c>
      <c r="C41" s="138">
        <f>DCF!C16</f>
        <v>0.02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0.02</v>
      </c>
      <c r="D46" s="138"/>
      <c r="E46" s="221" t="s">
        <v>252</v>
      </c>
    </row>
    <row r="47" spans="2:7">
      <c r="B47" s="97" t="s">
        <v>96</v>
      </c>
      <c r="C47" s="146">
        <f>DCF!I18</f>
        <v>8.2435802828925357</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0.52663364780706778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0.73194063044404789</v>
      </c>
      <c r="D62" s="119">
        <f>C36/(1+F62)^Holding_Period</f>
        <v>3.8660852557331729</v>
      </c>
      <c r="E62" s="336">
        <f>C62+D62</f>
        <v>4.5980258861772203</v>
      </c>
      <c r="F62" s="305">
        <f>Thesis!E22</f>
        <v>0.29465259038036606</v>
      </c>
      <c r="G62" s="445">
        <f>(1-E62/C36)</f>
        <v>0.45192467362474575</v>
      </c>
    </row>
    <row r="63" spans="2:7" ht="13.15">
      <c r="B63" s="306" t="s">
        <v>313</v>
      </c>
      <c r="C63" s="119">
        <f>PV(F63, Holding_Period, -C58, 0)</f>
        <v>0.84160157890763132</v>
      </c>
      <c r="D63" s="119">
        <f>C36/(1+F63)^Holding_Period</f>
        <v>4.8458657068251183</v>
      </c>
      <c r="E63" s="336">
        <f>C63+D63</f>
        <v>5.6874672857327493</v>
      </c>
      <c r="F63" s="305">
        <f>Thesis!E23</f>
        <v>0.20075184365903009</v>
      </c>
      <c r="G63" s="445">
        <f>(1-E63/C36)</f>
        <v>0.32206547634986193</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0.96504125037545974</v>
      </c>
      <c r="D66" s="119">
        <f>C36/(1+F66)^Holding_Period</f>
        <v>6.0131932285018506</v>
      </c>
      <c r="E66" s="336">
        <f>C66+D66</f>
        <v>6.9782344788773099</v>
      </c>
      <c r="F66" s="305">
        <f>Thesis!E24</f>
        <v>0.1174</v>
      </c>
      <c r="G66" s="445">
        <f>(1-E66/C36)</f>
        <v>0.16820865427674037</v>
      </c>
    </row>
    <row r="67" spans="2:7" ht="13.15">
      <c r="B67" s="306" t="s">
        <v>314</v>
      </c>
      <c r="C67" s="119">
        <f>PV(F67, Holding_Period, -C58, 0)</f>
        <v>1.0449500908692064</v>
      </c>
      <c r="D67" s="119">
        <f>C36/(1+F67)^Holding_Period</f>
        <v>6.8004751540328705</v>
      </c>
      <c r="E67" s="336">
        <f>C67+D67</f>
        <v>7.8454252449020769</v>
      </c>
      <c r="F67" s="305">
        <f>Thesis!E25</f>
        <v>7.2499999999999995E-2</v>
      </c>
      <c r="G67" s="445">
        <f>(1-E67/C36)</f>
        <v>6.4841280128748791E-2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10" sqref="D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5.71</v>
      </c>
    </row>
    <row r="9" spans="1:10">
      <c r="B9" s="355" t="s">
        <v>361</v>
      </c>
      <c r="C9" s="357">
        <f>Common_Shares</f>
        <v>580004033</v>
      </c>
    </row>
    <row r="10" spans="1:10">
      <c r="B10" s="355" t="s">
        <v>367</v>
      </c>
      <c r="C10" s="361">
        <f>投资主题!C8*Common_Shares/1000000</f>
        <v>3311.8230284299998</v>
      </c>
      <c r="D10" s="347" t="s">
        <v>532</v>
      </c>
      <c r="E10" s="364">
        <f>Scenarios!F34</f>
        <v>0.19907787595736612</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8.3894050049409827</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45991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4.5980258861772203</v>
      </c>
      <c r="D22" s="369" t="s">
        <v>443</v>
      </c>
      <c r="E22" s="370">
        <f>Thesis!E22</f>
        <v>0.29465259038036606</v>
      </c>
    </row>
    <row r="23" spans="1:6">
      <c r="B23" s="347" t="s">
        <v>341</v>
      </c>
      <c r="C23" s="371">
        <f>E141</f>
        <v>5.6874672857327493</v>
      </c>
      <c r="D23" s="369" t="s">
        <v>444</v>
      </c>
      <c r="E23" s="372">
        <f>Thesis!E23</f>
        <v>0.20075184365903009</v>
      </c>
    </row>
    <row r="24" spans="1:6">
      <c r="B24" s="347" t="s">
        <v>343</v>
      </c>
      <c r="C24" s="371">
        <f>E144</f>
        <v>6.9782344788773099</v>
      </c>
      <c r="D24" s="369" t="s">
        <v>446</v>
      </c>
      <c r="E24" s="372">
        <f>Thesis!E24</f>
        <v>0.1174</v>
      </c>
    </row>
    <row r="25" spans="1:6">
      <c r="B25" s="347" t="s">
        <v>342</v>
      </c>
      <c r="C25" s="371">
        <f>E145</f>
        <v>7.8454252449020769</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533705.04</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6888.8446443333341</v>
      </c>
      <c r="D44" s="347" t="str">
        <f>Reporting_currency</f>
        <v>HKD</v>
      </c>
      <c r="E44" s="375"/>
      <c r="F44" s="375"/>
    </row>
    <row r="45" spans="2:6">
      <c r="B45" s="376" t="s">
        <v>268</v>
      </c>
      <c r="C45" s="380">
        <f>Normalized_FCF!C45</f>
        <v>-85372.400000000009</v>
      </c>
      <c r="D45" s="347" t="str">
        <f>Reporting_currency</f>
        <v>HKD</v>
      </c>
      <c r="E45" s="375"/>
      <c r="F45" s="375"/>
    </row>
    <row r="46" spans="2:6">
      <c r="B46" s="376" t="s">
        <v>203</v>
      </c>
      <c r="C46" s="377">
        <f>Normalized_FCF!C10</f>
        <v>-78483.555355666671</v>
      </c>
      <c r="D46" s="347" t="str">
        <f>Reporting_currency</f>
        <v>HKD</v>
      </c>
    </row>
    <row r="48" spans="2:6">
      <c r="B48" s="347" t="s">
        <v>508</v>
      </c>
    </row>
    <row r="49" spans="2:6">
      <c r="B49" s="376" t="s">
        <v>223</v>
      </c>
      <c r="C49" s="377">
        <f>Normalized_FCF!C13</f>
        <v>-39042.598999519083</v>
      </c>
      <c r="D49" s="347" t="str">
        <f>Reporting_currency</f>
        <v>HKD</v>
      </c>
    </row>
    <row r="51" spans="2:6">
      <c r="B51" s="466" t="s">
        <v>509</v>
      </c>
      <c r="C51" s="466"/>
      <c r="D51" s="466"/>
      <c r="E51" s="466"/>
      <c r="F51" s="466"/>
    </row>
    <row r="52" spans="2:6">
      <c r="B52" s="376" t="s">
        <v>499</v>
      </c>
      <c r="C52" s="377">
        <f>Normalized_FCF!C12</f>
        <v>-75111.544966315007</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289869.92812368623</v>
      </c>
      <c r="D60" s="347" t="str">
        <f>Reporting_currency</f>
        <v>HKD</v>
      </c>
    </row>
    <row r="61" spans="2:6">
      <c r="B61" s="376" t="s">
        <v>213</v>
      </c>
      <c r="C61" s="377">
        <f>Normalized_FCF!C19</f>
        <v>341067.34067849925</v>
      </c>
      <c r="D61" s="347" t="str">
        <f>Reporting_currency</f>
        <v>HKD</v>
      </c>
    </row>
    <row r="62" spans="2:6">
      <c r="B62" s="381" t="s">
        <v>302</v>
      </c>
      <c r="C62" s="382">
        <f>Normalized_FCF!C124</f>
        <v>0.10298477235970709</v>
      </c>
      <c r="F62" s="383"/>
    </row>
    <row r="63" spans="2:6">
      <c r="B63" s="381" t="s">
        <v>332</v>
      </c>
      <c r="C63" s="382">
        <f>Normalized_FCF!C92</f>
        <v>7.0052539404553416E-2</v>
      </c>
      <c r="E63" s="376" t="s">
        <v>373</v>
      </c>
      <c r="F63" s="384">
        <f>Normalized_FCF!C90</f>
        <v>0.68022230665202266</v>
      </c>
    </row>
    <row r="65" spans="1:6">
      <c r="B65" s="373" t="s">
        <v>376</v>
      </c>
      <c r="C65" s="385" t="s">
        <v>327</v>
      </c>
      <c r="D65" s="385" t="s">
        <v>374</v>
      </c>
    </row>
    <row r="66" spans="1:6">
      <c r="B66" s="376" t="s">
        <v>326</v>
      </c>
      <c r="C66" s="382">
        <f>Normalized_FCF!C119</f>
        <v>0.1658525572748466</v>
      </c>
      <c r="D66" s="382">
        <f>Normalized_FCF!G119</f>
        <v>0.11824413281411626</v>
      </c>
    </row>
    <row r="67" spans="1:6">
      <c r="B67" s="386" t="str">
        <f>Normalized_FCF!B116</f>
        <v>Pre-tax Profit/Sales</v>
      </c>
      <c r="C67" s="387">
        <f>Normalized_FCF!C116</f>
        <v>5.3128459724860015E-2</v>
      </c>
      <c r="D67" s="387">
        <f>Normalized_FCF!G116</f>
        <v>3.7877791884180549E-2</v>
      </c>
    </row>
    <row r="68" spans="1:6">
      <c r="B68" s="386" t="str">
        <f>Normalized_FCF!B117</f>
        <v>Sales/Total Assets</v>
      </c>
      <c r="C68" s="388">
        <f>Normalized_FCF!C117</f>
        <v>1.4327738230803833</v>
      </c>
      <c r="D68" s="388">
        <f>Normalized_FCF!G117</f>
        <v>1.4327738230803833</v>
      </c>
    </row>
    <row r="69" spans="1:6">
      <c r="B69" s="386" t="str">
        <f>Normalized_FCF!B118</f>
        <v>Total Assets/Equity</v>
      </c>
      <c r="C69" s="388">
        <f>Normalized_FCF!C118</f>
        <v>2.1787997096988563</v>
      </c>
      <c r="D69" s="388">
        <f>Normalized_FCF!G118</f>
        <v>2.1787997096988563</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-2134310</v>
      </c>
      <c r="D78" s="347" t="str">
        <f>Reporting_currency</f>
        <v>HKD</v>
      </c>
    </row>
    <row r="79" spans="1:6">
      <c r="B79" s="376" t="s">
        <v>234</v>
      </c>
      <c r="C79" s="391">
        <f>C78*scaling_factor*Exchange_Rate/Common_Shares</f>
        <v>-3.679819240153456</v>
      </c>
      <c r="D79" s="347" t="str">
        <f>Market_currency</f>
        <v>HKD</v>
      </c>
    </row>
    <row r="80" spans="1:6">
      <c r="B80" s="386" t="s">
        <v>309</v>
      </c>
      <c r="C80" s="392">
        <f>IF(BS!G31/BS!G27&gt;300%,"nm",BS!G31/BS!G27)</f>
        <v>0.77760119734648436</v>
      </c>
    </row>
    <row r="81" spans="1:6">
      <c r="B81" s="386" t="s">
        <v>311</v>
      </c>
      <c r="C81" s="393">
        <f>IF(BS!C50&gt;30,"nm",BS!C50)</f>
        <v>3.999044116203212</v>
      </c>
    </row>
    <row r="83" spans="1:6">
      <c r="B83" s="347" t="s">
        <v>515</v>
      </c>
    </row>
    <row r="84" spans="1:6">
      <c r="B84" s="347" t="s">
        <v>224</v>
      </c>
      <c r="C84" s="377">
        <f>DCF!F5</f>
        <v>364748.53556666663</v>
      </c>
      <c r="D84" s="347" t="str">
        <f>Reporting_currency</f>
        <v>HKD</v>
      </c>
    </row>
    <row r="85" spans="1:6">
      <c r="B85" s="386" t="s">
        <v>484</v>
      </c>
      <c r="C85" s="394">
        <f>BS!C66</f>
        <v>1053633</v>
      </c>
      <c r="D85" s="395" t="str">
        <f>Reporting_currency</f>
        <v>HKD</v>
      </c>
    </row>
    <row r="86" spans="1:6">
      <c r="B86" s="376" t="s">
        <v>235</v>
      </c>
      <c r="C86" s="391">
        <f>C84*scaling_factor*Exchange_Rate/Common_Shares</f>
        <v>0.62887241262797666</v>
      </c>
      <c r="D86" s="347" t="str">
        <f>Market_currency</f>
        <v>HKD</v>
      </c>
    </row>
    <row r="88" spans="1:6">
      <c r="B88" s="347" t="s">
        <v>516</v>
      </c>
    </row>
    <row r="89" spans="1:6">
      <c r="B89" s="347" t="s">
        <v>217</v>
      </c>
      <c r="C89" s="377">
        <f>DCF!F6</f>
        <v>63482.2</v>
      </c>
      <c r="D89" s="347" t="str">
        <f>Reporting_currency</f>
        <v>HKD</v>
      </c>
    </row>
    <row r="90" spans="1:6">
      <c r="B90" s="376" t="s">
        <v>236</v>
      </c>
      <c r="C90" s="391">
        <f>C89*scaling_factor*Exchange_Rate/Common_Shares</f>
        <v>0.10945130790150902</v>
      </c>
      <c r="D90" s="347" t="str">
        <f>Market_currency</f>
        <v>HKD</v>
      </c>
    </row>
    <row r="92" spans="1:6">
      <c r="B92" s="376" t="s">
        <v>483</v>
      </c>
      <c r="C92" s="391">
        <f>DCF!F8</f>
        <v>-2.9414955196239703</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-2.5047246524922007</v>
      </c>
      <c r="D111" s="347" t="str">
        <f>Market_currency</f>
        <v>HKD</v>
      </c>
    </row>
    <row r="112" spans="1:6">
      <c r="A112" s="389"/>
      <c r="B112" s="376" t="s">
        <v>377</v>
      </c>
      <c r="C112" s="398">
        <f>DCF!C11</f>
        <v>5.1694431034646833</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30</v>
      </c>
      <c r="E118" s="402" t="str">
        <f>ROUND(DCF!E90,2)&amp;" "&amp;Market_currency</f>
        <v>12.86 HKD</v>
      </c>
      <c r="F118" s="403">
        <f>DCF!F90</f>
        <v>0.05</v>
      </c>
    </row>
    <row r="119" spans="1:6">
      <c r="A119" s="389"/>
      <c r="B119" s="404" t="str">
        <f>DCF!B91</f>
        <v>Optimistic</v>
      </c>
      <c r="C119" s="405">
        <f>DCF!C91</f>
        <v>0.03</v>
      </c>
      <c r="D119" s="406">
        <f>DCF!D91</f>
        <v>30</v>
      </c>
      <c r="E119" s="402" t="str">
        <f>ROUND(DCF!E91,2)&amp;" "&amp;Market_currency</f>
        <v>10.31 HKD</v>
      </c>
      <c r="F119" s="407">
        <f>DCF!F91</f>
        <v>0.18</v>
      </c>
    </row>
    <row r="120" spans="1:6">
      <c r="B120" s="404" t="str">
        <f>DCF!B92</f>
        <v>Base</v>
      </c>
      <c r="C120" s="405">
        <f>DCF!C92</f>
        <v>0.02</v>
      </c>
      <c r="D120" s="406">
        <f>DCF!D92</f>
        <v>30</v>
      </c>
      <c r="E120" s="402" t="str">
        <f>ROUND(DCF!E92,2)&amp;" "&amp;Market_currency</f>
        <v>8.24 HKD</v>
      </c>
      <c r="F120" s="407">
        <f>DCF!F92</f>
        <v>0.53999999999999992</v>
      </c>
    </row>
    <row r="121" spans="1:6">
      <c r="B121" s="404" t="str">
        <f>DCF!B93</f>
        <v>Pessimistic</v>
      </c>
      <c r="C121" s="405">
        <f>DCF!C93</f>
        <v>0.01</v>
      </c>
      <c r="D121" s="406">
        <f>DCF!D93</f>
        <v>30</v>
      </c>
      <c r="E121" s="402" t="str">
        <f>ROUND(DCF!E93,2)&amp;" "&amp;Market_currency</f>
        <v>6.55 HKD</v>
      </c>
      <c r="F121" s="407">
        <f>DCF!F93</f>
        <v>0.18</v>
      </c>
    </row>
    <row r="122" spans="1:6">
      <c r="B122" s="404" t="str">
        <f>DCF!B94</f>
        <v>Devil's advocate</v>
      </c>
      <c r="C122" s="405">
        <f>DCF!C94</f>
        <v>0</v>
      </c>
      <c r="D122" s="406">
        <f>DCF!D94</f>
        <v>30</v>
      </c>
      <c r="E122" s="402" t="str">
        <f>ROUND(DCF!E94,2)&amp;" "&amp;Market_currency</f>
        <v>5.17 HKD</v>
      </c>
      <c r="F122" s="407">
        <f>DCF!F94</f>
        <v>0.05</v>
      </c>
    </row>
    <row r="124" spans="1:6">
      <c r="B124" s="466" t="s">
        <v>522</v>
      </c>
      <c r="C124" s="466"/>
      <c r="D124" s="466"/>
      <c r="E124" s="466"/>
      <c r="F124" s="466"/>
    </row>
    <row r="125" spans="1:6">
      <c r="B125" s="376" t="s">
        <v>218</v>
      </c>
      <c r="C125" s="408">
        <f>Scenarios!C36</f>
        <v>8.3894050049409827</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0.73194063044404789</v>
      </c>
      <c r="D140" s="413">
        <f>Scenarios!D62</f>
        <v>3.8660852557331729</v>
      </c>
      <c r="E140" s="414">
        <f>Scenarios!E62</f>
        <v>4.5980258861772203</v>
      </c>
      <c r="F140" s="415">
        <f>E22</f>
        <v>0.29465259038036606</v>
      </c>
    </row>
    <row r="141" spans="1:6">
      <c r="B141" s="412" t="s">
        <v>313</v>
      </c>
      <c r="C141" s="413">
        <f>Scenarios!C63</f>
        <v>0.84160157890763132</v>
      </c>
      <c r="D141" s="413">
        <f>Scenarios!D63</f>
        <v>4.8458657068251183</v>
      </c>
      <c r="E141" s="414">
        <f>Scenarios!E63</f>
        <v>5.6874672857327493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0.96504125037545974</v>
      </c>
      <c r="D144" s="413">
        <f>Scenarios!D66</f>
        <v>6.0131932285018506</v>
      </c>
      <c r="E144" s="414">
        <f>Scenarios!E66</f>
        <v>6.9782344788773099</v>
      </c>
      <c r="F144" s="415">
        <f>E24</f>
        <v>0.1174</v>
      </c>
    </row>
    <row r="145" spans="1:6">
      <c r="B145" s="412" t="s">
        <v>314</v>
      </c>
      <c r="C145" s="413">
        <f>Scenarios!C67</f>
        <v>1.0449500908692064</v>
      </c>
      <c r="D145" s="413">
        <f>Scenarios!D67</f>
        <v>6.8004751540328705</v>
      </c>
      <c r="E145" s="414">
        <f>Scenarios!E67</f>
        <v>7.8454252449020769</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2025-11-19T02:16:39Z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