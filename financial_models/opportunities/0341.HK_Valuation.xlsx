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645CBAF-A8A1-4F54-BFED-0BE56D723230}"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79" i="2" s="1"/>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C80" i="6"/>
  <c r="C80" i="12"/>
  <c r="D68" i="6"/>
  <c r="D68" i="12"/>
  <c r="O77" i="2"/>
  <c r="O116" i="2" s="1"/>
  <c r="O14" i="2"/>
  <c r="P77" i="2"/>
  <c r="P116" i="2" s="1"/>
  <c r="P14" i="2"/>
  <c r="O96" i="2"/>
  <c r="G52" i="2"/>
  <c r="B74" i="8" l="1"/>
  <c r="C38" i="12"/>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<sst xmlns="http://schemas.openxmlformats.org/spreadsheetml/2006/main" count="768" uniqueCount="558">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</sst>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4.42</v>
      </c>
      <c r="E8" s="32"/>
    </row>
    <row r="9" spans="1:9">
      <c r="B9" s="4" t="s">
        <v>346</v>
      </c>
      <c r="C9" s="48">
        <v>580004033</v>
      </c>
    </row>
    <row r="10" spans="1:9">
      <c r="B10" s="4" t="s">
        <v>352</v>
      </c>
      <c r="C10" s="33">
        <f>Thesis!C8*Common_Shares/1000000</f>
        <v>2563.6178258600003</v>
      </c>
      <c r="D10" s="1" t="s">
        <v>528</v>
      </c>
      <c r="E10" s="303">
        <f>Scenarios!F34</f>
        <v>0.19757953331620517</v>
      </c>
    </row>
    <row r="11" spans="1:9">
      <c r="D11" s="5"/>
      <c r="E11" s="5"/>
    </row>
    <row r="12" spans="1:9" ht="24.5" customHeight="1">
      <c r="B12" s="463" t="s">
        <v>355</v>
      </c>
      <c r="C12" s="463"/>
      <c r="D12" s="463"/>
      <c r="E12" s="463"/>
      <c r="F12" s="463"/>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0.01</v>
      </c>
      <c r="D17" s="4" t="s">
        <v>274</v>
      </c>
      <c r="E17" s="224" t="s">
        <v>308</v>
      </c>
    </row>
    <row r="18" spans="1:6">
      <c r="B18" s="1" t="str">
        <f>"Expected Equity Value ("&amp;C7&amp;") :"</f>
        <v>Expected Equity Value (HKD) :</v>
      </c>
      <c r="C18" s="252">
        <f>C125</f>
        <v>6.5021029196761031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3.5453162653105039</v>
      </c>
      <c r="D22" s="38" t="s">
        <v>406</v>
      </c>
      <c r="E22" s="79">
        <v>0.29465259038036606</v>
      </c>
    </row>
    <row r="23" spans="1:6">
      <c r="B23" s="1" t="s">
        <v>313</v>
      </c>
      <c r="C23" s="256">
        <f>E141</f>
        <v>4.3869285024051887</v>
      </c>
      <c r="D23" s="38" t="s">
        <v>407</v>
      </c>
      <c r="E23" s="443">
        <v>0.20075184365903009</v>
      </c>
    </row>
    <row r="24" spans="1:6">
      <c r="B24" s="1" t="s">
        <v>315</v>
      </c>
      <c r="C24" s="256">
        <f>E144</f>
        <v>5.3842307819113344</v>
      </c>
      <c r="D24" s="38" t="s">
        <v>408</v>
      </c>
      <c r="E24" s="443">
        <v>0.1174</v>
      </c>
    </row>
    <row r="25" spans="1:6">
      <c r="B25" s="1" t="s">
        <v>314</v>
      </c>
      <c r="C25" s="256">
        <f>E145</f>
        <v>6.0543353749158966</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v>
      </c>
    </row>
    <row r="33" spans="2:6" ht="24.5" customHeight="1">
      <c r="B33" s="464" t="s">
        <v>196</v>
      </c>
      <c r="C33" s="464"/>
      <c r="D33" s="464"/>
      <c r="E33" s="464"/>
      <c r="F33" s="464"/>
    </row>
    <row r="34" spans="2:6">
      <c r="B34" s="44" t="s">
        <v>197</v>
      </c>
      <c r="C34" s="285">
        <f>Normalized_FCF!C8</f>
        <v>398162</v>
      </c>
      <c r="D34" s="1" t="str">
        <f>Reporting_currency</f>
        <v>HKD</v>
      </c>
    </row>
    <row r="35" spans="2:6">
      <c r="B35" s="44"/>
      <c r="C35" s="73"/>
    </row>
    <row r="36" spans="2:6" ht="24.5" customHeight="1">
      <c r="B36" s="464" t="s">
        <v>198</v>
      </c>
      <c r="C36" s="464"/>
      <c r="D36" s="464"/>
      <c r="E36" s="464"/>
      <c r="F36" s="464"/>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4" t="s">
        <v>201</v>
      </c>
      <c r="C40" s="464"/>
      <c r="D40" s="464"/>
      <c r="E40" s="464"/>
      <c r="F40" s="464"/>
    </row>
    <row r="41" spans="2:6">
      <c r="B41" s="44" t="s">
        <v>202</v>
      </c>
      <c r="C41" s="285">
        <f>Normalized_FCF!C9</f>
        <v>0</v>
      </c>
      <c r="D41" s="1" t="str">
        <f>Reporting_currency</f>
        <v>HKD</v>
      </c>
    </row>
    <row r="43" spans="2:6">
      <c r="B43" s="464" t="s">
        <v>205</v>
      </c>
      <c r="C43" s="464"/>
      <c r="D43" s="464"/>
      <c r="E43" s="464"/>
      <c r="F43" s="464"/>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4" t="s">
        <v>206</v>
      </c>
      <c r="C51" s="464"/>
      <c r="D51" s="464"/>
      <c r="E51" s="464"/>
      <c r="F51" s="464"/>
    </row>
    <row r="52" spans="2:6">
      <c r="B52" s="44" t="s">
        <v>204</v>
      </c>
      <c r="C52" s="285">
        <f>Normalized_FCF!C12</f>
        <v>-52106.345858861256</v>
      </c>
      <c r="D52" s="1" t="str">
        <f>Reporting_currency</f>
        <v>HKD</v>
      </c>
    </row>
    <row r="54" spans="2:6">
      <c r="B54" s="464" t="s">
        <v>265</v>
      </c>
      <c r="C54" s="465"/>
      <c r="D54" s="465"/>
      <c r="E54" s="465"/>
      <c r="F54" s="465"/>
    </row>
    <row r="55" spans="2:6">
      <c r="B55" s="44" t="s">
        <v>207</v>
      </c>
      <c r="C55" s="285">
        <f>Normalized_FCF!C17</f>
        <v>0</v>
      </c>
      <c r="D55" s="1" t="str">
        <f>Reporting_currency</f>
        <v>HKD</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9.1385334536708968E-2</v>
      </c>
      <c r="F62" s="257"/>
    </row>
    <row r="63" spans="2:6">
      <c r="B63" s="204" t="s">
        <v>332</v>
      </c>
      <c r="C63" s="89">
        <f>Normalized_FCF!C92</f>
        <v>6.7873303167420823E-2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0.04</v>
      </c>
      <c r="D118" s="207" t="str">
        <f>ROUND(DCF!E90,2)&amp;" "&amp;Market_currency</f>
        <v>8.1 HKD</v>
      </c>
      <c r="E118" s="208">
        <f>DCF!F90</f>
        <v>0.05</v>
      </c>
      <c r="F118" s="208">
        <f>RATE(Holding_Period,Scenarios!C$58,-DCF!E90,C$18)</f>
        <v>-3.0850278860431173E-2</v>
      </c>
    </row>
    <row r="119" spans="2:6">
      <c r="B119" s="205" t="str">
        <f>DCF!B91&amp;" ("&amp;DCF!D91&amp;"yrs)"</f>
        <v>Optimistic (10yrs)</v>
      </c>
      <c r="C119" s="198">
        <f>DCF!C91</f>
        <v>0.03</v>
      </c>
      <c r="D119" s="207" t="str">
        <f>ROUND(DCF!E91,2)&amp;" "&amp;Market_currency</f>
        <v>7.26 HKD</v>
      </c>
      <c r="E119" s="199">
        <f>DCF!F91</f>
        <v>0.18</v>
      </c>
      <c r="F119" s="208">
        <f>RATE(Holding_Period,Scenarios!C$58,-DCF!E91,C$18)</f>
        <v>6.8329251442492559E-3</v>
      </c>
    </row>
    <row r="120" spans="2:6">
      <c r="B120" s="205" t="str">
        <f>DCF!B92&amp;" ("&amp;DCF!D92&amp;"yrs)"</f>
        <v>Base (10yrs)</v>
      </c>
      <c r="C120" s="198">
        <f>DCF!C92</f>
        <v>0.02</v>
      </c>
      <c r="D120" s="207" t="str">
        <f>ROUND(DCF!E92,2)&amp;" "&amp;Market_currency</f>
        <v>6.48 HKD</v>
      </c>
      <c r="E120" s="199">
        <f>DCF!F92</f>
        <v>0.53999999999999992</v>
      </c>
      <c r="F120" s="208">
        <f>RATE(Holding_Period,Scenarios!C$58,-DCF!E92,C$18)</f>
        <v>4.7411152420250929E-2</v>
      </c>
    </row>
    <row r="121" spans="2:6">
      <c r="B121" s="205" t="str">
        <f>DCF!B93&amp;" ("&amp;DCF!D93&amp;"yrs)"</f>
        <v>Pessimistic (10yrs)</v>
      </c>
      <c r="C121" s="198">
        <f>DCF!C93</f>
        <v>0.01</v>
      </c>
      <c r="D121" s="207" t="str">
        <f>ROUND(DCF!E93,2)&amp;" "&amp;Market_currency</f>
        <v>5.76 HKD</v>
      </c>
      <c r="E121" s="199">
        <f>DCF!F93</f>
        <v>0.18</v>
      </c>
      <c r="F121" s="208">
        <f>RATE(Holding_Period,Scenarios!C$58,-DCF!E93,C$18)</f>
        <v>9.1334486710514626E-2</v>
      </c>
    </row>
    <row r="122" spans="2:6">
      <c r="B122" s="205" t="str">
        <f>DCF!B94&amp;" ("&amp;DCF!D94&amp;"yrs)"</f>
        <v>Devil's advocate (10yrs)</v>
      </c>
      <c r="C122" s="198">
        <f>DCF!C94</f>
        <v>0</v>
      </c>
      <c r="D122" s="207" t="str">
        <f>ROUND(DCF!E94,2)&amp;" "&amp;Market_currency</f>
        <v>5.1 HKD</v>
      </c>
      <c r="E122" s="199">
        <f>DCF!F94</f>
        <v>0.05</v>
      </c>
      <c r="F122" s="208">
        <f>RATE(Holding_Period,Scenarios!C$58,-DCF!E94,C$18)</f>
        <v>0.13916799963770765</v>
      </c>
    </row>
    <row r="124" spans="2:6">
      <c r="B124" s="464" t="s">
        <v>357</v>
      </c>
      <c r="C124" s="464"/>
      <c r="D124" s="464"/>
      <c r="E124" s="464"/>
      <c r="F124" s="464"/>
    </row>
    <row r="125" spans="2:6">
      <c r="B125" s="193" t="s">
        <v>218</v>
      </c>
      <c r="C125" s="197">
        <f>Scenarios!C36</f>
        <v>6.5021029196761031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0.54895547283303592</v>
      </c>
      <c r="D140" s="333">
        <f>Scenarios!D62</f>
        <v>2.9963607924774678</v>
      </c>
      <c r="E140" s="334">
        <f>Scenarios!E62</f>
        <v>3.5453162653105039</v>
      </c>
      <c r="F140" s="335">
        <f>E22</f>
        <v>0.29465259038036606</v>
      </c>
    </row>
    <row r="141" spans="1:6">
      <c r="B141" s="336" t="s">
        <v>313</v>
      </c>
      <c r="C141" s="333">
        <f>Scenarios!C63</f>
        <v>0.63120118418072357</v>
      </c>
      <c r="D141" s="333">
        <f>Scenarios!D63</f>
        <v>3.7557273182244653</v>
      </c>
      <c r="E141" s="334">
        <f>Scenarios!E63</f>
        <v>4.3869285024051887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4.6604498441297393</v>
      </c>
      <c r="E144" s="334">
        <f>Scenarios!E66</f>
        <v>5.3842307819113344</v>
      </c>
      <c r="F144" s="335">
        <f>E24</f>
        <v>0.1174</v>
      </c>
    </row>
    <row r="145" spans="1:6">
      <c r="B145" s="336" t="s">
        <v>314</v>
      </c>
      <c r="C145" s="333">
        <f>Scenarios!C67</f>
        <v>0.78371256815190493</v>
      </c>
      <c r="D145" s="333">
        <f>Scenarios!D67</f>
        <v>5.270622806763992</v>
      </c>
      <c r="E145" s="334">
        <f>Scenarios!E67</f>
        <v>6.0543353749158966</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6.7873303167420823E-2</v>
      </c>
      <c r="E92" s="237"/>
      <c r="G92" s="22">
        <f t="shared" ref="G92:Q92" si="38">IF(G$4="","",(G88*(1-dividend_tax_rate))/Market_Price)</f>
        <v>7.9185520361990946E-2</v>
      </c>
      <c r="H92" s="22">
        <f t="shared" si="38"/>
        <v>0.12895927601809953</v>
      </c>
      <c r="I92" s="22">
        <f t="shared" si="38"/>
        <v>8.5972850678733032E-2</v>
      </c>
      <c r="J92" s="22">
        <f t="shared" si="38"/>
        <v>8.5972850678733032E-2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9.1385334536708968E-2</v>
      </c>
      <c r="D124" s="26"/>
      <c r="E124" s="234"/>
      <c r="F124" s="26"/>
      <c r="G124" s="74">
        <f t="shared" ref="G124" si="49">IF(G$4="","",G123/Market_Price)</f>
        <v>0.11428168093457397</v>
      </c>
      <c r="H124" s="74">
        <f t="shared" ref="H124" si="50">IF(H$4="","",H123/Market_Price)</f>
        <v>0.13693246175564003</v>
      </c>
      <c r="I124" s="74">
        <f t="shared" ref="I124" si="51">IF(I$4="","",I123/Market_Price)</f>
        <v>4.3775281165392969E-2</v>
      </c>
      <c r="J124" s="74">
        <f t="shared" ref="J124" si="52">IF(J$4="","",J123/Market_Price)</f>
        <v>-9.0589595846731399E-3</v>
      </c>
      <c r="K124" s="74">
        <f t="shared" ref="K124" si="53">IF(K$4="","",K123/Market_Price)</f>
        <v>-4.6359094090060469E-2</v>
      </c>
      <c r="L124" s="74">
        <f t="shared" ref="L124" si="54">IF(L$4="","",L123/Market_Price)</f>
        <v>8.1374843744510802E-2</v>
      </c>
      <c r="M124" s="74">
        <f t="shared" ref="M124" si="55">IF(M$4="","",M123/Market_Price)</f>
        <v>0.2175811832689532</v>
      </c>
      <c r="N124" s="74">
        <f t="shared" ref="N124" si="56">IF(N$4="","",N123/Market_Price)</f>
        <v>0.17947292898295139</v>
      </c>
      <c r="O124" s="74">
        <f t="shared" ref="O124" si="57">IF(O$4="","",O123/Market_Price)</f>
        <v>0.20180699119083634</v>
      </c>
      <c r="P124" s="74">
        <f t="shared" ref="P124" si="58">IF(P$4="","",P123/Market_Price)</f>
        <v>0.19675709651877965</v>
      </c>
      <c r="Q124" s="74" t="str">
        <f t="shared" ref="Q124" si="59">IF(Q$4="","",Q123/Market_Price)</f>
        <v/>
      </c>
    </row>
    <row r="125" spans="1:17" ht="15.75" customHeight="1">
      <c r="B125" s="2" t="s">
        <v>306</v>
      </c>
      <c r="C125" s="151"/>
      <c r="G125" s="22">
        <f>IF(G$4="","",(Data!C47*$C$3)/(Market_Price*Common_Shares))</f>
        <v>9.1710627702913883E-2</v>
      </c>
      <c r="H125" s="22">
        <f>IF(H$4="","",(Data!D47*$C$3)/(Market_Price*Common_Shares))</f>
        <v>0.12997842214965039</v>
      </c>
      <c r="I125" s="22">
        <f>IF(I$4="","",(Data!E47*$C$3)/(Market_Price*Common_Shares))</f>
        <v>4.3371129221533175E-2</v>
      </c>
      <c r="J125" s="22">
        <f>IF(J$4="","",(Data!F47*$C$3)/(Market_Price*Common_Shares))</f>
        <v>8.9131850190402925E-3</v>
      </c>
      <c r="K125" s="22">
        <f>IF(K$4="","",(Data!G47*$C$3)/(Market_Price*Common_Shares))</f>
        <v>0.14064108790437538</v>
      </c>
      <c r="L125" s="22">
        <f>IF(L$4="","",(Data!H47*$C$3)/(Market_Price*Common_Shares))</f>
        <v>2.9016025419095461E-2</v>
      </c>
      <c r="M125" s="22">
        <f>IF(M$4="","",(Data!I47*$C$3)/(Market_Price*Common_Shares))</f>
        <v>0.23096656374721872</v>
      </c>
      <c r="N125" s="22">
        <f>IF(N$4="","",(Data!J47*$C$3)/(Market_Price*Common_Shares))</f>
        <v>0.17915891962013616</v>
      </c>
      <c r="O125" s="22">
        <f>IF(O$4="","",(Data!K47*$C$3)/(Market_Price*Common_Shares))</f>
        <v>0.19653865522290817</v>
      </c>
      <c r="P125" s="22">
        <f>IF(P$4="","",(Data!L47*$C$3)/(Market_Price*Common_Shares))</f>
        <v>0.20200358835712062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550</v>
      </c>
      <c r="C17" s="306">
        <f>Normalized_FCF!C77</f>
        <v>3.6856250242404666E-2</v>
      </c>
      <c r="E17" s="308" t="s">
        <v>551</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6.5009729540294972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II</v>
      </c>
      <c r="B25" s="117">
        <v>5</v>
      </c>
      <c r="C25" s="277">
        <f t="shared" si="5"/>
        <v>9473431.3476682957</v>
      </c>
      <c r="D25" s="299">
        <f t="shared" si="1"/>
        <v>2.0287009867734501E-2</v>
      </c>
      <c r="E25" s="299">
        <f t="shared" si="6"/>
        <v>5.5599077391744495E-2</v>
      </c>
      <c r="F25" s="277">
        <f t="shared" si="7"/>
        <v>526714.04266438796</v>
      </c>
      <c r="G25" s="299">
        <f t="shared" si="2"/>
        <v>0</v>
      </c>
      <c r="H25" s="277">
        <f t="shared" si="8"/>
        <v>407286.606195523</v>
      </c>
      <c r="I25" s="299">
        <f t="shared" si="9"/>
        <v>0.60428273718349046</v>
      </c>
      <c r="J25" s="299">
        <f t="shared" si="10"/>
        <v>4.2992511503845837E-2</v>
      </c>
      <c r="K25" s="119">
        <f t="shared" si="3"/>
        <v>0.70471496766912267</v>
      </c>
      <c r="L25" s="277">
        <f t="shared" si="4"/>
        <v>287020.96751714469</v>
      </c>
      <c r="N25" s="275"/>
      <c r="O25" s="275"/>
      <c r="P25" s="275"/>
      <c r="Q25" s="275"/>
      <c r="R25" s="275"/>
      <c r="S25" s="275"/>
      <c r="T25" s="275"/>
      <c r="U25" s="275"/>
    </row>
    <row r="26" spans="1:21">
      <c r="A26" s="302" t="str">
        <f t="shared" si="0"/>
        <v>II</v>
      </c>
      <c r="B26" s="117">
        <v>6</v>
      </c>
      <c r="C26" s="277">
        <f t="shared" si="5"/>
        <v>9665618.9428997487</v>
      </c>
      <c r="D26" s="299">
        <f t="shared" si="1"/>
        <v>2.0287009867734501E-2</v>
      </c>
      <c r="E26" s="299">
        <f t="shared" si="6"/>
        <v>5.5599077391744495E-2</v>
      </c>
      <c r="F26" s="277">
        <f t="shared" si="7"/>
        <v>537399.49564539478</v>
      </c>
      <c r="G26" s="299">
        <f t="shared" si="2"/>
        <v>0</v>
      </c>
      <c r="H26" s="277">
        <f t="shared" si="8"/>
        <v>415549.23359440768</v>
      </c>
      <c r="I26" s="299">
        <f t="shared" si="9"/>
        <v>2.0287009867734573E-2</v>
      </c>
      <c r="J26" s="299">
        <f t="shared" si="10"/>
        <v>4.2992511503845837E-2</v>
      </c>
      <c r="K26" s="119">
        <f t="shared" si="3"/>
        <v>0.65707689293158289</v>
      </c>
      <c r="L26" s="277">
        <f t="shared" si="4"/>
        <v>273047.79927031393</v>
      </c>
    </row>
    <row r="27" spans="1:21">
      <c r="A27" s="302" t="str">
        <f t="shared" si="0"/>
        <v>II</v>
      </c>
      <c r="B27" s="117">
        <v>7</v>
      </c>
      <c r="C27" s="277">
        <f t="shared" si="5"/>
        <v>9861705.4497721177</v>
      </c>
      <c r="D27" s="299">
        <f t="shared" si="1"/>
        <v>2.0287009867734501E-2</v>
      </c>
      <c r="E27" s="299">
        <f t="shared" si="6"/>
        <v>5.5599077391744495E-2</v>
      </c>
      <c r="F27" s="277">
        <f t="shared" si="7"/>
        <v>548301.72451646847</v>
      </c>
      <c r="G27" s="299">
        <f t="shared" si="2"/>
        <v>0</v>
      </c>
      <c r="H27" s="277">
        <f t="shared" si="8"/>
        <v>423979.48499686702</v>
      </c>
      <c r="I27" s="299">
        <f t="shared" si="9"/>
        <v>2.0287009867734795E-2</v>
      </c>
      <c r="J27" s="299">
        <f t="shared" si="10"/>
        <v>4.2992511503845844E-2</v>
      </c>
      <c r="K27" s="119">
        <f t="shared" si="3"/>
        <v>0.61265910762851561</v>
      </c>
      <c r="L27" s="277">
        <f t="shared" si="4"/>
        <v>259754.89293097818</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2.0287009867734351E-2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10578899.043298019</v>
      </c>
      <c r="D51" s="301">
        <f>Terminal_Growth</f>
        <v>0.01</v>
      </c>
      <c r="E51" s="301">
        <f>F17</f>
        <v>5.5599077391744495E-2</v>
      </c>
      <c r="F51" s="277">
        <f>C51*E51</f>
        <v>588177.02662777831</v>
      </c>
      <c r="G51" s="299">
        <f>F18</f>
        <v>0</v>
      </c>
      <c r="H51" s="277">
        <f>(F51*(1-$I$10)+C51*(G51-$I$9))/Equity_Cost</f>
        <v>6273288.8112691557</v>
      </c>
      <c r="I51" s="415">
        <f>(F51*(1-$I$10)+C51*(G51-$I$9))/VLOOKUP(C15,B21:H50,COLUMN(H20)-1,FALSE)-1</f>
        <v>1.0000000000000009E-2</v>
      </c>
      <c r="J51" s="454"/>
      <c r="K51" s="119">
        <f>1/(1+Equity_Cost)^C15</f>
        <v>0.49662318565689262</v>
      </c>
      <c r="L51" s="277">
        <f t="shared" si="4"/>
        <v>3115460.6739982292</v>
      </c>
    </row>
    <row r="52" spans="1:21" ht="13.15">
      <c r="G52" s="111"/>
      <c r="H52" s="111"/>
      <c r="I52" s="111"/>
      <c r="J52" s="460" t="s">
        <v>420</v>
      </c>
      <c r="K52" s="460"/>
      <c r="L52" s="317">
        <f>SUM(L21:L51)</f>
        <v>5469579.8825860322</v>
      </c>
    </row>
    <row r="53" spans="1:21">
      <c r="C53" s="111"/>
    </row>
    <row r="54" spans="1:21" ht="13.15">
      <c r="B54" s="115" t="s">
        <v>108</v>
      </c>
      <c r="C54" s="128"/>
      <c r="D54" s="128"/>
      <c r="E54" s="113"/>
      <c r="F54" s="113"/>
      <c r="G54" s="113"/>
      <c r="H54" s="113"/>
      <c r="I54" s="113"/>
      <c r="J54" s="113"/>
      <c r="K54" s="113"/>
      <c r="L54" s="113"/>
    </row>
    <row r="55" spans="1:21" ht="13.15">
      <c r="A55" s="125">
        <f>L52</f>
        <v>5469579.8825860322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10</v>
      </c>
      <c r="E90" s="127">
        <f>INDEX(B$73:F$87, MATCH(D90, A$73:A$87, 0), MATCH(C90, B$72:F$72, 0))</f>
        <v>8.1015330748535028</v>
      </c>
      <c r="F90" s="130">
        <f>Scenarios!F29</f>
        <v>0.05</v>
      </c>
      <c r="G90" s="297"/>
      <c r="H90" s="297"/>
      <c r="I90" s="297"/>
      <c r="J90" s="297"/>
      <c r="K90" s="297"/>
      <c r="L90" s="297"/>
    </row>
    <row r="91" spans="1:12">
      <c r="B91" s="120" t="str">
        <f>Scenarios!B22</f>
        <v>Optimistic</v>
      </c>
      <c r="C91" s="130">
        <f>Scenarios!C22</f>
        <v>0.03</v>
      </c>
      <c r="D91" s="133">
        <f>Scenarios!D22</f>
        <v>10</v>
      </c>
      <c r="E91" s="127">
        <f>INDEX(B$73:F$87, MATCH(D91, A$73:A$87, 0), MATCH(C91, B$72:F$72, 0))</f>
        <v>7.2584580737895443</v>
      </c>
      <c r="F91" s="130">
        <f>Scenarios!F22*(1-F$90-F$94)</f>
        <v>0.18</v>
      </c>
      <c r="G91" s="297"/>
      <c r="H91" s="297"/>
      <c r="I91" s="297"/>
      <c r="J91" s="297"/>
      <c r="K91" s="297"/>
      <c r="L91" s="297"/>
    </row>
    <row r="92" spans="1:12">
      <c r="B92" s="120" t="str">
        <f>Scenarios!B23</f>
        <v>Base</v>
      </c>
      <c r="C92" s="130">
        <f>Scenarios!C23</f>
        <v>0.02</v>
      </c>
      <c r="D92" s="133">
        <f>Scenarios!D23</f>
        <v>10</v>
      </c>
      <c r="E92" s="127">
        <f>INDEX(B$73:F$87, MATCH(D92, A$73:A$87, 0), MATCH(C92, B$72:F$72, 0))</f>
        <v>6.4794659615363912</v>
      </c>
      <c r="F92" s="130">
        <f>Scenarios!F23*(1-F$90-F$94)</f>
        <v>0.53999999999999992</v>
      </c>
      <c r="G92" s="297"/>
      <c r="H92" s="297"/>
      <c r="I92" s="297"/>
      <c r="J92" s="297"/>
      <c r="K92" s="297"/>
      <c r="L92" s="297"/>
    </row>
    <row r="93" spans="1:12">
      <c r="B93" s="120" t="str">
        <f>Scenarios!B24</f>
        <v>Pessimistic</v>
      </c>
      <c r="C93" s="130">
        <f>Scenarios!C24</f>
        <v>0.01</v>
      </c>
      <c r="D93" s="133">
        <f>Scenarios!D24</f>
        <v>10</v>
      </c>
      <c r="E93" s="127">
        <f>INDEX(B$73:F$87, MATCH(D93, A$73:A$87, 0), MATCH(C93, B$72:F$72, 0))</f>
        <v>5.7600065045453039</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5.0958204520700807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7.2584580737895443</v>
      </c>
      <c r="F22" s="328">
        <f>1-F23-F24</f>
        <v>0.2</v>
      </c>
      <c r="G22" s="328">
        <f>F22*(1-F$29-F$30)</f>
        <v>0.18</v>
      </c>
    </row>
    <row r="23" spans="2:7">
      <c r="B23" s="302" t="s">
        <v>437</v>
      </c>
      <c r="C23" s="324">
        <v>0.02</v>
      </c>
      <c r="D23" s="325">
        <f>C18</f>
        <v>10</v>
      </c>
      <c r="E23" s="326">
        <f>DCF!E92</f>
        <v>6.4794659615363912</v>
      </c>
      <c r="F23" s="327">
        <v>0.6</v>
      </c>
      <c r="G23" s="328">
        <f t="shared" ref="G23:G24" si="0">F23*(1-F$29-F$30)</f>
        <v>0.53999999999999992</v>
      </c>
    </row>
    <row r="24" spans="2:7">
      <c r="B24" s="302" t="s">
        <v>446</v>
      </c>
      <c r="C24" s="324">
        <v>0.01</v>
      </c>
      <c r="D24" s="325">
        <f>C18</f>
        <v>10</v>
      </c>
      <c r="E24" s="326">
        <f>DCF!E93</f>
        <v>5.7600065045453039</v>
      </c>
      <c r="F24" s="327">
        <v>0.2</v>
      </c>
      <c r="G24" s="328">
        <f t="shared" si="0"/>
        <v>0.18</v>
      </c>
    </row>
    <row r="25" spans="2:7">
      <c r="B25" s="141" t="s">
        <v>451</v>
      </c>
      <c r="C25" s="441">
        <f>E23*F23+E24*F24+E22*F22</f>
        <v>6.4913724925888046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10</v>
      </c>
      <c r="E29" s="326">
        <f>DCF!E90</f>
        <v>8.1015330748535028</v>
      </c>
      <c r="F29" s="327">
        <v>0.05</v>
      </c>
      <c r="G29" s="328">
        <f>F29</f>
        <v>0.05</v>
      </c>
    </row>
    <row r="30" spans="2:7">
      <c r="B30" s="315" t="s">
        <v>447</v>
      </c>
      <c r="C30" s="324">
        <v>0</v>
      </c>
      <c r="D30" s="325">
        <f>C18</f>
        <v>10</v>
      </c>
      <c r="E30" s="326">
        <f>DCF!E94</f>
        <v>5.0958204520700807</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4.42</v>
      </c>
      <c r="D34" t="str">
        <f>Market_currency</f>
        <v>HKD</v>
      </c>
      <c r="E34" s="97" t="s">
        <v>454</v>
      </c>
      <c r="F34" s="330">
        <f>RATE(Holding_Period,$C$33,-C34,$C$36)</f>
        <v>0.19757953331620517</v>
      </c>
    </row>
    <row r="35" spans="2:7">
      <c r="B35" s="97" t="s">
        <v>434</v>
      </c>
      <c r="C35" s="320">
        <f>DCF!C11</f>
        <v>3.5981269513780507</v>
      </c>
      <c r="D35" s="97" t="str">
        <f>Market_currency</f>
        <v>HKD</v>
      </c>
      <c r="E35" s="97" t="s">
        <v>454</v>
      </c>
      <c r="F35" s="330">
        <f>RATE(Holding_Period,$C$33,-C35,$C$36)</f>
        <v>0.28788099229933978</v>
      </c>
    </row>
    <row r="36" spans="2:7">
      <c r="B36" s="97" t="s">
        <v>435</v>
      </c>
      <c r="C36" s="321">
        <f>E22*G22+E23*G23+E24*G24+E30*G30+E29*G29</f>
        <v>6.5021029196761031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2.0287009867734501E-2</v>
      </c>
      <c r="D46" s="138"/>
      <c r="E46" s="221" t="s">
        <v>252</v>
      </c>
    </row>
    <row r="47" spans="2:7">
      <c r="B47" s="97" t="s">
        <v>96</v>
      </c>
      <c r="C47" s="146">
        <f>DCF!I18</f>
        <v>6.5009729540294972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-0.45051141943294376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0.54895547283303592</v>
      </c>
      <c r="D62" s="119">
        <f>C36/(1+F62)^Holding_Period</f>
        <v>2.9963607924774678</v>
      </c>
      <c r="E62" s="332">
        <f>C62+D62</f>
        <v>3.5453162653105039</v>
      </c>
      <c r="F62" s="301">
        <f>Thesis!E22</f>
        <v>0.29465259038036606</v>
      </c>
      <c r="G62" s="440">
        <f>(1-E62/C36)</f>
        <v>0.4547431332435582</v>
      </c>
    </row>
    <row r="63" spans="2:7" ht="13.15">
      <c r="B63" s="302" t="s">
        <v>313</v>
      </c>
      <c r="C63" s="119">
        <f>PV(F63, Holding_Period, -C58, 0)</f>
        <v>0.63120118418072357</v>
      </c>
      <c r="D63" s="119">
        <f>C36/(1+F63)^Holding_Period</f>
        <v>3.7557273182244653</v>
      </c>
      <c r="E63" s="332">
        <f>C63+D63</f>
        <v>4.3869285024051887</v>
      </c>
      <c r="F63" s="301">
        <f>Thesis!E23</f>
        <v>0.20075184365903009</v>
      </c>
      <c r="G63" s="440">
        <f>(1-E63/C36)</f>
        <v>0.32530620376219455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4.6604498441297393</v>
      </c>
      <c r="E66" s="332">
        <f>C66+D66</f>
        <v>5.3842307819113344</v>
      </c>
      <c r="F66" s="301">
        <f>Thesis!E24</f>
        <v>0.1174</v>
      </c>
      <c r="G66" s="440">
        <f>(1-E66/C36)</f>
        <v>0.17192470675632654</v>
      </c>
    </row>
    <row r="67" spans="2:7" ht="13.15">
      <c r="B67" s="302" t="s">
        <v>314</v>
      </c>
      <c r="C67" s="119">
        <f>PV(F67, Holding_Period, -C58, 0)</f>
        <v>0.78371256815190493</v>
      </c>
      <c r="D67" s="119">
        <f>C36/(1+F67)^Holding_Period</f>
        <v>5.270622806763992</v>
      </c>
      <c r="E67" s="332">
        <f>C67+D67</f>
        <v>6.0543353749158966</v>
      </c>
      <c r="F67" s="301">
        <f>Thesis!E25</f>
        <v>7.2499999999999995E-2</v>
      </c>
      <c r="G67" s="440">
        <f>(1-E67/C36)</f>
        <v>6.8865034942035552E-2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大家乐集团</v>
      </c>
      <c r="D4" s="349"/>
      <c r="E4" s="434" t="s">
        <v>540</v>
      </c>
      <c r="F4" s="437" t="str">
        <f>Thesis!F4</f>
        <v>INT</v>
      </c>
    </row>
    <row r="5" spans="1:10">
      <c r="B5" s="343" t="s">
        <v>364</v>
      </c>
      <c r="C5" s="355" t="str">
        <f>Thesis!C5</f>
        <v>0341.HK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4.42</v>
      </c>
    </row>
    <row r="9" spans="1:10">
      <c r="B9" s="351" t="s">
        <v>361</v>
      </c>
      <c r="C9" s="353">
        <f>Common_Shares</f>
        <v>580004033</v>
      </c>
    </row>
    <row r="10" spans="1:10">
      <c r="B10" s="351" t="s">
        <v>367</v>
      </c>
      <c r="C10" s="357">
        <f>投资主题!C8*Common_Shares/1000000</f>
        <v>2563.6178258600003</v>
      </c>
      <c r="D10" s="343" t="s">
        <v>529</v>
      </c>
      <c r="E10" s="360">
        <f>Scenarios!F34</f>
        <v>0.19757953331620517</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0.01</v>
      </c>
      <c r="D17" s="351" t="s">
        <v>339</v>
      </c>
      <c r="E17" s="344" t="str">
        <f>Reporting_currency</f>
        <v>HKD</v>
      </c>
    </row>
    <row r="18" spans="1:6">
      <c r="B18" s="343" t="str">
        <f>"预期股权价值 ("&amp;C7&amp;") :"</f>
        <v>预期股权价值 (HKD) :</v>
      </c>
      <c r="C18" s="359">
        <f>C125</f>
        <v>6.5021029196761031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3.5453162653105039</v>
      </c>
      <c r="D22" s="365" t="s">
        <v>440</v>
      </c>
      <c r="E22" s="366">
        <f>Thesis!E22</f>
        <v>0.29465259038036606</v>
      </c>
    </row>
    <row r="23" spans="1:6">
      <c r="B23" s="343" t="s">
        <v>341</v>
      </c>
      <c r="C23" s="367">
        <f>E141</f>
        <v>4.3869285024051887</v>
      </c>
      <c r="D23" s="365" t="s">
        <v>441</v>
      </c>
      <c r="E23" s="368">
        <f>Thesis!E23</f>
        <v>0.20075184365903009</v>
      </c>
    </row>
    <row r="24" spans="1:6">
      <c r="B24" s="343" t="s">
        <v>343</v>
      </c>
      <c r="C24" s="367">
        <f>E144</f>
        <v>5.3842307819113344</v>
      </c>
      <c r="D24" s="365" t="s">
        <v>443</v>
      </c>
      <c r="E24" s="368">
        <f>Thesis!E24</f>
        <v>0.1174</v>
      </c>
    </row>
    <row r="25" spans="1:6">
      <c r="B25" s="343" t="s">
        <v>342</v>
      </c>
      <c r="C25" s="367">
        <f>E145</f>
        <v>6.0543353749158966</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505</v>
      </c>
    </row>
    <row r="49" spans="2:6">
      <c r="B49" s="372" t="s">
        <v>223</v>
      </c>
      <c r="C49" s="373">
        <f>Normalized_FCF!C13</f>
        <v>-29412.617008902169</v>
      </c>
      <c r="D49" s="343" t="str">
        <f>Reporting_currency</f>
        <v>HKD</v>
      </c>
    </row>
    <row r="51" spans="2:6">
      <c r="B51" s="470" t="s">
        <v>506</v>
      </c>
      <c r="C51" s="470"/>
      <c r="D51" s="470"/>
      <c r="E51" s="470"/>
      <c r="F51" s="470"/>
    </row>
    <row r="52" spans="2:6">
      <c r="B52" s="372" t="s">
        <v>496</v>
      </c>
      <c r="C52" s="373">
        <f>Normalized_FCF!C12</f>
        <v>-52106.345858861256</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9.1385334536708968E-2</v>
      </c>
      <c r="F62" s="379"/>
    </row>
    <row r="63" spans="2:6">
      <c r="B63" s="377" t="s">
        <v>332</v>
      </c>
      <c r="C63" s="378">
        <f>Normalized_FCF!C92</f>
        <v>6.7873303167420823E-2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512</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513</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10</v>
      </c>
      <c r="E118" s="398" t="str">
        <f>ROUND(DCF!E90,2)&amp;" "&amp;Market_currency</f>
        <v>8.1 HKD</v>
      </c>
      <c r="F118" s="399">
        <f>DCF!F90</f>
        <v>0.05</v>
      </c>
    </row>
    <row r="119" spans="1:6">
      <c r="A119" s="385"/>
      <c r="B119" s="400" t="str">
        <f>DCF!B91</f>
        <v>Optimistic</v>
      </c>
      <c r="C119" s="401">
        <f>DCF!C91</f>
        <v>0.03</v>
      </c>
      <c r="D119" s="402">
        <f>DCF!D91</f>
        <v>10</v>
      </c>
      <c r="E119" s="398" t="str">
        <f>ROUND(DCF!E91,2)&amp;" "&amp;Market_currency</f>
        <v>7.26 HKD</v>
      </c>
      <c r="F119" s="403">
        <f>DCF!F91</f>
        <v>0.18</v>
      </c>
    </row>
    <row r="120" spans="1:6">
      <c r="B120" s="400" t="str">
        <f>DCF!B92</f>
        <v>Base</v>
      </c>
      <c r="C120" s="401">
        <f>DCF!C92</f>
        <v>0.02</v>
      </c>
      <c r="D120" s="402">
        <f>DCF!D92</f>
        <v>10</v>
      </c>
      <c r="E120" s="398" t="str">
        <f>ROUND(DCF!E92,2)&amp;" "&amp;Market_currency</f>
        <v>6.48 HKD</v>
      </c>
      <c r="F120" s="403">
        <f>DCF!F92</f>
        <v>0.53999999999999992</v>
      </c>
    </row>
    <row r="121" spans="1:6">
      <c r="B121" s="400" t="str">
        <f>DCF!B93</f>
        <v>Pessimistic</v>
      </c>
      <c r="C121" s="401">
        <f>DCF!C93</f>
        <v>0.01</v>
      </c>
      <c r="D121" s="402">
        <f>DCF!D93</f>
        <v>10</v>
      </c>
      <c r="E121" s="398" t="str">
        <f>ROUND(DCF!E93,2)&amp;" "&amp;Market_currency</f>
        <v>5.76 HKD</v>
      </c>
      <c r="F121" s="403">
        <f>DCF!F93</f>
        <v>0.18</v>
      </c>
    </row>
    <row r="122" spans="1:6">
      <c r="B122" s="400" t="str">
        <f>DCF!B94</f>
        <v>Devil's advocate</v>
      </c>
      <c r="C122" s="401">
        <f>DCF!C94</f>
        <v>0</v>
      </c>
      <c r="D122" s="402">
        <f>DCF!D94</f>
        <v>10</v>
      </c>
      <c r="E122" s="398" t="str">
        <f>ROUND(DCF!E94,2)&amp;" "&amp;Market_currency</f>
        <v>5.1 HKD</v>
      </c>
      <c r="F122" s="403">
        <f>DCF!F94</f>
        <v>0.05</v>
      </c>
    </row>
    <row r="124" spans="1:6">
      <c r="B124" s="470" t="s">
        <v>519</v>
      </c>
      <c r="C124" s="470"/>
      <c r="D124" s="470"/>
      <c r="E124" s="470"/>
      <c r="F124" s="470"/>
    </row>
    <row r="125" spans="1:6">
      <c r="B125" s="372" t="s">
        <v>218</v>
      </c>
      <c r="C125" s="404">
        <f>Scenarios!C36</f>
        <v>6.5021029196761031</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0.54895547283303592</v>
      </c>
      <c r="D140" s="409">
        <f>Scenarios!D62</f>
        <v>2.9963607924774678</v>
      </c>
      <c r="E140" s="410">
        <f>Scenarios!E62</f>
        <v>3.5453162653105039</v>
      </c>
      <c r="F140" s="411">
        <f>E22</f>
        <v>0.29465259038036606</v>
      </c>
    </row>
    <row r="141" spans="1:6">
      <c r="B141" s="408" t="s">
        <v>313</v>
      </c>
      <c r="C141" s="409">
        <f>Scenarios!C63</f>
        <v>0.63120118418072357</v>
      </c>
      <c r="D141" s="409">
        <f>Scenarios!D63</f>
        <v>3.7557273182244653</v>
      </c>
      <c r="E141" s="410">
        <f>Scenarios!E63</f>
        <v>4.3869285024051887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4.6604498441297393</v>
      </c>
      <c r="E144" s="410">
        <f>Scenarios!E66</f>
        <v>5.3842307819113344</v>
      </c>
      <c r="F144" s="411">
        <f>E24</f>
        <v>0.1174</v>
      </c>
    </row>
    <row r="145" spans="1:6">
      <c r="B145" s="408" t="s">
        <v>314</v>
      </c>
      <c r="C145" s="409">
        <f>Scenarios!C67</f>
        <v>0.78371256815190493</v>
      </c>
      <c r="D145" s="409">
        <f>Scenarios!D67</f>
        <v>5.270622806763992</v>
      </c>
      <c r="E145" s="410">
        <f>Scenarios!E67</f>
        <v>6.0543353749158966</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2026-03-15T03:01:51Z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