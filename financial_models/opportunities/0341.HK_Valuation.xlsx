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816D14-DDE4-4108-B2FA-568785E83F4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107" i="2"/>
  <c r="C95" i="2"/>
  <c r="C81" i="2"/>
  <c r="C24" i="2"/>
  <c r="C109" i="2"/>
  <c r="C23" i="2"/>
  <c r="C26" i="2" s="1"/>
  <c r="C17" i="2"/>
  <c r="C108" i="2"/>
  <c r="I4" i="8"/>
  <c r="C73" i="2"/>
  <c r="C75" i="2"/>
  <c r="C38" i="2"/>
  <c r="D55" i="3"/>
  <c r="G29" i="3"/>
  <c r="D62" i="3" s="1"/>
  <c r="C5" i="2" l="1"/>
  <c r="C6" i="2" s="1"/>
  <c r="C8" i="2" s="1"/>
  <c r="C34" i="12" s="1"/>
  <c r="C32" i="2"/>
  <c r="C55" i="6"/>
  <c r="C55" i="12"/>
  <c r="D51" i="3"/>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80" i="6"/>
  <c r="C80" i="12"/>
  <c r="D68" i="6"/>
  <c r="D68" i="12"/>
  <c r="O77" i="2"/>
  <c r="O116" i="2" s="1"/>
  <c r="O14" i="2"/>
  <c r="P77" i="2"/>
  <c r="P116" i="2" s="1"/>
  <c r="P14" i="2"/>
  <c r="O96" i="2"/>
  <c r="G52" i="2"/>
  <c r="C38" i="12" l="1"/>
  <c r="C38" i="6"/>
  <c r="D77" i="8"/>
  <c r="B74" i="8"/>
  <c r="C79" i="8"/>
  <c r="E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68" i="6"/>
  <c r="C68" i="12"/>
  <c r="C52" i="12" l="1"/>
  <c r="C52" i="6"/>
  <c r="E51" i="8"/>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<sst xmlns="http://schemas.openxmlformats.org/spreadsheetml/2006/main" count="768" uniqueCount="558">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</sst>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4.6900000000000004</v>
      </c>
      <c r="E8" s="32"/>
    </row>
    <row r="9" spans="1:9">
      <c r="B9" s="4" t="s">
        <v>346</v>
      </c>
      <c r="C9" s="48">
        <v>580004033</v>
      </c>
    </row>
    <row r="10" spans="1:9">
      <c r="B10" s="4" t="s">
        <v>352</v>
      </c>
      <c r="C10" s="33">
        <f>Thesis!C8*Common_Shares/1000000</f>
        <v>2720.2189147700005</v>
      </c>
      <c r="D10" s="1" t="s">
        <v>528</v>
      </c>
      <c r="E10" s="303">
        <f>Scenarios!F34</f>
        <v>0.17285218305207994</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8.6124345128412286E-2</v>
      </c>
      <c r="F62" s="257"/>
    </row>
    <row r="63" spans="2:6">
      <c r="B63" s="204" t="s">
        <v>332</v>
      </c>
      <c r="C63" s="89">
        <f>Normalized_FCF!C92</f>
        <v>6.3965884861407252E-2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1" t="s">
        <v>357</v>
      </c>
      <c r="C124" s="461"/>
      <c r="D124" s="461"/>
      <c r="E124" s="461"/>
      <c r="F124" s="461"/>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6.3965884861407252E-2</v>
      </c>
      <c r="E92" s="237"/>
      <c r="G92" s="22">
        <f t="shared" ref="G92:Q92" si="38">IF(G$4="","",(G88*(1-dividend_tax_rate))/Market_Price)</f>
        <v>7.4626865671641784E-2</v>
      </c>
      <c r="H92" s="22">
        <f t="shared" si="38"/>
        <v>0.12153518123667376</v>
      </c>
      <c r="I92" s="22">
        <f t="shared" si="38"/>
        <v>8.1023454157782504E-2</v>
      </c>
      <c r="J92" s="22">
        <f t="shared" si="38"/>
        <v>8.1023454157782504E-2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237"/>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
        <v>554</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8">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8.6124345128412286E-2</v>
      </c>
      <c r="D124" s="26"/>
      <c r="E124" s="234"/>
      <c r="F124" s="26"/>
      <c r="G124" s="74">
        <f t="shared" ref="G124" si="49">IF(G$4="","",G123/Market_Price)</f>
        <v>0.10770256497458783</v>
      </c>
      <c r="H124" s="74">
        <f t="shared" ref="H124" si="50">IF(H$4="","",H123/Market_Price)</f>
        <v>0.12904935628143471</v>
      </c>
      <c r="I124" s="74">
        <f t="shared" ref="I124" si="51">IF(I$4="","",I123/Market_Price)</f>
        <v>4.1255169030071835E-2</v>
      </c>
      <c r="J124" s="74">
        <f t="shared" ref="J124" si="52">IF(J$4="","",J123/Market_Price)</f>
        <v>-8.5374416554915306E-3</v>
      </c>
      <c r="K124" s="74">
        <f t="shared" ref="K124" si="53">IF(K$4="","",K123/Market_Price)</f>
        <v>-4.369023366270091E-2</v>
      </c>
      <c r="L124" s="74">
        <f t="shared" ref="L124" si="54">IF(L$4="","",L123/Market_Price)</f>
        <v>7.6690151247492053E-2</v>
      </c>
      <c r="M124" s="74">
        <f t="shared" ref="M124" si="55">IF(M$4="","",M123/Market_Price)</f>
        <v>0.20505518764366165</v>
      </c>
      <c r="N124" s="74">
        <f t="shared" ref="N124" si="56">IF(N$4="","",N123/Market_Price)</f>
        <v>0.16914079874299467</v>
      </c>
      <c r="O124" s="74">
        <f t="shared" ref="O124" si="57">IF(O$4="","",O123/Market_Price)</f>
        <v>0.19018910470437025</v>
      </c>
      <c r="P124" s="74">
        <f t="shared" ref="P124" si="58">IF(P$4="","",P123/Market_Price)</f>
        <v>0.18542992891535306</v>
      </c>
      <c r="Q124" s="74" t="str">
        <f t="shared" ref="Q124" si="59">IF(Q$4="","",Q123/Market_Price)</f>
        <v/>
      </c>
    </row>
    <row r="125" spans="1:17" ht="15.75" customHeight="1">
      <c r="B125" s="2" t="s">
        <v>306</v>
      </c>
      <c r="C125" s="151"/>
      <c r="G125" s="22">
        <f>IF(G$4="","",(Data!C47*$C$3)/(Market_Price*Common_Shares))</f>
        <v>8.6430911395923099E-2</v>
      </c>
      <c r="H125" s="22">
        <f>IF(H$4="","",(Data!D47*$C$3)/(Market_Price*Common_Shares))</f>
        <v>0.12249565584252764</v>
      </c>
      <c r="I125" s="22">
        <f>IF(I$4="","",(Data!E47*$C$3)/(Market_Price*Common_Shares))</f>
        <v>4.0874283829248743E-2</v>
      </c>
      <c r="J125" s="22">
        <f>IF(J$4="","",(Data!F47*$C$3)/(Market_Price*Common_Shares))</f>
        <v>8.4000592290315763E-3</v>
      </c>
      <c r="K125" s="22">
        <f>IF(K$4="","",(Data!G47*$C$3)/(Market_Price*Common_Shares))</f>
        <v>0.13254447943226846</v>
      </c>
      <c r="L125" s="22">
        <f>IF(L$4="","",(Data!H47*$C$3)/(Market_Price*Common_Shares))</f>
        <v>2.7345593252111281E-2</v>
      </c>
      <c r="M125" s="22">
        <f>IF(M$4="","",(Data!I47*$C$3)/(Market_Price*Common_Shares))</f>
        <v>0.21766998118607817</v>
      </c>
      <c r="N125" s="22">
        <f>IF(N$4="","",(Data!J47*$C$3)/(Market_Price*Common_Shares))</f>
        <v>0.16884486667825196</v>
      </c>
      <c r="O125" s="22">
        <f>IF(O$4="","",(Data!K47*$C$3)/(Market_Price*Common_Shares))</f>
        <v>0.18522406313118422</v>
      </c>
      <c r="P125" s="22">
        <f>IF(P$4="","",(Data!L47*$C$3)/(Market_Price*Common_Shares))</f>
        <v>0.19037438391012218</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555</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4.6900000000000004</v>
      </c>
      <c r="D34" t="str">
        <f>Market_currency</f>
        <v>HKD</v>
      </c>
      <c r="E34" s="97" t="s">
        <v>454</v>
      </c>
      <c r="F34" s="330">
        <f>RATE(Holding_Period,$C$33,-C34,$C$36)</f>
        <v>0.17285218305207994</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4.6900000000000004</v>
      </c>
    </row>
    <row r="9" spans="1:10">
      <c r="B9" s="351" t="s">
        <v>361</v>
      </c>
      <c r="C9" s="353">
        <f>Common_Shares</f>
        <v>580004033</v>
      </c>
    </row>
    <row r="10" spans="1:10">
      <c r="B10" s="351" t="s">
        <v>367</v>
      </c>
      <c r="C10" s="357">
        <f>投资主题!C8*Common_Shares/1000000</f>
        <v>2720.2189147700005</v>
      </c>
      <c r="D10" s="343" t="s">
        <v>529</v>
      </c>
      <c r="E10" s="360">
        <f>Scenarios!F34</f>
        <v>0.17285218305207994</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8.6124345128412286E-2</v>
      </c>
      <c r="F62" s="379"/>
    </row>
    <row r="63" spans="2:6">
      <c r="B63" s="377" t="s">
        <v>332</v>
      </c>
      <c r="C63" s="378">
        <f>Normalized_FCF!C92</f>
        <v>6.3965884861407252E-2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