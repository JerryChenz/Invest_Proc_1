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742CC5A-E382-40C6-A7E4-2074632C482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<sst xmlns="http://schemas.openxmlformats.org/spreadsheetml/2006/main" count="768" uniqueCount="557">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</sst>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46038</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4.46</v>
      </c>
      <c r="E8" s="32"/>
    </row>
    <row r="9" spans="1:9">
      <c r="B9" s="4" t="s">
        <v>346</v>
      </c>
      <c r="C9" s="48">
        <v>580004033</v>
      </c>
    </row>
    <row r="10" spans="1:9">
      <c r="B10" s="4" t="s">
        <v>352</v>
      </c>
      <c r="C10" s="33">
        <f>Thesis!C8*Common_Shares/1000000</f>
        <v>2586.8179871799998</v>
      </c>
      <c r="D10" s="1" t="s">
        <v>527</v>
      </c>
      <c r="E10" s="303">
        <f>Scenarios!F34</f>
        <v>0.19260821864077005</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0.01</v>
      </c>
      <c r="D17" s="4" t="s">
        <v>274</v>
      </c>
      <c r="E17" s="224" t="s">
        <v>308</v>
      </c>
    </row>
    <row r="18" spans="1:6">
      <c r="B18" s="1" t="str">
        <f>"Expected Equity Value ("&amp;C7&amp;") :"</f>
        <v>Expected Equity Value (HKD) :</v>
      </c>
      <c r="C18" s="252">
        <f>C125</f>
        <v>6.4808597690273908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3.4947017610502455</v>
      </c>
      <c r="D22" s="38" t="s">
        <v>406</v>
      </c>
      <c r="E22" s="79">
        <v>0.3</v>
      </c>
    </row>
    <row r="23" spans="1:6">
      <c r="B23" s="1" t="s">
        <v>313</v>
      </c>
      <c r="C23" s="256">
        <f>E141</f>
        <v>4.3824419959649257</v>
      </c>
      <c r="D23" s="38" t="s">
        <v>407</v>
      </c>
      <c r="E23" s="443">
        <v>0.2</v>
      </c>
    </row>
    <row r="24" spans="1:6">
      <c r="B24" s="1" t="s">
        <v>315</v>
      </c>
      <c r="C24" s="256">
        <f>E144</f>
        <v>5.3690045329034906</v>
      </c>
      <c r="D24" s="38" t="s">
        <v>408</v>
      </c>
      <c r="E24" s="443">
        <v>0.1174</v>
      </c>
    </row>
    <row r="25" spans="1:6">
      <c r="B25" s="1" t="s">
        <v>314</v>
      </c>
      <c r="C25" s="256">
        <f>E145</f>
        <v>6.0371156176035647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398162</v>
      </c>
      <c r="D34" s="1" t="str">
        <f>Reporting_currency</f>
        <v>HKD</v>
      </c>
    </row>
    <row r="35" spans="2:6">
      <c r="B35" s="44"/>
      <c r="C35" s="73"/>
    </row>
    <row r="36" spans="2:6" ht="24.5" customHeight="1">
      <c r="B36" s="463" t="s">
        <v>198</v>
      </c>
      <c r="C36" s="463"/>
      <c r="D36" s="463"/>
      <c r="E36" s="463"/>
      <c r="F36" s="463"/>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3" t="s">
        <v>206</v>
      </c>
      <c r="C51" s="463"/>
      <c r="D51" s="463"/>
      <c r="E51" s="463"/>
      <c r="F51" s="463"/>
    </row>
    <row r="52" spans="2:6">
      <c r="B52" s="44" t="s">
        <v>204</v>
      </c>
      <c r="C52" s="285">
        <f>Normalized_FCF!C12</f>
        <v>-52106.345858861256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9.0565735123823696E-2</v>
      </c>
      <c r="F62" s="257"/>
    </row>
    <row r="63" spans="2:6">
      <c r="B63" s="204" t="s">
        <v>332</v>
      </c>
      <c r="C63" s="89">
        <f>Normalized_FCF!C92</f>
        <v>6.7264573991031404E-2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3" t="s">
        <v>357</v>
      </c>
      <c r="C124" s="463"/>
      <c r="D124" s="463"/>
      <c r="E124" s="463"/>
      <c r="F124" s="463"/>
    </row>
    <row r="125" spans="2:6">
      <c r="B125" s="193" t="s">
        <v>218</v>
      </c>
      <c r="C125" s="197">
        <f>Scenarios!C36</f>
        <v>6.4808597690273908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0.54483386436049175</v>
      </c>
      <c r="D140" s="333">
        <f>Scenarios!D62</f>
        <v>2.9498678966897538</v>
      </c>
      <c r="E140" s="334">
        <f>Scenarios!E62</f>
        <v>3.4947017610502455</v>
      </c>
      <c r="F140" s="335">
        <f>E22</f>
        <v>0.3</v>
      </c>
    </row>
    <row r="141" spans="1:6">
      <c r="B141" s="336" t="s">
        <v>313</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4.6452235951218954</v>
      </c>
      <c r="E144" s="334">
        <f>Scenarios!E66</f>
        <v>5.3690045329034906</v>
      </c>
      <c r="F144" s="335">
        <f>E24</f>
        <v>0.1174</v>
      </c>
    </row>
    <row r="145" spans="1:6">
      <c r="B145" s="336" t="s">
        <v>314</v>
      </c>
      <c r="C145" s="333">
        <f>Scenarios!C67</f>
        <v>0.78371256815190493</v>
      </c>
      <c r="D145" s="333">
        <f>Scenarios!D67</f>
        <v>5.2534030494516601</v>
      </c>
      <c r="E145" s="334">
        <f>Scenarios!E67</f>
        <v>6.0371156176035647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546</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3" activePane="bottomRight" state="frozen"/>
      <selection activeCell="C17" sqref="C17"/>
      <selection pane="topRight" activeCell="C17" sqref="C17"/>
      <selection pane="bottomLeft" activeCell="C17" sqref="C17"/>
      <selection pane="bottomRight" activeCell="F120" sqref="F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547</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6.7264573991031404E-2</v>
      </c>
      <c r="E92" s="237"/>
      <c r="G92" s="22">
        <f t="shared" ref="G92:Q92" si="38">IF(G$4="","",(G88*(1-dividend_tax_rate))/Market_Price)</f>
        <v>7.8475336322869946E-2</v>
      </c>
      <c r="H92" s="22">
        <f t="shared" si="38"/>
        <v>0.12780269058295962</v>
      </c>
      <c r="I92" s="22">
        <f t="shared" si="38"/>
        <v>8.520179372197309E-2</v>
      </c>
      <c r="J92" s="22">
        <f t="shared" si="38"/>
        <v>8.520179372197309E-2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9.0565735123823696E-2</v>
      </c>
      <c r="D124" s="26"/>
      <c r="E124" s="234"/>
      <c r="F124" s="26"/>
      <c r="G124" s="74">
        <f t="shared" ref="G124" si="49">IF(G$4="","",G123/Market_Price)</f>
        <v>0.11325673312350157</v>
      </c>
      <c r="H124" s="74">
        <f t="shared" ref="H124" si="50">IF(H$4="","",H123/Market_Price)</f>
        <v>0.13570436792823518</v>
      </c>
      <c r="I124" s="74">
        <f t="shared" ref="I124" si="51">IF(I$4="","",I123/Market_Price)</f>
        <v>4.3382677746869262E-2</v>
      </c>
      <c r="J124" s="74">
        <f t="shared" ref="J124" si="52">IF(J$4="","",J123/Market_Price)</f>
        <v>-8.9777133103711385E-3</v>
      </c>
      <c r="K124" s="74">
        <f t="shared" ref="K124" si="53">IF(K$4="","",K123/Market_Price)</f>
        <v>-4.5943317461450063E-2</v>
      </c>
      <c r="L124" s="74">
        <f t="shared" ref="L124" si="54">IF(L$4="","",L123/Market_Price)</f>
        <v>8.064502451810264E-2</v>
      </c>
      <c r="M124" s="74">
        <f t="shared" ref="M124" si="55">IF(M$4="","",M123/Market_Price)</f>
        <v>0.21562978252214646</v>
      </c>
      <c r="N124" s="74">
        <f t="shared" ref="N124" si="56">IF(N$4="","",N123/Market_Price)</f>
        <v>0.17786330630148994</v>
      </c>
      <c r="O124" s="74">
        <f t="shared" ref="O124" si="57">IF(O$4="","",O123/Market_Price)</f>
        <v>0.19999706301872119</v>
      </c>
      <c r="P124" s="74">
        <f t="shared" ref="P124" si="58">IF(P$4="","",P123/Market_Price)</f>
        <v>0.19499245888183991</v>
      </c>
      <c r="Q124" s="74" t="str">
        <f t="shared" ref="Q124" si="59">IF(Q$4="","",Q123/Market_Price)</f>
        <v/>
      </c>
    </row>
    <row r="125" spans="1:17" ht="15.75" customHeight="1">
      <c r="B125" s="2" t="s">
        <v>306</v>
      </c>
      <c r="C125" s="151"/>
      <c r="G125" s="22">
        <f>IF(G$4="","",(Data!C47*$C$3)/(Market_Price*Common_Shares))</f>
        <v>9.0888110862529015E-2</v>
      </c>
      <c r="H125" s="22">
        <f>IF(H$4="","",(Data!D47*$C$3)/(Market_Price*Common_Shares))</f>
        <v>0.1288126963904607</v>
      </c>
      <c r="I125" s="22">
        <f>IF(I$4="","",(Data!E47*$C$3)/(Market_Price*Common_Shares))</f>
        <v>4.2982150484120324E-2</v>
      </c>
      <c r="J125" s="22">
        <f>IF(J$4="","",(Data!F47*$C$3)/(Market_Price*Common_Shares))</f>
        <v>8.8332461399457628E-3</v>
      </c>
      <c r="K125" s="22">
        <f>IF(K$4="","",(Data!G47*$C$3)/(Market_Price*Common_Shares))</f>
        <v>0.13937973285590569</v>
      </c>
      <c r="L125" s="22">
        <f>IF(L$4="","",(Data!H47*$C$3)/(Market_Price*Common_Shares))</f>
        <v>2.875579200726501E-2</v>
      </c>
      <c r="M125" s="22">
        <f>IF(M$4="","",(Data!I47*$C$3)/(Market_Price*Common_Shares))</f>
        <v>0.22889511474500154</v>
      </c>
      <c r="N125" s="22">
        <f>IF(N$4="","",(Data!J47*$C$3)/(Market_Price*Common_Shares))</f>
        <v>0.17755211316614394</v>
      </c>
      <c r="O125" s="22">
        <f>IF(O$4="","",(Data!K47*$C$3)/(Market_Price*Common_Shares))</f>
        <v>0.19477597670072963</v>
      </c>
      <c r="P125" s="22">
        <f>IF(P$4="","",(Data!L47*$C$3)/(Market_Price*Common_Shares))</f>
        <v>0.20019189698172046</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549</v>
      </c>
      <c r="C17" s="306">
        <f>Normalized_FCF!C77</f>
        <v>3.6856250242404666E-2</v>
      </c>
      <c r="E17" s="308" t="s">
        <v>550</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6.4641175566409004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420</v>
      </c>
      <c r="K52" s="468"/>
      <c r="L52" s="317">
        <f>SUM(L21:L51)</f>
        <v>5448203.6034628283</v>
      </c>
    </row>
    <row r="53" spans="1:21">
      <c r="C53" s="111"/>
    </row>
    <row r="54" spans="1:21" ht="13.15">
      <c r="B54" s="115" t="s">
        <v>108</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4" sqref="E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7.5134873757066085</v>
      </c>
      <c r="F22" s="328">
        <f>1-F23-F24</f>
        <v>0.2</v>
      </c>
      <c r="G22" s="328">
        <f>F22*(1-F$29-F$30)</f>
        <v>0.18</v>
      </c>
    </row>
    <row r="23" spans="2:7">
      <c r="B23" s="302" t="s">
        <v>437</v>
      </c>
      <c r="C23" s="324">
        <v>0.02</v>
      </c>
      <c r="D23" s="325">
        <f>C18</f>
        <v>15</v>
      </c>
      <c r="E23" s="326">
        <f>DCF!E92</f>
        <v>6.4349116044677661</v>
      </c>
      <c r="F23" s="327">
        <v>0.6</v>
      </c>
      <c r="G23" s="328">
        <f t="shared" ref="G23:G24" si="0">F23*(1-F$29-F$30)</f>
        <v>0.53999999999999992</v>
      </c>
    </row>
    <row r="24" spans="2:7">
      <c r="B24" s="302" t="s">
        <v>446</v>
      </c>
      <c r="C24" s="324">
        <v>0.01</v>
      </c>
      <c r="D24" s="325">
        <f>C18</f>
        <v>15</v>
      </c>
      <c r="E24" s="326">
        <f>DCF!E93</f>
        <v>5.4770440209552005</v>
      </c>
      <c r="F24" s="327">
        <v>0.2</v>
      </c>
      <c r="G24" s="328">
        <f t="shared" si="0"/>
        <v>0.18</v>
      </c>
    </row>
    <row r="25" spans="2:7">
      <c r="B25" s="141" t="s">
        <v>451</v>
      </c>
      <c r="C25" s="441">
        <f>E23*F23+E24*F24+E22*F22</f>
        <v>6.459053242013022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15</v>
      </c>
      <c r="E29" s="326">
        <f>DCF!E90</f>
        <v>8.7277543915894444</v>
      </c>
      <c r="F29" s="327">
        <v>0.05</v>
      </c>
      <c r="G29" s="328">
        <f>F29</f>
        <v>0.05</v>
      </c>
    </row>
    <row r="30" spans="2:7">
      <c r="B30" s="315" t="s">
        <v>447</v>
      </c>
      <c r="C30" s="324">
        <v>0</v>
      </c>
      <c r="D30" s="325">
        <f>C18</f>
        <v>15</v>
      </c>
      <c r="E30" s="326">
        <f>DCF!E94</f>
        <v>4.6264826327239916</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4.46</v>
      </c>
      <c r="D34" t="str">
        <f>Market_currency</f>
        <v>HKD</v>
      </c>
      <c r="E34" s="97" t="s">
        <v>454</v>
      </c>
      <c r="F34" s="330">
        <f>RATE(Holding_Period,$C$33,-C34,$C$36)</f>
        <v>0.19260821864077005</v>
      </c>
    </row>
    <row r="35" spans="2:7">
      <c r="B35" s="97" t="s">
        <v>434</v>
      </c>
      <c r="C35" s="320">
        <f>DCF!C11</f>
        <v>3.5981269513780507</v>
      </c>
      <c r="D35" s="97" t="str">
        <f>Market_currency</f>
        <v>HKD</v>
      </c>
      <c r="E35" s="97" t="s">
        <v>454</v>
      </c>
      <c r="F35" s="330">
        <f>RATE(Holding_Period,$C$33,-C35,$C$36)</f>
        <v>0.28661757615376754</v>
      </c>
    </row>
    <row r="36" spans="2:7">
      <c r="B36" s="97" t="s">
        <v>435</v>
      </c>
      <c r="C36" s="321">
        <f>E22*G22+E23*G23+E24*G24+E30*G30+E29*G29</f>
        <v>6.4808597690273908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2.0287009867734501E-2</v>
      </c>
      <c r="D46" s="138"/>
      <c r="E46" s="221" t="s">
        <v>252</v>
      </c>
    </row>
    <row r="47" spans="2:7">
      <c r="B47" s="97" t="s">
        <v>96</v>
      </c>
      <c r="C47" s="146">
        <f>DCF!I18</f>
        <v>6.4641175566409004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-0.45198811886682388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313</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314</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F5" sqref="F5"/>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46038</v>
      </c>
    </row>
    <row r="4" spans="1:10">
      <c r="B4" s="422" t="s">
        <v>533</v>
      </c>
      <c r="C4" s="423" t="str">
        <f>Thesis!C4</f>
        <v>大家乐集团</v>
      </c>
      <c r="D4" s="349"/>
      <c r="E4" s="434" t="s">
        <v>539</v>
      </c>
      <c r="F4" s="437" t="str">
        <f>Thesis!F4</f>
        <v>INT</v>
      </c>
    </row>
    <row r="5" spans="1:10">
      <c r="B5" s="343" t="s">
        <v>364</v>
      </c>
      <c r="C5" s="355" t="str">
        <f>Thesis!C5</f>
        <v>0341.HK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4.46</v>
      </c>
    </row>
    <row r="9" spans="1:10">
      <c r="B9" s="351" t="s">
        <v>361</v>
      </c>
      <c r="C9" s="353">
        <f>Common_Shares</f>
        <v>580004033</v>
      </c>
    </row>
    <row r="10" spans="1:10">
      <c r="B10" s="351" t="s">
        <v>367</v>
      </c>
      <c r="C10" s="357">
        <f>投资主题!C8*Common_Shares/1000000</f>
        <v>2586.8179871799998</v>
      </c>
      <c r="D10" s="343" t="s">
        <v>528</v>
      </c>
      <c r="E10" s="360">
        <f>Scenarios!F34</f>
        <v>0.19260821864077005</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0.01</v>
      </c>
      <c r="D17" s="351" t="s">
        <v>339</v>
      </c>
      <c r="E17" s="344" t="str">
        <f>Reporting_currency</f>
        <v>HKD</v>
      </c>
    </row>
    <row r="18" spans="1:6">
      <c r="B18" s="343" t="str">
        <f>"预期股权价值 ("&amp;C7&amp;") :"</f>
        <v>预期股权价值 (HKD) :</v>
      </c>
      <c r="C18" s="359">
        <f>C125</f>
        <v>6.4808597690273908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3.4947017610502455</v>
      </c>
      <c r="D22" s="365" t="s">
        <v>440</v>
      </c>
      <c r="E22" s="366">
        <f>Thesis!E22</f>
        <v>0.3</v>
      </c>
    </row>
    <row r="23" spans="1:6">
      <c r="B23" s="343" t="s">
        <v>341</v>
      </c>
      <c r="C23" s="367">
        <f>E141</f>
        <v>4.3824419959649257</v>
      </c>
      <c r="D23" s="365" t="s">
        <v>441</v>
      </c>
      <c r="E23" s="368">
        <f>Thesis!E23</f>
        <v>0.2</v>
      </c>
    </row>
    <row r="24" spans="1:6">
      <c r="B24" s="343" t="s">
        <v>343</v>
      </c>
      <c r="C24" s="367">
        <f>E144</f>
        <v>5.3690045329034906</v>
      </c>
      <c r="D24" s="365" t="s">
        <v>443</v>
      </c>
      <c r="E24" s="368">
        <f>Thesis!E24</f>
        <v>0.1174</v>
      </c>
    </row>
    <row r="25" spans="1:6">
      <c r="B25" s="343" t="s">
        <v>342</v>
      </c>
      <c r="C25" s="367">
        <f>E145</f>
        <v>6.0371156176035647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504</v>
      </c>
    </row>
    <row r="49" spans="2:6">
      <c r="B49" s="372" t="s">
        <v>223</v>
      </c>
      <c r="C49" s="373">
        <f>Normalized_FCF!C13</f>
        <v>-29412.617008902169</v>
      </c>
      <c r="D49" s="343" t="str">
        <f>Reporting_currency</f>
        <v>HKD</v>
      </c>
    </row>
    <row r="51" spans="2:6">
      <c r="B51" s="470" t="s">
        <v>505</v>
      </c>
      <c r="C51" s="470"/>
      <c r="D51" s="470"/>
      <c r="E51" s="470"/>
      <c r="F51" s="470"/>
    </row>
    <row r="52" spans="2:6">
      <c r="B52" s="372" t="s">
        <v>496</v>
      </c>
      <c r="C52" s="373">
        <f>Normalized_FCF!C12</f>
        <v>-52106.345858861256</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9.0565735123823696E-2</v>
      </c>
      <c r="F62" s="379"/>
    </row>
    <row r="63" spans="2:6">
      <c r="B63" s="377" t="s">
        <v>332</v>
      </c>
      <c r="C63" s="378">
        <f>Normalized_FCF!C92</f>
        <v>6.7264573991031404E-2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511</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512</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518</v>
      </c>
      <c r="C124" s="470"/>
      <c r="D124" s="470"/>
      <c r="E124" s="470"/>
      <c r="F124" s="470"/>
    </row>
    <row r="125" spans="1:6">
      <c r="B125" s="372" t="s">
        <v>218</v>
      </c>
      <c r="C125" s="404">
        <f>Scenarios!C36</f>
        <v>6.4808597690273908</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0.54483386436049175</v>
      </c>
      <c r="D140" s="409">
        <f>Scenarios!D62</f>
        <v>2.9498678966897538</v>
      </c>
      <c r="E140" s="410">
        <f>Scenarios!E62</f>
        <v>3.4947017610502455</v>
      </c>
      <c r="F140" s="411">
        <f>E22</f>
        <v>0.3</v>
      </c>
    </row>
    <row r="141" spans="1:6">
      <c r="B141" s="408" t="s">
        <v>313</v>
      </c>
      <c r="C141" s="409">
        <f>Scenarios!C63</f>
        <v>0.63194444444444453</v>
      </c>
      <c r="D141" s="409">
        <f>Scenarios!D63</f>
        <v>3.750497551520481</v>
      </c>
      <c r="E141" s="410">
        <f>Scenarios!E63</f>
        <v>4.3824419959649257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4.6452235951218954</v>
      </c>
      <c r="E144" s="410">
        <f>Scenarios!E66</f>
        <v>5.3690045329034906</v>
      </c>
      <c r="F144" s="411">
        <f>E24</f>
        <v>0.1174</v>
      </c>
    </row>
    <row r="145" spans="1:6">
      <c r="B145" s="408" t="s">
        <v>314</v>
      </c>
      <c r="C145" s="409">
        <f>Scenarios!C67</f>
        <v>0.78371256815190493</v>
      </c>
      <c r="D145" s="409">
        <f>Scenarios!D67</f>
        <v>5.2534030494516601</v>
      </c>
      <c r="E145" s="410">
        <f>Scenarios!E67</f>
        <v>6.0371156176035647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