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B51099-1C64-4083-9485-48866599F07F}"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<sst xmlns="http://schemas.openxmlformats.org/spreadsheetml/2006/main" count="766" uniqueCount="555">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</sst>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6.5</v>
      </c>
      <c r="E8" s="32"/>
    </row>
    <row r="9" spans="1:9">
      <c r="B9" s="4" t="s">
        <v>346</v>
      </c>
      <c r="C9" s="48">
        <v>580004033</v>
      </c>
    </row>
    <row r="10" spans="1:9">
      <c r="B10" s="4" t="s">
        <v>352</v>
      </c>
      <c r="C10" s="33">
        <f>Thesis!C8*Common_Shares/1000000</f>
        <v>3770.0262145000002</v>
      </c>
      <c r="D10" s="1" t="s">
        <v>532</v>
      </c>
      <c r="E10" s="310">
        <f>Scenarios!F34</f>
        <v>0.15535566535489756</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2</v>
      </c>
    </row>
    <row r="22" spans="1:6">
      <c r="B22" s="1" t="s">
        <v>312</v>
      </c>
      <c r="C22" s="261">
        <f>E140</f>
        <v>4.8034904644125618</v>
      </c>
      <c r="D22" s="38" t="s">
        <v>409</v>
      </c>
      <c r="E22" s="79">
        <v>0.35</v>
      </c>
    </row>
    <row r="23" spans="1:6">
      <c r="B23" s="1" t="s">
        <v>313</v>
      </c>
      <c r="C23" s="262">
        <f>E141</f>
        <v>5.5771912776908135</v>
      </c>
      <c r="D23" s="38" t="s">
        <v>410</v>
      </c>
      <c r="E23" s="451">
        <v>0.25</v>
      </c>
    </row>
    <row r="24" spans="1:6">
      <c r="B24" s="1" t="s">
        <v>315</v>
      </c>
      <c r="C24" s="262">
        <f>E144</f>
        <v>6.9369221239222432</v>
      </c>
      <c r="D24" s="38" t="s">
        <v>411</v>
      </c>
      <c r="E24" s="451">
        <v>0.1174</v>
      </c>
    </row>
    <row r="25" spans="1:6">
      <c r="B25" s="1" t="s">
        <v>314</v>
      </c>
      <c r="C25" s="262">
        <f>E145</f>
        <v>7.5142920296167883</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399119.96227138769</v>
      </c>
      <c r="D34" s="1" t="str">
        <f>Reporting_currency</f>
        <v>HKD</v>
      </c>
    </row>
    <row r="35" spans="2:6">
      <c r="B35" s="44"/>
      <c r="C35" s="73"/>
    </row>
    <row r="36" spans="2:6" ht="24.5" customHeight="1">
      <c r="B36" s="460" t="s">
        <v>198</v>
      </c>
      <c r="C36" s="460"/>
      <c r="D36" s="460"/>
      <c r="E36" s="460"/>
      <c r="F36" s="460"/>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0" t="s">
        <v>206</v>
      </c>
      <c r="C51" s="460"/>
      <c r="D51" s="460"/>
      <c r="E51" s="460"/>
      <c r="F51" s="460"/>
    </row>
    <row r="52" spans="2:6">
      <c r="B52" s="44" t="s">
        <v>204</v>
      </c>
      <c r="C52" s="292">
        <f>Normalized_FCF!C12</f>
        <v>-52872.613354906651</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6.1063666265514203E-2</v>
      </c>
      <c r="F62" s="263"/>
    </row>
    <row r="63" spans="2:6">
      <c r="B63" s="206" t="s">
        <v>332</v>
      </c>
      <c r="C63" s="89">
        <f>Normalized_FCF!C92</f>
        <v>6.1538461538461542E-2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0" t="s">
        <v>357</v>
      </c>
      <c r="C124" s="460"/>
      <c r="D124" s="460"/>
      <c r="E124" s="460"/>
      <c r="F124" s="460"/>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0.51577503429355298</v>
      </c>
      <c r="D140" s="340">
        <f>Scenarios!D62</f>
        <v>4.2877154301190092</v>
      </c>
      <c r="E140" s="341">
        <f>Scenarios!E62</f>
        <v>4.8034904644125618</v>
      </c>
      <c r="F140" s="342">
        <f>E22</f>
        <v>0.35</v>
      </c>
    </row>
    <row r="141" spans="1:6">
      <c r="B141" s="343" t="s">
        <v>313</v>
      </c>
      <c r="C141" s="340">
        <f>Scenarios!C63</f>
        <v>0.57600000000000007</v>
      </c>
      <c r="D141" s="340">
        <f>Scenarios!D63</f>
        <v>5.001191277690813</v>
      </c>
      <c r="E141" s="341">
        <f>Scenarios!E63</f>
        <v>5.5771912776908135</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0.67833709316953872</v>
      </c>
      <c r="D144" s="340">
        <f>Scenarios!D66</f>
        <v>6.2585850307527044</v>
      </c>
      <c r="E144" s="341">
        <f>Scenarios!E66</f>
        <v>6.9369221239222432</v>
      </c>
      <c r="F144" s="342">
        <f>E24</f>
        <v>0.1174</v>
      </c>
    </row>
    <row r="145" spans="1:6">
      <c r="B145" s="343" t="s">
        <v>314</v>
      </c>
      <c r="C145" s="340">
        <f>Scenarios!C67</f>
        <v>0.72070897245722421</v>
      </c>
      <c r="D145" s="340">
        <f>Scenarios!D67</f>
        <v>6.7935830571595641</v>
      </c>
      <c r="E145" s="341">
        <f>Scenarios!E67</f>
        <v>7.5142920296167883</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6.1538461538461542E-2</v>
      </c>
      <c r="E92" s="241"/>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6.1063666265514203E-2</v>
      </c>
      <c r="D124" s="26"/>
      <c r="E124" s="238"/>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306</v>
      </c>
      <c r="C125" s="151"/>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2</v>
      </c>
    </row>
    <row r="34" spans="2:7">
      <c r="B34" s="97" t="s">
        <v>233</v>
      </c>
      <c r="C34" s="146">
        <f>Market_Price</f>
        <v>6.5</v>
      </c>
      <c r="D34" t="str">
        <f>Market_currency</f>
        <v>HKD</v>
      </c>
      <c r="E34" s="97" t="s">
        <v>458</v>
      </c>
      <c r="F34" s="337">
        <f>RATE(Holding_Period,$C$33,-C34,$C$36)</f>
        <v>0.15535566535489756</v>
      </c>
    </row>
    <row r="35" spans="2:7">
      <c r="B35" s="97" t="s">
        <v>438</v>
      </c>
      <c r="C35" s="327">
        <f>DCF!C11</f>
        <v>2.5670270786220946</v>
      </c>
      <c r="D35" s="97" t="str">
        <f>Market_currency</f>
        <v>HKD</v>
      </c>
      <c r="E35" s="97" t="s">
        <v>458</v>
      </c>
      <c r="F35" s="337">
        <f>RATE(Holding_Period,$C$33,-C35,$C$36)</f>
        <v>0.8684477448290957</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0.51577503429355298</v>
      </c>
      <c r="D62" s="119">
        <f>C36/(1+F62)^Holding_Period</f>
        <v>4.2877154301190092</v>
      </c>
      <c r="E62" s="339">
        <f>C62+D62</f>
        <v>4.8034904644125618</v>
      </c>
      <c r="F62" s="308">
        <f>Thesis!E22</f>
        <v>0.35</v>
      </c>
      <c r="G62" s="448">
        <f>(1-E62/C36)</f>
        <v>0.38529967631162121</v>
      </c>
    </row>
    <row r="63" spans="2:7" ht="13.15">
      <c r="B63" s="309" t="s">
        <v>313</v>
      </c>
      <c r="C63" s="119">
        <f>PV(F63, Holding_Period, -C58, 0)</f>
        <v>0.57600000000000007</v>
      </c>
      <c r="D63" s="119">
        <f>C36/(1+F63)^Holding_Period</f>
        <v>5.001191277690813</v>
      </c>
      <c r="E63" s="339">
        <f>C63+D63</f>
        <v>5.5771912776908135</v>
      </c>
      <c r="F63" s="308">
        <f>Thesis!E23</f>
        <v>0.25</v>
      </c>
      <c r="G63" s="448">
        <f>(1-E63/C36)</f>
        <v>0.28628956192009292</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0.67833709316953872</v>
      </c>
      <c r="D66" s="119">
        <f>C36/(1+F66)^Holding_Period</f>
        <v>6.2585850307527044</v>
      </c>
      <c r="E66" s="339">
        <f>C66+D66</f>
        <v>6.9369221239222432</v>
      </c>
      <c r="F66" s="308">
        <f>Thesis!E24</f>
        <v>0.1174</v>
      </c>
      <c r="G66" s="448">
        <f>(1-E66/C47)</f>
        <v>0.11178286983800823</v>
      </c>
    </row>
    <row r="67" spans="2:7" ht="13.15">
      <c r="B67" s="309" t="s">
        <v>314</v>
      </c>
      <c r="C67" s="119">
        <f>PV(F67, Holding_Period, -C58, 0)</f>
        <v>0.72070897245722421</v>
      </c>
      <c r="D67" s="119">
        <f>C36/(1+F67)^Holding_Period</f>
        <v>6.7935830571595641</v>
      </c>
      <c r="E67" s="339">
        <f>C67+D67</f>
        <v>7.5142920296167883</v>
      </c>
      <c r="F67" s="308">
        <f>Thesis!E25</f>
        <v>7.2499999999999995E-2</v>
      </c>
      <c r="G67" s="448">
        <f>(1-E67/C36)</f>
        <v>3.8399726799639766E-2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6.5</v>
      </c>
    </row>
    <row r="9" spans="1:10">
      <c r="B9" s="358" t="s">
        <v>361</v>
      </c>
      <c r="C9" s="360">
        <f>Common_Shares</f>
        <v>580004033</v>
      </c>
    </row>
    <row r="10" spans="1:10">
      <c r="B10" s="358" t="s">
        <v>367</v>
      </c>
      <c r="C10" s="364">
        <f>投资主题!C8*Common_Shares/1000000</f>
        <v>3770.0262145000002</v>
      </c>
      <c r="D10" s="350" t="s">
        <v>533</v>
      </c>
      <c r="E10" s="367">
        <f>Scenarios!F34</f>
        <v>0.15535566535489756</v>
      </c>
    </row>
    <row r="11" spans="1:10">
      <c r="D11" s="356"/>
      <c r="E11" s="356"/>
    </row>
    <row r="12" spans="1:10" ht="24.5" customHeight="1">
      <c r="B12" s="470" t="s">
        <v>502</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2</v>
      </c>
    </row>
    <row r="22" spans="1:6">
      <c r="B22" s="350" t="s">
        <v>340</v>
      </c>
      <c r="C22" s="371">
        <f>E140</f>
        <v>4.8034904644125618</v>
      </c>
      <c r="D22" s="372" t="s">
        <v>444</v>
      </c>
      <c r="E22" s="373">
        <f>Thesis!E22</f>
        <v>0.35</v>
      </c>
    </row>
    <row r="23" spans="1:6">
      <c r="B23" s="350" t="s">
        <v>341</v>
      </c>
      <c r="C23" s="374">
        <f>E141</f>
        <v>5.5771912776908135</v>
      </c>
      <c r="D23" s="372" t="s">
        <v>445</v>
      </c>
      <c r="E23" s="375">
        <f>Thesis!E23</f>
        <v>0.25</v>
      </c>
    </row>
    <row r="24" spans="1:6">
      <c r="B24" s="350" t="s">
        <v>343</v>
      </c>
      <c r="C24" s="374">
        <f>E144</f>
        <v>6.9369221239222432</v>
      </c>
      <c r="D24" s="372" t="s">
        <v>447</v>
      </c>
      <c r="E24" s="375">
        <f>Thesis!E24</f>
        <v>0.1174</v>
      </c>
    </row>
    <row r="25" spans="1:6">
      <c r="B25" s="350" t="s">
        <v>342</v>
      </c>
      <c r="C25" s="374">
        <f>E145</f>
        <v>7.5142920296167883</v>
      </c>
      <c r="D25" s="372" t="s">
        <v>446</v>
      </c>
      <c r="E25" s="375">
        <f>Thesis!E25</f>
        <v>7.2499999999999995E-2</v>
      </c>
    </row>
    <row r="27" spans="1:6" ht="13.9">
      <c r="A27" s="352" t="s">
        <v>345</v>
      </c>
      <c r="B27" s="352"/>
      <c r="C27" s="352"/>
      <c r="D27" s="352"/>
      <c r="E27" s="352"/>
      <c r="F27" s="352"/>
    </row>
    <row r="29" spans="1:6">
      <c r="B29" s="470" t="s">
        <v>503</v>
      </c>
      <c r="C29" s="470"/>
      <c r="D29" s="470"/>
      <c r="E29" s="470"/>
      <c r="F29" s="470"/>
    </row>
    <row r="30" spans="1:6" ht="24.5" customHeight="1">
      <c r="B30" s="471" t="s">
        <v>504</v>
      </c>
      <c r="C30" s="471"/>
      <c r="D30" s="471"/>
      <c r="E30" s="471"/>
      <c r="F30" s="471"/>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2"/>
      <c r="D54" s="472"/>
      <c r="E54" s="472"/>
      <c r="F54" s="472"/>
    </row>
    <row r="55" spans="2:6">
      <c r="B55" s="379" t="s">
        <v>207</v>
      </c>
      <c r="C55" s="380">
        <f>Normalized_FCF!C17</f>
        <v>0</v>
      </c>
      <c r="D55" s="350" t="str">
        <f>Reporting_currency</f>
        <v>HKD</v>
      </c>
    </row>
    <row r="57" spans="2:6">
      <c r="B57" s="470" t="s">
        <v>512</v>
      </c>
      <c r="C57" s="470"/>
      <c r="D57" s="470"/>
      <c r="E57" s="470"/>
      <c r="F57" s="470"/>
    </row>
    <row r="58" spans="2:6">
      <c r="B58" s="470" t="s">
        <v>513</v>
      </c>
      <c r="C58" s="470"/>
      <c r="D58" s="470"/>
      <c r="E58" s="470"/>
      <c r="F58" s="470"/>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6.1063666265514203E-2</v>
      </c>
      <c r="F62" s="386"/>
    </row>
    <row r="63" spans="2:6">
      <c r="B63" s="384" t="s">
        <v>332</v>
      </c>
      <c r="C63" s="385">
        <f>Normalized_FCF!C92</f>
        <v>6.1538461538461542E-2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0" t="s">
        <v>514</v>
      </c>
      <c r="C73" s="470"/>
      <c r="D73" s="470"/>
      <c r="E73" s="470"/>
      <c r="F73" s="470"/>
    </row>
    <row r="74" spans="1:6">
      <c r="B74" s="471" t="s">
        <v>483</v>
      </c>
      <c r="C74" s="471"/>
      <c r="D74" s="471"/>
      <c r="E74" s="471"/>
      <c r="F74" s="471"/>
    </row>
    <row r="76" spans="1:6">
      <c r="B76" s="376" t="s">
        <v>371</v>
      </c>
    </row>
    <row r="77" spans="1:6">
      <c r="B77" s="470" t="s">
        <v>515</v>
      </c>
      <c r="C77" s="470"/>
      <c r="D77" s="470"/>
      <c r="E77" s="470"/>
      <c r="F77" s="470"/>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0" t="s">
        <v>518</v>
      </c>
      <c r="C96" s="470"/>
      <c r="D96" s="470"/>
      <c r="E96" s="470"/>
      <c r="F96" s="470"/>
    </row>
    <row r="97" spans="1:6">
      <c r="A97" s="392"/>
      <c r="B97" s="471" t="s">
        <v>519</v>
      </c>
      <c r="C97" s="471"/>
      <c r="D97" s="471"/>
      <c r="E97" s="471"/>
      <c r="F97" s="471"/>
    </row>
    <row r="98" spans="1:6">
      <c r="A98" s="392"/>
      <c r="B98" s="471" t="s">
        <v>520</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0" t="s">
        <v>521</v>
      </c>
      <c r="C107" s="470"/>
      <c r="D107" s="470"/>
      <c r="E107" s="470"/>
      <c r="F107" s="470"/>
    </row>
    <row r="108" spans="1:6">
      <c r="A108" s="392"/>
      <c r="B108" s="470" t="s">
        <v>540</v>
      </c>
      <c r="C108" s="470"/>
      <c r="D108" s="470"/>
      <c r="E108" s="470"/>
      <c r="F108" s="470"/>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0" t="s">
        <v>522</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4" t="s">
        <v>524</v>
      </c>
      <c r="C127" s="474"/>
      <c r="D127" s="474"/>
      <c r="E127" s="474"/>
      <c r="F127" s="474"/>
    </row>
    <row r="129" spans="1:6" ht="13.9">
      <c r="A129" s="352" t="s">
        <v>496</v>
      </c>
      <c r="B129" s="352"/>
      <c r="C129" s="352"/>
      <c r="D129" s="352"/>
      <c r="E129" s="352"/>
      <c r="F129" s="352"/>
    </row>
    <row r="131" spans="1:6">
      <c r="B131" s="475" t="s">
        <v>525</v>
      </c>
      <c r="C131" s="475"/>
      <c r="D131" s="475"/>
      <c r="E131" s="475"/>
      <c r="F131" s="475"/>
    </row>
    <row r="132" spans="1:6" ht="24.5" customHeight="1">
      <c r="B132" s="470" t="s">
        <v>526</v>
      </c>
      <c r="C132" s="470"/>
      <c r="D132" s="470"/>
      <c r="E132" s="470"/>
      <c r="F132" s="470"/>
    </row>
    <row r="134" spans="1:6">
      <c r="B134" s="376" t="s">
        <v>371</v>
      </c>
    </row>
    <row r="135" spans="1:6">
      <c r="B135" s="350" t="s">
        <v>382</v>
      </c>
      <c r="C135" s="412">
        <f>E21</f>
        <v>2</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0.51577503429355298</v>
      </c>
      <c r="D140" s="416">
        <f>Scenarios!D62</f>
        <v>4.2877154301190092</v>
      </c>
      <c r="E140" s="417">
        <f>Scenarios!E62</f>
        <v>4.8034904644125618</v>
      </c>
      <c r="F140" s="418">
        <f>E22</f>
        <v>0.35</v>
      </c>
    </row>
    <row r="141" spans="1:6">
      <c r="B141" s="415" t="s">
        <v>313</v>
      </c>
      <c r="C141" s="416">
        <f>Scenarios!C63</f>
        <v>0.57600000000000007</v>
      </c>
      <c r="D141" s="416">
        <f>Scenarios!D63</f>
        <v>5.001191277690813</v>
      </c>
      <c r="E141" s="417">
        <f>Scenarios!E63</f>
        <v>5.5771912776908135</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0.67833709316953872</v>
      </c>
      <c r="D144" s="416">
        <f>Scenarios!D66</f>
        <v>6.2585850307527044</v>
      </c>
      <c r="E144" s="417">
        <f>Scenarios!E66</f>
        <v>6.9369221239222432</v>
      </c>
      <c r="F144" s="418">
        <f>E24</f>
        <v>0.1174</v>
      </c>
    </row>
    <row r="145" spans="1:6">
      <c r="B145" s="415" t="s">
        <v>314</v>
      </c>
      <c r="C145" s="416">
        <f>Scenarios!C67</f>
        <v>0.72070897245722421</v>
      </c>
      <c r="D145" s="416">
        <f>Scenarios!D67</f>
        <v>6.7935830571595641</v>
      </c>
      <c r="E145" s="417">
        <f>Scenarios!E67</f>
        <v>7.5142920296167883</v>
      </c>
      <c r="F145" s="418">
        <f>Scenarios!F67</f>
        <v>7.2499999999999995E-2</v>
      </c>
    </row>
    <row r="147" spans="1:6" ht="13.9">
      <c r="A147" s="352" t="s">
        <v>479</v>
      </c>
      <c r="B147" s="352"/>
      <c r="C147" s="352"/>
      <c r="D147" s="352"/>
      <c r="E147" s="352"/>
      <c r="F147" s="352"/>
    </row>
    <row r="149" spans="1:6">
      <c r="B149" s="476" t="s">
        <v>527</v>
      </c>
      <c r="C149" s="470"/>
      <c r="D149" s="470"/>
      <c r="E149" s="470"/>
      <c r="F149" s="470"/>
    </row>
    <row r="151" spans="1:6">
      <c r="B151" s="376" t="s">
        <v>384</v>
      </c>
    </row>
    <row r="152" spans="1:6">
      <c r="B152" s="472" t="s">
        <v>528</v>
      </c>
      <c r="C152" s="472"/>
      <c r="D152" s="472"/>
      <c r="E152" s="472"/>
      <c r="F152" s="472"/>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3" t="s">
        <v>388</v>
      </c>
      <c r="C161" s="473"/>
      <c r="D161" s="473"/>
      <c r="E161" s="473"/>
      <c r="F161" s="473"/>
    </row>
    <row r="162" spans="2:6">
      <c r="B162" s="473" t="s">
        <v>389</v>
      </c>
      <c r="C162" s="473"/>
      <c r="D162" s="473"/>
      <c r="E162" s="473"/>
      <c r="F162" s="473"/>
    </row>
    <row r="164" spans="2:6">
      <c r="B164" s="350" t="s">
        <v>531</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