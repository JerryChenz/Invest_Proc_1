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B65637-7354-449D-9967-7339D8F18A8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D71" i="8"/>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1" i="8"/>
  <c r="H29" i="8"/>
  <c r="H33" i="8"/>
  <c r="H32" i="8"/>
  <c r="H30" i="8"/>
  <c r="H35" i="8"/>
  <c r="C29" i="8"/>
  <c r="C89" i="3"/>
  <c r="O113" i="2"/>
  <c r="O85" i="2"/>
  <c r="P113" i="2"/>
  <c r="P85" i="2"/>
  <c r="C53" i="2"/>
  <c r="C45" i="6"/>
  <c r="E86"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0" i="6"/>
  <c r="F121" i="6"/>
  <c r="F119"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<sst xmlns="http://schemas.openxmlformats.org/spreadsheetml/2006/main" count="766" uniqueCount="556">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</sst>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542</v>
      </c>
      <c r="F3" s="434">
        <v>45930</v>
      </c>
    </row>
    <row r="4" spans="1:9" ht="12.4">
      <c r="B4" s="426" t="s">
        <v>537</v>
      </c>
      <c r="C4" s="425" t="s">
        <v>551</v>
      </c>
      <c r="E4" s="435" t="s">
        <v>541</v>
      </c>
      <c r="F4" s="436" t="s">
        <v>324</v>
      </c>
    </row>
    <row r="5" spans="1:9">
      <c r="B5" s="1" t="s">
        <v>349</v>
      </c>
      <c r="C5" s="46" t="s">
        <v>552</v>
      </c>
      <c r="E5" s="438" t="s">
        <v>543</v>
      </c>
      <c r="F5" s="437" t="s">
        <v>501</v>
      </c>
    </row>
    <row r="6" spans="1:9">
      <c r="B6" s="2" t="s">
        <v>53</v>
      </c>
      <c r="C6" s="45" t="s">
        <v>404</v>
      </c>
      <c r="D6" s="45"/>
      <c r="E6" s="45"/>
    </row>
    <row r="7" spans="1:9">
      <c r="B7" s="1" t="s">
        <v>351</v>
      </c>
      <c r="C7" s="45" t="s">
        <v>308</v>
      </c>
      <c r="D7" s="45"/>
      <c r="E7" s="45"/>
    </row>
    <row r="8" spans="1:9">
      <c r="B8" s="4" t="s">
        <v>350</v>
      </c>
      <c r="C8" s="47">
        <v>6.48</v>
      </c>
      <c r="E8" s="32"/>
    </row>
    <row r="9" spans="1:9">
      <c r="B9" s="4" t="s">
        <v>346</v>
      </c>
      <c r="C9" s="48">
        <v>580004033</v>
      </c>
    </row>
    <row r="10" spans="1:9">
      <c r="B10" s="4" t="s">
        <v>352</v>
      </c>
      <c r="C10" s="33">
        <f>Thesis!C8*Common_Shares/1000000</f>
        <v>3758.4261338400001</v>
      </c>
      <c r="D10" s="1" t="s">
        <v>532</v>
      </c>
      <c r="E10" s="307">
        <f>Scenarios!F34</f>
        <v>0.12260045445698151</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536</v>
      </c>
      <c r="C17" s="420">
        <v>0</v>
      </c>
      <c r="D17" s="4" t="s">
        <v>274</v>
      </c>
      <c r="E17" s="224" t="s">
        <v>308</v>
      </c>
    </row>
    <row r="18" spans="1:6">
      <c r="B18" s="1" t="str">
        <f>"Expected Equity Value ("&amp;C7&amp;") :"</f>
        <v>Expected Equity Value (HKD) :</v>
      </c>
      <c r="C18" s="255">
        <f>C125</f>
        <v>7.8143613713918958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407</v>
      </c>
      <c r="C21" s="257" t="str">
        <f>C138&amp;" ("&amp;Market_currency&amp;")"</f>
        <v xml:space="preserve"> (HKD)</v>
      </c>
      <c r="D21" s="31" t="s">
        <v>316</v>
      </c>
      <c r="E21" s="447">
        <v>3</v>
      </c>
    </row>
    <row r="22" spans="1:6">
      <c r="B22" s="1" t="s">
        <v>312</v>
      </c>
      <c r="C22" s="258">
        <f>E140</f>
        <v>4.333028820025568</v>
      </c>
      <c r="D22" s="38" t="s">
        <v>409</v>
      </c>
      <c r="E22" s="79">
        <v>0.29465259038036606</v>
      </c>
    </row>
    <row r="23" spans="1:6">
      <c r="B23" s="1" t="s">
        <v>313</v>
      </c>
      <c r="C23" s="259">
        <f>E141</f>
        <v>5.3553121183397749</v>
      </c>
      <c r="D23" s="38" t="s">
        <v>410</v>
      </c>
      <c r="E23" s="448">
        <v>0.20075184365903009</v>
      </c>
    </row>
    <row r="24" spans="1:6">
      <c r="B24" s="1" t="s">
        <v>315</v>
      </c>
      <c r="C24" s="259">
        <f>E144</f>
        <v>6.5660659780940076</v>
      </c>
      <c r="D24" s="38" t="s">
        <v>411</v>
      </c>
      <c r="E24" s="448">
        <v>0.1174</v>
      </c>
    </row>
    <row r="25" spans="1:6">
      <c r="B25" s="1" t="s">
        <v>314</v>
      </c>
      <c r="C25" s="259">
        <f>E145</f>
        <v>7.3792932677079612</v>
      </c>
      <c r="D25" s="38" t="s">
        <v>412</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399119.96227138769</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6692.5186674405113</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-78679.881332559497</v>
      </c>
      <c r="D46" s="1" t="str">
        <f>Reporting_currency</f>
        <v>HKD</v>
      </c>
    </row>
    <row r="48" spans="2:6">
      <c r="B48" s="1" t="s">
        <v>211</v>
      </c>
    </row>
    <row r="49" spans="2:6">
      <c r="B49" s="44" t="s">
        <v>223</v>
      </c>
      <c r="C49" s="289">
        <f>Normalized_FCF!C13</f>
        <v>-37355.845009453624</v>
      </c>
      <c r="D49" s="1" t="str">
        <f>Reporting_currency</f>
        <v>HKD</v>
      </c>
    </row>
    <row r="51" spans="2:6">
      <c r="B51" s="459" t="s">
        <v>206</v>
      </c>
      <c r="C51" s="459"/>
      <c r="D51" s="459"/>
      <c r="E51" s="459"/>
      <c r="F51" s="459"/>
    </row>
    <row r="52" spans="2:6">
      <c r="B52" s="44" t="s">
        <v>204</v>
      </c>
      <c r="C52" s="289">
        <f>Normalized_FCF!C12</f>
        <v>-52872.613354906651</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289000.65016124537</v>
      </c>
      <c r="D60" s="1" t="str">
        <f>Reporting_currency</f>
        <v>HKD</v>
      </c>
    </row>
    <row r="61" spans="2:6">
      <c r="B61" s="44" t="s">
        <v>213</v>
      </c>
      <c r="C61" s="289">
        <f>Normalized_FCF!C19</f>
        <v>230211.62257446788</v>
      </c>
      <c r="D61" s="1" t="str">
        <f>Reporting_currency</f>
        <v>HKD</v>
      </c>
    </row>
    <row r="62" spans="2:6">
      <c r="B62" s="204" t="s">
        <v>302</v>
      </c>
      <c r="C62" s="89">
        <f>Normalized_FCF!C124</f>
        <v>6.1252134371271964E-2</v>
      </c>
      <c r="F62" s="260"/>
    </row>
    <row r="63" spans="2:6">
      <c r="B63" s="204" t="s">
        <v>332</v>
      </c>
      <c r="C63" s="89">
        <f>Normalized_FCF!C92</f>
        <v>6.1728395061728392E-2</v>
      </c>
      <c r="E63" s="44" t="s">
        <v>322</v>
      </c>
      <c r="F63" s="261">
        <f>Normalized_FCF!C90</f>
        <v>1.0077754137932506</v>
      </c>
    </row>
    <row r="65" spans="1:6">
      <c r="B65" s="192" t="s">
        <v>325</v>
      </c>
      <c r="C65" s="267" t="s">
        <v>327</v>
      </c>
      <c r="D65" s="267" t="s">
        <v>328</v>
      </c>
    </row>
    <row r="66" spans="1:6">
      <c r="B66" s="44" t="s">
        <v>326</v>
      </c>
      <c r="C66" s="89">
        <f>Normalized_FCF!C119</f>
        <v>0.1167471410506614</v>
      </c>
      <c r="D66" s="89">
        <f>Normalized_FCF!G119</f>
        <v>0.11792742550148552</v>
      </c>
    </row>
    <row r="67" spans="1:6">
      <c r="B67" s="229" t="str">
        <f>Normalized_FCF!B116</f>
        <v>Pre-tax Profit/Sales</v>
      </c>
      <c r="C67" s="266">
        <f>Normalized_FCF!C116</f>
        <v>3.9086921133773919E-2</v>
      </c>
      <c r="D67" s="266">
        <f>Normalized_FCF!G116</f>
        <v>3.7776339292914275E-2</v>
      </c>
    </row>
    <row r="68" spans="1:6">
      <c r="B68" s="229" t="str">
        <f>Normalized_FCF!B117</f>
        <v>Sales/Total Assets</v>
      </c>
      <c r="C68" s="268">
        <f>Normalized_FCF!C117</f>
        <v>1.3708738209065539</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481</v>
      </c>
      <c r="B71" s="34"/>
      <c r="C71" s="34"/>
      <c r="D71" s="34"/>
      <c r="E71" s="34"/>
      <c r="F71" s="34"/>
    </row>
    <row r="72" spans="1:6">
      <c r="A72" s="191"/>
    </row>
    <row r="73" spans="1:6">
      <c r="A73" s="191"/>
      <c r="B73" s="458" t="s">
        <v>482</v>
      </c>
      <c r="C73" s="458"/>
      <c r="D73" s="458"/>
      <c r="E73" s="458"/>
      <c r="F73" s="458"/>
    </row>
    <row r="74" spans="1:6">
      <c r="A74" s="191"/>
      <c r="B74" s="1" t="s">
        <v>469</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5.3475400925918697</v>
      </c>
    </row>
    <row r="82" spans="1:6">
      <c r="A82" s="191"/>
    </row>
    <row r="83" spans="1:6">
      <c r="A83" s="191"/>
      <c r="B83" s="1" t="s">
        <v>470</v>
      </c>
    </row>
    <row r="84" spans="1:6">
      <c r="A84" s="191"/>
      <c r="B84" s="1" t="s">
        <v>224</v>
      </c>
      <c r="C84" s="289">
        <f>DCF!F5</f>
        <v>384381.13325594889</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0.66272148362104388</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473</v>
      </c>
      <c r="C92" s="216">
        <f>DCF!F8</f>
        <v>-2.9076464486309033</v>
      </c>
      <c r="D92" s="44" t="str">
        <f>Market_currency</f>
        <v>HKD</v>
      </c>
    </row>
    <row r="94" spans="1:6" ht="13.9">
      <c r="A94" s="200" t="s">
        <v>474</v>
      </c>
      <c r="B94" s="34"/>
      <c r="C94" s="34"/>
      <c r="D94" s="34"/>
      <c r="E94" s="34"/>
      <c r="F94" s="34"/>
    </row>
    <row r="95" spans="1:6">
      <c r="A95" s="191"/>
    </row>
    <row r="96" spans="1:6" ht="11.75" customHeight="1">
      <c r="B96" s="458" t="s">
        <v>489</v>
      </c>
      <c r="C96" s="458"/>
      <c r="D96" s="458"/>
      <c r="E96" s="458"/>
      <c r="F96" s="458"/>
    </row>
    <row r="97" spans="2:6">
      <c r="B97" s="462" t="s">
        <v>488</v>
      </c>
      <c r="C97" s="462"/>
      <c r="D97" s="462"/>
      <c r="E97" s="462"/>
      <c r="F97" s="462"/>
    </row>
    <row r="98" spans="2:6">
      <c r="B98" s="462" t="s">
        <v>487</v>
      </c>
      <c r="C98" s="462"/>
      <c r="D98" s="462"/>
      <c r="E98" s="462"/>
      <c r="F98" s="462"/>
    </row>
    <row r="100" spans="2:6">
      <c r="B100" s="192" t="s">
        <v>195</v>
      </c>
    </row>
    <row r="101" spans="2:6">
      <c r="B101" s="49" t="s">
        <v>471</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491</v>
      </c>
    </row>
    <row r="111" spans="2:6">
      <c r="B111" s="49" t="s">
        <v>472</v>
      </c>
      <c r="C111" s="216">
        <f>BS!D47</f>
        <v>-2.5047246524922007</v>
      </c>
      <c r="D111" s="1" t="str">
        <f>Market_currency</f>
        <v>HKD</v>
      </c>
    </row>
    <row r="112" spans="2:6">
      <c r="B112" s="44" t="s">
        <v>323</v>
      </c>
      <c r="C112" s="216">
        <f>DCF!C11</f>
        <v>2.5670270786220946</v>
      </c>
      <c r="D112" s="1" t="str">
        <f>Market_currency</f>
        <v>HKD</v>
      </c>
    </row>
    <row r="114" spans="2:6" ht="24.5" customHeight="1">
      <c r="B114" s="458" t="s">
        <v>495</v>
      </c>
      <c r="C114" s="458"/>
      <c r="D114" s="458"/>
      <c r="E114" s="458"/>
      <c r="F114" s="458"/>
    </row>
    <row r="116" spans="2:6">
      <c r="B116" s="192" t="s">
        <v>492</v>
      </c>
    </row>
    <row r="117" spans="2:6" ht="12.4">
      <c r="B117" s="346" t="s">
        <v>101</v>
      </c>
      <c r="C117" s="346" t="s">
        <v>110</v>
      </c>
      <c r="D117" s="346" t="s">
        <v>219</v>
      </c>
      <c r="E117" s="346" t="s">
        <v>124</v>
      </c>
      <c r="F117" s="346" t="s">
        <v>550</v>
      </c>
    </row>
    <row r="118" spans="2:6">
      <c r="B118" s="205" t="str">
        <f>DCF!B82&amp;" ("&amp;DCF!D82&amp;"yrs)"</f>
        <v>Snowball Scenario (15yrs)</v>
      </c>
      <c r="C118" s="206">
        <f>DCF!C82</f>
        <v>0.05</v>
      </c>
      <c r="D118" s="207" t="str">
        <f>ROUND(DCF!E82,2)&amp;" "&amp;Market_currency</f>
        <v>9.36 HKD</v>
      </c>
      <c r="E118" s="208">
        <f>DCF!F82</f>
        <v>0.05</v>
      </c>
      <c r="F118" s="208">
        <f>RATE(Holding_Period,Scenarios!C$58,-DCF!E82,C$18)</f>
        <v>-1.3162728985041415E-2</v>
      </c>
    </row>
    <row r="119" spans="2:6">
      <c r="B119" s="205" t="str">
        <f>DCF!B83&amp;" ("&amp;DCF!D83&amp;"yrs)"</f>
        <v>Optimistic (15yrs)</v>
      </c>
      <c r="C119" s="198">
        <f>DCF!C83</f>
        <v>0.04</v>
      </c>
      <c r="D119" s="207" t="str">
        <f>ROUND(DCF!E83,2)&amp;" "&amp;Market_currency</f>
        <v>8.56 HKD</v>
      </c>
      <c r="E119" s="199">
        <f>DCF!F83</f>
        <v>0.18</v>
      </c>
      <c r="F119" s="208">
        <f>RATE(Holding_Period,Scenarios!C$58,-DCF!E83,C$18)</f>
        <v>1.8223005300290952E-2</v>
      </c>
    </row>
    <row r="120" spans="2:6">
      <c r="B120" s="205" t="str">
        <f>DCF!B84&amp;" ("&amp;DCF!D84&amp;"yrs)"</f>
        <v>Base (15yrs)</v>
      </c>
      <c r="C120" s="198">
        <f>DCF!C84</f>
        <v>0.03</v>
      </c>
      <c r="D120" s="207" t="str">
        <f>ROUND(DCF!E84,2)&amp;" "&amp;Market_currency</f>
        <v>7.8 HKD</v>
      </c>
      <c r="E120" s="199">
        <f>DCF!F84</f>
        <v>0.53999999999999992</v>
      </c>
      <c r="F120" s="208">
        <f>RATE(Holding_Period,Scenarios!C$58,-DCF!E84,C$18)</f>
        <v>5.191889800512979E-2</v>
      </c>
    </row>
    <row r="121" spans="2:6">
      <c r="B121" s="205" t="str">
        <f>DCF!B85&amp;" ("&amp;DCF!D85&amp;"yrs)"</f>
        <v>Pessimistic (15yrs)</v>
      </c>
      <c r="C121" s="198">
        <f>DCF!C85</f>
        <v>0.02</v>
      </c>
      <c r="D121" s="207" t="str">
        <f>ROUND(DCF!E85,2)&amp;" "&amp;Market_currency</f>
        <v>7.08 HKD</v>
      </c>
      <c r="E121" s="199">
        <f>DCF!F85</f>
        <v>0.18</v>
      </c>
      <c r="F121" s="208">
        <f>RATE(Holding_Period,Scenarios!C$58,-DCF!E85,C$18)</f>
        <v>8.8265281842590304E-2</v>
      </c>
    </row>
    <row r="122" spans="2:6">
      <c r="B122" s="205" t="str">
        <f>DCF!B86&amp;" ("&amp;DCF!D86&amp;"yrs)"</f>
        <v>Devil's advocate (15yrs)</v>
      </c>
      <c r="C122" s="198">
        <f>DCF!C86</f>
        <v>0.01</v>
      </c>
      <c r="D122" s="207" t="str">
        <f>ROUND(DCF!E86,2)&amp;" "&amp;Market_currency</f>
        <v>6.4 HKD</v>
      </c>
      <c r="E122" s="199">
        <f>DCF!F86</f>
        <v>0.05</v>
      </c>
      <c r="F122" s="208">
        <f>RATE(Holding_Period,Scenarios!C$58,-DCF!E86,C$18)</f>
        <v>0.12768233742292004</v>
      </c>
    </row>
    <row r="124" spans="2:6">
      <c r="B124" s="459" t="s">
        <v>357</v>
      </c>
      <c r="C124" s="459"/>
      <c r="D124" s="459"/>
      <c r="E124" s="459"/>
      <c r="F124" s="459"/>
    </row>
    <row r="125" spans="2:6">
      <c r="B125" s="193" t="s">
        <v>218</v>
      </c>
      <c r="C125" s="197">
        <f>Scenarios!C36</f>
        <v>7.8143613713918958</v>
      </c>
      <c r="D125" s="194" t="str">
        <f>Market_currency</f>
        <v>HKD</v>
      </c>
    </row>
    <row r="127" spans="2:6" ht="24.5" customHeight="1">
      <c r="B127" s="461" t="s">
        <v>358</v>
      </c>
      <c r="C127" s="461"/>
      <c r="D127" s="461"/>
      <c r="E127" s="461"/>
      <c r="F127" s="461"/>
    </row>
    <row r="129" spans="1:6" ht="13.9">
      <c r="A129" s="200" t="s">
        <v>478</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498</v>
      </c>
      <c r="C138" s="214"/>
      <c r="D138" s="215"/>
    </row>
    <row r="139" spans="1:6" ht="12.4">
      <c r="B139" s="344" t="s">
        <v>466</v>
      </c>
      <c r="C139" s="344" t="str">
        <f>"PV("&amp;Holding_Period&amp;" yrs of Dividends)"</f>
        <v>PV(3 yrs of Dividends)</v>
      </c>
      <c r="D139" s="344" t="s">
        <v>475</v>
      </c>
      <c r="E139" s="345" t="str">
        <f>"Buy below ("&amp;Market_currency&amp;")"</f>
        <v>Buy below (HKD)</v>
      </c>
      <c r="F139" s="345" t="s">
        <v>476</v>
      </c>
    </row>
    <row r="140" spans="1:6">
      <c r="B140" s="340" t="s">
        <v>312</v>
      </c>
      <c r="C140" s="337">
        <f>Scenarios!C62</f>
        <v>0.73194063044404789</v>
      </c>
      <c r="D140" s="337">
        <f>Scenarios!D62</f>
        <v>3.6010881895815197</v>
      </c>
      <c r="E140" s="338">
        <f>Scenarios!E62</f>
        <v>4.333028820025568</v>
      </c>
      <c r="F140" s="339">
        <f>E22</f>
        <v>0.29465259038036606</v>
      </c>
    </row>
    <row r="141" spans="1:6">
      <c r="B141" s="340" t="s">
        <v>313</v>
      </c>
      <c r="C141" s="337">
        <f>Scenarios!C63</f>
        <v>0.84160157890763132</v>
      </c>
      <c r="D141" s="337">
        <f>Scenarios!D63</f>
        <v>4.513710539432144</v>
      </c>
      <c r="E141" s="338">
        <f>Scenarios!E63</f>
        <v>5.3553121183397749</v>
      </c>
      <c r="F141" s="339">
        <f>Scenarios!F63</f>
        <v>0.20075184365903009</v>
      </c>
    </row>
    <row r="142" spans="1:6">
      <c r="B142" s="194"/>
      <c r="C142" s="194"/>
      <c r="D142" s="194"/>
      <c r="E142" s="194"/>
      <c r="F142" s="194"/>
    </row>
    <row r="143" spans="1:6" ht="12.4">
      <c r="B143" s="344" t="s">
        <v>467</v>
      </c>
      <c r="C143" s="344" t="str">
        <f>"PV("&amp;Holding_Period&amp;" yrs of Dividends)"</f>
        <v>PV(3 yrs of Dividends)</v>
      </c>
      <c r="D143" s="344" t="s">
        <v>475</v>
      </c>
      <c r="E143" s="345" t="str">
        <f>"Sell above ("&amp;Market_currency&amp;")"</f>
        <v>Sell above (HKD)</v>
      </c>
      <c r="F143" s="345" t="s">
        <v>476</v>
      </c>
    </row>
    <row r="144" spans="1:6">
      <c r="B144" s="340" t="s">
        <v>315</v>
      </c>
      <c r="C144" s="337">
        <f>Scenarios!C66</f>
        <v>0.96504125037545974</v>
      </c>
      <c r="D144" s="337">
        <f>Scenarios!D66</f>
        <v>5.6010247277185474</v>
      </c>
      <c r="E144" s="338">
        <f>Scenarios!E66</f>
        <v>6.5660659780940076</v>
      </c>
      <c r="F144" s="339">
        <f>E24</f>
        <v>0.1174</v>
      </c>
    </row>
    <row r="145" spans="1:6">
      <c r="B145" s="340" t="s">
        <v>314</v>
      </c>
      <c r="C145" s="337">
        <f>Scenarios!C67</f>
        <v>1.0449500908692064</v>
      </c>
      <c r="D145" s="337">
        <f>Scenarios!D67</f>
        <v>6.3343431768387548</v>
      </c>
      <c r="E145" s="338">
        <f>Scenarios!E67</f>
        <v>7.3792932677079612</v>
      </c>
      <c r="F145" s="339">
        <f>Scenarios!F67</f>
        <v>7.2499999999999995E-2</v>
      </c>
    </row>
    <row r="147" spans="1:6" ht="13.9">
      <c r="A147" s="200" t="s">
        <v>479</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442</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554</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405</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5.3475400925918697</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8.897587277630245E-2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384381.13325594889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-669251.86674405111</v>
      </c>
      <c r="F73" s="1" t="s">
        <v>278</v>
      </c>
    </row>
    <row r="74" spans="2:6" ht="15" customHeight="1">
      <c r="B74" s="227" t="s">
        <v>259</v>
      </c>
      <c r="C74" s="228">
        <f>-$C$66/C73</f>
        <v>1.5048036572106489</v>
      </c>
      <c r="D74" s="228">
        <f>-$C$66/D73</f>
        <v>1.5743445066892159</v>
      </c>
      <c r="F74" s="223" t="s">
        <v>257</v>
      </c>
    </row>
    <row r="75" spans="2:6" ht="15" customHeight="1">
      <c r="B75" s="77" t="s">
        <v>258</v>
      </c>
      <c r="C75" s="264"/>
      <c r="D75" s="265">
        <f>MAX(-D73*D76,G5)</f>
        <v>669251.86674405111</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384381.13325594889</v>
      </c>
      <c r="D87" s="201">
        <f>C87*scaling_factor/Common_Shares</f>
        <v>0.66272148362104388</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2582173.333255949</v>
      </c>
      <c r="D89" s="216">
        <f>SUM(D86:D88)</f>
        <v>4.4519920316760082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413</v>
      </c>
      <c r="H3" s="104">
        <f>scaling_factor</f>
        <v>1000</v>
      </c>
    </row>
    <row r="4" spans="1:17" ht="15.75" customHeight="1">
      <c r="A4" s="10"/>
      <c r="B4" s="25" t="s">
        <v>0</v>
      </c>
      <c r="C4" s="269">
        <f>AVERAGE(G4:J4)</f>
        <v>8198140.75</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-7304527.7877286123</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893612.96227138769</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399119.96227138769</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418</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-78679.881332559497</v>
      </c>
      <c r="E10" s="238"/>
      <c r="G10" s="270">
        <f>G48</f>
        <v>-74482.349838754599</v>
      </c>
      <c r="H10" s="270">
        <f t="shared" ref="H10:Q10" si="6">H48</f>
        <v>-79815.579205498987</v>
      </c>
      <c r="I10" s="270">
        <f t="shared" si="6"/>
        <v>-73832.968687003769</v>
      </c>
      <c r="J10" s="270">
        <f t="shared" si="6"/>
        <v>-83179.118160315134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320440.08093882818</v>
      </c>
      <c r="E11" s="238"/>
      <c r="G11" s="271">
        <f t="shared" ref="G11:Q11" si="7">IF(G$4="","",SUM(G8:G10))</f>
        <v>323679.65016124537</v>
      </c>
      <c r="H11" s="271">
        <f t="shared" si="7"/>
        <v>406257.42079450103</v>
      </c>
      <c r="I11" s="271">
        <f t="shared" si="7"/>
        <v>142737.03131299623</v>
      </c>
      <c r="J11" s="271">
        <f t="shared" si="7"/>
        <v>5698.8818396848656</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-52872.613354906651</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-37355.845009453624</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230211.62257446788</v>
      </c>
      <c r="D14" s="58"/>
      <c r="E14" s="246"/>
      <c r="F14" s="58"/>
      <c r="G14" s="271">
        <f t="shared" ref="G14:Q14" si="8">IF(G$4="","",SUM(G11:G13))</f>
        <v>289000.65016124537</v>
      </c>
      <c r="H14" s="271">
        <f t="shared" si="8"/>
        <v>347183.42079450103</v>
      </c>
      <c r="I14" s="271">
        <f t="shared" si="8"/>
        <v>108914.03131299623</v>
      </c>
      <c r="J14" s="271">
        <f t="shared" si="8"/>
        <v>-23876.118160315134</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230211.62257446788</v>
      </c>
      <c r="D19" s="26"/>
      <c r="E19" s="235"/>
      <c r="F19" s="26"/>
      <c r="G19" s="275">
        <f t="shared" ref="G19:Q19" si="9">IF(G$4="","",G14+G17)</f>
        <v>289000.65016124537</v>
      </c>
      <c r="H19" s="275">
        <f t="shared" si="9"/>
        <v>347183.42079450103</v>
      </c>
      <c r="I19" s="275">
        <f t="shared" si="9"/>
        <v>108914.03131299623</v>
      </c>
      <c r="J19" s="275">
        <f t="shared" si="9"/>
        <v>-23876.118160315134</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-7304527.7877286123</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-7304527.7877286123</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AVERAGE(G29:H29)</f>
        <v>0.89099809462634716</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6.0317700693294389E-2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6692.5186674405113</v>
      </c>
      <c r="E46" s="238"/>
      <c r="G46" s="278">
        <f t="shared" ref="G46:Q46" si="17">IFERROR(IF(G$4="","",($C$46/$C$47)*G47),0)</f>
        <v>29632.650161245398</v>
      </c>
      <c r="H46" s="278">
        <f t="shared" si="17"/>
        <v>28776.420794501017</v>
      </c>
      <c r="I46" s="278">
        <f t="shared" si="17"/>
        <v>24675.031312996227</v>
      </c>
      <c r="J46" s="278">
        <f t="shared" si="17"/>
        <v>4864.8818396848692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-78679.881332559497</v>
      </c>
      <c r="E48" s="238"/>
      <c r="G48" s="271">
        <f>IF(G$4="","",(G45+G46))</f>
        <v>-74482.349838754599</v>
      </c>
      <c r="H48" s="271">
        <f t="shared" ref="H48:Q48" si="18">IF(H$4="","",(H45+H46))</f>
        <v>-79815.579205498987</v>
      </c>
      <c r="I48" s="271">
        <f t="shared" si="18"/>
        <v>-73832.968687003769</v>
      </c>
      <c r="J48" s="271">
        <f t="shared" si="18"/>
        <v>-83179.118160315134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5" t="s">
        <v>555</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5"/>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5"/>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5"/>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38"/>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6.1728395061728392E-2</v>
      </c>
      <c r="E92" s="238"/>
      <c r="G92" s="22">
        <f t="shared" ref="G92:Q92" si="38">IF(G$4="","",(G88*(1-dividend_tax_rate))/Market_Price)</f>
        <v>6.1728395061728392E-2</v>
      </c>
      <c r="H92" s="22">
        <f t="shared" si="38"/>
        <v>8.7962962962962951E-2</v>
      </c>
      <c r="I92" s="22">
        <f t="shared" si="38"/>
        <v>5.8641975308641972E-2</v>
      </c>
      <c r="J92" s="22">
        <f t="shared" si="38"/>
        <v>5.8641975308641972E-2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-4.3202912543968686E-2</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5"/>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5.2283584800136307</v>
      </c>
      <c r="H113" s="254">
        <f>IF(H$4="","",Data!D$22/H19)</f>
        <v>4.7904188402603074</v>
      </c>
      <c r="I113" s="254">
        <f>IF(I$4="","",Data!E$22/I19)</f>
        <v>15.5984034336013</v>
      </c>
      <c r="J113" s="254">
        <f>IF(J$4="","",Data!F$22/J19)</f>
        <v>-48.77011380918006</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38"/>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1"/>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5"/>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6.1252134371271964E-2</v>
      </c>
      <c r="D124" s="26"/>
      <c r="E124" s="235"/>
      <c r="F124" s="26"/>
      <c r="G124" s="74">
        <f t="shared" ref="G124" si="49">IF(G$4="","",G123/Market_Price)</f>
        <v>7.6894061468748928E-2</v>
      </c>
      <c r="H124" s="74">
        <f t="shared" ref="H124" si="50">IF(H$4="","",H123/Market_Price)</f>
        <v>9.2374682495032098E-2</v>
      </c>
      <c r="I124" s="74">
        <f t="shared" ref="I124" si="51">IF(I$4="","",I123/Market_Price)</f>
        <v>2.8978627604879462E-2</v>
      </c>
      <c r="J124" s="74">
        <f t="shared" ref="J124" si="52">IF(J$4="","",J123/Market_Price)</f>
        <v>-6.3526905438795467E-3</v>
      </c>
      <c r="K124" s="74">
        <f t="shared" ref="K124" si="53">IF(K$4="","",K123/Market_Price)</f>
        <v>-3.1621480845380752E-2</v>
      </c>
      <c r="L124" s="74">
        <f t="shared" ref="L124" si="54">IF(L$4="","",L123/Market_Price)</f>
        <v>5.5505680455360765E-2</v>
      </c>
      <c r="M124" s="74">
        <f t="shared" ref="M124" si="55">IF(M$4="","",M123/Market_Price)</f>
        <v>0.1484118564890082</v>
      </c>
      <c r="N124" s="74">
        <f t="shared" ref="N124" si="56">IF(N$4="","",N123/Market_Price)</f>
        <v>0.12241826328775386</v>
      </c>
      <c r="O124" s="74">
        <f t="shared" ref="O124" si="57">IF(O$4="","",O123/Market_Price)</f>
        <v>0.13765229954683589</v>
      </c>
      <c r="P124" s="74">
        <f t="shared" ref="P124" si="58">IF(P$4="","",P123/Market_Price)</f>
        <v>0.13420777262546388</v>
      </c>
      <c r="Q124" s="74" t="str">
        <f t="shared" ref="Q124" si="59">IF(Q$4="","",Q123/Market_Price)</f>
        <v/>
      </c>
    </row>
    <row r="125" spans="1:17" ht="15.75" customHeight="1">
      <c r="B125" s="2" t="s">
        <v>306</v>
      </c>
      <c r="C125" s="151"/>
      <c r="G125" s="22">
        <f>IF(G$4="","",(Data!C47*$C$3)/(Market_Price*Common_Shares))</f>
        <v>6.2555705933160399E-2</v>
      </c>
      <c r="H125" s="22">
        <f>IF(H$4="","",(Data!D47*$C$3)/(Market_Price*Common_Shares))</f>
        <v>8.8658121281088687E-2</v>
      </c>
      <c r="I125" s="22">
        <f>IF(I$4="","",(Data!E47*$C$3)/(Market_Price*Common_Shares))</f>
        <v>2.9583393697403801E-2</v>
      </c>
      <c r="J125" s="22">
        <f>IF(J$4="","",(Data!F47*$C$3)/(Market_Price*Common_Shares))</f>
        <v>6.0796724975552621E-3</v>
      </c>
      <c r="K125" s="22">
        <f>IF(K$4="","",(Data!G47*$C$3)/(Market_Price*Common_Shares))</f>
        <v>9.5931112428601736E-2</v>
      </c>
      <c r="L125" s="22">
        <f>IF(L$4="","",(Data!H47*$C$3)/(Market_Price*Common_Shares))</f>
        <v>1.979179511611141E-2</v>
      </c>
      <c r="M125" s="22">
        <f>IF(M$4="","",(Data!I47*$C$3)/(Market_Price*Common_Shares))</f>
        <v>0.15754200798807202</v>
      </c>
      <c r="N125" s="22">
        <f>IF(N$4="","",(Data!J47*$C$3)/(Market_Price*Common_Shares))</f>
        <v>0.1222040778890435</v>
      </c>
      <c r="O125" s="22">
        <f>IF(O$4="","",(Data!K47*$C$3)/(Market_Price*Common_Shares))</f>
        <v>0.13405877408723058</v>
      </c>
      <c r="P125" s="22">
        <f>IF(P$4="","",(Data!L47*$C$3)/(Market_Price*Common_Shares))</f>
        <v>0.13778639823124586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79">
        <f>Normalized_FCF!C19</f>
        <v>230211.62257446788</v>
      </c>
      <c r="D4" t="str">
        <f>Reporting_currency</f>
        <v>HKD</v>
      </c>
      <c r="E4" s="135" t="s">
        <v>435</v>
      </c>
      <c r="F4" s="279">
        <f>-BS!G31</f>
        <v>-2134310</v>
      </c>
      <c r="G4" t="str">
        <f>Reporting_currency</f>
        <v>HKD</v>
      </c>
      <c r="H4" s="312" t="s">
        <v>394</v>
      </c>
      <c r="I4" s="309">
        <f>Normalized_FCF!C4</f>
        <v>8198140.75</v>
      </c>
      <c r="J4" s="309"/>
    </row>
    <row r="5" spans="2:15">
      <c r="B5" s="187" t="s">
        <v>105</v>
      </c>
      <c r="C5" s="188">
        <f>Equity_Cost</f>
        <v>7.2499999999999995E-2</v>
      </c>
      <c r="E5" s="135" t="s">
        <v>436</v>
      </c>
      <c r="F5" s="279">
        <f>BS!D66</f>
        <v>384381.13325594889</v>
      </c>
      <c r="G5" t="str">
        <f>Reporting_currency</f>
        <v>HKD</v>
      </c>
      <c r="H5" s="312" t="s">
        <v>396</v>
      </c>
      <c r="I5" s="309">
        <f>Normalized_FCF!C7</f>
        <v>-494493</v>
      </c>
      <c r="J5" s="309"/>
    </row>
    <row r="6" spans="2:15" ht="13.25" customHeight="1">
      <c r="B6" s="136" t="s">
        <v>194</v>
      </c>
      <c r="C6" s="287">
        <f>(C4*(1+Terminal_Growth))/(Equity_Cost-Terminal_Growth)</f>
        <v>3175332.7251650742</v>
      </c>
      <c r="D6" t="str">
        <f>Reporting_currency</f>
        <v>HKD</v>
      </c>
      <c r="E6" s="187" t="s">
        <v>437</v>
      </c>
      <c r="F6" s="288">
        <f>BS!H42</f>
        <v>63482.2</v>
      </c>
      <c r="G6" t="str">
        <f>Reporting_currency</f>
        <v>HKD</v>
      </c>
      <c r="H6" s="312" t="s">
        <v>419</v>
      </c>
      <c r="I6" s="309">
        <f>I7+I8</f>
        <v>-78679.881332559497</v>
      </c>
      <c r="J6" s="309"/>
      <c r="N6" s="135"/>
    </row>
    <row r="7" spans="2:15" ht="12.75" customHeight="1">
      <c r="B7" s="322" t="s">
        <v>434</v>
      </c>
      <c r="C7" s="279">
        <f>F7</f>
        <v>-1686446.6667440513</v>
      </c>
      <c r="E7" s="140" t="s">
        <v>428</v>
      </c>
      <c r="F7" s="287">
        <f>SUM(F4:F6)</f>
        <v>-1686446.6667440513</v>
      </c>
      <c r="G7" t="str">
        <f>Reporting_currency</f>
        <v>HKD</v>
      </c>
      <c r="H7" s="316" t="s">
        <v>420</v>
      </c>
      <c r="I7" s="317">
        <f>Normalized_FCF!C9</f>
        <v>0</v>
      </c>
      <c r="J7" s="317"/>
      <c r="N7" s="308"/>
      <c r="O7" s="308"/>
    </row>
    <row r="8" spans="2:15" ht="13.15">
      <c r="B8" s="136" t="s">
        <v>430</v>
      </c>
      <c r="C8" s="287">
        <f>C6+C7</f>
        <v>1488886.058421023</v>
      </c>
      <c r="D8" t="str">
        <f>Reporting_currency</f>
        <v>HKD</v>
      </c>
      <c r="E8" s="140" t="s">
        <v>468</v>
      </c>
      <c r="F8" s="108">
        <f>FV_adjustments*scaling_factor/Common_Shares*Exchange_Rate</f>
        <v>-2.9076464486309033</v>
      </c>
      <c r="G8" s="298" t="str">
        <f>Market_currency</f>
        <v>HKD</v>
      </c>
      <c r="H8" s="318" t="str">
        <f>Normalized_FCF!B10</f>
        <v>Net Interest Income</v>
      </c>
      <c r="I8" s="317">
        <f>Normalized_FCF!C10</f>
        <v>-78679.881332559497</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431</v>
      </c>
      <c r="C10" s="287">
        <f>C8*Exchange_Rate</f>
        <v>1488886.058421023</v>
      </c>
      <c r="D10" t="str">
        <f>Market_currency</f>
        <v>HKD</v>
      </c>
      <c r="H10" s="312" t="s">
        <v>398</v>
      </c>
      <c r="I10" s="310">
        <f>Normalized_FCF!C41</f>
        <v>0.16500000000000001</v>
      </c>
      <c r="N10" s="308"/>
      <c r="O10" s="308"/>
    </row>
    <row r="11" spans="2:15" ht="13.15">
      <c r="B11" s="136" t="s">
        <v>429</v>
      </c>
      <c r="C11" s="108">
        <f>(C10*scaling_factor)/Common_Shares</f>
        <v>2.5670270786220946</v>
      </c>
      <c r="D11" t="str">
        <f>Market_currency</f>
        <v>HKD</v>
      </c>
      <c r="E11" s="311"/>
      <c r="I11" s="311"/>
      <c r="J11" s="311"/>
    </row>
    <row r="13" spans="2:15" ht="13.9">
      <c r="B13" s="34" t="s">
        <v>432</v>
      </c>
      <c r="C13" s="35"/>
      <c r="D13" s="35"/>
      <c r="E13" s="35"/>
      <c r="F13" s="35"/>
      <c r="G13" s="35"/>
      <c r="H13" s="35"/>
      <c r="I13" s="35"/>
      <c r="J13" s="35"/>
      <c r="K13" s="35"/>
      <c r="L13" s="35"/>
    </row>
    <row r="14" spans="2:15" ht="13.15">
      <c r="B14" s="106" t="s">
        <v>400</v>
      </c>
      <c r="C14" s="313" t="s">
        <v>408</v>
      </c>
      <c r="E14" s="106" t="s">
        <v>400</v>
      </c>
      <c r="F14" s="313" t="str">
        <f>IF(F17=C17,"I","II")</f>
        <v>II</v>
      </c>
      <c r="H14" s="106" t="s">
        <v>416</v>
      </c>
    </row>
    <row r="15" spans="2:15">
      <c r="B15" s="139" t="s">
        <v>425</v>
      </c>
      <c r="C15" s="148">
        <f>Scenarios!C45</f>
        <v>15</v>
      </c>
      <c r="E15" s="312" t="str">
        <f>IF(F14="II","Change year","Terminal Year")</f>
        <v>Change year</v>
      </c>
      <c r="F15" s="314">
        <f>IF(F14="II",_xlfn.CEILING.MATH(C15/2),C15+1)</f>
        <v>8</v>
      </c>
      <c r="H15" s="97" t="s">
        <v>433</v>
      </c>
      <c r="I15" s="126">
        <f>Terminal_Growth</f>
        <v>0</v>
      </c>
      <c r="J15" s="126"/>
    </row>
    <row r="16" spans="2:15" ht="13.25" customHeight="1">
      <c r="B16" s="114" t="s">
        <v>426</v>
      </c>
      <c r="C16" s="147">
        <f>Scenarios!C46</f>
        <v>3.0149622951542498E-2</v>
      </c>
      <c r="E16" s="312" t="s">
        <v>401</v>
      </c>
      <c r="F16" s="315">
        <f>Scenarios!C41</f>
        <v>0.02</v>
      </c>
    </row>
    <row r="17" spans="1:21" ht="13.25" customHeight="1">
      <c r="B17" s="312" t="s">
        <v>395</v>
      </c>
      <c r="C17" s="310">
        <f>Normalized_FCF!C32</f>
        <v>0.89099809462634716</v>
      </c>
      <c r="E17" s="312" t="s">
        <v>402</v>
      </c>
      <c r="F17" s="315">
        <f>Scenarios!C40</f>
        <v>0.86799999999999999</v>
      </c>
      <c r="H17" s="106" t="s">
        <v>415</v>
      </c>
    </row>
    <row r="18" spans="1:21" ht="13.25" customHeight="1">
      <c r="B18" s="312" t="s">
        <v>427</v>
      </c>
      <c r="C18" s="310">
        <f>Normalized_FCF!C81-Normalized_FCF!C82</f>
        <v>0</v>
      </c>
      <c r="E18" s="312" t="s">
        <v>427</v>
      </c>
      <c r="F18" s="144">
        <f>IF(F14="II",C18/2,C18)</f>
        <v>0</v>
      </c>
      <c r="H18" s="140" t="s">
        <v>97</v>
      </c>
      <c r="I18" s="129">
        <f>(L52+FV_adjustments)*Exchange_Rate/Common_Shares*scaling_factor</f>
        <v>7.8099395838685268</v>
      </c>
      <c r="J18" t="str">
        <f>Market_currency</f>
        <v>HKD</v>
      </c>
    </row>
    <row r="19" spans="1:21">
      <c r="L19" s="279"/>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6" t="str">
        <f t="shared" ref="A21:A50" si="0">IF($C$15&lt;B21,"",IF(B21&gt;=$F$15,"II","I"))</f>
        <v>I</v>
      </c>
      <c r="B21" s="117">
        <v>1</v>
      </c>
      <c r="C21" s="281">
        <f>I4*(1+D21)</f>
        <v>8445311.6025161762</v>
      </c>
      <c r="D21" s="303">
        <f t="shared" ref="D21:D50" si="1">IF(A21="",0,IF(A21="I",$C$16,$F$16))</f>
        <v>3.0149622951542498E-2</v>
      </c>
      <c r="E21" s="303">
        <f>$C$17</f>
        <v>0.89099809462634716</v>
      </c>
      <c r="F21" s="281">
        <f>I5*(1+D21)</f>
        <v>-509401.77750217711</v>
      </c>
      <c r="G21" s="281">
        <f>C21*(1-E21)+F21+$I$6</f>
        <v>332473.397313744</v>
      </c>
      <c r="H21" s="303">
        <f t="shared" ref="H21:H50" si="2">IF(A21="",0%,IF(A21="I",$C$18,$F$18))</f>
        <v>0</v>
      </c>
      <c r="I21" s="281">
        <f>(G21*(1-$I$10)+C21*(H21-$I$9))</f>
        <v>239133.17710545129</v>
      </c>
      <c r="J21" s="303">
        <f>I21/C4-1</f>
        <v>3.8753710308859324E-2</v>
      </c>
      <c r="K21" s="119">
        <f t="shared" ref="K21:K50" si="3">IF($C$15&lt;B21,0,1/(1+Equity_Cost)^B21)</f>
        <v>0.93240093240093236</v>
      </c>
      <c r="L21" s="281">
        <f t="shared" ref="L21:L50" si="4">I21*K21</f>
        <v>222967.99730112008</v>
      </c>
    </row>
    <row r="22" spans="1:21">
      <c r="A22" s="306" t="str">
        <f t="shared" si="0"/>
        <v>I</v>
      </c>
      <c r="B22" s="117">
        <v>2</v>
      </c>
      <c r="C22" s="281">
        <f t="shared" ref="C22:C50" si="5">IF(A22="",0,C21*(1+D22))</f>
        <v>8699934.5630403273</v>
      </c>
      <c r="D22" s="303">
        <f t="shared" si="1"/>
        <v>3.0149622951542498E-2</v>
      </c>
      <c r="E22" s="303">
        <f t="shared" ref="E22:E50" si="6">IF($C$15&lt;B22,0,IF(B22&gt;=$F$15,$F$17,$C$17))</f>
        <v>0.89099809462634716</v>
      </c>
      <c r="F22" s="281">
        <f t="shared" ref="F22:F50" si="7">IF(A22="",0,F21*(1+D22))</f>
        <v>-524760.04902471334</v>
      </c>
      <c r="G22" s="281">
        <f t="shared" ref="G22:G50" si="8">IF(A22="", 0,C22*(1-E22)+F22+$I$6)</f>
        <v>344869.51364022063</v>
      </c>
      <c r="H22" s="303">
        <f t="shared" si="2"/>
        <v>0</v>
      </c>
      <c r="I22" s="281">
        <f>IF(A22="", 0,G22*(1-$I$10)+C22*(H22-$I$9))</f>
        <v>248323.71314168588</v>
      </c>
      <c r="J22" s="303">
        <f>IF(A22="", 0,I22/I21-1)</f>
        <v>3.8432709954678623E-2</v>
      </c>
      <c r="K22" s="119">
        <f t="shared" si="3"/>
        <v>0.86937149874212816</v>
      </c>
      <c r="L22" s="281">
        <f t="shared" si="4"/>
        <v>215885.55866719777</v>
      </c>
    </row>
    <row r="23" spans="1:21">
      <c r="A23" s="306" t="str">
        <f t="shared" si="0"/>
        <v>I</v>
      </c>
      <c r="B23" s="117">
        <v>3</v>
      </c>
      <c r="C23" s="281">
        <f t="shared" si="5"/>
        <v>8962234.3098190855</v>
      </c>
      <c r="D23" s="303">
        <f t="shared" si="1"/>
        <v>3.0149622951542498E-2</v>
      </c>
      <c r="E23" s="303">
        <f t="shared" si="6"/>
        <v>0.89099809462634716</v>
      </c>
      <c r="F23" s="281">
        <f t="shared" si="7"/>
        <v>-540581.36664284149</v>
      </c>
      <c r="G23" s="281">
        <f t="shared" si="8"/>
        <v>357639.36820000387</v>
      </c>
      <c r="H23" s="303">
        <f t="shared" si="2"/>
        <v>0</v>
      </c>
      <c r="I23" s="281">
        <f t="shared" ref="I23:I50" si="9">IF(A23="", 0,G23*(1-$I$10)+C23*(H23-$I$9))</f>
        <v>257791.34037413541</v>
      </c>
      <c r="J23" s="303">
        <f t="shared" ref="J23:J50" si="10">IF(A23="", 0,I23/I22-1)</f>
        <v>3.8126150389220292E-2</v>
      </c>
      <c r="K23" s="119">
        <f t="shared" si="3"/>
        <v>0.81060279602995633</v>
      </c>
      <c r="L23" s="281">
        <f t="shared" si="4"/>
        <v>208966.38129958435</v>
      </c>
      <c r="N23" s="279"/>
      <c r="O23" s="279"/>
      <c r="P23" s="279"/>
      <c r="Q23" s="279"/>
      <c r="R23" s="279"/>
      <c r="S23" s="279"/>
      <c r="T23" s="279"/>
      <c r="U23" s="279"/>
    </row>
    <row r="24" spans="1:21">
      <c r="A24" s="306" t="str">
        <f t="shared" si="0"/>
        <v>I</v>
      </c>
      <c r="B24" s="117">
        <v>4</v>
      </c>
      <c r="C24" s="281">
        <f t="shared" si="5"/>
        <v>9232442.2950635087</v>
      </c>
      <c r="D24" s="303">
        <f t="shared" si="1"/>
        <v>3.0149622951542498E-2</v>
      </c>
      <c r="E24" s="303">
        <f t="shared" si="6"/>
        <v>0.89099809462634716</v>
      </c>
      <c r="F24" s="281">
        <f t="shared" si="7"/>
        <v>-556879.69102175278</v>
      </c>
      <c r="G24" s="281">
        <f t="shared" si="8"/>
        <v>370794.22905991052</v>
      </c>
      <c r="H24" s="303">
        <f t="shared" si="2"/>
        <v>0</v>
      </c>
      <c r="I24" s="281">
        <f t="shared" si="9"/>
        <v>267544.41299788898</v>
      </c>
      <c r="J24" s="303">
        <f t="shared" si="10"/>
        <v>3.7833204985081359E-2</v>
      </c>
      <c r="K24" s="119">
        <f t="shared" si="3"/>
        <v>0.75580680282513402</v>
      </c>
      <c r="L24" s="281">
        <f t="shared" si="4"/>
        <v>202211.88740166169</v>
      </c>
      <c r="N24" s="279"/>
      <c r="O24" s="279"/>
      <c r="P24" s="279"/>
      <c r="Q24" s="279"/>
      <c r="R24" s="279"/>
      <c r="S24" s="279"/>
      <c r="T24" s="279"/>
      <c r="U24" s="279"/>
    </row>
    <row r="25" spans="1:21">
      <c r="A25" s="306" t="str">
        <f t="shared" si="0"/>
        <v>I</v>
      </c>
      <c r="B25" s="117">
        <v>5</v>
      </c>
      <c r="C25" s="281">
        <f t="shared" si="5"/>
        <v>9510796.9491815474</v>
      </c>
      <c r="D25" s="303">
        <f t="shared" si="1"/>
        <v>3.0149622951542498E-2</v>
      </c>
      <c r="E25" s="303">
        <f t="shared" si="6"/>
        <v>0.89099809462634716</v>
      </c>
      <c r="F25" s="281">
        <f t="shared" si="7"/>
        <v>-573669.4037354301</v>
      </c>
      <c r="G25" s="281">
        <f t="shared" si="8"/>
        <v>384345.70401472354</v>
      </c>
      <c r="H25" s="303">
        <f t="shared" si="2"/>
        <v>0</v>
      </c>
      <c r="I25" s="281">
        <f t="shared" si="9"/>
        <v>277591.53708386794</v>
      </c>
      <c r="J25" s="303">
        <f t="shared" si="10"/>
        <v>3.7553107438869304E-2</v>
      </c>
      <c r="K25" s="119">
        <f t="shared" si="3"/>
        <v>0.70471496766912267</v>
      </c>
      <c r="L25" s="281">
        <f t="shared" si="4"/>
        <v>195622.91108128006</v>
      </c>
      <c r="N25" s="279"/>
      <c r="O25" s="279"/>
      <c r="P25" s="279"/>
      <c r="Q25" s="279"/>
      <c r="R25" s="279"/>
      <c r="S25" s="279"/>
      <c r="T25" s="279"/>
      <c r="U25" s="279"/>
    </row>
    <row r="26" spans="1:21">
      <c r="A26" s="306" t="str">
        <f t="shared" si="0"/>
        <v>I</v>
      </c>
      <c r="B26" s="117">
        <v>6</v>
      </c>
      <c r="C26" s="281">
        <f t="shared" si="5"/>
        <v>9797543.8911680523</v>
      </c>
      <c r="D26" s="303">
        <f t="shared" si="1"/>
        <v>3.0149622951542498E-2</v>
      </c>
      <c r="E26" s="303">
        <f t="shared" si="6"/>
        <v>0.89099809462634716</v>
      </c>
      <c r="F26" s="281">
        <f t="shared" si="7"/>
        <v>-590965.31995688961</v>
      </c>
      <c r="G26" s="281">
        <f t="shared" si="8"/>
        <v>398305.75082986127</v>
      </c>
      <c r="H26" s="303">
        <f t="shared" si="2"/>
        <v>0</v>
      </c>
      <c r="I26" s="281">
        <f t="shared" si="9"/>
        <v>287941.57817278628</v>
      </c>
      <c r="J26" s="303">
        <f t="shared" si="10"/>
        <v>3.7285146361617283E-2</v>
      </c>
      <c r="K26" s="119">
        <f t="shared" si="3"/>
        <v>0.65707689293158289</v>
      </c>
      <c r="L26" s="281">
        <f t="shared" si="4"/>
        <v>189199.75753159091</v>
      </c>
    </row>
    <row r="27" spans="1:21">
      <c r="A27" s="306" t="str">
        <f t="shared" si="0"/>
        <v>I</v>
      </c>
      <c r="B27" s="117">
        <v>7</v>
      </c>
      <c r="C27" s="281">
        <f t="shared" si="5"/>
        <v>10092936.145337958</v>
      </c>
      <c r="D27" s="303">
        <f t="shared" si="1"/>
        <v>3.0149622951542498E-2</v>
      </c>
      <c r="E27" s="303">
        <f t="shared" si="6"/>
        <v>0.89099809462634716</v>
      </c>
      <c r="F27" s="281">
        <f t="shared" si="7"/>
        <v>-608782.70153102756</v>
      </c>
      <c r="G27" s="281">
        <f t="shared" si="8"/>
        <v>412686.68779286148</v>
      </c>
      <c r="H27" s="303">
        <f t="shared" si="2"/>
        <v>0</v>
      </c>
      <c r="I27" s="281">
        <f t="shared" si="9"/>
        <v>298603.66909806867</v>
      </c>
      <c r="J27" s="303">
        <f t="shared" si="10"/>
        <v>3.7028660441960737E-2</v>
      </c>
      <c r="K27" s="119">
        <f t="shared" si="3"/>
        <v>0.61265910762851561</v>
      </c>
      <c r="L27" s="281">
        <f t="shared" si="4"/>
        <v>182942.2574442233</v>
      </c>
    </row>
    <row r="28" spans="1:21">
      <c r="A28" s="306" t="str">
        <f t="shared" si="0"/>
        <v>II</v>
      </c>
      <c r="B28" s="117">
        <v>8</v>
      </c>
      <c r="C28" s="281">
        <f t="shared" si="5"/>
        <v>10294794.868244717</v>
      </c>
      <c r="D28" s="303">
        <f t="shared" si="1"/>
        <v>0.02</v>
      </c>
      <c r="E28" s="303">
        <f t="shared" si="6"/>
        <v>0.86799999999999999</v>
      </c>
      <c r="F28" s="281">
        <f t="shared" si="7"/>
        <v>-620958.35556164815</v>
      </c>
      <c r="G28" s="281">
        <f t="shared" si="8"/>
        <v>659274.68571409502</v>
      </c>
      <c r="H28" s="303">
        <f t="shared" si="2"/>
        <v>0</v>
      </c>
      <c r="I28" s="281">
        <f t="shared" si="9"/>
        <v>503584.85305811919</v>
      </c>
      <c r="J28" s="303">
        <f t="shared" si="10"/>
        <v>0.68646572421295238</v>
      </c>
      <c r="K28" s="119">
        <f t="shared" si="3"/>
        <v>0.5712439231967511</v>
      </c>
      <c r="L28" s="281">
        <f t="shared" si="4"/>
        <v>287669.78712337941</v>
      </c>
    </row>
    <row r="29" spans="1:21">
      <c r="A29" s="306" t="str">
        <f t="shared" si="0"/>
        <v>II</v>
      </c>
      <c r="B29" s="117">
        <v>9</v>
      </c>
      <c r="C29" s="281">
        <f t="shared" si="5"/>
        <v>10500690.765609611</v>
      </c>
      <c r="D29" s="303">
        <f t="shared" si="1"/>
        <v>0.02</v>
      </c>
      <c r="E29" s="303">
        <f t="shared" si="6"/>
        <v>0.86799999999999999</v>
      </c>
      <c r="F29" s="281">
        <f t="shared" si="7"/>
        <v>-633377.52267288114</v>
      </c>
      <c r="G29" s="281">
        <f t="shared" si="8"/>
        <v>674033.77705502813</v>
      </c>
      <c r="H29" s="303">
        <f t="shared" si="2"/>
        <v>0</v>
      </c>
      <c r="I29" s="281">
        <f t="shared" si="9"/>
        <v>514970.50413753535</v>
      </c>
      <c r="J29" s="303">
        <f t="shared" si="10"/>
        <v>2.2609200833334286E-2</v>
      </c>
      <c r="K29" s="119">
        <f t="shared" si="3"/>
        <v>0.53262836661701729</v>
      </c>
      <c r="L29" s="281">
        <f t="shared" si="4"/>
        <v>274287.8984747174</v>
      </c>
    </row>
    <row r="30" spans="1:21">
      <c r="A30" s="306" t="str">
        <f t="shared" si="0"/>
        <v>II</v>
      </c>
      <c r="B30" s="117">
        <v>10</v>
      </c>
      <c r="C30" s="281">
        <f t="shared" si="5"/>
        <v>10710704.580921803</v>
      </c>
      <c r="D30" s="303">
        <f t="shared" si="1"/>
        <v>0.02</v>
      </c>
      <c r="E30" s="303">
        <f t="shared" si="6"/>
        <v>0.86799999999999999</v>
      </c>
      <c r="F30" s="281">
        <f t="shared" si="7"/>
        <v>-646045.07312633877</v>
      </c>
      <c r="G30" s="281">
        <f t="shared" si="8"/>
        <v>689088.05022277974</v>
      </c>
      <c r="H30" s="303">
        <f t="shared" si="2"/>
        <v>0</v>
      </c>
      <c r="I30" s="281">
        <f t="shared" si="9"/>
        <v>526583.86823853967</v>
      </c>
      <c r="J30" s="303">
        <f t="shared" si="10"/>
        <v>2.2551513159873471E-2</v>
      </c>
      <c r="K30" s="119">
        <f t="shared" si="3"/>
        <v>0.49662318565689262</v>
      </c>
      <c r="L30" s="281">
        <f t="shared" si="4"/>
        <v>261513.75816015297</v>
      </c>
    </row>
    <row r="31" spans="1:21">
      <c r="A31" s="306" t="str">
        <f t="shared" si="0"/>
        <v>II</v>
      </c>
      <c r="B31" s="117">
        <v>11</v>
      </c>
      <c r="C31" s="281">
        <f t="shared" si="5"/>
        <v>10924918.672540238</v>
      </c>
      <c r="D31" s="303">
        <f t="shared" si="1"/>
        <v>0.02</v>
      </c>
      <c r="E31" s="303">
        <f t="shared" si="6"/>
        <v>0.86799999999999999</v>
      </c>
      <c r="F31" s="281">
        <f t="shared" si="7"/>
        <v>-658965.97458886553</v>
      </c>
      <c r="G31" s="281">
        <f t="shared" si="8"/>
        <v>704443.40885388653</v>
      </c>
      <c r="H31" s="303">
        <f t="shared" si="2"/>
        <v>0</v>
      </c>
      <c r="I31" s="281">
        <f t="shared" si="9"/>
        <v>538429.49962156429</v>
      </c>
      <c r="J31" s="303">
        <f t="shared" si="10"/>
        <v>2.2495241684195699E-2</v>
      </c>
      <c r="K31" s="119">
        <f t="shared" si="3"/>
        <v>0.46305192135840806</v>
      </c>
      <c r="L31" s="281">
        <f t="shared" si="4"/>
        <v>249320.81431581159</v>
      </c>
    </row>
    <row r="32" spans="1:21">
      <c r="A32" s="306" t="str">
        <f t="shared" si="0"/>
        <v>II</v>
      </c>
      <c r="B32" s="117">
        <v>12</v>
      </c>
      <c r="C32" s="281">
        <f t="shared" si="5"/>
        <v>11143417.045991043</v>
      </c>
      <c r="D32" s="303">
        <f t="shared" si="1"/>
        <v>0.02</v>
      </c>
      <c r="E32" s="303">
        <f t="shared" si="6"/>
        <v>0.86799999999999999</v>
      </c>
      <c r="F32" s="281">
        <f t="shared" si="7"/>
        <v>-672145.29408064287</v>
      </c>
      <c r="G32" s="281">
        <f t="shared" si="8"/>
        <v>720105.8746576152</v>
      </c>
      <c r="H32" s="303">
        <f t="shared" si="2"/>
        <v>0</v>
      </c>
      <c r="I32" s="281">
        <f t="shared" si="9"/>
        <v>550512.04363224912</v>
      </c>
      <c r="J32" s="303">
        <f t="shared" si="10"/>
        <v>2.2440345521887339E-2</v>
      </c>
      <c r="K32" s="119">
        <f t="shared" si="3"/>
        <v>0.43175004322462285</v>
      </c>
      <c r="L32" s="281">
        <f t="shared" si="4"/>
        <v>237683.598633899</v>
      </c>
    </row>
    <row r="33" spans="1:21">
      <c r="A33" s="306" t="str">
        <f t="shared" si="0"/>
        <v>II</v>
      </c>
      <c r="B33" s="117">
        <v>13</v>
      </c>
      <c r="C33" s="281">
        <f t="shared" si="5"/>
        <v>11366285.386910863</v>
      </c>
      <c r="D33" s="303">
        <f t="shared" si="1"/>
        <v>0.02</v>
      </c>
      <c r="E33" s="303">
        <f t="shared" si="6"/>
        <v>0.86799999999999999</v>
      </c>
      <c r="F33" s="281">
        <f t="shared" si="7"/>
        <v>-685588.19996225578</v>
      </c>
      <c r="G33" s="281">
        <f t="shared" si="8"/>
        <v>736081.58977741865</v>
      </c>
      <c r="H33" s="303">
        <f t="shared" si="2"/>
        <v>0</v>
      </c>
      <c r="I33" s="281">
        <f t="shared" si="9"/>
        <v>562836.23852314777</v>
      </c>
      <c r="J33" s="303">
        <f t="shared" si="10"/>
        <v>2.2386785236494067E-2</v>
      </c>
      <c r="K33" s="119">
        <f t="shared" si="3"/>
        <v>0.40256414286678116</v>
      </c>
      <c r="L33" s="281">
        <f t="shared" si="4"/>
        <v>226577.68793543417</v>
      </c>
      <c r="N33" s="279"/>
      <c r="O33" s="279"/>
      <c r="P33" s="279"/>
      <c r="Q33" s="279"/>
      <c r="R33" s="279"/>
      <c r="S33" s="279"/>
      <c r="T33" s="279"/>
      <c r="U33" s="279"/>
    </row>
    <row r="34" spans="1:21">
      <c r="A34" s="306" t="str">
        <f t="shared" si="0"/>
        <v>II</v>
      </c>
      <c r="B34" s="117">
        <v>14</v>
      </c>
      <c r="C34" s="281">
        <f t="shared" si="5"/>
        <v>11593611.09464908</v>
      </c>
      <c r="D34" s="303">
        <f t="shared" si="1"/>
        <v>0.02</v>
      </c>
      <c r="E34" s="303">
        <f t="shared" si="6"/>
        <v>0.86799999999999999</v>
      </c>
      <c r="F34" s="281">
        <f t="shared" si="7"/>
        <v>-699299.96396150091</v>
      </c>
      <c r="G34" s="281">
        <f t="shared" si="8"/>
        <v>752376.81919961818</v>
      </c>
      <c r="H34" s="303">
        <f t="shared" si="2"/>
        <v>0</v>
      </c>
      <c r="I34" s="281">
        <f t="shared" si="9"/>
        <v>575406.91731186444</v>
      </c>
      <c r="J34" s="303">
        <f t="shared" si="10"/>
        <v>2.2334522776467747E-2</v>
      </c>
      <c r="K34" s="119">
        <f t="shared" si="3"/>
        <v>0.37535118216016894</v>
      </c>
      <c r="L34" s="281">
        <f t="shared" si="4"/>
        <v>215979.6666361469</v>
      </c>
      <c r="N34" s="279"/>
      <c r="O34" s="279"/>
      <c r="P34" s="279"/>
      <c r="Q34" s="279"/>
      <c r="R34" s="279"/>
      <c r="S34" s="279"/>
      <c r="T34" s="279"/>
      <c r="U34" s="279"/>
    </row>
    <row r="35" spans="1:21">
      <c r="A35" s="306" t="str">
        <f t="shared" si="0"/>
        <v>II</v>
      </c>
      <c r="B35" s="117">
        <v>15</v>
      </c>
      <c r="C35" s="281">
        <f t="shared" si="5"/>
        <v>11825483.316542063</v>
      </c>
      <c r="D35" s="303">
        <f t="shared" si="1"/>
        <v>0.02</v>
      </c>
      <c r="E35" s="303">
        <f t="shared" si="6"/>
        <v>0.86799999999999999</v>
      </c>
      <c r="F35" s="281">
        <f t="shared" si="7"/>
        <v>-713285.96324073093</v>
      </c>
      <c r="G35" s="281">
        <f t="shared" si="8"/>
        <v>768997.953210262</v>
      </c>
      <c r="H35" s="303">
        <f t="shared" si="2"/>
        <v>0</v>
      </c>
      <c r="I35" s="281">
        <f t="shared" si="9"/>
        <v>588229.00967635564</v>
      </c>
      <c r="J35" s="303">
        <f t="shared" si="10"/>
        <v>2.2283521415405128E-2</v>
      </c>
      <c r="K35" s="119">
        <f t="shared" si="3"/>
        <v>0.34997779222393377</v>
      </c>
      <c r="L35" s="281">
        <f t="shared" si="4"/>
        <v>205867.09012860191</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421</v>
      </c>
      <c r="B51" s="320">
        <f>C15+1</f>
        <v>16</v>
      </c>
      <c r="C51" s="281">
        <f>VLOOKUP(C15,B21:C50,2,FALSE)*(1+Terminal_Growth)</f>
        <v>11825483.316542063</v>
      </c>
      <c r="D51" s="305">
        <f>Terminal_Growth</f>
        <v>0</v>
      </c>
      <c r="E51" s="305">
        <f>F17</f>
        <v>0.86799999999999999</v>
      </c>
      <c r="F51" s="281">
        <f>VLOOKUP(C15,B21:F50,5,FALSE)*(1+Terminal_Growth)</f>
        <v>-713285.96324073093</v>
      </c>
      <c r="G51" s="281">
        <f>C51*(1-E51)+F51+$I$6</f>
        <v>768997.953210262</v>
      </c>
      <c r="H51" s="303">
        <f>F18</f>
        <v>0</v>
      </c>
      <c r="I51" s="281">
        <f>(G51*(1-$I$10)+C51*(H51-$I$9))/Equity_Cost</f>
        <v>8113503.5817428371</v>
      </c>
      <c r="J51" s="419">
        <f>(G51*(1-$I$10)+C51*(H51-$I$9))/VLOOKUP(C15,B21:I50,8,FALSE)-1</f>
        <v>0</v>
      </c>
      <c r="K51" s="119">
        <f>1/(1+Equity_Cost)^C15</f>
        <v>0.34997779222393377</v>
      </c>
      <c r="L51" s="281">
        <f>I51*K51</f>
        <v>2839546.0707393372</v>
      </c>
    </row>
    <row r="52" spans="1:21" ht="13.15">
      <c r="G52" s="111"/>
      <c r="H52" s="111"/>
      <c r="I52" s="111"/>
      <c r="J52" s="464" t="s">
        <v>424</v>
      </c>
      <c r="K52" s="464"/>
      <c r="L52" s="321">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299"/>
      <c r="H56" s="299"/>
      <c r="I56" s="299"/>
      <c r="J56" s="299"/>
      <c r="K56" s="299"/>
      <c r="L56" s="299"/>
    </row>
    <row r="57" spans="1:21" ht="13.15">
      <c r="A57" s="131">
        <v>6</v>
      </c>
      <c r="B57" s="118">
        <v>5592462.1429429594</v>
      </c>
      <c r="C57" s="118">
        <v>5718998.710745181</v>
      </c>
      <c r="D57" s="118">
        <v>5846754.7613701653</v>
      </c>
      <c r="E57" s="118">
        <v>5975730.2948179226</v>
      </c>
      <c r="F57" s="118">
        <v>6105925.3110884447</v>
      </c>
      <c r="G57" s="299"/>
      <c r="H57" s="299"/>
      <c r="I57" s="299"/>
      <c r="J57" s="299"/>
      <c r="K57" s="299"/>
      <c r="L57" s="299"/>
    </row>
    <row r="58" spans="1:21" ht="13.15">
      <c r="A58" s="131">
        <v>7</v>
      </c>
      <c r="B58" s="118">
        <v>5492418.8643652732</v>
      </c>
      <c r="C58" s="118">
        <v>5676113.7507732855</v>
      </c>
      <c r="D58" s="118">
        <v>5863339.45178595</v>
      </c>
      <c r="E58" s="118">
        <v>6054130.0788109051</v>
      </c>
      <c r="F58" s="118">
        <v>6248519.7432557773</v>
      </c>
      <c r="G58" s="299"/>
      <c r="H58" s="299"/>
      <c r="I58" s="299"/>
      <c r="J58" s="299"/>
      <c r="K58" s="299"/>
      <c r="L58" s="299"/>
    </row>
    <row r="59" spans="1:21" ht="13.15">
      <c r="A59" s="131">
        <v>8</v>
      </c>
      <c r="B59" s="118">
        <v>5577866.7339330092</v>
      </c>
      <c r="C59" s="118">
        <v>5764124.8880702872</v>
      </c>
      <c r="D59" s="118">
        <v>5953964.6129467599</v>
      </c>
      <c r="E59" s="118">
        <v>6147420.5175792277</v>
      </c>
      <c r="F59" s="118">
        <v>6344527.2109844796</v>
      </c>
      <c r="G59" s="299"/>
      <c r="H59" s="299"/>
      <c r="I59" s="299"/>
      <c r="J59" s="299"/>
      <c r="K59" s="299"/>
      <c r="L59" s="299"/>
    </row>
    <row r="60" spans="1:21" ht="13.15">
      <c r="A60" s="131">
        <v>9</v>
      </c>
      <c r="B60" s="118">
        <v>5478674.0036659241</v>
      </c>
      <c r="C60" s="118">
        <v>5719030.9543831721</v>
      </c>
      <c r="D60" s="118">
        <v>5966300.8943257071</v>
      </c>
      <c r="E60" s="118">
        <v>6220617.567549143</v>
      </c>
      <c r="F60" s="118">
        <v>6482116.0088882605</v>
      </c>
      <c r="G60" s="299"/>
      <c r="H60" s="299"/>
      <c r="I60" s="299"/>
      <c r="J60" s="299"/>
      <c r="K60" s="299"/>
      <c r="L60" s="299"/>
    </row>
    <row r="61" spans="1:21" ht="13.15">
      <c r="A61" s="131">
        <v>10</v>
      </c>
      <c r="B61" s="118">
        <v>5555203.3815577477</v>
      </c>
      <c r="C61" s="118">
        <v>5798636.5094443168</v>
      </c>
      <c r="D61" s="118">
        <v>6049074.4452762417</v>
      </c>
      <c r="E61" s="118">
        <v>6306652.7422725484</v>
      </c>
      <c r="F61" s="118">
        <v>6571508.2620817916</v>
      </c>
      <c r="G61" s="299"/>
      <c r="H61" s="299"/>
      <c r="I61" s="299"/>
      <c r="J61" s="299"/>
      <c r="K61" s="299"/>
      <c r="L61" s="299"/>
    </row>
    <row r="62" spans="1:21" ht="13.15">
      <c r="A62" s="131">
        <v>15</v>
      </c>
      <c r="B62" s="118">
        <v>5396961.8185033593</v>
      </c>
      <c r="C62" s="281">
        <v>5792108.8893085411</v>
      </c>
      <c r="D62" s="118">
        <v>6209816.4225565288</v>
      </c>
      <c r="E62" s="118">
        <v>6651179.8059659954</v>
      </c>
      <c r="F62" s="118">
        <v>7117337.0643130448</v>
      </c>
      <c r="G62" s="299"/>
      <c r="H62" s="299"/>
      <c r="I62" s="299"/>
      <c r="J62" s="299"/>
      <c r="K62" s="299"/>
      <c r="L62" s="299"/>
      <c r="M62" s="279"/>
      <c r="N62" s="279"/>
      <c r="O62" s="279"/>
      <c r="P62" s="279"/>
      <c r="Q62" s="279"/>
      <c r="R62" s="279"/>
      <c r="S62" s="279"/>
      <c r="T62" s="279"/>
      <c r="U62" s="279"/>
    </row>
    <row r="63" spans="1:21" ht="13.15">
      <c r="A63" s="132">
        <v>20</v>
      </c>
      <c r="B63" s="118">
        <v>5364061.1430426184</v>
      </c>
      <c r="C63" s="281">
        <v>5853599.8591909334</v>
      </c>
      <c r="D63" s="118">
        <v>6380231.8284840696</v>
      </c>
      <c r="E63" s="118">
        <v>6946485.60456766</v>
      </c>
      <c r="F63" s="118">
        <v>7555038.2205814561</v>
      </c>
      <c r="G63" s="299"/>
      <c r="H63" s="299"/>
      <c r="I63" s="299"/>
      <c r="J63" s="299"/>
      <c r="K63" s="299"/>
      <c r="L63" s="299"/>
      <c r="M63" s="279"/>
      <c r="N63" s="279"/>
      <c r="O63" s="279"/>
      <c r="P63" s="279"/>
      <c r="Q63" s="279"/>
      <c r="R63" s="279"/>
      <c r="S63" s="279"/>
      <c r="T63" s="279"/>
      <c r="U63" s="279"/>
    </row>
    <row r="64" spans="1:21" ht="13.15">
      <c r="A64" s="132">
        <v>25</v>
      </c>
      <c r="B64" s="118">
        <v>5187075.0610776981</v>
      </c>
      <c r="C64" s="281">
        <v>5789247.4213424828</v>
      </c>
      <c r="D64" s="118">
        <v>6453576.1043743286</v>
      </c>
      <c r="E64" s="118">
        <v>7186133.2801278103</v>
      </c>
      <c r="F64" s="118">
        <v>7993530.2762442231</v>
      </c>
      <c r="G64" s="299"/>
      <c r="H64" s="299"/>
      <c r="I64" s="299"/>
      <c r="J64" s="299"/>
      <c r="K64" s="299"/>
      <c r="L64" s="299"/>
      <c r="M64" s="279"/>
      <c r="N64" s="279"/>
      <c r="O64" s="279"/>
      <c r="P64" s="279"/>
      <c r="Q64" s="279"/>
      <c r="R64" s="279"/>
      <c r="S64" s="279"/>
      <c r="T64" s="279"/>
      <c r="U64" s="279"/>
    </row>
    <row r="65" spans="1:21" ht="13.15">
      <c r="A65" s="132">
        <v>30</v>
      </c>
      <c r="B65" s="118">
        <v>5118927.8479986088</v>
      </c>
      <c r="C65" s="281">
        <v>5790972.7175897965</v>
      </c>
      <c r="D65" s="118">
        <v>6544533.1775393505</v>
      </c>
      <c r="E65" s="118">
        <v>7389189.0565219279</v>
      </c>
      <c r="F65" s="118">
        <v>8335565.6915554032</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0"/>
      <c r="H69" s="300"/>
      <c r="I69" s="300"/>
      <c r="J69" s="300"/>
      <c r="K69" s="300"/>
      <c r="L69" s="300"/>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0"/>
      <c r="H70" s="300"/>
      <c r="I70" s="300"/>
      <c r="J70" s="300"/>
      <c r="K70" s="300"/>
      <c r="L70" s="300"/>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0"/>
      <c r="H71" s="300"/>
      <c r="I71" s="300"/>
      <c r="J71" s="300"/>
      <c r="K71" s="300"/>
      <c r="L71" s="300"/>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0"/>
      <c r="H72" s="300"/>
      <c r="I72" s="300"/>
      <c r="J72" s="300"/>
      <c r="K72" s="300"/>
      <c r="L72" s="300"/>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0"/>
      <c r="H73" s="300"/>
      <c r="I73" s="300"/>
      <c r="J73" s="300"/>
      <c r="K73" s="300"/>
      <c r="L73" s="300"/>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0"/>
      <c r="H74" s="300"/>
      <c r="I74" s="300"/>
      <c r="J74" s="300"/>
      <c r="K74" s="300"/>
      <c r="L74" s="300"/>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0"/>
      <c r="H75" s="300"/>
      <c r="I75" s="300"/>
      <c r="J75" s="300"/>
      <c r="K75" s="300"/>
      <c r="L75" s="300"/>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0"/>
      <c r="H76" s="300"/>
      <c r="I76" s="300"/>
      <c r="J76" s="300"/>
      <c r="K76" s="300"/>
      <c r="L76" s="300"/>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0"/>
      <c r="H77" s="300"/>
      <c r="I77" s="300"/>
      <c r="J77" s="300"/>
      <c r="K77" s="300"/>
      <c r="L77" s="300"/>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0"/>
      <c r="H78" s="300"/>
      <c r="I78" s="300"/>
      <c r="J78" s="300"/>
      <c r="K78" s="300"/>
      <c r="L78" s="300"/>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0"/>
      <c r="H79" s="300"/>
      <c r="I79" s="300"/>
      <c r="J79" s="300"/>
      <c r="K79" s="300"/>
      <c r="L79" s="300"/>
    </row>
    <row r="81" spans="2:12" ht="13.15">
      <c r="B81" s="153" t="s">
        <v>101</v>
      </c>
      <c r="C81" s="153" t="s">
        <v>110</v>
      </c>
      <c r="D81" s="153" t="s">
        <v>99</v>
      </c>
      <c r="E81" s="154" t="s">
        <v>100</v>
      </c>
      <c r="F81" s="154" t="s">
        <v>461</v>
      </c>
      <c r="G81" s="327"/>
      <c r="H81" s="327"/>
      <c r="I81" s="327"/>
      <c r="J81" s="327"/>
      <c r="K81" s="327"/>
      <c r="L81" s="327"/>
    </row>
    <row r="82" spans="2:12">
      <c r="B82" s="120" t="str">
        <f>Scenarios!B29</f>
        <v>Snowball Scenario</v>
      </c>
      <c r="C82" s="130">
        <f>Scenarios!C29</f>
        <v>0.05</v>
      </c>
      <c r="D82" s="133">
        <f>Scenarios!D29</f>
        <v>15</v>
      </c>
      <c r="E82" s="127">
        <f>INDEX(B$69:F$79, MATCH(D82, A$69:A$79, 0), MATCH(C82, B$68:F$68, 0))</f>
        <v>9.3635390248553545</v>
      </c>
      <c r="F82" s="130">
        <f>Scenarios!F29</f>
        <v>0.05</v>
      </c>
      <c r="G82" s="301"/>
      <c r="H82" s="301"/>
      <c r="I82" s="301"/>
      <c r="J82" s="301"/>
      <c r="K82" s="301"/>
      <c r="L82" s="301"/>
    </row>
    <row r="83" spans="2:12">
      <c r="B83" s="120" t="str">
        <f>Scenarios!B22</f>
        <v>Optimistic</v>
      </c>
      <c r="C83" s="130">
        <f>Scenarios!C22</f>
        <v>0.04</v>
      </c>
      <c r="D83" s="133">
        <f>Scenarios!D22</f>
        <v>15</v>
      </c>
      <c r="E83" s="127">
        <f>INDEX(B$69:F$79, MATCH(D83, A$69:A$79, 0), MATCH(C83, B$68:F$68, 0))</f>
        <v>8.5598252024946575</v>
      </c>
      <c r="F83" s="130">
        <f>Scenarios!F22*(1-F$82-F$86)</f>
        <v>0.18</v>
      </c>
      <c r="G83" s="301"/>
      <c r="H83" s="301"/>
      <c r="I83" s="301"/>
      <c r="J83" s="301"/>
      <c r="K83" s="301"/>
      <c r="L83" s="301"/>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1"/>
      <c r="H84" s="301"/>
      <c r="I84" s="301"/>
      <c r="J84" s="301"/>
      <c r="K84" s="301"/>
      <c r="L84" s="301"/>
    </row>
    <row r="85" spans="2:12">
      <c r="B85" s="120" t="str">
        <f>Scenarios!B24</f>
        <v>Pessimistic</v>
      </c>
      <c r="C85" s="130">
        <f>Scenarios!C24</f>
        <v>0.02</v>
      </c>
      <c r="D85" s="133">
        <f>Scenarios!D24</f>
        <v>15</v>
      </c>
      <c r="E85" s="127">
        <f>INDEX(B$69:F$79, MATCH(D85, A$69:A$79, 0), MATCH(C85, B$68:F$68, 0))</f>
        <v>7.0786787487122345</v>
      </c>
      <c r="F85" s="130">
        <f>Scenarios!F24*(1-F$82-F$86)</f>
        <v>0.18</v>
      </c>
      <c r="G85" s="301"/>
      <c r="H85" s="301"/>
      <c r="I85" s="301"/>
      <c r="J85" s="301"/>
      <c r="K85" s="301"/>
      <c r="L85" s="301"/>
    </row>
    <row r="86" spans="2:12">
      <c r="B86" s="120" t="str">
        <f>Scenarios!B30</f>
        <v>Devil's advocate</v>
      </c>
      <c r="C86" s="130">
        <f>Scenarios!C30</f>
        <v>0.01</v>
      </c>
      <c r="D86" s="133">
        <f>Scenarios!D30</f>
        <v>15</v>
      </c>
      <c r="E86" s="127">
        <f>INDEX(B$69:F$79, MATCH(D86, A$69:A$79, 0), MATCH(C86, B$68:F$68, 0))</f>
        <v>6.3973954328681506</v>
      </c>
      <c r="F86" s="130">
        <f>Scenarios!F30</f>
        <v>0.05</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289000.65016124537</v>
      </c>
      <c r="D8" s="465"/>
      <c r="E8" s="465"/>
      <c r="F8" s="465"/>
      <c r="G8" s="465"/>
    </row>
    <row r="9" spans="2:7">
      <c r="B9" s="97" t="s">
        <v>54</v>
      </c>
      <c r="C9" s="452">
        <f>Normalized_FCF!C19</f>
        <v>230211.62257446788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0.62894902211793369</v>
      </c>
      <c r="D14" s="465"/>
      <c r="E14" s="465"/>
      <c r="F14" s="465"/>
      <c r="G14" s="465"/>
    </row>
    <row r="16" spans="2:7" ht="13.9">
      <c r="B16" s="34" t="s">
        <v>457</v>
      </c>
      <c r="C16" s="35"/>
      <c r="D16" s="35"/>
      <c r="E16" s="35"/>
      <c r="F16" s="35"/>
      <c r="G16" s="35"/>
    </row>
    <row r="17" spans="2:7" ht="13.15">
      <c r="B17" s="106" t="s">
        <v>126</v>
      </c>
      <c r="E17" s="222" t="s">
        <v>251</v>
      </c>
    </row>
    <row r="18" spans="2:7" ht="12.75" customHeight="1">
      <c r="B18" s="139" t="s">
        <v>111</v>
      </c>
      <c r="C18" s="137">
        <v>15</v>
      </c>
      <c r="E18" s="455" t="s">
        <v>549</v>
      </c>
      <c r="F18" s="323"/>
    </row>
    <row r="19" spans="2:7">
      <c r="E19" s="323"/>
      <c r="F19" s="323"/>
    </row>
    <row r="20" spans="2:7" ht="13.15">
      <c r="B20" s="106" t="s">
        <v>454</v>
      </c>
      <c r="E20" s="323"/>
      <c r="F20" s="323"/>
    </row>
    <row r="21" spans="2:7" ht="13.15">
      <c r="B21" s="153" t="s">
        <v>440</v>
      </c>
      <c r="C21" s="153" t="s">
        <v>379</v>
      </c>
      <c r="D21" s="153" t="s">
        <v>452</v>
      </c>
      <c r="E21" s="154" t="str">
        <f>"Value per share ("&amp;Market_currency&amp;")"</f>
        <v>Value per share (HKD)</v>
      </c>
      <c r="F21" s="154" t="s">
        <v>453</v>
      </c>
      <c r="G21" s="154" t="s">
        <v>461</v>
      </c>
    </row>
    <row r="22" spans="2:7">
      <c r="B22" s="306" t="s">
        <v>449</v>
      </c>
      <c r="C22" s="328">
        <v>0.04</v>
      </c>
      <c r="D22" s="329">
        <f>C18</f>
        <v>15</v>
      </c>
      <c r="E22" s="330">
        <f>DCF!E83</f>
        <v>8.5598252024946575</v>
      </c>
      <c r="F22" s="332">
        <f>1-F23-F24</f>
        <v>0.2</v>
      </c>
      <c r="G22" s="332">
        <f>F22*(1-F$29-F$30)</f>
        <v>0.18</v>
      </c>
    </row>
    <row r="23" spans="2:7">
      <c r="B23" s="306" t="s">
        <v>441</v>
      </c>
      <c r="C23" s="328">
        <v>0.03</v>
      </c>
      <c r="D23" s="329">
        <f>C18</f>
        <v>15</v>
      </c>
      <c r="E23" s="330">
        <f>DCF!E84</f>
        <v>7.7988591431268164</v>
      </c>
      <c r="F23" s="331">
        <v>0.6</v>
      </c>
      <c r="G23" s="332">
        <f t="shared" ref="G23:G24" si="0">F23*(1-F$29-F$30)</f>
        <v>0.53999999999999992</v>
      </c>
    </row>
    <row r="24" spans="2:7">
      <c r="B24" s="306" t="s">
        <v>450</v>
      </c>
      <c r="C24" s="328">
        <v>0.02</v>
      </c>
      <c r="D24" s="329">
        <f>C18</f>
        <v>15</v>
      </c>
      <c r="E24" s="330">
        <f>DCF!E85</f>
        <v>7.0786787487122345</v>
      </c>
      <c r="F24" s="331">
        <v>0.2</v>
      </c>
      <c r="G24" s="332">
        <f t="shared" si="0"/>
        <v>0.18</v>
      </c>
    </row>
    <row r="25" spans="2:7">
      <c r="B25" s="141" t="s">
        <v>455</v>
      </c>
      <c r="C25" s="446">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6" t="s">
        <v>448</v>
      </c>
      <c r="C29" s="328">
        <v>0.05</v>
      </c>
      <c r="D29" s="329">
        <f>C18</f>
        <v>15</v>
      </c>
      <c r="E29" s="330">
        <f>DCF!E82</f>
        <v>9.3635390248553545</v>
      </c>
      <c r="F29" s="331">
        <v>0.05</v>
      </c>
      <c r="G29" s="332">
        <f>F29</f>
        <v>0.05</v>
      </c>
    </row>
    <row r="30" spans="2:7">
      <c r="B30" s="319" t="s">
        <v>451</v>
      </c>
      <c r="C30" s="328">
        <v>0.01</v>
      </c>
      <c r="D30" s="329">
        <f>C18</f>
        <v>15</v>
      </c>
      <c r="E30" s="330">
        <f>DCF!E86</f>
        <v>6.3973954328681506</v>
      </c>
      <c r="F30" s="331">
        <v>0.05</v>
      </c>
      <c r="G30" s="332">
        <f>F30</f>
        <v>0.05</v>
      </c>
    </row>
    <row r="31" spans="2:7">
      <c r="E31" s="333"/>
      <c r="F31" s="333"/>
    </row>
    <row r="32" spans="2:7" ht="13.15">
      <c r="B32" s="145" t="s">
        <v>460</v>
      </c>
    </row>
    <row r="33" spans="2:7">
      <c r="B33" s="97" t="s">
        <v>462</v>
      </c>
      <c r="C33" s="155">
        <f>Normalized_FCF!C88*(1-dividend_tax_rate)</f>
        <v>0.4</v>
      </c>
      <c r="D33" t="str">
        <f>Market_currency</f>
        <v>HKD</v>
      </c>
      <c r="E33" s="97" t="s">
        <v>459</v>
      </c>
      <c r="F33" s="219">
        <f>Holding_Period</f>
        <v>3</v>
      </c>
    </row>
    <row r="34" spans="2:7">
      <c r="B34" s="97" t="s">
        <v>233</v>
      </c>
      <c r="C34" s="146">
        <f>Market_Price</f>
        <v>6.48</v>
      </c>
      <c r="D34" t="str">
        <f>Market_currency</f>
        <v>HKD</v>
      </c>
      <c r="E34" s="97" t="s">
        <v>458</v>
      </c>
      <c r="F34" s="334">
        <f>RATE(Holding_Period,$C$33,-C34,$C$36)</f>
        <v>0.12260045445698151</v>
      </c>
    </row>
    <row r="35" spans="2:7">
      <c r="B35" s="97" t="s">
        <v>438</v>
      </c>
      <c r="C35" s="324">
        <f>DCF!C11</f>
        <v>2.5670270786220946</v>
      </c>
      <c r="D35" s="97" t="str">
        <f>Market_currency</f>
        <v>HKD</v>
      </c>
      <c r="E35" s="97" t="s">
        <v>458</v>
      </c>
      <c r="F35" s="334">
        <f>RATE(Holding_Period,$C$33,-C35,$C$36)</f>
        <v>0.56386844863399943</v>
      </c>
    </row>
    <row r="36" spans="2:7">
      <c r="B36" s="97" t="s">
        <v>439</v>
      </c>
      <c r="C36" s="325">
        <f>E22*G22+E23*G23+E24*G24+E30*G30+E29*G29</f>
        <v>7.8143613713918958</v>
      </c>
      <c r="D36" t="str">
        <f>Market_currency</f>
        <v>HKD</v>
      </c>
      <c r="E36" s="97" t="s">
        <v>464</v>
      </c>
      <c r="F36" s="335" t="s">
        <v>463</v>
      </c>
    </row>
    <row r="38" spans="2:7" ht="13.9">
      <c r="B38" s="34" t="s">
        <v>414</v>
      </c>
      <c r="C38" s="35"/>
      <c r="D38" s="35"/>
      <c r="E38" s="35"/>
      <c r="F38" s="35"/>
      <c r="G38" s="35"/>
    </row>
    <row r="39" spans="2:7" ht="13.15">
      <c r="B39" s="418" t="str">
        <f>IF(DCF!F14="II","2","1")&amp;"-stage DCF"</f>
        <v>2-stage DCF</v>
      </c>
      <c r="E39" s="222"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3.0149622951542498E-2</v>
      </c>
      <c r="D46" s="138"/>
      <c r="E46" s="221" t="s">
        <v>252</v>
      </c>
    </row>
    <row r="47" spans="2:7">
      <c r="B47" s="97" t="s">
        <v>96</v>
      </c>
      <c r="C47" s="146">
        <f>DCF!I18</f>
        <v>7.8099395838685268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0.56971924129009388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477</v>
      </c>
      <c r="E60" s="417"/>
    </row>
    <row r="61" spans="2:7" ht="13.15">
      <c r="B61" s="153" t="s">
        <v>466</v>
      </c>
      <c r="C61" s="153" t="s">
        <v>103</v>
      </c>
      <c r="D61" s="153" t="s">
        <v>104</v>
      </c>
      <c r="E61" s="154" t="str">
        <f>"Buy below ("&amp;Market_currency&amp;")"</f>
        <v>Buy below (HKD)</v>
      </c>
      <c r="F61" s="154" t="s">
        <v>458</v>
      </c>
      <c r="G61" s="154" t="s">
        <v>465</v>
      </c>
    </row>
    <row r="62" spans="2:7" ht="13.15">
      <c r="B62" s="306" t="s">
        <v>312</v>
      </c>
      <c r="C62" s="119">
        <f>PV(F62, Holding_Period, -C58, 0)</f>
        <v>0.73194063044404789</v>
      </c>
      <c r="D62" s="119">
        <f>C36/(1+F62)^Holding_Period</f>
        <v>3.6010881895815197</v>
      </c>
      <c r="E62" s="336">
        <f>C62+D62</f>
        <v>4.333028820025568</v>
      </c>
      <c r="F62" s="305">
        <f>Thesis!E22</f>
        <v>0.29465259038036606</v>
      </c>
      <c r="G62" s="445">
        <f>(1-E62/C36)</f>
        <v>0.44550442267891077</v>
      </c>
    </row>
    <row r="63" spans="2:7" ht="13.15">
      <c r="B63" s="306" t="s">
        <v>313</v>
      </c>
      <c r="C63" s="119">
        <f>PV(F63, Holding_Period, -C58, 0)</f>
        <v>0.84160157890763132</v>
      </c>
      <c r="D63" s="119">
        <f>C36/(1+F63)^Holding_Period</f>
        <v>4.513710539432144</v>
      </c>
      <c r="E63" s="336">
        <f>C63+D63</f>
        <v>5.3553121183397749</v>
      </c>
      <c r="F63" s="305">
        <f>Thesis!E23</f>
        <v>0.20075184365903009</v>
      </c>
      <c r="G63" s="445">
        <f>(1-E63/C36)</f>
        <v>0.31468332934468768</v>
      </c>
    </row>
    <row r="65" spans="2:7" ht="13.15">
      <c r="B65" s="153" t="s">
        <v>467</v>
      </c>
      <c r="C65" s="153" t="s">
        <v>103</v>
      </c>
      <c r="D65" s="153" t="s">
        <v>104</v>
      </c>
      <c r="E65" s="154" t="str">
        <f>"Sell above ("&amp;Market_currency&amp;")"</f>
        <v>Sell above (HKD)</v>
      </c>
      <c r="F65" s="154" t="s">
        <v>458</v>
      </c>
      <c r="G65" s="154" t="s">
        <v>465</v>
      </c>
    </row>
    <row r="66" spans="2:7" ht="13.15">
      <c r="B66" s="306" t="s">
        <v>315</v>
      </c>
      <c r="C66" s="119">
        <f>PV(F66, Holding_Period, -C58, 0)</f>
        <v>0.96504125037545974</v>
      </c>
      <c r="D66" s="119">
        <f>C36/(1+F66)^Holding_Period</f>
        <v>5.6010247277185474</v>
      </c>
      <c r="E66" s="336">
        <f>C66+D66</f>
        <v>6.5660659780940076</v>
      </c>
      <c r="F66" s="305">
        <f>Thesis!E24</f>
        <v>0.1174</v>
      </c>
      <c r="G66" s="445">
        <f>(1-E66/C36)</f>
        <v>0.15974375050888412</v>
      </c>
    </row>
    <row r="67" spans="2:7" ht="13.15">
      <c r="B67" s="306" t="s">
        <v>314</v>
      </c>
      <c r="C67" s="119">
        <f>PV(F67, Holding_Period, -C58, 0)</f>
        <v>1.0449500908692064</v>
      </c>
      <c r="D67" s="119">
        <f>C36/(1+F67)^Holding_Period</f>
        <v>6.3343431768387548</v>
      </c>
      <c r="E67" s="336">
        <f>C67+D67</f>
        <v>7.3792932677079612</v>
      </c>
      <c r="F67" s="305">
        <f>Thesis!E25</f>
        <v>7.2499999999999995E-2</v>
      </c>
      <c r="G67" s="445">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546</v>
      </c>
      <c r="F3" s="441">
        <f>Thesis!F3</f>
        <v>45930</v>
      </c>
    </row>
    <row r="4" spans="1:10">
      <c r="B4" s="427" t="s">
        <v>538</v>
      </c>
      <c r="C4" s="428" t="str">
        <f>Thesis!C4</f>
        <v>大家乐集团</v>
      </c>
      <c r="D4" s="353"/>
      <c r="E4" s="439" t="s">
        <v>544</v>
      </c>
      <c r="F4" s="442" t="str">
        <f>Thesis!F4</f>
        <v>INT</v>
      </c>
    </row>
    <row r="5" spans="1:10">
      <c r="B5" s="347" t="s">
        <v>364</v>
      </c>
      <c r="C5" s="359" t="str">
        <f>Thesis!C5</f>
        <v>0341.HK</v>
      </c>
      <c r="E5" s="443" t="s">
        <v>545</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6.48</v>
      </c>
    </row>
    <row r="9" spans="1:10">
      <c r="B9" s="355" t="s">
        <v>361</v>
      </c>
      <c r="C9" s="357">
        <f>Common_Shares</f>
        <v>580004033</v>
      </c>
    </row>
    <row r="10" spans="1:10">
      <c r="B10" s="355" t="s">
        <v>367</v>
      </c>
      <c r="C10" s="361">
        <f>投资主题!C8*Common_Shares/1000000</f>
        <v>3758.4261338400001</v>
      </c>
      <c r="D10" s="347" t="s">
        <v>533</v>
      </c>
      <c r="E10" s="364">
        <f>Scenarios!F34</f>
        <v>0.12260045445698151</v>
      </c>
    </row>
    <row r="11" spans="1:10">
      <c r="D11" s="353"/>
      <c r="E11" s="353"/>
    </row>
    <row r="12" spans="1:10" ht="24.5" customHeight="1">
      <c r="B12" s="470" t="s">
        <v>502</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539</v>
      </c>
      <c r="C17" s="429">
        <f>Terminal_Growth</f>
        <v>0</v>
      </c>
      <c r="D17" s="355" t="s">
        <v>339</v>
      </c>
      <c r="E17" s="348" t="str">
        <f>Reporting_currency</f>
        <v>HKD</v>
      </c>
    </row>
    <row r="18" spans="1:6">
      <c r="B18" s="347" t="str">
        <f>"预期股权价值 ("&amp;C7&amp;") :"</f>
        <v>预期股权价值 (HKD) :</v>
      </c>
      <c r="C18" s="363">
        <f>C125</f>
        <v>7.8143613713918958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497</v>
      </c>
      <c r="C21" s="365" t="str">
        <f>C138&amp;" ("&amp;Market_currency&amp;")"</f>
        <v xml:space="preserve"> (HKD)</v>
      </c>
      <c r="D21" s="366" t="s">
        <v>344</v>
      </c>
      <c r="E21" s="367">
        <f>Holding_Period</f>
        <v>3</v>
      </c>
    </row>
    <row r="22" spans="1:6">
      <c r="B22" s="347" t="s">
        <v>340</v>
      </c>
      <c r="C22" s="368">
        <f>E140</f>
        <v>4.333028820025568</v>
      </c>
      <c r="D22" s="369" t="s">
        <v>444</v>
      </c>
      <c r="E22" s="370">
        <f>Thesis!E22</f>
        <v>0.29465259038036606</v>
      </c>
    </row>
    <row r="23" spans="1:6">
      <c r="B23" s="347" t="s">
        <v>341</v>
      </c>
      <c r="C23" s="371">
        <f>E141</f>
        <v>5.3553121183397749</v>
      </c>
      <c r="D23" s="369" t="s">
        <v>445</v>
      </c>
      <c r="E23" s="372">
        <f>Thesis!E23</f>
        <v>0.20075184365903009</v>
      </c>
    </row>
    <row r="24" spans="1:6">
      <c r="B24" s="347" t="s">
        <v>343</v>
      </c>
      <c r="C24" s="371">
        <f>E144</f>
        <v>6.5660659780940076</v>
      </c>
      <c r="D24" s="369" t="s">
        <v>447</v>
      </c>
      <c r="E24" s="372">
        <f>Thesis!E24</f>
        <v>0.1174</v>
      </c>
    </row>
    <row r="25" spans="1:6">
      <c r="B25" s="347" t="s">
        <v>342</v>
      </c>
      <c r="C25" s="371">
        <f>E145</f>
        <v>7.3792932677079612</v>
      </c>
      <c r="D25" s="369" t="s">
        <v>446</v>
      </c>
      <c r="E25" s="372">
        <f>Thesis!E25</f>
        <v>7.2499999999999995E-2</v>
      </c>
    </row>
    <row r="27" spans="1:6" ht="13.9">
      <c r="A27" s="349" t="s">
        <v>345</v>
      </c>
      <c r="B27" s="349"/>
      <c r="C27" s="349"/>
      <c r="D27" s="349"/>
      <c r="E27" s="349"/>
      <c r="F27" s="349"/>
    </row>
    <row r="29" spans="1:6">
      <c r="B29" s="470" t="s">
        <v>503</v>
      </c>
      <c r="C29" s="470"/>
      <c r="D29" s="470"/>
      <c r="E29" s="470"/>
      <c r="F29" s="470"/>
    </row>
    <row r="30" spans="1:6" ht="24.5" customHeight="1">
      <c r="B30" s="473" t="s">
        <v>504</v>
      </c>
      <c r="C30" s="473"/>
      <c r="D30" s="473"/>
      <c r="E30" s="473"/>
      <c r="F30" s="473"/>
    </row>
    <row r="32" spans="1:6">
      <c r="B32" s="373" t="s">
        <v>371</v>
      </c>
      <c r="C32" s="374">
        <f>scaling_factor</f>
        <v>1000</v>
      </c>
    </row>
    <row r="33" spans="2:6">
      <c r="B33" s="466" t="s">
        <v>505</v>
      </c>
      <c r="C33" s="466"/>
      <c r="D33" s="466"/>
      <c r="E33" s="466"/>
      <c r="F33" s="466"/>
    </row>
    <row r="34" spans="2:6">
      <c r="B34" s="376" t="s">
        <v>197</v>
      </c>
      <c r="C34" s="377">
        <f>Normalized_FCF!C8</f>
        <v>399119.96227138769</v>
      </c>
      <c r="D34" s="347" t="str">
        <f>Reporting_currency</f>
        <v>HKD</v>
      </c>
    </row>
    <row r="35" spans="2:6">
      <c r="B35" s="376"/>
      <c r="C35" s="378"/>
    </row>
    <row r="36" spans="2:6" ht="24.5" customHeight="1">
      <c r="B36" s="466" t="s">
        <v>506</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507</v>
      </c>
      <c r="C40" s="466"/>
      <c r="D40" s="466"/>
      <c r="E40" s="466"/>
      <c r="F40" s="466"/>
    </row>
    <row r="41" spans="2:6">
      <c r="B41" s="376" t="s">
        <v>202</v>
      </c>
      <c r="C41" s="377">
        <f>Normalized_FCF!C9</f>
        <v>0</v>
      </c>
      <c r="D41" s="347" t="str">
        <f>Reporting_currency</f>
        <v>HKD</v>
      </c>
    </row>
    <row r="43" spans="2:6">
      <c r="B43" s="466" t="s">
        <v>508</v>
      </c>
      <c r="C43" s="466"/>
      <c r="D43" s="466"/>
      <c r="E43" s="466"/>
      <c r="F43" s="466"/>
    </row>
    <row r="44" spans="2:6">
      <c r="B44" s="376" t="s">
        <v>267</v>
      </c>
      <c r="C44" s="380">
        <f>Normalized_FCF!C46</f>
        <v>6692.5186674405113</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-78679.881332559497</v>
      </c>
      <c r="D46" s="347" t="str">
        <f>Reporting_currency</f>
        <v>HKD</v>
      </c>
    </row>
    <row r="48" spans="2:6">
      <c r="B48" s="347" t="s">
        <v>509</v>
      </c>
    </row>
    <row r="49" spans="2:6">
      <c r="B49" s="376" t="s">
        <v>223</v>
      </c>
      <c r="C49" s="377">
        <f>Normalized_FCF!C13</f>
        <v>-37355.845009453624</v>
      </c>
      <c r="D49" s="347" t="str">
        <f>Reporting_currency</f>
        <v>HKD</v>
      </c>
    </row>
    <row r="51" spans="2:6">
      <c r="B51" s="466" t="s">
        <v>510</v>
      </c>
      <c r="C51" s="466"/>
      <c r="D51" s="466"/>
      <c r="E51" s="466"/>
      <c r="F51" s="466"/>
    </row>
    <row r="52" spans="2:6">
      <c r="B52" s="376" t="s">
        <v>500</v>
      </c>
      <c r="C52" s="377">
        <f>Normalized_FCF!C12</f>
        <v>-52872.613354906651</v>
      </c>
      <c r="D52" s="347" t="str">
        <f>Reporting_currency</f>
        <v>HKD</v>
      </c>
    </row>
    <row r="54" spans="2:6">
      <c r="B54" s="466" t="s">
        <v>511</v>
      </c>
      <c r="C54" s="472"/>
      <c r="D54" s="472"/>
      <c r="E54" s="472"/>
      <c r="F54" s="472"/>
    </row>
    <row r="55" spans="2:6">
      <c r="B55" s="376" t="s">
        <v>207</v>
      </c>
      <c r="C55" s="377">
        <f>Normalized_FCF!C17</f>
        <v>0</v>
      </c>
      <c r="D55" s="347" t="str">
        <f>Reporting_currency</f>
        <v>HKD</v>
      </c>
    </row>
    <row r="57" spans="2:6">
      <c r="B57" s="470" t="s">
        <v>512</v>
      </c>
      <c r="C57" s="470"/>
      <c r="D57" s="470"/>
      <c r="E57" s="470"/>
      <c r="F57" s="470"/>
    </row>
    <row r="58" spans="2:6">
      <c r="B58" s="470" t="s">
        <v>513</v>
      </c>
      <c r="C58" s="470"/>
      <c r="D58" s="470"/>
      <c r="E58" s="470"/>
      <c r="F58" s="470"/>
    </row>
    <row r="60" spans="2:6">
      <c r="B60" s="376" t="s">
        <v>372</v>
      </c>
      <c r="C60" s="377">
        <f>Normalized_FCF!G19</f>
        <v>289000.65016124537</v>
      </c>
      <c r="D60" s="347" t="str">
        <f>Reporting_currency</f>
        <v>HKD</v>
      </c>
    </row>
    <row r="61" spans="2:6">
      <c r="B61" s="376" t="s">
        <v>213</v>
      </c>
      <c r="C61" s="377">
        <f>Normalized_FCF!C19</f>
        <v>230211.62257446788</v>
      </c>
      <c r="D61" s="347" t="str">
        <f>Reporting_currency</f>
        <v>HKD</v>
      </c>
    </row>
    <row r="62" spans="2:6">
      <c r="B62" s="381" t="s">
        <v>302</v>
      </c>
      <c r="C62" s="382">
        <f>Normalized_FCF!C124</f>
        <v>6.1252134371271964E-2</v>
      </c>
      <c r="F62" s="383"/>
    </row>
    <row r="63" spans="2:6">
      <c r="B63" s="381" t="s">
        <v>332</v>
      </c>
      <c r="C63" s="382">
        <f>Normalized_FCF!C92</f>
        <v>6.1728395061728392E-2</v>
      </c>
      <c r="E63" s="376" t="s">
        <v>373</v>
      </c>
      <c r="F63" s="384">
        <f>Normalized_FCF!C90</f>
        <v>1.0077754137932506</v>
      </c>
    </row>
    <row r="65" spans="1:6">
      <c r="B65" s="373" t="s">
        <v>376</v>
      </c>
      <c r="C65" s="385" t="s">
        <v>327</v>
      </c>
      <c r="D65" s="385" t="s">
        <v>374</v>
      </c>
    </row>
    <row r="66" spans="1:6">
      <c r="B66" s="376" t="s">
        <v>326</v>
      </c>
      <c r="C66" s="382">
        <f>Normalized_FCF!C119</f>
        <v>0.1167471410506614</v>
      </c>
      <c r="D66" s="382">
        <f>Normalized_FCF!G119</f>
        <v>0.11792742550148552</v>
      </c>
    </row>
    <row r="67" spans="1:6">
      <c r="B67" s="386" t="str">
        <f>Normalized_FCF!B116</f>
        <v>Pre-tax Profit/Sales</v>
      </c>
      <c r="C67" s="387">
        <f>Normalized_FCF!C116</f>
        <v>3.9086921133773919E-2</v>
      </c>
      <c r="D67" s="387">
        <f>Normalized_FCF!G116</f>
        <v>3.7776339292914275E-2</v>
      </c>
    </row>
    <row r="68" spans="1:6">
      <c r="B68" s="386" t="str">
        <f>Normalized_FCF!B117</f>
        <v>Sales/Total Assets</v>
      </c>
      <c r="C68" s="388">
        <f>Normalized_FCF!C117</f>
        <v>1.3708738209065539</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480</v>
      </c>
      <c r="B71" s="349"/>
      <c r="C71" s="349"/>
      <c r="D71" s="349"/>
      <c r="E71" s="349"/>
      <c r="F71" s="349"/>
    </row>
    <row r="72" spans="1:6">
      <c r="A72" s="389"/>
    </row>
    <row r="73" spans="1:6">
      <c r="A73" s="390"/>
      <c r="B73" s="470" t="s">
        <v>514</v>
      </c>
      <c r="C73" s="470"/>
      <c r="D73" s="470"/>
      <c r="E73" s="470"/>
      <c r="F73" s="470"/>
    </row>
    <row r="74" spans="1:6">
      <c r="B74" s="473" t="s">
        <v>483</v>
      </c>
      <c r="C74" s="473"/>
      <c r="D74" s="473"/>
      <c r="E74" s="473"/>
      <c r="F74" s="473"/>
    </row>
    <row r="76" spans="1:6">
      <c r="B76" s="373" t="s">
        <v>371</v>
      </c>
    </row>
    <row r="77" spans="1:6">
      <c r="B77" s="470" t="s">
        <v>515</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5.3475400925918697</v>
      </c>
    </row>
    <row r="83" spans="1:6">
      <c r="B83" s="347" t="s">
        <v>516</v>
      </c>
    </row>
    <row r="84" spans="1:6">
      <c r="B84" s="347" t="s">
        <v>224</v>
      </c>
      <c r="C84" s="377">
        <f>DCF!F5</f>
        <v>384381.13325594889</v>
      </c>
      <c r="D84" s="347" t="str">
        <f>Reporting_currency</f>
        <v>HKD</v>
      </c>
    </row>
    <row r="85" spans="1:6">
      <c r="B85" s="386" t="s">
        <v>485</v>
      </c>
      <c r="C85" s="394">
        <f>BS!C66</f>
        <v>1053633</v>
      </c>
      <c r="D85" s="395" t="str">
        <f>Reporting_currency</f>
        <v>HKD</v>
      </c>
    </row>
    <row r="86" spans="1:6">
      <c r="B86" s="376" t="s">
        <v>235</v>
      </c>
      <c r="C86" s="391">
        <f>C84*scaling_factor*Exchange_Rate/Common_Shares</f>
        <v>0.66272148362104388</v>
      </c>
      <c r="D86" s="347" t="str">
        <f>Market_currency</f>
        <v>HKD</v>
      </c>
    </row>
    <row r="88" spans="1:6">
      <c r="B88" s="347" t="s">
        <v>517</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484</v>
      </c>
      <c r="C92" s="391">
        <f>DCF!F8</f>
        <v>-2.9076464486309033</v>
      </c>
      <c r="D92" s="347" t="str">
        <f>Market_currency</f>
        <v>HKD</v>
      </c>
    </row>
    <row r="94" spans="1:6" ht="13.9">
      <c r="A94" s="349" t="s">
        <v>486</v>
      </c>
      <c r="B94" s="349"/>
      <c r="C94" s="349"/>
      <c r="D94" s="349"/>
      <c r="E94" s="349"/>
      <c r="F94" s="349"/>
    </row>
    <row r="95" spans="1:6">
      <c r="A95" s="389"/>
    </row>
    <row r="96" spans="1:6">
      <c r="A96" s="389"/>
      <c r="B96" s="470" t="s">
        <v>518</v>
      </c>
      <c r="C96" s="470"/>
      <c r="D96" s="470"/>
      <c r="E96" s="470"/>
      <c r="F96" s="470"/>
    </row>
    <row r="97" spans="1:6">
      <c r="A97" s="389"/>
      <c r="B97" s="473" t="s">
        <v>519</v>
      </c>
      <c r="C97" s="473"/>
      <c r="D97" s="473"/>
      <c r="E97" s="473"/>
      <c r="F97" s="473"/>
    </row>
    <row r="98" spans="1:6">
      <c r="A98" s="389"/>
      <c r="B98" s="473" t="s">
        <v>520</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539</v>
      </c>
      <c r="C104" s="372">
        <v>0</v>
      </c>
    </row>
    <row r="105" spans="1:6">
      <c r="A105" s="389"/>
      <c r="C105" s="396"/>
    </row>
    <row r="106" spans="1:6">
      <c r="A106" s="389"/>
      <c r="B106" s="397" t="s">
        <v>375</v>
      </c>
      <c r="C106" s="396"/>
    </row>
    <row r="107" spans="1:6">
      <c r="A107" s="389"/>
      <c r="B107" s="470" t="s">
        <v>521</v>
      </c>
      <c r="C107" s="470"/>
      <c r="D107" s="470"/>
      <c r="E107" s="470"/>
      <c r="F107" s="470"/>
    </row>
    <row r="108" spans="1:6">
      <c r="A108" s="389"/>
      <c r="B108" s="470" t="s">
        <v>540</v>
      </c>
      <c r="C108" s="470"/>
      <c r="D108" s="470"/>
      <c r="E108" s="470"/>
      <c r="F108" s="470"/>
    </row>
    <row r="109" spans="1:6">
      <c r="A109" s="389"/>
    </row>
    <row r="110" spans="1:6">
      <c r="A110" s="389"/>
      <c r="B110" s="373" t="s">
        <v>493</v>
      </c>
    </row>
    <row r="111" spans="1:6">
      <c r="A111" s="389"/>
      <c r="B111" s="379" t="s">
        <v>490</v>
      </c>
      <c r="C111" s="398">
        <f>BS!D47</f>
        <v>-2.5047246524922007</v>
      </c>
      <c r="D111" s="347" t="str">
        <f>Market_currency</f>
        <v>HKD</v>
      </c>
    </row>
    <row r="112" spans="1:6">
      <c r="A112" s="389"/>
      <c r="B112" s="376" t="s">
        <v>377</v>
      </c>
      <c r="C112" s="398">
        <f>DCF!C11</f>
        <v>2.5670270786220946</v>
      </c>
      <c r="D112" s="347" t="str">
        <f>Market_currency</f>
        <v>HKD</v>
      </c>
    </row>
    <row r="113" spans="1:6">
      <c r="A113" s="389"/>
    </row>
    <row r="114" spans="1:6">
      <c r="A114" s="389"/>
      <c r="B114" s="470" t="s">
        <v>522</v>
      </c>
      <c r="C114" s="470"/>
      <c r="D114" s="470"/>
      <c r="E114" s="470"/>
      <c r="F114" s="470"/>
    </row>
    <row r="115" spans="1:6">
      <c r="A115" s="389"/>
    </row>
    <row r="116" spans="1:6">
      <c r="A116" s="389"/>
      <c r="B116" s="373" t="s">
        <v>494</v>
      </c>
    </row>
    <row r="117" spans="1:6">
      <c r="A117" s="389"/>
      <c r="B117" s="346" t="s">
        <v>378</v>
      </c>
      <c r="C117" s="346" t="s">
        <v>379</v>
      </c>
      <c r="D117" s="346" t="s">
        <v>99</v>
      </c>
      <c r="E117" s="346" t="s">
        <v>380</v>
      </c>
      <c r="F117" s="346" t="s">
        <v>381</v>
      </c>
    </row>
    <row r="118" spans="1:6">
      <c r="A118" s="389"/>
      <c r="B118" s="399" t="str">
        <f>DCF!B82</f>
        <v>Snowball Scenario</v>
      </c>
      <c r="C118" s="400">
        <f>DCF!C82</f>
        <v>0.05</v>
      </c>
      <c r="D118" s="401">
        <f>DCF!D82</f>
        <v>15</v>
      </c>
      <c r="E118" s="402" t="str">
        <f>ROUND(DCF!E82,2)&amp;" "&amp;Market_currency</f>
        <v>9.36 HKD</v>
      </c>
      <c r="F118" s="403">
        <f>DCF!F82</f>
        <v>0.05</v>
      </c>
    </row>
    <row r="119" spans="1:6">
      <c r="A119" s="389"/>
      <c r="B119" s="404" t="str">
        <f>DCF!B83</f>
        <v>Optimistic</v>
      </c>
      <c r="C119" s="405">
        <f>DCF!C83</f>
        <v>0.04</v>
      </c>
      <c r="D119" s="406">
        <f>DCF!D83</f>
        <v>15</v>
      </c>
      <c r="E119" s="402" t="str">
        <f>ROUND(DCF!E83,2)&amp;" "&amp;Market_currency</f>
        <v>8.56 HKD</v>
      </c>
      <c r="F119" s="407">
        <f>DCF!F83</f>
        <v>0.18</v>
      </c>
    </row>
    <row r="120" spans="1:6">
      <c r="B120" s="404" t="str">
        <f>DCF!B84</f>
        <v>Base</v>
      </c>
      <c r="C120" s="405">
        <f>DCF!C84</f>
        <v>0.03</v>
      </c>
      <c r="D120" s="406">
        <f>DCF!D84</f>
        <v>15</v>
      </c>
      <c r="E120" s="402" t="str">
        <f>ROUND(DCF!E84,2)&amp;" "&amp;Market_currency</f>
        <v>7.8 HKD</v>
      </c>
      <c r="F120" s="407">
        <f>DCF!F84</f>
        <v>0.53999999999999992</v>
      </c>
    </row>
    <row r="121" spans="1:6">
      <c r="B121" s="404" t="str">
        <f>DCF!B85</f>
        <v>Pessimistic</v>
      </c>
      <c r="C121" s="405">
        <f>DCF!C85</f>
        <v>0.02</v>
      </c>
      <c r="D121" s="406">
        <f>DCF!D85</f>
        <v>15</v>
      </c>
      <c r="E121" s="402" t="str">
        <f>ROUND(DCF!E85,2)&amp;" "&amp;Market_currency</f>
        <v>7.08 HKD</v>
      </c>
      <c r="F121" s="407">
        <f>DCF!F85</f>
        <v>0.18</v>
      </c>
    </row>
    <row r="122" spans="1:6">
      <c r="B122" s="404" t="str">
        <f>DCF!B86</f>
        <v>Devil's advocate</v>
      </c>
      <c r="C122" s="405">
        <f>DCF!C86</f>
        <v>0.01</v>
      </c>
      <c r="D122" s="406">
        <f>DCF!D86</f>
        <v>15</v>
      </c>
      <c r="E122" s="402" t="str">
        <f>ROUND(DCF!E86,2)&amp;" "&amp;Market_currency</f>
        <v>6.4 HKD</v>
      </c>
      <c r="F122" s="407">
        <f>DCF!F86</f>
        <v>0.05</v>
      </c>
    </row>
    <row r="124" spans="1:6">
      <c r="B124" s="466" t="s">
        <v>523</v>
      </c>
      <c r="C124" s="466"/>
      <c r="D124" s="466"/>
      <c r="E124" s="466"/>
      <c r="F124" s="466"/>
    </row>
    <row r="125" spans="1:6">
      <c r="B125" s="376" t="s">
        <v>218</v>
      </c>
      <c r="C125" s="408">
        <f>Scenarios!C36</f>
        <v>7.8143613713918958</v>
      </c>
      <c r="D125" s="347" t="str">
        <f>Market_currency</f>
        <v>HKD</v>
      </c>
    </row>
    <row r="127" spans="1:6">
      <c r="B127" s="468" t="s">
        <v>524</v>
      </c>
      <c r="C127" s="468"/>
      <c r="D127" s="468"/>
      <c r="E127" s="468"/>
      <c r="F127" s="468"/>
    </row>
    <row r="129" spans="1:6" ht="13.9">
      <c r="A129" s="349" t="s">
        <v>496</v>
      </c>
      <c r="B129" s="349"/>
      <c r="C129" s="349"/>
      <c r="D129" s="349"/>
      <c r="E129" s="349"/>
      <c r="F129" s="349"/>
    </row>
    <row r="131" spans="1:6">
      <c r="B131" s="469" t="s">
        <v>525</v>
      </c>
      <c r="C131" s="469"/>
      <c r="D131" s="469"/>
      <c r="E131" s="469"/>
      <c r="F131" s="469"/>
    </row>
    <row r="132" spans="1:6" ht="24.5" customHeight="1">
      <c r="B132" s="470" t="s">
        <v>526</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497</v>
      </c>
      <c r="C138" s="411"/>
      <c r="D138" s="411"/>
    </row>
    <row r="139" spans="1:6">
      <c r="B139" s="344" t="s">
        <v>466</v>
      </c>
      <c r="C139" s="344" t="str">
        <f>"PV("&amp;Holding_Period&amp;" yrs of Dividends)"</f>
        <v>PV(3 yrs of Dividends)</v>
      </c>
      <c r="D139" s="344" t="s">
        <v>475</v>
      </c>
      <c r="E139" s="345" t="str">
        <f>"Buy below ("&amp;Market_currency&amp;")"</f>
        <v>Buy below (HKD)</v>
      </c>
      <c r="F139" s="345" t="s">
        <v>499</v>
      </c>
    </row>
    <row r="140" spans="1:6">
      <c r="B140" s="412" t="s">
        <v>312</v>
      </c>
      <c r="C140" s="413">
        <f>Scenarios!C62</f>
        <v>0.73194063044404789</v>
      </c>
      <c r="D140" s="413">
        <f>Scenarios!D62</f>
        <v>3.6010881895815197</v>
      </c>
      <c r="E140" s="414">
        <f>Scenarios!E62</f>
        <v>4.333028820025568</v>
      </c>
      <c r="F140" s="415">
        <f>E22</f>
        <v>0.29465259038036606</v>
      </c>
    </row>
    <row r="141" spans="1:6">
      <c r="B141" s="412" t="s">
        <v>313</v>
      </c>
      <c r="C141" s="413">
        <f>Scenarios!C63</f>
        <v>0.84160157890763132</v>
      </c>
      <c r="D141" s="413">
        <f>Scenarios!D63</f>
        <v>4.513710539432144</v>
      </c>
      <c r="E141" s="414">
        <f>Scenarios!E63</f>
        <v>5.3553121183397749</v>
      </c>
      <c r="F141" s="415">
        <f>Scenarios!F63</f>
        <v>0.20075184365903009</v>
      </c>
    </row>
    <row r="143" spans="1:6">
      <c r="B143" s="344" t="s">
        <v>467</v>
      </c>
      <c r="C143" s="344" t="str">
        <f>"PV("&amp;Holding_Period&amp;" yrs of Dividends)"</f>
        <v>PV(3 yrs of Dividends)</v>
      </c>
      <c r="D143" s="344" t="s">
        <v>475</v>
      </c>
      <c r="E143" s="345" t="str">
        <f>"Sell above ("&amp;Market_currency&amp;")"</f>
        <v>Sell above (HKD)</v>
      </c>
      <c r="F143" s="345" t="s">
        <v>499</v>
      </c>
    </row>
    <row r="144" spans="1:6">
      <c r="B144" s="412" t="s">
        <v>315</v>
      </c>
      <c r="C144" s="413">
        <f>Scenarios!C66</f>
        <v>0.96504125037545974</v>
      </c>
      <c r="D144" s="413">
        <f>Scenarios!D66</f>
        <v>5.6010247277185474</v>
      </c>
      <c r="E144" s="414">
        <f>Scenarios!E66</f>
        <v>6.5660659780940076</v>
      </c>
      <c r="F144" s="415">
        <f>E24</f>
        <v>0.1174</v>
      </c>
    </row>
    <row r="145" spans="1:6">
      <c r="B145" s="412" t="s">
        <v>314</v>
      </c>
      <c r="C145" s="413">
        <f>Scenarios!C67</f>
        <v>1.0449500908692064</v>
      </c>
      <c r="D145" s="413">
        <f>Scenarios!D67</f>
        <v>6.3343431768387548</v>
      </c>
      <c r="E145" s="414">
        <f>Scenarios!E67</f>
        <v>7.3792932677079612</v>
      </c>
      <c r="F145" s="415">
        <f>Scenarios!F67</f>
        <v>7.2499999999999995E-2</v>
      </c>
    </row>
    <row r="147" spans="1:6" ht="13.9">
      <c r="A147" s="349" t="s">
        <v>479</v>
      </c>
      <c r="B147" s="349"/>
      <c r="C147" s="349"/>
      <c r="D147" s="349"/>
      <c r="E147" s="349"/>
      <c r="F147" s="349"/>
    </row>
    <row r="149" spans="1:6">
      <c r="B149" s="471" t="s">
        <v>527</v>
      </c>
      <c r="C149" s="470"/>
      <c r="D149" s="470"/>
      <c r="E149" s="470"/>
      <c r="F149" s="470"/>
    </row>
    <row r="151" spans="1:6">
      <c r="B151" s="373" t="s">
        <v>384</v>
      </c>
    </row>
    <row r="152" spans="1:6">
      <c r="B152" s="472" t="s">
        <v>528</v>
      </c>
      <c r="C152" s="472"/>
      <c r="D152" s="472"/>
      <c r="E152" s="472"/>
      <c r="F152" s="472"/>
    </row>
    <row r="153" spans="1:6">
      <c r="B153" s="416" t="s">
        <v>385</v>
      </c>
    </row>
    <row r="154" spans="1:6">
      <c r="B154" s="416" t="s">
        <v>386</v>
      </c>
    </row>
    <row r="155" spans="1:6">
      <c r="B155" s="416" t="s">
        <v>387</v>
      </c>
    </row>
    <row r="157" spans="1:6">
      <c r="B157" s="347" t="s">
        <v>529</v>
      </c>
    </row>
    <row r="158" spans="1:6" ht="24.5" customHeight="1">
      <c r="B158" s="466" t="s">
        <v>443</v>
      </c>
      <c r="C158" s="466"/>
      <c r="D158" s="466"/>
      <c r="E158" s="466"/>
      <c r="F158" s="466"/>
    </row>
    <row r="160" spans="1:6">
      <c r="B160" s="347" t="s">
        <v>530</v>
      </c>
    </row>
    <row r="161" spans="2:6">
      <c r="B161" s="467" t="s">
        <v>388</v>
      </c>
      <c r="C161" s="467"/>
      <c r="D161" s="467"/>
      <c r="E161" s="467"/>
      <c r="F161" s="467"/>
    </row>
    <row r="162" spans="2:6">
      <c r="B162" s="467" t="s">
        <v>389</v>
      </c>
      <c r="C162" s="467"/>
      <c r="D162" s="467"/>
      <c r="E162" s="467"/>
      <c r="F162" s="467"/>
    </row>
    <row r="164" spans="2:6">
      <c r="B164" s="347" t="s">
        <v>531</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