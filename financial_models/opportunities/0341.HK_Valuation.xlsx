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9E5DE6-D6EA-4941-8992-670B00E9BC23}"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<sst xmlns="http://schemas.openxmlformats.org/spreadsheetml/2006/main" count="768" uniqueCount="558">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</sst>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4.62</v>
      </c>
      <c r="E8" s="32"/>
    </row>
    <row r="9" spans="1:9">
      <c r="B9" s="4" t="s">
        <v>346</v>
      </c>
      <c r="C9" s="48">
        <v>580004033</v>
      </c>
    </row>
    <row r="10" spans="1:9">
      <c r="B10" s="4" t="s">
        <v>352</v>
      </c>
      <c r="C10" s="33">
        <f>Thesis!C8*Common_Shares/1000000</f>
        <v>2679.6186324599998</v>
      </c>
      <c r="D10" s="1" t="s">
        <v>528</v>
      </c>
      <c r="E10" s="303">
        <f>Scenarios!F34</f>
        <v>0.17907063059123529</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398162</v>
      </c>
      <c r="D34" s="1" t="str">
        <f>Reporting_currency</f>
        <v>HKD</v>
      </c>
    </row>
    <row r="35" spans="2:6">
      <c r="B35" s="44"/>
      <c r="C35" s="73"/>
    </row>
    <row r="36" spans="2:6" ht="24.5" customHeight="1">
      <c r="B36" s="462" t="s">
        <v>198</v>
      </c>
      <c r="C36" s="462"/>
      <c r="D36" s="462"/>
      <c r="E36" s="462"/>
      <c r="F36" s="462"/>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2" t="s">
        <v>206</v>
      </c>
      <c r="C51" s="462"/>
      <c r="D51" s="462"/>
      <c r="E51" s="462"/>
      <c r="F51" s="462"/>
    </row>
    <row r="52" spans="2:6">
      <c r="B52" s="44" t="s">
        <v>204</v>
      </c>
      <c r="C52" s="285">
        <f>Normalized_FCF!C12</f>
        <v>-52106.345858861256</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8.7429259448539756E-2</v>
      </c>
      <c r="F62" s="257"/>
    </row>
    <row r="63" spans="2:6">
      <c r="B63" s="204" t="s">
        <v>332</v>
      </c>
      <c r="C63" s="89">
        <f>Normalized_FCF!C92</f>
        <v>6.4935064935064943E-2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2" t="s">
        <v>357</v>
      </c>
      <c r="C124" s="462"/>
      <c r="D124" s="462"/>
      <c r="E124" s="462"/>
      <c r="F124" s="462"/>
    </row>
    <row r="125" spans="2:6">
      <c r="B125" s="193" t="s">
        <v>218</v>
      </c>
      <c r="C125" s="197">
        <f>Scenarios!C36</f>
        <v>6.5021029196761031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6.4935064935064943E-2</v>
      </c>
      <c r="E92" s="237"/>
      <c r="G92" s="22">
        <f t="shared" ref="G92:Q92" si="38">IF(G$4="","",(G88*(1-dividend_tax_rate))/Market_Price)</f>
        <v>7.5757575757575746E-2</v>
      </c>
      <c r="H92" s="22">
        <f t="shared" si="38"/>
        <v>0.12337662337662336</v>
      </c>
      <c r="I92" s="22">
        <f t="shared" si="38"/>
        <v>8.2251082251082255E-2</v>
      </c>
      <c r="J92" s="22">
        <f t="shared" si="38"/>
        <v>8.2251082251082255E-2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8.7429259448539756E-2</v>
      </c>
      <c r="D124" s="26"/>
      <c r="E124" s="234"/>
      <c r="F124" s="26"/>
      <c r="G124" s="74">
        <f t="shared" ref="G124" si="49">IF(G$4="","",G123/Market_Price)</f>
        <v>0.10933442201965735</v>
      </c>
      <c r="H124" s="74">
        <f t="shared" ref="H124" si="50">IF(H$4="","",H123/Market_Price)</f>
        <v>0.13100464955842617</v>
      </c>
      <c r="I124" s="74">
        <f t="shared" ref="I124" si="51">IF(I$4="","",I123/Market_Price)</f>
        <v>4.1880247348709286E-2</v>
      </c>
      <c r="J124" s="74">
        <f t="shared" ref="J124" si="52">IF(J$4="","",J123/Market_Price)</f>
        <v>-8.6667968320898875E-3</v>
      </c>
      <c r="K124" s="74">
        <f t="shared" ref="K124" si="53">IF(K$4="","",K123/Market_Price)</f>
        <v>-4.4352206900014561E-2</v>
      </c>
      <c r="L124" s="74">
        <f t="shared" ref="L124" si="54">IF(L$4="","",L123/Market_Price)</f>
        <v>7.785212323609042E-2</v>
      </c>
      <c r="M124" s="74">
        <f t="shared" ref="M124" si="55">IF(M$4="","",M123/Market_Price)</f>
        <v>0.20816208442614137</v>
      </c>
      <c r="N124" s="74">
        <f t="shared" ref="N124" si="56">IF(N$4="","",N123/Market_Price)</f>
        <v>0.17170353811788855</v>
      </c>
      <c r="O124" s="74">
        <f t="shared" ref="O124" si="57">IF(O$4="","",O123/Market_Price)</f>
        <v>0.19307075780595162</v>
      </c>
      <c r="P124" s="74">
        <f t="shared" ref="P124" si="58">IF(P$4="","",P123/Market_Price)</f>
        <v>0.18823947329285845</v>
      </c>
      <c r="Q124" s="74" t="str">
        <f t="shared" ref="Q124" si="59">IF(Q$4="","",Q123/Market_Price)</f>
        <v/>
      </c>
    </row>
    <row r="125" spans="1:17" ht="15.75" customHeight="1">
      <c r="B125" s="2" t="s">
        <v>306</v>
      </c>
      <c r="C125" s="151"/>
      <c r="G125" s="22">
        <f>IF(G$4="","",(Data!C47*$C$3)/(Market_Price*Common_Shares))</f>
        <v>8.7740470659497707E-2</v>
      </c>
      <c r="H125" s="22">
        <f>IF(H$4="","",(Data!D47*$C$3)/(Market_Price*Common_Shares))</f>
        <v>0.1243516506280205</v>
      </c>
      <c r="I125" s="22">
        <f>IF(I$4="","",(Data!E47*$C$3)/(Market_Price*Common_Shares))</f>
        <v>4.1493591159994944E-2</v>
      </c>
      <c r="J125" s="22">
        <f>IF(J$4="","",(Data!F47*$C$3)/(Market_Price*Common_Shares))</f>
        <v>8.5273328537138742E-3</v>
      </c>
      <c r="K125" s="22">
        <f>IF(K$4="","",(Data!G47*$C$3)/(Market_Price*Common_Shares))</f>
        <v>0.13455272912063621</v>
      </c>
      <c r="L125" s="22">
        <f>IF(L$4="","",(Data!H47*$C$3)/(Market_Price*Common_Shares))</f>
        <v>2.7759920422597822E-2</v>
      </c>
      <c r="M125" s="22">
        <f>IF(M$4="","",(Data!I47*$C$3)/(Market_Price*Common_Shares))</f>
        <v>0.2209680112040491</v>
      </c>
      <c r="N125" s="22">
        <f>IF(N$4="","",(Data!J47*$C$3)/(Market_Price*Common_Shares))</f>
        <v>0.1714031222339831</v>
      </c>
      <c r="O125" s="22">
        <f>IF(O$4="","",(Data!K47*$C$3)/(Market_Price*Common_Shares))</f>
        <v>0.18803048833014158</v>
      </c>
      <c r="P125" s="22">
        <f>IF(P$4="","",(Data!L47*$C$3)/(Market_Price*Common_Shares))</f>
        <v>0.19325884427239678</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0" t="s">
        <v>420</v>
      </c>
      <c r="K52" s="460"/>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4.62</v>
      </c>
      <c r="D34" t="str">
        <f>Market_currency</f>
        <v>HKD</v>
      </c>
      <c r="E34" s="97" t="s">
        <v>454</v>
      </c>
      <c r="F34" s="330">
        <f>RATE(Holding_Period,$C$33,-C34,$C$36)</f>
        <v>0.17907063059123529</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4.62</v>
      </c>
    </row>
    <row r="9" spans="1:10">
      <c r="B9" s="351" t="s">
        <v>361</v>
      </c>
      <c r="C9" s="353">
        <f>Common_Shares</f>
        <v>580004033</v>
      </c>
    </row>
    <row r="10" spans="1:10">
      <c r="B10" s="351" t="s">
        <v>367</v>
      </c>
      <c r="C10" s="357">
        <f>投资主题!C8*Common_Shares/1000000</f>
        <v>2679.6186324599998</v>
      </c>
      <c r="D10" s="343" t="s">
        <v>529</v>
      </c>
      <c r="E10" s="360">
        <f>Scenarios!F34</f>
        <v>0.17907063059123529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8.7429259448539756E-2</v>
      </c>
      <c r="F62" s="379"/>
    </row>
    <row r="63" spans="2:6">
      <c r="B63" s="377" t="s">
        <v>332</v>
      </c>
      <c r="C63" s="378">
        <f>Normalized_FCF!C92</f>
        <v>6.4935064935064943E-2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