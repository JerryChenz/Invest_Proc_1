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51109F-CEAA-48FC-A8AD-DE2A74C54DF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88" i="2" l="1"/>
  <c r="C29" i="2"/>
  <c r="C25" i="4"/>
  <c r="C41" i="9"/>
  <c r="C4" i="2"/>
  <c r="E83" i="2"/>
  <c r="E84" i="2"/>
  <c r="C79" i="2"/>
  <c r="C64" i="2"/>
  <c r="C65" i="2"/>
  <c r="C66" i="2"/>
  <c r="C35" i="2"/>
  <c r="C19" i="3"/>
  <c r="C1" i="3"/>
  <c r="C21" i="4"/>
  <c r="D21"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<sst xmlns="http://schemas.openxmlformats.org/spreadsheetml/2006/main" count="766" uniqueCount="556">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</sst>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5.41</v>
      </c>
      <c r="E8" s="32"/>
    </row>
    <row r="9" spans="1:9">
      <c r="B9" s="4" t="s">
        <v>346</v>
      </c>
      <c r="C9" s="48">
        <v>580004033</v>
      </c>
    </row>
    <row r="10" spans="1:9">
      <c r="B10" s="4" t="s">
        <v>352</v>
      </c>
      <c r="C10" s="33">
        <f>Thesis!C8*Common_Shares/1000000</f>
        <v>3137.8218185300002</v>
      </c>
      <c r="D10" s="1" t="s">
        <v>531</v>
      </c>
      <c r="E10" s="307">
        <f>Scenarios!F34</f>
        <v>1.8039466578554902E-2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4.791760759866543</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2.7571401547991856</v>
      </c>
      <c r="D22" s="38" t="s">
        <v>408</v>
      </c>
      <c r="E22" s="79">
        <v>0.29465259038036606</v>
      </c>
    </row>
    <row r="23" spans="1:6">
      <c r="B23" s="1" t="s">
        <v>313</v>
      </c>
      <c r="C23" s="259">
        <f>E141</f>
        <v>3.3990052332011103</v>
      </c>
      <c r="D23" s="38" t="s">
        <v>409</v>
      </c>
      <c r="E23" s="448">
        <v>0.20075184365903009</v>
      </c>
    </row>
    <row r="24" spans="1:6">
      <c r="B24" s="1" t="s">
        <v>315</v>
      </c>
      <c r="C24" s="259">
        <f>E144</f>
        <v>4.1583252632564474</v>
      </c>
      <c r="D24" s="38" t="s">
        <v>410</v>
      </c>
      <c r="E24" s="448">
        <v>0.1174</v>
      </c>
    </row>
    <row r="25" spans="1:6">
      <c r="B25" s="1" t="s">
        <v>314</v>
      </c>
      <c r="C25" s="259">
        <f>E145</f>
        <v>4.667927238006353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398162</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6953.4635082499999</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-78418.936491750006</v>
      </c>
      <c r="D46" s="1" t="str">
        <f>Reporting_currency</f>
        <v>HKD</v>
      </c>
    </row>
    <row r="48" spans="2:6">
      <c r="B48" s="1" t="s">
        <v>211</v>
      </c>
    </row>
    <row r="49" spans="2:6">
      <c r="B49" s="44" t="s">
        <v>223</v>
      </c>
      <c r="C49" s="289">
        <f>Normalized_FCF!C13</f>
        <v>-39042.598999519083</v>
      </c>
      <c r="D49" s="1" t="str">
        <f>Reporting_currency</f>
        <v>HKD</v>
      </c>
    </row>
    <row r="51" spans="2:6">
      <c r="B51" s="457" t="s">
        <v>206</v>
      </c>
      <c r="C51" s="457"/>
      <c r="D51" s="457"/>
      <c r="E51" s="457"/>
      <c r="F51" s="457"/>
    </row>
    <row r="52" spans="2:6">
      <c r="B52" s="44" t="s">
        <v>204</v>
      </c>
      <c r="C52" s="289">
        <f>Normalized_FCF!C12</f>
        <v>-52757.605478861253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290156.04285618226</v>
      </c>
      <c r="D60" s="1" t="str">
        <f>Reporting_currency</f>
        <v>HKD</v>
      </c>
    </row>
    <row r="61" spans="2:6">
      <c r="B61" s="44" t="s">
        <v>213</v>
      </c>
      <c r="C61" s="289">
        <f>Normalized_FCF!C19</f>
        <v>227942.85902986967</v>
      </c>
      <c r="D61" s="1" t="str">
        <f>Reporting_currency</f>
        <v>HKD</v>
      </c>
    </row>
    <row r="62" spans="2:6">
      <c r="B62" s="204" t="s">
        <v>302</v>
      </c>
      <c r="C62" s="89">
        <f>Normalized_FCF!C124</f>
        <v>7.2643659268280522E-2</v>
      </c>
      <c r="F62" s="260"/>
    </row>
    <row r="63" spans="2:6">
      <c r="B63" s="204" t="s">
        <v>332</v>
      </c>
      <c r="C63" s="89">
        <f>Normalized_FCF!C92</f>
        <v>5.5452865064695017E-2</v>
      </c>
      <c r="E63" s="44" t="s">
        <v>322</v>
      </c>
      <c r="F63" s="261">
        <f>Normalized_FCF!C90</f>
        <v>0.76335451191826487</v>
      </c>
    </row>
    <row r="65" spans="1:6">
      <c r="B65" s="192" t="s">
        <v>325</v>
      </c>
      <c r="C65" s="267" t="s">
        <v>327</v>
      </c>
      <c r="D65" s="267" t="s">
        <v>328</v>
      </c>
    </row>
    <row r="66" spans="1:6">
      <c r="B66" s="44" t="s">
        <v>326</v>
      </c>
      <c r="C66" s="89">
        <f>Normalized_FCF!C119</f>
        <v>0.11649319406611419</v>
      </c>
      <c r="D66" s="89">
        <f>Normalized_FCF!G119</f>
        <v>0.11834837407174398</v>
      </c>
    </row>
    <row r="67" spans="1:6">
      <c r="B67" s="229" t="str">
        <f>Normalized_FCF!B116</f>
        <v>Pre-tax Profit/Sales</v>
      </c>
      <c r="C67" s="266">
        <f>Normalized_FCF!C116</f>
        <v>3.7316904067420706E-2</v>
      </c>
      <c r="D67" s="266">
        <f>Normalized_FCF!G116</f>
        <v>3.7911184058220797E-2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5.3604060658726853</v>
      </c>
    </row>
    <row r="82" spans="1:6">
      <c r="A82" s="191"/>
    </row>
    <row r="83" spans="1:6">
      <c r="A83" s="191"/>
      <c r="B83" s="1" t="s">
        <v>469</v>
      </c>
    </row>
    <row r="84" spans="1:6">
      <c r="A84" s="191"/>
      <c r="B84" s="1" t="s">
        <v>224</v>
      </c>
      <c r="C84" s="289">
        <f>DCF!F5</f>
        <v>358286.64917500003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0.61773130666317277</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-2.9526366255887742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2.4680833280856755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8.02 HKD</v>
      </c>
      <c r="E118" s="208">
        <f>DCF!F90</f>
        <v>0.05</v>
      </c>
      <c r="F118" s="208">
        <f>RATE(Holding_Period,Scenarios!C$58,-DCF!E90,C$18)</f>
        <v>-0.113155497433193</v>
      </c>
    </row>
    <row r="119" spans="2:6">
      <c r="B119" s="205" t="str">
        <f>DCF!B91&amp;" ("&amp;DCF!D91&amp;"yrs)"</f>
        <v>Optimistic (30yrs)</v>
      </c>
      <c r="C119" s="198">
        <f>DCF!C91</f>
        <v>0.03</v>
      </c>
      <c r="D119" s="207" t="str">
        <f>ROUND(DCF!E91,2)&amp;" "&amp;Market_currency</f>
        <v>6.18 HKD</v>
      </c>
      <c r="E119" s="199">
        <f>DCF!F91</f>
        <v>0.18</v>
      </c>
      <c r="F119" s="208">
        <f>RATE(Holding_Period,Scenarios!C$58,-DCF!E91,C$18)</f>
        <v>-2.8522035478130404E-2</v>
      </c>
    </row>
    <row r="120" spans="2:6">
      <c r="B120" s="205" t="str">
        <f>DCF!B92&amp;" ("&amp;DCF!D92&amp;"yrs)"</f>
        <v>Base (30yrs)</v>
      </c>
      <c r="C120" s="198">
        <f>DCF!C92</f>
        <v>0.02</v>
      </c>
      <c r="D120" s="207" t="str">
        <f>ROUND(DCF!E92,2)&amp;" "&amp;Market_currency</f>
        <v>4.69 HKD</v>
      </c>
      <c r="E120" s="199">
        <f>DCF!F92</f>
        <v>0.53999999999999992</v>
      </c>
      <c r="F120" s="208">
        <f>RATE(Holding_Period,Scenarios!C$58,-DCF!E92,C$18)</f>
        <v>7.0991073063453258E-2</v>
      </c>
    </row>
    <row r="121" spans="2:6">
      <c r="B121" s="205" t="str">
        <f>DCF!B93&amp;" ("&amp;DCF!D93&amp;"yrs)"</f>
        <v>Pessimistic (30yrs)</v>
      </c>
      <c r="C121" s="198">
        <f>DCF!C93</f>
        <v>0.01</v>
      </c>
      <c r="D121" s="207" t="str">
        <f>ROUND(DCF!E93,2)&amp;" "&amp;Market_currency</f>
        <v>3.47 HKD</v>
      </c>
      <c r="E121" s="199">
        <f>DCF!F93</f>
        <v>0.18</v>
      </c>
      <c r="F121" s="208">
        <f>RATE(Holding_Period,Scenarios!C$58,-DCF!E93,C$18)</f>
        <v>0.19216664332816669</v>
      </c>
    </row>
    <row r="122" spans="2:6">
      <c r="B122" s="205" t="str">
        <f>DCF!B94&amp;" ("&amp;DCF!D94&amp;"yrs)"</f>
        <v>Devil's advocate (30yrs)</v>
      </c>
      <c r="C122" s="198">
        <f>DCF!C94</f>
        <v>0</v>
      </c>
      <c r="D122" s="207" t="str">
        <f>ROUND(DCF!E94,2)&amp;" "&amp;Market_currency</f>
        <v>2.47 HKD</v>
      </c>
      <c r="E122" s="199">
        <f>DCF!F94</f>
        <v>0.05</v>
      </c>
      <c r="F122" s="208">
        <f>RATE(Holding_Period,Scenarios!C$58,-DCF!E94,C$18)</f>
        <v>0.34766213291301834</v>
      </c>
    </row>
    <row r="124" spans="2:6">
      <c r="B124" s="457" t="s">
        <v>357</v>
      </c>
      <c r="C124" s="457"/>
      <c r="D124" s="457"/>
      <c r="E124" s="457"/>
      <c r="F124" s="457"/>
    </row>
    <row r="125" spans="2:6">
      <c r="B125" s="193" t="s">
        <v>218</v>
      </c>
      <c r="C125" s="197">
        <f>Scenarios!C36</f>
        <v>4.791760759866543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0.54895547283303592</v>
      </c>
      <c r="D140" s="337">
        <f>Scenarios!D62</f>
        <v>2.2081846819661495</v>
      </c>
      <c r="E140" s="338">
        <f>Scenarios!E62</f>
        <v>2.7571401547991856</v>
      </c>
      <c r="F140" s="339">
        <f>E22</f>
        <v>0.29465259038036606</v>
      </c>
    </row>
    <row r="141" spans="1:6">
      <c r="B141" s="340" t="s">
        <v>313</v>
      </c>
      <c r="C141" s="337">
        <f>Scenarios!C63</f>
        <v>0.63120118418072357</v>
      </c>
      <c r="D141" s="337">
        <f>Scenarios!D63</f>
        <v>2.7678040490203868</v>
      </c>
      <c r="E141" s="338">
        <f>Scenarios!E63</f>
        <v>3.3990052332011103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3.4345443254748527</v>
      </c>
      <c r="E144" s="338">
        <f>Scenarios!E66</f>
        <v>4.1583252632564474</v>
      </c>
      <c r="F144" s="339">
        <f>E24</f>
        <v>0.1174</v>
      </c>
    </row>
    <row r="145" spans="1:6">
      <c r="B145" s="340" t="s">
        <v>314</v>
      </c>
      <c r="C145" s="337">
        <f>Scenarios!C67</f>
        <v>0.78371256815190493</v>
      </c>
      <c r="D145" s="337">
        <f>Scenarios!D67</f>
        <v>3.884214669854448</v>
      </c>
      <c r="E145" s="338">
        <f>Scenarios!E67</f>
        <v>4.667927238006353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5.3604060658726853</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8.8762314104121762E-2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358286.64917500003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-695346.35082499997</v>
      </c>
      <c r="F73" s="1" t="s">
        <v>278</v>
      </c>
    </row>
    <row r="74" spans="2:6" ht="15" customHeight="1">
      <c r="B74" s="227" t="s">
        <v>259</v>
      </c>
      <c r="C74" s="228">
        <f>-$C$66/C73</f>
        <v>1.5100155041364474</v>
      </c>
      <c r="D74" s="228">
        <f>-$C$66/D73</f>
        <v>1.5152635787185877</v>
      </c>
      <c r="F74" s="223" t="s">
        <v>257</v>
      </c>
    </row>
    <row r="75" spans="2:6" ht="15" customHeight="1">
      <c r="B75" s="77" t="s">
        <v>258</v>
      </c>
      <c r="C75" s="264"/>
      <c r="D75" s="265">
        <f>MAX(-D73*D76,G5)</f>
        <v>695346.35082499997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358286.64917500003</v>
      </c>
      <c r="D87" s="201">
        <f>C87*scaling_factor/Common_Shares</f>
        <v>0.61773130666317277</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2556078.8491750001</v>
      </c>
      <c r="D89" s="216">
        <f>SUM(D86:D88)</f>
        <v>4.4070018547181373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74" activePane="bottomRight" state="frozen"/>
      <selection activeCell="C17" sqref="C17"/>
      <selection pane="topRight" activeCell="C17" sqref="C17"/>
      <selection pane="bottomLeft" activeCell="C17" sqref="C17"/>
      <selection pane="bottomRight" activeCell="C89" sqref="C8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-7675662</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892655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398162</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-78418.936491750006</v>
      </c>
      <c r="E10" s="238"/>
      <c r="G10" s="270">
        <f>G48</f>
        <v>-73326.957143817723</v>
      </c>
      <c r="H10" s="270">
        <f t="shared" ref="H10:Q10" si="6">H48</f>
        <v>-78693.571346212775</v>
      </c>
      <c r="I10" s="270">
        <f t="shared" si="6"/>
        <v>-72870.876171780139</v>
      </c>
      <c r="J10" s="270">
        <f t="shared" si="6"/>
        <v>-82989.433845590756</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319743.06350824999</v>
      </c>
      <c r="E11" s="238"/>
      <c r="G11" s="271">
        <f t="shared" ref="G11:Q11" si="7">IF(G$4="","",SUM(G8:G10))</f>
        <v>324835.04285618226</v>
      </c>
      <c r="H11" s="271">
        <f t="shared" si="7"/>
        <v>407379.42865378724</v>
      </c>
      <c r="I11" s="271">
        <f t="shared" si="7"/>
        <v>143699.12382821986</v>
      </c>
      <c r="J11" s="271">
        <f t="shared" si="7"/>
        <v>5888.5661544092436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-52757.605478861253</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227942.85902986967</v>
      </c>
      <c r="D14" s="58"/>
      <c r="E14" s="246"/>
      <c r="F14" s="58"/>
      <c r="G14" s="271">
        <f t="shared" ref="G14:Q14" si="8">IF(G$4="","",SUM(G11:G13))</f>
        <v>290156.04285618226</v>
      </c>
      <c r="H14" s="271">
        <f t="shared" si="8"/>
        <v>348305.42865378724</v>
      </c>
      <c r="I14" s="271">
        <f t="shared" si="8"/>
        <v>109876.12382821986</v>
      </c>
      <c r="J14" s="271">
        <f t="shared" si="8"/>
        <v>-23686.433845590756</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227942.85902986967</v>
      </c>
      <c r="D19" s="26"/>
      <c r="E19" s="235"/>
      <c r="F19" s="26"/>
      <c r="G19" s="275">
        <f t="shared" ref="G19:Q19" si="9">IF(G$4="","",G14+G17)</f>
        <v>290156.04285618226</v>
      </c>
      <c r="H19" s="275">
        <f t="shared" si="9"/>
        <v>348305.42865378724</v>
      </c>
      <c r="I19" s="275">
        <f t="shared" si="9"/>
        <v>109876.12382821986</v>
      </c>
      <c r="J19" s="275">
        <f t="shared" si="9"/>
        <v>-23686.433845590756</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-7675662</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-7675662</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0.89581909726262465</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9.9472026527340648E-2</v>
      </c>
      <c r="H41" s="6">
        <f t="shared" si="16"/>
        <v>0.13823231130273342</v>
      </c>
      <c r="I41" s="6">
        <f t="shared" si="16"/>
        <v>0.22956994532155642</v>
      </c>
      <c r="J41" s="6">
        <f t="shared" si="16"/>
        <v>4.7446185144884243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6953.4635082499999</v>
      </c>
      <c r="E46" s="238"/>
      <c r="G46" s="278">
        <f t="shared" ref="G46:Q46" si="17">IFERROR(IF(G$4="","",($C$46/$C$47)*G47),0)</f>
        <v>30788.042856182274</v>
      </c>
      <c r="H46" s="278">
        <f t="shared" si="17"/>
        <v>29898.428653787229</v>
      </c>
      <c r="I46" s="278">
        <f t="shared" si="17"/>
        <v>25637.123828219857</v>
      </c>
      <c r="J46" s="278">
        <f t="shared" si="17"/>
        <v>5054.5661544092436</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-78418.936491750006</v>
      </c>
      <c r="E48" s="238"/>
      <c r="G48" s="271">
        <f>IF(G$4="","",(G45+G46))</f>
        <v>-73326.957143817723</v>
      </c>
      <c r="H48" s="271">
        <f t="shared" ref="H48:Q48" si="18">IF(H$4="","",(H45+H46))</f>
        <v>-78693.571346212775</v>
      </c>
      <c r="I48" s="271">
        <f t="shared" si="18"/>
        <v>-72870.876171780139</v>
      </c>
      <c r="J48" s="271">
        <f t="shared" si="18"/>
        <v>-82989.433845590756</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4.6638257797602032</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9.1521983245659577E-3</v>
      </c>
      <c r="D76" s="26"/>
      <c r="E76" s="235" t="s">
        <v>552</v>
      </c>
      <c r="F76" s="26"/>
      <c r="G76" s="6">
        <f t="shared" ref="G76:Q76" si="28">IF(G$4="","",ABS(G10/G$4))</f>
        <v>8.5579183337658633E-3</v>
      </c>
      <c r="H76" s="6">
        <f t="shared" si="28"/>
        <v>9.0541371578217594E-3</v>
      </c>
      <c r="I76" s="6">
        <f t="shared" si="28"/>
        <v>9.0815648782309934E-3</v>
      </c>
      <c r="J76" s="6">
        <f t="shared" si="28"/>
        <v>1.1052359006294489E-2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3.7316904067420706E-2</v>
      </c>
      <c r="D77" s="26"/>
      <c r="E77" s="235"/>
      <c r="F77" s="26"/>
      <c r="G77" s="62">
        <f t="shared" ref="G77:Q77" si="29">IF(G$4="","",G11/G$4)</f>
        <v>3.7911184058220797E-2</v>
      </c>
      <c r="H77" s="62">
        <f t="shared" si="29"/>
        <v>4.6871290236390646E-2</v>
      </c>
      <c r="I77" s="62">
        <f t="shared" si="29"/>
        <v>1.7908566282565232E-2</v>
      </c>
      <c r="J77" s="62">
        <f t="shared" si="29"/>
        <v>7.8422690883682596E-4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6.1572891711244174E-3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2.6602990882558346E-2</v>
      </c>
      <c r="D80" s="26"/>
      <c r="E80" s="235"/>
      <c r="F80" s="26"/>
      <c r="G80" s="62">
        <f t="shared" ref="G80:Q80" si="32">IF(G$4="","",ABS(G14/G$4))</f>
        <v>3.3863831468441498E-2</v>
      </c>
      <c r="H80" s="62">
        <f t="shared" si="32"/>
        <v>4.0074494903414519E-2</v>
      </c>
      <c r="I80" s="62">
        <f t="shared" si="32"/>
        <v>1.3693360084792638E-2</v>
      </c>
      <c r="J80" s="62">
        <f t="shared" si="32"/>
        <v>3.1545096563425053E-3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2.6602990882558346E-2</v>
      </c>
      <c r="D85" s="72"/>
      <c r="E85" s="235"/>
      <c r="F85" s="72"/>
      <c r="G85" s="62">
        <f t="shared" ref="G85:Q85" si="35">IF(G$4="","",ABS(G19/G$4))</f>
        <v>3.3863831468441498E-2</v>
      </c>
      <c r="H85" s="62">
        <f t="shared" si="35"/>
        <v>4.0074494903414519E-2</v>
      </c>
      <c r="I85" s="62">
        <f t="shared" si="35"/>
        <v>1.3693360084792638E-2</v>
      </c>
      <c r="J85" s="62">
        <f t="shared" si="35"/>
        <v>3.1545096563425053E-3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0.76335451191826487</v>
      </c>
      <c r="E90" s="238"/>
      <c r="G90" s="152">
        <f t="shared" ref="G90:Q90" si="37">IF(G$4="","",G88/(G19*scaling_factor/Common_Shares))</f>
        <v>0.69962841218722771</v>
      </c>
      <c r="H90" s="152">
        <f t="shared" si="37"/>
        <v>0.94917354601043535</v>
      </c>
      <c r="I90" s="152">
        <f t="shared" si="37"/>
        <v>2.0059092445286417</v>
      </c>
      <c r="J90" s="152">
        <f t="shared" si="37"/>
        <v>-9.3049689951967114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5.5452865064695017E-2</v>
      </c>
      <c r="E92" s="238"/>
      <c r="G92" s="22">
        <f t="shared" ref="G92:Q92" si="38">IF(G$4="","",(G88*(1-dividend_tax_rate))/Market_Price)</f>
        <v>6.4695009242144177E-2</v>
      </c>
      <c r="H92" s="22">
        <f t="shared" si="38"/>
        <v>0.1053604436229205</v>
      </c>
      <c r="I92" s="22">
        <f t="shared" si="38"/>
        <v>7.0240295748613679E-2</v>
      </c>
      <c r="J92" s="22">
        <f t="shared" si="38"/>
        <v>7.0240295748613679E-2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-1.5675585069763187E-2</v>
      </c>
      <c r="D96" s="26"/>
      <c r="E96" s="235"/>
      <c r="F96" s="26"/>
      <c r="G96" s="6">
        <f t="shared" ref="G96:Q96" si="40">IF(H5="","",G11/H11-1)</f>
        <v>-0.20262286210763869</v>
      </c>
      <c r="H96" s="6">
        <f t="shared" si="40"/>
        <v>1.8349471994051605</v>
      </c>
      <c r="I96" s="6">
        <f t="shared" si="40"/>
        <v>23.403075393934525</v>
      </c>
      <c r="J96" s="6">
        <f t="shared" si="40"/>
        <v>-1.0673510099896975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5.2075393127308969</v>
      </c>
      <c r="H113" s="254">
        <f>IF(H$4="","",Data!D$22/H19)</f>
        <v>4.7749873047576346</v>
      </c>
      <c r="I113" s="254">
        <f>IF(I$4="","",Data!E$22/I19)</f>
        <v>15.461821374915207</v>
      </c>
      <c r="J113" s="254">
        <f>IF(J$4="","",Data!F$22/J19)</f>
        <v>-49.160671783302718</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3.7316904067420706E-2</v>
      </c>
      <c r="E116" s="238"/>
      <c r="G116" s="22">
        <f t="shared" ref="G116:Q116" si="44">IF(G4="","",G77)</f>
        <v>3.7911184058220797E-2</v>
      </c>
      <c r="H116" s="22">
        <f t="shared" si="44"/>
        <v>4.6871290236390646E-2</v>
      </c>
      <c r="I116" s="22">
        <f t="shared" si="44"/>
        <v>1.7908566282565232E-2</v>
      </c>
      <c r="J116" s="22">
        <f t="shared" si="44"/>
        <v>7.8422690883682596E-4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0.11649319406611419</v>
      </c>
      <c r="D119" s="100"/>
      <c r="E119" s="241"/>
      <c r="F119" s="100"/>
      <c r="G119" s="99">
        <f t="shared" ref="G119:Q119" si="47">IF(G$4="","",G11/G104)</f>
        <v>0.11834837407174398</v>
      </c>
      <c r="H119" s="99">
        <f t="shared" si="47"/>
        <v>0.13996825599259899</v>
      </c>
      <c r="I119" s="99">
        <f t="shared" si="47"/>
        <v>5.146700623453692E-2</v>
      </c>
      <c r="J119" s="99">
        <f t="shared" si="47"/>
        <v>2.083433398248939E-3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0.39300219664139763</v>
      </c>
      <c r="D123" s="26"/>
      <c r="E123" s="235"/>
      <c r="F123" s="26"/>
      <c r="G123" s="159">
        <f t="shared" ref="G123:Q123" si="48">IF(G$4="","",G14*$C$3/Common_Shares*Exchange_Rate)</f>
        <v>0.5002655608365093</v>
      </c>
      <c r="H123" s="159">
        <f t="shared" si="48"/>
        <v>0.60052242542559575</v>
      </c>
      <c r="I123" s="159">
        <f t="shared" si="48"/>
        <v>0.18944027554411827</v>
      </c>
      <c r="J123" s="159">
        <f t="shared" si="48"/>
        <v>-4.0838395076454162E-2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7.2643659268280522E-2</v>
      </c>
      <c r="D124" s="26"/>
      <c r="E124" s="235"/>
      <c r="F124" s="26"/>
      <c r="G124" s="74">
        <f t="shared" ref="G124" si="49">IF(G$4="","",G123/Market_Price)</f>
        <v>9.2470528805269736E-2</v>
      </c>
      <c r="H124" s="74">
        <f t="shared" ref="H124" si="50">IF(H$4="","",H123/Market_Price)</f>
        <v>0.11100229675149643</v>
      </c>
      <c r="I124" s="74">
        <f t="shared" ref="I124" si="51">IF(I$4="","",I123/Market_Price)</f>
        <v>3.5016686791888775E-2</v>
      </c>
      <c r="J124" s="74">
        <f t="shared" ref="J124" si="52">IF(J$4="","",J123/Market_Price)</f>
        <v>-7.5486867054443919E-3</v>
      </c>
      <c r="K124" s="74">
        <f t="shared" ref="K124" si="53">IF(K$4="","",K123/Market_Price)</f>
        <v>-3.7875636946038314E-2</v>
      </c>
      <c r="L124" s="74">
        <f t="shared" ref="L124" si="54">IF(L$4="","",L123/Market_Price)</f>
        <v>6.6483698586088311E-2</v>
      </c>
      <c r="M124" s="74">
        <f t="shared" ref="M124" si="55">IF(M$4="","",M123/Market_Price)</f>
        <v>0.1777650332807344</v>
      </c>
      <c r="N124" s="74">
        <f t="shared" ref="N124" si="56">IF(N$4="","",N123/Market_Price)</f>
        <v>0.14663037820788263</v>
      </c>
      <c r="O124" s="74">
        <f t="shared" ref="O124" si="57">IF(O$4="","",O123/Market_Price)</f>
        <v>0.16487743088049844</v>
      </c>
      <c r="P124" s="74">
        <f t="shared" ref="P124" si="58">IF(P$4="","",P123/Market_Price)</f>
        <v>0.16075163893031533</v>
      </c>
      <c r="Q124" s="74" t="str">
        <f t="shared" ref="Q124" si="59">IF(Q$4="","",Q123/Market_Price)</f>
        <v/>
      </c>
    </row>
    <row r="125" spans="1:17" ht="15.75" customHeight="1">
      <c r="B125" s="2" t="s">
        <v>306</v>
      </c>
      <c r="C125" s="151"/>
      <c r="G125" s="22">
        <f>IF(G$4="","",(Data!C47*$C$3)/(Market_Price*Common_Shares))</f>
        <v>7.4928091394986948E-2</v>
      </c>
      <c r="H125" s="22">
        <f>IF(H$4="","",(Data!D47*$C$3)/(Market_Price*Common_Shares))</f>
        <v>0.10619309166385484</v>
      </c>
      <c r="I125" s="22">
        <f>IF(I$4="","",(Data!E47*$C$3)/(Market_Price*Common_Shares))</f>
        <v>3.5434453079330248E-2</v>
      </c>
      <c r="J125" s="22">
        <f>IF(J$4="","",(Data!F47*$C$3)/(Market_Price*Common_Shares))</f>
        <v>7.2821215867205349E-3</v>
      </c>
      <c r="K125" s="22">
        <f>IF(K$4="","",(Data!G47*$C$3)/(Market_Price*Common_Shares))</f>
        <v>0.11490454871300171</v>
      </c>
      <c r="L125" s="22">
        <f>IF(L$4="","",(Data!H47*$C$3)/(Market_Price*Common_Shares))</f>
        <v>2.3706253669575218E-2</v>
      </c>
      <c r="M125" s="22">
        <f>IF(M$4="","",(Data!I47*$C$3)/(Market_Price*Common_Shares))</f>
        <v>0.18870096335724709</v>
      </c>
      <c r="N125" s="22">
        <f>IF(N$4="","",(Data!J47*$C$3)/(Market_Price*Common_Shares))</f>
        <v>0.14637383081719074</v>
      </c>
      <c r="O125" s="22">
        <f>IF(O$4="","",(Data!K47*$C$3)/(Market_Price*Common_Shares))</f>
        <v>0.16057317118026879</v>
      </c>
      <c r="P125" s="22">
        <f>IF(P$4="","",(Data!L47*$C$3)/(Market_Price*Common_Shares))</f>
        <v>0.16503805185554032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227942.85902986967</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358286.64917500003</v>
      </c>
      <c r="G5" t="str">
        <f>Reporting_currency</f>
        <v>HKD</v>
      </c>
      <c r="H5" s="312" t="s">
        <v>396</v>
      </c>
      <c r="I5" s="309">
        <f>Normalized_FCF!C7</f>
        <v>-494493</v>
      </c>
      <c r="J5" s="309"/>
    </row>
    <row r="6" spans="2:15" ht="13.25" customHeight="1">
      <c r="B6" s="136" t="s">
        <v>194</v>
      </c>
      <c r="C6" s="287">
        <f>(C4*(1+Terminal_Growth))/(Equity_Cost-Terminal_Growth)</f>
        <v>3144039.4348947541</v>
      </c>
      <c r="D6" t="str">
        <f>Reporting_currency</f>
        <v>HKD</v>
      </c>
      <c r="E6" s="187" t="s">
        <v>436</v>
      </c>
      <c r="F6" s="288">
        <f>BS!H42</f>
        <v>63482.2</v>
      </c>
      <c r="G6" t="str">
        <f>Reporting_currency</f>
        <v>HKD</v>
      </c>
      <c r="H6" s="312" t="s">
        <v>418</v>
      </c>
      <c r="I6" s="309">
        <f>I7+I8</f>
        <v>-78418.936491750006</v>
      </c>
      <c r="J6" s="309"/>
      <c r="N6" s="135"/>
    </row>
    <row r="7" spans="2:15" ht="12.75" customHeight="1">
      <c r="B7" s="322" t="s">
        <v>433</v>
      </c>
      <c r="C7" s="279">
        <f>F7</f>
        <v>-1712541.1508250001</v>
      </c>
      <c r="E7" s="140" t="s">
        <v>427</v>
      </c>
      <c r="F7" s="287">
        <f>SUM(F4:F6)</f>
        <v>-1712541.1508250001</v>
      </c>
      <c r="G7" t="str">
        <f>Reporting_currency</f>
        <v>HKD</v>
      </c>
      <c r="H7" s="316" t="s">
        <v>419</v>
      </c>
      <c r="I7" s="317">
        <f>Normalized_FCF!C9</f>
        <v>0</v>
      </c>
      <c r="J7" s="317"/>
      <c r="N7" s="308"/>
      <c r="O7" s="308"/>
    </row>
    <row r="8" spans="2:15" ht="13.15">
      <c r="B8" s="136" t="s">
        <v>429</v>
      </c>
      <c r="C8" s="287">
        <f>C6+C7</f>
        <v>1431498.284069754</v>
      </c>
      <c r="D8" t="str">
        <f>Reporting_currency</f>
        <v>HKD</v>
      </c>
      <c r="E8" s="140" t="s">
        <v>467</v>
      </c>
      <c r="F8" s="108">
        <f>FV_adjustments*scaling_factor/Common_Shares*Exchange_Rate</f>
        <v>-2.9526366255887742</v>
      </c>
      <c r="G8" s="298" t="str">
        <f>Market_currency</f>
        <v>HKD</v>
      </c>
      <c r="H8" s="318" t="str">
        <f>Normalized_FCF!B10</f>
        <v>Net Interest Income</v>
      </c>
      <c r="I8" s="317">
        <f>Normalized_FCF!C10</f>
        <v>-78418.936491750006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1431498.284069754</v>
      </c>
      <c r="D10" t="str">
        <f>Market_currency</f>
        <v>HKD</v>
      </c>
      <c r="H10" s="312" t="s">
        <v>398</v>
      </c>
      <c r="I10" s="310">
        <f>Normalized_FCF!C41</f>
        <v>0.16500000000000001</v>
      </c>
      <c r="N10" s="308"/>
      <c r="O10" s="308"/>
    </row>
    <row r="11" spans="2:15" ht="13.15">
      <c r="B11" s="136" t="s">
        <v>428</v>
      </c>
      <c r="C11" s="108">
        <f>(C10*scaling_factor)/Common_Shares</f>
        <v>2.4680833280856755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0.89581909726262465</v>
      </c>
      <c r="E17" s="312" t="s">
        <v>402</v>
      </c>
      <c r="F17" s="315">
        <f>Scenarios!C40</f>
        <v>0.89581909726262465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4.6865267148723024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0.89581909726262465</v>
      </c>
      <c r="F21" s="281">
        <f>I5*(1+D21)</f>
        <v>-504382.86</v>
      </c>
      <c r="G21" s="281">
        <f>C21*(1-E21)+F21+$I$6</f>
        <v>327706.30350824975</v>
      </c>
      <c r="H21" s="303">
        <f t="shared" ref="H21:H50" si="2">IF(A21="",0%,IF(A21="I",$C$18,$F$18))</f>
        <v>0</v>
      </c>
      <c r="I21" s="281">
        <f>(G21*(1-$I$10)+C21*(H21-$I$9))</f>
        <v>233811.31244987907</v>
      </c>
      <c r="J21" s="303">
        <f>I21/C4-1</f>
        <v>2.574528302832424E-2</v>
      </c>
      <c r="K21" s="119">
        <f t="shared" ref="K21:K50" si="3">IF($C$15&lt;B21,0,1/(1+Equity_Cost)^B21)</f>
        <v>0.93240093240093236</v>
      </c>
      <c r="L21" s="281">
        <f t="shared" ref="L21:L50" si="4">I21*K21</f>
        <v>218005.88573415298</v>
      </c>
    </row>
    <row r="22" spans="1:21">
      <c r="A22" s="306" t="str">
        <f t="shared" si="0"/>
        <v>I</v>
      </c>
      <c r="B22" s="117">
        <v>2</v>
      </c>
      <c r="C22" s="281">
        <f t="shared" ref="C22:C50" si="5">IF(A22="",0,C21*(1+D22))</f>
        <v>8914477.0067999996</v>
      </c>
      <c r="D22" s="303">
        <f t="shared" si="1"/>
        <v>0.02</v>
      </c>
      <c r="E22" s="303">
        <f t="shared" ref="E22:E50" si="6">IF($C$15&lt;B22,0,IF(B22&gt;=$F$15,$F$17,$C$17))</f>
        <v>0.89581909726262465</v>
      </c>
      <c r="F22" s="281">
        <f t="shared" ref="F22:F50" si="7">IF(A22="",0,F21*(1+D22))</f>
        <v>-514470.5172</v>
      </c>
      <c r="G22" s="281">
        <f t="shared" ref="G22:G50" si="8">IF(A22="", 0,C22*(1-E22)+F22+$I$6)</f>
        <v>335828.80830824963</v>
      </c>
      <c r="H22" s="303">
        <f t="shared" si="2"/>
        <v>0</v>
      </c>
      <c r="I22" s="281">
        <f>IF(A22="", 0,G22*(1-$I$10)+C22*(H22-$I$9))</f>
        <v>239797.1349382888</v>
      </c>
      <c r="J22" s="303">
        <f>IF(A22="", 0,I22/I21-1)</f>
        <v>2.560108159733665E-2</v>
      </c>
      <c r="K22" s="119">
        <f t="shared" si="3"/>
        <v>0.86937149874212816</v>
      </c>
      <c r="L22" s="281">
        <f t="shared" si="4"/>
        <v>208472.79459536847</v>
      </c>
    </row>
    <row r="23" spans="1:21">
      <c r="A23" s="306" t="str">
        <f t="shared" si="0"/>
        <v>I</v>
      </c>
      <c r="B23" s="117">
        <v>3</v>
      </c>
      <c r="C23" s="281">
        <f t="shared" si="5"/>
        <v>9092766.5469359998</v>
      </c>
      <c r="D23" s="303">
        <f t="shared" si="1"/>
        <v>0.02</v>
      </c>
      <c r="E23" s="303">
        <f t="shared" si="6"/>
        <v>0.89581909726262465</v>
      </c>
      <c r="F23" s="281">
        <f t="shared" si="7"/>
        <v>-524759.92754399998</v>
      </c>
      <c r="G23" s="281">
        <f t="shared" si="8"/>
        <v>344113.76320424973</v>
      </c>
      <c r="H23" s="303">
        <f t="shared" si="2"/>
        <v>0</v>
      </c>
      <c r="I23" s="281">
        <f t="shared" ref="I23:I50" si="9">IF(A23="", 0,G23*(1-$I$10)+C23*(H23-$I$9))</f>
        <v>245902.67387646687</v>
      </c>
      <c r="J23" s="303">
        <f t="shared" ref="J23:J50" si="10">IF(A23="", 0,I23/I22-1)</f>
        <v>2.5461267248874098E-2</v>
      </c>
      <c r="K23" s="119">
        <f t="shared" si="3"/>
        <v>0.81060279602995633</v>
      </c>
      <c r="L23" s="281">
        <f t="shared" si="4"/>
        <v>199329.39499550653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0.89581909726262465</v>
      </c>
      <c r="F24" s="281">
        <f t="shared" si="7"/>
        <v>-535255.12609487993</v>
      </c>
      <c r="G24" s="281">
        <f t="shared" si="8"/>
        <v>352564.4171981698</v>
      </c>
      <c r="H24" s="303">
        <f t="shared" si="2"/>
        <v>0</v>
      </c>
      <c r="I24" s="281">
        <f t="shared" si="9"/>
        <v>252130.32359340851</v>
      </c>
      <c r="J24" s="303">
        <f t="shared" si="10"/>
        <v>2.5325668968000814E-2</v>
      </c>
      <c r="K24" s="119">
        <f t="shared" si="3"/>
        <v>0.75580680282513402</v>
      </c>
      <c r="L24" s="281">
        <f t="shared" si="4"/>
        <v>190561.81377040053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0.89581909726262465</v>
      </c>
      <c r="F25" s="281">
        <f t="shared" si="7"/>
        <v>-545960.22861677757</v>
      </c>
      <c r="G25" s="281">
        <f t="shared" si="8"/>
        <v>361184.08427196817</v>
      </c>
      <c r="H25" s="303">
        <f t="shared" si="2"/>
        <v>0</v>
      </c>
      <c r="I25" s="281">
        <f t="shared" si="9"/>
        <v>258482.52630468883</v>
      </c>
      <c r="J25" s="303">
        <f t="shared" si="10"/>
        <v>2.5194124295513376E-2</v>
      </c>
      <c r="K25" s="119">
        <f t="shared" si="3"/>
        <v>0.70471496766912267</v>
      </c>
      <c r="L25" s="281">
        <f t="shared" si="4"/>
        <v>182156.50516784194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0.89581909726262465</v>
      </c>
      <c r="F26" s="281">
        <f t="shared" si="7"/>
        <v>-556879.43318911316</v>
      </c>
      <c r="G26" s="281">
        <f t="shared" si="8"/>
        <v>369976.14468724251</v>
      </c>
      <c r="H26" s="303">
        <f t="shared" si="2"/>
        <v>0</v>
      </c>
      <c r="I26" s="281">
        <f t="shared" si="9"/>
        <v>264961.77307019482</v>
      </c>
      <c r="J26" s="303">
        <f t="shared" si="10"/>
        <v>2.5066478798913217E-2</v>
      </c>
      <c r="K26" s="119">
        <f t="shared" si="3"/>
        <v>0.65707689293158289</v>
      </c>
      <c r="L26" s="281">
        <f t="shared" si="4"/>
        <v>174100.25859460677</v>
      </c>
    </row>
    <row r="27" spans="1:21">
      <c r="A27" s="306" t="str">
        <f t="shared" si="0"/>
        <v>I</v>
      </c>
      <c r="B27" s="117">
        <v>7</v>
      </c>
      <c r="C27" s="281">
        <f t="shared" si="5"/>
        <v>9842302.9337756764</v>
      </c>
      <c r="D27" s="303">
        <f t="shared" si="1"/>
        <v>0.02</v>
      </c>
      <c r="E27" s="303">
        <f t="shared" si="6"/>
        <v>0.89581909726262465</v>
      </c>
      <c r="F27" s="281">
        <f t="shared" si="7"/>
        <v>-568017.02185289538</v>
      </c>
      <c r="G27" s="281">
        <f t="shared" si="8"/>
        <v>378944.04631082242</v>
      </c>
      <c r="H27" s="303">
        <f t="shared" si="2"/>
        <v>0</v>
      </c>
      <c r="I27" s="281">
        <f t="shared" si="9"/>
        <v>271570.60477101099</v>
      </c>
      <c r="J27" s="303">
        <f t="shared" si="10"/>
        <v>2.494258558220519E-2</v>
      </c>
      <c r="K27" s="119">
        <f t="shared" si="3"/>
        <v>0.61265910762851561</v>
      </c>
      <c r="L27" s="281">
        <f t="shared" si="4"/>
        <v>166380.20437714391</v>
      </c>
    </row>
    <row r="28" spans="1:21">
      <c r="A28" s="306" t="str">
        <f t="shared" si="0"/>
        <v>I</v>
      </c>
      <c r="B28" s="117">
        <v>8</v>
      </c>
      <c r="C28" s="281">
        <f t="shared" si="5"/>
        <v>10039148.992451191</v>
      </c>
      <c r="D28" s="303">
        <f t="shared" si="1"/>
        <v>0.02</v>
      </c>
      <c r="E28" s="303">
        <f t="shared" si="6"/>
        <v>0.89581909726262465</v>
      </c>
      <c r="F28" s="281">
        <f t="shared" si="7"/>
        <v>-579377.36228995328</v>
      </c>
      <c r="G28" s="281">
        <f t="shared" si="8"/>
        <v>388091.30596687394</v>
      </c>
      <c r="H28" s="303">
        <f t="shared" si="2"/>
        <v>0</v>
      </c>
      <c r="I28" s="281">
        <f t="shared" si="9"/>
        <v>278311.61310584354</v>
      </c>
      <c r="J28" s="303">
        <f t="shared" si="10"/>
        <v>2.4822304831248587E-2</v>
      </c>
      <c r="K28" s="119">
        <f t="shared" si="3"/>
        <v>0.5712439231967511</v>
      </c>
      <c r="L28" s="281">
        <f t="shared" si="4"/>
        <v>158983.81774179838</v>
      </c>
    </row>
    <row r="29" spans="1:21">
      <c r="A29" s="306" t="str">
        <f t="shared" si="0"/>
        <v>I</v>
      </c>
      <c r="B29" s="117">
        <v>9</v>
      </c>
      <c r="C29" s="281">
        <f t="shared" si="5"/>
        <v>10239931.972300215</v>
      </c>
      <c r="D29" s="303">
        <f t="shared" si="1"/>
        <v>0.02</v>
      </c>
      <c r="E29" s="303">
        <f t="shared" si="6"/>
        <v>0.89581909726262465</v>
      </c>
      <c r="F29" s="281">
        <f t="shared" si="7"/>
        <v>-590964.90953575238</v>
      </c>
      <c r="G29" s="281">
        <f t="shared" si="8"/>
        <v>397421.51081604644</v>
      </c>
      <c r="H29" s="303">
        <f t="shared" si="2"/>
        <v>0</v>
      </c>
      <c r="I29" s="281">
        <f t="shared" si="9"/>
        <v>285187.4416073726</v>
      </c>
      <c r="J29" s="303">
        <f t="shared" si="10"/>
        <v>2.4705503391675432E-2</v>
      </c>
      <c r="K29" s="119">
        <f t="shared" si="3"/>
        <v>0.53262836661701729</v>
      </c>
      <c r="L29" s="281">
        <f t="shared" si="4"/>
        <v>151898.92120302087</v>
      </c>
    </row>
    <row r="30" spans="1:21">
      <c r="A30" s="306" t="str">
        <f t="shared" si="0"/>
        <v>I</v>
      </c>
      <c r="B30" s="117">
        <v>10</v>
      </c>
      <c r="C30" s="281">
        <f t="shared" si="5"/>
        <v>10444730.61174622</v>
      </c>
      <c r="D30" s="303">
        <f t="shared" si="1"/>
        <v>0.02</v>
      </c>
      <c r="E30" s="303">
        <f t="shared" si="6"/>
        <v>0.89581909726262465</v>
      </c>
      <c r="F30" s="281">
        <f t="shared" si="7"/>
        <v>-602784.2077264674</v>
      </c>
      <c r="G30" s="281">
        <f t="shared" si="8"/>
        <v>406938.31976220239</v>
      </c>
      <c r="H30" s="303">
        <f t="shared" si="2"/>
        <v>0</v>
      </c>
      <c r="I30" s="281">
        <f t="shared" si="9"/>
        <v>292200.78667893232</v>
      </c>
      <c r="J30" s="303">
        <f t="shared" si="10"/>
        <v>2.4592054376697314E-2</v>
      </c>
      <c r="K30" s="119">
        <f t="shared" si="3"/>
        <v>0.49662318565689262</v>
      </c>
      <c r="L30" s="281">
        <f t="shared" si="4"/>
        <v>145113.68553194148</v>
      </c>
    </row>
    <row r="31" spans="1:21">
      <c r="A31" s="306" t="str">
        <f t="shared" si="0"/>
        <v>I</v>
      </c>
      <c r="B31" s="117">
        <v>11</v>
      </c>
      <c r="C31" s="281">
        <f t="shared" si="5"/>
        <v>10653625.223981144</v>
      </c>
      <c r="D31" s="303">
        <f t="shared" si="1"/>
        <v>0.02</v>
      </c>
      <c r="E31" s="303">
        <f t="shared" si="6"/>
        <v>0.89581909726262465</v>
      </c>
      <c r="F31" s="281">
        <f t="shared" si="7"/>
        <v>-614839.89188099676</v>
      </c>
      <c r="G31" s="281">
        <f t="shared" si="8"/>
        <v>416645.46488728136</v>
      </c>
      <c r="H31" s="303">
        <f t="shared" si="2"/>
        <v>0</v>
      </c>
      <c r="I31" s="281">
        <f t="shared" si="9"/>
        <v>299354.39865192317</v>
      </c>
      <c r="J31" s="303">
        <f t="shared" si="10"/>
        <v>2.4481836802346502E-2</v>
      </c>
      <c r="K31" s="119">
        <f t="shared" si="3"/>
        <v>0.46305192135840806</v>
      </c>
      <c r="L31" s="281">
        <f t="shared" si="4"/>
        <v>138616.62946286387</v>
      </c>
    </row>
    <row r="32" spans="1:21">
      <c r="A32" s="306" t="str">
        <f t="shared" si="0"/>
        <v>I</v>
      </c>
      <c r="B32" s="117">
        <v>12</v>
      </c>
      <c r="C32" s="281">
        <f t="shared" si="5"/>
        <v>10866697.728460766</v>
      </c>
      <c r="D32" s="303">
        <f t="shared" si="1"/>
        <v>0.02</v>
      </c>
      <c r="E32" s="303">
        <f t="shared" si="6"/>
        <v>0.89581909726262465</v>
      </c>
      <c r="F32" s="281">
        <f t="shared" si="7"/>
        <v>-627136.68971861666</v>
      </c>
      <c r="G32" s="281">
        <f t="shared" si="8"/>
        <v>426546.75291486195</v>
      </c>
      <c r="H32" s="303">
        <f t="shared" si="2"/>
        <v>0</v>
      </c>
      <c r="I32" s="281">
        <f t="shared" si="9"/>
        <v>306651.08286437375</v>
      </c>
      <c r="J32" s="303">
        <f t="shared" si="10"/>
        <v>2.4374735247952195E-2</v>
      </c>
      <c r="K32" s="119">
        <f t="shared" si="3"/>
        <v>0.43175004322462285</v>
      </c>
      <c r="L32" s="281">
        <f t="shared" si="4"/>
        <v>132396.61828157076</v>
      </c>
    </row>
    <row r="33" spans="1:21">
      <c r="A33" s="306" t="str">
        <f t="shared" si="0"/>
        <v>I</v>
      </c>
      <c r="B33" s="117">
        <v>13</v>
      </c>
      <c r="C33" s="281">
        <f t="shared" si="5"/>
        <v>11084031.683029981</v>
      </c>
      <c r="D33" s="303">
        <f t="shared" si="1"/>
        <v>0.02</v>
      </c>
      <c r="E33" s="303">
        <f t="shared" si="6"/>
        <v>0.89581909726262465</v>
      </c>
      <c r="F33" s="281">
        <f t="shared" si="7"/>
        <v>-639679.42351298896</v>
      </c>
      <c r="G33" s="281">
        <f t="shared" si="8"/>
        <v>436646.06670299423</v>
      </c>
      <c r="H33" s="303">
        <f t="shared" si="2"/>
        <v>0</v>
      </c>
      <c r="I33" s="281">
        <f t="shared" si="9"/>
        <v>314093.7007610735</v>
      </c>
      <c r="J33" s="303">
        <f t="shared" si="10"/>
        <v>2.4270639539829997E-2</v>
      </c>
      <c r="K33" s="119">
        <f t="shared" si="3"/>
        <v>0.40256414286678116</v>
      </c>
      <c r="L33" s="281">
        <f t="shared" si="4"/>
        <v>126442.86142673681</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0.89581909726262465</v>
      </c>
      <c r="F34" s="281">
        <f t="shared" si="7"/>
        <v>-652473.01198324875</v>
      </c>
      <c r="G34" s="281">
        <f t="shared" si="8"/>
        <v>446947.36676688917</v>
      </c>
      <c r="H34" s="303">
        <f t="shared" si="2"/>
        <v>0</v>
      </c>
      <c r="I34" s="281">
        <f t="shared" si="9"/>
        <v>321685.17101570731</v>
      </c>
      <c r="J34" s="303">
        <f t="shared" si="10"/>
        <v>2.4169444456348721E-2</v>
      </c>
      <c r="K34" s="119">
        <f t="shared" si="3"/>
        <v>0.37535118216016894</v>
      </c>
      <c r="L34" s="281">
        <f t="shared" si="4"/>
        <v>120744.90922414185</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0.89581909726262465</v>
      </c>
      <c r="F35" s="281">
        <f t="shared" si="7"/>
        <v>-665522.47222291376</v>
      </c>
      <c r="G35" s="281">
        <f t="shared" si="8"/>
        <v>457454.69283206196</v>
      </c>
      <c r="H35" s="303">
        <f t="shared" si="2"/>
        <v>0</v>
      </c>
      <c r="I35" s="281">
        <f t="shared" si="9"/>
        <v>329428.47067543364</v>
      </c>
      <c r="J35" s="303">
        <f t="shared" si="10"/>
        <v>2.4071049452721649E-2</v>
      </c>
      <c r="K35" s="119">
        <f t="shared" si="3"/>
        <v>0.34997779222393377</v>
      </c>
      <c r="L35" s="281">
        <f t="shared" si="4"/>
        <v>115292.64886269518</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0.89581909726262465</v>
      </c>
      <c r="F36" s="281">
        <f t="shared" si="7"/>
        <v>-678832.92166737199</v>
      </c>
      <c r="G36" s="281">
        <f t="shared" si="8"/>
        <v>468172.16541853832</v>
      </c>
      <c r="H36" s="303">
        <f t="shared" si="2"/>
        <v>0</v>
      </c>
      <c r="I36" s="281">
        <f t="shared" si="9"/>
        <v>337326.63632835465</v>
      </c>
      <c r="J36" s="303">
        <f t="shared" si="10"/>
        <v>2.3975358403987457E-2</v>
      </c>
      <c r="K36" s="119">
        <f t="shared" si="3"/>
        <v>0.32631961978921564</v>
      </c>
      <c r="L36" s="281">
        <f t="shared" si="4"/>
        <v>110076.2997114437</v>
      </c>
    </row>
    <row r="37" spans="1:21">
      <c r="A37" s="306" t="str">
        <f t="shared" si="0"/>
        <v>I</v>
      </c>
      <c r="B37" s="117">
        <v>17</v>
      </c>
      <c r="C37" s="281">
        <f t="shared" si="5"/>
        <v>11997712.356170578</v>
      </c>
      <c r="D37" s="303">
        <f t="shared" si="1"/>
        <v>0.02</v>
      </c>
      <c r="E37" s="303">
        <f t="shared" si="6"/>
        <v>0.89581909726262465</v>
      </c>
      <c r="F37" s="281">
        <f t="shared" si="7"/>
        <v>-692409.58010071947</v>
      </c>
      <c r="G37" s="281">
        <f t="shared" si="8"/>
        <v>479103.9874567439</v>
      </c>
      <c r="H37" s="303">
        <f t="shared" si="2"/>
        <v>0</v>
      </c>
      <c r="I37" s="281">
        <f t="shared" si="9"/>
        <v>345382.7652943338</v>
      </c>
      <c r="J37" s="303">
        <f t="shared" si="10"/>
        <v>2.3882279364791481E-2</v>
      </c>
      <c r="K37" s="119">
        <f t="shared" si="3"/>
        <v>0.30426071775218239</v>
      </c>
      <c r="L37" s="281">
        <f t="shared" si="4"/>
        <v>105086.40806768755</v>
      </c>
    </row>
    <row r="38" spans="1:21">
      <c r="A38" s="306" t="str">
        <f t="shared" si="0"/>
        <v>I</v>
      </c>
      <c r="B38" s="117">
        <v>18</v>
      </c>
      <c r="C38" s="281">
        <f t="shared" si="5"/>
        <v>12237666.603293989</v>
      </c>
      <c r="D38" s="303">
        <f t="shared" si="1"/>
        <v>0.02</v>
      </c>
      <c r="E38" s="303">
        <f t="shared" si="6"/>
        <v>0.89581909726262465</v>
      </c>
      <c r="F38" s="281">
        <f t="shared" si="7"/>
        <v>-706257.77170273382</v>
      </c>
      <c r="G38" s="281">
        <f t="shared" si="8"/>
        <v>490254.44593571377</v>
      </c>
      <c r="H38" s="303">
        <f t="shared" si="2"/>
        <v>0</v>
      </c>
      <c r="I38" s="281">
        <f t="shared" si="9"/>
        <v>353600.01683963271</v>
      </c>
      <c r="J38" s="303">
        <f t="shared" si="10"/>
        <v>2.3791724344716991E-2</v>
      </c>
      <c r="K38" s="119">
        <f t="shared" si="3"/>
        <v>0.28369297692511181</v>
      </c>
      <c r="L38" s="281">
        <f t="shared" si="4"/>
        <v>100313.84141800506</v>
      </c>
    </row>
    <row r="39" spans="1:21">
      <c r="A39" s="306" t="str">
        <f t="shared" si="0"/>
        <v>I</v>
      </c>
      <c r="B39" s="117">
        <v>19</v>
      </c>
      <c r="C39" s="281">
        <f t="shared" si="5"/>
        <v>12482419.935359869</v>
      </c>
      <c r="D39" s="303">
        <f t="shared" si="1"/>
        <v>0.02</v>
      </c>
      <c r="E39" s="303">
        <f t="shared" si="6"/>
        <v>0.89581909726262465</v>
      </c>
      <c r="F39" s="281">
        <f t="shared" si="7"/>
        <v>-720382.92713678849</v>
      </c>
      <c r="G39" s="281">
        <f t="shared" si="8"/>
        <v>501627.91358426312</v>
      </c>
      <c r="H39" s="303">
        <f t="shared" si="2"/>
        <v>0</v>
      </c>
      <c r="I39" s="281">
        <f t="shared" si="9"/>
        <v>361981.61341583764</v>
      </c>
      <c r="J39" s="303">
        <f t="shared" si="10"/>
        <v>2.370360909797764E-2</v>
      </c>
      <c r="K39" s="119">
        <f t="shared" si="3"/>
        <v>0.26451559620057047</v>
      </c>
      <c r="L39" s="281">
        <f t="shared" si="4"/>
        <v>95749.78228633471</v>
      </c>
    </row>
    <row r="40" spans="1:21">
      <c r="A40" s="306" t="str">
        <f t="shared" si="0"/>
        <v>I</v>
      </c>
      <c r="B40" s="117">
        <v>20</v>
      </c>
      <c r="C40" s="281">
        <f t="shared" si="5"/>
        <v>12732068.334067067</v>
      </c>
      <c r="D40" s="303">
        <f t="shared" si="1"/>
        <v>0.02</v>
      </c>
      <c r="E40" s="303">
        <f t="shared" si="6"/>
        <v>0.89581909726262465</v>
      </c>
      <c r="F40" s="281">
        <f t="shared" si="7"/>
        <v>-734790.58567952423</v>
      </c>
      <c r="G40" s="281">
        <f t="shared" si="8"/>
        <v>513228.85058578342</v>
      </c>
      <c r="H40" s="303">
        <f t="shared" si="2"/>
        <v>0</v>
      </c>
      <c r="I40" s="281">
        <f t="shared" si="9"/>
        <v>370530.84192356665</v>
      </c>
      <c r="J40" s="303">
        <f t="shared" si="10"/>
        <v>2.3617852926435257E-2</v>
      </c>
      <c r="K40" s="119">
        <f t="shared" si="3"/>
        <v>0.2466345885320004</v>
      </c>
      <c r="L40" s="281">
        <f t="shared" si="4"/>
        <v>91385.72173623454</v>
      </c>
    </row>
    <row r="41" spans="1:21">
      <c r="A41" s="306" t="str">
        <f t="shared" si="0"/>
        <v>I</v>
      </c>
      <c r="B41" s="117">
        <v>21</v>
      </c>
      <c r="C41" s="281">
        <f t="shared" si="5"/>
        <v>12986709.700748408</v>
      </c>
      <c r="D41" s="303">
        <f t="shared" si="1"/>
        <v>0.02</v>
      </c>
      <c r="E41" s="303">
        <f t="shared" si="6"/>
        <v>0.89581909726262465</v>
      </c>
      <c r="F41" s="281">
        <f t="shared" si="7"/>
        <v>-749486.39739311475</v>
      </c>
      <c r="G41" s="281">
        <f t="shared" si="8"/>
        <v>525061.80632733391</v>
      </c>
      <c r="H41" s="303">
        <f t="shared" si="2"/>
        <v>0</v>
      </c>
      <c r="I41" s="281">
        <f t="shared" si="9"/>
        <v>379251.05500145006</v>
      </c>
      <c r="J41" s="303">
        <f t="shared" si="10"/>
        <v>2.3534378494954655E-2</v>
      </c>
      <c r="K41" s="119">
        <f t="shared" si="3"/>
        <v>0.22996232030955746</v>
      </c>
      <c r="L41" s="281">
        <f t="shared" si="4"/>
        <v>87213.452587981054</v>
      </c>
    </row>
    <row r="42" spans="1:21">
      <c r="A42" s="306" t="str">
        <f t="shared" si="0"/>
        <v>I</v>
      </c>
      <c r="B42" s="117">
        <v>22</v>
      </c>
      <c r="C42" s="281">
        <f t="shared" si="5"/>
        <v>13246443.894763377</v>
      </c>
      <c r="D42" s="303">
        <f t="shared" si="1"/>
        <v>0.02</v>
      </c>
      <c r="E42" s="303">
        <f t="shared" si="6"/>
        <v>0.89581909726262465</v>
      </c>
      <c r="F42" s="281">
        <f t="shared" si="7"/>
        <v>-764476.1253409771</v>
      </c>
      <c r="G42" s="281">
        <f t="shared" si="8"/>
        <v>537131.42118371557</v>
      </c>
      <c r="H42" s="303">
        <f t="shared" si="2"/>
        <v>0</v>
      </c>
      <c r="I42" s="281">
        <f t="shared" si="9"/>
        <v>388145.67234089127</v>
      </c>
      <c r="J42" s="303">
        <f t="shared" si="10"/>
        <v>2.3453111658205295E-2</v>
      </c>
      <c r="K42" s="119">
        <f t="shared" si="3"/>
        <v>0.21441708187371325</v>
      </c>
      <c r="L42" s="281">
        <f t="shared" si="4"/>
        <v>83225.06240524436</v>
      </c>
    </row>
    <row r="43" spans="1:21">
      <c r="A43" s="306" t="str">
        <f t="shared" si="0"/>
        <v>I</v>
      </c>
      <c r="B43" s="117">
        <v>23</v>
      </c>
      <c r="C43" s="281">
        <f t="shared" si="5"/>
        <v>13511372.772658644</v>
      </c>
      <c r="D43" s="303">
        <f t="shared" si="1"/>
        <v>0.02</v>
      </c>
      <c r="E43" s="303">
        <f t="shared" si="6"/>
        <v>0.89581909726262465</v>
      </c>
      <c r="F43" s="281">
        <f t="shared" si="7"/>
        <v>-779765.64784779667</v>
      </c>
      <c r="G43" s="281">
        <f t="shared" si="8"/>
        <v>549442.42833722499</v>
      </c>
      <c r="H43" s="303">
        <f t="shared" si="2"/>
        <v>0</v>
      </c>
      <c r="I43" s="281">
        <f t="shared" si="9"/>
        <v>397218.18202712137</v>
      </c>
      <c r="J43" s="303">
        <f t="shared" si="10"/>
        <v>2.3373981298088875E-2</v>
      </c>
      <c r="K43" s="119">
        <f t="shared" si="3"/>
        <v>0.19992268706173733</v>
      </c>
      <c r="L43" s="281">
        <f t="shared" si="4"/>
        <v>79412.926300640393</v>
      </c>
    </row>
    <row r="44" spans="1:21">
      <c r="A44" s="306" t="str">
        <f t="shared" si="0"/>
        <v>I</v>
      </c>
      <c r="B44" s="117">
        <v>24</v>
      </c>
      <c r="C44" s="281">
        <f t="shared" si="5"/>
        <v>13781600.228111817</v>
      </c>
      <c r="D44" s="303">
        <f t="shared" si="1"/>
        <v>0.02</v>
      </c>
      <c r="E44" s="303">
        <f t="shared" si="6"/>
        <v>0.89581909726262465</v>
      </c>
      <c r="F44" s="281">
        <f t="shared" si="7"/>
        <v>-795360.96080475266</v>
      </c>
      <c r="G44" s="281">
        <f t="shared" si="8"/>
        <v>561999.65563380439</v>
      </c>
      <c r="H44" s="303">
        <f t="shared" si="2"/>
        <v>0</v>
      </c>
      <c r="I44" s="281">
        <f t="shared" si="9"/>
        <v>406472.14190707594</v>
      </c>
      <c r="J44" s="303">
        <f t="shared" si="10"/>
        <v>2.3296919171043262E-2</v>
      </c>
      <c r="K44" s="119">
        <f t="shared" si="3"/>
        <v>0.18640809982446369</v>
      </c>
      <c r="L44" s="281">
        <f t="shared" si="4"/>
        <v>75769.699604477777</v>
      </c>
    </row>
    <row r="45" spans="1:21">
      <c r="A45" s="306" t="str">
        <f t="shared" si="0"/>
        <v>I</v>
      </c>
      <c r="B45" s="117">
        <v>25</v>
      </c>
      <c r="C45" s="281">
        <f t="shared" si="5"/>
        <v>14057232.232674053</v>
      </c>
      <c r="D45" s="303">
        <f t="shared" si="1"/>
        <v>0.02</v>
      </c>
      <c r="E45" s="303">
        <f t="shared" si="6"/>
        <v>0.89581909726262465</v>
      </c>
      <c r="F45" s="281">
        <f t="shared" si="7"/>
        <v>-811268.18002084771</v>
      </c>
      <c r="G45" s="281">
        <f t="shared" si="8"/>
        <v>574808.02747631539</v>
      </c>
      <c r="H45" s="303">
        <f t="shared" si="2"/>
        <v>0</v>
      </c>
      <c r="I45" s="281">
        <f t="shared" si="9"/>
        <v>415911.18098462967</v>
      </c>
      <c r="J45" s="303">
        <f t="shared" si="10"/>
        <v>2.3221859764528618E-2</v>
      </c>
      <c r="K45" s="119">
        <f t="shared" si="3"/>
        <v>0.17380708608341602</v>
      </c>
      <c r="L45" s="281">
        <f t="shared" si="4"/>
        <v>72288.310436450745</v>
      </c>
    </row>
    <row r="46" spans="1:21">
      <c r="A46" s="306" t="str">
        <f t="shared" si="0"/>
        <v>I</v>
      </c>
      <c r="B46" s="117">
        <v>26</v>
      </c>
      <c r="C46" s="281">
        <f t="shared" si="5"/>
        <v>14338376.877327533</v>
      </c>
      <c r="D46" s="303">
        <f t="shared" si="1"/>
        <v>0.02</v>
      </c>
      <c r="E46" s="303">
        <f t="shared" si="6"/>
        <v>0.89581909726262465</v>
      </c>
      <c r="F46" s="281">
        <f t="shared" si="7"/>
        <v>-827493.54362126463</v>
      </c>
      <c r="G46" s="281">
        <f t="shared" si="8"/>
        <v>587872.56675567687</v>
      </c>
      <c r="H46" s="303">
        <f t="shared" si="2"/>
        <v>0</v>
      </c>
      <c r="I46" s="281">
        <f t="shared" si="9"/>
        <v>425539.00084373466</v>
      </c>
      <c r="J46" s="303">
        <f t="shared" si="10"/>
        <v>2.3148740162051151E-2</v>
      </c>
      <c r="K46" s="119">
        <f t="shared" si="3"/>
        <v>0.16205788912206626</v>
      </c>
      <c r="L46" s="281">
        <f t="shared" si="4"/>
        <v>68961.952215848811</v>
      </c>
    </row>
    <row r="47" spans="1:21">
      <c r="A47" s="306" t="str">
        <f t="shared" si="0"/>
        <v>I</v>
      </c>
      <c r="B47" s="117">
        <v>27</v>
      </c>
      <c r="C47" s="281">
        <f t="shared" si="5"/>
        <v>14625144.414874084</v>
      </c>
      <c r="D47" s="303">
        <f t="shared" si="1"/>
        <v>0.02</v>
      </c>
      <c r="E47" s="303">
        <f t="shared" si="6"/>
        <v>0.89581909726262465</v>
      </c>
      <c r="F47" s="281">
        <f t="shared" si="7"/>
        <v>-844043.4144936899</v>
      </c>
      <c r="G47" s="281">
        <f t="shared" si="8"/>
        <v>601198.39682062529</v>
      </c>
      <c r="H47" s="303">
        <f t="shared" si="2"/>
        <v>0</v>
      </c>
      <c r="I47" s="281">
        <f t="shared" si="9"/>
        <v>435359.3771000214</v>
      </c>
      <c r="J47" s="303">
        <f t="shared" si="10"/>
        <v>2.3077499916142719E-2</v>
      </c>
      <c r="K47" s="119">
        <f t="shared" si="3"/>
        <v>0.15110292692034147</v>
      </c>
      <c r="L47" s="281">
        <f t="shared" si="4"/>
        <v>65784.076142029924</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0.89581909726262465</v>
      </c>
      <c r="F48" s="281">
        <f t="shared" si="7"/>
        <v>-860924.28278356371</v>
      </c>
      <c r="G48" s="281">
        <f t="shared" si="8"/>
        <v>614790.74348687287</v>
      </c>
      <c r="H48" s="303">
        <f t="shared" si="2"/>
        <v>0</v>
      </c>
      <c r="I48" s="281">
        <f t="shared" si="9"/>
        <v>445376.16088143416</v>
      </c>
      <c r="J48" s="303">
        <f t="shared" si="10"/>
        <v>2.3008080928762054E-2</v>
      </c>
      <c r="K48" s="119">
        <f t="shared" si="3"/>
        <v>0.14088850994903634</v>
      </c>
      <c r="L48" s="281">
        <f t="shared" si="4"/>
        <v>62748.383673407545</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0.89581909726262465</v>
      </c>
      <c r="F49" s="281">
        <f t="shared" si="7"/>
        <v>-878142.76843923505</v>
      </c>
      <c r="G49" s="281">
        <f t="shared" si="8"/>
        <v>628654.93708644505</v>
      </c>
      <c r="H49" s="303">
        <f t="shared" si="2"/>
        <v>0</v>
      </c>
      <c r="I49" s="281">
        <f t="shared" si="9"/>
        <v>455593.2803384749</v>
      </c>
      <c r="J49" s="303">
        <f t="shared" si="10"/>
        <v>2.294042733859003E-2</v>
      </c>
      <c r="K49" s="119">
        <f t="shared" si="3"/>
        <v>0.1313645780410595</v>
      </c>
      <c r="L49" s="281">
        <f t="shared" si="4"/>
        <v>59848.819030005885</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0.89581909726262465</v>
      </c>
      <c r="F50" s="281">
        <f t="shared" si="7"/>
        <v>-895705.62380801979</v>
      </c>
      <c r="G50" s="281">
        <f t="shared" si="8"/>
        <v>642796.41455800924</v>
      </c>
      <c r="H50" s="303">
        <f t="shared" si="2"/>
        <v>0</v>
      </c>
      <c r="I50" s="281">
        <f t="shared" si="9"/>
        <v>466014.74218465679</v>
      </c>
      <c r="J50" s="303">
        <f t="shared" si="10"/>
        <v>2.2874485414796863E-2</v>
      </c>
      <c r="K50" s="119">
        <f t="shared" si="3"/>
        <v>0.12248445504993893</v>
      </c>
      <c r="L50" s="281">
        <f t="shared" si="4"/>
        <v>57079.561741725476</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0.89581909726262465</v>
      </c>
      <c r="F51" s="281">
        <f>VLOOKUP(C15,B21:F50,5,FALSE)*(1+Terminal_Growth)</f>
        <v>-895705.62380801979</v>
      </c>
      <c r="G51" s="281">
        <f>C51*(1-E51)+F51+$I$6</f>
        <v>642796.41455800924</v>
      </c>
      <c r="H51" s="303">
        <f>F18</f>
        <v>0</v>
      </c>
      <c r="I51" s="281">
        <f>(G51*(1-$I$10)+C51*(H51-$I$9))/Equity_Cost</f>
        <v>6427789.5473745773</v>
      </c>
      <c r="J51" s="419">
        <f>(G51*(1-$I$10)+C51*(H51-$I$9))/VLOOKUP(C15,B21:I50,8,FALSE)-1</f>
        <v>0</v>
      </c>
      <c r="K51" s="119">
        <f>1/(1+Equity_Cost)^C15</f>
        <v>0.12248445504993893</v>
      </c>
      <c r="L51" s="281">
        <f>I51*K51</f>
        <v>787304.29988586868</v>
      </c>
    </row>
    <row r="52" spans="1:21" ht="13.15">
      <c r="G52" s="111"/>
      <c r="H52" s="111"/>
      <c r="I52" s="111"/>
      <c r="J52" s="464" t="s">
        <v>423</v>
      </c>
      <c r="K52" s="464"/>
      <c r="L52" s="321">
        <f>SUM(L21:L51)</f>
        <v>4430745.546213177</v>
      </c>
    </row>
    <row r="53" spans="1:21">
      <c r="C53" s="111"/>
    </row>
    <row r="54" spans="1:21" ht="13.15">
      <c r="B54" s="115" t="s">
        <v>108</v>
      </c>
      <c r="C54" s="128"/>
      <c r="D54" s="128"/>
      <c r="E54" s="113"/>
      <c r="F54" s="113"/>
      <c r="G54" s="113"/>
      <c r="H54" s="113"/>
      <c r="I54" s="113"/>
      <c r="J54" s="113"/>
      <c r="K54" s="113"/>
      <c r="L54" s="113"/>
    </row>
    <row r="55" spans="1:21" ht="13.15">
      <c r="A55" s="125">
        <f>L52</f>
        <v>4430745.546213177</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3144039.4348947518</v>
      </c>
      <c r="C56" s="118">
        <v>3184511.5274465405</v>
      </c>
      <c r="D56" s="118">
        <v>3224983.6199983321</v>
      </c>
      <c r="E56" s="118">
        <v>3265455.7125501209</v>
      </c>
      <c r="F56" s="118">
        <v>3305927.8051019125</v>
      </c>
      <c r="G56" s="299"/>
      <c r="H56" s="299"/>
      <c r="I56" s="299"/>
      <c r="J56" s="299"/>
      <c r="K56" s="299"/>
      <c r="L56" s="299"/>
    </row>
    <row r="57" spans="1:21" ht="13.15">
      <c r="A57" s="131">
        <v>2</v>
      </c>
      <c r="B57" s="118">
        <v>3144039.4348947518</v>
      </c>
      <c r="C57" s="118">
        <v>3222625.1064463635</v>
      </c>
      <c r="D57" s="118">
        <v>3301965.502334604</v>
      </c>
      <c r="E57" s="118">
        <v>3382060.6225594776</v>
      </c>
      <c r="F57" s="118">
        <v>3462910.4671209762</v>
      </c>
      <c r="G57" s="299"/>
      <c r="H57" s="299"/>
      <c r="I57" s="299"/>
      <c r="J57" s="299"/>
      <c r="K57" s="299"/>
      <c r="L57" s="299"/>
    </row>
    <row r="58" spans="1:21" ht="13.15">
      <c r="A58" s="131">
        <v>3</v>
      </c>
      <c r="B58" s="118">
        <v>3144039.4348947518</v>
      </c>
      <c r="C58" s="118">
        <v>3258517.6144088991</v>
      </c>
      <c r="D58" s="118">
        <v>3375179.040780291</v>
      </c>
      <c r="E58" s="118">
        <v>3494044.8251791829</v>
      </c>
      <c r="F58" s="118">
        <v>3615136.0787758296</v>
      </c>
      <c r="G58" s="299"/>
      <c r="H58" s="299"/>
      <c r="I58" s="299"/>
      <c r="J58" s="299"/>
      <c r="K58" s="299"/>
      <c r="L58" s="299"/>
    </row>
    <row r="59" spans="1:21" ht="13.15">
      <c r="A59" s="131">
        <v>4</v>
      </c>
      <c r="B59" s="118">
        <v>3144039.4348947513</v>
      </c>
      <c r="C59" s="118">
        <v>3292318.4843782801</v>
      </c>
      <c r="D59" s="118">
        <v>3444808.6997216428</v>
      </c>
      <c r="E59" s="118">
        <v>3601591.4253640752</v>
      </c>
      <c r="F59" s="118">
        <v>3762748.7931078067</v>
      </c>
      <c r="G59" s="299"/>
      <c r="H59" s="299"/>
      <c r="I59" s="299"/>
      <c r="J59" s="299"/>
      <c r="K59" s="299"/>
      <c r="L59" s="299"/>
    </row>
    <row r="60" spans="1:21" ht="13.15">
      <c r="A60" s="131">
        <v>5</v>
      </c>
      <c r="B60" s="118">
        <v>3144039.4348947518</v>
      </c>
      <c r="C60" s="118">
        <v>3324149.6066804472</v>
      </c>
      <c r="D60" s="118">
        <v>3511029.9138197112</v>
      </c>
      <c r="E60" s="118">
        <v>3704876.2721616887</v>
      </c>
      <c r="F60" s="118">
        <v>3905888.3948842697</v>
      </c>
      <c r="G60" s="299"/>
      <c r="H60" s="299"/>
      <c r="I60" s="299"/>
      <c r="J60" s="299"/>
      <c r="K60" s="299"/>
      <c r="L60" s="299"/>
    </row>
    <row r="61" spans="1:21" ht="13.15">
      <c r="A61" s="131">
        <v>6</v>
      </c>
      <c r="B61" s="118">
        <v>3144039.4348947513</v>
      </c>
      <c r="C61" s="118">
        <v>3354125.7684754953</v>
      </c>
      <c r="D61" s="118">
        <v>3574009.5300248675</v>
      </c>
      <c r="E61" s="118">
        <v>3804068.2462423798</v>
      </c>
      <c r="F61" s="118">
        <v>4044690.4329705378</v>
      </c>
      <c r="G61" s="299"/>
      <c r="H61" s="299"/>
      <c r="I61" s="299"/>
      <c r="J61" s="299"/>
      <c r="K61" s="299"/>
      <c r="L61" s="299"/>
    </row>
    <row r="62" spans="1:21" ht="13.15">
      <c r="A62" s="131">
        <v>7</v>
      </c>
      <c r="B62" s="118">
        <v>3144039.4348947518</v>
      </c>
      <c r="C62" s="118">
        <v>3382355.0676950756</v>
      </c>
      <c r="D62" s="118">
        <v>3633906.227954247</v>
      </c>
      <c r="E62" s="118">
        <v>3899329.5360354921</v>
      </c>
      <c r="F62" s="118">
        <v>4179286.3486905545</v>
      </c>
      <c r="G62" s="299"/>
      <c r="H62" s="299"/>
      <c r="I62" s="299"/>
      <c r="J62" s="299"/>
      <c r="K62" s="299"/>
      <c r="L62" s="299"/>
    </row>
    <row r="63" spans="1:21" ht="13.15">
      <c r="A63" s="131">
        <v>8</v>
      </c>
      <c r="B63" s="118">
        <v>3144039.4348947518</v>
      </c>
      <c r="C63" s="118">
        <v>3408939.3028575699</v>
      </c>
      <c r="D63" s="118">
        <v>3690870.9196912805</v>
      </c>
      <c r="E63" s="118">
        <v>3990815.9029230485</v>
      </c>
      <c r="F63" s="118">
        <v>4309803.6002978431</v>
      </c>
      <c r="G63" s="299"/>
      <c r="H63" s="299"/>
      <c r="I63" s="299"/>
      <c r="J63" s="299"/>
      <c r="K63" s="299"/>
      <c r="L63" s="299"/>
    </row>
    <row r="64" spans="1:21" ht="13.15">
      <c r="A64" s="131">
        <v>9</v>
      </c>
      <c r="B64" s="118">
        <v>3144039.4348947513</v>
      </c>
      <c r="C64" s="118">
        <v>3433974.3401667709</v>
      </c>
      <c r="D64" s="118">
        <v>3745047.1300146114</v>
      </c>
      <c r="E64" s="118">
        <v>4078676.9359246166</v>
      </c>
      <c r="F64" s="118">
        <v>4436365.783674608</v>
      </c>
      <c r="G64" s="299"/>
      <c r="H64" s="299"/>
      <c r="I64" s="299"/>
      <c r="J64" s="299"/>
      <c r="K64" s="299"/>
      <c r="L64" s="299"/>
    </row>
    <row r="65" spans="1:21" ht="13.15">
      <c r="A65" s="131">
        <v>10</v>
      </c>
      <c r="B65" s="118">
        <v>3144039.4348947518</v>
      </c>
      <c r="C65" s="118">
        <v>3457550.4592178613</v>
      </c>
      <c r="D65" s="118">
        <v>3796571.3580144229</v>
      </c>
      <c r="E65" s="118">
        <v>4163056.2962897592</v>
      </c>
      <c r="F65" s="118">
        <v>4559092.7493732888</v>
      </c>
      <c r="G65" s="299"/>
      <c r="H65" s="299"/>
      <c r="I65" s="299"/>
      <c r="J65" s="299"/>
      <c r="K65" s="299"/>
      <c r="L65" s="299"/>
    </row>
    <row r="66" spans="1:21" ht="13.15">
      <c r="A66" s="131">
        <v>15</v>
      </c>
      <c r="B66" s="118">
        <v>3144039.4348947513</v>
      </c>
      <c r="C66" s="281">
        <v>3556355.4699580828</v>
      </c>
      <c r="D66" s="118">
        <v>4018740.3815586893</v>
      </c>
      <c r="E66" s="118">
        <v>4537370.0370437065</v>
      </c>
      <c r="F66" s="118">
        <v>5119145.9241249943</v>
      </c>
      <c r="G66" s="299"/>
      <c r="H66" s="299"/>
      <c r="I66" s="299"/>
      <c r="J66" s="299"/>
      <c r="K66" s="299"/>
      <c r="L66" s="299"/>
      <c r="M66" s="279"/>
      <c r="N66" s="279"/>
      <c r="O66" s="279"/>
      <c r="P66" s="279"/>
      <c r="Q66" s="279"/>
      <c r="R66" s="279"/>
      <c r="S66" s="279"/>
      <c r="T66" s="279"/>
      <c r="U66" s="279"/>
    </row>
    <row r="67" spans="1:21" ht="13.15">
      <c r="A67" s="132">
        <v>20</v>
      </c>
      <c r="B67" s="118">
        <v>3144039.4348947508</v>
      </c>
      <c r="C67" s="281">
        <v>3629536.637556972</v>
      </c>
      <c r="D67" s="118">
        <v>4191601.7157927309</v>
      </c>
      <c r="E67" s="118">
        <v>4843168.5641266974</v>
      </c>
      <c r="F67" s="118">
        <v>5599331.8818484861</v>
      </c>
      <c r="G67" s="299"/>
      <c r="H67" s="299"/>
      <c r="I67" s="299"/>
      <c r="J67" s="299"/>
      <c r="K67" s="299"/>
      <c r="L67" s="299"/>
      <c r="M67" s="279"/>
      <c r="N67" s="279"/>
      <c r="O67" s="279"/>
      <c r="P67" s="279"/>
      <c r="Q67" s="279"/>
      <c r="R67" s="279"/>
      <c r="S67" s="279"/>
      <c r="T67" s="279"/>
      <c r="U67" s="279"/>
    </row>
    <row r="68" spans="1:21" ht="13.15">
      <c r="A68" s="132">
        <v>25</v>
      </c>
      <c r="B68" s="118">
        <v>3144039.4348947508</v>
      </c>
      <c r="C68" s="281">
        <v>3683739.1850898862</v>
      </c>
      <c r="D68" s="118">
        <v>4326098.597475335</v>
      </c>
      <c r="E68" s="118">
        <v>5092993.0535450447</v>
      </c>
      <c r="F68" s="118">
        <v>6011040.2059679795</v>
      </c>
      <c r="G68" s="299"/>
      <c r="H68" s="299"/>
      <c r="I68" s="299"/>
      <c r="J68" s="299"/>
      <c r="K68" s="299"/>
      <c r="L68" s="299"/>
      <c r="M68" s="279"/>
      <c r="N68" s="279"/>
      <c r="O68" s="279"/>
      <c r="P68" s="279"/>
      <c r="Q68" s="279"/>
      <c r="R68" s="279"/>
      <c r="S68" s="279"/>
      <c r="T68" s="279"/>
      <c r="U68" s="279"/>
    </row>
    <row r="69" spans="1:21" ht="13.15">
      <c r="A69" s="132">
        <v>30</v>
      </c>
      <c r="B69" s="118">
        <v>3144039.4348947508</v>
      </c>
      <c r="C69" s="281">
        <v>3723884.9801824233</v>
      </c>
      <c r="D69" s="118">
        <v>4430745.546213177</v>
      </c>
      <c r="E69" s="118">
        <v>5297089.1167553179</v>
      </c>
      <c r="F69" s="118">
        <v>6364036.2514018808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2.4680833280856755</v>
      </c>
      <c r="C73" s="119">
        <f>C11</f>
        <v>2.4680833280856755</v>
      </c>
      <c r="D73" s="119">
        <f>C11</f>
        <v>2.4680833280856755</v>
      </c>
      <c r="E73" s="119">
        <f>C11</f>
        <v>2.4680833280856755</v>
      </c>
      <c r="F73" s="119">
        <f>C11</f>
        <v>2.4680833280856755</v>
      </c>
      <c r="G73" s="300"/>
      <c r="H73" s="300"/>
      <c r="I73" s="300"/>
      <c r="J73" s="300"/>
      <c r="K73" s="300"/>
      <c r="L73" s="300"/>
    </row>
    <row r="74" spans="1:21" ht="13.15">
      <c r="A74" s="131">
        <v>1</v>
      </c>
      <c r="B74" s="119">
        <f t="shared" ref="B74:F87" si="11">(B56+FV_adjustments)/Common_Shares*scaling_factor*Exchange_Rate</f>
        <v>2.4680833280856711</v>
      </c>
      <c r="C74" s="119">
        <f t="shared" si="11"/>
        <v>2.5378623127979876</v>
      </c>
      <c r="D74" s="119">
        <f t="shared" si="11"/>
        <v>2.6076412975103089</v>
      </c>
      <c r="E74" s="119">
        <f t="shared" si="11"/>
        <v>2.6774202822226254</v>
      </c>
      <c r="F74" s="119">
        <f t="shared" si="11"/>
        <v>2.7471992669349459</v>
      </c>
      <c r="G74" s="300"/>
      <c r="H74" s="300"/>
      <c r="I74" s="300"/>
      <c r="J74" s="300"/>
      <c r="K74" s="300"/>
      <c r="L74" s="300"/>
    </row>
    <row r="75" spans="1:21" ht="13.15">
      <c r="A75" s="131">
        <v>2</v>
      </c>
      <c r="B75" s="119">
        <f t="shared" si="11"/>
        <v>2.4680833280856711</v>
      </c>
      <c r="C75" s="119">
        <f t="shared" si="11"/>
        <v>2.6035749231098251</v>
      </c>
      <c r="D75" s="119">
        <f t="shared" si="11"/>
        <v>2.7403677579421313</v>
      </c>
      <c r="E75" s="119">
        <f t="shared" si="11"/>
        <v>2.8784618325825977</v>
      </c>
      <c r="F75" s="119">
        <f t="shared" si="11"/>
        <v>3.0178571470312106</v>
      </c>
      <c r="G75" s="300"/>
      <c r="H75" s="300"/>
      <c r="I75" s="300"/>
      <c r="J75" s="300"/>
      <c r="K75" s="300"/>
      <c r="L75" s="300"/>
    </row>
    <row r="76" spans="1:21" ht="13.15">
      <c r="A76" s="131">
        <v>3</v>
      </c>
      <c r="B76" s="119">
        <f t="shared" si="11"/>
        <v>2.4680833280856711</v>
      </c>
      <c r="C76" s="119">
        <f t="shared" si="11"/>
        <v>2.6654581272263309</v>
      </c>
      <c r="D76" s="119">
        <f t="shared" si="11"/>
        <v>2.8665971189122592</v>
      </c>
      <c r="E76" s="119">
        <f t="shared" si="11"/>
        <v>3.0715367014597685</v>
      </c>
      <c r="F76" s="119">
        <f t="shared" si="11"/>
        <v>3.2803132731851701</v>
      </c>
      <c r="G76" s="300"/>
      <c r="H76" s="300"/>
      <c r="I76" s="300"/>
      <c r="J76" s="300"/>
      <c r="K76" s="300"/>
      <c r="L76" s="300"/>
    </row>
    <row r="77" spans="1:21" ht="13.15">
      <c r="A77" s="131">
        <v>4</v>
      </c>
      <c r="B77" s="119">
        <f t="shared" si="11"/>
        <v>2.4680833280856707</v>
      </c>
      <c r="C77" s="119">
        <f t="shared" si="11"/>
        <v>2.7237350840167003</v>
      </c>
      <c r="D77" s="119">
        <f t="shared" si="11"/>
        <v>2.9866474202544775</v>
      </c>
      <c r="E77" s="119">
        <f t="shared" si="11"/>
        <v>3.2569605848569596</v>
      </c>
      <c r="F77" s="119">
        <f t="shared" si="11"/>
        <v>3.5348161833950669</v>
      </c>
      <c r="G77" s="300"/>
      <c r="H77" s="300"/>
      <c r="I77" s="300"/>
      <c r="J77" s="300"/>
      <c r="K77" s="300"/>
      <c r="L77" s="300"/>
    </row>
    <row r="78" spans="1:21" ht="13.15">
      <c r="A78" s="131">
        <v>5</v>
      </c>
      <c r="B78" s="119">
        <f t="shared" si="11"/>
        <v>2.4680833280856711</v>
      </c>
      <c r="C78" s="119">
        <f t="shared" si="11"/>
        <v>2.7786159477540169</v>
      </c>
      <c r="D78" s="119">
        <f t="shared" si="11"/>
        <v>3.1008211334191036</v>
      </c>
      <c r="E78" s="119">
        <f t="shared" si="11"/>
        <v>3.4350366686789719</v>
      </c>
      <c r="F78" s="119">
        <f t="shared" si="11"/>
        <v>3.7816068842046642</v>
      </c>
      <c r="G78" s="300"/>
      <c r="H78" s="300"/>
      <c r="I78" s="300"/>
      <c r="J78" s="300"/>
      <c r="K78" s="300"/>
      <c r="L78" s="300"/>
    </row>
    <row r="79" spans="1:21" ht="13.15">
      <c r="A79" s="131">
        <v>6</v>
      </c>
      <c r="B79" s="119">
        <f t="shared" si="11"/>
        <v>2.4680833280856707</v>
      </c>
      <c r="C79" s="119">
        <f t="shared" si="11"/>
        <v>2.8302986259588563</v>
      </c>
      <c r="D79" s="119">
        <f t="shared" si="11"/>
        <v>3.2094059235616856</v>
      </c>
      <c r="E79" s="119">
        <f t="shared" si="11"/>
        <v>3.606056124470741</v>
      </c>
      <c r="F79" s="119">
        <f t="shared" si="11"/>
        <v>4.0209190789291238</v>
      </c>
      <c r="G79" s="300"/>
      <c r="H79" s="300"/>
      <c r="I79" s="300"/>
      <c r="J79" s="300"/>
      <c r="K79" s="300"/>
      <c r="L79" s="300"/>
    </row>
    <row r="80" spans="1:21" ht="13.15">
      <c r="A80" s="131">
        <f t="shared" ref="A80" si="12">A62</f>
        <v>7</v>
      </c>
      <c r="B80" s="119">
        <f t="shared" si="11"/>
        <v>2.4680833280856711</v>
      </c>
      <c r="C80" s="119">
        <f t="shared" si="11"/>
        <v>2.8789694930795</v>
      </c>
      <c r="D80" s="119">
        <f t="shared" si="11"/>
        <v>3.312675374326659</v>
      </c>
      <c r="E80" s="119">
        <f t="shared" si="11"/>
        <v>3.7702985855108557</v>
      </c>
      <c r="F80" s="119">
        <f t="shared" si="11"/>
        <v>4.2529793889649632</v>
      </c>
      <c r="G80" s="300"/>
      <c r="H80" s="300"/>
      <c r="I80" s="300"/>
      <c r="J80" s="300"/>
      <c r="K80" s="300"/>
      <c r="L80" s="300"/>
    </row>
    <row r="81" spans="1:12" ht="13.15">
      <c r="A81" s="131">
        <v>8</v>
      </c>
      <c r="B81" s="119">
        <f t="shared" si="11"/>
        <v>2.4680833280856711</v>
      </c>
      <c r="C81" s="119">
        <f t="shared" si="11"/>
        <v>2.9248040625823886</v>
      </c>
      <c r="D81" s="119">
        <f t="shared" si="11"/>
        <v>3.4108896771520905</v>
      </c>
      <c r="E81" s="119">
        <f t="shared" si="11"/>
        <v>3.92803260403889</v>
      </c>
      <c r="F81" s="119">
        <f t="shared" si="11"/>
        <v>4.4780075683936538</v>
      </c>
      <c r="G81" s="300"/>
      <c r="H81" s="300"/>
      <c r="I81" s="300"/>
      <c r="J81" s="300"/>
      <c r="K81" s="300"/>
      <c r="L81" s="300"/>
    </row>
    <row r="82" spans="1:12" ht="13.15">
      <c r="A82" s="131">
        <f t="shared" ref="A82" si="13">A64</f>
        <v>9</v>
      </c>
      <c r="B82" s="119">
        <f t="shared" si="11"/>
        <v>2.4680833280856707</v>
      </c>
      <c r="C82" s="119">
        <f t="shared" si="11"/>
        <v>2.9679676198764824</v>
      </c>
      <c r="D82" s="119">
        <f t="shared" si="11"/>
        <v>3.5042962868322181</v>
      </c>
      <c r="E82" s="119">
        <f t="shared" si="11"/>
        <v>4.0795160903641792</v>
      </c>
      <c r="F82" s="119">
        <f t="shared" si="11"/>
        <v>4.6962167120820819</v>
      </c>
      <c r="G82" s="300"/>
      <c r="H82" s="300"/>
      <c r="I82" s="300"/>
      <c r="J82" s="300"/>
      <c r="K82" s="300"/>
      <c r="L82" s="300"/>
    </row>
    <row r="83" spans="1:12" ht="13.15">
      <c r="A83" s="131">
        <f t="shared" ref="A83:A87" si="14">A65</f>
        <v>10</v>
      </c>
      <c r="B83" s="119">
        <f t="shared" si="11"/>
        <v>2.4680833280856711</v>
      </c>
      <c r="C83" s="119">
        <f t="shared" si="11"/>
        <v>3.0086158183539062</v>
      </c>
      <c r="D83" s="119">
        <f t="shared" si="11"/>
        <v>3.5931305449895432</v>
      </c>
      <c r="E83" s="119">
        <f t="shared" si="11"/>
        <v>4.2249967345740149</v>
      </c>
      <c r="F83" s="119">
        <f t="shared" si="11"/>
        <v>4.9078134574769212</v>
      </c>
      <c r="G83" s="300"/>
      <c r="H83" s="300"/>
      <c r="I83" s="300"/>
      <c r="J83" s="300"/>
      <c r="K83" s="300"/>
      <c r="L83" s="300"/>
    </row>
    <row r="84" spans="1:12" ht="13.15">
      <c r="A84" s="131">
        <f t="shared" si="14"/>
        <v>15</v>
      </c>
      <c r="B84" s="119">
        <f t="shared" si="11"/>
        <v>2.4680833280856707</v>
      </c>
      <c r="C84" s="119">
        <f t="shared" si="11"/>
        <v>3.1789681006116082</v>
      </c>
      <c r="D84" s="119">
        <f t="shared" si="11"/>
        <v>3.9761779220829814</v>
      </c>
      <c r="E84" s="119">
        <f t="shared" si="11"/>
        <v>4.8703607656098935</v>
      </c>
      <c r="F84" s="119">
        <f t="shared" si="11"/>
        <v>5.8734156651976139</v>
      </c>
      <c r="G84" s="300"/>
      <c r="H84" s="300"/>
      <c r="I84" s="300"/>
      <c r="J84" s="300"/>
      <c r="K84" s="300"/>
      <c r="L84" s="300"/>
    </row>
    <row r="85" spans="1:12" ht="13.15">
      <c r="A85" s="132">
        <f t="shared" si="14"/>
        <v>20</v>
      </c>
      <c r="B85" s="119">
        <f t="shared" si="11"/>
        <v>2.4680833280856702</v>
      </c>
      <c r="C85" s="119">
        <f t="shared" si="11"/>
        <v>3.3051416501649946</v>
      </c>
      <c r="D85" s="119">
        <f t="shared" si="11"/>
        <v>4.2742126328761767</v>
      </c>
      <c r="E85" s="119">
        <f t="shared" si="11"/>
        <v>5.3975959393056447</v>
      </c>
      <c r="F85" s="119">
        <f t="shared" si="11"/>
        <v>6.701316732091561</v>
      </c>
      <c r="G85" s="300"/>
      <c r="H85" s="300"/>
      <c r="I85" s="300"/>
      <c r="J85" s="300"/>
      <c r="K85" s="300"/>
      <c r="L85" s="300"/>
    </row>
    <row r="86" spans="1:12" ht="13.15">
      <c r="A86" s="132">
        <f t="shared" si="14"/>
        <v>25</v>
      </c>
      <c r="B86" s="119">
        <f t="shared" si="11"/>
        <v>2.4680833280856702</v>
      </c>
      <c r="C86" s="119">
        <f t="shared" si="11"/>
        <v>3.3985936685114155</v>
      </c>
      <c r="D86" s="119">
        <f t="shared" si="11"/>
        <v>4.5061021957589293</v>
      </c>
      <c r="E86" s="119">
        <f t="shared" si="11"/>
        <v>5.8283248225621289</v>
      </c>
      <c r="F86" s="119">
        <f t="shared" si="11"/>
        <v>7.4111537344137384</v>
      </c>
      <c r="G86" s="300"/>
      <c r="H86" s="300"/>
      <c r="I86" s="300"/>
      <c r="J86" s="300"/>
      <c r="K86" s="300"/>
      <c r="L86" s="300"/>
    </row>
    <row r="87" spans="1:12" ht="13.15">
      <c r="A87" s="132">
        <f t="shared" si="14"/>
        <v>30</v>
      </c>
      <c r="B87" s="119">
        <f t="shared" si="11"/>
        <v>2.4680833280856702</v>
      </c>
      <c r="C87" s="119">
        <f t="shared" si="11"/>
        <v>3.4678100753092922</v>
      </c>
      <c r="D87" s="119">
        <f t="shared" si="11"/>
        <v>4.6865267148723024</v>
      </c>
      <c r="E87" s="119">
        <f t="shared" si="11"/>
        <v>6.1802121398875132</v>
      </c>
      <c r="F87" s="119">
        <f t="shared" si="11"/>
        <v>8.0197633739158505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8.0197633739158505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6.1802121398875132</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4.6865267148723024</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3.4678100753092922</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2.4680833280856702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290156.04285618226</v>
      </c>
      <c r="D8" s="465"/>
      <c r="E8" s="465"/>
      <c r="F8" s="465"/>
      <c r="G8" s="465"/>
    </row>
    <row r="9" spans="2:7">
      <c r="B9" s="97" t="s">
        <v>54</v>
      </c>
      <c r="C9" s="452">
        <f>Normalized_FCF!C19</f>
        <v>227942.85902986967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0.62504033407535342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6.1802121398875132</v>
      </c>
      <c r="F22" s="332">
        <f>1-F23-F24</f>
        <v>0.2</v>
      </c>
      <c r="G22" s="332">
        <f>F22*(1-F$29-F$30)</f>
        <v>0.18</v>
      </c>
    </row>
    <row r="23" spans="2:7">
      <c r="B23" s="306" t="s">
        <v>440</v>
      </c>
      <c r="C23" s="328">
        <v>0.02</v>
      </c>
      <c r="D23" s="329">
        <f>C18</f>
        <v>30</v>
      </c>
      <c r="E23" s="330">
        <f>DCF!E92</f>
        <v>4.6865267148723024</v>
      </c>
      <c r="F23" s="331">
        <v>0.6</v>
      </c>
      <c r="G23" s="332">
        <f t="shared" ref="G23:G24" si="0">F23*(1-F$29-F$30)</f>
        <v>0.53999999999999992</v>
      </c>
    </row>
    <row r="24" spans="2:7">
      <c r="B24" s="306" t="s">
        <v>449</v>
      </c>
      <c r="C24" s="328">
        <v>0.01</v>
      </c>
      <c r="D24" s="329">
        <f>C18</f>
        <v>30</v>
      </c>
      <c r="E24" s="330">
        <f>DCF!E93</f>
        <v>3.4678100753092922</v>
      </c>
      <c r="F24" s="331">
        <v>0.2</v>
      </c>
      <c r="G24" s="332">
        <f t="shared" si="0"/>
        <v>0.18</v>
      </c>
    </row>
    <row r="25" spans="2:7">
      <c r="B25" s="141" t="s">
        <v>454</v>
      </c>
      <c r="C25" s="446">
        <f>E23*F23+E24*F24+E22*F22</f>
        <v>4.7415204719627422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8.0197633739158505</v>
      </c>
      <c r="F29" s="331">
        <v>0.05</v>
      </c>
      <c r="G29" s="332">
        <f>F29</f>
        <v>0.05</v>
      </c>
    </row>
    <row r="30" spans="2:7">
      <c r="B30" s="319" t="s">
        <v>450</v>
      </c>
      <c r="C30" s="328">
        <v>0</v>
      </c>
      <c r="D30" s="329">
        <f>C18</f>
        <v>30</v>
      </c>
      <c r="E30" s="330">
        <f>DCF!E94</f>
        <v>2.4680833280856702</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5.41</v>
      </c>
      <c r="D34" t="str">
        <f>Market_currency</f>
        <v>HKD</v>
      </c>
      <c r="E34" s="97" t="s">
        <v>457</v>
      </c>
      <c r="F34" s="334">
        <f>RATE(Holding_Period,$C$33,-C34,$C$36)</f>
        <v>1.8039466578554902E-2</v>
      </c>
    </row>
    <row r="35" spans="2:7">
      <c r="B35" s="97" t="s">
        <v>437</v>
      </c>
      <c r="C35" s="324">
        <f>DCF!C11</f>
        <v>2.4680833280856755</v>
      </c>
      <c r="D35" s="97" t="str">
        <f>Market_currency</f>
        <v>HKD</v>
      </c>
      <c r="E35" s="97" t="s">
        <v>457</v>
      </c>
      <c r="F35" s="334">
        <f>RATE(Holding_Period,$C$33,-C35,$C$36)</f>
        <v>0.34766213291301723</v>
      </c>
    </row>
    <row r="36" spans="2:7">
      <c r="B36" s="97" t="s">
        <v>438</v>
      </c>
      <c r="C36" s="325">
        <f>E22*G22+E23*G23+E24*G24+E30*G30+E29*G29</f>
        <v>4.791760759866543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0.89581909726262465</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4.6865267148723024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0.91970406611887656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0.54895547283303592</v>
      </c>
      <c r="D62" s="119">
        <f>C36/(1+F62)^Holding_Period</f>
        <v>2.2081846819661495</v>
      </c>
      <c r="E62" s="336">
        <f>C62+D62</f>
        <v>2.7571401547991856</v>
      </c>
      <c r="F62" s="305">
        <f>Thesis!E22</f>
        <v>0.29465259038036606</v>
      </c>
      <c r="G62" s="445">
        <f>(1-E62/C36)</f>
        <v>0.42460813613825421</v>
      </c>
    </row>
    <row r="63" spans="2:7" ht="13.15">
      <c r="B63" s="306" t="s">
        <v>313</v>
      </c>
      <c r="C63" s="119">
        <f>PV(F63, Holding_Period, -C58, 0)</f>
        <v>0.63120118418072357</v>
      </c>
      <c r="D63" s="119">
        <f>C36/(1+F63)^Holding_Period</f>
        <v>2.7678040490203868</v>
      </c>
      <c r="E63" s="336">
        <f>C63+D63</f>
        <v>3.3990052332011103</v>
      </c>
      <c r="F63" s="305">
        <f>Thesis!E23</f>
        <v>0.20075184365903009</v>
      </c>
      <c r="G63" s="445">
        <f>(1-E63/C36)</f>
        <v>0.290656315384206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3.4345443254748527</v>
      </c>
      <c r="E66" s="336">
        <f>C66+D66</f>
        <v>4.1583252632564474</v>
      </c>
      <c r="F66" s="305">
        <f>Thesis!E24</f>
        <v>0.1174</v>
      </c>
      <c r="G66" s="445">
        <f>(1-E66/C36)</f>
        <v>0.13219263822923788</v>
      </c>
    </row>
    <row r="67" spans="2:7" ht="13.15">
      <c r="B67" s="306" t="s">
        <v>314</v>
      </c>
      <c r="C67" s="119">
        <f>PV(F67, Holding_Period, -C58, 0)</f>
        <v>0.78371256815190493</v>
      </c>
      <c r="D67" s="119">
        <f>C36/(1+F67)^Holding_Period</f>
        <v>3.884214669854448</v>
      </c>
      <c r="E67" s="336">
        <f>C67+D67</f>
        <v>4.667927238006353</v>
      </c>
      <c r="F67" s="305">
        <f>Thesis!E25</f>
        <v>7.2499999999999995E-2</v>
      </c>
      <c r="G67" s="445">
        <f>(1-E67/C36)</f>
        <v>2.5843010130505495E-2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5.41</v>
      </c>
    </row>
    <row r="9" spans="1:10">
      <c r="B9" s="355" t="s">
        <v>361</v>
      </c>
      <c r="C9" s="357">
        <f>Common_Shares</f>
        <v>580004033</v>
      </c>
    </row>
    <row r="10" spans="1:10">
      <c r="B10" s="355" t="s">
        <v>367</v>
      </c>
      <c r="C10" s="361">
        <f>投资主题!C8*Common_Shares/1000000</f>
        <v>3137.8218185300002</v>
      </c>
      <c r="D10" s="347" t="s">
        <v>532</v>
      </c>
      <c r="E10" s="364">
        <f>Scenarios!F34</f>
        <v>1.8039466578554902E-2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4.791760759866543</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2.7571401547991856</v>
      </c>
      <c r="D22" s="369" t="s">
        <v>443</v>
      </c>
      <c r="E22" s="370">
        <f>Thesis!E22</f>
        <v>0.29465259038036606</v>
      </c>
    </row>
    <row r="23" spans="1:6">
      <c r="B23" s="347" t="s">
        <v>341</v>
      </c>
      <c r="C23" s="371">
        <f>E141</f>
        <v>3.3990052332011103</v>
      </c>
      <c r="D23" s="369" t="s">
        <v>444</v>
      </c>
      <c r="E23" s="372">
        <f>Thesis!E23</f>
        <v>0.20075184365903009</v>
      </c>
    </row>
    <row r="24" spans="1:6">
      <c r="B24" s="347" t="s">
        <v>343</v>
      </c>
      <c r="C24" s="371">
        <f>E144</f>
        <v>4.1583252632564474</v>
      </c>
      <c r="D24" s="369" t="s">
        <v>446</v>
      </c>
      <c r="E24" s="372">
        <f>Thesis!E24</f>
        <v>0.1174</v>
      </c>
    </row>
    <row r="25" spans="1:6">
      <c r="B25" s="347" t="s">
        <v>342</v>
      </c>
      <c r="C25" s="371">
        <f>E145</f>
        <v>4.667927238006353</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398162</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6953.4635082499999</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-78418.936491750006</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-52757.605478861253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290156.04285618226</v>
      </c>
      <c r="D60" s="347" t="str">
        <f>Reporting_currency</f>
        <v>HKD</v>
      </c>
    </row>
    <row r="61" spans="2:6">
      <c r="B61" s="376" t="s">
        <v>213</v>
      </c>
      <c r="C61" s="377">
        <f>Normalized_FCF!C19</f>
        <v>227942.85902986967</v>
      </c>
      <c r="D61" s="347" t="str">
        <f>Reporting_currency</f>
        <v>HKD</v>
      </c>
    </row>
    <row r="62" spans="2:6">
      <c r="B62" s="381" t="s">
        <v>302</v>
      </c>
      <c r="C62" s="382">
        <f>Normalized_FCF!C124</f>
        <v>7.2643659268280522E-2</v>
      </c>
      <c r="F62" s="383"/>
    </row>
    <row r="63" spans="2:6">
      <c r="B63" s="381" t="s">
        <v>332</v>
      </c>
      <c r="C63" s="382">
        <f>Normalized_FCF!C92</f>
        <v>5.5452865064695017E-2</v>
      </c>
      <c r="E63" s="376" t="s">
        <v>373</v>
      </c>
      <c r="F63" s="384">
        <f>Normalized_FCF!C90</f>
        <v>0.76335451191826487</v>
      </c>
    </row>
    <row r="65" spans="1:6">
      <c r="B65" s="373" t="s">
        <v>376</v>
      </c>
      <c r="C65" s="385" t="s">
        <v>327</v>
      </c>
      <c r="D65" s="385" t="s">
        <v>374</v>
      </c>
    </row>
    <row r="66" spans="1:6">
      <c r="B66" s="376" t="s">
        <v>326</v>
      </c>
      <c r="C66" s="382">
        <f>Normalized_FCF!C119</f>
        <v>0.11649319406611419</v>
      </c>
      <c r="D66" s="382">
        <f>Normalized_FCF!G119</f>
        <v>0.11834837407174398</v>
      </c>
    </row>
    <row r="67" spans="1:6">
      <c r="B67" s="386" t="str">
        <f>Normalized_FCF!B116</f>
        <v>Pre-tax Profit/Sales</v>
      </c>
      <c r="C67" s="387">
        <f>Normalized_FCF!C116</f>
        <v>3.7316904067420706E-2</v>
      </c>
      <c r="D67" s="387">
        <f>Normalized_FCF!G116</f>
        <v>3.7911184058220797E-2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5.3604060658726853</v>
      </c>
    </row>
    <row r="83" spans="1:6">
      <c r="B83" s="347" t="s">
        <v>515</v>
      </c>
    </row>
    <row r="84" spans="1:6">
      <c r="B84" s="347" t="s">
        <v>224</v>
      </c>
      <c r="C84" s="377">
        <f>DCF!F5</f>
        <v>358286.64917500003</v>
      </c>
      <c r="D84" s="347" t="str">
        <f>Reporting_currency</f>
        <v>HKD</v>
      </c>
    </row>
    <row r="85" spans="1:6">
      <c r="B85" s="386" t="s">
        <v>484</v>
      </c>
      <c r="C85" s="394">
        <f>BS!C66</f>
        <v>1053633</v>
      </c>
      <c r="D85" s="395" t="str">
        <f>Reporting_currency</f>
        <v>HKD</v>
      </c>
    </row>
    <row r="86" spans="1:6">
      <c r="B86" s="376" t="s">
        <v>235</v>
      </c>
      <c r="C86" s="391">
        <f>C84*scaling_factor*Exchange_Rate/Common_Shares</f>
        <v>0.61773130666317277</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-2.9526366255887742</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2.4680833280856755</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8.02 HKD</v>
      </c>
      <c r="F118" s="403">
        <f>DCF!F90</f>
        <v>0.05</v>
      </c>
    </row>
    <row r="119" spans="1:6">
      <c r="A119" s="389"/>
      <c r="B119" s="404" t="str">
        <f>DCF!B91</f>
        <v>Optimistic</v>
      </c>
      <c r="C119" s="405">
        <f>DCF!C91</f>
        <v>0.03</v>
      </c>
      <c r="D119" s="406">
        <f>DCF!D91</f>
        <v>30</v>
      </c>
      <c r="E119" s="402" t="str">
        <f>ROUND(DCF!E91,2)&amp;" "&amp;Market_currency</f>
        <v>6.18 HKD</v>
      </c>
      <c r="F119" s="407">
        <f>DCF!F91</f>
        <v>0.18</v>
      </c>
    </row>
    <row r="120" spans="1:6">
      <c r="B120" s="404" t="str">
        <f>DCF!B92</f>
        <v>Base</v>
      </c>
      <c r="C120" s="405">
        <f>DCF!C92</f>
        <v>0.02</v>
      </c>
      <c r="D120" s="406">
        <f>DCF!D92</f>
        <v>30</v>
      </c>
      <c r="E120" s="402" t="str">
        <f>ROUND(DCF!E92,2)&amp;" "&amp;Market_currency</f>
        <v>4.69 HKD</v>
      </c>
      <c r="F120" s="407">
        <f>DCF!F92</f>
        <v>0.53999999999999992</v>
      </c>
    </row>
    <row r="121" spans="1:6">
      <c r="B121" s="404" t="str">
        <f>DCF!B93</f>
        <v>Pessimistic</v>
      </c>
      <c r="C121" s="405">
        <f>DCF!C93</f>
        <v>0.01</v>
      </c>
      <c r="D121" s="406">
        <f>DCF!D93</f>
        <v>30</v>
      </c>
      <c r="E121" s="402" t="str">
        <f>ROUND(DCF!E93,2)&amp;" "&amp;Market_currency</f>
        <v>3.47 HKD</v>
      </c>
      <c r="F121" s="407">
        <f>DCF!F93</f>
        <v>0.18</v>
      </c>
    </row>
    <row r="122" spans="1:6">
      <c r="B122" s="404" t="str">
        <f>DCF!B94</f>
        <v>Devil's advocate</v>
      </c>
      <c r="C122" s="405">
        <f>DCF!C94</f>
        <v>0</v>
      </c>
      <c r="D122" s="406">
        <f>DCF!D94</f>
        <v>30</v>
      </c>
      <c r="E122" s="402" t="str">
        <f>ROUND(DCF!E94,2)&amp;" "&amp;Market_currency</f>
        <v>2.47 HKD</v>
      </c>
      <c r="F122" s="407">
        <f>DCF!F94</f>
        <v>0.05</v>
      </c>
    </row>
    <row r="124" spans="1:6">
      <c r="B124" s="466" t="s">
        <v>522</v>
      </c>
      <c r="C124" s="466"/>
      <c r="D124" s="466"/>
      <c r="E124" s="466"/>
      <c r="F124" s="466"/>
    </row>
    <row r="125" spans="1:6">
      <c r="B125" s="376" t="s">
        <v>218</v>
      </c>
      <c r="C125" s="408">
        <f>Scenarios!C36</f>
        <v>4.791760759866543</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0.54895547283303592</v>
      </c>
      <c r="D140" s="413">
        <f>Scenarios!D62</f>
        <v>2.2081846819661495</v>
      </c>
      <c r="E140" s="414">
        <f>Scenarios!E62</f>
        <v>2.7571401547991856</v>
      </c>
      <c r="F140" s="415">
        <f>E22</f>
        <v>0.29465259038036606</v>
      </c>
    </row>
    <row r="141" spans="1:6">
      <c r="B141" s="412" t="s">
        <v>313</v>
      </c>
      <c r="C141" s="413">
        <f>Scenarios!C63</f>
        <v>0.63120118418072357</v>
      </c>
      <c r="D141" s="413">
        <f>Scenarios!D63</f>
        <v>2.7678040490203868</v>
      </c>
      <c r="E141" s="414">
        <f>Scenarios!E63</f>
        <v>3.3990052332011103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3.4345443254748527</v>
      </c>
      <c r="E144" s="414">
        <f>Scenarios!E66</f>
        <v>4.1583252632564474</v>
      </c>
      <c r="F144" s="415">
        <f>E24</f>
        <v>0.1174</v>
      </c>
    </row>
    <row r="145" spans="1:6">
      <c r="B145" s="412" t="s">
        <v>314</v>
      </c>
      <c r="C145" s="413">
        <f>Scenarios!C67</f>
        <v>0.78371256815190493</v>
      </c>
      <c r="D145" s="413">
        <f>Scenarios!D67</f>
        <v>3.884214669854448</v>
      </c>
      <c r="E145" s="414">
        <f>Scenarios!E67</f>
        <v>4.667927238006353</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2025-12-12T08:03:42Z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