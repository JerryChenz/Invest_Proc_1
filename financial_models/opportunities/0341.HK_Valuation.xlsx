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8A8D63-E179-4161-B975-0FA6EFE0483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<sst xmlns="http://schemas.openxmlformats.org/spreadsheetml/2006/main" count="768" uniqueCount="557">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</sst>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4.42</v>
      </c>
      <c r="E8" s="32"/>
    </row>
    <row r="9" spans="1:9">
      <c r="B9" s="4" t="s">
        <v>346</v>
      </c>
      <c r="C9" s="48">
        <v>580004033</v>
      </c>
    </row>
    <row r="10" spans="1:9">
      <c r="B10" s="4" t="s">
        <v>352</v>
      </c>
      <c r="C10" s="33">
        <f>Thesis!C8*Common_Shares/1000000</f>
        <v>2563.6178258600003</v>
      </c>
      <c r="D10" s="1" t="s">
        <v>527</v>
      </c>
      <c r="E10" s="303">
        <f>Scenarios!F34</f>
        <v>0.19639807838697887</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9.1385334536708968E-2</v>
      </c>
      <c r="F62" s="257"/>
    </row>
    <row r="63" spans="2:6">
      <c r="B63" s="204" t="s">
        <v>332</v>
      </c>
      <c r="C63" s="89">
        <f>Normalized_FCF!C92</f>
        <v>6.7873303167420823E-2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357</v>
      </c>
      <c r="C124" s="463"/>
      <c r="D124" s="463"/>
      <c r="E124" s="463"/>
      <c r="F124" s="463"/>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6.7873303167420823E-2</v>
      </c>
      <c r="E92" s="237"/>
      <c r="G92" s="22">
        <f t="shared" ref="G92:Q92" si="38">IF(G$4="","",(G88*(1-dividend_tax_rate))/Market_Price)</f>
        <v>7.9185520361990946E-2</v>
      </c>
      <c r="H92" s="22">
        <f t="shared" si="38"/>
        <v>0.12895927601809953</v>
      </c>
      <c r="I92" s="22">
        <f t="shared" si="38"/>
        <v>8.5972850678733032E-2</v>
      </c>
      <c r="J92" s="22">
        <f t="shared" si="38"/>
        <v>8.5972850678733032E-2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9.1385334536708968E-2</v>
      </c>
      <c r="D124" s="26"/>
      <c r="E124" s="234"/>
      <c r="F124" s="26"/>
      <c r="G124" s="74">
        <f t="shared" ref="G124" si="49">IF(G$4="","",G123/Market_Price)</f>
        <v>0.11428168093457397</v>
      </c>
      <c r="H124" s="74">
        <f t="shared" ref="H124" si="50">IF(H$4="","",H123/Market_Price)</f>
        <v>0.13693246175564003</v>
      </c>
      <c r="I124" s="74">
        <f t="shared" ref="I124" si="51">IF(I$4="","",I123/Market_Price)</f>
        <v>4.3775281165392969E-2</v>
      </c>
      <c r="J124" s="74">
        <f t="shared" ref="J124" si="52">IF(J$4="","",J123/Market_Price)</f>
        <v>-9.0589595846731399E-3</v>
      </c>
      <c r="K124" s="74">
        <f t="shared" ref="K124" si="53">IF(K$4="","",K123/Market_Price)</f>
        <v>-4.6359094090060469E-2</v>
      </c>
      <c r="L124" s="74">
        <f t="shared" ref="L124" si="54">IF(L$4="","",L123/Market_Price)</f>
        <v>8.1374843744510802E-2</v>
      </c>
      <c r="M124" s="74">
        <f t="shared" ref="M124" si="55">IF(M$4="","",M123/Market_Price)</f>
        <v>0.2175811832689532</v>
      </c>
      <c r="N124" s="74">
        <f t="shared" ref="N124" si="56">IF(N$4="","",N123/Market_Price)</f>
        <v>0.17947292898295139</v>
      </c>
      <c r="O124" s="74">
        <f t="shared" ref="O124" si="57">IF(O$4="","",O123/Market_Price)</f>
        <v>0.20180699119083634</v>
      </c>
      <c r="P124" s="74">
        <f t="shared" ref="P124" si="58">IF(P$4="","",P123/Market_Price)</f>
        <v>0.19675709651877965</v>
      </c>
      <c r="Q124" s="74" t="str">
        <f t="shared" ref="Q124" si="59">IF(Q$4="","",Q123/Market_Price)</f>
        <v/>
      </c>
    </row>
    <row r="125" spans="1:17" ht="15.75" customHeight="1">
      <c r="B125" s="2" t="s">
        <v>306</v>
      </c>
      <c r="C125" s="151"/>
      <c r="G125" s="22">
        <f>IF(G$4="","",(Data!C47*$C$3)/(Market_Price*Common_Shares))</f>
        <v>9.1710627702913883E-2</v>
      </c>
      <c r="H125" s="22">
        <f>IF(H$4="","",(Data!D47*$C$3)/(Market_Price*Common_Shares))</f>
        <v>0.12997842214965039</v>
      </c>
      <c r="I125" s="22">
        <f>IF(I$4="","",(Data!E47*$C$3)/(Market_Price*Common_Shares))</f>
        <v>4.3371129221533175E-2</v>
      </c>
      <c r="J125" s="22">
        <f>IF(J$4="","",(Data!F47*$C$3)/(Market_Price*Common_Shares))</f>
        <v>8.9131850190402925E-3</v>
      </c>
      <c r="K125" s="22">
        <f>IF(K$4="","",(Data!G47*$C$3)/(Market_Price*Common_Shares))</f>
        <v>0.14064108790437538</v>
      </c>
      <c r="L125" s="22">
        <f>IF(L$4="","",(Data!H47*$C$3)/(Market_Price*Common_Shares))</f>
        <v>2.9016025419095461E-2</v>
      </c>
      <c r="M125" s="22">
        <f>IF(M$4="","",(Data!I47*$C$3)/(Market_Price*Common_Shares))</f>
        <v>0.23096656374721872</v>
      </c>
      <c r="N125" s="22">
        <f>IF(N$4="","",(Data!J47*$C$3)/(Market_Price*Common_Shares))</f>
        <v>0.17915891962013616</v>
      </c>
      <c r="O125" s="22">
        <f>IF(O$4="","",(Data!K47*$C$3)/(Market_Price*Common_Shares))</f>
        <v>0.19653865522290817</v>
      </c>
      <c r="P125" s="22">
        <f>IF(P$4="","",(Data!L47*$C$3)/(Market_Price*Common_Shares))</f>
        <v>0.20200358835712062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4.42</v>
      </c>
      <c r="D34" t="str">
        <f>Market_currency</f>
        <v>HKD</v>
      </c>
      <c r="E34" s="97" t="s">
        <v>454</v>
      </c>
      <c r="F34" s="330">
        <f>RATE(Holding_Period,$C$33,-C34,$C$36)</f>
        <v>0.19639807838697887</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4.42</v>
      </c>
    </row>
    <row r="9" spans="1:10">
      <c r="B9" s="351" t="s">
        <v>361</v>
      </c>
      <c r="C9" s="353">
        <f>Common_Shares</f>
        <v>580004033</v>
      </c>
    </row>
    <row r="10" spans="1:10">
      <c r="B10" s="351" t="s">
        <v>367</v>
      </c>
      <c r="C10" s="357">
        <f>投资主题!C8*Common_Shares/1000000</f>
        <v>2563.6178258600003</v>
      </c>
      <c r="D10" s="343" t="s">
        <v>528</v>
      </c>
      <c r="E10" s="360">
        <f>Scenarios!F34</f>
        <v>0.19639807838697887</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9.1385334536708968E-2</v>
      </c>
      <c r="F62" s="379"/>
    </row>
    <row r="63" spans="2:6">
      <c r="B63" s="377" t="s">
        <v>332</v>
      </c>
      <c r="C63" s="378">
        <f>Normalized_FCF!C92</f>
        <v>6.7873303167420823E-2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